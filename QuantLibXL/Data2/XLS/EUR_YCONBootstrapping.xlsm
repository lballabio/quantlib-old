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375" yWindow="-15" windowWidth="6390" windowHeight="11610" tabRatio="729"/>
  </bookViews>
  <sheets>
    <sheet name="General Settings" sheetId="6" r:id="rId1"/>
    <sheet name="RateHelpers" sheetId="5" r:id="rId2"/>
    <sheet name="Selected" sheetId="4" r:id="rId3"/>
    <sheet name="ON_Deposits" sheetId="9" r:id="rId4"/>
    <sheet name="ON_FRAs" sheetId="17" r:id="rId5"/>
    <sheet name="ON_Swaps" sheetId="25" r:id="rId6"/>
    <sheet name="Monitor" sheetId="26" r:id="rId7"/>
  </sheets>
  <definedNames>
    <definedName name="_xlnm._FilterDatabase" localSheetId="6" hidden="1">Monitor!$B$10:$F$15377</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ON_Swaps!$L$2</definedName>
    <definedName name="FamilyName">'General Settings'!$J$11</definedName>
    <definedName name="FileOverwrite">'General Settings'!$J$6</definedName>
    <definedName name="FrontFuturesRollingDays">Selected!$B$4</definedName>
    <definedName name="IborIndex">Monitor!$X$9</definedName>
    <definedName name="IborType">'General Settings'!$D$7</definedName>
    <definedName name="IndexTenor">'General Settings'!$D$6</definedName>
    <definedName name="InterpolatorID">'General Settings'!$D$25</definedName>
    <definedName name="MinDistance">RateHelpers!$J$2:$J$122</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Monitor!$W$11:$W$355</definedName>
    <definedName name="Permanent">'General Settings'!$D$10</definedName>
    <definedName name="_xlnm.Print_Area" localSheetId="2">Selected!$D$1:$J$50</definedName>
    <definedName name="QuoteSuffix">'General Settings'!$J$12</definedName>
    <definedName name="RateAxisMajorUnit">Monitor!$I$3:$I$9</definedName>
    <definedName name="RateAxisMaximum">Monitor!$H$3:$H$9</definedName>
    <definedName name="RateAxisMinimum">Monitor!$G$3:$G$9</definedName>
    <definedName name="RateHelperPrefix">'General Settings'!$D$9</definedName>
    <definedName name="RateHelpers">RateHelpers!$E$2:$E$122</definedName>
    <definedName name="RateHelpersIncluded">RateHelpers!$H$2:$H$122</definedName>
    <definedName name="RateHelpersPriority">RateHelpers!$I$2:$I$122</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imeAxisMajorUnit">Monitor!$F$3:$F$9</definedName>
    <definedName name="TimeAxisMaximum">Monitor!$E$3:$E$9</definedName>
    <definedName name="TimeAxisMinimum">Monitor!$C$3:$C$9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B6" i="26" l="1"/>
  <c r="B7" i="26"/>
  <c r="B8" i="26"/>
  <c r="B9" i="26"/>
  <c r="B4" i="26"/>
  <c r="B5" i="26"/>
  <c r="B3" i="26"/>
  <c r="C3" i="26"/>
  <c r="C4" i="26" l="1"/>
  <c r="U530" i="26"/>
  <c r="U531" i="26" s="1"/>
  <c r="U532" i="26" s="1"/>
  <c r="U533" i="26" s="1"/>
  <c r="U534" i="26" s="1"/>
  <c r="U535" i="26" s="1"/>
  <c r="U536" i="26" s="1"/>
  <c r="U537" i="26" s="1"/>
  <c r="U538" i="26" s="1"/>
  <c r="U539" i="26" s="1"/>
  <c r="U540" i="26" s="1"/>
  <c r="U541" i="26" s="1"/>
  <c r="U542" i="26" s="1"/>
  <c r="U543" i="26" s="1"/>
  <c r="U544" i="26" s="1"/>
  <c r="U545" i="26" s="1"/>
  <c r="U546" i="26" s="1"/>
  <c r="U547" i="26" s="1"/>
  <c r="U548" i="26" s="1"/>
  <c r="U549" i="26" s="1"/>
  <c r="U550" i="26" s="1"/>
  <c r="U551" i="26" s="1"/>
  <c r="U552" i="26" s="1"/>
  <c r="U553" i="26" s="1"/>
  <c r="U554" i="26" s="1"/>
  <c r="U555" i="26" s="1"/>
  <c r="U556" i="26" s="1"/>
  <c r="U557" i="26" s="1"/>
  <c r="U558" i="26" s="1"/>
  <c r="U559" i="26" s="1"/>
  <c r="U560" i="26" s="1"/>
  <c r="U561" i="26" s="1"/>
  <c r="U562" i="26" s="1"/>
  <c r="U563" i="26" s="1"/>
  <c r="U564" i="26" s="1"/>
  <c r="U565" i="26" s="1"/>
  <c r="U566" i="26" s="1"/>
  <c r="U567" i="26" s="1"/>
  <c r="U568" i="26" s="1"/>
  <c r="U569" i="26" s="1"/>
  <c r="U570" i="26" s="1"/>
  <c r="U571" i="26" s="1"/>
  <c r="U572" i="26" s="1"/>
  <c r="U573" i="26" s="1"/>
  <c r="U574" i="26" s="1"/>
  <c r="U575" i="26" s="1"/>
  <c r="U576" i="26" s="1"/>
  <c r="U577" i="26" s="1"/>
  <c r="U578" i="26" s="1"/>
  <c r="U579" i="26" s="1"/>
  <c r="U580" i="26" s="1"/>
  <c r="U581" i="26" s="1"/>
  <c r="U582" i="26" s="1"/>
  <c r="U583" i="26" s="1"/>
  <c r="U584" i="26" s="1"/>
  <c r="U585" i="26" s="1"/>
  <c r="U586" i="26" s="1"/>
  <c r="U587" i="26" s="1"/>
  <c r="U588" i="26" s="1"/>
  <c r="U589" i="26" s="1"/>
  <c r="U590" i="26" s="1"/>
  <c r="U591" i="26" s="1"/>
  <c r="U592" i="26" s="1"/>
  <c r="U593" i="26" s="1"/>
  <c r="U594" i="26" s="1"/>
  <c r="U595" i="26" s="1"/>
  <c r="U596" i="26" s="1"/>
  <c r="U597" i="26" s="1"/>
  <c r="U598" i="26" s="1"/>
  <c r="U599" i="26" s="1"/>
  <c r="U600" i="26" s="1"/>
  <c r="U601" i="26" s="1"/>
  <c r="U602" i="26" s="1"/>
  <c r="U603" i="26" s="1"/>
  <c r="U604" i="26" s="1"/>
  <c r="U605" i="26" s="1"/>
  <c r="U606" i="26" s="1"/>
  <c r="U607" i="26" s="1"/>
  <c r="U608" i="26" s="1"/>
  <c r="U609" i="26" s="1"/>
  <c r="U610" i="26" s="1"/>
  <c r="U611" i="26" s="1"/>
  <c r="U612" i="26" s="1"/>
  <c r="U613" i="26" s="1"/>
  <c r="U614" i="26" s="1"/>
  <c r="U615" i="26" s="1"/>
  <c r="U616" i="26" s="1"/>
  <c r="U617" i="26" s="1"/>
  <c r="U618" i="26" s="1"/>
  <c r="U619" i="26" s="1"/>
  <c r="U620" i="26" s="1"/>
  <c r="U621" i="26" s="1"/>
  <c r="U622" i="26" s="1"/>
  <c r="U623" i="26" s="1"/>
  <c r="U624" i="26" s="1"/>
  <c r="U625" i="26" s="1"/>
  <c r="U626" i="26" s="1"/>
  <c r="U627" i="26" s="1"/>
  <c r="U628" i="26" s="1"/>
  <c r="U629" i="26" s="1"/>
  <c r="U630" i="26" s="1"/>
  <c r="U631" i="26" s="1"/>
  <c r="U632" i="26" s="1"/>
  <c r="U633" i="26" s="1"/>
  <c r="U634" i="26" s="1"/>
  <c r="U635" i="26" s="1"/>
  <c r="U636" i="26" s="1"/>
  <c r="U637" i="26" s="1"/>
  <c r="U638" i="26" s="1"/>
  <c r="U639" i="26" s="1"/>
  <c r="U640" i="26" s="1"/>
  <c r="U641" i="26" s="1"/>
  <c r="U642" i="26" s="1"/>
  <c r="U643" i="26" s="1"/>
  <c r="U644" i="26" s="1"/>
  <c r="U645" i="26" s="1"/>
  <c r="U646" i="26" s="1"/>
  <c r="U647" i="26" s="1"/>
  <c r="U648" i="26" s="1"/>
  <c r="U649" i="26" s="1"/>
  <c r="U650" i="26" s="1"/>
  <c r="U651" i="26" s="1"/>
  <c r="U652" i="26" s="1"/>
  <c r="U653" i="26" s="1"/>
  <c r="U654" i="26" s="1"/>
  <c r="U655" i="26" s="1"/>
  <c r="U656" i="26" s="1"/>
  <c r="U657" i="26" s="1"/>
  <c r="U658" i="26" s="1"/>
  <c r="U659" i="26" s="1"/>
  <c r="U660" i="26" s="1"/>
  <c r="U661" i="26" s="1"/>
  <c r="U662" i="26" s="1"/>
  <c r="U663" i="26" s="1"/>
  <c r="U664" i="26" s="1"/>
  <c r="U665" i="26" s="1"/>
  <c r="U666" i="26" s="1"/>
  <c r="U667" i="26" s="1"/>
  <c r="U668" i="26" s="1"/>
  <c r="U669" i="26" s="1"/>
  <c r="U670" i="26" s="1"/>
  <c r="U671" i="26" s="1"/>
  <c r="U672" i="26" s="1"/>
  <c r="U673" i="26" s="1"/>
  <c r="U674" i="26" s="1"/>
  <c r="U675" i="26" s="1"/>
  <c r="U676" i="26" s="1"/>
  <c r="U677" i="26" s="1"/>
  <c r="U678" i="26" s="1"/>
  <c r="U679" i="26" s="1"/>
  <c r="U680" i="26" s="1"/>
  <c r="U681" i="26" s="1"/>
  <c r="U682" i="26" s="1"/>
  <c r="U683" i="26" s="1"/>
  <c r="U684" i="26" s="1"/>
  <c r="U685" i="26" s="1"/>
  <c r="U686" i="26" s="1"/>
  <c r="U687" i="26" s="1"/>
  <c r="U688" i="26" s="1"/>
  <c r="U689" i="26" s="1"/>
  <c r="U690" i="26" s="1"/>
  <c r="U691" i="26" s="1"/>
  <c r="U692" i="26" s="1"/>
  <c r="U693" i="26" s="1"/>
  <c r="U694" i="26" s="1"/>
  <c r="U695" i="26" s="1"/>
  <c r="U696" i="26" s="1"/>
  <c r="U697" i="26" s="1"/>
  <c r="U698" i="26" s="1"/>
  <c r="U699" i="26" s="1"/>
  <c r="U700" i="26" s="1"/>
  <c r="U701" i="26" s="1"/>
  <c r="U702" i="26" s="1"/>
  <c r="U703" i="26" s="1"/>
  <c r="U704" i="26" s="1"/>
  <c r="U705" i="26" s="1"/>
  <c r="U706" i="26" s="1"/>
  <c r="U707" i="26" s="1"/>
  <c r="U708" i="26" s="1"/>
  <c r="U709" i="26" s="1"/>
  <c r="U710" i="26" s="1"/>
  <c r="U711" i="26" s="1"/>
  <c r="U712" i="26" s="1"/>
  <c r="U713" i="26" s="1"/>
  <c r="U714" i="26" s="1"/>
  <c r="U715" i="26" s="1"/>
  <c r="U716" i="26" s="1"/>
  <c r="U717" i="26" s="1"/>
  <c r="U718" i="26" s="1"/>
  <c r="U719" i="26" s="1"/>
  <c r="U720" i="26" s="1"/>
  <c r="U721" i="26" s="1"/>
  <c r="U722" i="26" s="1"/>
  <c r="U723" i="26" s="1"/>
  <c r="U724" i="26" s="1"/>
  <c r="U725" i="26" s="1"/>
  <c r="U726" i="26" s="1"/>
  <c r="U727" i="26" s="1"/>
  <c r="U728" i="26" s="1"/>
  <c r="U729" i="26" s="1"/>
  <c r="U730" i="26" s="1"/>
  <c r="U731" i="26" s="1"/>
  <c r="U732" i="26" s="1"/>
  <c r="U733" i="26" s="1"/>
  <c r="U734" i="26" s="1"/>
  <c r="U735" i="26" s="1"/>
  <c r="U736" i="26" s="1"/>
  <c r="U737" i="26" s="1"/>
  <c r="U738" i="26" s="1"/>
  <c r="U739" i="26" s="1"/>
  <c r="U740" i="26" s="1"/>
  <c r="U741" i="26" s="1"/>
  <c r="U742" i="26" s="1"/>
  <c r="U743" i="26" s="1"/>
  <c r="U744" i="26" s="1"/>
  <c r="U745" i="26" s="1"/>
  <c r="U746" i="26" s="1"/>
  <c r="U747" i="26" s="1"/>
  <c r="U748" i="26" s="1"/>
  <c r="U749" i="26" s="1"/>
  <c r="U750" i="26" s="1"/>
  <c r="U751" i="26" s="1"/>
  <c r="U752" i="26" s="1"/>
  <c r="U753" i="26" s="1"/>
  <c r="U754" i="26" s="1"/>
  <c r="U755" i="26" s="1"/>
  <c r="U756" i="26" s="1"/>
  <c r="U757" i="26" s="1"/>
  <c r="U758" i="26" s="1"/>
  <c r="U759" i="26" s="1"/>
  <c r="U760" i="26" s="1"/>
  <c r="U761" i="26" s="1"/>
  <c r="U762" i="26" s="1"/>
  <c r="U763" i="26" s="1"/>
  <c r="U764" i="26" s="1"/>
  <c r="U765" i="26" s="1"/>
  <c r="U766" i="26" s="1"/>
  <c r="U767" i="26" s="1"/>
  <c r="U768" i="26" s="1"/>
  <c r="U769" i="26" s="1"/>
  <c r="U770" i="26" s="1"/>
  <c r="U771" i="26" s="1"/>
  <c r="U772" i="26" s="1"/>
  <c r="U773" i="26" s="1"/>
  <c r="U774" i="26" s="1"/>
  <c r="U775" i="26" s="1"/>
  <c r="U776" i="26" s="1"/>
  <c r="U777" i="26" s="1"/>
  <c r="U778" i="26" s="1"/>
  <c r="U779" i="26" s="1"/>
  <c r="U780" i="26" s="1"/>
  <c r="U781" i="26" s="1"/>
  <c r="U782" i="26" s="1"/>
  <c r="U783" i="26" s="1"/>
  <c r="U784" i="26" s="1"/>
  <c r="U785" i="26" s="1"/>
  <c r="U786" i="26" s="1"/>
  <c r="U787" i="26" s="1"/>
  <c r="U788" i="26" s="1"/>
  <c r="U789" i="26" s="1"/>
  <c r="U790" i="26" s="1"/>
  <c r="U791" i="26" s="1"/>
  <c r="U792" i="26" s="1"/>
  <c r="U793" i="26" s="1"/>
  <c r="U794" i="26" s="1"/>
  <c r="U795" i="26" s="1"/>
  <c r="U796" i="26" s="1"/>
  <c r="U797" i="26" s="1"/>
  <c r="U798" i="26" s="1"/>
  <c r="U799" i="26" s="1"/>
  <c r="U800" i="26" s="1"/>
  <c r="U801" i="26" s="1"/>
  <c r="U802" i="26" s="1"/>
  <c r="U803" i="26" s="1"/>
  <c r="U804" i="26" s="1"/>
  <c r="U805" i="26" s="1"/>
  <c r="U806" i="26" s="1"/>
  <c r="U807" i="26" s="1"/>
  <c r="U808" i="26" s="1"/>
  <c r="U809" i="26" s="1"/>
  <c r="U810" i="26" s="1"/>
  <c r="U811" i="26" s="1"/>
  <c r="U812" i="26" s="1"/>
  <c r="U813" i="26" s="1"/>
  <c r="U814" i="26" s="1"/>
  <c r="U815" i="26" s="1"/>
  <c r="U816" i="26" s="1"/>
  <c r="U817" i="26" s="1"/>
  <c r="U818" i="26" s="1"/>
  <c r="U819" i="26" s="1"/>
  <c r="U820" i="26" s="1"/>
  <c r="U821" i="26" s="1"/>
  <c r="U822" i="26" s="1"/>
  <c r="U823" i="26" s="1"/>
  <c r="U824" i="26" s="1"/>
  <c r="U825" i="26" s="1"/>
  <c r="U826" i="26" s="1"/>
  <c r="U827" i="26" s="1"/>
  <c r="U828" i="26" s="1"/>
  <c r="U829" i="26" s="1"/>
  <c r="U830" i="26" s="1"/>
  <c r="U831" i="26" s="1"/>
  <c r="U832" i="26" s="1"/>
  <c r="U833" i="26" s="1"/>
  <c r="U834" i="26" s="1"/>
  <c r="U835" i="26" s="1"/>
  <c r="U836" i="26" s="1"/>
  <c r="U837" i="26" s="1"/>
  <c r="U838" i="26" s="1"/>
  <c r="U839" i="26" s="1"/>
  <c r="U840" i="26" s="1"/>
  <c r="U841" i="26" s="1"/>
  <c r="U842" i="26" s="1"/>
  <c r="U843" i="26" s="1"/>
  <c r="U844" i="26" s="1"/>
  <c r="U845" i="26" s="1"/>
  <c r="U846" i="26" s="1"/>
  <c r="U847" i="26" s="1"/>
  <c r="U848" i="26" s="1"/>
  <c r="U849" i="26" s="1"/>
  <c r="U850" i="26" s="1"/>
  <c r="U851" i="26" s="1"/>
  <c r="U852" i="26" s="1"/>
  <c r="U853" i="26" s="1"/>
  <c r="U854" i="26" s="1"/>
  <c r="U855" i="26" s="1"/>
  <c r="U856" i="26" s="1"/>
  <c r="U857" i="26" s="1"/>
  <c r="U858" i="26" s="1"/>
  <c r="U859" i="26" s="1"/>
  <c r="U860" i="26" s="1"/>
  <c r="U861" i="26" s="1"/>
  <c r="U862" i="26" s="1"/>
  <c r="U863" i="26" s="1"/>
  <c r="U864" i="26" s="1"/>
  <c r="U865" i="26" s="1"/>
  <c r="U866" i="26" s="1"/>
  <c r="U867" i="26" s="1"/>
  <c r="U868" i="26" s="1"/>
  <c r="U869" i="26" s="1"/>
  <c r="U870" i="26" s="1"/>
  <c r="U871" i="26" s="1"/>
  <c r="U872" i="26" s="1"/>
  <c r="U873" i="26" s="1"/>
  <c r="U874" i="26" s="1"/>
  <c r="U875" i="26" s="1"/>
  <c r="U876" i="26" s="1"/>
  <c r="U877" i="26" s="1"/>
  <c r="U878" i="26" s="1"/>
  <c r="U879" i="26" s="1"/>
  <c r="U880" i="26" s="1"/>
  <c r="U881" i="26" s="1"/>
  <c r="U882" i="26" s="1"/>
  <c r="U883" i="26" s="1"/>
  <c r="U884" i="26" s="1"/>
  <c r="U885" i="26" s="1"/>
  <c r="U886" i="26" s="1"/>
  <c r="U887" i="26" s="1"/>
  <c r="U888" i="26" s="1"/>
  <c r="U889" i="26" s="1"/>
  <c r="U890" i="26" s="1"/>
  <c r="U891" i="26" s="1"/>
  <c r="U892" i="26" s="1"/>
  <c r="U893" i="26" s="1"/>
  <c r="U894" i="26" s="1"/>
  <c r="U895" i="26" s="1"/>
  <c r="U896" i="26" s="1"/>
  <c r="U897" i="26" s="1"/>
  <c r="U898" i="26" s="1"/>
  <c r="U899" i="26" s="1"/>
  <c r="U900" i="26" s="1"/>
  <c r="U901" i="26" s="1"/>
  <c r="U902" i="26" s="1"/>
  <c r="U903" i="26" s="1"/>
  <c r="U904" i="26" s="1"/>
  <c r="U905" i="26" s="1"/>
  <c r="U906" i="26" s="1"/>
  <c r="U907" i="26" s="1"/>
  <c r="U908" i="26" s="1"/>
  <c r="U909" i="26" s="1"/>
  <c r="U910" i="26" s="1"/>
  <c r="U911" i="26" s="1"/>
  <c r="U912" i="26" s="1"/>
  <c r="U913" i="26" s="1"/>
  <c r="U914" i="26" s="1"/>
  <c r="U915" i="26" s="1"/>
  <c r="U916" i="26" s="1"/>
  <c r="U917" i="26" s="1"/>
  <c r="U918" i="26" s="1"/>
  <c r="U919" i="26" s="1"/>
  <c r="U920" i="26" s="1"/>
  <c r="U921" i="26" s="1"/>
  <c r="U922" i="26" s="1"/>
  <c r="U923" i="26" s="1"/>
  <c r="U924" i="26" s="1"/>
  <c r="U925" i="26" s="1"/>
  <c r="U926" i="26" s="1"/>
  <c r="U927" i="26" s="1"/>
  <c r="U928" i="26" s="1"/>
  <c r="U929" i="26" s="1"/>
  <c r="U930" i="26" s="1"/>
  <c r="U931" i="26" s="1"/>
  <c r="U932" i="26" s="1"/>
  <c r="U933" i="26" s="1"/>
  <c r="U934" i="26" s="1"/>
  <c r="U935" i="26" s="1"/>
  <c r="U936" i="26" s="1"/>
  <c r="U937" i="26" s="1"/>
  <c r="U938" i="26" s="1"/>
  <c r="U939" i="26" s="1"/>
  <c r="U940" i="26" s="1"/>
  <c r="U941" i="26" s="1"/>
  <c r="U942" i="26" s="1"/>
  <c r="U943" i="26" s="1"/>
  <c r="U944" i="26" s="1"/>
  <c r="U945" i="26" s="1"/>
  <c r="U946" i="26" s="1"/>
  <c r="U947" i="26" s="1"/>
  <c r="U948" i="26" s="1"/>
  <c r="U949" i="26" s="1"/>
  <c r="U950" i="26" s="1"/>
  <c r="U951" i="26" s="1"/>
  <c r="U952" i="26" s="1"/>
  <c r="U953" i="26" s="1"/>
  <c r="U954" i="26" s="1"/>
  <c r="U955" i="26" s="1"/>
  <c r="U956" i="26" s="1"/>
  <c r="U957" i="26" s="1"/>
  <c r="U958" i="26" s="1"/>
  <c r="U959" i="26" s="1"/>
  <c r="U960" i="26" s="1"/>
  <c r="U961" i="26" s="1"/>
  <c r="U962" i="26" s="1"/>
  <c r="U963" i="26" s="1"/>
  <c r="U964" i="26" s="1"/>
  <c r="U965" i="26" s="1"/>
  <c r="U966" i="26" s="1"/>
  <c r="U967" i="26" s="1"/>
  <c r="U968" i="26" s="1"/>
  <c r="U969" i="26" s="1"/>
  <c r="U970" i="26" s="1"/>
  <c r="U971" i="26" s="1"/>
  <c r="U972" i="26" s="1"/>
  <c r="U973" i="26" s="1"/>
  <c r="U974" i="26" s="1"/>
  <c r="U975" i="26" s="1"/>
  <c r="U976" i="26" s="1"/>
  <c r="U977" i="26" s="1"/>
  <c r="U978" i="26" s="1"/>
  <c r="U979" i="26" s="1"/>
  <c r="U980" i="26" s="1"/>
  <c r="U981" i="26" s="1"/>
  <c r="U982" i="26" s="1"/>
  <c r="U983" i="26" s="1"/>
  <c r="U984" i="26" s="1"/>
  <c r="U985" i="26" s="1"/>
  <c r="U986" i="26" s="1"/>
  <c r="U987" i="26" s="1"/>
  <c r="U988" i="26" s="1"/>
  <c r="U989" i="26" s="1"/>
  <c r="U990" i="26" s="1"/>
  <c r="U991" i="26" s="1"/>
  <c r="U992" i="26" s="1"/>
  <c r="U993" i="26" s="1"/>
  <c r="U994" i="26" s="1"/>
  <c r="U995" i="26" s="1"/>
  <c r="U996" i="26" s="1"/>
  <c r="U997" i="26" s="1"/>
  <c r="U998" i="26" s="1"/>
  <c r="U999" i="26" s="1"/>
  <c r="U1000" i="26" s="1"/>
  <c r="U1001" i="26" s="1"/>
  <c r="U1002" i="26" s="1"/>
  <c r="U1003" i="26" s="1"/>
  <c r="U1004" i="26" s="1"/>
  <c r="U1005" i="26" s="1"/>
  <c r="U1006" i="26" s="1"/>
  <c r="U1007" i="26" s="1"/>
  <c r="U1008" i="26" s="1"/>
  <c r="U1009" i="26" s="1"/>
  <c r="U1010" i="26" s="1"/>
  <c r="U1011" i="26" s="1"/>
  <c r="U1012" i="26" s="1"/>
  <c r="U1013" i="26" s="1"/>
  <c r="U1014" i="26" s="1"/>
  <c r="U1015" i="26" s="1"/>
  <c r="U1016" i="26" s="1"/>
  <c r="U1017" i="26" s="1"/>
  <c r="U1018" i="26" s="1"/>
  <c r="U1019" i="26" s="1"/>
  <c r="U1020" i="26" s="1"/>
  <c r="U1021" i="26" s="1"/>
  <c r="U1022" i="26" s="1"/>
  <c r="U1023" i="26" s="1"/>
  <c r="U1024" i="26" s="1"/>
  <c r="U1025" i="26" s="1"/>
  <c r="U1026" i="26" s="1"/>
  <c r="U1027" i="26" s="1"/>
  <c r="U1028" i="26" s="1"/>
  <c r="U1029" i="26" s="1"/>
  <c r="U1030" i="26" s="1"/>
  <c r="U1031" i="26" s="1"/>
  <c r="U1032" i="26" s="1"/>
  <c r="U1033" i="26" s="1"/>
  <c r="U1034" i="26" s="1"/>
  <c r="U1035" i="26" s="1"/>
  <c r="U1036" i="26" s="1"/>
  <c r="U1037" i="26" s="1"/>
  <c r="U1038" i="26" s="1"/>
  <c r="U1039" i="26" s="1"/>
  <c r="U1040" i="26" s="1"/>
  <c r="U1041" i="26" s="1"/>
  <c r="U1042" i="26" s="1"/>
  <c r="U1043" i="26" s="1"/>
  <c r="U1044" i="26" s="1"/>
  <c r="U1045" i="26" s="1"/>
  <c r="U1046" i="26" s="1"/>
  <c r="U1047" i="26" s="1"/>
  <c r="U1048" i="26" s="1"/>
  <c r="U1049" i="26" s="1"/>
  <c r="U1050" i="26" s="1"/>
  <c r="U1051" i="26" s="1"/>
  <c r="U1052" i="26" s="1"/>
  <c r="U1053" i="26" s="1"/>
  <c r="U1054" i="26" s="1"/>
  <c r="U1055" i="26" s="1"/>
  <c r="U1056" i="26" s="1"/>
  <c r="U1057" i="26" s="1"/>
  <c r="U1058" i="26" s="1"/>
  <c r="U1059" i="26" s="1"/>
  <c r="U1060" i="26" s="1"/>
  <c r="U1061" i="26" s="1"/>
  <c r="U1062" i="26" s="1"/>
  <c r="U1063" i="26" s="1"/>
  <c r="U1064" i="26" s="1"/>
  <c r="U1065" i="26" s="1"/>
  <c r="U1066" i="26" s="1"/>
  <c r="U1067" i="26" s="1"/>
  <c r="U1068" i="26" s="1"/>
  <c r="U1069" i="26" s="1"/>
  <c r="U1070" i="26" s="1"/>
  <c r="U1071" i="26" s="1"/>
  <c r="U1072" i="26" s="1"/>
  <c r="U1073" i="26" s="1"/>
  <c r="U1074" i="26" s="1"/>
  <c r="U1075" i="26" s="1"/>
  <c r="U1076" i="26" s="1"/>
  <c r="U1077" i="26" s="1"/>
  <c r="U1078" i="26" s="1"/>
  <c r="U1079" i="26" s="1"/>
  <c r="U1080" i="26" s="1"/>
  <c r="U1081" i="26" s="1"/>
  <c r="U1082" i="26" s="1"/>
  <c r="U1083" i="26" s="1"/>
  <c r="U1084" i="26" s="1"/>
  <c r="U1085" i="26" s="1"/>
  <c r="U1086" i="26" s="1"/>
  <c r="U1087" i="26" s="1"/>
  <c r="U1088" i="26" s="1"/>
  <c r="U1089" i="26" s="1"/>
  <c r="U1090" i="26" s="1"/>
  <c r="U1091" i="26" s="1"/>
  <c r="U1092" i="26" s="1"/>
  <c r="U1093" i="26" s="1"/>
  <c r="U1094" i="26" s="1"/>
  <c r="U1095" i="26" s="1"/>
  <c r="U1096" i="26" s="1"/>
  <c r="U1097" i="26" s="1"/>
  <c r="U1098" i="26" s="1"/>
  <c r="U1099" i="26" s="1"/>
  <c r="U1100" i="26" s="1"/>
  <c r="U1101" i="26" s="1"/>
  <c r="U1102" i="26" s="1"/>
  <c r="U1103" i="26" s="1"/>
  <c r="U1104" i="26" s="1"/>
  <c r="U1105" i="26" s="1"/>
  <c r="U1106" i="26" s="1"/>
  <c r="U1107" i="26" s="1"/>
  <c r="U1108" i="26" s="1"/>
  <c r="U1109" i="26" s="1"/>
  <c r="U1110" i="26" s="1"/>
  <c r="U1111" i="26" s="1"/>
  <c r="U1112" i="26" s="1"/>
  <c r="U1113" i="26" s="1"/>
  <c r="U1114" i="26" s="1"/>
  <c r="U1115" i="26" s="1"/>
  <c r="U1116" i="26" s="1"/>
  <c r="U1117" i="26" s="1"/>
  <c r="U1118" i="26" s="1"/>
  <c r="U1119" i="26" s="1"/>
  <c r="U1120" i="26" s="1"/>
  <c r="U1121" i="26" s="1"/>
  <c r="U1122" i="26" s="1"/>
  <c r="U1123" i="26" s="1"/>
  <c r="U1124" i="26" s="1"/>
  <c r="U1125" i="26" s="1"/>
  <c r="U1126" i="26" s="1"/>
  <c r="U1127" i="26" s="1"/>
  <c r="U1128" i="26" s="1"/>
  <c r="U1129" i="26" s="1"/>
  <c r="U1130" i="26" s="1"/>
  <c r="U1131" i="26" s="1"/>
  <c r="U1132" i="26" s="1"/>
  <c r="U1133" i="26" s="1"/>
  <c r="U1134" i="26" s="1"/>
  <c r="U1135" i="26" s="1"/>
  <c r="U1136" i="26" s="1"/>
  <c r="U1137" i="26" s="1"/>
  <c r="U1138" i="26" s="1"/>
  <c r="U1139" i="26" s="1"/>
  <c r="U1140" i="26" s="1"/>
  <c r="U1141" i="26" s="1"/>
  <c r="U1142" i="26" s="1"/>
  <c r="U1143" i="26" s="1"/>
  <c r="U1144" i="26" s="1"/>
  <c r="U1145" i="26" s="1"/>
  <c r="U1146" i="26" s="1"/>
  <c r="U1147" i="26" s="1"/>
  <c r="U1148" i="26" s="1"/>
  <c r="U1149" i="26" s="1"/>
  <c r="U1150" i="26" s="1"/>
  <c r="U1151" i="26" s="1"/>
  <c r="U1152" i="26" s="1"/>
  <c r="U1153" i="26" s="1"/>
  <c r="U1154" i="26" s="1"/>
  <c r="U1155" i="26" s="1"/>
  <c r="U1156" i="26" s="1"/>
  <c r="U1157" i="26" s="1"/>
  <c r="U1158" i="26" s="1"/>
  <c r="U1159" i="26" s="1"/>
  <c r="U1160" i="26" s="1"/>
  <c r="U1161" i="26" s="1"/>
  <c r="U1162" i="26" s="1"/>
  <c r="U1163" i="26" s="1"/>
  <c r="U1164" i="26" s="1"/>
  <c r="U1165" i="26" s="1"/>
  <c r="U1166" i="26" s="1"/>
  <c r="U1167" i="26" s="1"/>
  <c r="U1168" i="26" s="1"/>
  <c r="U1169" i="26" s="1"/>
  <c r="U1170" i="26" s="1"/>
  <c r="U1171" i="26" s="1"/>
  <c r="U1172" i="26" s="1"/>
  <c r="U1173" i="26" s="1"/>
  <c r="U1174" i="26" s="1"/>
  <c r="U1175" i="26" s="1"/>
  <c r="U1176" i="26" s="1"/>
  <c r="U1177" i="26" s="1"/>
  <c r="U1178" i="26" s="1"/>
  <c r="U1179" i="26" s="1"/>
  <c r="U1180" i="26" s="1"/>
  <c r="U1181" i="26" s="1"/>
  <c r="U1182" i="26" s="1"/>
  <c r="U1183" i="26" s="1"/>
  <c r="U1184" i="26" s="1"/>
  <c r="U1185" i="26" s="1"/>
  <c r="U1186" i="26" s="1"/>
  <c r="U1187" i="26" s="1"/>
  <c r="U1188" i="26" s="1"/>
  <c r="U1189" i="26" s="1"/>
  <c r="U1190" i="26" s="1"/>
  <c r="U1191" i="26" s="1"/>
  <c r="U1192" i="26" s="1"/>
  <c r="U1193" i="26" s="1"/>
  <c r="U1194" i="26" s="1"/>
  <c r="U1195" i="26" s="1"/>
  <c r="U1196" i="26" s="1"/>
  <c r="U1197" i="26" s="1"/>
  <c r="U1198" i="26" s="1"/>
  <c r="U1199" i="26" s="1"/>
  <c r="U1200" i="26" s="1"/>
  <c r="U1201" i="26" s="1"/>
  <c r="U1202" i="26" s="1"/>
  <c r="U1203" i="26" s="1"/>
  <c r="U1204" i="26" s="1"/>
  <c r="U1205" i="26" s="1"/>
  <c r="U1206" i="26" s="1"/>
  <c r="U1207" i="26" s="1"/>
  <c r="U1208" i="26" s="1"/>
  <c r="U1209" i="26" s="1"/>
  <c r="U1210" i="26" s="1"/>
  <c r="U1211" i="26" s="1"/>
  <c r="U1212" i="26" s="1"/>
  <c r="U1213" i="26" s="1"/>
  <c r="U1214" i="26" s="1"/>
  <c r="U1215" i="26" s="1"/>
  <c r="U1216" i="26" s="1"/>
  <c r="U1217" i="26" s="1"/>
  <c r="U1218" i="26" s="1"/>
  <c r="U1219" i="26" s="1"/>
  <c r="U1220" i="26" s="1"/>
  <c r="U1221" i="26" s="1"/>
  <c r="U1222" i="26" s="1"/>
  <c r="U1223" i="26" s="1"/>
  <c r="U1224" i="26" s="1"/>
  <c r="U1225" i="26" s="1"/>
  <c r="U1226" i="26" s="1"/>
  <c r="U1227" i="26" s="1"/>
  <c r="U1228" i="26" s="1"/>
  <c r="U1229" i="26" s="1"/>
  <c r="U1230" i="26" s="1"/>
  <c r="U1231" i="26" s="1"/>
  <c r="U1232" i="26" s="1"/>
  <c r="U1233" i="26" s="1"/>
  <c r="U1234" i="26" s="1"/>
  <c r="U1235" i="26" s="1"/>
  <c r="U1236" i="26" s="1"/>
  <c r="U1237" i="26" s="1"/>
  <c r="U1238" i="26" s="1"/>
  <c r="U1239" i="26" s="1"/>
  <c r="U1240" i="26" s="1"/>
  <c r="U1241" i="26" s="1"/>
  <c r="U1242" i="26" s="1"/>
  <c r="U1243" i="26" s="1"/>
  <c r="U1244" i="26" s="1"/>
  <c r="U1245" i="26" s="1"/>
  <c r="U1246" i="26" s="1"/>
  <c r="U1247" i="26" s="1"/>
  <c r="U1248" i="26" s="1"/>
  <c r="U1249" i="26" s="1"/>
  <c r="U1250" i="26" s="1"/>
  <c r="U1251" i="26" s="1"/>
  <c r="U1252" i="26" s="1"/>
  <c r="U1253" i="26" s="1"/>
  <c r="U1254" i="26" s="1"/>
  <c r="U1255" i="26" s="1"/>
  <c r="U1256" i="26" s="1"/>
  <c r="U1257" i="26" s="1"/>
  <c r="U1258" i="26" s="1"/>
  <c r="U1259" i="26" s="1"/>
  <c r="U1260" i="26" s="1"/>
  <c r="U1261" i="26" s="1"/>
  <c r="U1262" i="26" s="1"/>
  <c r="U1263" i="26" s="1"/>
  <c r="U1264" i="26" s="1"/>
  <c r="U1265" i="26" s="1"/>
  <c r="U1266" i="26" s="1"/>
  <c r="U1267" i="26" s="1"/>
  <c r="U1268" i="26" s="1"/>
  <c r="U1269" i="26" s="1"/>
  <c r="U1270" i="26" s="1"/>
  <c r="U1271" i="26" s="1"/>
  <c r="U1272" i="26" s="1"/>
  <c r="U1273" i="26" s="1"/>
  <c r="U1274" i="26" s="1"/>
  <c r="U1275" i="26" s="1"/>
  <c r="U1276" i="26" s="1"/>
  <c r="U1277" i="26" s="1"/>
  <c r="U1278" i="26" s="1"/>
  <c r="U1279" i="26" s="1"/>
  <c r="U1280" i="26" s="1"/>
  <c r="U1281" i="26" s="1"/>
  <c r="U1282" i="26" s="1"/>
  <c r="U1283" i="26" s="1"/>
  <c r="U1284" i="26" s="1"/>
  <c r="U1285" i="26" s="1"/>
  <c r="U1286" i="26" s="1"/>
  <c r="U1287" i="26" s="1"/>
  <c r="U1288" i="26" s="1"/>
  <c r="U1289" i="26" s="1"/>
  <c r="U1290" i="26" s="1"/>
  <c r="U1291" i="26" s="1"/>
  <c r="U1292" i="26" s="1"/>
  <c r="U1293" i="26" s="1"/>
  <c r="U1294" i="26" s="1"/>
  <c r="U1295" i="26" s="1"/>
  <c r="U1296" i="26" s="1"/>
  <c r="U1297" i="26" s="1"/>
  <c r="U1298" i="26" s="1"/>
  <c r="U1299" i="26" s="1"/>
  <c r="U1300" i="26" s="1"/>
  <c r="U1301" i="26" s="1"/>
  <c r="U1302" i="26" s="1"/>
  <c r="U1303" i="26" s="1"/>
  <c r="U1304" i="26" s="1"/>
  <c r="U1305" i="26" s="1"/>
  <c r="U1306" i="26" s="1"/>
  <c r="U1307" i="26" s="1"/>
  <c r="U1308" i="26" s="1"/>
  <c r="U1309" i="26" s="1"/>
  <c r="U1310" i="26" s="1"/>
  <c r="U1311" i="26" s="1"/>
  <c r="U1312" i="26" s="1"/>
  <c r="U1313" i="26" s="1"/>
  <c r="U1314" i="26" s="1"/>
  <c r="U1315" i="26" s="1"/>
  <c r="U1316" i="26" s="1"/>
  <c r="U1317" i="26" s="1"/>
  <c r="U1318" i="26" s="1"/>
  <c r="U1319" i="26" s="1"/>
  <c r="U1320" i="26" s="1"/>
  <c r="U1321" i="26" s="1"/>
  <c r="U1322" i="26" s="1"/>
  <c r="U1323" i="26" s="1"/>
  <c r="U1324" i="26" s="1"/>
  <c r="U1325" i="26" s="1"/>
  <c r="U1326" i="26" s="1"/>
  <c r="U1327" i="26" s="1"/>
  <c r="U1328" i="26" s="1"/>
  <c r="U1329" i="26" s="1"/>
  <c r="U1330" i="26" s="1"/>
  <c r="U1331" i="26" s="1"/>
  <c r="U1332" i="26" s="1"/>
  <c r="U1333" i="26" s="1"/>
  <c r="U1334" i="26" s="1"/>
  <c r="U1335" i="26" s="1"/>
  <c r="U1336" i="26" s="1"/>
  <c r="U1337" i="26" s="1"/>
  <c r="U1338" i="26" s="1"/>
  <c r="U1339" i="26" s="1"/>
  <c r="U1340" i="26" s="1"/>
  <c r="U1341" i="26" s="1"/>
  <c r="U1342" i="26" s="1"/>
  <c r="U1343" i="26" s="1"/>
  <c r="U1344" i="26" s="1"/>
  <c r="U1345" i="26" s="1"/>
  <c r="U1346" i="26" s="1"/>
  <c r="U1347" i="26" s="1"/>
  <c r="U1348" i="26" s="1"/>
  <c r="U1349" i="26" s="1"/>
  <c r="U1350" i="26" s="1"/>
  <c r="U1351" i="26" s="1"/>
  <c r="U1352" i="26" s="1"/>
  <c r="U1353" i="26" s="1"/>
  <c r="U1354" i="26" s="1"/>
  <c r="U1355" i="26" s="1"/>
  <c r="U1356" i="26" s="1"/>
  <c r="U1357" i="26" s="1"/>
  <c r="U1358" i="26" s="1"/>
  <c r="U1359" i="26" s="1"/>
  <c r="U1360" i="26" s="1"/>
  <c r="U1361" i="26" s="1"/>
  <c r="U1362" i="26" s="1"/>
  <c r="U1363" i="26" s="1"/>
  <c r="U1364" i="26" s="1"/>
  <c r="U1365" i="26" s="1"/>
  <c r="U1366" i="26" s="1"/>
  <c r="U1367" i="26" s="1"/>
  <c r="U1368" i="26" s="1"/>
  <c r="U1369" i="26" s="1"/>
  <c r="U1370" i="26" s="1"/>
  <c r="U1371" i="26" s="1"/>
  <c r="U1372" i="26" s="1"/>
  <c r="U1373" i="26" s="1"/>
  <c r="U1374" i="26" s="1"/>
  <c r="U1375" i="26" s="1"/>
  <c r="U1376" i="26" s="1"/>
  <c r="U1377" i="26" s="1"/>
  <c r="U1378" i="26" s="1"/>
  <c r="U1379" i="26" s="1"/>
  <c r="U1380" i="26" s="1"/>
  <c r="U1381" i="26" s="1"/>
  <c r="U1382" i="26" s="1"/>
  <c r="U1383" i="26" s="1"/>
  <c r="U1384" i="26" s="1"/>
  <c r="U1385" i="26" s="1"/>
  <c r="U1386" i="26" s="1"/>
  <c r="U1387" i="26" s="1"/>
  <c r="U1388" i="26" s="1"/>
  <c r="U1389" i="26" s="1"/>
  <c r="U1390" i="26" s="1"/>
  <c r="U1391" i="26" s="1"/>
  <c r="U1392" i="26" s="1"/>
  <c r="U1393" i="26" s="1"/>
  <c r="U1394" i="26" s="1"/>
  <c r="U1395" i="26" s="1"/>
  <c r="U1396" i="26" s="1"/>
  <c r="U1397" i="26" s="1"/>
  <c r="U1398" i="26" s="1"/>
  <c r="U1399" i="26" s="1"/>
  <c r="U1400" i="26" s="1"/>
  <c r="U1401" i="26" s="1"/>
  <c r="U1402" i="26" s="1"/>
  <c r="U1403" i="26" s="1"/>
  <c r="U1404" i="26" s="1"/>
  <c r="U1405" i="26" s="1"/>
  <c r="U1406" i="26" s="1"/>
  <c r="U1407" i="26" s="1"/>
  <c r="U1408" i="26" s="1"/>
  <c r="U1409" i="26" s="1"/>
  <c r="U1410" i="26" s="1"/>
  <c r="U1411" i="26" s="1"/>
  <c r="U1412" i="26" s="1"/>
  <c r="U1413" i="26" s="1"/>
  <c r="U1414" i="26" s="1"/>
  <c r="U1415" i="26" s="1"/>
  <c r="U1416" i="26" s="1"/>
  <c r="U1417" i="26" s="1"/>
  <c r="U1418" i="26" s="1"/>
  <c r="U1419" i="26" s="1"/>
  <c r="U1420" i="26" s="1"/>
  <c r="U1421" i="26" s="1"/>
  <c r="U1422" i="26" s="1"/>
  <c r="U1423" i="26" s="1"/>
  <c r="U1424" i="26" s="1"/>
  <c r="U1425" i="26" s="1"/>
  <c r="U1426" i="26" s="1"/>
  <c r="U1427" i="26" s="1"/>
  <c r="U1428" i="26" s="1"/>
  <c r="U1429" i="26" s="1"/>
  <c r="U1430" i="26" s="1"/>
  <c r="U1431" i="26" s="1"/>
  <c r="U1432" i="26" s="1"/>
  <c r="U1433" i="26" s="1"/>
  <c r="U1434" i="26" s="1"/>
  <c r="U1435" i="26" s="1"/>
  <c r="U1436" i="26" s="1"/>
  <c r="U1437" i="26" s="1"/>
  <c r="U1438" i="26" s="1"/>
  <c r="U1439" i="26" s="1"/>
  <c r="U1440" i="26" s="1"/>
  <c r="U1441" i="26" s="1"/>
  <c r="U1442" i="26" s="1"/>
  <c r="U1443" i="26" s="1"/>
  <c r="U1444" i="26" s="1"/>
  <c r="U1445" i="26" s="1"/>
  <c r="U1446" i="26" s="1"/>
  <c r="U1447" i="26" s="1"/>
  <c r="U1448" i="26" s="1"/>
  <c r="U1449" i="26" s="1"/>
  <c r="U1450" i="26" s="1"/>
  <c r="U1451" i="26" s="1"/>
  <c r="U1452" i="26" s="1"/>
  <c r="U1453" i="26" s="1"/>
  <c r="U1454" i="26" s="1"/>
  <c r="U1455" i="26" s="1"/>
  <c r="U1456" i="26" s="1"/>
  <c r="U1457" i="26" s="1"/>
  <c r="U1458" i="26" s="1"/>
  <c r="U1459" i="26" s="1"/>
  <c r="U1460" i="26" s="1"/>
  <c r="U1461" i="26" s="1"/>
  <c r="U1462" i="26" s="1"/>
  <c r="U1463" i="26" s="1"/>
  <c r="U1464" i="26" s="1"/>
  <c r="U1465" i="26" s="1"/>
  <c r="U1466" i="26" s="1"/>
  <c r="U1467" i="26" s="1"/>
  <c r="U1468" i="26" s="1"/>
  <c r="U1469" i="26" s="1"/>
  <c r="U1470" i="26" s="1"/>
  <c r="U1471" i="26" s="1"/>
  <c r="U1472" i="26" s="1"/>
  <c r="U1473" i="26" s="1"/>
  <c r="U1474" i="26" s="1"/>
  <c r="U1475" i="26" s="1"/>
  <c r="U1476" i="26" s="1"/>
  <c r="U1477" i="26" s="1"/>
  <c r="U1478" i="26" s="1"/>
  <c r="U1479" i="26" s="1"/>
  <c r="U1480" i="26" s="1"/>
  <c r="U1481" i="26" s="1"/>
  <c r="U1482" i="26" s="1"/>
  <c r="U1483" i="26" s="1"/>
  <c r="U1484" i="26" s="1"/>
  <c r="U1485" i="26" s="1"/>
  <c r="U1486" i="26" s="1"/>
  <c r="U1487" i="26" s="1"/>
  <c r="U1488" i="26" s="1"/>
  <c r="U1489" i="26" s="1"/>
  <c r="U1490" i="26" s="1"/>
  <c r="U1491" i="26" s="1"/>
  <c r="U1492" i="26" s="1"/>
  <c r="U1493" i="26" s="1"/>
  <c r="U1494" i="26" s="1"/>
  <c r="U1495" i="26" s="1"/>
  <c r="U1496" i="26" s="1"/>
  <c r="U1497" i="26" s="1"/>
  <c r="U1498" i="26" s="1"/>
  <c r="U1499" i="26" s="1"/>
  <c r="U1500" i="26" s="1"/>
  <c r="U1501" i="26" s="1"/>
  <c r="U1502" i="26" s="1"/>
  <c r="U1503" i="26" s="1"/>
  <c r="U1504" i="26" s="1"/>
  <c r="U1505" i="26" s="1"/>
  <c r="U1506" i="26" s="1"/>
  <c r="U1507" i="26" s="1"/>
  <c r="U1508" i="26" s="1"/>
  <c r="U1509" i="26" s="1"/>
  <c r="U1510" i="26" s="1"/>
  <c r="U1511" i="26" s="1"/>
  <c r="U1512" i="26" s="1"/>
  <c r="U1513" i="26" s="1"/>
  <c r="U1514" i="26" s="1"/>
  <c r="U1515" i="26" s="1"/>
  <c r="U1516" i="26" s="1"/>
  <c r="U1517" i="26" s="1"/>
  <c r="U1518" i="26" s="1"/>
  <c r="U1519" i="26" s="1"/>
  <c r="U1520" i="26" s="1"/>
  <c r="U1521" i="26" s="1"/>
  <c r="U1522" i="26" s="1"/>
  <c r="U1523" i="26" s="1"/>
  <c r="U1524" i="26" s="1"/>
  <c r="U1525" i="26" s="1"/>
  <c r="U1526" i="26" s="1"/>
  <c r="U1527" i="26" s="1"/>
  <c r="U1528" i="26" s="1"/>
  <c r="U1529" i="26" s="1"/>
  <c r="U1530" i="26" s="1"/>
  <c r="U1531" i="26" s="1"/>
  <c r="U1532" i="26" s="1"/>
  <c r="U1533" i="26" s="1"/>
  <c r="U1534" i="26" s="1"/>
  <c r="U1535" i="26" s="1"/>
  <c r="U1536" i="26" s="1"/>
  <c r="U1537" i="26" s="1"/>
  <c r="U1538" i="26" s="1"/>
  <c r="U1539" i="26" s="1"/>
  <c r="U1540" i="26" s="1"/>
  <c r="U1541" i="26" s="1"/>
  <c r="U1542" i="26" s="1"/>
  <c r="U1543" i="26" s="1"/>
  <c r="U1544" i="26" s="1"/>
  <c r="U1545" i="26" s="1"/>
  <c r="U1546" i="26" s="1"/>
  <c r="U1547" i="26" s="1"/>
  <c r="U1548" i="26" s="1"/>
  <c r="U1549" i="26" s="1"/>
  <c r="U1550" i="26" s="1"/>
  <c r="U1551" i="26" s="1"/>
  <c r="U1552" i="26" s="1"/>
  <c r="U1553" i="26" s="1"/>
  <c r="U1554" i="26" s="1"/>
  <c r="U1555" i="26" s="1"/>
  <c r="U1556" i="26" s="1"/>
  <c r="U1557" i="26" s="1"/>
  <c r="U1558" i="26" s="1"/>
  <c r="U1559" i="26" s="1"/>
  <c r="U1560" i="26" s="1"/>
  <c r="U1561" i="26" s="1"/>
  <c r="U1562" i="26" s="1"/>
  <c r="U1563" i="26" s="1"/>
  <c r="U1564" i="26" s="1"/>
  <c r="U1565" i="26" s="1"/>
  <c r="U1566" i="26" s="1"/>
  <c r="U1567" i="26" s="1"/>
  <c r="U1568" i="26" s="1"/>
  <c r="U1569" i="26" s="1"/>
  <c r="U1570" i="26" s="1"/>
  <c r="U1571" i="26" s="1"/>
  <c r="U1572" i="26" s="1"/>
  <c r="U1573" i="26" s="1"/>
  <c r="U1574" i="26" s="1"/>
  <c r="U1575" i="26" s="1"/>
  <c r="U1576" i="26" s="1"/>
  <c r="U1577" i="26" s="1"/>
  <c r="U1578" i="26" s="1"/>
  <c r="U1579" i="26" s="1"/>
  <c r="U1580" i="26" s="1"/>
  <c r="U1581" i="26" s="1"/>
  <c r="U1582" i="26" s="1"/>
  <c r="U1583" i="26" s="1"/>
  <c r="U1584" i="26" s="1"/>
  <c r="U1585" i="26" s="1"/>
  <c r="U1586" i="26" s="1"/>
  <c r="U1587" i="26" s="1"/>
  <c r="U1588" i="26" s="1"/>
  <c r="U1589" i="26" s="1"/>
  <c r="U1590" i="26" s="1"/>
  <c r="U1591" i="26" s="1"/>
  <c r="U1592" i="26" s="1"/>
  <c r="U1593" i="26" s="1"/>
  <c r="U1594" i="26" s="1"/>
  <c r="U1595" i="26" s="1"/>
  <c r="U1596" i="26" s="1"/>
  <c r="U1597" i="26" s="1"/>
  <c r="U1598" i="26" s="1"/>
  <c r="U1599" i="26" s="1"/>
  <c r="U1600" i="26" s="1"/>
  <c r="U1601" i="26" s="1"/>
  <c r="U1602" i="26" s="1"/>
  <c r="U1603" i="26" s="1"/>
  <c r="U1604" i="26" s="1"/>
  <c r="U1605" i="26" s="1"/>
  <c r="U1606" i="26" s="1"/>
  <c r="U1607" i="26" s="1"/>
  <c r="U1608" i="26" s="1"/>
  <c r="U1609" i="26" s="1"/>
  <c r="U1610" i="26" s="1"/>
  <c r="U1611" i="26" s="1"/>
  <c r="U1612" i="26" s="1"/>
  <c r="U1613" i="26" s="1"/>
  <c r="U1614" i="26" s="1"/>
  <c r="U1615" i="26" s="1"/>
  <c r="U1616" i="26" s="1"/>
  <c r="U1617" i="26" s="1"/>
  <c r="U1618" i="26" s="1"/>
  <c r="U1619" i="26" s="1"/>
  <c r="U1620" i="26" s="1"/>
  <c r="U1621" i="26" s="1"/>
  <c r="U1622" i="26" s="1"/>
  <c r="U1623" i="26" s="1"/>
  <c r="U1624" i="26" s="1"/>
  <c r="U1625" i="26" s="1"/>
  <c r="U1626" i="26" s="1"/>
  <c r="U1627" i="26" s="1"/>
  <c r="U1628" i="26" s="1"/>
  <c r="U1629" i="26" s="1"/>
  <c r="U1630" i="26" s="1"/>
  <c r="U1631" i="26" s="1"/>
  <c r="U1632" i="26" s="1"/>
  <c r="U1633" i="26" s="1"/>
  <c r="U1634" i="26" s="1"/>
  <c r="U1635" i="26" s="1"/>
  <c r="U1636" i="26" s="1"/>
  <c r="U1637" i="26" s="1"/>
  <c r="U1638" i="26" s="1"/>
  <c r="U1639" i="26" s="1"/>
  <c r="U1640" i="26" s="1"/>
  <c r="U1641" i="26" s="1"/>
  <c r="U1642" i="26" s="1"/>
  <c r="U1643" i="26" s="1"/>
  <c r="U1644" i="26" s="1"/>
  <c r="U1645" i="26" s="1"/>
  <c r="U1646" i="26" s="1"/>
  <c r="U1647" i="26" s="1"/>
  <c r="U1648" i="26" s="1"/>
  <c r="U1649" i="26" s="1"/>
  <c r="U1650" i="26" s="1"/>
  <c r="U1651" i="26" s="1"/>
  <c r="U1652" i="26" s="1"/>
  <c r="U1653" i="26" s="1"/>
  <c r="U1654" i="26" s="1"/>
  <c r="U1655" i="26" s="1"/>
  <c r="U1656" i="26" s="1"/>
  <c r="U1657" i="26" s="1"/>
  <c r="U1658" i="26" s="1"/>
  <c r="U1659" i="26" s="1"/>
  <c r="U1660" i="26" s="1"/>
  <c r="U1661" i="26" s="1"/>
  <c r="U1662" i="26" s="1"/>
  <c r="U1663" i="26" s="1"/>
  <c r="U1664" i="26" s="1"/>
  <c r="U1665" i="26" s="1"/>
  <c r="U1666" i="26" s="1"/>
  <c r="U1667" i="26" s="1"/>
  <c r="U1668" i="26" s="1"/>
  <c r="U1669" i="26" s="1"/>
  <c r="U1670" i="26" s="1"/>
  <c r="U1671" i="26" s="1"/>
  <c r="U1672" i="26" s="1"/>
  <c r="U1673" i="26" s="1"/>
  <c r="U1674" i="26" s="1"/>
  <c r="U1675" i="26" s="1"/>
  <c r="U1676" i="26" s="1"/>
  <c r="U1677" i="26" s="1"/>
  <c r="U1678" i="26" s="1"/>
  <c r="U1679" i="26" s="1"/>
  <c r="U1680" i="26" s="1"/>
  <c r="U1681" i="26" s="1"/>
  <c r="U1682" i="26" s="1"/>
  <c r="U1683" i="26" s="1"/>
  <c r="U1684" i="26" s="1"/>
  <c r="U1685" i="26" s="1"/>
  <c r="U1686" i="26" s="1"/>
  <c r="U1687" i="26" s="1"/>
  <c r="U1688" i="26" s="1"/>
  <c r="U1689" i="26" s="1"/>
  <c r="U1690" i="26" s="1"/>
  <c r="U1691" i="26" s="1"/>
  <c r="U1692" i="26" s="1"/>
  <c r="U1693" i="26" s="1"/>
  <c r="U1694" i="26" s="1"/>
  <c r="U1695" i="26" s="1"/>
  <c r="U1696" i="26" s="1"/>
  <c r="U1697" i="26" s="1"/>
  <c r="U1698" i="26" s="1"/>
  <c r="U1699" i="26" s="1"/>
  <c r="U1700" i="26" s="1"/>
  <c r="U1701" i="26" s="1"/>
  <c r="U1702" i="26" s="1"/>
  <c r="U1703" i="26" s="1"/>
  <c r="U1704" i="26" s="1"/>
  <c r="U1705" i="26" s="1"/>
  <c r="U1706" i="26" s="1"/>
  <c r="U1707" i="26" s="1"/>
  <c r="U1708" i="26" s="1"/>
  <c r="U1709" i="26" s="1"/>
  <c r="U1710" i="26" s="1"/>
  <c r="U1711" i="26" s="1"/>
  <c r="U1712" i="26" s="1"/>
  <c r="U1713" i="26" s="1"/>
  <c r="U1714" i="26" s="1"/>
  <c r="U1715" i="26" s="1"/>
  <c r="U1716" i="26" s="1"/>
  <c r="U1717" i="26" s="1"/>
  <c r="U1718" i="26" s="1"/>
  <c r="U1719" i="26" s="1"/>
  <c r="U1720" i="26" s="1"/>
  <c r="U1721" i="26" s="1"/>
  <c r="U1722" i="26" s="1"/>
  <c r="U1723" i="26" s="1"/>
  <c r="U1724" i="26" s="1"/>
  <c r="U1725" i="26" s="1"/>
  <c r="U1726" i="26" s="1"/>
  <c r="U1727" i="26" s="1"/>
  <c r="U1728" i="26" s="1"/>
  <c r="U1729" i="26" s="1"/>
  <c r="U1730" i="26" s="1"/>
  <c r="U1731" i="26" s="1"/>
  <c r="U1732" i="26" s="1"/>
  <c r="U1733" i="26" s="1"/>
  <c r="U1734" i="26" s="1"/>
  <c r="U1735" i="26" s="1"/>
  <c r="U1736" i="26" s="1"/>
  <c r="U1737" i="26" s="1"/>
  <c r="U1738" i="26" s="1"/>
  <c r="U1739" i="26" s="1"/>
  <c r="U1740" i="26" s="1"/>
  <c r="U1741" i="26" s="1"/>
  <c r="U1742" i="26" s="1"/>
  <c r="U1743" i="26" s="1"/>
  <c r="U1744" i="26" s="1"/>
  <c r="U1745" i="26" s="1"/>
  <c r="U1746" i="26" s="1"/>
  <c r="U1747" i="26" s="1"/>
  <c r="U1748" i="26" s="1"/>
  <c r="U1749" i="26" s="1"/>
  <c r="U1750" i="26" s="1"/>
  <c r="U1751" i="26" s="1"/>
  <c r="U1752" i="26" s="1"/>
  <c r="U1753" i="26" s="1"/>
  <c r="U1754" i="26" s="1"/>
  <c r="U1755" i="26" s="1"/>
  <c r="U1756" i="26" s="1"/>
  <c r="U1757" i="26" s="1"/>
  <c r="U1758" i="26" s="1"/>
  <c r="U1759" i="26" s="1"/>
  <c r="U1760" i="26" s="1"/>
  <c r="U1761" i="26" s="1"/>
  <c r="U1762" i="26" s="1"/>
  <c r="U1763" i="26" s="1"/>
  <c r="U1764" i="26" s="1"/>
  <c r="U1765" i="26" s="1"/>
  <c r="U1766" i="26" s="1"/>
  <c r="U1767" i="26" s="1"/>
  <c r="U1768" i="26" s="1"/>
  <c r="U1769" i="26" s="1"/>
  <c r="U1770" i="26" s="1"/>
  <c r="U1771" i="26" s="1"/>
  <c r="U1772" i="26" s="1"/>
  <c r="U1773" i="26" s="1"/>
  <c r="U1774" i="26" s="1"/>
  <c r="U1775" i="26" s="1"/>
  <c r="U1776" i="26" s="1"/>
  <c r="U1777" i="26" s="1"/>
  <c r="U1778" i="26" s="1"/>
  <c r="U1779" i="26" s="1"/>
  <c r="U1780" i="26" s="1"/>
  <c r="U1781" i="26" s="1"/>
  <c r="U1782" i="26" s="1"/>
  <c r="U1783" i="26" s="1"/>
  <c r="U1784" i="26" s="1"/>
  <c r="U1785" i="26" s="1"/>
  <c r="U1786" i="26" s="1"/>
  <c r="U1787" i="26" s="1"/>
  <c r="U1788" i="26" s="1"/>
  <c r="U1789" i="26" s="1"/>
  <c r="U1790" i="26" s="1"/>
  <c r="U1791" i="26" s="1"/>
  <c r="U1792" i="26" s="1"/>
  <c r="U1793" i="26" s="1"/>
  <c r="U1794" i="26" s="1"/>
  <c r="U1795" i="26" s="1"/>
  <c r="U1796" i="26" s="1"/>
  <c r="U1797" i="26" s="1"/>
  <c r="U1798" i="26" s="1"/>
  <c r="U1799" i="26" s="1"/>
  <c r="U1800" i="26" s="1"/>
  <c r="U1801" i="26" s="1"/>
  <c r="U1802" i="26" s="1"/>
  <c r="U1803" i="26" s="1"/>
  <c r="U1804" i="26" s="1"/>
  <c r="U1805" i="26" s="1"/>
  <c r="U1806" i="26" s="1"/>
  <c r="U1807" i="26" s="1"/>
  <c r="U1808" i="26" s="1"/>
  <c r="U1809" i="26" s="1"/>
  <c r="U1810" i="26" s="1"/>
  <c r="U1811" i="26" s="1"/>
  <c r="U1812" i="26" s="1"/>
  <c r="U1813" i="26" s="1"/>
  <c r="U1814" i="26" s="1"/>
  <c r="U1815" i="26" s="1"/>
  <c r="U1816" i="26" s="1"/>
  <c r="U1817" i="26" s="1"/>
  <c r="U1818" i="26" s="1"/>
  <c r="U1819" i="26" s="1"/>
  <c r="U1820" i="26" s="1"/>
  <c r="U1821" i="26" s="1"/>
  <c r="U1822" i="26" s="1"/>
  <c r="U1823" i="26" s="1"/>
  <c r="U1824" i="26" s="1"/>
  <c r="U1825" i="26" s="1"/>
  <c r="U1826" i="26" s="1"/>
  <c r="U1827" i="26" s="1"/>
  <c r="U1828" i="26" s="1"/>
  <c r="U1829" i="26" s="1"/>
  <c r="U1830" i="26" s="1"/>
  <c r="U1831" i="26" s="1"/>
  <c r="U1832" i="26" s="1"/>
  <c r="U1833" i="26" s="1"/>
  <c r="U1834" i="26" s="1"/>
  <c r="U1835" i="26" s="1"/>
  <c r="U1836" i="26" s="1"/>
  <c r="U1837" i="26" s="1"/>
  <c r="U1838" i="26" s="1"/>
  <c r="U1839" i="26" s="1"/>
  <c r="U1840" i="26" s="1"/>
  <c r="U1841" i="26" s="1"/>
  <c r="U1842" i="26" s="1"/>
  <c r="U1843" i="26" s="1"/>
  <c r="U1844" i="26" s="1"/>
  <c r="U1845" i="26" s="1"/>
  <c r="U1846" i="26" s="1"/>
  <c r="U1847" i="26" s="1"/>
  <c r="U1848" i="26" s="1"/>
  <c r="U1849" i="26" s="1"/>
  <c r="U1850" i="26" s="1"/>
  <c r="U1851" i="26" s="1"/>
  <c r="U1852" i="26" s="1"/>
  <c r="U1853" i="26" s="1"/>
  <c r="U1854" i="26" s="1"/>
  <c r="U1855" i="26" s="1"/>
  <c r="U1856" i="26" s="1"/>
  <c r="U1857" i="26" s="1"/>
  <c r="U1858" i="26" s="1"/>
  <c r="U1859" i="26" s="1"/>
  <c r="U1860" i="26" s="1"/>
  <c r="U1861" i="26" s="1"/>
  <c r="U1862" i="26" s="1"/>
  <c r="U1863" i="26" s="1"/>
  <c r="U1864" i="26" s="1"/>
  <c r="U1865" i="26" s="1"/>
  <c r="U1866" i="26" s="1"/>
  <c r="U1867" i="26" s="1"/>
  <c r="U1868" i="26" s="1"/>
  <c r="U1869" i="26" s="1"/>
  <c r="U1870" i="26" s="1"/>
  <c r="U1871" i="26" s="1"/>
  <c r="U1872" i="26" s="1"/>
  <c r="U1873" i="26" s="1"/>
  <c r="U1874" i="26" s="1"/>
  <c r="U1875" i="26" s="1"/>
  <c r="U1876" i="26" s="1"/>
  <c r="U1877" i="26" s="1"/>
  <c r="U1878" i="26" s="1"/>
  <c r="U1879" i="26" s="1"/>
  <c r="U1880" i="26" s="1"/>
  <c r="U1881" i="26" s="1"/>
  <c r="U1882" i="26" s="1"/>
  <c r="U1883" i="26" s="1"/>
  <c r="U1884" i="26" s="1"/>
  <c r="U1885" i="26" s="1"/>
  <c r="U1886" i="26" s="1"/>
  <c r="U1887" i="26" s="1"/>
  <c r="U1888" i="26" s="1"/>
  <c r="U1889" i="26" s="1"/>
  <c r="U1890" i="26" s="1"/>
  <c r="U1891" i="26" s="1"/>
  <c r="U1892" i="26" s="1"/>
  <c r="U1893" i="26" s="1"/>
  <c r="U1894" i="26" s="1"/>
  <c r="U1895" i="26" s="1"/>
  <c r="U1896" i="26" s="1"/>
  <c r="U1897" i="26" s="1"/>
  <c r="U1898" i="26" s="1"/>
  <c r="U1899" i="26" s="1"/>
  <c r="U1900" i="26" s="1"/>
  <c r="U1901" i="26" s="1"/>
  <c r="U1902" i="26" s="1"/>
  <c r="U1903" i="26" s="1"/>
  <c r="U1904" i="26" s="1"/>
  <c r="U1905" i="26" s="1"/>
  <c r="U1906" i="26" s="1"/>
  <c r="U1907" i="26" s="1"/>
  <c r="U1908" i="26" s="1"/>
  <c r="U1909" i="26" s="1"/>
  <c r="U1910" i="26" s="1"/>
  <c r="U1911" i="26" s="1"/>
  <c r="U1912" i="26" s="1"/>
  <c r="U1913" i="26" s="1"/>
  <c r="U1914" i="26" s="1"/>
  <c r="U1915" i="26" s="1"/>
  <c r="U1916" i="26" s="1"/>
  <c r="U1917" i="26" s="1"/>
  <c r="U1918" i="26" s="1"/>
  <c r="U1919" i="26" s="1"/>
  <c r="U1920" i="26" s="1"/>
  <c r="U1921" i="26" s="1"/>
  <c r="U1922" i="26" s="1"/>
  <c r="U1923" i="26" s="1"/>
  <c r="U1924" i="26" s="1"/>
  <c r="U1925" i="26" s="1"/>
  <c r="U1926" i="26" s="1"/>
  <c r="U1927" i="26" s="1"/>
  <c r="U1928" i="26" s="1"/>
  <c r="U1929" i="26" s="1"/>
  <c r="U1930" i="26" s="1"/>
  <c r="U1931" i="26" s="1"/>
  <c r="U1932" i="26" s="1"/>
  <c r="U1933" i="26" s="1"/>
  <c r="U1934" i="26" s="1"/>
  <c r="U1935" i="26" s="1"/>
  <c r="U1936" i="26" s="1"/>
  <c r="U1937" i="26" s="1"/>
  <c r="U1938" i="26" s="1"/>
  <c r="U1939" i="26" s="1"/>
  <c r="U1940" i="26" s="1"/>
  <c r="U1941" i="26" s="1"/>
  <c r="U1942" i="26" s="1"/>
  <c r="U1943" i="26" s="1"/>
  <c r="U1944" i="26" s="1"/>
  <c r="U1945" i="26" s="1"/>
  <c r="U1946" i="26" s="1"/>
  <c r="U1947" i="26" s="1"/>
  <c r="U1948" i="26" s="1"/>
  <c r="U1949" i="26" s="1"/>
  <c r="U1950" i="26" s="1"/>
  <c r="U1951" i="26" s="1"/>
  <c r="U1952" i="26" s="1"/>
  <c r="U1953" i="26" s="1"/>
  <c r="U1954" i="26" s="1"/>
  <c r="U1955" i="26" s="1"/>
  <c r="U1956" i="26" s="1"/>
  <c r="U1957" i="26" s="1"/>
  <c r="U1958" i="26" s="1"/>
  <c r="U1959" i="26" s="1"/>
  <c r="U1960" i="26" s="1"/>
  <c r="U1961" i="26" s="1"/>
  <c r="U1962" i="26" s="1"/>
  <c r="U1963" i="26" s="1"/>
  <c r="U1964" i="26" s="1"/>
  <c r="U1965" i="26" s="1"/>
  <c r="U1966" i="26" s="1"/>
  <c r="U1967" i="26" s="1"/>
  <c r="U1968" i="26" s="1"/>
  <c r="U1969" i="26" s="1"/>
  <c r="U1970" i="26" s="1"/>
  <c r="U1971" i="26" s="1"/>
  <c r="U1972" i="26" s="1"/>
  <c r="U1973" i="26" s="1"/>
  <c r="U1974" i="26" s="1"/>
  <c r="U1975" i="26" s="1"/>
  <c r="U1976" i="26" s="1"/>
  <c r="U1977" i="26" s="1"/>
  <c r="U1978" i="26" s="1"/>
  <c r="U1979" i="26" s="1"/>
  <c r="U1980" i="26" s="1"/>
  <c r="U1981" i="26" s="1"/>
  <c r="U1982" i="26" s="1"/>
  <c r="U1983" i="26" s="1"/>
  <c r="U1984" i="26" s="1"/>
  <c r="U1985" i="26" s="1"/>
  <c r="U1986" i="26" s="1"/>
  <c r="U1987" i="26" s="1"/>
  <c r="U1988" i="26" s="1"/>
  <c r="U1989" i="26" s="1"/>
  <c r="U1990" i="26" s="1"/>
  <c r="U1991" i="26" s="1"/>
  <c r="U1992" i="26" s="1"/>
  <c r="U1993" i="26" s="1"/>
  <c r="U1994" i="26" s="1"/>
  <c r="U1995" i="26" s="1"/>
  <c r="U1996" i="26" s="1"/>
  <c r="U1997" i="26" s="1"/>
  <c r="U1998" i="26" s="1"/>
  <c r="U1999" i="26" s="1"/>
  <c r="U2000" i="26" s="1"/>
  <c r="U2001" i="26" s="1"/>
  <c r="U2002" i="26" s="1"/>
  <c r="U2003" i="26" s="1"/>
  <c r="U2004" i="26" s="1"/>
  <c r="U2005" i="26" s="1"/>
  <c r="U2006" i="26" s="1"/>
  <c r="U2007" i="26" s="1"/>
  <c r="U2008" i="26" s="1"/>
  <c r="U2009" i="26" s="1"/>
  <c r="U2010" i="26" s="1"/>
  <c r="U2011" i="26" s="1"/>
  <c r="U2012" i="26" s="1"/>
  <c r="U2013" i="26" s="1"/>
  <c r="U2014" i="26" s="1"/>
  <c r="U2015" i="26" s="1"/>
  <c r="U2016" i="26" s="1"/>
  <c r="U2017" i="26" s="1"/>
  <c r="U2018" i="26" s="1"/>
  <c r="U2019" i="26" s="1"/>
  <c r="U2020" i="26" s="1"/>
  <c r="U2021" i="26" s="1"/>
  <c r="U2022" i="26" s="1"/>
  <c r="U2023" i="26" s="1"/>
  <c r="U2024" i="26" s="1"/>
  <c r="U2025" i="26" s="1"/>
  <c r="U2026" i="26" s="1"/>
  <c r="U2027" i="26" s="1"/>
  <c r="U2028" i="26" s="1"/>
  <c r="U2029" i="26" s="1"/>
  <c r="U2030" i="26" s="1"/>
  <c r="U2031" i="26" s="1"/>
  <c r="U2032" i="26" s="1"/>
  <c r="U2033" i="26" s="1"/>
  <c r="U2034" i="26" s="1"/>
  <c r="U2035" i="26" s="1"/>
  <c r="U2036" i="26" s="1"/>
  <c r="U2037" i="26" s="1"/>
  <c r="U2038" i="26" s="1"/>
  <c r="U2039" i="26" s="1"/>
  <c r="U2040" i="26" s="1"/>
  <c r="U2041" i="26" s="1"/>
  <c r="U2042" i="26" s="1"/>
  <c r="U2043" i="26" s="1"/>
  <c r="U2044" i="26" s="1"/>
  <c r="U2045" i="26" s="1"/>
  <c r="U2046" i="26" s="1"/>
  <c r="U2047" i="26" s="1"/>
  <c r="U2048" i="26" s="1"/>
  <c r="U2049" i="26" s="1"/>
  <c r="U2050" i="26" s="1"/>
  <c r="U2051" i="26" s="1"/>
  <c r="U2052" i="26" s="1"/>
  <c r="U2053" i="26" s="1"/>
  <c r="U2054" i="26" s="1"/>
  <c r="U2055" i="26" s="1"/>
  <c r="U2056" i="26" s="1"/>
  <c r="U2057" i="26" s="1"/>
  <c r="U2058" i="26" s="1"/>
  <c r="U2059" i="26" s="1"/>
  <c r="U2060" i="26" s="1"/>
  <c r="U2061" i="26" s="1"/>
  <c r="U2062" i="26" s="1"/>
  <c r="U2063" i="26" s="1"/>
  <c r="U2064" i="26" s="1"/>
  <c r="U2065" i="26" s="1"/>
  <c r="U2066" i="26" s="1"/>
  <c r="U2067" i="26" s="1"/>
  <c r="U2068" i="26" s="1"/>
  <c r="U2069" i="26" s="1"/>
  <c r="U2070" i="26" s="1"/>
  <c r="U2071" i="26" s="1"/>
  <c r="U2072" i="26" s="1"/>
  <c r="U2073" i="26" s="1"/>
  <c r="U2074" i="26" s="1"/>
  <c r="U2075" i="26" s="1"/>
  <c r="U2076" i="26" s="1"/>
  <c r="U2077" i="26" s="1"/>
  <c r="U2078" i="26" s="1"/>
  <c r="U2079" i="26" s="1"/>
  <c r="U2080" i="26" s="1"/>
  <c r="U2081" i="26" s="1"/>
  <c r="U2082" i="26" s="1"/>
  <c r="U2083" i="26" s="1"/>
  <c r="U2084" i="26" s="1"/>
  <c r="U2085" i="26" s="1"/>
  <c r="U2086" i="26" s="1"/>
  <c r="U2087" i="26" s="1"/>
  <c r="U2088" i="26" s="1"/>
  <c r="U2089" i="26" s="1"/>
  <c r="U2090" i="26" s="1"/>
  <c r="U2091" i="26" s="1"/>
  <c r="U2092" i="26" s="1"/>
  <c r="U2093" i="26" s="1"/>
  <c r="U2094" i="26" s="1"/>
  <c r="U2095" i="26" s="1"/>
  <c r="U2096" i="26" s="1"/>
  <c r="U2097" i="26" s="1"/>
  <c r="U2098" i="26" s="1"/>
  <c r="U2099" i="26" s="1"/>
  <c r="U2100" i="26" s="1"/>
  <c r="U2101" i="26" s="1"/>
  <c r="U2102" i="26" s="1"/>
  <c r="U2103" i="26" s="1"/>
  <c r="U2104" i="26" s="1"/>
  <c r="U2105" i="26" s="1"/>
  <c r="U2106" i="26" s="1"/>
  <c r="U2107" i="26" s="1"/>
  <c r="U2108" i="26" s="1"/>
  <c r="U2109" i="26" s="1"/>
  <c r="U2110" i="26" s="1"/>
  <c r="U2111" i="26" s="1"/>
  <c r="U2112" i="26" s="1"/>
  <c r="U2113" i="26" s="1"/>
  <c r="U2114" i="26" s="1"/>
  <c r="U2115" i="26" s="1"/>
  <c r="U2116" i="26" s="1"/>
  <c r="U2117" i="26" s="1"/>
  <c r="U2118" i="26" s="1"/>
  <c r="U2119" i="26" s="1"/>
  <c r="U2120" i="26" s="1"/>
  <c r="U2121" i="26" s="1"/>
  <c r="U2122" i="26" s="1"/>
  <c r="U2123" i="26" s="1"/>
  <c r="U2124" i="26" s="1"/>
  <c r="U2125" i="26" s="1"/>
  <c r="U2126" i="26" s="1"/>
  <c r="U2127" i="26" s="1"/>
  <c r="U2128" i="26" s="1"/>
  <c r="U2129" i="26" s="1"/>
  <c r="U2130" i="26" s="1"/>
  <c r="U2131" i="26" s="1"/>
  <c r="U2132" i="26" s="1"/>
  <c r="U2133" i="26" s="1"/>
  <c r="U2134" i="26" s="1"/>
  <c r="U2135" i="26" s="1"/>
  <c r="U2136" i="26" s="1"/>
  <c r="U2137" i="26" s="1"/>
  <c r="U2138" i="26" s="1"/>
  <c r="U2139" i="26" s="1"/>
  <c r="U2140" i="26" s="1"/>
  <c r="U2141" i="26" s="1"/>
  <c r="U2142" i="26" s="1"/>
  <c r="U2143" i="26" s="1"/>
  <c r="U2144" i="26" s="1"/>
  <c r="U2145" i="26" s="1"/>
  <c r="U2146" i="26" s="1"/>
  <c r="U2147" i="26" s="1"/>
  <c r="U2148" i="26" s="1"/>
  <c r="U2149" i="26" s="1"/>
  <c r="U2150" i="26" s="1"/>
  <c r="U2151" i="26" s="1"/>
  <c r="U2152" i="26" s="1"/>
  <c r="U2153" i="26" s="1"/>
  <c r="U2154" i="26" s="1"/>
  <c r="U2155" i="26" s="1"/>
  <c r="U2156" i="26" s="1"/>
  <c r="U2157" i="26" s="1"/>
  <c r="U2158" i="26" s="1"/>
  <c r="U2159" i="26" s="1"/>
  <c r="U2160" i="26" s="1"/>
  <c r="U2161" i="26" s="1"/>
  <c r="U2162" i="26" s="1"/>
  <c r="U2163" i="26" s="1"/>
  <c r="U2164" i="26" s="1"/>
  <c r="U2165" i="26" s="1"/>
  <c r="U2166" i="26" s="1"/>
  <c r="U2167" i="26" s="1"/>
  <c r="U2168" i="26" s="1"/>
  <c r="U2169" i="26" s="1"/>
  <c r="U2170" i="26" s="1"/>
  <c r="U2171" i="26" s="1"/>
  <c r="U2172" i="26" s="1"/>
  <c r="U2173" i="26" s="1"/>
  <c r="U2174" i="26" s="1"/>
  <c r="U2175" i="26" s="1"/>
  <c r="U2176" i="26" s="1"/>
  <c r="U2177" i="26" s="1"/>
  <c r="U2178" i="26" s="1"/>
  <c r="U2179" i="26" s="1"/>
  <c r="U2180" i="26" s="1"/>
  <c r="U2181" i="26" s="1"/>
  <c r="U2182" i="26" s="1"/>
  <c r="U2183" i="26" s="1"/>
  <c r="U2184" i="26" s="1"/>
  <c r="U2185" i="26" s="1"/>
  <c r="U2186" i="26" s="1"/>
  <c r="U2187" i="26" s="1"/>
  <c r="U2188" i="26" s="1"/>
  <c r="U2189" i="26" s="1"/>
  <c r="U2190" i="26" s="1"/>
  <c r="U2191" i="26" s="1"/>
  <c r="U2192" i="26" s="1"/>
  <c r="U2193" i="26" s="1"/>
  <c r="U2194" i="26" s="1"/>
  <c r="U2195" i="26" s="1"/>
  <c r="U2196" i="26" s="1"/>
  <c r="U2197" i="26" s="1"/>
  <c r="U2198" i="26" s="1"/>
  <c r="U2199" i="26" s="1"/>
  <c r="U2200" i="26" s="1"/>
  <c r="U2201" i="26" s="1"/>
  <c r="U2202" i="26" s="1"/>
  <c r="U2203" i="26" s="1"/>
  <c r="U2204" i="26" s="1"/>
  <c r="U2205" i="26" s="1"/>
  <c r="U2206" i="26" s="1"/>
  <c r="U2207" i="26" s="1"/>
  <c r="U2208" i="26" s="1"/>
  <c r="U2209" i="26" s="1"/>
  <c r="U2210" i="26" s="1"/>
  <c r="U2211" i="26" s="1"/>
  <c r="U2212" i="26" s="1"/>
  <c r="U2213" i="26" s="1"/>
  <c r="U2214" i="26" s="1"/>
  <c r="U2215" i="26" s="1"/>
  <c r="U2216" i="26" s="1"/>
  <c r="U2217" i="26" s="1"/>
  <c r="U2218" i="26" s="1"/>
  <c r="U2219" i="26" s="1"/>
  <c r="U2220" i="26" s="1"/>
  <c r="U2221" i="26" s="1"/>
  <c r="U2222" i="26" s="1"/>
  <c r="U2223" i="26" s="1"/>
  <c r="U2224" i="26" s="1"/>
  <c r="U2225" i="26" s="1"/>
  <c r="U2226" i="26" s="1"/>
  <c r="U2227" i="26" s="1"/>
  <c r="U2228" i="26" s="1"/>
  <c r="U2229" i="26" s="1"/>
  <c r="U2230" i="26" s="1"/>
  <c r="U2231" i="26" s="1"/>
  <c r="U2232" i="26" s="1"/>
  <c r="U2233" i="26" s="1"/>
  <c r="U2234" i="26" s="1"/>
  <c r="U2235" i="26" s="1"/>
  <c r="U2236" i="26" s="1"/>
  <c r="U2237" i="26" s="1"/>
  <c r="U2238" i="26" s="1"/>
  <c r="U2239" i="26" s="1"/>
  <c r="U2240" i="26" s="1"/>
  <c r="U2241" i="26" s="1"/>
  <c r="U2242" i="26" s="1"/>
  <c r="U2243" i="26" s="1"/>
  <c r="U2244" i="26" s="1"/>
  <c r="U2245" i="26" s="1"/>
  <c r="U2246" i="26" s="1"/>
  <c r="U2247" i="26" s="1"/>
  <c r="U2248" i="26" s="1"/>
  <c r="U2249" i="26" s="1"/>
  <c r="U2250" i="26" s="1"/>
  <c r="U2251" i="26" s="1"/>
  <c r="U2252" i="26" s="1"/>
  <c r="U2253" i="26" s="1"/>
  <c r="U2254" i="26" s="1"/>
  <c r="U2255" i="26" s="1"/>
  <c r="U2256" i="26" s="1"/>
  <c r="U2257" i="26" s="1"/>
  <c r="U2258" i="26" s="1"/>
  <c r="U2259" i="26" s="1"/>
  <c r="U2260" i="26" s="1"/>
  <c r="U2261" i="26" s="1"/>
  <c r="U2262" i="26" s="1"/>
  <c r="U2263" i="26" s="1"/>
  <c r="U2264" i="26" s="1"/>
  <c r="U2265" i="26" s="1"/>
  <c r="U2266" i="26" s="1"/>
  <c r="U2267" i="26" s="1"/>
  <c r="U2268" i="26" s="1"/>
  <c r="U2269" i="26" s="1"/>
  <c r="U2270" i="26" s="1"/>
  <c r="U2271" i="26" s="1"/>
  <c r="U2272" i="26" s="1"/>
  <c r="U2273" i="26" s="1"/>
  <c r="U2274" i="26" s="1"/>
  <c r="U2275" i="26" s="1"/>
  <c r="U2276" i="26" s="1"/>
  <c r="U2277" i="26" s="1"/>
  <c r="U2278" i="26" s="1"/>
  <c r="U2279" i="26" s="1"/>
  <c r="U2280" i="26" s="1"/>
  <c r="U2281" i="26" s="1"/>
  <c r="U2282" i="26" s="1"/>
  <c r="U2283" i="26" s="1"/>
  <c r="U2284" i="26" s="1"/>
  <c r="U2285" i="26" s="1"/>
  <c r="U2286" i="26" s="1"/>
  <c r="U2287" i="26" s="1"/>
  <c r="U2288" i="26" s="1"/>
  <c r="U2289" i="26" s="1"/>
  <c r="U2290" i="26" s="1"/>
  <c r="U2291" i="26" s="1"/>
  <c r="U2292" i="26" s="1"/>
  <c r="U2293" i="26" s="1"/>
  <c r="U2294" i="26" s="1"/>
  <c r="U2295" i="26" s="1"/>
  <c r="U2296" i="26" s="1"/>
  <c r="U2297" i="26" s="1"/>
  <c r="U2298" i="26" s="1"/>
  <c r="U2299" i="26" s="1"/>
  <c r="U2300" i="26" s="1"/>
  <c r="U2301" i="26" s="1"/>
  <c r="U2302" i="26" s="1"/>
  <c r="U2303" i="26" s="1"/>
  <c r="U2304" i="26" s="1"/>
  <c r="U2305" i="26" s="1"/>
  <c r="U2306" i="26" s="1"/>
  <c r="U2307" i="26" s="1"/>
  <c r="U2308" i="26" s="1"/>
  <c r="U2309" i="26" s="1"/>
  <c r="U2310" i="26" s="1"/>
  <c r="U2311" i="26" s="1"/>
  <c r="U2312" i="26" s="1"/>
  <c r="U2313" i="26" s="1"/>
  <c r="U2314" i="26" s="1"/>
  <c r="U2315" i="26" s="1"/>
  <c r="U2316" i="26" s="1"/>
  <c r="U2317" i="26" s="1"/>
  <c r="U2318" i="26" s="1"/>
  <c r="U2319" i="26" s="1"/>
  <c r="U2320" i="26" s="1"/>
  <c r="U2321" i="26" s="1"/>
  <c r="U2322" i="26" s="1"/>
  <c r="U2323" i="26" s="1"/>
  <c r="U2324" i="26" s="1"/>
  <c r="U2325" i="26" s="1"/>
  <c r="U2326" i="26" s="1"/>
  <c r="U2327" i="26" s="1"/>
  <c r="U2328" i="26" s="1"/>
  <c r="U2329" i="26" s="1"/>
  <c r="U2330" i="26" s="1"/>
  <c r="U2331" i="26" s="1"/>
  <c r="U2332" i="26" s="1"/>
  <c r="U2333" i="26" s="1"/>
  <c r="U2334" i="26" s="1"/>
  <c r="U2335" i="26" s="1"/>
  <c r="U2336" i="26" s="1"/>
  <c r="U2337" i="26" s="1"/>
  <c r="U2338" i="26" s="1"/>
  <c r="U2339" i="26" s="1"/>
  <c r="U2340" i="26" s="1"/>
  <c r="U2341" i="26" s="1"/>
  <c r="U2342" i="26" s="1"/>
  <c r="U2343" i="26" s="1"/>
  <c r="U2344" i="26" s="1"/>
  <c r="U2345" i="26" s="1"/>
  <c r="U2346" i="26" s="1"/>
  <c r="U2347" i="26" s="1"/>
  <c r="U2348" i="26" s="1"/>
  <c r="U2349" i="26" s="1"/>
  <c r="U2350" i="26" s="1"/>
  <c r="U2351" i="26" s="1"/>
  <c r="U2352" i="26" s="1"/>
  <c r="U2353" i="26" s="1"/>
  <c r="U2354" i="26" s="1"/>
  <c r="U2355" i="26" s="1"/>
  <c r="U2356" i="26" s="1"/>
  <c r="U2357" i="26" s="1"/>
  <c r="U2358" i="26" s="1"/>
  <c r="U2359" i="26" s="1"/>
  <c r="U2360" i="26" s="1"/>
  <c r="U2361" i="26" s="1"/>
  <c r="U2362" i="26" s="1"/>
  <c r="U2363" i="26" s="1"/>
  <c r="U2364" i="26" s="1"/>
  <c r="U2365" i="26" s="1"/>
  <c r="U2366" i="26" s="1"/>
  <c r="U2367" i="26" s="1"/>
  <c r="U2368" i="26" s="1"/>
  <c r="U2369" i="26" s="1"/>
  <c r="U2370" i="26" s="1"/>
  <c r="U2371" i="26" s="1"/>
  <c r="U2372" i="26" s="1"/>
  <c r="U2373" i="26" s="1"/>
  <c r="U2374" i="26" s="1"/>
  <c r="U2375" i="26" s="1"/>
  <c r="U2376" i="26" s="1"/>
  <c r="U2377" i="26" s="1"/>
  <c r="U2378" i="26" s="1"/>
  <c r="U2379" i="26" s="1"/>
  <c r="U2380" i="26" s="1"/>
  <c r="U2381" i="26" s="1"/>
  <c r="U2382" i="26" s="1"/>
  <c r="U2383" i="26" s="1"/>
  <c r="U2384" i="26" s="1"/>
  <c r="U2385" i="26" s="1"/>
  <c r="U2386" i="26" s="1"/>
  <c r="U2387" i="26" s="1"/>
  <c r="U2388" i="26" s="1"/>
  <c r="U2389" i="26" s="1"/>
  <c r="U2390" i="26" s="1"/>
  <c r="U2391" i="26" s="1"/>
  <c r="U2392" i="26" s="1"/>
  <c r="U2393" i="26" s="1"/>
  <c r="U2394" i="26" s="1"/>
  <c r="U2395" i="26" s="1"/>
  <c r="U2396" i="26" s="1"/>
  <c r="U2397" i="26" s="1"/>
  <c r="U2398" i="26" s="1"/>
  <c r="U2399" i="26" s="1"/>
  <c r="U2400" i="26" s="1"/>
  <c r="U2401" i="26" s="1"/>
  <c r="U2402" i="26" s="1"/>
  <c r="U2403" i="26" s="1"/>
  <c r="U2404" i="26" s="1"/>
  <c r="U2405" i="26" s="1"/>
  <c r="U2406" i="26" s="1"/>
  <c r="U2407" i="26" s="1"/>
  <c r="U2408" i="26" s="1"/>
  <c r="U2409" i="26" s="1"/>
  <c r="U2410" i="26" s="1"/>
  <c r="U2411" i="26" s="1"/>
  <c r="U2412" i="26" s="1"/>
  <c r="U2413" i="26" s="1"/>
  <c r="U2414" i="26" s="1"/>
  <c r="U2415" i="26" s="1"/>
  <c r="U2416" i="26" s="1"/>
  <c r="U2417" i="26" s="1"/>
  <c r="U2418" i="26" s="1"/>
  <c r="U2419" i="26" s="1"/>
  <c r="U2420" i="26" s="1"/>
  <c r="U2421" i="26" s="1"/>
  <c r="U2422" i="26" s="1"/>
  <c r="U2423" i="26" s="1"/>
  <c r="U2424" i="26" s="1"/>
  <c r="U2425" i="26" s="1"/>
  <c r="U2426" i="26" s="1"/>
  <c r="U2427" i="26" s="1"/>
  <c r="U2428" i="26" s="1"/>
  <c r="U2429" i="26" s="1"/>
  <c r="U2430" i="26" s="1"/>
  <c r="U2431" i="26" s="1"/>
  <c r="U2432" i="26" s="1"/>
  <c r="U2433" i="26" s="1"/>
  <c r="U2434" i="26" s="1"/>
  <c r="U2435" i="26" s="1"/>
  <c r="U2436" i="26" s="1"/>
  <c r="U2437" i="26" s="1"/>
  <c r="U2438" i="26" s="1"/>
  <c r="U2439" i="26" s="1"/>
  <c r="U2440" i="26" s="1"/>
  <c r="U2441" i="26" s="1"/>
  <c r="U2442" i="26" s="1"/>
  <c r="U2443" i="26" s="1"/>
  <c r="U2444" i="26" s="1"/>
  <c r="U2445" i="26" s="1"/>
  <c r="U2446" i="26" s="1"/>
  <c r="U2447" i="26" s="1"/>
  <c r="U2448" i="26" s="1"/>
  <c r="U2449" i="26" s="1"/>
  <c r="U2450" i="26" s="1"/>
  <c r="U2451" i="26" s="1"/>
  <c r="U2452" i="26" s="1"/>
  <c r="U2453" i="26" s="1"/>
  <c r="U2454" i="26" s="1"/>
  <c r="U2455" i="26" s="1"/>
  <c r="U2456" i="26" s="1"/>
  <c r="U2457" i="26" s="1"/>
  <c r="U2458" i="26" s="1"/>
  <c r="U2459" i="26" s="1"/>
  <c r="U2460" i="26" s="1"/>
  <c r="U2461" i="26" s="1"/>
  <c r="U2462" i="26" s="1"/>
  <c r="U2463" i="26" s="1"/>
  <c r="U2464" i="26" s="1"/>
  <c r="U2465" i="26" s="1"/>
  <c r="U2466" i="26" s="1"/>
  <c r="U2467" i="26" s="1"/>
  <c r="U2468" i="26" s="1"/>
  <c r="U2469" i="26" s="1"/>
  <c r="U2470" i="26" s="1"/>
  <c r="U2471" i="26" s="1"/>
  <c r="U2472" i="26" s="1"/>
  <c r="U2473" i="26" s="1"/>
  <c r="U2474" i="26" s="1"/>
  <c r="U2475" i="26" s="1"/>
  <c r="U2476" i="26" s="1"/>
  <c r="U2477" i="26" s="1"/>
  <c r="U2478" i="26" s="1"/>
  <c r="U2479" i="26" s="1"/>
  <c r="U2480" i="26" s="1"/>
  <c r="U2481" i="26" s="1"/>
  <c r="U2482" i="26" s="1"/>
  <c r="U2483" i="26" s="1"/>
  <c r="U2484" i="26" s="1"/>
  <c r="U2485" i="26" s="1"/>
  <c r="U2486" i="26" s="1"/>
  <c r="U2487" i="26" s="1"/>
  <c r="U2488" i="26" s="1"/>
  <c r="U2489" i="26" s="1"/>
  <c r="U2490" i="26" s="1"/>
  <c r="U2491" i="26" s="1"/>
  <c r="U2492" i="26" s="1"/>
  <c r="U2493" i="26" s="1"/>
  <c r="U2494" i="26" s="1"/>
  <c r="U2495" i="26" s="1"/>
  <c r="U2496" i="26" s="1"/>
  <c r="U2497" i="26" s="1"/>
  <c r="U2498" i="26" s="1"/>
  <c r="U2499" i="26" s="1"/>
  <c r="U2500" i="26" s="1"/>
  <c r="U2501" i="26" s="1"/>
  <c r="U2502" i="26" s="1"/>
  <c r="U2503" i="26" s="1"/>
  <c r="U2504" i="26" s="1"/>
  <c r="U2505" i="26" s="1"/>
  <c r="U2506" i="26" s="1"/>
  <c r="U2507" i="26" s="1"/>
  <c r="U2508" i="26" s="1"/>
  <c r="U2509" i="26" s="1"/>
  <c r="U2510" i="26" s="1"/>
  <c r="U2511" i="26" s="1"/>
  <c r="U2512" i="26" s="1"/>
  <c r="U2513" i="26" s="1"/>
  <c r="U2514" i="26" s="1"/>
  <c r="U2515" i="26" s="1"/>
  <c r="U2516" i="26" s="1"/>
  <c r="U2517" i="26" s="1"/>
  <c r="U2518" i="26" s="1"/>
  <c r="U2519" i="26" s="1"/>
  <c r="U2520" i="26" s="1"/>
  <c r="U2521" i="26" s="1"/>
  <c r="U2522" i="26" s="1"/>
  <c r="U2523" i="26" s="1"/>
  <c r="U2524" i="26" s="1"/>
  <c r="U2525" i="26" s="1"/>
  <c r="U2526" i="26" s="1"/>
  <c r="U2527" i="26" s="1"/>
  <c r="U2528" i="26" s="1"/>
  <c r="U2529" i="26" s="1"/>
  <c r="U2530" i="26" s="1"/>
  <c r="U2531" i="26" s="1"/>
  <c r="U2532" i="26" s="1"/>
  <c r="U2533" i="26" s="1"/>
  <c r="U2534" i="26" s="1"/>
  <c r="U2535" i="26" s="1"/>
  <c r="U2536" i="26" s="1"/>
  <c r="U2537" i="26" s="1"/>
  <c r="U2538" i="26" s="1"/>
  <c r="U2539" i="26" s="1"/>
  <c r="U2540" i="26" s="1"/>
  <c r="U2541" i="26" s="1"/>
  <c r="U2542" i="26" s="1"/>
  <c r="U2543" i="26" s="1"/>
  <c r="U2544" i="26" s="1"/>
  <c r="U2545" i="26" s="1"/>
  <c r="U2546" i="26" s="1"/>
  <c r="U2547" i="26" s="1"/>
  <c r="U2548" i="26" s="1"/>
  <c r="U2549" i="26" s="1"/>
  <c r="U2550" i="26" s="1"/>
  <c r="U2551" i="26" s="1"/>
  <c r="U2552" i="26" s="1"/>
  <c r="U2553" i="26" s="1"/>
  <c r="U2554" i="26" s="1"/>
  <c r="U2555" i="26" s="1"/>
  <c r="U2556" i="26" s="1"/>
  <c r="U2557" i="26" s="1"/>
  <c r="U2558" i="26" s="1"/>
  <c r="U2559" i="26" s="1"/>
  <c r="U2560" i="26" s="1"/>
  <c r="U2561" i="26" s="1"/>
  <c r="U2562" i="26" s="1"/>
  <c r="U2563" i="26" s="1"/>
  <c r="U2564" i="26" s="1"/>
  <c r="U2565" i="26" s="1"/>
  <c r="U2566" i="26" s="1"/>
  <c r="U2567" i="26" s="1"/>
  <c r="U2568" i="26" s="1"/>
  <c r="U2569" i="26" s="1"/>
  <c r="U2570" i="26" s="1"/>
  <c r="U2571" i="26" s="1"/>
  <c r="U2572" i="26" s="1"/>
  <c r="U2573" i="26" s="1"/>
  <c r="U2574" i="26" s="1"/>
  <c r="U2575" i="26" s="1"/>
  <c r="U2576" i="26" s="1"/>
  <c r="U2577" i="26" s="1"/>
  <c r="U2578" i="26" s="1"/>
  <c r="U2579" i="26" s="1"/>
  <c r="U2580" i="26" s="1"/>
  <c r="U2581" i="26" s="1"/>
  <c r="U2582" i="26" s="1"/>
  <c r="U2583" i="26" s="1"/>
  <c r="U2584" i="26" s="1"/>
  <c r="U2585" i="26" s="1"/>
  <c r="U2586" i="26" s="1"/>
  <c r="U2587" i="26" s="1"/>
  <c r="U2588" i="26" s="1"/>
  <c r="U2589" i="26" s="1"/>
  <c r="U2590" i="26" s="1"/>
  <c r="U2591" i="26" s="1"/>
  <c r="U2592" i="26" s="1"/>
  <c r="U2593" i="26" s="1"/>
  <c r="U2594" i="26" s="1"/>
  <c r="U2595" i="26" s="1"/>
  <c r="U2596" i="26" s="1"/>
  <c r="U2597" i="26" s="1"/>
  <c r="U2598" i="26" s="1"/>
  <c r="U2599" i="26" s="1"/>
  <c r="U2600" i="26" s="1"/>
  <c r="U2601" i="26" s="1"/>
  <c r="U2602" i="26" s="1"/>
  <c r="U2603" i="26" s="1"/>
  <c r="U2604" i="26" s="1"/>
  <c r="U2605" i="26" s="1"/>
  <c r="U2606" i="26" s="1"/>
  <c r="U2607" i="26" s="1"/>
  <c r="U2608" i="26" s="1"/>
  <c r="U2609" i="26" s="1"/>
  <c r="U2610" i="26" s="1"/>
  <c r="U2611" i="26" s="1"/>
  <c r="U2612" i="26" s="1"/>
  <c r="U2613" i="26" s="1"/>
  <c r="U2614" i="26" s="1"/>
  <c r="U2615" i="26" s="1"/>
  <c r="U2616" i="26" s="1"/>
  <c r="U2617" i="26" s="1"/>
  <c r="U2618" i="26" s="1"/>
  <c r="U2619" i="26" s="1"/>
  <c r="U2620" i="26" s="1"/>
  <c r="U2621" i="26" s="1"/>
  <c r="U2622" i="26" s="1"/>
  <c r="U2623" i="26" s="1"/>
  <c r="U2624" i="26" s="1"/>
  <c r="U2625" i="26" s="1"/>
  <c r="U2626" i="26" s="1"/>
  <c r="U2627" i="26" s="1"/>
  <c r="U2628" i="26" s="1"/>
  <c r="U2629" i="26" s="1"/>
  <c r="U2630" i="26" s="1"/>
  <c r="U2631" i="26" s="1"/>
  <c r="U2632" i="26" s="1"/>
  <c r="U2633" i="26" s="1"/>
  <c r="U2634" i="26" s="1"/>
  <c r="U2635" i="26" s="1"/>
  <c r="U2636" i="26" s="1"/>
  <c r="U2637" i="26" s="1"/>
  <c r="U2638" i="26" s="1"/>
  <c r="U2639" i="26" s="1"/>
  <c r="U2640" i="26" s="1"/>
  <c r="U2641" i="26" s="1"/>
  <c r="U2642" i="26" s="1"/>
  <c r="U2643" i="26" s="1"/>
  <c r="U2644" i="26" s="1"/>
  <c r="U2645" i="26" s="1"/>
  <c r="U2646" i="26" s="1"/>
  <c r="U2647" i="26" s="1"/>
  <c r="U2648" i="26" s="1"/>
  <c r="U2649" i="26" s="1"/>
  <c r="U2650" i="26" s="1"/>
  <c r="U2651" i="26" s="1"/>
  <c r="U2652" i="26" s="1"/>
  <c r="U2653" i="26" s="1"/>
  <c r="U2654" i="26" s="1"/>
  <c r="U2655" i="26" s="1"/>
  <c r="U2656" i="26" s="1"/>
  <c r="U2657" i="26" s="1"/>
  <c r="U2658" i="26" s="1"/>
  <c r="U2659" i="26" s="1"/>
  <c r="U2660" i="26" s="1"/>
  <c r="U2661" i="26" s="1"/>
  <c r="U2662" i="26" s="1"/>
  <c r="U2663" i="26" s="1"/>
  <c r="U2664" i="26" s="1"/>
  <c r="U2665" i="26" s="1"/>
  <c r="U2666" i="26" s="1"/>
  <c r="U2667" i="26" s="1"/>
  <c r="U2668" i="26" s="1"/>
  <c r="U2669" i="26" s="1"/>
  <c r="U2670" i="26" s="1"/>
  <c r="U2671" i="26" s="1"/>
  <c r="U2672" i="26" s="1"/>
  <c r="U2673" i="26" s="1"/>
  <c r="U2674" i="26" s="1"/>
  <c r="U2675" i="26" s="1"/>
  <c r="U2676" i="26" s="1"/>
  <c r="U2677" i="26" s="1"/>
  <c r="U2678" i="26" s="1"/>
  <c r="U2679" i="26" s="1"/>
  <c r="U2680" i="26" s="1"/>
  <c r="U2681" i="26" s="1"/>
  <c r="U2682" i="26" s="1"/>
  <c r="U2683" i="26" s="1"/>
  <c r="U2684" i="26" s="1"/>
  <c r="U2685" i="26" s="1"/>
  <c r="U2686" i="26" s="1"/>
  <c r="U2687" i="26" s="1"/>
  <c r="U2688" i="26" s="1"/>
  <c r="U2689" i="26" s="1"/>
  <c r="U2690" i="26" s="1"/>
  <c r="U2691" i="26" s="1"/>
  <c r="U2692" i="26" s="1"/>
  <c r="U2693" i="26" s="1"/>
  <c r="U2694" i="26" s="1"/>
  <c r="U2695" i="26" s="1"/>
  <c r="U2696" i="26" s="1"/>
  <c r="U2697" i="26" s="1"/>
  <c r="U2698" i="26" s="1"/>
  <c r="U2699" i="26" s="1"/>
  <c r="U2700" i="26" s="1"/>
  <c r="U2701" i="26" s="1"/>
  <c r="U2702" i="26" s="1"/>
  <c r="U2703" i="26" s="1"/>
  <c r="U2704" i="26" s="1"/>
  <c r="U2705" i="26" s="1"/>
  <c r="U2706" i="26" s="1"/>
  <c r="U2707" i="26" s="1"/>
  <c r="U2708" i="26" s="1"/>
  <c r="U2709" i="26" s="1"/>
  <c r="U2710" i="26" s="1"/>
  <c r="U2711" i="26" s="1"/>
  <c r="U2712" i="26" s="1"/>
  <c r="U2713" i="26" s="1"/>
  <c r="U2714" i="26" s="1"/>
  <c r="U2715" i="26" s="1"/>
  <c r="U2716" i="26" s="1"/>
  <c r="U2717" i="26" s="1"/>
  <c r="U2718" i="26" s="1"/>
  <c r="U2719" i="26" s="1"/>
  <c r="U2720" i="26" s="1"/>
  <c r="U2721" i="26" s="1"/>
  <c r="U2722" i="26" s="1"/>
  <c r="U2723" i="26" s="1"/>
  <c r="U2724" i="26" s="1"/>
  <c r="U2725" i="26" s="1"/>
  <c r="U2726" i="26" s="1"/>
  <c r="U2727" i="26" s="1"/>
  <c r="U2728" i="26" s="1"/>
  <c r="U2729" i="26" s="1"/>
  <c r="U2730" i="26" s="1"/>
  <c r="U2731" i="26" s="1"/>
  <c r="U2732" i="26" s="1"/>
  <c r="U2733" i="26" s="1"/>
  <c r="U2734" i="26" s="1"/>
  <c r="U2735" i="26" s="1"/>
  <c r="U2736" i="26" s="1"/>
  <c r="U2737" i="26" s="1"/>
  <c r="U2738" i="26" s="1"/>
  <c r="U2739" i="26" s="1"/>
  <c r="U2740" i="26" s="1"/>
  <c r="U2741" i="26" s="1"/>
  <c r="U2742" i="26" s="1"/>
  <c r="U2743" i="26" s="1"/>
  <c r="U2744" i="26" s="1"/>
  <c r="U2745" i="26" s="1"/>
  <c r="U2746" i="26" s="1"/>
  <c r="U2747" i="26" s="1"/>
  <c r="U2748" i="26" s="1"/>
  <c r="U2749" i="26" s="1"/>
  <c r="U2750" i="26" s="1"/>
  <c r="U2751" i="26" s="1"/>
  <c r="U2752" i="26" s="1"/>
  <c r="U2753" i="26" s="1"/>
  <c r="U2754" i="26" s="1"/>
  <c r="U2755" i="26" s="1"/>
  <c r="U2756" i="26" s="1"/>
  <c r="U2757" i="26" s="1"/>
  <c r="U2758" i="26" s="1"/>
  <c r="U2759" i="26" s="1"/>
  <c r="U2760" i="26" s="1"/>
  <c r="U2761" i="26" s="1"/>
  <c r="U2762" i="26" s="1"/>
  <c r="U2763" i="26" s="1"/>
  <c r="U2764" i="26" s="1"/>
  <c r="U2765" i="26" s="1"/>
  <c r="U2766" i="26" s="1"/>
  <c r="U2767" i="26" s="1"/>
  <c r="U2768" i="26" s="1"/>
  <c r="U2769" i="26" s="1"/>
  <c r="U2770" i="26" s="1"/>
  <c r="U2771" i="26" s="1"/>
  <c r="U2772" i="26" s="1"/>
  <c r="U2773" i="26" s="1"/>
  <c r="U2774" i="26" s="1"/>
  <c r="U2775" i="26" s="1"/>
  <c r="U2776" i="26" s="1"/>
  <c r="U2777" i="26" s="1"/>
  <c r="U2778" i="26" s="1"/>
  <c r="U2779" i="26" s="1"/>
  <c r="U2780" i="26" s="1"/>
  <c r="U2781" i="26" s="1"/>
  <c r="U2782" i="26" s="1"/>
  <c r="U2783" i="26" s="1"/>
  <c r="U2784" i="26" s="1"/>
  <c r="U2785" i="26" s="1"/>
  <c r="U2786" i="26" s="1"/>
  <c r="U2787" i="26" s="1"/>
  <c r="U2788" i="26" s="1"/>
  <c r="U2789" i="26" s="1"/>
  <c r="U2790" i="26" s="1"/>
  <c r="U2791" i="26" s="1"/>
  <c r="U2792" i="26" s="1"/>
  <c r="U2793" i="26" s="1"/>
  <c r="U2794" i="26" s="1"/>
  <c r="U2795" i="26" s="1"/>
  <c r="U2796" i="26" s="1"/>
  <c r="U2797" i="26" s="1"/>
  <c r="U2798" i="26" s="1"/>
  <c r="U2799" i="26" s="1"/>
  <c r="U2800" i="26" s="1"/>
  <c r="U2801" i="26" s="1"/>
  <c r="U2802" i="26" s="1"/>
  <c r="U2803" i="26" s="1"/>
  <c r="U2804" i="26" s="1"/>
  <c r="U2805" i="26" s="1"/>
  <c r="U2806" i="26" s="1"/>
  <c r="U2807" i="26" s="1"/>
  <c r="U2808" i="26" s="1"/>
  <c r="U2809" i="26" s="1"/>
  <c r="U2810" i="26" s="1"/>
  <c r="U2811" i="26" s="1"/>
  <c r="U2812" i="26" s="1"/>
  <c r="U2813" i="26" s="1"/>
  <c r="U2814" i="26" s="1"/>
  <c r="U2815" i="26" s="1"/>
  <c r="U2816" i="26" s="1"/>
  <c r="U2817" i="26" s="1"/>
  <c r="U2818" i="26" s="1"/>
  <c r="U2819" i="26" s="1"/>
  <c r="U2820" i="26" s="1"/>
  <c r="U2821" i="26" s="1"/>
  <c r="U2822" i="26" s="1"/>
  <c r="U2823" i="26" s="1"/>
  <c r="U2824" i="26" s="1"/>
  <c r="U2825" i="26" s="1"/>
  <c r="U2826" i="26" s="1"/>
  <c r="U2827" i="26" s="1"/>
  <c r="U2828" i="26" s="1"/>
  <c r="U2829" i="26" s="1"/>
  <c r="U2830" i="26" s="1"/>
  <c r="U2831" i="26" s="1"/>
  <c r="U2832" i="26" s="1"/>
  <c r="U2833" i="26" s="1"/>
  <c r="U2834" i="26" s="1"/>
  <c r="U2835" i="26" s="1"/>
  <c r="U2836" i="26" s="1"/>
  <c r="U2837" i="26" s="1"/>
  <c r="U2838" i="26" s="1"/>
  <c r="U2839" i="26" s="1"/>
  <c r="U2840" i="26" s="1"/>
  <c r="U2841" i="26" s="1"/>
  <c r="U2842" i="26" s="1"/>
  <c r="U2843" i="26" s="1"/>
  <c r="U2844" i="26" s="1"/>
  <c r="U2845" i="26" s="1"/>
  <c r="U2846" i="26" s="1"/>
  <c r="U2847" i="26" s="1"/>
  <c r="U2848" i="26" s="1"/>
  <c r="U2849" i="26" s="1"/>
  <c r="U2850" i="26" s="1"/>
  <c r="U2851" i="26" s="1"/>
  <c r="U2852" i="26" s="1"/>
  <c r="U2853" i="26" s="1"/>
  <c r="U2854" i="26" s="1"/>
  <c r="U2855" i="26" s="1"/>
  <c r="U2856" i="26" s="1"/>
  <c r="U2857" i="26" s="1"/>
  <c r="U2858" i="26" s="1"/>
  <c r="U2859" i="26" s="1"/>
  <c r="U2860" i="26" s="1"/>
  <c r="U2861" i="26" s="1"/>
  <c r="U2862" i="26" s="1"/>
  <c r="U2863" i="26" s="1"/>
  <c r="U2864" i="26" s="1"/>
  <c r="U2865" i="26" s="1"/>
  <c r="U2866" i="26" s="1"/>
  <c r="U2867" i="26" s="1"/>
  <c r="U2868" i="26" s="1"/>
  <c r="U2869" i="26" s="1"/>
  <c r="U2870" i="26" s="1"/>
  <c r="U2871" i="26" s="1"/>
  <c r="U2872" i="26" s="1"/>
  <c r="U2873" i="26" s="1"/>
  <c r="U2874" i="26" s="1"/>
  <c r="U2875" i="26" s="1"/>
  <c r="U2876" i="26" s="1"/>
  <c r="U2877" i="26" s="1"/>
  <c r="U2878" i="26" s="1"/>
  <c r="U2879" i="26" s="1"/>
  <c r="U2880" i="26" s="1"/>
  <c r="U2881" i="26" s="1"/>
  <c r="U2882" i="26" s="1"/>
  <c r="U2883" i="26" s="1"/>
  <c r="U2884" i="26" s="1"/>
  <c r="U2885" i="26" s="1"/>
  <c r="U2886" i="26" s="1"/>
  <c r="U2887" i="26" s="1"/>
  <c r="U2888" i="26" s="1"/>
  <c r="U2889" i="26" s="1"/>
  <c r="U2890" i="26" s="1"/>
  <c r="U2891" i="26" s="1"/>
  <c r="U2892" i="26" s="1"/>
  <c r="U2893" i="26" s="1"/>
  <c r="U2894" i="26" s="1"/>
  <c r="U2895" i="26" s="1"/>
  <c r="U2896" i="26" s="1"/>
  <c r="U2897" i="26" s="1"/>
  <c r="U2898" i="26" s="1"/>
  <c r="U2899" i="26" s="1"/>
  <c r="U2900" i="26" s="1"/>
  <c r="U2901" i="26" s="1"/>
  <c r="U2902" i="26" s="1"/>
  <c r="U2903" i="26" s="1"/>
  <c r="U2904" i="26" s="1"/>
  <c r="U2905" i="26" s="1"/>
  <c r="U2906" i="26" s="1"/>
  <c r="U2907" i="26" s="1"/>
  <c r="U2908" i="26" s="1"/>
  <c r="U2909" i="26" s="1"/>
  <c r="U2910" i="26" s="1"/>
  <c r="U2911" i="26" s="1"/>
  <c r="U2912" i="26" s="1"/>
  <c r="U2913" i="26" s="1"/>
  <c r="U2914" i="26" s="1"/>
  <c r="U2915" i="26" s="1"/>
  <c r="U2916" i="26" s="1"/>
  <c r="U2917" i="26" s="1"/>
  <c r="U2918" i="26" s="1"/>
  <c r="U2919" i="26" s="1"/>
  <c r="U2920" i="26" s="1"/>
  <c r="U2921" i="26" s="1"/>
  <c r="U2922" i="26" s="1"/>
  <c r="U2923" i="26" s="1"/>
  <c r="U2924" i="26" s="1"/>
  <c r="U2925" i="26" s="1"/>
  <c r="U2926" i="26" s="1"/>
  <c r="U2927" i="26" s="1"/>
  <c r="U2928" i="26" s="1"/>
  <c r="U2929" i="26" s="1"/>
  <c r="U2930" i="26" s="1"/>
  <c r="U2931" i="26" s="1"/>
  <c r="U2932" i="26" s="1"/>
  <c r="U2933" i="26" s="1"/>
  <c r="U2934" i="26" s="1"/>
  <c r="U2935" i="26" s="1"/>
  <c r="U2936" i="26" s="1"/>
  <c r="U2937" i="26" s="1"/>
  <c r="U2938" i="26" s="1"/>
  <c r="U2939" i="26" s="1"/>
  <c r="U2940" i="26" s="1"/>
  <c r="U2941" i="26" s="1"/>
  <c r="U2942" i="26" s="1"/>
  <c r="U2943" i="26" s="1"/>
  <c r="U2944" i="26" s="1"/>
  <c r="U2945" i="26" s="1"/>
  <c r="U2946" i="26" s="1"/>
  <c r="U2947" i="26" s="1"/>
  <c r="U2948" i="26" s="1"/>
  <c r="U2949" i="26" s="1"/>
  <c r="U2950" i="26" s="1"/>
  <c r="U2951" i="26" s="1"/>
  <c r="U2952" i="26" s="1"/>
  <c r="U2953" i="26" s="1"/>
  <c r="U2954" i="26" s="1"/>
  <c r="U2955" i="26" s="1"/>
  <c r="U2956" i="26" s="1"/>
  <c r="U2957" i="26" s="1"/>
  <c r="U2958" i="26" s="1"/>
  <c r="U2959" i="26" s="1"/>
  <c r="U2960" i="26" s="1"/>
  <c r="U2961" i="26" s="1"/>
  <c r="U2962" i="26" s="1"/>
  <c r="U2963" i="26" s="1"/>
  <c r="U2964" i="26" s="1"/>
  <c r="U2965" i="26" s="1"/>
  <c r="U2966" i="26" s="1"/>
  <c r="U2967" i="26" s="1"/>
  <c r="U2968" i="26" s="1"/>
  <c r="U2969" i="26" s="1"/>
  <c r="U2970" i="26" s="1"/>
  <c r="U2971" i="26" s="1"/>
  <c r="U2972" i="26" s="1"/>
  <c r="U2973" i="26" s="1"/>
  <c r="U2974" i="26" s="1"/>
  <c r="U2975" i="26" s="1"/>
  <c r="U2976" i="26" s="1"/>
  <c r="U2977" i="26" s="1"/>
  <c r="U2978" i="26" s="1"/>
  <c r="U2979" i="26" s="1"/>
  <c r="U2980" i="26" s="1"/>
  <c r="U2981" i="26" s="1"/>
  <c r="U2982" i="26" s="1"/>
  <c r="U2983" i="26" s="1"/>
  <c r="U2984" i="26" s="1"/>
  <c r="U2985" i="26" s="1"/>
  <c r="U2986" i="26" s="1"/>
  <c r="U2987" i="26" s="1"/>
  <c r="U2988" i="26" s="1"/>
  <c r="U2989" i="26" s="1"/>
  <c r="U2990" i="26" s="1"/>
  <c r="U2991" i="26" s="1"/>
  <c r="U2992" i="26" s="1"/>
  <c r="U2993" i="26" s="1"/>
  <c r="U2994" i="26" s="1"/>
  <c r="U2995" i="26" s="1"/>
  <c r="U2996" i="26" s="1"/>
  <c r="U2997" i="26" s="1"/>
  <c r="U2998" i="26" s="1"/>
  <c r="U2999" i="26" s="1"/>
  <c r="U3000" i="26" s="1"/>
  <c r="U3001" i="26" s="1"/>
  <c r="U3002" i="26" s="1"/>
  <c r="U3003" i="26" s="1"/>
  <c r="U3004" i="26" s="1"/>
  <c r="U3005" i="26" s="1"/>
  <c r="U3006" i="26" s="1"/>
  <c r="U3007" i="26" s="1"/>
  <c r="U3008" i="26" s="1"/>
  <c r="U3009" i="26" s="1"/>
  <c r="U3010" i="26" s="1"/>
  <c r="U3011" i="26" s="1"/>
  <c r="U3012" i="26" s="1"/>
  <c r="U3013" i="26" s="1"/>
  <c r="U3014" i="26" s="1"/>
  <c r="U3015" i="26" s="1"/>
  <c r="U3016" i="26" s="1"/>
  <c r="U3017" i="26" s="1"/>
  <c r="U3018" i="26" s="1"/>
  <c r="U3019" i="26" s="1"/>
  <c r="U3020" i="26" s="1"/>
  <c r="U3021" i="26" s="1"/>
  <c r="U3022" i="26" s="1"/>
  <c r="U3023" i="26" s="1"/>
  <c r="U3024" i="26" s="1"/>
  <c r="U3025" i="26" s="1"/>
  <c r="U3026" i="26" s="1"/>
  <c r="U3027" i="26" s="1"/>
  <c r="U3028" i="26" s="1"/>
  <c r="U3029" i="26" s="1"/>
  <c r="U3030" i="26" s="1"/>
  <c r="U3031" i="26" s="1"/>
  <c r="U3032" i="26" s="1"/>
  <c r="U3033" i="26" s="1"/>
  <c r="U3034" i="26" s="1"/>
  <c r="U3035" i="26" s="1"/>
  <c r="U3036" i="26" s="1"/>
  <c r="U3037" i="26" s="1"/>
  <c r="U3038" i="26" s="1"/>
  <c r="U3039" i="26" s="1"/>
  <c r="U3040" i="26" s="1"/>
  <c r="U3041" i="26" s="1"/>
  <c r="U3042" i="26" s="1"/>
  <c r="U3043" i="26" s="1"/>
  <c r="U3044" i="26" s="1"/>
  <c r="U3045" i="26" s="1"/>
  <c r="U3046" i="26" s="1"/>
  <c r="U3047" i="26" s="1"/>
  <c r="U3048" i="26" s="1"/>
  <c r="U3049" i="26" s="1"/>
  <c r="U3050" i="26" s="1"/>
  <c r="U3051" i="26" s="1"/>
  <c r="U3052" i="26" s="1"/>
  <c r="U3053" i="26" s="1"/>
  <c r="U3054" i="26" s="1"/>
  <c r="U3055" i="26" s="1"/>
  <c r="U3056" i="26" s="1"/>
  <c r="U3057" i="26" s="1"/>
  <c r="U3058" i="26" s="1"/>
  <c r="U3059" i="26" s="1"/>
  <c r="U3060" i="26" s="1"/>
  <c r="U3061" i="26" s="1"/>
  <c r="U3062" i="26" s="1"/>
  <c r="U3063" i="26" s="1"/>
  <c r="U3064" i="26" s="1"/>
  <c r="U3065" i="26" s="1"/>
  <c r="U3066" i="26" s="1"/>
  <c r="U3067" i="26" s="1"/>
  <c r="U3068" i="26" s="1"/>
  <c r="U3069" i="26" s="1"/>
  <c r="U3070" i="26" s="1"/>
  <c r="U3071" i="26" s="1"/>
  <c r="U3072" i="26" s="1"/>
  <c r="U3073" i="26" s="1"/>
  <c r="U3074" i="26" s="1"/>
  <c r="U3075" i="26" s="1"/>
  <c r="U3076" i="26" s="1"/>
  <c r="U3077" i="26" s="1"/>
  <c r="U3078" i="26" s="1"/>
  <c r="U3079" i="26" s="1"/>
  <c r="U3080" i="26" s="1"/>
  <c r="U3081" i="26" s="1"/>
  <c r="U3082" i="26" s="1"/>
  <c r="U3083" i="26" s="1"/>
  <c r="U3084" i="26" s="1"/>
  <c r="U3085" i="26" s="1"/>
  <c r="U3086" i="26" s="1"/>
  <c r="U3087" i="26" s="1"/>
  <c r="U3088" i="26" s="1"/>
  <c r="U3089" i="26" s="1"/>
  <c r="U3090" i="26" s="1"/>
  <c r="U3091" i="26" s="1"/>
  <c r="U3092" i="26" s="1"/>
  <c r="U3093" i="26" s="1"/>
  <c r="U3094" i="26" s="1"/>
  <c r="U3095" i="26" s="1"/>
  <c r="U3096" i="26" s="1"/>
  <c r="U3097" i="26" s="1"/>
  <c r="U3098" i="26" s="1"/>
  <c r="U3099" i="26" s="1"/>
  <c r="U3100" i="26" s="1"/>
  <c r="U3101" i="26" s="1"/>
  <c r="U3102" i="26" s="1"/>
  <c r="U3103" i="26" s="1"/>
  <c r="U3104" i="26" s="1"/>
  <c r="U3105" i="26" s="1"/>
  <c r="U3106" i="26" s="1"/>
  <c r="U3107" i="26" s="1"/>
  <c r="U3108" i="26" s="1"/>
  <c r="U3109" i="26" s="1"/>
  <c r="U3110" i="26" s="1"/>
  <c r="U3111" i="26" s="1"/>
  <c r="U3112" i="26" s="1"/>
  <c r="U3113" i="26" s="1"/>
  <c r="U3114" i="26" s="1"/>
  <c r="U3115" i="26" s="1"/>
  <c r="U3116" i="26" s="1"/>
  <c r="U3117" i="26" s="1"/>
  <c r="U3118" i="26" s="1"/>
  <c r="U3119" i="26" s="1"/>
  <c r="U3120" i="26" s="1"/>
  <c r="U3121" i="26" s="1"/>
  <c r="U3122" i="26" s="1"/>
  <c r="U3123" i="26" s="1"/>
  <c r="U3124" i="26" s="1"/>
  <c r="U3125" i="26" s="1"/>
  <c r="U3126" i="26" s="1"/>
  <c r="U3127" i="26" s="1"/>
  <c r="U3128" i="26" s="1"/>
  <c r="U3129" i="26" s="1"/>
  <c r="U3130" i="26" s="1"/>
  <c r="U3131" i="26" s="1"/>
  <c r="U3132" i="26" s="1"/>
  <c r="U3133" i="26" s="1"/>
  <c r="U3134" i="26" s="1"/>
  <c r="U3135" i="26" s="1"/>
  <c r="U3136" i="26" s="1"/>
  <c r="U3137" i="26" s="1"/>
  <c r="U3138" i="26" s="1"/>
  <c r="U3139" i="26" s="1"/>
  <c r="U3140" i="26" s="1"/>
  <c r="U3141" i="26" s="1"/>
  <c r="U3142" i="26" s="1"/>
  <c r="U3143" i="26" s="1"/>
  <c r="U3144" i="26" s="1"/>
  <c r="U3145" i="26" s="1"/>
  <c r="U3146" i="26" s="1"/>
  <c r="U3147" i="26" s="1"/>
  <c r="U3148" i="26" s="1"/>
  <c r="U3149" i="26" s="1"/>
  <c r="U3150" i="26" s="1"/>
  <c r="U3151" i="26" s="1"/>
  <c r="U3152" i="26" s="1"/>
  <c r="U3153" i="26" s="1"/>
  <c r="U3154" i="26" s="1"/>
  <c r="U3155" i="26" s="1"/>
  <c r="U3156" i="26" s="1"/>
  <c r="U3157" i="26" s="1"/>
  <c r="U3158" i="26" s="1"/>
  <c r="U3159" i="26" s="1"/>
  <c r="U3160" i="26" s="1"/>
  <c r="U3161" i="26" s="1"/>
  <c r="U3162" i="26" s="1"/>
  <c r="U3163" i="26" s="1"/>
  <c r="U3164" i="26" s="1"/>
  <c r="U3165" i="26" s="1"/>
  <c r="U3166" i="26" s="1"/>
  <c r="U3167" i="26" s="1"/>
  <c r="U3168" i="26" s="1"/>
  <c r="U3169" i="26" s="1"/>
  <c r="U3170" i="26" s="1"/>
  <c r="U3171" i="26" s="1"/>
  <c r="U3172" i="26" s="1"/>
  <c r="U3173" i="26" s="1"/>
  <c r="U3174" i="26" s="1"/>
  <c r="U3175" i="26" s="1"/>
  <c r="U3176" i="26" s="1"/>
  <c r="U3177" i="26" s="1"/>
  <c r="U3178" i="26" s="1"/>
  <c r="U3179" i="26" s="1"/>
  <c r="U3180" i="26" s="1"/>
  <c r="U3181" i="26" s="1"/>
  <c r="U3182" i="26" s="1"/>
  <c r="U3183" i="26" s="1"/>
  <c r="U3184" i="26" s="1"/>
  <c r="U3185" i="26" s="1"/>
  <c r="U3186" i="26" s="1"/>
  <c r="U3187" i="26" s="1"/>
  <c r="U3188" i="26" s="1"/>
  <c r="U3189" i="26" s="1"/>
  <c r="U3190" i="26" s="1"/>
  <c r="U3191" i="26" s="1"/>
  <c r="U3192" i="26" s="1"/>
  <c r="U3193" i="26" s="1"/>
  <c r="U3194" i="26" s="1"/>
  <c r="U3195" i="26" s="1"/>
  <c r="U3196" i="26" s="1"/>
  <c r="U3197" i="26" s="1"/>
  <c r="U3198" i="26" s="1"/>
  <c r="U3199" i="26" s="1"/>
  <c r="U3200" i="26" s="1"/>
  <c r="U3201" i="26" s="1"/>
  <c r="U3202" i="26" s="1"/>
  <c r="U3203" i="26" s="1"/>
  <c r="U3204" i="26" s="1"/>
  <c r="U3205" i="26" s="1"/>
  <c r="U3206" i="26" s="1"/>
  <c r="U3207" i="26" s="1"/>
  <c r="U3208" i="26" s="1"/>
  <c r="U3209" i="26" s="1"/>
  <c r="U3210" i="26" s="1"/>
  <c r="U3211" i="26" s="1"/>
  <c r="U3212" i="26" s="1"/>
  <c r="U3213" i="26" s="1"/>
  <c r="U3214" i="26" s="1"/>
  <c r="U3215" i="26" s="1"/>
  <c r="U3216" i="26" s="1"/>
  <c r="U3217" i="26" s="1"/>
  <c r="U3218" i="26" s="1"/>
  <c r="U3219" i="26" s="1"/>
  <c r="U3220" i="26" s="1"/>
  <c r="U3221" i="26" s="1"/>
  <c r="U3222" i="26" s="1"/>
  <c r="U3223" i="26" s="1"/>
  <c r="U3224" i="26" s="1"/>
  <c r="U3225" i="26" s="1"/>
  <c r="U3226" i="26" s="1"/>
  <c r="U3227" i="26" s="1"/>
  <c r="U3228" i="26" s="1"/>
  <c r="U3229" i="26" s="1"/>
  <c r="U3230" i="26" s="1"/>
  <c r="U3231" i="26" s="1"/>
  <c r="U3232" i="26" s="1"/>
  <c r="U3233" i="26" s="1"/>
  <c r="U3234" i="26" s="1"/>
  <c r="U3235" i="26" s="1"/>
  <c r="U3236" i="26" s="1"/>
  <c r="U3237" i="26" s="1"/>
  <c r="U3238" i="26" s="1"/>
  <c r="U3239" i="26" s="1"/>
  <c r="U3240" i="26" s="1"/>
  <c r="U3241" i="26" s="1"/>
  <c r="U3242" i="26" s="1"/>
  <c r="U3243" i="26" s="1"/>
  <c r="U3244" i="26" s="1"/>
  <c r="U3245" i="26" s="1"/>
  <c r="U3246" i="26" s="1"/>
  <c r="U3247" i="26" s="1"/>
  <c r="U3248" i="26" s="1"/>
  <c r="U3249" i="26" s="1"/>
  <c r="U3250" i="26" s="1"/>
  <c r="U3251" i="26" s="1"/>
  <c r="U3252" i="26" s="1"/>
  <c r="U3253" i="26" s="1"/>
  <c r="U3254" i="26" s="1"/>
  <c r="U3255" i="26" s="1"/>
  <c r="U3256" i="26" s="1"/>
  <c r="U3257" i="26" s="1"/>
  <c r="U3258" i="26" s="1"/>
  <c r="U3259" i="26" s="1"/>
  <c r="U3260" i="26" s="1"/>
  <c r="U3261" i="26" s="1"/>
  <c r="U3262" i="26" s="1"/>
  <c r="U3263" i="26" s="1"/>
  <c r="U3264" i="26" s="1"/>
  <c r="U3265" i="26" s="1"/>
  <c r="U3266" i="26" s="1"/>
  <c r="U3267" i="26" s="1"/>
  <c r="U3268" i="26" s="1"/>
  <c r="U3269" i="26" s="1"/>
  <c r="U3270" i="26" s="1"/>
  <c r="U3271" i="26" s="1"/>
  <c r="U3272" i="26" s="1"/>
  <c r="U3273" i="26" s="1"/>
  <c r="U3274" i="26" s="1"/>
  <c r="U3275" i="26" s="1"/>
  <c r="U3276" i="26" s="1"/>
  <c r="U3277" i="26" s="1"/>
  <c r="U3278" i="26" s="1"/>
  <c r="U3279" i="26" s="1"/>
  <c r="U3280" i="26" s="1"/>
  <c r="U3281" i="26" s="1"/>
  <c r="U3282" i="26" s="1"/>
  <c r="U3283" i="26" s="1"/>
  <c r="U3284" i="26" s="1"/>
  <c r="U3285" i="26" s="1"/>
  <c r="U3286" i="26" s="1"/>
  <c r="U3287" i="26" s="1"/>
  <c r="U3288" i="26" s="1"/>
  <c r="U3289" i="26" s="1"/>
  <c r="U3290" i="26" s="1"/>
  <c r="U3291" i="26" s="1"/>
  <c r="U3292" i="26" s="1"/>
  <c r="U3293" i="26" s="1"/>
  <c r="U3294" i="26" s="1"/>
  <c r="U3295" i="26" s="1"/>
  <c r="U3296" i="26" s="1"/>
  <c r="U3297" i="26" s="1"/>
  <c r="U3298" i="26" s="1"/>
  <c r="U3299" i="26" s="1"/>
  <c r="U3300" i="26" s="1"/>
  <c r="U3301" i="26" s="1"/>
  <c r="U3302" i="26" s="1"/>
  <c r="U3303" i="26" s="1"/>
  <c r="U3304" i="26" s="1"/>
  <c r="U3305" i="26" s="1"/>
  <c r="U3306" i="26" s="1"/>
  <c r="U3307" i="26" s="1"/>
  <c r="U3308" i="26" s="1"/>
  <c r="U3309" i="26" s="1"/>
  <c r="U3310" i="26" s="1"/>
  <c r="U3311" i="26" s="1"/>
  <c r="U3312" i="26" s="1"/>
  <c r="U3313" i="26" s="1"/>
  <c r="U3314" i="26" s="1"/>
  <c r="U3315" i="26" s="1"/>
  <c r="U3316" i="26" s="1"/>
  <c r="U3317" i="26" s="1"/>
  <c r="U3318" i="26" s="1"/>
  <c r="U3319" i="26" s="1"/>
  <c r="U3320" i="26" s="1"/>
  <c r="U3321" i="26" s="1"/>
  <c r="U3322" i="26" s="1"/>
  <c r="U3323" i="26" s="1"/>
  <c r="U3324" i="26" s="1"/>
  <c r="U3325" i="26" s="1"/>
  <c r="U3326" i="26" s="1"/>
  <c r="U3327" i="26" s="1"/>
  <c r="U3328" i="26" s="1"/>
  <c r="U3329" i="26" s="1"/>
  <c r="U3330" i="26" s="1"/>
  <c r="U3331" i="26" s="1"/>
  <c r="U3332" i="26" s="1"/>
  <c r="U3333" i="26" s="1"/>
  <c r="U3334" i="26" s="1"/>
  <c r="U3335" i="26" s="1"/>
  <c r="U3336" i="26" s="1"/>
  <c r="U3337" i="26" s="1"/>
  <c r="U3338" i="26" s="1"/>
  <c r="U3339" i="26" s="1"/>
  <c r="U3340" i="26" s="1"/>
  <c r="U3341" i="26" s="1"/>
  <c r="U3342" i="26" s="1"/>
  <c r="U3343" i="26" s="1"/>
  <c r="U3344" i="26" s="1"/>
  <c r="U3345" i="26" s="1"/>
  <c r="U3346" i="26" s="1"/>
  <c r="U3347" i="26" s="1"/>
  <c r="U3348" i="26" s="1"/>
  <c r="U3349" i="26" s="1"/>
  <c r="U3350" i="26" s="1"/>
  <c r="U3351" i="26" s="1"/>
  <c r="U3352" i="26" s="1"/>
  <c r="U3353" i="26" s="1"/>
  <c r="U3354" i="26" s="1"/>
  <c r="U3355" i="26" s="1"/>
  <c r="U3356" i="26" s="1"/>
  <c r="U3357" i="26" s="1"/>
  <c r="U3358" i="26" s="1"/>
  <c r="U3359" i="26" s="1"/>
  <c r="U3360" i="26" s="1"/>
  <c r="U3361" i="26" s="1"/>
  <c r="U3362" i="26" s="1"/>
  <c r="U3363" i="26" s="1"/>
  <c r="U3364" i="26" s="1"/>
  <c r="U3365" i="26" s="1"/>
  <c r="U3366" i="26" s="1"/>
  <c r="U3367" i="26" s="1"/>
  <c r="U3368" i="26" s="1"/>
  <c r="U3369" i="26" s="1"/>
  <c r="U3370" i="26" s="1"/>
  <c r="U3371" i="26" s="1"/>
  <c r="U3372" i="26" s="1"/>
  <c r="U3373" i="26" s="1"/>
  <c r="U3374" i="26" s="1"/>
  <c r="U3375" i="26" s="1"/>
  <c r="U3376" i="26" s="1"/>
  <c r="U3377" i="26" s="1"/>
  <c r="U3378" i="26" s="1"/>
  <c r="U3379" i="26" s="1"/>
  <c r="U3380" i="26" s="1"/>
  <c r="U3381" i="26" s="1"/>
  <c r="U3382" i="26" s="1"/>
  <c r="U3383" i="26" s="1"/>
  <c r="U3384" i="26" s="1"/>
  <c r="U3385" i="26" s="1"/>
  <c r="U3386" i="26" s="1"/>
  <c r="U3387" i="26" s="1"/>
  <c r="U3388" i="26" s="1"/>
  <c r="U3389" i="26" s="1"/>
  <c r="U3390" i="26" s="1"/>
  <c r="U3391" i="26" s="1"/>
  <c r="U3392" i="26" s="1"/>
  <c r="U3393" i="26" s="1"/>
  <c r="U3394" i="26" s="1"/>
  <c r="U3395" i="26" s="1"/>
  <c r="U3396" i="26" s="1"/>
  <c r="U3397" i="26" s="1"/>
  <c r="U3398" i="26" s="1"/>
  <c r="U3399" i="26" s="1"/>
  <c r="U3400" i="26" s="1"/>
  <c r="U3401" i="26" s="1"/>
  <c r="U3402" i="26" s="1"/>
  <c r="U3403" i="26" s="1"/>
  <c r="U3404" i="26" s="1"/>
  <c r="U3405" i="26" s="1"/>
  <c r="U3406" i="26" s="1"/>
  <c r="U3407" i="26" s="1"/>
  <c r="U3408" i="26" s="1"/>
  <c r="U3409" i="26" s="1"/>
  <c r="U3410" i="26" s="1"/>
  <c r="U3411" i="26" s="1"/>
  <c r="U3412" i="26" s="1"/>
  <c r="U3413" i="26" s="1"/>
  <c r="U3414" i="26" s="1"/>
  <c r="U3415" i="26" s="1"/>
  <c r="U3416" i="26" s="1"/>
  <c r="U3417" i="26" s="1"/>
  <c r="U3418" i="26" s="1"/>
  <c r="U3419" i="26" s="1"/>
  <c r="U3420" i="26" s="1"/>
  <c r="U3421" i="26" s="1"/>
  <c r="U3422" i="26" s="1"/>
  <c r="U3423" i="26" s="1"/>
  <c r="U3424" i="26" s="1"/>
  <c r="U3425" i="26" s="1"/>
  <c r="U3426" i="26" s="1"/>
  <c r="U3427" i="26" s="1"/>
  <c r="U3428" i="26" s="1"/>
  <c r="U3429" i="26" s="1"/>
  <c r="U3430" i="26" s="1"/>
  <c r="U3431" i="26" s="1"/>
  <c r="U3432" i="26" s="1"/>
  <c r="U3433" i="26" s="1"/>
  <c r="U3434" i="26" s="1"/>
  <c r="U3435" i="26" s="1"/>
  <c r="U3436" i="26" s="1"/>
  <c r="U3437" i="26" s="1"/>
  <c r="U3438" i="26" s="1"/>
  <c r="U3439" i="26" s="1"/>
  <c r="U3440" i="26" s="1"/>
  <c r="U3441" i="26" s="1"/>
  <c r="U3442" i="26" s="1"/>
  <c r="U3443" i="26" s="1"/>
  <c r="U3444" i="26" s="1"/>
  <c r="U3445" i="26" s="1"/>
  <c r="U3446" i="26" s="1"/>
  <c r="U3447" i="26" s="1"/>
  <c r="U3448" i="26" s="1"/>
  <c r="U3449" i="26" s="1"/>
  <c r="U3450" i="26" s="1"/>
  <c r="U3451" i="26" s="1"/>
  <c r="U3452" i="26" s="1"/>
  <c r="U3453" i="26" s="1"/>
  <c r="U3454" i="26" s="1"/>
  <c r="U3455" i="26" s="1"/>
  <c r="U3456" i="26" s="1"/>
  <c r="U3457" i="26" s="1"/>
  <c r="U3458" i="26" s="1"/>
  <c r="U3459" i="26" s="1"/>
  <c r="U3460" i="26" s="1"/>
  <c r="U3461" i="26" s="1"/>
  <c r="U3462" i="26" s="1"/>
  <c r="U3463" i="26" s="1"/>
  <c r="U3464" i="26" s="1"/>
  <c r="U3465" i="26" s="1"/>
  <c r="U3466" i="26" s="1"/>
  <c r="U3467" i="26" s="1"/>
  <c r="U3468" i="26" s="1"/>
  <c r="U3469" i="26" s="1"/>
  <c r="U3470" i="26" s="1"/>
  <c r="U3471" i="26" s="1"/>
  <c r="U3472" i="26" s="1"/>
  <c r="U3473" i="26" s="1"/>
  <c r="U3474" i="26" s="1"/>
  <c r="U3475" i="26" s="1"/>
  <c r="U3476" i="26" s="1"/>
  <c r="U3477" i="26" s="1"/>
  <c r="U3478" i="26" s="1"/>
  <c r="U3479" i="26" s="1"/>
  <c r="U3480" i="26" s="1"/>
  <c r="U3481" i="26" s="1"/>
  <c r="U3482" i="26" s="1"/>
  <c r="U3483" i="26" s="1"/>
  <c r="U3484" i="26" s="1"/>
  <c r="U3485" i="26" s="1"/>
  <c r="U3486" i="26" s="1"/>
  <c r="U3487" i="26" s="1"/>
  <c r="U3488" i="26" s="1"/>
  <c r="U3489" i="26" s="1"/>
  <c r="U3490" i="26" s="1"/>
  <c r="U3491" i="26" s="1"/>
  <c r="U3492" i="26" s="1"/>
  <c r="U3493" i="26" s="1"/>
  <c r="U3494" i="26" s="1"/>
  <c r="U3495" i="26" s="1"/>
  <c r="U3496" i="26" s="1"/>
  <c r="U3497" i="26" s="1"/>
  <c r="U3498" i="26" s="1"/>
  <c r="U3499" i="26" s="1"/>
  <c r="U3500" i="26" s="1"/>
  <c r="U3501" i="26" s="1"/>
  <c r="U3502" i="26" s="1"/>
  <c r="U3503" i="26" s="1"/>
  <c r="U3504" i="26" s="1"/>
  <c r="U3505" i="26" s="1"/>
  <c r="U3506" i="26" s="1"/>
  <c r="U3507" i="26" s="1"/>
  <c r="U3508" i="26" s="1"/>
  <c r="U3509" i="26" s="1"/>
  <c r="U3510" i="26" s="1"/>
  <c r="U3511" i="26" s="1"/>
  <c r="U3512" i="26" s="1"/>
  <c r="U3513" i="26" s="1"/>
  <c r="U3514" i="26" s="1"/>
  <c r="U3515" i="26" s="1"/>
  <c r="U3516" i="26" s="1"/>
  <c r="U3517" i="26" s="1"/>
  <c r="U3518" i="26" s="1"/>
  <c r="U3519" i="26" s="1"/>
  <c r="U3520" i="26" s="1"/>
  <c r="U3521" i="26" s="1"/>
  <c r="U3522" i="26" s="1"/>
  <c r="U3523" i="26" s="1"/>
  <c r="U3524" i="26" s="1"/>
  <c r="U3525" i="26" s="1"/>
  <c r="U3526" i="26" s="1"/>
  <c r="U3527" i="26" s="1"/>
  <c r="U3528" i="26" s="1"/>
  <c r="U3529" i="26" s="1"/>
  <c r="U3530" i="26" s="1"/>
  <c r="U3531" i="26" s="1"/>
  <c r="U3532" i="26" s="1"/>
  <c r="U3533" i="26" s="1"/>
  <c r="U3534" i="26" s="1"/>
  <c r="U3535" i="26" s="1"/>
  <c r="U3536" i="26" s="1"/>
  <c r="U3537" i="26" s="1"/>
  <c r="U3538" i="26" s="1"/>
  <c r="U3539" i="26" s="1"/>
  <c r="U3540" i="26" s="1"/>
  <c r="U3541" i="26" s="1"/>
  <c r="U3542" i="26" s="1"/>
  <c r="U3543" i="26" s="1"/>
  <c r="U3544" i="26" s="1"/>
  <c r="U12" i="26"/>
  <c r="U13" i="26" s="1"/>
  <c r="U14" i="26" s="1"/>
  <c r="U15" i="26" s="1"/>
  <c r="U16" i="26" s="1"/>
  <c r="U17" i="26" s="1"/>
  <c r="U18" i="26" s="1"/>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U162" i="26" s="1"/>
  <c r="U163" i="26" s="1"/>
  <c r="U164" i="26" s="1"/>
  <c r="U165" i="26" s="1"/>
  <c r="U166" i="26" s="1"/>
  <c r="U167" i="26" s="1"/>
  <c r="U168" i="26" s="1"/>
  <c r="U169" i="26" s="1"/>
  <c r="U170" i="26" s="1"/>
  <c r="U171" i="26" s="1"/>
  <c r="U172" i="26" s="1"/>
  <c r="U173" i="26" s="1"/>
  <c r="U174" i="26" s="1"/>
  <c r="U175" i="26" s="1"/>
  <c r="U176" i="26" s="1"/>
  <c r="U177" i="26" s="1"/>
  <c r="U178" i="26" s="1"/>
  <c r="U179" i="26" s="1"/>
  <c r="U180" i="26" s="1"/>
  <c r="U181" i="26" s="1"/>
  <c r="U182" i="26" s="1"/>
  <c r="U183" i="26" s="1"/>
  <c r="U184" i="26" s="1"/>
  <c r="U185" i="26" s="1"/>
  <c r="U186" i="26" s="1"/>
  <c r="U187" i="26" s="1"/>
  <c r="U188" i="26" s="1"/>
  <c r="U189" i="26" s="1"/>
  <c r="U190" i="26" s="1"/>
  <c r="U191" i="26" s="1"/>
  <c r="U192" i="26" s="1"/>
  <c r="U193" i="26" s="1"/>
  <c r="U194" i="26" s="1"/>
  <c r="U195" i="26" s="1"/>
  <c r="U196" i="26" s="1"/>
  <c r="U197" i="26" s="1"/>
  <c r="U198" i="26" s="1"/>
  <c r="U199" i="26" s="1"/>
  <c r="U200" i="26" s="1"/>
  <c r="U201" i="26" s="1"/>
  <c r="U202" i="26" s="1"/>
  <c r="U203" i="26" s="1"/>
  <c r="U204" i="26" s="1"/>
  <c r="U205" i="26" s="1"/>
  <c r="U206" i="26" s="1"/>
  <c r="U207" i="26" s="1"/>
  <c r="U208" i="26" s="1"/>
  <c r="U209" i="26" s="1"/>
  <c r="U210" i="26" s="1"/>
  <c r="U211" i="26" s="1"/>
  <c r="U212" i="26" s="1"/>
  <c r="U213" i="26" s="1"/>
  <c r="U214" i="26" s="1"/>
  <c r="U215" i="26" s="1"/>
  <c r="U216" i="26" s="1"/>
  <c r="U217" i="26" s="1"/>
  <c r="U218" i="26" s="1"/>
  <c r="U219" i="26" s="1"/>
  <c r="U220" i="26" s="1"/>
  <c r="U221" i="26" s="1"/>
  <c r="U222" i="26" s="1"/>
  <c r="U223" i="26" s="1"/>
  <c r="U224" i="26" s="1"/>
  <c r="U225" i="26" s="1"/>
  <c r="U226" i="26" s="1"/>
  <c r="U227" i="26" s="1"/>
  <c r="U228" i="26" s="1"/>
  <c r="U229" i="26" s="1"/>
  <c r="U230" i="26" s="1"/>
  <c r="U231" i="26" s="1"/>
  <c r="U232" i="26" s="1"/>
  <c r="U233" i="26" s="1"/>
  <c r="U234" i="26" s="1"/>
  <c r="U235" i="26" s="1"/>
  <c r="U236" i="26" s="1"/>
  <c r="U237" i="26" s="1"/>
  <c r="U238" i="26" s="1"/>
  <c r="U239" i="26" s="1"/>
  <c r="U240" i="26" s="1"/>
  <c r="U241" i="26" s="1"/>
  <c r="U242" i="26" s="1"/>
  <c r="U243" i="26" s="1"/>
  <c r="U244" i="26" s="1"/>
  <c r="U245" i="26" s="1"/>
  <c r="U246" i="26" s="1"/>
  <c r="U247" i="26" s="1"/>
  <c r="U248" i="26" s="1"/>
  <c r="U249" i="26" s="1"/>
  <c r="U250" i="26" s="1"/>
  <c r="U251" i="26" s="1"/>
  <c r="U252" i="26" s="1"/>
  <c r="U253" i="26" s="1"/>
  <c r="U254" i="26" s="1"/>
  <c r="U255" i="26" s="1"/>
  <c r="U256" i="26" s="1"/>
  <c r="U257" i="26" s="1"/>
  <c r="U258" i="26" s="1"/>
  <c r="U259" i="26" s="1"/>
  <c r="U260" i="26" s="1"/>
  <c r="U261" i="26" s="1"/>
  <c r="U262" i="26" s="1"/>
  <c r="U263" i="26" s="1"/>
  <c r="U264" i="26" s="1"/>
  <c r="U265" i="26" s="1"/>
  <c r="U266" i="26" s="1"/>
  <c r="U267" i="26" s="1"/>
  <c r="U268" i="26" s="1"/>
  <c r="U269" i="26" s="1"/>
  <c r="U270" i="26" s="1"/>
  <c r="U271" i="26" s="1"/>
  <c r="U272" i="26" s="1"/>
  <c r="U273" i="26" s="1"/>
  <c r="U274" i="26" s="1"/>
  <c r="U275" i="26" s="1"/>
  <c r="U276" i="26" s="1"/>
  <c r="U277" i="26" s="1"/>
  <c r="U278" i="26" s="1"/>
  <c r="U279" i="26" s="1"/>
  <c r="U280" i="26" s="1"/>
  <c r="U281" i="26" s="1"/>
  <c r="U282" i="26" s="1"/>
  <c r="U283" i="26" s="1"/>
  <c r="U284" i="26" s="1"/>
  <c r="U285" i="26" s="1"/>
  <c r="U286" i="26" s="1"/>
  <c r="U287" i="26" s="1"/>
  <c r="U288" i="26" s="1"/>
  <c r="U289" i="26" s="1"/>
  <c r="U290" i="26" s="1"/>
  <c r="U291" i="26" s="1"/>
  <c r="U292" i="26" s="1"/>
  <c r="U293" i="26" s="1"/>
  <c r="U294" i="26" s="1"/>
  <c r="U295" i="26" s="1"/>
  <c r="U296" i="26" s="1"/>
  <c r="U297" i="26" s="1"/>
  <c r="U298" i="26" s="1"/>
  <c r="U299" i="26" s="1"/>
  <c r="U300" i="26" s="1"/>
  <c r="U301" i="26" s="1"/>
  <c r="U302" i="26" s="1"/>
  <c r="U303" i="26" s="1"/>
  <c r="U304" i="26" s="1"/>
  <c r="U305" i="26" s="1"/>
  <c r="U306" i="26" s="1"/>
  <c r="U307" i="26" s="1"/>
  <c r="U308" i="26" s="1"/>
  <c r="U309" i="26" s="1"/>
  <c r="U310" i="26" s="1"/>
  <c r="U311" i="26" s="1"/>
  <c r="U312" i="26" s="1"/>
  <c r="U313" i="26" s="1"/>
  <c r="U314" i="26" s="1"/>
  <c r="U315" i="26" s="1"/>
  <c r="U316" i="26" s="1"/>
  <c r="U317" i="26" s="1"/>
  <c r="U318" i="26" s="1"/>
  <c r="U319" i="26" s="1"/>
  <c r="U320" i="26" s="1"/>
  <c r="U321" i="26" s="1"/>
  <c r="U322" i="26" s="1"/>
  <c r="U323" i="26" s="1"/>
  <c r="U324" i="26" s="1"/>
  <c r="U325" i="26" s="1"/>
  <c r="U326" i="26" s="1"/>
  <c r="U327" i="26" s="1"/>
  <c r="U328" i="26" s="1"/>
  <c r="U329" i="26" s="1"/>
  <c r="U330" i="26" s="1"/>
  <c r="U331" i="26" s="1"/>
  <c r="U332" i="26" s="1"/>
  <c r="U333" i="26" s="1"/>
  <c r="U334" i="26" s="1"/>
  <c r="U335" i="26" s="1"/>
  <c r="U336" i="26" s="1"/>
  <c r="U337" i="26" s="1"/>
  <c r="U338" i="26" s="1"/>
  <c r="U339" i="26" s="1"/>
  <c r="U340" i="26" s="1"/>
  <c r="U341" i="26" s="1"/>
  <c r="U342" i="26" s="1"/>
  <c r="U343" i="26" s="1"/>
  <c r="U344" i="26" s="1"/>
  <c r="U345" i="26" s="1"/>
  <c r="U346" i="26" s="1"/>
  <c r="U347" i="26" s="1"/>
  <c r="U348" i="26" s="1"/>
  <c r="U349" i="26" s="1"/>
  <c r="U350" i="26" s="1"/>
  <c r="U351" i="26" s="1"/>
  <c r="U352" i="26" s="1"/>
  <c r="U353" i="26" s="1"/>
  <c r="U354" i="26" s="1"/>
  <c r="U355" i="26" s="1"/>
  <c r="U356" i="26" s="1"/>
  <c r="U357" i="26" s="1"/>
  <c r="U358" i="26" s="1"/>
  <c r="U359" i="26" s="1"/>
  <c r="U360" i="26" s="1"/>
  <c r="U361" i="26" s="1"/>
  <c r="U362" i="26" s="1"/>
  <c r="U363" i="26" s="1"/>
  <c r="U364" i="26" s="1"/>
  <c r="U365" i="26" s="1"/>
  <c r="U366" i="26" s="1"/>
  <c r="U367" i="26" s="1"/>
  <c r="U368" i="26" s="1"/>
  <c r="U369" i="26" s="1"/>
  <c r="U370" i="26" s="1"/>
  <c r="U371" i="26" s="1"/>
  <c r="U372" i="26" s="1"/>
  <c r="U373" i="26" s="1"/>
  <c r="U374" i="26" s="1"/>
  <c r="U375" i="26" s="1"/>
  <c r="U376" i="26" s="1"/>
  <c r="U377" i="26" s="1"/>
  <c r="U378" i="26" s="1"/>
  <c r="U379" i="26" s="1"/>
  <c r="U380" i="26" s="1"/>
  <c r="U381" i="26" s="1"/>
  <c r="U382" i="26" s="1"/>
  <c r="U383" i="26" s="1"/>
  <c r="U384" i="26" s="1"/>
  <c r="U385" i="26" s="1"/>
  <c r="U386" i="26" s="1"/>
  <c r="U387" i="26" s="1"/>
  <c r="U388" i="26" s="1"/>
  <c r="U389" i="26" s="1"/>
  <c r="U390" i="26" s="1"/>
  <c r="U391" i="26" s="1"/>
  <c r="U392" i="26" s="1"/>
  <c r="U393" i="26" s="1"/>
  <c r="U394" i="26" s="1"/>
  <c r="U395" i="26" s="1"/>
  <c r="U396" i="26" s="1"/>
  <c r="U397" i="26" s="1"/>
  <c r="U398" i="26" s="1"/>
  <c r="U399" i="26" s="1"/>
  <c r="U400" i="26" s="1"/>
  <c r="U401" i="26" s="1"/>
  <c r="U402" i="26" s="1"/>
  <c r="U403" i="26" s="1"/>
  <c r="U404" i="26" s="1"/>
  <c r="U405" i="26" s="1"/>
  <c r="U406" i="26" s="1"/>
  <c r="U407" i="26" s="1"/>
  <c r="U408" i="26" s="1"/>
  <c r="U409" i="26" s="1"/>
  <c r="U410" i="26" s="1"/>
  <c r="U411" i="26" s="1"/>
  <c r="U412" i="26" s="1"/>
  <c r="U413" i="26" s="1"/>
  <c r="U414" i="26" s="1"/>
  <c r="U415" i="26" s="1"/>
  <c r="U416" i="26" s="1"/>
  <c r="U417" i="26" s="1"/>
  <c r="U418" i="26" s="1"/>
  <c r="U419" i="26" s="1"/>
  <c r="U420" i="26" s="1"/>
  <c r="U421" i="26" s="1"/>
  <c r="U422" i="26" s="1"/>
  <c r="U423" i="26" s="1"/>
  <c r="U424" i="26" s="1"/>
  <c r="U425" i="26" s="1"/>
  <c r="U426" i="26" s="1"/>
  <c r="U427" i="26" s="1"/>
  <c r="U428" i="26" s="1"/>
  <c r="U429" i="26" s="1"/>
  <c r="U430" i="26" s="1"/>
  <c r="U431" i="26" s="1"/>
  <c r="U432" i="26" s="1"/>
  <c r="U433" i="26" s="1"/>
  <c r="U434" i="26" s="1"/>
  <c r="U435" i="26" s="1"/>
  <c r="U436" i="26" s="1"/>
  <c r="U437" i="26" s="1"/>
  <c r="U438" i="26" s="1"/>
  <c r="U439" i="26" s="1"/>
  <c r="U440" i="26" s="1"/>
  <c r="U441" i="26" s="1"/>
  <c r="U442" i="26" s="1"/>
  <c r="U443" i="26" s="1"/>
  <c r="U444" i="26" s="1"/>
  <c r="U445" i="26" s="1"/>
  <c r="U446" i="26" s="1"/>
  <c r="U447" i="26" s="1"/>
  <c r="U448" i="26" s="1"/>
  <c r="U449" i="26" s="1"/>
  <c r="U450" i="26" s="1"/>
  <c r="U451" i="26" s="1"/>
  <c r="U452" i="26" s="1"/>
  <c r="U453" i="26" s="1"/>
  <c r="U454" i="26" s="1"/>
  <c r="U455" i="26" s="1"/>
  <c r="U456" i="26" s="1"/>
  <c r="U457" i="26" s="1"/>
  <c r="U458" i="26" s="1"/>
  <c r="U459" i="26" s="1"/>
  <c r="U460" i="26" s="1"/>
  <c r="U461" i="26" s="1"/>
  <c r="U462" i="26" s="1"/>
  <c r="U463" i="26" s="1"/>
  <c r="U464" i="26" s="1"/>
  <c r="U465" i="26" s="1"/>
  <c r="U466" i="26" s="1"/>
  <c r="U467" i="26" s="1"/>
  <c r="U468" i="26" s="1"/>
  <c r="U469" i="26" s="1"/>
  <c r="U470" i="26" s="1"/>
  <c r="U471" i="26" s="1"/>
  <c r="U472" i="26" s="1"/>
  <c r="U473" i="26" s="1"/>
  <c r="U474" i="26" s="1"/>
  <c r="U475" i="26" s="1"/>
  <c r="U476" i="26" s="1"/>
  <c r="U477" i="26" s="1"/>
  <c r="U478" i="26" s="1"/>
  <c r="U479" i="26" s="1"/>
  <c r="U480" i="26" s="1"/>
  <c r="U481" i="26" s="1"/>
  <c r="U482" i="26" s="1"/>
  <c r="U483" i="26" s="1"/>
  <c r="U484" i="26" s="1"/>
  <c r="U485" i="26" s="1"/>
  <c r="U486" i="26" s="1"/>
  <c r="U487" i="26" s="1"/>
  <c r="U488" i="26" s="1"/>
  <c r="U489" i="26" s="1"/>
  <c r="U490" i="26" s="1"/>
  <c r="U491" i="26" s="1"/>
  <c r="U492" i="26" s="1"/>
  <c r="U493" i="26" s="1"/>
  <c r="U494" i="26" s="1"/>
  <c r="U495" i="26" s="1"/>
  <c r="U496" i="26" s="1"/>
  <c r="U497" i="26" s="1"/>
  <c r="U498" i="26" s="1"/>
  <c r="U499" i="26" s="1"/>
  <c r="U500" i="26" s="1"/>
  <c r="U501" i="26" s="1"/>
  <c r="U502" i="26" s="1"/>
  <c r="U503" i="26" s="1"/>
  <c r="U504" i="26" s="1"/>
  <c r="U505" i="26" s="1"/>
  <c r="U506" i="26" s="1"/>
  <c r="U507" i="26" s="1"/>
  <c r="U508" i="26" s="1"/>
  <c r="U509" i="26" s="1"/>
  <c r="U510" i="26" s="1"/>
  <c r="U511" i="26" s="1"/>
  <c r="U512" i="26" s="1"/>
  <c r="U513" i="26" s="1"/>
  <c r="U514" i="26" s="1"/>
  <c r="U515" i="26" s="1"/>
  <c r="U516" i="26" s="1"/>
  <c r="U517" i="26" s="1"/>
  <c r="U518" i="26" s="1"/>
  <c r="U519" i="26" s="1"/>
  <c r="U520" i="26" s="1"/>
  <c r="U521" i="26" s="1"/>
  <c r="U522" i="26" s="1"/>
  <c r="U523" i="26" s="1"/>
  <c r="U524" i="26" s="1"/>
  <c r="U525" i="26" s="1"/>
  <c r="U526" i="26" s="1"/>
  <c r="U527" i="26" s="1"/>
  <c r="U528" i="26" s="1"/>
  <c r="C5" i="26" l="1"/>
  <c r="H40" i="25"/>
  <c r="E40" i="25"/>
  <c r="J40" i="25" s="1"/>
  <c r="H39" i="25"/>
  <c r="E39" i="25"/>
  <c r="J39" i="25" s="1"/>
  <c r="H38" i="25"/>
  <c r="E38" i="25"/>
  <c r="J38" i="25" l="1"/>
  <c r="C6" i="26" l="1"/>
  <c r="J14" i="6"/>
  <c r="J15" i="6"/>
  <c r="C7" i="26" l="1"/>
  <c r="K2" i="25"/>
  <c r="L2" i="25"/>
  <c r="C8" i="26" l="1"/>
  <c r="K3" i="25"/>
  <c r="K40" i="25"/>
  <c r="K38" i="25"/>
  <c r="K39" i="25"/>
  <c r="K4" i="25"/>
  <c r="H6" i="25"/>
  <c r="J6" i="25"/>
  <c r="K6" i="25"/>
  <c r="E7" i="25"/>
  <c r="J7" i="25" s="1"/>
  <c r="H7" i="25"/>
  <c r="C9" i="26" l="1"/>
  <c r="K7" i="25"/>
  <c r="E8" i="25"/>
  <c r="J8" i="25" s="1"/>
  <c r="H8" i="25"/>
  <c r="E9" i="25"/>
  <c r="K9" i="25" s="1"/>
  <c r="H9" i="25"/>
  <c r="E10" i="25"/>
  <c r="K10" i="25" s="1"/>
  <c r="H10" i="25"/>
  <c r="E11" i="25"/>
  <c r="J11" i="25" s="1"/>
  <c r="H11" i="25"/>
  <c r="E12" i="25"/>
  <c r="K12" i="25" s="1"/>
  <c r="H12" i="25"/>
  <c r="E13" i="25"/>
  <c r="J13" i="25" s="1"/>
  <c r="H13" i="25"/>
  <c r="E14" i="25"/>
  <c r="K14" i="25" s="1"/>
  <c r="H14" i="25"/>
  <c r="E15" i="25"/>
  <c r="K15" i="25" s="1"/>
  <c r="H15" i="25"/>
  <c r="E16" i="25"/>
  <c r="K16" i="25" s="1"/>
  <c r="H16" i="25"/>
  <c r="E17" i="25"/>
  <c r="J17" i="25" s="1"/>
  <c r="H17" i="25"/>
  <c r="E18" i="25"/>
  <c r="K18" i="25" s="1"/>
  <c r="H18" i="25"/>
  <c r="E19" i="25"/>
  <c r="J19" i="25" s="1"/>
  <c r="H19" i="25"/>
  <c r="E20" i="25"/>
  <c r="K20" i="25" s="1"/>
  <c r="H20" i="25"/>
  <c r="E21" i="25"/>
  <c r="K21" i="25" s="1"/>
  <c r="H21" i="25"/>
  <c r="E22" i="25"/>
  <c r="J22" i="25" s="1"/>
  <c r="H22" i="25"/>
  <c r="V11" i="26"/>
  <c r="W11" i="26"/>
  <c r="L4" i="25"/>
  <c r="L7" i="25"/>
  <c r="M4" i="25"/>
  <c r="L40" i="25"/>
  <c r="M40" i="25" s="1"/>
  <c r="L38" i="25"/>
  <c r="L6" i="25"/>
  <c r="E4" i="26" l="1"/>
  <c r="E5" i="26"/>
  <c r="E6" i="26"/>
  <c r="E7" i="26"/>
  <c r="E8" i="26"/>
  <c r="E9" i="26"/>
  <c r="E3" i="26"/>
  <c r="J15" i="25"/>
  <c r="J18" i="25"/>
  <c r="J21" i="25"/>
  <c r="K11" i="25"/>
  <c r="J14" i="25"/>
  <c r="J20" i="25"/>
  <c r="K13" i="25"/>
  <c r="J9" i="25"/>
  <c r="J16" i="25"/>
  <c r="K17" i="25"/>
  <c r="K19" i="25"/>
  <c r="J10" i="25"/>
  <c r="J12" i="25"/>
  <c r="K8" i="25"/>
  <c r="K22" i="25"/>
  <c r="E23" i="25"/>
  <c r="J23" i="25" s="1"/>
  <c r="H23" i="25"/>
  <c r="E24" i="25"/>
  <c r="K24" i="25" s="1"/>
  <c r="H24" i="25"/>
  <c r="E25" i="25"/>
  <c r="J25" i="25" s="1"/>
  <c r="H25" i="25"/>
  <c r="E26" i="25"/>
  <c r="K26" i="25" s="1"/>
  <c r="H26" i="25"/>
  <c r="E27" i="25"/>
  <c r="J27" i="25" s="1"/>
  <c r="H27" i="25"/>
  <c r="E28" i="25"/>
  <c r="K28" i="25" s="1"/>
  <c r="H28" i="25"/>
  <c r="E29" i="25"/>
  <c r="J29" i="25" s="1"/>
  <c r="H29" i="25"/>
  <c r="E30" i="25"/>
  <c r="K30" i="25" s="1"/>
  <c r="H30" i="25"/>
  <c r="E31" i="25"/>
  <c r="J31" i="25" s="1"/>
  <c r="H31" i="25"/>
  <c r="E32" i="25"/>
  <c r="K32" i="25" s="1"/>
  <c r="H32" i="25"/>
  <c r="E33" i="25"/>
  <c r="J33" i="25" s="1"/>
  <c r="H33" i="25"/>
  <c r="E34" i="25"/>
  <c r="K34" i="25" s="1"/>
  <c r="H34" i="25"/>
  <c r="E35" i="25"/>
  <c r="J35" i="25" s="1"/>
  <c r="H35" i="25"/>
  <c r="E36" i="25"/>
  <c r="K36" i="25" s="1"/>
  <c r="H36" i="25"/>
  <c r="E37" i="25"/>
  <c r="J37" i="25" s="1"/>
  <c r="H37" i="25"/>
  <c r="E41" i="25"/>
  <c r="K41" i="25" s="1"/>
  <c r="H41" i="25"/>
  <c r="J36" i="25" l="1"/>
  <c r="J34" i="25"/>
  <c r="J24" i="25"/>
  <c r="J26" i="25"/>
  <c r="J41" i="25"/>
  <c r="J28" i="25"/>
  <c r="J30" i="25"/>
  <c r="J32" i="25"/>
  <c r="K37" i="25"/>
  <c r="K35" i="25"/>
  <c r="K33" i="25"/>
  <c r="K31" i="25"/>
  <c r="K29" i="25"/>
  <c r="K27" i="25"/>
  <c r="K25" i="25"/>
  <c r="K23" i="25"/>
  <c r="L3" i="25"/>
  <c r="L11" i="25"/>
  <c r="L20" i="25"/>
  <c r="L9" i="25"/>
  <c r="V12" i="26"/>
  <c r="L19" i="25"/>
  <c r="L13" i="25"/>
  <c r="M6" i="25"/>
  <c r="L16" i="25"/>
  <c r="W12" i="26"/>
  <c r="M38" i="25"/>
  <c r="L18" i="25"/>
  <c r="L22" i="25"/>
  <c r="L39" i="25"/>
  <c r="L12" i="25"/>
  <c r="L10" i="25"/>
  <c r="L14" i="25"/>
  <c r="L17" i="25"/>
  <c r="L21" i="25"/>
  <c r="L15" i="25"/>
  <c r="V13" i="26"/>
  <c r="V14" i="26"/>
  <c r="L8" i="25"/>
  <c r="W13" i="26"/>
  <c r="M7" i="25"/>
  <c r="M9" i="25"/>
  <c r="M12" i="25"/>
  <c r="M18" i="25"/>
  <c r="M20" i="25"/>
  <c r="L37" i="25"/>
  <c r="M17" i="25"/>
  <c r="L33" i="25"/>
  <c r="L35" i="25"/>
  <c r="L29" i="25"/>
  <c r="L27" i="25"/>
  <c r="L25" i="25"/>
  <c r="L31" i="25"/>
  <c r="M16" i="25"/>
  <c r="M22" i="25"/>
  <c r="M14" i="25"/>
  <c r="L23" i="25"/>
  <c r="M8" i="25"/>
  <c r="M15" i="25"/>
  <c r="M10" i="25"/>
  <c r="M21" i="25"/>
  <c r="L34" i="25"/>
  <c r="L24" i="25"/>
  <c r="L26" i="25"/>
  <c r="L36" i="25"/>
  <c r="L28" i="25"/>
  <c r="L30" i="25"/>
  <c r="L32" i="25"/>
  <c r="L41" i="25"/>
  <c r="M13" i="25"/>
  <c r="M19" i="25"/>
  <c r="M11" i="25"/>
  <c r="V15" i="26"/>
  <c r="W14" i="26"/>
  <c r="V16" i="26"/>
  <c r="W15" i="26"/>
  <c r="W16" i="26"/>
  <c r="V17" i="26"/>
  <c r="W17" i="26"/>
  <c r="V18" i="26"/>
  <c r="V19" i="26"/>
  <c r="W18" i="26"/>
  <c r="W19" i="26"/>
  <c r="V20" i="26"/>
  <c r="V21" i="26"/>
  <c r="W20" i="26"/>
  <c r="W21" i="26"/>
  <c r="V22" i="26"/>
  <c r="V23" i="26"/>
  <c r="W22" i="26"/>
  <c r="V24" i="26"/>
  <c r="W23" i="26"/>
  <c r="V25" i="26"/>
  <c r="W24" i="26"/>
  <c r="V26" i="26"/>
  <c r="W25" i="26"/>
  <c r="W26" i="26"/>
  <c r="V27" i="26"/>
  <c r="V28" i="26"/>
  <c r="W27" i="26"/>
  <c r="V29" i="26"/>
  <c r="W28" i="26"/>
  <c r="W29" i="26"/>
  <c r="V30" i="26"/>
  <c r="V31" i="26"/>
  <c r="W30" i="26"/>
  <c r="V32" i="26"/>
  <c r="W31" i="26"/>
  <c r="V33" i="26"/>
  <c r="W32" i="26"/>
  <c r="V34" i="26"/>
  <c r="W33" i="26"/>
  <c r="W34" i="26"/>
  <c r="V35" i="26"/>
  <c r="V36" i="26"/>
  <c r="W35" i="26"/>
  <c r="W36" i="26"/>
  <c r="V37" i="26"/>
  <c r="V38" i="26"/>
  <c r="W37" i="26"/>
  <c r="W38" i="26"/>
  <c r="V39" i="26"/>
  <c r="W39" i="26"/>
  <c r="V40" i="26"/>
  <c r="V41" i="26"/>
  <c r="W40" i="26"/>
  <c r="V42" i="26"/>
  <c r="W41" i="26"/>
  <c r="V43" i="26"/>
  <c r="W42" i="26"/>
  <c r="W43" i="26"/>
  <c r="V44" i="26"/>
  <c r="V45" i="26"/>
  <c r="W44" i="26"/>
  <c r="V46" i="26"/>
  <c r="W45" i="26"/>
  <c r="V47" i="26"/>
  <c r="W46" i="26"/>
  <c r="W47" i="26"/>
  <c r="V48" i="26"/>
  <c r="V49" i="26"/>
  <c r="W48" i="26"/>
  <c r="W49" i="26"/>
  <c r="V50" i="26"/>
  <c r="W50" i="26"/>
  <c r="V51" i="26"/>
  <c r="W51" i="26"/>
  <c r="V52" i="26"/>
  <c r="W52" i="26"/>
  <c r="V53" i="26"/>
  <c r="W53" i="26"/>
  <c r="V54" i="26"/>
  <c r="V55" i="26"/>
  <c r="W54" i="26"/>
  <c r="W55" i="26"/>
  <c r="V56" i="26"/>
  <c r="V57" i="26"/>
  <c r="W56" i="26"/>
  <c r="W57" i="26"/>
  <c r="V58" i="26"/>
  <c r="W58" i="26"/>
  <c r="V59" i="26"/>
  <c r="V60" i="26"/>
  <c r="W59" i="26"/>
  <c r="V61" i="26"/>
  <c r="W60" i="26"/>
  <c r="W61" i="26"/>
  <c r="V62" i="26"/>
  <c r="V63" i="26"/>
  <c r="W62" i="26"/>
  <c r="W63" i="26"/>
  <c r="V64" i="26"/>
  <c r="V65" i="26"/>
  <c r="W64" i="26"/>
  <c r="W65" i="26"/>
  <c r="V66" i="26"/>
  <c r="W66" i="26"/>
  <c r="V67" i="26"/>
  <c r="V68" i="26"/>
  <c r="W67" i="26"/>
  <c r="W68" i="26"/>
  <c r="V69" i="26"/>
  <c r="V70" i="26"/>
  <c r="W69" i="26"/>
  <c r="V71" i="26"/>
  <c r="W70" i="26"/>
  <c r="W71" i="26"/>
  <c r="V72" i="26"/>
  <c r="V73" i="26"/>
  <c r="W72" i="26"/>
  <c r="V74" i="26"/>
  <c r="W73" i="26"/>
  <c r="W74" i="26"/>
  <c r="V75" i="26"/>
  <c r="W75" i="26"/>
  <c r="V76" i="26"/>
  <c r="V77" i="26"/>
  <c r="W76" i="26"/>
  <c r="W77" i="26"/>
  <c r="V78" i="26"/>
  <c r="W78" i="26"/>
  <c r="V79" i="26"/>
  <c r="W79" i="26"/>
  <c r="V80" i="26"/>
  <c r="W80" i="26"/>
  <c r="V81" i="26"/>
  <c r="W81" i="26"/>
  <c r="V82" i="26"/>
  <c r="W82" i="26"/>
  <c r="V83" i="26"/>
  <c r="V84" i="26"/>
  <c r="W83" i="26"/>
  <c r="W84" i="26"/>
  <c r="V85" i="26"/>
  <c r="W85" i="26"/>
  <c r="V86" i="26"/>
  <c r="W86" i="26"/>
  <c r="V87" i="26"/>
  <c r="V88" i="26"/>
  <c r="W87" i="26"/>
  <c r="V89" i="26"/>
  <c r="W88" i="26"/>
  <c r="V90" i="26"/>
  <c r="W89" i="26"/>
  <c r="W90" i="26"/>
  <c r="V91" i="26"/>
  <c r="W91" i="26"/>
  <c r="V92" i="26"/>
  <c r="W92" i="26"/>
  <c r="V93" i="26"/>
  <c r="W93" i="26"/>
  <c r="V94" i="26"/>
  <c r="V95" i="26"/>
  <c r="W94" i="26"/>
  <c r="W95" i="26"/>
  <c r="V96" i="26"/>
  <c r="W96" i="26"/>
  <c r="V97" i="26"/>
  <c r="V98" i="26"/>
  <c r="W97" i="26"/>
  <c r="W98" i="26"/>
  <c r="V99" i="26"/>
  <c r="V100" i="26"/>
  <c r="W99" i="26"/>
  <c r="W100" i="26"/>
  <c r="V101" i="26"/>
  <c r="V102" i="26"/>
  <c r="W101" i="26"/>
  <c r="V103" i="26"/>
  <c r="W102" i="26"/>
  <c r="W103" i="26"/>
  <c r="V104" i="26"/>
  <c r="W104" i="26"/>
  <c r="V105" i="26"/>
  <c r="V106" i="26"/>
  <c r="W105" i="26"/>
  <c r="W106" i="26"/>
  <c r="V107" i="26"/>
  <c r="W107" i="26"/>
  <c r="V108" i="26"/>
  <c r="V109" i="26"/>
  <c r="W108" i="26"/>
  <c r="W109" i="26"/>
  <c r="V110" i="26"/>
  <c r="V111" i="26"/>
  <c r="W110" i="26"/>
  <c r="V112" i="26"/>
  <c r="W111" i="26"/>
  <c r="V113" i="26"/>
  <c r="W112" i="26"/>
  <c r="W113" i="26"/>
  <c r="V114" i="26"/>
  <c r="W114" i="26"/>
  <c r="V115" i="26"/>
  <c r="W115" i="26"/>
  <c r="V116" i="26"/>
  <c r="W116" i="26"/>
  <c r="V117" i="26"/>
  <c r="V118" i="26"/>
  <c r="W117" i="26"/>
  <c r="W118" i="26"/>
  <c r="V119" i="26"/>
  <c r="V120" i="26"/>
  <c r="W119" i="26"/>
  <c r="V121" i="26"/>
  <c r="W120" i="26"/>
  <c r="V122" i="26"/>
  <c r="W121" i="26"/>
  <c r="V123" i="26"/>
  <c r="W122" i="26"/>
  <c r="W123" i="26"/>
  <c r="V124" i="26"/>
  <c r="W124" i="26"/>
  <c r="V125" i="26"/>
  <c r="W125" i="26"/>
  <c r="V126" i="26"/>
  <c r="V127" i="26"/>
  <c r="W126" i="26"/>
  <c r="W127" i="26"/>
  <c r="V128" i="26"/>
  <c r="W128" i="26"/>
  <c r="V129" i="26"/>
  <c r="W129" i="26"/>
  <c r="V130" i="26"/>
  <c r="V131" i="26"/>
  <c r="W130" i="26"/>
  <c r="V132" i="26"/>
  <c r="W131" i="26"/>
  <c r="W132" i="26"/>
  <c r="V133" i="26"/>
  <c r="W133" i="26"/>
  <c r="V134" i="26"/>
  <c r="W134" i="26"/>
  <c r="V135" i="26"/>
  <c r="W135" i="26"/>
  <c r="V136" i="26"/>
  <c r="V137" i="26"/>
  <c r="W136" i="26"/>
  <c r="V138" i="26"/>
  <c r="W137" i="26"/>
  <c r="W138" i="26"/>
  <c r="V139" i="26"/>
  <c r="V140" i="26"/>
  <c r="W139" i="26"/>
  <c r="V141" i="26"/>
  <c r="W140" i="26"/>
  <c r="V142" i="26"/>
  <c r="W141" i="26"/>
  <c r="V143" i="26"/>
  <c r="W142" i="26"/>
  <c r="V144" i="26"/>
  <c r="W143" i="26"/>
  <c r="V145" i="26"/>
  <c r="W144" i="26"/>
  <c r="W145" i="26"/>
  <c r="V146" i="26"/>
  <c r="W146" i="26"/>
  <c r="V147" i="26"/>
  <c r="W147" i="26"/>
  <c r="V148" i="26"/>
  <c r="W148" i="26"/>
  <c r="V149" i="26"/>
  <c r="V150" i="26"/>
  <c r="W149" i="26"/>
  <c r="W150" i="26"/>
  <c r="V151" i="26"/>
  <c r="W151" i="26"/>
  <c r="V152" i="26"/>
  <c r="V153" i="26"/>
  <c r="W152" i="26"/>
  <c r="V154" i="26"/>
  <c r="W153" i="26"/>
  <c r="V155" i="26"/>
  <c r="W154" i="26"/>
  <c r="V156" i="26"/>
  <c r="W155" i="26"/>
  <c r="W156" i="26"/>
  <c r="V157" i="26"/>
  <c r="V158" i="26"/>
  <c r="W157" i="26"/>
  <c r="W158" i="26"/>
  <c r="V159" i="26"/>
  <c r="V160" i="26"/>
  <c r="W159" i="26"/>
  <c r="W160" i="26"/>
  <c r="V161" i="26"/>
  <c r="V162" i="26"/>
  <c r="W161" i="26"/>
  <c r="W162" i="26"/>
  <c r="V163" i="26"/>
  <c r="V164" i="26"/>
  <c r="W163" i="26"/>
  <c r="W164" i="26"/>
  <c r="V165" i="26"/>
  <c r="V166" i="26"/>
  <c r="W165" i="26"/>
  <c r="V167" i="26"/>
  <c r="W166" i="26"/>
  <c r="V168" i="26"/>
  <c r="W167" i="26"/>
  <c r="W168" i="26"/>
  <c r="V169" i="26"/>
  <c r="V170" i="26"/>
  <c r="W169" i="26"/>
  <c r="W170" i="26"/>
  <c r="V171" i="26"/>
  <c r="W171" i="26"/>
  <c r="V172" i="26"/>
  <c r="V173" i="26"/>
  <c r="W172" i="26"/>
  <c r="W173" i="26"/>
  <c r="V174" i="26"/>
  <c r="V175" i="26"/>
  <c r="W174" i="26"/>
  <c r="V176" i="26"/>
  <c r="W175" i="26"/>
  <c r="W176" i="26"/>
  <c r="V177" i="26"/>
  <c r="V178" i="26"/>
  <c r="W177" i="26"/>
  <c r="W178" i="26"/>
  <c r="V179" i="26"/>
  <c r="V180" i="26"/>
  <c r="W179" i="26"/>
  <c r="W180" i="26"/>
  <c r="V181" i="26"/>
  <c r="V182" i="26"/>
  <c r="W181" i="26"/>
  <c r="V183" i="26"/>
  <c r="W182" i="26"/>
  <c r="W183" i="26"/>
  <c r="V184" i="26"/>
  <c r="V185" i="26"/>
  <c r="W184" i="26"/>
  <c r="W185" i="26"/>
  <c r="V186" i="26"/>
  <c r="V187" i="26"/>
  <c r="W186" i="26"/>
  <c r="V188" i="26"/>
  <c r="W187" i="26"/>
  <c r="W188" i="26"/>
  <c r="V189" i="26"/>
  <c r="W189" i="26"/>
  <c r="V190" i="26"/>
  <c r="V191" i="26"/>
  <c r="W190" i="26"/>
  <c r="W191" i="26"/>
  <c r="V192" i="26"/>
  <c r="W192" i="26"/>
  <c r="V193" i="26"/>
  <c r="W193" i="26"/>
  <c r="V194" i="26"/>
  <c r="W194" i="26"/>
  <c r="V195" i="26"/>
  <c r="V196" i="26"/>
  <c r="W195" i="26"/>
  <c r="W196" i="26"/>
  <c r="V197" i="26"/>
  <c r="V198" i="26"/>
  <c r="W197" i="26"/>
  <c r="V199" i="26"/>
  <c r="W198" i="26"/>
  <c r="W199" i="26"/>
  <c r="V200" i="26"/>
  <c r="V201" i="26"/>
  <c r="W200" i="26"/>
  <c r="V202" i="26"/>
  <c r="W201" i="26"/>
  <c r="V203" i="26"/>
  <c r="W202" i="26"/>
  <c r="V204" i="26"/>
  <c r="W203" i="26"/>
  <c r="V205" i="26"/>
  <c r="W204" i="26"/>
  <c r="W205" i="26"/>
  <c r="V206" i="26"/>
  <c r="V207" i="26"/>
  <c r="W206" i="26"/>
  <c r="V208" i="26"/>
  <c r="W207" i="26"/>
  <c r="W208" i="26"/>
  <c r="V209" i="26"/>
  <c r="W209" i="26"/>
  <c r="V210" i="26"/>
  <c r="V211" i="26"/>
  <c r="W210" i="26"/>
  <c r="V212" i="26"/>
  <c r="W211" i="26"/>
  <c r="W212" i="26"/>
  <c r="V213" i="26"/>
  <c r="W213" i="26"/>
  <c r="V214" i="26"/>
  <c r="W214" i="26"/>
  <c r="V215" i="26"/>
  <c r="W215" i="26"/>
  <c r="V216" i="26"/>
  <c r="V217" i="26"/>
  <c r="W216" i="26"/>
  <c r="W217" i="26"/>
  <c r="V218" i="26"/>
  <c r="V219" i="26"/>
  <c r="W218" i="26"/>
  <c r="V220" i="26"/>
  <c r="W219" i="26"/>
  <c r="W220" i="26"/>
  <c r="V221" i="26"/>
  <c r="V222" i="26"/>
  <c r="W221" i="26"/>
  <c r="V223" i="26"/>
  <c r="W222" i="26"/>
  <c r="W223" i="26"/>
  <c r="V224" i="26"/>
  <c r="W224" i="26"/>
  <c r="V225" i="26"/>
  <c r="V226" i="26"/>
  <c r="W225" i="26"/>
  <c r="V227" i="26"/>
  <c r="W226" i="26"/>
  <c r="W227" i="26"/>
  <c r="V228" i="26"/>
  <c r="W228" i="26"/>
  <c r="V229" i="26"/>
  <c r="V230" i="26"/>
  <c r="W229" i="26"/>
  <c r="V231" i="26"/>
  <c r="W230" i="26"/>
  <c r="W231" i="26"/>
  <c r="V232" i="26"/>
  <c r="W232" i="26"/>
  <c r="V233" i="26"/>
  <c r="V234" i="26"/>
  <c r="W233" i="26"/>
  <c r="V235" i="26"/>
  <c r="W234" i="26"/>
  <c r="V236" i="26"/>
  <c r="W235" i="26"/>
  <c r="W236" i="26"/>
  <c r="V237" i="26"/>
  <c r="V238" i="26"/>
  <c r="W237" i="26"/>
  <c r="V239" i="26"/>
  <c r="W238" i="26"/>
  <c r="V240" i="26"/>
  <c r="W239" i="26"/>
  <c r="V241" i="26"/>
  <c r="W240" i="26"/>
  <c r="W241" i="26"/>
  <c r="V242" i="26"/>
  <c r="V243" i="26"/>
  <c r="W242" i="26"/>
  <c r="W243" i="26"/>
  <c r="V244" i="26"/>
  <c r="W244" i="26"/>
  <c r="V245" i="26"/>
  <c r="W245" i="26"/>
  <c r="V246" i="26"/>
  <c r="W246" i="26"/>
  <c r="V247" i="26"/>
  <c r="W247" i="26"/>
  <c r="V248" i="26"/>
  <c r="V249" i="26"/>
  <c r="W248" i="26"/>
  <c r="W249" i="26"/>
  <c r="V250" i="26"/>
  <c r="V251" i="26"/>
  <c r="W250" i="26"/>
  <c r="W251" i="26"/>
  <c r="V252" i="26"/>
  <c r="V253" i="26"/>
  <c r="W252" i="26"/>
  <c r="V254" i="26"/>
  <c r="W253" i="26"/>
  <c r="V255" i="26"/>
  <c r="W254" i="26"/>
  <c r="W255" i="26"/>
  <c r="V256" i="26"/>
  <c r="W256" i="26"/>
  <c r="V257" i="26"/>
  <c r="V258" i="26"/>
  <c r="W257" i="26"/>
  <c r="V259" i="26"/>
  <c r="W258" i="26"/>
  <c r="V260" i="26"/>
  <c r="W259" i="26"/>
  <c r="W260" i="26"/>
  <c r="V261" i="26"/>
  <c r="V262" i="26"/>
  <c r="W261" i="26"/>
  <c r="W262" i="26"/>
  <c r="V263" i="26"/>
  <c r="W263" i="26"/>
  <c r="V264" i="26"/>
  <c r="V265" i="26"/>
  <c r="W264" i="26"/>
  <c r="V266" i="26"/>
  <c r="W265" i="26"/>
  <c r="V267" i="26"/>
  <c r="W266" i="26"/>
  <c r="W267" i="26"/>
  <c r="V268" i="26"/>
  <c r="W268" i="26"/>
  <c r="V269" i="26"/>
  <c r="V270" i="26"/>
  <c r="W269" i="26"/>
  <c r="V271" i="26"/>
  <c r="W270" i="26"/>
  <c r="V272" i="26"/>
  <c r="W271" i="26"/>
  <c r="W272" i="26"/>
  <c r="V273" i="26"/>
  <c r="V274" i="26"/>
  <c r="W273" i="26"/>
  <c r="W274" i="26"/>
  <c r="V275" i="26"/>
  <c r="V276" i="26"/>
  <c r="W275" i="26"/>
  <c r="W276" i="26"/>
  <c r="V277" i="26"/>
  <c r="W277" i="26"/>
  <c r="V278" i="26"/>
  <c r="V279" i="26"/>
  <c r="W278" i="26"/>
  <c r="V280" i="26"/>
  <c r="W279" i="26"/>
  <c r="V281" i="26"/>
  <c r="W280" i="26"/>
  <c r="W281" i="26"/>
  <c r="V282" i="26"/>
  <c r="W282" i="26"/>
  <c r="V283" i="26"/>
  <c r="V284" i="26"/>
  <c r="W283" i="26"/>
  <c r="W284" i="26"/>
  <c r="V285" i="26"/>
  <c r="W285" i="26"/>
  <c r="V286" i="26"/>
  <c r="W286" i="26"/>
  <c r="V287" i="26"/>
  <c r="V288" i="26"/>
  <c r="W287" i="26"/>
  <c r="V289" i="26"/>
  <c r="W288" i="26"/>
  <c r="V290" i="26"/>
  <c r="W289" i="26"/>
  <c r="W290" i="26"/>
  <c r="V291" i="26"/>
  <c r="V292" i="26"/>
  <c r="W291" i="26"/>
  <c r="W292" i="26"/>
  <c r="V293" i="26"/>
  <c r="V294" i="26"/>
  <c r="W293" i="26"/>
  <c r="W294" i="26"/>
  <c r="V295" i="26"/>
  <c r="V296" i="26"/>
  <c r="W295" i="26"/>
  <c r="W296" i="26"/>
  <c r="V297" i="26"/>
  <c r="W297" i="26"/>
  <c r="V298" i="26"/>
  <c r="W298" i="26"/>
  <c r="V299" i="26"/>
  <c r="V300" i="26"/>
  <c r="W299" i="26"/>
  <c r="W300" i="26"/>
  <c r="V301" i="26"/>
  <c r="V302" i="26"/>
  <c r="W301" i="26"/>
  <c r="V303" i="26"/>
  <c r="W302" i="26"/>
  <c r="V304" i="26"/>
  <c r="W303" i="26"/>
  <c r="V305" i="26"/>
  <c r="W304" i="26"/>
  <c r="V306" i="26"/>
  <c r="W305" i="26"/>
  <c r="V307" i="26"/>
  <c r="W306" i="26"/>
  <c r="W307" i="26"/>
  <c r="V308" i="26"/>
  <c r="W308" i="26"/>
  <c r="V309" i="26"/>
  <c r="W309" i="26"/>
  <c r="V310" i="26"/>
  <c r="V311" i="26"/>
  <c r="W310" i="26"/>
  <c r="W311" i="26"/>
  <c r="V312" i="26"/>
  <c r="V313" i="26"/>
  <c r="W312" i="26"/>
  <c r="W313" i="26"/>
  <c r="V314" i="26"/>
  <c r="W314" i="26"/>
  <c r="V315" i="26"/>
  <c r="W315" i="26"/>
  <c r="V316" i="26"/>
  <c r="V317" i="26"/>
  <c r="W316" i="26"/>
  <c r="W317" i="26"/>
  <c r="V318" i="26"/>
  <c r="W318" i="26"/>
  <c r="V319" i="26"/>
  <c r="W319" i="26"/>
  <c r="V320" i="26"/>
  <c r="V321" i="26"/>
  <c r="W320" i="26"/>
  <c r="V322" i="26"/>
  <c r="W321" i="26"/>
  <c r="V323" i="26"/>
  <c r="W322" i="26"/>
  <c r="V324" i="26"/>
  <c r="W323" i="26"/>
  <c r="W324" i="26"/>
  <c r="V325" i="26"/>
  <c r="W325" i="26"/>
  <c r="V326" i="26"/>
  <c r="V327" i="26"/>
  <c r="W326" i="26"/>
  <c r="W327" i="26"/>
  <c r="V328" i="26"/>
  <c r="W328" i="26"/>
  <c r="V329" i="26"/>
  <c r="V330" i="26"/>
  <c r="W329" i="26"/>
  <c r="W330" i="26"/>
  <c r="V331" i="26"/>
  <c r="V332" i="26"/>
  <c r="W331" i="26"/>
  <c r="W332" i="26"/>
  <c r="V333" i="26"/>
  <c r="V334" i="26"/>
  <c r="W333" i="26"/>
  <c r="V335" i="26"/>
  <c r="W334" i="26"/>
  <c r="V336" i="26"/>
  <c r="W335" i="26"/>
  <c r="W336" i="26"/>
  <c r="V337" i="26"/>
  <c r="V338" i="26"/>
  <c r="W337" i="26"/>
  <c r="W338" i="26"/>
  <c r="V339" i="26"/>
  <c r="W339" i="26"/>
  <c r="V340" i="26"/>
  <c r="V341" i="26"/>
  <c r="W340" i="26"/>
  <c r="W341" i="26"/>
  <c r="V342" i="26"/>
  <c r="W342" i="26"/>
  <c r="V343" i="26"/>
  <c r="W343" i="26"/>
  <c r="V344" i="26"/>
  <c r="W344" i="26"/>
  <c r="V345" i="26"/>
  <c r="V346" i="26"/>
  <c r="W345" i="26"/>
  <c r="V347" i="26"/>
  <c r="W346" i="26"/>
  <c r="V348" i="26"/>
  <c r="W347" i="26"/>
  <c r="V349" i="26"/>
  <c r="W348" i="26"/>
  <c r="V350" i="26"/>
  <c r="W349" i="26"/>
  <c r="V351" i="26"/>
  <c r="W350" i="26"/>
  <c r="W351" i="26"/>
  <c r="V352" i="26"/>
  <c r="V353" i="26"/>
  <c r="W352" i="26"/>
  <c r="W353" i="26"/>
  <c r="V354" i="26"/>
  <c r="V355" i="26"/>
  <c r="W354" i="26"/>
  <c r="W355" i="26"/>
  <c r="V356" i="26"/>
  <c r="W356" i="26"/>
  <c r="V357" i="26"/>
  <c r="W357" i="26"/>
  <c r="V358" i="26"/>
  <c r="W358" i="26"/>
  <c r="V359" i="26"/>
  <c r="W359" i="26"/>
  <c r="V360" i="26"/>
  <c r="W360" i="26"/>
  <c r="V361" i="26"/>
  <c r="W361" i="26"/>
  <c r="V362" i="26"/>
  <c r="W362" i="26"/>
  <c r="V363" i="26"/>
  <c r="V364" i="26"/>
  <c r="W363" i="26"/>
  <c r="W364" i="26"/>
  <c r="V365" i="26"/>
  <c r="W365" i="26"/>
  <c r="V366" i="26"/>
  <c r="V367" i="26"/>
  <c r="W366" i="26"/>
  <c r="V368" i="26"/>
  <c r="W367" i="26"/>
  <c r="W368" i="26"/>
  <c r="V369" i="26"/>
  <c r="V370" i="26"/>
  <c r="W369" i="26"/>
  <c r="W370" i="26"/>
  <c r="V371" i="26"/>
  <c r="V372" i="26"/>
  <c r="W371" i="26"/>
  <c r="V373" i="26"/>
  <c r="W372" i="26"/>
  <c r="W373" i="26"/>
  <c r="V374" i="26"/>
  <c r="V375" i="26"/>
  <c r="W374" i="26"/>
  <c r="W375" i="26"/>
  <c r="V376" i="26"/>
  <c r="W376" i="26"/>
  <c r="V377" i="26"/>
  <c r="W377" i="26"/>
  <c r="V378" i="26"/>
  <c r="V379" i="26"/>
  <c r="W378" i="26"/>
  <c r="V380" i="26"/>
  <c r="W379" i="26"/>
  <c r="V381" i="26"/>
  <c r="W380" i="26"/>
  <c r="V382" i="26"/>
  <c r="W381" i="26"/>
  <c r="V383" i="26"/>
  <c r="W382" i="26"/>
  <c r="V384" i="26"/>
  <c r="W383" i="26"/>
  <c r="V385" i="26"/>
  <c r="W384" i="26"/>
  <c r="V386" i="26"/>
  <c r="W385" i="26"/>
  <c r="W386" i="26"/>
  <c r="V387" i="26"/>
  <c r="V388" i="26"/>
  <c r="W387" i="26"/>
  <c r="W388" i="26"/>
  <c r="V389" i="26"/>
  <c r="W389" i="26"/>
  <c r="V390" i="26"/>
  <c r="V391" i="26"/>
  <c r="W390" i="26"/>
  <c r="W391" i="26"/>
  <c r="V392" i="26"/>
  <c r="V393" i="26"/>
  <c r="W392" i="26"/>
  <c r="V394" i="26"/>
  <c r="W393" i="26"/>
  <c r="W394" i="26"/>
  <c r="V395" i="26"/>
  <c r="V396" i="26"/>
  <c r="W395" i="26"/>
  <c r="V397" i="26"/>
  <c r="W396" i="26"/>
  <c r="W397" i="26"/>
  <c r="V398" i="26"/>
  <c r="V399" i="26"/>
  <c r="W398" i="26"/>
  <c r="W399" i="26"/>
  <c r="V400" i="26"/>
  <c r="V401" i="26"/>
  <c r="W400" i="26"/>
  <c r="W401" i="26"/>
  <c r="V402" i="26"/>
  <c r="W402" i="26"/>
  <c r="V403" i="26"/>
  <c r="V404" i="26"/>
  <c r="W403" i="26"/>
  <c r="W404" i="26"/>
  <c r="V405" i="26"/>
  <c r="V406" i="26"/>
  <c r="W405" i="26"/>
  <c r="W406" i="26"/>
  <c r="V407" i="26"/>
  <c r="V408" i="26"/>
  <c r="W407" i="26"/>
  <c r="W408" i="26"/>
  <c r="V409" i="26"/>
  <c r="V410" i="26"/>
  <c r="W409" i="26"/>
  <c r="V411" i="26"/>
  <c r="W410" i="26"/>
  <c r="W411" i="26"/>
  <c r="V412" i="26"/>
  <c r="W412" i="26"/>
  <c r="V413" i="26"/>
  <c r="W413" i="26"/>
  <c r="V414" i="26"/>
  <c r="W414" i="26"/>
  <c r="V415" i="26"/>
  <c r="W415" i="26"/>
  <c r="V416" i="26"/>
  <c r="V417" i="26"/>
  <c r="W416" i="26"/>
  <c r="V418" i="26"/>
  <c r="W417" i="26"/>
  <c r="V419" i="26"/>
  <c r="W418" i="26"/>
  <c r="V420" i="26"/>
  <c r="W419" i="26"/>
  <c r="W420" i="26"/>
  <c r="V421" i="26"/>
  <c r="V422" i="26"/>
  <c r="W421" i="26"/>
  <c r="V423" i="26"/>
  <c r="W422" i="26"/>
  <c r="W423" i="26"/>
  <c r="V424" i="26"/>
  <c r="W424" i="26"/>
  <c r="V425" i="26"/>
  <c r="W425" i="26"/>
  <c r="V426" i="26"/>
  <c r="W426" i="26"/>
  <c r="V427" i="26"/>
  <c r="V428" i="26"/>
  <c r="W427" i="26"/>
  <c r="V429" i="26"/>
  <c r="W428" i="26"/>
  <c r="W429" i="26"/>
  <c r="V430" i="26"/>
  <c r="V431" i="26"/>
  <c r="W430" i="26"/>
  <c r="W431" i="26"/>
  <c r="V432" i="26"/>
  <c r="W432" i="26"/>
  <c r="V433" i="26"/>
  <c r="W433" i="26"/>
  <c r="V434" i="26"/>
  <c r="V435" i="26"/>
  <c r="W434" i="26"/>
  <c r="V436" i="26"/>
  <c r="W435" i="26"/>
  <c r="W436" i="26"/>
  <c r="V437" i="26"/>
  <c r="V438" i="26"/>
  <c r="W437" i="26"/>
  <c r="V439" i="26"/>
  <c r="W438" i="26"/>
  <c r="W439" i="26"/>
  <c r="V440" i="26"/>
  <c r="V441" i="26"/>
  <c r="W440" i="26"/>
  <c r="W441" i="26"/>
  <c r="V442" i="26"/>
  <c r="W442" i="26"/>
  <c r="V443" i="26"/>
  <c r="W443" i="26"/>
  <c r="V444" i="26"/>
  <c r="W444" i="26"/>
  <c r="V445" i="26"/>
  <c r="W445" i="26"/>
  <c r="V446" i="26"/>
  <c r="W446" i="26"/>
  <c r="V447" i="26"/>
  <c r="V448" i="26"/>
  <c r="W447" i="26"/>
  <c r="W448" i="26"/>
  <c r="V449" i="26"/>
  <c r="W449" i="26"/>
  <c r="V450" i="26"/>
  <c r="W450" i="26"/>
  <c r="V451" i="26"/>
  <c r="V452" i="26"/>
  <c r="W451" i="26"/>
  <c r="V453" i="26"/>
  <c r="W452" i="26"/>
  <c r="W453" i="26"/>
  <c r="V454" i="26"/>
  <c r="W454" i="26"/>
  <c r="V455" i="26"/>
  <c r="W455" i="26"/>
  <c r="V456" i="26"/>
  <c r="W456" i="26"/>
  <c r="V457" i="26"/>
  <c r="W457" i="26"/>
  <c r="V458" i="26"/>
  <c r="V459" i="26"/>
  <c r="W458" i="26"/>
  <c r="W459" i="26"/>
  <c r="V460" i="26"/>
  <c r="W460" i="26"/>
  <c r="V461" i="26"/>
  <c r="V462" i="26"/>
  <c r="W461" i="26"/>
  <c r="W462" i="26"/>
  <c r="V463" i="26"/>
  <c r="W463" i="26"/>
  <c r="V464" i="26"/>
  <c r="W464" i="26"/>
  <c r="V465" i="26"/>
  <c r="W465" i="26"/>
  <c r="V466" i="26"/>
  <c r="V467" i="26"/>
  <c r="W466" i="26"/>
  <c r="V468" i="26"/>
  <c r="W467" i="26"/>
  <c r="V469" i="26"/>
  <c r="W468" i="26"/>
  <c r="V470" i="26"/>
  <c r="W469" i="26"/>
  <c r="V471" i="26"/>
  <c r="W470" i="26"/>
  <c r="V472" i="26"/>
  <c r="W471" i="26"/>
  <c r="V473" i="26"/>
  <c r="W472" i="26"/>
  <c r="V474" i="26"/>
  <c r="W473" i="26"/>
  <c r="W474" i="26"/>
  <c r="V475" i="26"/>
  <c r="V476" i="26"/>
  <c r="W475" i="26"/>
  <c r="V477" i="26"/>
  <c r="W476" i="26"/>
  <c r="W477" i="26"/>
  <c r="V478" i="26"/>
  <c r="W478" i="26"/>
  <c r="V479" i="26"/>
  <c r="W479" i="26"/>
  <c r="V480" i="26"/>
  <c r="W480" i="26"/>
  <c r="V481" i="26"/>
  <c r="W481" i="26"/>
  <c r="V482" i="26"/>
  <c r="V483" i="26"/>
  <c r="W482" i="26"/>
  <c r="V484" i="26"/>
  <c r="W483" i="26"/>
  <c r="V485" i="26"/>
  <c r="W484" i="26"/>
  <c r="V486" i="26"/>
  <c r="W485" i="26"/>
  <c r="V487" i="26"/>
  <c r="W486" i="26"/>
  <c r="W487" i="26"/>
  <c r="V488" i="26"/>
  <c r="V489" i="26"/>
  <c r="W488" i="26"/>
  <c r="W489" i="26"/>
  <c r="V490" i="26"/>
  <c r="V491" i="26"/>
  <c r="W490" i="26"/>
  <c r="V492" i="26"/>
  <c r="W491" i="26"/>
  <c r="V493" i="26"/>
  <c r="W492" i="26"/>
  <c r="V494" i="26"/>
  <c r="W493" i="26"/>
  <c r="W494" i="26"/>
  <c r="V495" i="26"/>
  <c r="V496" i="26"/>
  <c r="W495" i="26"/>
  <c r="W496" i="26"/>
  <c r="V497" i="26"/>
  <c r="V498" i="26"/>
  <c r="W497" i="26"/>
  <c r="W498" i="26"/>
  <c r="V499" i="26"/>
  <c r="W499" i="26"/>
  <c r="V500" i="26"/>
  <c r="V501" i="26"/>
  <c r="W500" i="26"/>
  <c r="V502" i="26"/>
  <c r="W501" i="26"/>
  <c r="V503" i="26"/>
  <c r="W502" i="26"/>
  <c r="V504" i="26"/>
  <c r="W503" i="26"/>
  <c r="W504" i="26"/>
  <c r="V505" i="26"/>
  <c r="W505" i="26"/>
  <c r="V506" i="26"/>
  <c r="V507" i="26"/>
  <c r="W506" i="26"/>
  <c r="V508" i="26"/>
  <c r="W507" i="26"/>
  <c r="W508" i="26"/>
  <c r="V509" i="26"/>
  <c r="W509" i="26"/>
  <c r="V510" i="26"/>
  <c r="V511" i="26"/>
  <c r="W510" i="26"/>
  <c r="W511" i="26"/>
  <c r="V512" i="26"/>
  <c r="V513" i="26"/>
  <c r="W512" i="26"/>
  <c r="W513" i="26"/>
  <c r="V514" i="26"/>
  <c r="V515" i="26"/>
  <c r="W514" i="26"/>
  <c r="V516" i="26"/>
  <c r="W515" i="26"/>
  <c r="W516" i="26"/>
  <c r="V517" i="26"/>
  <c r="W517" i="26"/>
  <c r="V518" i="26"/>
  <c r="V519" i="26"/>
  <c r="W518" i="26"/>
  <c r="V520" i="26"/>
  <c r="W519" i="26"/>
  <c r="V521" i="26"/>
  <c r="W520" i="26"/>
  <c r="W521" i="26"/>
  <c r="V522" i="26"/>
  <c r="V523" i="26"/>
  <c r="W522" i="26"/>
  <c r="V524" i="26"/>
  <c r="W523" i="26"/>
  <c r="W524" i="26"/>
  <c r="V525" i="26"/>
  <c r="V526" i="26"/>
  <c r="W525" i="26"/>
  <c r="W526" i="26"/>
  <c r="V527" i="26"/>
  <c r="V528" i="26"/>
  <c r="W527" i="26"/>
  <c r="W528" i="26"/>
  <c r="V529" i="26"/>
  <c r="W529" i="26"/>
  <c r="V530" i="26"/>
  <c r="W530" i="26"/>
  <c r="V531" i="26"/>
  <c r="V532" i="26"/>
  <c r="W531" i="26"/>
  <c r="V533" i="26"/>
  <c r="W532" i="26"/>
  <c r="W533" i="26"/>
  <c r="V534" i="26"/>
  <c r="V535" i="26"/>
  <c r="W534" i="26"/>
  <c r="W535" i="26"/>
  <c r="V536" i="26"/>
  <c r="W536" i="26"/>
  <c r="V537" i="26"/>
  <c r="W537" i="26"/>
  <c r="V538" i="26"/>
  <c r="V539" i="26"/>
  <c r="W538" i="26"/>
  <c r="W539" i="26"/>
  <c r="V540" i="26"/>
  <c r="V541" i="26"/>
  <c r="W540" i="26"/>
  <c r="V542" i="26"/>
  <c r="W541" i="26"/>
  <c r="W542" i="26"/>
  <c r="V543" i="26"/>
  <c r="V544" i="26"/>
  <c r="W543" i="26"/>
  <c r="V545" i="26"/>
  <c r="W544" i="26"/>
  <c r="V546" i="26"/>
  <c r="W545" i="26"/>
  <c r="V547" i="26"/>
  <c r="W546" i="26"/>
  <c r="W547" i="26"/>
  <c r="V548" i="26"/>
  <c r="W548" i="26"/>
  <c r="V549" i="26"/>
  <c r="V550" i="26"/>
  <c r="W549" i="26"/>
  <c r="W550" i="26"/>
  <c r="V551" i="26"/>
  <c r="W551" i="26"/>
  <c r="V552" i="26"/>
  <c r="V553" i="26"/>
  <c r="W552" i="26"/>
  <c r="W553" i="26"/>
  <c r="V554" i="26"/>
  <c r="W554" i="26"/>
  <c r="V555" i="26"/>
  <c r="W555" i="26"/>
  <c r="V556" i="26"/>
  <c r="V557" i="26"/>
  <c r="W556" i="26"/>
  <c r="W557" i="26"/>
  <c r="V558" i="26"/>
  <c r="V559" i="26"/>
  <c r="W558" i="26"/>
  <c r="W559" i="26"/>
  <c r="V560" i="26"/>
  <c r="W560" i="26"/>
  <c r="V561" i="26"/>
  <c r="V562" i="26"/>
  <c r="W561" i="26"/>
  <c r="V563" i="26"/>
  <c r="W562" i="26"/>
  <c r="W563" i="26"/>
  <c r="V564" i="26"/>
  <c r="V565" i="26"/>
  <c r="W564" i="26"/>
  <c r="W565" i="26"/>
  <c r="V566" i="26"/>
  <c r="W566" i="26"/>
  <c r="V567" i="26"/>
  <c r="V568" i="26"/>
  <c r="W567" i="26"/>
  <c r="V569" i="26"/>
  <c r="W568" i="26"/>
  <c r="W569" i="26"/>
  <c r="V570" i="26"/>
  <c r="V571" i="26"/>
  <c r="W570" i="26"/>
  <c r="W571" i="26"/>
  <c r="V572" i="26"/>
  <c r="W572" i="26"/>
  <c r="V573" i="26"/>
  <c r="V574" i="26"/>
  <c r="W573" i="26"/>
  <c r="W574" i="26"/>
  <c r="V575" i="26"/>
  <c r="W575" i="26"/>
  <c r="V576" i="26"/>
  <c r="W576" i="26"/>
  <c r="V577" i="26"/>
  <c r="W577" i="26"/>
  <c r="V578" i="26"/>
  <c r="V579" i="26"/>
  <c r="W578" i="26"/>
  <c r="V580" i="26"/>
  <c r="W579" i="26"/>
  <c r="V581" i="26"/>
  <c r="W580" i="26"/>
  <c r="W581" i="26"/>
  <c r="V582" i="26"/>
  <c r="W582" i="26"/>
  <c r="V583" i="26"/>
  <c r="V584" i="26"/>
  <c r="W583" i="26"/>
  <c r="V585" i="26"/>
  <c r="W584" i="26"/>
  <c r="W585" i="26"/>
  <c r="V586" i="26"/>
  <c r="V587" i="26"/>
  <c r="W586" i="26"/>
  <c r="W587" i="26"/>
  <c r="V588" i="26"/>
  <c r="W588" i="26"/>
  <c r="V589" i="26"/>
  <c r="W589" i="26"/>
  <c r="V590" i="26"/>
  <c r="W590" i="26"/>
  <c r="V591" i="26"/>
  <c r="V592" i="26"/>
  <c r="W591" i="26"/>
  <c r="W592" i="26"/>
  <c r="V593" i="26"/>
  <c r="V594" i="26"/>
  <c r="W593" i="26"/>
  <c r="V595" i="26"/>
  <c r="W594" i="26"/>
  <c r="V596" i="26"/>
  <c r="W595" i="26"/>
  <c r="V597" i="26"/>
  <c r="W596" i="26"/>
  <c r="W597" i="26"/>
  <c r="V598" i="26"/>
  <c r="W598" i="26"/>
  <c r="V599" i="26"/>
  <c r="V600" i="26"/>
  <c r="W599" i="26"/>
  <c r="V601" i="26"/>
  <c r="W600" i="26"/>
  <c r="V602" i="26"/>
  <c r="W601" i="26"/>
  <c r="V603" i="26"/>
  <c r="W602" i="26"/>
  <c r="W603" i="26"/>
  <c r="V604" i="26"/>
  <c r="W604" i="26"/>
  <c r="V605" i="26"/>
  <c r="V606" i="26"/>
  <c r="W605" i="26"/>
  <c r="V607" i="26"/>
  <c r="W606" i="26"/>
  <c r="V608" i="26"/>
  <c r="W607" i="26"/>
  <c r="V609" i="26"/>
  <c r="W608" i="26"/>
  <c r="W609" i="26"/>
  <c r="V610" i="26"/>
  <c r="W610" i="26"/>
  <c r="V611" i="26"/>
  <c r="V612" i="26"/>
  <c r="W611" i="26"/>
  <c r="V613" i="26"/>
  <c r="W612" i="26"/>
  <c r="V614" i="26"/>
  <c r="W613" i="26"/>
  <c r="W614" i="26"/>
  <c r="V615" i="26"/>
  <c r="V616" i="26"/>
  <c r="W615" i="26"/>
  <c r="W616" i="26"/>
  <c r="V617" i="26"/>
  <c r="W617" i="26"/>
  <c r="V618" i="26"/>
  <c r="V619" i="26"/>
  <c r="W618" i="26"/>
  <c r="V620" i="26"/>
  <c r="W619" i="26"/>
  <c r="W620" i="26"/>
  <c r="V621" i="26"/>
  <c r="V622" i="26"/>
  <c r="W621" i="26"/>
  <c r="W622" i="26"/>
  <c r="V623" i="26"/>
  <c r="W623" i="26"/>
  <c r="V624" i="26"/>
  <c r="V625" i="26"/>
  <c r="W624" i="26"/>
  <c r="W625" i="26"/>
  <c r="V626" i="26"/>
  <c r="V627" i="26"/>
  <c r="W626" i="26"/>
  <c r="W627" i="26"/>
  <c r="V628" i="26"/>
  <c r="W628" i="26"/>
  <c r="V629" i="26"/>
  <c r="V630" i="26"/>
  <c r="W629" i="26"/>
  <c r="W630" i="26"/>
  <c r="V631" i="26"/>
  <c r="W631" i="26"/>
  <c r="V632" i="26"/>
  <c r="V633" i="26"/>
  <c r="W632" i="26"/>
  <c r="V634" i="26"/>
  <c r="W633" i="26"/>
  <c r="W634" i="26"/>
  <c r="V635" i="26"/>
  <c r="V636" i="26"/>
  <c r="W635" i="26"/>
  <c r="V637" i="26"/>
  <c r="W636" i="26"/>
  <c r="W637" i="26"/>
  <c r="V638" i="26"/>
  <c r="V639" i="26"/>
  <c r="W638" i="26"/>
  <c r="V640" i="26"/>
  <c r="W639" i="26"/>
  <c r="W640" i="26"/>
  <c r="V641" i="26"/>
  <c r="V642" i="26"/>
  <c r="W641" i="26"/>
  <c r="W642" i="26"/>
  <c r="V643" i="26"/>
  <c r="W643" i="26"/>
  <c r="V644" i="26"/>
  <c r="V645" i="26"/>
  <c r="W644" i="26"/>
  <c r="V646" i="26"/>
  <c r="W645" i="26"/>
  <c r="W646" i="26"/>
  <c r="V647" i="26"/>
  <c r="V648" i="26"/>
  <c r="W647" i="26"/>
  <c r="V649" i="26"/>
  <c r="W648" i="26"/>
  <c r="W649" i="26"/>
  <c r="V650" i="26"/>
  <c r="V651" i="26"/>
  <c r="W650" i="26"/>
  <c r="W651" i="26"/>
  <c r="V652" i="26"/>
  <c r="W652" i="26"/>
  <c r="V653" i="26"/>
  <c r="W653" i="26"/>
  <c r="V654" i="26"/>
  <c r="W654" i="26"/>
  <c r="V655" i="26"/>
  <c r="W655" i="26"/>
  <c r="V656" i="26"/>
  <c r="W656" i="26"/>
  <c r="V657" i="26"/>
  <c r="W657" i="26"/>
  <c r="V658" i="26"/>
  <c r="W658" i="26"/>
  <c r="V659" i="26"/>
  <c r="W659" i="26"/>
  <c r="V660" i="26"/>
  <c r="V661" i="26"/>
  <c r="W660" i="26"/>
  <c r="W661" i="26"/>
  <c r="V662" i="26"/>
  <c r="V663" i="26"/>
  <c r="W662" i="26"/>
  <c r="W663" i="26"/>
  <c r="V664" i="26"/>
  <c r="V665" i="26"/>
  <c r="W664" i="26"/>
  <c r="V666" i="26"/>
  <c r="W665" i="26"/>
  <c r="W666" i="26"/>
  <c r="V667" i="26"/>
  <c r="W667" i="26"/>
  <c r="V668" i="26"/>
  <c r="W668" i="26"/>
  <c r="V669" i="26"/>
  <c r="V670" i="26"/>
  <c r="W669" i="26"/>
  <c r="V671" i="26"/>
  <c r="W670" i="26"/>
  <c r="W671" i="26"/>
  <c r="V672" i="26"/>
  <c r="W672" i="26"/>
  <c r="V673" i="26"/>
  <c r="W673" i="26"/>
  <c r="V674" i="26"/>
  <c r="W674" i="26"/>
  <c r="V675" i="26"/>
  <c r="V676" i="26"/>
  <c r="W675" i="26"/>
  <c r="V677" i="26"/>
  <c r="W676" i="26"/>
  <c r="V678" i="26"/>
  <c r="W677" i="26"/>
  <c r="V679" i="26"/>
  <c r="W678" i="26"/>
  <c r="W679" i="26"/>
  <c r="V680" i="26"/>
  <c r="W680" i="26"/>
  <c r="V681" i="26"/>
  <c r="W681" i="26"/>
  <c r="V682" i="26"/>
  <c r="W682" i="26"/>
  <c r="V683" i="26"/>
  <c r="V684" i="26"/>
  <c r="W683" i="26"/>
  <c r="V685" i="26"/>
  <c r="W684" i="26"/>
  <c r="V686" i="26"/>
  <c r="W685" i="26"/>
  <c r="W686" i="26"/>
  <c r="V687" i="26"/>
  <c r="V688" i="26"/>
  <c r="W687" i="26"/>
  <c r="V689" i="26"/>
  <c r="W688" i="26"/>
  <c r="W689" i="26"/>
  <c r="V690" i="26"/>
  <c r="V691" i="26"/>
  <c r="W690" i="26"/>
  <c r="W691" i="26"/>
  <c r="V692" i="26"/>
  <c r="V693" i="26"/>
  <c r="W692" i="26"/>
  <c r="W693" i="26"/>
  <c r="V694" i="26"/>
  <c r="W694" i="26"/>
  <c r="V695" i="26"/>
  <c r="W695" i="26"/>
  <c r="V696" i="26"/>
  <c r="W696" i="26"/>
  <c r="V697" i="26"/>
  <c r="W697" i="26"/>
  <c r="V698" i="26"/>
  <c r="W698" i="26"/>
  <c r="V699" i="26"/>
  <c r="V700" i="26"/>
  <c r="W699" i="26"/>
  <c r="W700" i="26"/>
  <c r="V701" i="26"/>
  <c r="V702" i="26"/>
  <c r="W701" i="26"/>
  <c r="V703" i="26"/>
  <c r="W702" i="26"/>
  <c r="W703" i="26"/>
  <c r="V704" i="26"/>
  <c r="V705" i="26"/>
  <c r="W704" i="26"/>
  <c r="V706" i="26"/>
  <c r="W705" i="26"/>
  <c r="W706" i="26"/>
  <c r="V707" i="26"/>
  <c r="W707" i="26"/>
  <c r="V708" i="26"/>
  <c r="W708" i="26"/>
  <c r="V709" i="26"/>
  <c r="W709" i="26"/>
  <c r="V710" i="26"/>
  <c r="V711" i="26"/>
  <c r="W710" i="26"/>
  <c r="W711" i="26"/>
  <c r="V712" i="26"/>
  <c r="V713" i="26"/>
  <c r="W712" i="26"/>
  <c r="V714" i="26"/>
  <c r="W713" i="26"/>
  <c r="W714" i="26"/>
  <c r="V715" i="26"/>
  <c r="W715" i="26"/>
  <c r="V716" i="26"/>
  <c r="V717" i="26"/>
  <c r="W716" i="26"/>
  <c r="W717" i="26"/>
  <c r="V718" i="26"/>
  <c r="V719" i="26"/>
  <c r="W718" i="26"/>
  <c r="V720" i="26"/>
  <c r="W719" i="26"/>
  <c r="V721" i="26"/>
  <c r="W720" i="26"/>
  <c r="W721" i="26"/>
  <c r="V722" i="26"/>
  <c r="W722" i="26"/>
  <c r="V723" i="26"/>
  <c r="W723" i="26"/>
  <c r="V724" i="26"/>
  <c r="V725" i="26"/>
  <c r="W724" i="26"/>
  <c r="W725" i="26"/>
  <c r="V726" i="26"/>
  <c r="V727" i="26"/>
  <c r="W726" i="26"/>
  <c r="W727" i="26"/>
  <c r="V728" i="26"/>
  <c r="W728" i="26"/>
  <c r="V729" i="26"/>
  <c r="V730" i="26"/>
  <c r="W729" i="26"/>
  <c r="W730" i="26"/>
  <c r="V731" i="26"/>
  <c r="W731" i="26"/>
  <c r="V732" i="26"/>
  <c r="W732" i="26"/>
  <c r="V733" i="26"/>
  <c r="W733" i="26"/>
  <c r="V734" i="26"/>
  <c r="V735" i="26"/>
  <c r="W734" i="26"/>
  <c r="W735" i="26"/>
  <c r="V736" i="26"/>
  <c r="W736" i="26"/>
  <c r="V737" i="26"/>
  <c r="W737" i="26"/>
  <c r="V738" i="26"/>
  <c r="W738" i="26"/>
  <c r="V739" i="26"/>
  <c r="V740" i="26"/>
  <c r="W739" i="26"/>
  <c r="W740" i="26"/>
  <c r="V741" i="26"/>
  <c r="W741" i="26"/>
  <c r="V742" i="26"/>
  <c r="W742" i="26"/>
  <c r="V743" i="26"/>
  <c r="V744" i="26"/>
  <c r="W743" i="26"/>
  <c r="V745" i="26"/>
  <c r="W744" i="26"/>
  <c r="W745" i="26"/>
  <c r="V746" i="26"/>
  <c r="V747" i="26"/>
  <c r="W746" i="26"/>
  <c r="V748" i="26"/>
  <c r="W747" i="26"/>
  <c r="W748" i="26"/>
  <c r="V749" i="26"/>
  <c r="W749" i="26"/>
  <c r="V750" i="26"/>
  <c r="V751" i="26"/>
  <c r="W750" i="26"/>
  <c r="W751" i="26"/>
  <c r="V752" i="26"/>
  <c r="W752" i="26"/>
  <c r="V753" i="26"/>
  <c r="W753" i="26"/>
  <c r="V754" i="26"/>
  <c r="W754" i="26"/>
  <c r="V755" i="26"/>
  <c r="V756" i="26"/>
  <c r="W755" i="26"/>
  <c r="W756" i="26"/>
  <c r="V757" i="26"/>
  <c r="V758" i="26"/>
  <c r="W757" i="26"/>
  <c r="V759" i="26"/>
  <c r="W758" i="26"/>
  <c r="W759" i="26"/>
  <c r="V760" i="26"/>
  <c r="W760" i="26"/>
  <c r="V761" i="26"/>
  <c r="V762" i="26"/>
  <c r="W761" i="26"/>
  <c r="W762" i="26"/>
  <c r="V763" i="26"/>
  <c r="V764" i="26"/>
  <c r="W763" i="26"/>
  <c r="V765" i="26"/>
  <c r="W764" i="26"/>
  <c r="W765" i="26"/>
  <c r="V766" i="26"/>
  <c r="V767" i="26"/>
  <c r="W766" i="26"/>
  <c r="V768" i="26"/>
  <c r="W767" i="26"/>
  <c r="V769" i="26"/>
  <c r="W768" i="26"/>
  <c r="V770" i="26"/>
  <c r="W769" i="26"/>
  <c r="V771" i="26"/>
  <c r="W770" i="26"/>
  <c r="W771" i="26"/>
  <c r="V772" i="26"/>
  <c r="V773" i="26"/>
  <c r="W772" i="26"/>
  <c r="W773" i="26"/>
  <c r="V774" i="26"/>
  <c r="W774" i="26"/>
  <c r="V775" i="26"/>
  <c r="V776" i="26"/>
  <c r="W775" i="26"/>
  <c r="V777" i="26"/>
  <c r="W776" i="26"/>
  <c r="W777" i="26"/>
  <c r="V778" i="26"/>
  <c r="V779" i="26"/>
  <c r="W778" i="26"/>
  <c r="W779" i="26"/>
  <c r="V780" i="26"/>
  <c r="W780" i="26"/>
  <c r="V781" i="26"/>
  <c r="V782" i="26"/>
  <c r="W781" i="26"/>
  <c r="V783" i="26"/>
  <c r="W782" i="26"/>
  <c r="W783" i="26"/>
  <c r="V784" i="26"/>
  <c r="W784" i="26"/>
  <c r="V785" i="26"/>
  <c r="W785" i="26"/>
  <c r="V786" i="26"/>
  <c r="V787" i="26"/>
  <c r="W786" i="26"/>
  <c r="W787" i="26"/>
  <c r="V788" i="26"/>
  <c r="V789" i="26"/>
  <c r="W788" i="26"/>
  <c r="W789" i="26"/>
  <c r="V790" i="26"/>
  <c r="W790" i="26"/>
  <c r="V791" i="26"/>
  <c r="V792" i="26"/>
  <c r="W791" i="26"/>
  <c r="V793" i="26"/>
  <c r="W792" i="26"/>
  <c r="V794" i="26"/>
  <c r="W793" i="26"/>
  <c r="W794" i="26"/>
  <c r="V795" i="26"/>
  <c r="W795" i="26"/>
  <c r="V796" i="26"/>
  <c r="V797" i="26"/>
  <c r="W796" i="26"/>
  <c r="V798" i="26"/>
  <c r="W797" i="26"/>
  <c r="V799" i="26"/>
  <c r="W798" i="26"/>
  <c r="W799" i="26"/>
  <c r="V800" i="26"/>
  <c r="W800" i="26"/>
  <c r="V801" i="26"/>
  <c r="V802" i="26"/>
  <c r="W801" i="26"/>
  <c r="V803" i="26"/>
  <c r="W802" i="26"/>
  <c r="W803" i="26"/>
  <c r="V804" i="26"/>
  <c r="W804" i="26"/>
  <c r="V805" i="26"/>
  <c r="W805" i="26"/>
  <c r="V806" i="26"/>
  <c r="V807" i="26"/>
  <c r="W806" i="26"/>
  <c r="W807" i="26"/>
  <c r="V808" i="26"/>
  <c r="W808" i="26"/>
  <c r="V809" i="26"/>
  <c r="W809" i="26"/>
  <c r="V810" i="26"/>
  <c r="V811" i="26"/>
  <c r="W810" i="26"/>
  <c r="W811" i="26"/>
  <c r="V812" i="26"/>
  <c r="V813" i="26"/>
  <c r="W812" i="26"/>
  <c r="W813" i="26"/>
  <c r="V814" i="26"/>
  <c r="V815" i="26"/>
  <c r="W814" i="26"/>
  <c r="W815" i="26"/>
  <c r="V816" i="26"/>
  <c r="V817" i="26"/>
  <c r="W816" i="26"/>
  <c r="V818" i="26"/>
  <c r="W817" i="26"/>
  <c r="V819" i="26"/>
  <c r="W818" i="26"/>
  <c r="W819" i="26"/>
  <c r="V820" i="26"/>
  <c r="W820" i="26"/>
  <c r="V821" i="26"/>
  <c r="V822" i="26"/>
  <c r="W821" i="26"/>
  <c r="V823" i="26"/>
  <c r="W822" i="26"/>
  <c r="V824" i="26"/>
  <c r="W823" i="26"/>
  <c r="W824" i="26"/>
  <c r="V825" i="26"/>
  <c r="W825" i="26"/>
  <c r="V826" i="26"/>
  <c r="W826" i="26"/>
  <c r="V827" i="26"/>
  <c r="W827" i="26"/>
  <c r="V828" i="26"/>
  <c r="W828" i="26"/>
  <c r="V829" i="26"/>
  <c r="W829" i="26"/>
  <c r="V830" i="26"/>
  <c r="V831" i="26"/>
  <c r="W830" i="26"/>
  <c r="V832" i="26"/>
  <c r="W831" i="26"/>
  <c r="W832" i="26"/>
  <c r="V833" i="26"/>
  <c r="V834" i="26"/>
  <c r="W833" i="26"/>
  <c r="V835" i="26"/>
  <c r="W834" i="26"/>
  <c r="V836" i="26"/>
  <c r="W835" i="26"/>
  <c r="V837" i="26"/>
  <c r="W836" i="26"/>
  <c r="W837" i="26"/>
  <c r="V838" i="26"/>
  <c r="W838" i="26"/>
  <c r="V839" i="26"/>
  <c r="W839" i="26"/>
  <c r="V840" i="26"/>
  <c r="W840" i="26"/>
  <c r="V841" i="26"/>
  <c r="V842" i="26"/>
  <c r="W841" i="26"/>
  <c r="V843" i="26"/>
  <c r="W842" i="26"/>
  <c r="W843" i="26"/>
  <c r="V844" i="26"/>
  <c r="W844" i="26"/>
  <c r="V845" i="26"/>
  <c r="W845" i="26"/>
  <c r="V846" i="26"/>
  <c r="V847" i="26"/>
  <c r="W846" i="26"/>
  <c r="W847" i="26"/>
  <c r="V848" i="26"/>
  <c r="V849" i="26"/>
  <c r="W848" i="26"/>
  <c r="W849" i="26"/>
  <c r="V850" i="26"/>
  <c r="W850" i="26"/>
  <c r="V851" i="26"/>
  <c r="W851" i="26"/>
  <c r="V852" i="26"/>
  <c r="V853" i="26"/>
  <c r="W852" i="26"/>
  <c r="W853" i="26"/>
  <c r="V854" i="26"/>
  <c r="V855" i="26"/>
  <c r="W854" i="26"/>
  <c r="V856" i="26"/>
  <c r="W855" i="26"/>
  <c r="W856" i="26"/>
  <c r="V857" i="26"/>
  <c r="V858" i="26"/>
  <c r="W857" i="26"/>
  <c r="W858" i="26"/>
  <c r="V859" i="26"/>
  <c r="V860" i="26"/>
  <c r="W859" i="26"/>
  <c r="V861" i="26"/>
  <c r="W860" i="26"/>
  <c r="W861" i="26"/>
  <c r="V862" i="26"/>
  <c r="V863" i="26"/>
  <c r="W862" i="26"/>
  <c r="W863" i="26"/>
  <c r="V864" i="26"/>
  <c r="W864" i="26"/>
  <c r="V865" i="26"/>
  <c r="W865" i="26"/>
  <c r="V866" i="26"/>
  <c r="W866" i="26"/>
  <c r="V867" i="26"/>
  <c r="W867" i="26"/>
  <c r="V868" i="26"/>
  <c r="V869" i="26"/>
  <c r="W868" i="26"/>
  <c r="W869" i="26"/>
  <c r="V870" i="26"/>
  <c r="W870" i="26"/>
  <c r="V871" i="26"/>
  <c r="V872" i="26"/>
  <c r="W871" i="26"/>
  <c r="W872" i="26"/>
  <c r="V873" i="26"/>
  <c r="W873" i="26"/>
  <c r="V874" i="26"/>
  <c r="V875" i="26"/>
  <c r="W874" i="26"/>
  <c r="W875" i="26"/>
  <c r="V876" i="26"/>
  <c r="W876" i="26"/>
  <c r="V877" i="26"/>
  <c r="W877" i="26"/>
  <c r="V878" i="26"/>
  <c r="V879" i="26"/>
  <c r="W878" i="26"/>
  <c r="W879" i="26"/>
  <c r="V880" i="26"/>
  <c r="W880" i="26"/>
  <c r="V881" i="26"/>
  <c r="W881" i="26"/>
  <c r="V882" i="26"/>
  <c r="V883" i="26"/>
  <c r="W882" i="26"/>
  <c r="W883" i="26"/>
  <c r="V884" i="26"/>
  <c r="V885" i="26"/>
  <c r="W884" i="26"/>
  <c r="W885" i="26"/>
  <c r="V886" i="26"/>
  <c r="W886" i="26"/>
  <c r="V887" i="26"/>
  <c r="V888" i="26"/>
  <c r="W887" i="26"/>
  <c r="V889" i="26"/>
  <c r="W888" i="26"/>
  <c r="V890" i="26"/>
  <c r="W889" i="26"/>
  <c r="W890" i="26"/>
  <c r="V891" i="26"/>
  <c r="W891" i="26"/>
  <c r="V892" i="26"/>
  <c r="V893" i="26"/>
  <c r="W892" i="26"/>
  <c r="W893" i="26"/>
  <c r="V894" i="26"/>
  <c r="V895" i="26"/>
  <c r="W894" i="26"/>
  <c r="W895" i="26"/>
  <c r="V896" i="26"/>
  <c r="V897" i="26"/>
  <c r="W896" i="26"/>
  <c r="W897" i="26"/>
  <c r="V898" i="26"/>
  <c r="W898" i="26"/>
  <c r="V899" i="26"/>
  <c r="W899" i="26"/>
  <c r="V900" i="26"/>
  <c r="W900" i="26"/>
  <c r="V901" i="26"/>
  <c r="V902" i="26"/>
  <c r="W901" i="26"/>
  <c r="V903" i="26"/>
  <c r="W902" i="26"/>
  <c r="W903" i="26"/>
  <c r="V904" i="26"/>
  <c r="V905" i="26"/>
  <c r="W904" i="26"/>
  <c r="W905" i="26"/>
  <c r="V906" i="26"/>
  <c r="V907" i="26"/>
  <c r="W906" i="26"/>
  <c r="W907" i="26"/>
  <c r="V908" i="26"/>
  <c r="V909" i="26"/>
  <c r="W908" i="26"/>
  <c r="W909" i="26"/>
  <c r="V910" i="26"/>
  <c r="V911" i="26"/>
  <c r="W910" i="26"/>
  <c r="V912" i="26"/>
  <c r="W911" i="26"/>
  <c r="W912" i="26"/>
  <c r="V913" i="26"/>
  <c r="V914" i="26"/>
  <c r="W913" i="26"/>
  <c r="V915" i="26"/>
  <c r="W914" i="26"/>
  <c r="V916" i="26"/>
  <c r="W915" i="26"/>
  <c r="W916" i="26"/>
  <c r="V917" i="26"/>
  <c r="V918" i="26"/>
  <c r="W917" i="26"/>
  <c r="W918" i="26"/>
  <c r="V919" i="26"/>
  <c r="W919" i="26"/>
  <c r="V920" i="26"/>
  <c r="V921" i="26"/>
  <c r="W920" i="26"/>
  <c r="W921" i="26"/>
  <c r="V922" i="26"/>
  <c r="W922" i="26"/>
  <c r="V923" i="26"/>
  <c r="V924" i="26"/>
  <c r="W923" i="26"/>
  <c r="W924" i="26"/>
  <c r="V925" i="26"/>
  <c r="W925" i="26"/>
  <c r="V926" i="26"/>
  <c r="V927" i="26"/>
  <c r="W926" i="26"/>
  <c r="V928" i="26"/>
  <c r="W927" i="26"/>
  <c r="V929" i="26"/>
  <c r="W928" i="26"/>
  <c r="W929" i="26"/>
  <c r="V930" i="26"/>
  <c r="V931" i="26"/>
  <c r="W930" i="26"/>
  <c r="W931" i="26"/>
  <c r="V932" i="26"/>
  <c r="V933" i="26"/>
  <c r="W932" i="26"/>
  <c r="W933" i="26"/>
  <c r="V934" i="26"/>
  <c r="V935" i="26"/>
  <c r="W934" i="26"/>
  <c r="V936" i="26"/>
  <c r="W935" i="26"/>
  <c r="V937" i="26"/>
  <c r="W936" i="26"/>
  <c r="W937" i="26"/>
  <c r="V938" i="26"/>
  <c r="V939" i="26"/>
  <c r="W938" i="26"/>
  <c r="V940" i="26"/>
  <c r="W939" i="26"/>
  <c r="V941" i="26"/>
  <c r="W940" i="26"/>
  <c r="W941" i="26"/>
  <c r="V942" i="26"/>
  <c r="V943" i="26"/>
  <c r="W942" i="26"/>
  <c r="V944" i="26"/>
  <c r="W943" i="26"/>
  <c r="V945" i="26"/>
  <c r="W944" i="26"/>
  <c r="V946" i="26"/>
  <c r="W945" i="26"/>
  <c r="V947" i="26"/>
  <c r="W946" i="26"/>
  <c r="W947" i="26"/>
  <c r="V948" i="26"/>
  <c r="W948" i="26"/>
  <c r="V949" i="26"/>
  <c r="W949" i="26"/>
  <c r="V950" i="26"/>
  <c r="V951" i="26"/>
  <c r="W950" i="26"/>
  <c r="W951" i="26"/>
  <c r="V952" i="26"/>
  <c r="V953" i="26"/>
  <c r="W952" i="26"/>
  <c r="W953" i="26"/>
  <c r="V954" i="26"/>
  <c r="W954" i="26"/>
  <c r="V955" i="26"/>
  <c r="V956" i="26"/>
  <c r="W955" i="26"/>
  <c r="V957" i="26"/>
  <c r="W956" i="26"/>
  <c r="W957" i="26"/>
  <c r="V958" i="26"/>
  <c r="V959" i="26"/>
  <c r="W958" i="26"/>
  <c r="W959" i="26"/>
  <c r="V960" i="26"/>
  <c r="W960" i="26"/>
  <c r="V961" i="26"/>
  <c r="W961" i="26"/>
  <c r="V962" i="26"/>
  <c r="V963" i="26"/>
  <c r="W962" i="26"/>
  <c r="W963" i="26"/>
  <c r="V964" i="26"/>
  <c r="V965" i="26"/>
  <c r="W964" i="26"/>
  <c r="V966" i="26"/>
  <c r="W965" i="26"/>
  <c r="W966" i="26"/>
  <c r="V967" i="26"/>
  <c r="W967" i="26"/>
  <c r="V968" i="26"/>
  <c r="V969" i="26"/>
  <c r="W968" i="26"/>
  <c r="V970" i="26"/>
  <c r="W969" i="26"/>
  <c r="V971" i="26"/>
  <c r="W970" i="26"/>
  <c r="V972" i="26"/>
  <c r="W971" i="26"/>
  <c r="V973" i="26"/>
  <c r="W972" i="26"/>
  <c r="W973" i="26"/>
  <c r="V974" i="26"/>
  <c r="V975" i="26"/>
  <c r="W974" i="26"/>
  <c r="W975" i="26"/>
  <c r="V976" i="26"/>
  <c r="V977" i="26"/>
  <c r="W976" i="26"/>
  <c r="V978" i="26"/>
  <c r="W977" i="26"/>
  <c r="W978" i="26"/>
  <c r="V979" i="26"/>
  <c r="W979" i="26"/>
  <c r="V980" i="26"/>
  <c r="W980" i="26"/>
  <c r="V981" i="26"/>
  <c r="W981" i="26"/>
  <c r="V982" i="26"/>
  <c r="V983" i="26"/>
  <c r="W982" i="26"/>
  <c r="V984" i="26"/>
  <c r="W983" i="26"/>
  <c r="V985" i="26"/>
  <c r="W984" i="26"/>
  <c r="V986" i="26"/>
  <c r="W985" i="26"/>
  <c r="V987" i="26"/>
  <c r="W986" i="26"/>
  <c r="W987" i="26"/>
  <c r="V988" i="26"/>
  <c r="V989" i="26"/>
  <c r="W988" i="26"/>
  <c r="W989" i="26"/>
  <c r="V990" i="26"/>
  <c r="V991" i="26"/>
  <c r="W990" i="26"/>
  <c r="W991" i="26"/>
  <c r="V992" i="26"/>
  <c r="V993" i="26"/>
  <c r="W992" i="26"/>
  <c r="W993" i="26"/>
  <c r="V994" i="26"/>
  <c r="W994" i="26"/>
  <c r="V995" i="26"/>
  <c r="W995" i="26"/>
  <c r="V996" i="26"/>
  <c r="W996" i="26"/>
  <c r="V997" i="26"/>
  <c r="V998" i="26"/>
  <c r="W997" i="26"/>
  <c r="W998" i="26"/>
  <c r="V999" i="26"/>
  <c r="V1000" i="26"/>
  <c r="W999" i="26"/>
  <c r="W1000" i="26"/>
  <c r="V1001" i="26"/>
  <c r="V1002" i="26"/>
  <c r="W1001" i="26"/>
  <c r="V1003" i="26"/>
  <c r="W1002" i="26"/>
  <c r="V1004" i="26"/>
  <c r="W1003" i="26"/>
  <c r="V1005" i="26"/>
  <c r="W1004" i="26"/>
  <c r="W1005" i="26"/>
  <c r="V1006" i="26"/>
  <c r="V1007" i="26"/>
  <c r="W1006" i="26"/>
  <c r="V1008" i="26"/>
  <c r="W1007" i="26"/>
  <c r="W1008" i="26"/>
  <c r="V1009" i="26"/>
  <c r="W1009" i="26"/>
  <c r="V1010" i="26"/>
  <c r="V1011" i="26"/>
  <c r="W1010" i="26"/>
  <c r="W1011" i="26"/>
  <c r="V1012" i="26"/>
  <c r="W1012" i="26"/>
  <c r="V1013" i="26"/>
  <c r="W1013" i="26"/>
  <c r="V1014" i="26"/>
  <c r="V1015" i="26"/>
  <c r="W1014" i="26"/>
  <c r="V1016" i="26"/>
  <c r="W1015" i="26"/>
  <c r="V1017" i="26"/>
  <c r="W1016" i="26"/>
  <c r="V1018" i="26"/>
  <c r="W1017" i="26"/>
  <c r="W1018" i="26"/>
  <c r="V1019" i="26"/>
  <c r="W1019" i="26"/>
  <c r="V1020" i="26"/>
  <c r="V1021" i="26"/>
  <c r="W1020" i="26"/>
  <c r="W1021" i="26"/>
  <c r="V1022" i="26"/>
  <c r="V1023" i="26"/>
  <c r="W1022" i="26"/>
  <c r="V1024" i="26"/>
  <c r="W1023" i="26"/>
  <c r="V1025" i="26"/>
  <c r="W1024" i="26"/>
  <c r="W1025" i="26"/>
  <c r="V1026" i="26"/>
  <c r="V1027" i="26"/>
  <c r="W1026" i="26"/>
  <c r="W1027" i="26"/>
  <c r="V1028" i="26"/>
  <c r="V1029" i="26"/>
  <c r="W1028" i="26"/>
  <c r="V1030" i="26"/>
  <c r="W1029" i="26"/>
  <c r="W1030" i="26"/>
  <c r="V1031" i="26"/>
  <c r="V1032" i="26"/>
  <c r="W1031" i="26"/>
  <c r="V1033" i="26"/>
  <c r="W1032" i="26"/>
  <c r="W1033" i="26"/>
  <c r="V1034" i="26"/>
  <c r="V1035" i="26"/>
  <c r="W1034" i="26"/>
  <c r="V1036" i="26"/>
  <c r="W1035" i="26"/>
  <c r="V1037" i="26"/>
  <c r="W1036" i="26"/>
  <c r="W1037" i="26"/>
  <c r="V1038" i="26"/>
  <c r="V1039" i="26"/>
  <c r="W1038" i="26"/>
  <c r="W1039" i="26"/>
  <c r="V1040" i="26"/>
  <c r="W1040" i="26"/>
  <c r="V1041" i="26"/>
  <c r="V1042" i="26"/>
  <c r="W1041" i="26"/>
  <c r="W1042" i="26"/>
  <c r="V1043" i="26"/>
  <c r="V1044" i="26"/>
  <c r="W1043" i="26"/>
  <c r="W1044" i="26"/>
  <c r="V1045" i="26"/>
  <c r="V1046" i="26"/>
  <c r="W1045" i="26"/>
  <c r="V1047" i="26"/>
  <c r="W1046" i="26"/>
  <c r="V1048" i="26"/>
  <c r="W1047" i="26"/>
  <c r="V1049" i="26"/>
  <c r="W1048" i="26"/>
  <c r="V1050" i="26"/>
  <c r="W1049" i="26"/>
  <c r="V1051" i="26"/>
  <c r="W1050" i="26"/>
  <c r="W1051" i="26"/>
  <c r="V1052" i="26"/>
  <c r="W1052" i="26"/>
  <c r="V1053" i="26"/>
  <c r="W1053" i="26"/>
  <c r="V1054" i="26"/>
  <c r="V1055" i="26"/>
  <c r="W1054" i="26"/>
  <c r="W1055" i="26"/>
  <c r="V1056" i="26"/>
  <c r="W1056" i="26"/>
  <c r="V1057" i="26"/>
  <c r="V1058" i="26"/>
  <c r="W1057" i="26"/>
  <c r="V1059" i="26"/>
  <c r="W1058" i="26"/>
  <c r="V1060" i="26"/>
  <c r="W1059" i="26"/>
  <c r="V1061" i="26"/>
  <c r="W1060" i="26"/>
  <c r="V1062" i="26"/>
  <c r="W1061" i="26"/>
  <c r="V1063" i="26"/>
  <c r="W1062" i="26"/>
  <c r="W1063" i="26"/>
  <c r="V1064" i="26"/>
  <c r="V1065" i="26"/>
  <c r="W1064" i="26"/>
  <c r="V1066" i="26"/>
  <c r="W1065" i="26"/>
  <c r="V1067" i="26"/>
  <c r="W1066" i="26"/>
  <c r="V1068" i="26"/>
  <c r="W1067" i="26"/>
  <c r="V1069" i="26"/>
  <c r="W1068" i="26"/>
  <c r="W1069" i="26"/>
  <c r="V1070" i="26"/>
  <c r="V1071" i="26"/>
  <c r="W1070" i="26"/>
  <c r="V1072" i="26"/>
  <c r="W1071" i="26"/>
  <c r="W1072" i="26"/>
  <c r="V1073" i="26"/>
  <c r="V1074" i="26"/>
  <c r="W1073" i="26"/>
  <c r="W1074" i="26"/>
  <c r="V1075" i="26"/>
  <c r="W1075" i="26"/>
  <c r="V1076" i="26"/>
  <c r="V1077" i="26"/>
  <c r="W1076" i="26"/>
  <c r="W1077" i="26"/>
  <c r="V1078" i="26"/>
  <c r="W1078" i="26"/>
  <c r="V1079" i="26"/>
  <c r="V1080" i="26"/>
  <c r="W1079" i="26"/>
  <c r="W1080" i="26"/>
  <c r="V1081" i="26"/>
  <c r="W1081" i="26"/>
  <c r="V1082" i="26"/>
  <c r="V1083" i="26"/>
  <c r="W1082" i="26"/>
  <c r="W1083" i="26"/>
  <c r="V1084" i="26"/>
  <c r="V1085" i="26"/>
  <c r="W1084" i="26"/>
  <c r="V1086" i="26"/>
  <c r="W1085" i="26"/>
  <c r="W1086" i="26"/>
  <c r="V1087" i="26"/>
  <c r="V1088" i="26"/>
  <c r="W1087" i="26"/>
  <c r="V1089" i="26"/>
  <c r="W1088" i="26"/>
  <c r="V1090" i="26"/>
  <c r="W1089" i="26"/>
  <c r="W1090" i="26"/>
  <c r="V1091" i="26"/>
  <c r="V1092" i="26"/>
  <c r="W1091" i="26"/>
  <c r="V1093" i="26"/>
  <c r="W1092" i="26"/>
  <c r="V1094" i="26"/>
  <c r="W1093" i="26"/>
  <c r="V1095" i="26"/>
  <c r="W1094" i="26"/>
  <c r="V1096" i="26"/>
  <c r="W1095" i="26"/>
  <c r="W1096" i="26"/>
  <c r="V1097" i="26"/>
  <c r="W1097" i="26"/>
  <c r="V1098" i="26"/>
  <c r="V1099" i="26"/>
  <c r="W1098" i="26"/>
  <c r="W1099" i="26"/>
  <c r="V1100" i="26"/>
  <c r="W1100" i="26"/>
  <c r="V1101" i="26"/>
  <c r="W1101" i="26"/>
  <c r="V1102" i="26"/>
  <c r="V1103" i="26"/>
  <c r="W1102" i="26"/>
  <c r="V1104" i="26"/>
  <c r="W1103" i="26"/>
  <c r="V1105" i="26"/>
  <c r="W1104" i="26"/>
  <c r="V1106" i="26"/>
  <c r="W1105" i="26"/>
  <c r="W1106" i="26"/>
  <c r="V1107" i="26"/>
  <c r="W1107" i="26"/>
  <c r="V1108" i="26"/>
  <c r="V1109" i="26"/>
  <c r="W1108" i="26"/>
  <c r="V1110" i="26"/>
  <c r="W1109" i="26"/>
  <c r="V1111" i="26"/>
  <c r="W1110" i="26"/>
  <c r="V1112" i="26"/>
  <c r="W1111" i="26"/>
  <c r="W1112" i="26"/>
  <c r="V1113" i="26"/>
  <c r="W1113" i="26"/>
  <c r="V1114" i="26"/>
  <c r="W1114" i="26"/>
  <c r="V1115" i="26"/>
  <c r="W1115" i="26"/>
  <c r="V1116" i="26"/>
  <c r="V1117" i="26"/>
  <c r="W1116" i="26"/>
  <c r="W1117" i="26"/>
  <c r="V1118" i="26"/>
  <c r="W1118" i="26"/>
  <c r="V1119" i="26"/>
  <c r="W1119" i="26"/>
  <c r="V1120" i="26"/>
  <c r="V1121" i="26"/>
  <c r="W1120" i="26"/>
  <c r="W1121" i="26"/>
  <c r="V1122" i="26"/>
  <c r="V1123" i="26"/>
  <c r="W1122" i="26"/>
  <c r="W1123" i="26"/>
  <c r="V1124" i="26"/>
  <c r="W1124" i="26"/>
  <c r="V1125" i="26"/>
  <c r="W1125" i="26"/>
  <c r="V1126" i="26"/>
  <c r="V1127" i="26"/>
  <c r="W1126" i="26"/>
  <c r="W1127" i="26"/>
  <c r="V1128" i="26"/>
  <c r="W1128" i="26"/>
  <c r="V1129" i="26"/>
  <c r="V1130" i="26"/>
  <c r="W1129" i="26"/>
  <c r="V1131" i="26"/>
  <c r="W1130" i="26"/>
  <c r="W1131" i="26"/>
  <c r="V1132" i="26"/>
  <c r="V1133" i="26"/>
  <c r="W1132" i="26"/>
  <c r="V1134" i="26"/>
  <c r="W1133" i="26"/>
  <c r="V1135" i="26"/>
  <c r="W1134" i="26"/>
  <c r="V1136" i="26"/>
  <c r="W1135" i="26"/>
  <c r="V1137" i="26"/>
  <c r="W1136" i="26"/>
  <c r="W1137" i="26"/>
  <c r="V1138" i="26"/>
  <c r="V1139" i="26"/>
  <c r="W1138" i="26"/>
  <c r="W1139" i="26"/>
  <c r="V1140" i="26"/>
  <c r="V1141" i="26"/>
  <c r="W1140" i="26"/>
  <c r="V1142" i="26"/>
  <c r="W1141" i="26"/>
  <c r="W1142" i="26"/>
  <c r="V1143" i="26"/>
  <c r="W1143" i="26"/>
  <c r="V1144" i="26"/>
  <c r="W1144" i="26"/>
  <c r="V1145" i="26"/>
  <c r="V1146" i="26"/>
  <c r="W1145" i="26"/>
  <c r="W1146" i="26"/>
  <c r="V1147" i="26"/>
  <c r="W1147" i="26"/>
  <c r="V1148" i="26"/>
  <c r="W1148" i="26"/>
  <c r="V1149" i="26"/>
  <c r="V1150" i="26"/>
  <c r="W1149" i="26"/>
  <c r="V1151" i="26"/>
  <c r="W1150" i="26"/>
  <c r="W1151" i="26"/>
  <c r="V1152" i="26"/>
  <c r="W1152" i="26"/>
  <c r="V1153" i="26"/>
  <c r="V1154" i="26"/>
  <c r="W1153" i="26"/>
  <c r="W1154" i="26"/>
  <c r="V1155" i="26"/>
  <c r="V1156" i="26"/>
  <c r="W1155" i="26"/>
  <c r="V1157" i="26"/>
  <c r="W1156" i="26"/>
  <c r="W1157" i="26"/>
  <c r="V1158" i="26"/>
  <c r="W1158" i="26"/>
  <c r="V1159" i="26"/>
  <c r="W1159" i="26"/>
  <c r="V1160" i="26"/>
  <c r="W1160" i="26"/>
  <c r="V1161" i="26"/>
  <c r="V1162" i="26"/>
  <c r="W1161" i="26"/>
  <c r="V1163" i="26"/>
  <c r="W1162" i="26"/>
  <c r="W1163" i="26"/>
  <c r="V1164" i="26"/>
  <c r="V1165" i="26"/>
  <c r="W1164" i="26"/>
  <c r="W1165" i="26"/>
  <c r="V1166" i="26"/>
  <c r="V1167" i="26"/>
  <c r="W1166" i="26"/>
  <c r="V1168" i="26"/>
  <c r="W1167" i="26"/>
  <c r="W1168" i="26"/>
  <c r="V1169" i="26"/>
  <c r="V1170" i="26"/>
  <c r="W1169" i="26"/>
  <c r="W1170" i="26"/>
  <c r="V1171" i="26"/>
  <c r="W1171" i="26"/>
  <c r="V1172" i="26"/>
  <c r="V1173" i="26"/>
  <c r="W1172" i="26"/>
  <c r="V1174" i="26"/>
  <c r="W1173" i="26"/>
  <c r="W1174" i="26"/>
  <c r="V1175" i="26"/>
  <c r="V1176" i="26"/>
  <c r="W1175" i="26"/>
  <c r="W1176" i="26"/>
  <c r="V1177" i="26"/>
  <c r="W1177" i="26"/>
  <c r="V1178" i="26"/>
  <c r="V1179" i="26"/>
  <c r="W1178" i="26"/>
  <c r="W1179" i="26"/>
  <c r="V1180" i="26"/>
  <c r="V1181" i="26"/>
  <c r="W1180" i="26"/>
  <c r="V1182" i="26"/>
  <c r="W1181" i="26"/>
  <c r="W1182" i="26"/>
  <c r="V1183" i="26"/>
  <c r="W1183" i="26"/>
  <c r="V1184" i="26"/>
  <c r="W1184" i="26"/>
  <c r="V1185" i="26"/>
  <c r="V1186" i="26"/>
  <c r="W1185" i="26"/>
  <c r="V1187" i="26"/>
  <c r="W1186" i="26"/>
  <c r="V1188" i="26"/>
  <c r="W1187" i="26"/>
  <c r="W1188" i="26"/>
  <c r="V1189" i="26"/>
  <c r="W1189" i="26"/>
  <c r="V1190" i="26"/>
  <c r="V1191" i="26"/>
  <c r="W1190" i="26"/>
  <c r="V1192" i="26"/>
  <c r="W1191" i="26"/>
  <c r="V1193" i="26"/>
  <c r="W1192" i="26"/>
  <c r="W1193" i="26"/>
  <c r="V1194" i="26"/>
  <c r="W1194" i="26"/>
  <c r="V1195" i="26"/>
  <c r="W1195" i="26"/>
  <c r="V1196" i="26"/>
  <c r="W1196" i="26"/>
  <c r="V1197" i="26"/>
  <c r="V1198" i="26"/>
  <c r="W1197" i="26"/>
  <c r="V1199" i="26"/>
  <c r="W1198" i="26"/>
  <c r="V1200" i="26"/>
  <c r="W1199" i="26"/>
  <c r="V1201" i="26"/>
  <c r="W1200" i="26"/>
  <c r="W1201" i="26"/>
  <c r="V1202" i="26"/>
  <c r="W1202" i="26"/>
  <c r="V1203" i="26"/>
  <c r="V1204" i="26"/>
  <c r="W1203" i="26"/>
  <c r="W1204" i="26"/>
  <c r="V1205" i="26"/>
  <c r="V1206" i="26"/>
  <c r="W1205" i="26"/>
  <c r="W1206" i="26"/>
  <c r="V1207" i="26"/>
  <c r="W1207" i="26"/>
  <c r="V1208" i="26"/>
  <c r="W1208" i="26"/>
  <c r="V1209" i="26"/>
  <c r="V1210" i="26"/>
  <c r="W1209" i="26"/>
  <c r="W1210" i="26"/>
  <c r="V1211" i="26"/>
  <c r="V1212" i="26"/>
  <c r="W1211" i="26"/>
  <c r="V1213" i="26"/>
  <c r="W1212" i="26"/>
  <c r="V1214" i="26"/>
  <c r="W1213" i="26"/>
  <c r="V1215" i="26"/>
  <c r="W1214" i="26"/>
  <c r="W1215" i="26"/>
  <c r="V1216" i="26"/>
  <c r="W1216" i="26"/>
  <c r="V1217" i="26"/>
  <c r="V1218" i="26"/>
  <c r="W1217" i="26"/>
  <c r="W1218" i="26"/>
  <c r="V1219" i="26"/>
  <c r="V1220" i="26"/>
  <c r="W1219" i="26"/>
  <c r="W1220" i="26"/>
  <c r="V1221" i="26"/>
  <c r="V1222" i="26"/>
  <c r="W1221" i="26"/>
  <c r="V1223" i="26"/>
  <c r="W1222" i="26"/>
  <c r="V1224" i="26"/>
  <c r="W1223" i="26"/>
  <c r="V1225" i="26"/>
  <c r="W1224" i="26"/>
  <c r="V1226" i="26"/>
  <c r="W1225" i="26"/>
  <c r="V1227" i="26"/>
  <c r="W1226" i="26"/>
  <c r="W1227" i="26"/>
  <c r="V1228" i="26"/>
  <c r="W1228" i="26"/>
  <c r="V1229" i="26"/>
  <c r="V1230" i="26"/>
  <c r="W1229" i="26"/>
  <c r="W1230" i="26"/>
  <c r="V1231" i="26"/>
  <c r="V1232" i="26"/>
  <c r="W1231" i="26"/>
  <c r="V1233" i="26"/>
  <c r="W1232" i="26"/>
  <c r="W1233" i="26"/>
  <c r="V1234" i="26"/>
  <c r="V1235" i="26"/>
  <c r="W1234" i="26"/>
  <c r="W1235" i="26"/>
  <c r="V1236" i="26"/>
  <c r="V1237" i="26"/>
  <c r="W1236" i="26"/>
  <c r="V1238" i="26"/>
  <c r="W1237" i="26"/>
  <c r="W1238" i="26"/>
  <c r="V1239" i="26"/>
  <c r="V1240" i="26"/>
  <c r="W1239" i="26"/>
  <c r="W1240" i="26"/>
  <c r="V1241" i="26"/>
  <c r="W1241" i="26"/>
  <c r="V1242" i="26"/>
  <c r="W1242" i="26"/>
  <c r="V1243" i="26"/>
  <c r="W1243" i="26"/>
  <c r="V1244" i="26"/>
  <c r="W1244" i="26"/>
  <c r="V1245" i="26"/>
  <c r="V1246" i="26"/>
  <c r="W1245" i="26"/>
  <c r="W1246" i="26"/>
  <c r="V1247" i="26"/>
  <c r="V1248" i="26"/>
  <c r="W1247" i="26"/>
  <c r="W1248" i="26"/>
  <c r="V1249" i="26"/>
  <c r="W1249" i="26"/>
  <c r="V1250" i="26"/>
  <c r="W1250" i="26"/>
  <c r="V1251" i="26"/>
  <c r="W1251" i="26"/>
  <c r="V1252" i="26"/>
  <c r="W1252" i="26"/>
  <c r="V1253" i="26"/>
  <c r="W1253" i="26"/>
  <c r="V1254" i="26"/>
  <c r="V1255" i="26"/>
  <c r="W1254" i="26"/>
  <c r="W1255" i="26"/>
  <c r="V1256" i="26"/>
  <c r="W1256" i="26"/>
  <c r="V1257" i="26"/>
  <c r="V1258" i="26"/>
  <c r="W1257" i="26"/>
  <c r="W1258" i="26"/>
  <c r="V1259" i="26"/>
  <c r="W1259" i="26"/>
  <c r="V1260" i="26"/>
  <c r="V1261" i="26"/>
  <c r="W1260" i="26"/>
  <c r="W1261" i="26"/>
  <c r="V1262" i="26"/>
  <c r="V1263" i="26"/>
  <c r="W1262" i="26"/>
  <c r="W1263" i="26"/>
  <c r="V1264" i="26"/>
  <c r="V1265" i="26"/>
  <c r="W1264" i="26"/>
  <c r="W1265" i="26"/>
  <c r="V1266" i="26"/>
  <c r="W1266" i="26"/>
  <c r="V1267" i="26"/>
  <c r="V1268" i="26"/>
  <c r="W1267" i="26"/>
  <c r="W1268" i="26"/>
  <c r="V1269" i="26"/>
  <c r="V1270" i="26"/>
  <c r="W1269" i="26"/>
  <c r="W1270" i="26"/>
  <c r="V1271" i="26"/>
  <c r="W1271" i="26"/>
  <c r="V1272" i="26"/>
  <c r="V1273" i="26"/>
  <c r="W1272" i="26"/>
  <c r="V1274" i="26"/>
  <c r="W1273" i="26"/>
  <c r="V1275" i="26"/>
  <c r="W1274" i="26"/>
  <c r="V1276" i="26"/>
  <c r="W1275" i="26"/>
  <c r="W1276" i="26"/>
  <c r="V1277" i="26"/>
  <c r="V1278" i="26"/>
  <c r="W1277" i="26"/>
  <c r="W1278" i="26"/>
  <c r="V1279" i="26"/>
  <c r="V1280" i="26"/>
  <c r="W1279" i="26"/>
  <c r="W1280" i="26"/>
  <c r="V1281" i="26"/>
  <c r="V1282" i="26"/>
  <c r="W1281" i="26"/>
  <c r="W1282" i="26"/>
  <c r="V1283" i="26"/>
  <c r="W1283" i="26"/>
  <c r="V1284" i="26"/>
  <c r="V1285" i="26"/>
  <c r="W1284" i="26"/>
  <c r="V1286" i="26"/>
  <c r="W1285" i="26"/>
  <c r="W1286" i="26"/>
  <c r="V1287" i="26"/>
  <c r="V1288" i="26"/>
  <c r="W1287" i="26"/>
  <c r="W1288" i="26"/>
  <c r="V1289" i="26"/>
  <c r="V1290" i="26"/>
  <c r="W1289" i="26"/>
  <c r="V1291" i="26"/>
  <c r="W1290" i="26"/>
  <c r="V1292" i="26"/>
  <c r="W1291" i="26"/>
  <c r="V1293" i="26"/>
  <c r="W1292" i="26"/>
  <c r="W1293" i="26"/>
  <c r="V1294" i="26"/>
  <c r="W1294" i="26"/>
  <c r="V1295" i="26"/>
  <c r="V1296" i="26"/>
  <c r="W1295" i="26"/>
  <c r="W1296" i="26"/>
  <c r="V1297" i="26"/>
  <c r="W1297" i="26"/>
  <c r="V1298" i="26"/>
  <c r="W1298" i="26"/>
  <c r="V1299" i="26"/>
  <c r="W1299" i="26"/>
  <c r="V1300" i="26"/>
  <c r="V1301" i="26"/>
  <c r="W1300" i="26"/>
  <c r="W1301" i="26"/>
  <c r="V1302" i="26"/>
  <c r="V1303" i="26"/>
  <c r="W1302" i="26"/>
  <c r="W1303" i="26"/>
  <c r="V1304" i="26"/>
  <c r="W1304" i="26"/>
  <c r="V1305" i="26"/>
  <c r="V1306" i="26"/>
  <c r="W1305" i="26"/>
  <c r="W1306" i="26"/>
  <c r="V1307" i="26"/>
  <c r="V1308" i="26"/>
  <c r="W1307" i="26"/>
  <c r="V1309" i="26"/>
  <c r="W1308" i="26"/>
  <c r="V1310" i="26"/>
  <c r="W1309" i="26"/>
  <c r="V1311" i="26"/>
  <c r="W1310" i="26"/>
  <c r="W1311" i="26"/>
  <c r="V1312" i="26"/>
  <c r="V1313" i="26"/>
  <c r="W1312" i="26"/>
  <c r="V1314" i="26"/>
  <c r="W1313" i="26"/>
  <c r="W1314" i="26"/>
  <c r="V1315" i="26"/>
  <c r="V1316" i="26"/>
  <c r="W1315" i="26"/>
  <c r="W1316" i="26"/>
  <c r="V1317" i="26"/>
  <c r="W1317" i="26"/>
  <c r="V1318" i="26"/>
  <c r="W1318" i="26"/>
  <c r="V1319" i="26"/>
  <c r="V1320" i="26"/>
  <c r="W1319" i="26"/>
  <c r="V1321" i="26"/>
  <c r="W1320" i="26"/>
  <c r="W1321" i="26"/>
  <c r="V1322" i="26"/>
  <c r="V1323" i="26"/>
  <c r="W1322" i="26"/>
  <c r="V1324" i="26"/>
  <c r="W1323" i="26"/>
  <c r="W1324" i="26"/>
  <c r="V1325" i="26"/>
  <c r="W1325" i="26"/>
  <c r="V1326" i="26"/>
  <c r="V1327" i="26"/>
  <c r="W1326" i="26"/>
  <c r="V1328" i="26"/>
  <c r="W1327" i="26"/>
  <c r="W1328" i="26"/>
  <c r="V1329" i="26"/>
  <c r="V1330" i="26"/>
  <c r="W1329" i="26"/>
  <c r="V1331" i="26"/>
  <c r="W1330" i="26"/>
  <c r="V1332" i="26"/>
  <c r="W1331" i="26"/>
  <c r="W1332" i="26"/>
  <c r="V1333" i="26"/>
  <c r="V1334" i="26"/>
  <c r="W1333" i="26"/>
  <c r="V1335" i="26"/>
  <c r="W1334" i="26"/>
  <c r="W1335" i="26"/>
  <c r="V1336" i="26"/>
  <c r="V1337" i="26"/>
  <c r="W1336" i="26"/>
  <c r="V1338" i="26"/>
  <c r="W1337" i="26"/>
  <c r="V1339" i="26"/>
  <c r="W1338" i="26"/>
  <c r="W1339" i="26"/>
  <c r="V1340" i="26"/>
  <c r="W1340" i="26"/>
  <c r="V1341" i="26"/>
  <c r="V1342" i="26"/>
  <c r="W1341" i="26"/>
  <c r="V1343" i="26"/>
  <c r="W1342" i="26"/>
  <c r="V1344" i="26"/>
  <c r="W1343" i="26"/>
  <c r="W1344" i="26"/>
  <c r="V1345" i="26"/>
  <c r="W1345" i="26"/>
  <c r="V1346" i="26"/>
  <c r="V1347" i="26"/>
  <c r="W1346" i="26"/>
  <c r="W1347" i="26"/>
  <c r="V1348" i="26"/>
  <c r="W1348" i="26"/>
  <c r="V1349" i="26"/>
  <c r="W1349" i="26"/>
  <c r="V1350" i="26"/>
  <c r="V1351" i="26"/>
  <c r="W1350" i="26"/>
  <c r="V1352" i="26"/>
  <c r="W1351" i="26"/>
  <c r="W1352" i="26"/>
  <c r="V1353" i="26"/>
  <c r="W1353" i="26"/>
  <c r="V1354" i="26"/>
  <c r="V1355" i="26"/>
  <c r="W1354" i="26"/>
  <c r="V1356" i="26"/>
  <c r="W1355" i="26"/>
  <c r="W1356" i="26"/>
  <c r="V1357" i="26"/>
  <c r="V1358" i="26"/>
  <c r="W1357" i="26"/>
  <c r="V1359" i="26"/>
  <c r="W1358" i="26"/>
  <c r="V1360" i="26"/>
  <c r="W1359" i="26"/>
  <c r="V1361" i="26"/>
  <c r="W1360" i="26"/>
  <c r="V1362" i="26"/>
  <c r="W1361" i="26"/>
  <c r="W1362" i="26"/>
  <c r="V1363" i="26"/>
  <c r="V1364" i="26"/>
  <c r="W1363" i="26"/>
  <c r="W1364" i="26"/>
  <c r="V1365" i="26"/>
  <c r="V1366" i="26"/>
  <c r="W1365" i="26"/>
  <c r="V1367" i="26"/>
  <c r="W1366" i="26"/>
  <c r="V1368" i="26"/>
  <c r="W1367" i="26"/>
  <c r="W1368" i="26"/>
  <c r="V1369" i="26"/>
  <c r="W1369" i="26"/>
  <c r="V1370" i="26"/>
  <c r="V1371" i="26"/>
  <c r="W1370" i="26"/>
  <c r="V1372" i="26"/>
  <c r="W1371" i="26"/>
  <c r="V1373" i="26"/>
  <c r="W1372" i="26"/>
  <c r="W1373" i="26"/>
  <c r="V1374" i="26"/>
  <c r="W1374" i="26"/>
  <c r="V1375" i="26"/>
  <c r="W1375" i="26"/>
  <c r="V1376" i="26"/>
  <c r="W1376" i="26"/>
  <c r="V1377" i="26"/>
  <c r="W1377" i="26"/>
  <c r="V1378" i="26"/>
  <c r="W1378" i="26"/>
  <c r="V1379" i="26"/>
  <c r="V1380" i="26"/>
  <c r="W1379" i="26"/>
  <c r="W1380" i="26"/>
  <c r="V1381" i="26"/>
  <c r="W1381" i="26"/>
  <c r="V1382" i="26"/>
  <c r="V1383" i="26"/>
  <c r="W1382" i="26"/>
  <c r="V1384" i="26"/>
  <c r="W1383" i="26"/>
  <c r="V1385" i="26"/>
  <c r="W1384" i="26"/>
  <c r="W1385" i="26"/>
  <c r="V1386" i="26"/>
  <c r="W1386" i="26"/>
  <c r="V1387" i="26"/>
  <c r="V1388" i="26"/>
  <c r="W1387" i="26"/>
  <c r="V1389" i="26"/>
  <c r="W1388" i="26"/>
  <c r="W1389" i="26"/>
  <c r="V1390" i="26"/>
  <c r="V1391" i="26"/>
  <c r="W1390" i="26"/>
  <c r="W1391" i="26"/>
  <c r="V1392" i="26"/>
  <c r="W1392" i="26"/>
  <c r="V1393" i="26"/>
  <c r="V1394" i="26"/>
  <c r="W1393" i="26"/>
  <c r="V1395" i="26"/>
  <c r="W1394" i="26"/>
  <c r="V1396" i="26"/>
  <c r="W1395" i="26"/>
  <c r="V1397" i="26"/>
  <c r="W1396" i="26"/>
  <c r="W1397" i="26"/>
  <c r="V1398" i="26"/>
  <c r="V1399" i="26"/>
  <c r="W1398" i="26"/>
  <c r="W1399" i="26"/>
  <c r="V1400" i="26"/>
  <c r="V1401" i="26"/>
  <c r="W1400" i="26"/>
  <c r="W1401" i="26"/>
  <c r="V1402" i="26"/>
  <c r="W1402" i="26"/>
  <c r="V1403" i="26"/>
  <c r="W1403" i="26"/>
  <c r="V1404" i="26"/>
  <c r="V1405" i="26"/>
  <c r="W1404" i="26"/>
  <c r="V1406" i="26"/>
  <c r="W1405" i="26"/>
  <c r="V1407" i="26"/>
  <c r="W1406" i="26"/>
  <c r="V1408" i="26"/>
  <c r="W1407" i="26"/>
  <c r="W1408" i="26"/>
  <c r="V1409" i="26"/>
  <c r="V1410" i="26"/>
  <c r="W1409" i="26"/>
  <c r="W1410" i="26"/>
  <c r="V1411" i="26"/>
  <c r="W1411" i="26"/>
  <c r="V1412" i="26"/>
  <c r="V1413" i="26"/>
  <c r="W1412" i="26"/>
  <c r="W1413" i="26"/>
  <c r="V1414" i="26"/>
  <c r="V1415" i="26"/>
  <c r="W1414" i="26"/>
  <c r="V1416" i="26"/>
  <c r="W1415" i="26"/>
  <c r="W1416" i="26"/>
  <c r="V1417" i="26"/>
  <c r="W1417" i="26"/>
  <c r="V1418" i="26"/>
  <c r="V1419" i="26"/>
  <c r="W1418" i="26"/>
  <c r="W1419" i="26"/>
  <c r="V1420" i="26"/>
  <c r="V1421" i="26"/>
  <c r="W1420" i="26"/>
  <c r="V1422" i="26"/>
  <c r="W1421" i="26"/>
  <c r="W1422" i="26"/>
  <c r="V1423" i="26"/>
  <c r="V1424" i="26"/>
  <c r="W1423" i="26"/>
  <c r="V1425" i="26"/>
  <c r="W1424" i="26"/>
  <c r="W1425" i="26"/>
  <c r="V1426" i="26"/>
  <c r="V1427" i="26"/>
  <c r="W1426" i="26"/>
  <c r="V1428" i="26"/>
  <c r="W1427" i="26"/>
  <c r="V1429" i="26"/>
  <c r="W1428" i="26"/>
  <c r="V1430" i="26"/>
  <c r="W1429" i="26"/>
  <c r="V1431" i="26"/>
  <c r="W1430" i="26"/>
  <c r="W1431" i="26"/>
  <c r="V1432" i="26"/>
  <c r="V1433" i="26"/>
  <c r="W1432" i="26"/>
  <c r="V1434" i="26"/>
  <c r="W1433" i="26"/>
  <c r="W1434" i="26"/>
  <c r="V1435" i="26"/>
  <c r="V1436" i="26"/>
  <c r="W1435" i="26"/>
  <c r="V1437" i="26"/>
  <c r="W1436" i="26"/>
  <c r="V1438" i="26"/>
  <c r="W1437" i="26"/>
  <c r="W1438" i="26"/>
  <c r="V1439" i="26"/>
  <c r="W1439" i="26"/>
  <c r="V1440" i="26"/>
  <c r="W1440" i="26"/>
  <c r="V1441" i="26"/>
  <c r="V1442" i="26"/>
  <c r="W1441" i="26"/>
  <c r="V1443" i="26"/>
  <c r="W1442" i="26"/>
  <c r="V1444" i="26"/>
  <c r="W1443" i="26"/>
  <c r="V1445" i="26"/>
  <c r="W1444" i="26"/>
  <c r="W1445" i="26"/>
  <c r="V1446" i="26"/>
  <c r="V1447" i="26"/>
  <c r="W1446" i="26"/>
  <c r="V1448" i="26"/>
  <c r="W1447" i="26"/>
  <c r="V1449" i="26"/>
  <c r="W1448" i="26"/>
  <c r="W1449" i="26"/>
  <c r="V1450" i="26"/>
  <c r="W1450" i="26"/>
  <c r="V1451" i="26"/>
  <c r="V1452" i="26"/>
  <c r="W1451" i="26"/>
  <c r="V1453" i="26"/>
  <c r="W1452" i="26"/>
  <c r="W1453" i="26"/>
  <c r="V1454" i="26"/>
  <c r="V1455" i="26"/>
  <c r="W1454" i="26"/>
  <c r="V1456" i="26"/>
  <c r="W1455" i="26"/>
  <c r="V1457" i="26"/>
  <c r="W1456" i="26"/>
  <c r="V1458" i="26"/>
  <c r="W1457" i="26"/>
  <c r="V1459" i="26"/>
  <c r="W1458" i="26"/>
  <c r="V1460" i="26"/>
  <c r="W1459" i="26"/>
  <c r="W1460" i="26"/>
  <c r="V1461" i="26"/>
  <c r="W1461" i="26"/>
  <c r="V1462" i="26"/>
  <c r="W1462" i="26"/>
  <c r="V1463" i="26"/>
  <c r="W1463" i="26"/>
  <c r="V1464" i="26"/>
  <c r="W1464" i="26"/>
  <c r="V1465" i="26"/>
  <c r="W1465" i="26"/>
  <c r="V1466" i="26"/>
  <c r="W1466" i="26"/>
  <c r="V1467" i="26"/>
  <c r="W1467" i="26"/>
  <c r="V1468" i="26"/>
  <c r="W1468" i="26"/>
  <c r="V1469" i="26"/>
  <c r="V1470" i="26"/>
  <c r="W1469" i="26"/>
  <c r="W1470" i="26"/>
  <c r="V1471" i="26"/>
  <c r="W1471" i="26"/>
  <c r="V1472" i="26"/>
  <c r="W1472" i="26"/>
  <c r="V1473" i="26"/>
  <c r="V1474" i="26"/>
  <c r="W1473" i="26"/>
  <c r="V1475" i="26"/>
  <c r="W1474" i="26"/>
  <c r="W1475" i="26"/>
  <c r="V1476" i="26"/>
  <c r="V1477" i="26"/>
  <c r="W1476" i="26"/>
  <c r="V1478" i="26"/>
  <c r="W1477" i="26"/>
  <c r="V1479" i="26"/>
  <c r="W1478" i="26"/>
  <c r="V1480" i="26"/>
  <c r="W1479" i="26"/>
  <c r="V1481" i="26"/>
  <c r="W1480" i="26"/>
  <c r="V1482" i="26"/>
  <c r="W1481" i="26"/>
  <c r="W1482" i="26"/>
  <c r="V1483" i="26"/>
  <c r="V1484" i="26"/>
  <c r="W1483" i="26"/>
  <c r="W1484" i="26"/>
  <c r="V1485" i="26"/>
  <c r="W1485" i="26"/>
  <c r="V1486" i="26"/>
  <c r="V1487" i="26"/>
  <c r="W1486" i="26"/>
  <c r="W1487" i="26"/>
  <c r="V1488" i="26"/>
  <c r="V1489" i="26"/>
  <c r="W1488" i="26"/>
  <c r="V1490" i="26"/>
  <c r="W1489" i="26"/>
  <c r="W1490" i="26"/>
  <c r="V1491" i="26"/>
  <c r="V1492" i="26"/>
  <c r="W1491" i="26"/>
  <c r="V1493" i="26"/>
  <c r="W1492" i="26"/>
  <c r="W1493" i="26"/>
  <c r="V1494" i="26"/>
  <c r="V1495" i="26"/>
  <c r="W1494" i="26"/>
  <c r="W1495" i="26"/>
  <c r="V1496" i="26"/>
  <c r="V1497" i="26"/>
  <c r="W1496" i="26"/>
  <c r="V1498" i="26"/>
  <c r="W1497" i="26"/>
  <c r="V1499" i="26"/>
  <c r="W1498" i="26"/>
  <c r="V1500" i="26"/>
  <c r="W1499" i="26"/>
  <c r="V1501" i="26"/>
  <c r="W1500" i="26"/>
  <c r="W1501" i="26"/>
  <c r="V1502" i="26"/>
  <c r="W1502" i="26"/>
  <c r="V1503" i="26"/>
  <c r="W1503" i="26"/>
  <c r="V1504" i="26"/>
  <c r="W1504" i="26"/>
  <c r="V1505" i="26"/>
  <c r="V1506" i="26"/>
  <c r="W1505" i="26"/>
  <c r="V1507" i="26"/>
  <c r="W1506" i="26"/>
  <c r="V1508" i="26"/>
  <c r="W1507" i="26"/>
  <c r="V1509" i="26"/>
  <c r="W1508" i="26"/>
  <c r="W1509" i="26"/>
  <c r="V1510" i="26"/>
  <c r="V1511" i="26"/>
  <c r="W1510" i="26"/>
  <c r="V1512" i="26"/>
  <c r="W1511" i="26"/>
  <c r="V1513" i="26"/>
  <c r="W1512" i="26"/>
  <c r="W1513" i="26"/>
  <c r="V1514" i="26"/>
  <c r="W1514" i="26"/>
  <c r="V1515" i="26"/>
  <c r="V1516" i="26"/>
  <c r="W1515" i="26"/>
  <c r="W1516" i="26"/>
  <c r="V1517" i="26"/>
  <c r="V1518" i="26"/>
  <c r="W1517" i="26"/>
  <c r="W1518" i="26"/>
  <c r="V1519" i="26"/>
  <c r="V1520" i="26"/>
  <c r="W1519" i="26"/>
  <c r="W1520" i="26"/>
  <c r="V1521" i="26"/>
  <c r="W1521" i="26"/>
  <c r="V1522" i="26"/>
  <c r="W1522" i="26"/>
  <c r="V1523" i="26"/>
  <c r="W1523" i="26"/>
  <c r="V1524" i="26"/>
  <c r="V1525" i="26"/>
  <c r="W1524" i="26"/>
  <c r="V1526" i="26"/>
  <c r="W1525" i="26"/>
  <c r="W1526" i="26"/>
  <c r="V1527" i="26"/>
  <c r="V1528" i="26"/>
  <c r="W1527" i="26"/>
  <c r="W1528" i="26"/>
  <c r="V1529" i="26"/>
  <c r="V1530" i="26"/>
  <c r="W1529" i="26"/>
  <c r="V1531" i="26"/>
  <c r="W1530" i="26"/>
  <c r="W1531" i="26"/>
  <c r="V1532" i="26"/>
  <c r="V1533" i="26"/>
  <c r="W1532" i="26"/>
  <c r="W1533" i="26"/>
  <c r="V1534" i="26"/>
  <c r="W1534" i="26"/>
  <c r="V1535" i="26"/>
  <c r="V1536" i="26"/>
  <c r="W1535" i="26"/>
  <c r="V1537" i="26"/>
  <c r="W1536" i="26"/>
  <c r="W1537" i="26"/>
  <c r="V1538" i="26"/>
  <c r="V1539" i="26"/>
  <c r="W1538" i="26"/>
  <c r="V1540" i="26"/>
  <c r="W1539" i="26"/>
  <c r="W1540" i="26"/>
  <c r="V1541" i="26"/>
  <c r="V1542" i="26"/>
  <c r="W1541" i="26"/>
  <c r="V1543" i="26"/>
  <c r="W1542" i="26"/>
  <c r="W1543" i="26"/>
  <c r="V1544" i="26"/>
  <c r="V1545" i="26"/>
  <c r="W1544" i="26"/>
  <c r="W1545" i="26"/>
  <c r="V1546" i="26"/>
  <c r="W1546" i="26"/>
  <c r="V1547" i="26"/>
  <c r="W1547" i="26"/>
  <c r="V1548" i="26"/>
  <c r="W1548" i="26"/>
  <c r="V1549" i="26"/>
  <c r="W1549" i="26"/>
  <c r="V1550" i="26"/>
  <c r="W1550" i="26"/>
  <c r="V1551" i="26"/>
  <c r="V1552" i="26"/>
  <c r="W1551" i="26"/>
  <c r="V1553" i="26"/>
  <c r="W1552" i="26"/>
  <c r="W1553" i="26"/>
  <c r="V1554" i="26"/>
  <c r="W1554" i="26"/>
  <c r="V1555" i="26"/>
  <c r="W1555" i="26"/>
  <c r="V1556" i="26"/>
  <c r="V1557" i="26"/>
  <c r="W1556" i="26"/>
  <c r="V1558" i="26"/>
  <c r="W1557" i="26"/>
  <c r="W1558" i="26"/>
  <c r="V1559" i="26"/>
  <c r="W1559" i="26"/>
  <c r="V1560" i="26"/>
  <c r="V1561" i="26"/>
  <c r="W1560" i="26"/>
  <c r="W1561" i="26"/>
  <c r="V1562" i="26"/>
  <c r="W1562" i="26"/>
  <c r="V1563" i="26"/>
  <c r="W1563" i="26"/>
  <c r="V1564" i="26"/>
  <c r="V1565" i="26"/>
  <c r="W1564" i="26"/>
  <c r="W1565" i="26"/>
  <c r="V1566" i="26"/>
  <c r="W1566" i="26"/>
  <c r="V1567" i="26"/>
  <c r="V1568" i="26"/>
  <c r="W1567" i="26"/>
  <c r="W1568" i="26"/>
  <c r="V1569" i="26"/>
  <c r="V1570" i="26"/>
  <c r="W1569" i="26"/>
  <c r="V1571" i="26"/>
  <c r="W1570" i="26"/>
  <c r="W1571" i="26"/>
  <c r="V1572" i="26"/>
  <c r="W1572" i="26"/>
  <c r="V1573" i="26"/>
  <c r="V1574" i="26"/>
  <c r="W1573" i="26"/>
  <c r="W1574" i="26"/>
  <c r="V1575" i="26"/>
  <c r="W1575" i="26"/>
  <c r="V1576" i="26"/>
  <c r="V1577" i="26"/>
  <c r="W1576" i="26"/>
  <c r="V1578" i="26"/>
  <c r="W1577" i="26"/>
  <c r="W1578" i="26"/>
  <c r="V1579" i="26"/>
  <c r="V1580" i="26"/>
  <c r="W1579" i="26"/>
  <c r="V1581" i="26"/>
  <c r="W1580" i="26"/>
  <c r="W1581" i="26"/>
  <c r="V1582" i="26"/>
  <c r="W1582" i="26"/>
  <c r="V1583" i="26"/>
  <c r="W1583" i="26"/>
  <c r="V1584" i="26"/>
  <c r="V1585" i="26"/>
  <c r="W1584" i="26"/>
  <c r="V1586" i="26"/>
  <c r="W1585" i="26"/>
  <c r="W1586" i="26"/>
  <c r="V1587" i="26"/>
  <c r="V1588" i="26"/>
  <c r="W1587" i="26"/>
  <c r="V1589" i="26"/>
  <c r="W1588" i="26"/>
  <c r="W1589" i="26"/>
  <c r="V1590" i="26"/>
  <c r="V1591" i="26"/>
  <c r="W1590" i="26"/>
  <c r="W1591" i="26"/>
  <c r="V1592" i="26"/>
  <c r="W1592" i="26"/>
  <c r="V1593" i="26"/>
  <c r="W1593" i="26"/>
  <c r="V1594" i="26"/>
  <c r="V1595" i="26"/>
  <c r="W1594" i="26"/>
  <c r="V1596" i="26"/>
  <c r="W1595" i="26"/>
  <c r="W1596" i="26"/>
  <c r="V1597" i="26"/>
  <c r="W1597" i="26"/>
  <c r="V1598" i="26"/>
  <c r="W1598" i="26"/>
  <c r="V1599" i="26"/>
  <c r="V1600" i="26"/>
  <c r="W1599" i="26"/>
  <c r="V1601" i="26"/>
  <c r="W1600" i="26"/>
  <c r="W1601" i="26"/>
  <c r="V1602" i="26"/>
  <c r="V1603" i="26"/>
  <c r="W1602" i="26"/>
  <c r="V1604" i="26"/>
  <c r="W1603" i="26"/>
  <c r="W1604" i="26"/>
  <c r="V1605" i="26"/>
  <c r="V1606" i="26"/>
  <c r="W1605" i="26"/>
  <c r="W1606" i="26"/>
  <c r="V1607" i="26"/>
  <c r="W1607" i="26"/>
  <c r="V1608" i="26"/>
  <c r="V1609" i="26"/>
  <c r="W1608" i="26"/>
  <c r="W1609" i="26"/>
  <c r="V1610" i="26"/>
  <c r="V1611" i="26"/>
  <c r="W1610" i="26"/>
  <c r="W1611" i="26"/>
  <c r="V1612" i="26"/>
  <c r="V1613" i="26"/>
  <c r="W1612" i="26"/>
  <c r="V1614" i="26"/>
  <c r="W1613" i="26"/>
  <c r="V1615" i="26"/>
  <c r="W1614" i="26"/>
  <c r="V1616" i="26"/>
  <c r="W1615" i="26"/>
  <c r="W1616" i="26"/>
  <c r="V1617" i="26"/>
  <c r="W1617" i="26"/>
  <c r="V1618" i="26"/>
  <c r="W1618" i="26"/>
  <c r="V1619" i="26"/>
  <c r="V1620" i="26"/>
  <c r="W1619" i="26"/>
  <c r="V1621" i="26"/>
  <c r="W1620" i="26"/>
  <c r="W1621" i="26"/>
  <c r="V1622" i="26"/>
  <c r="W1622" i="26"/>
  <c r="V1623" i="26"/>
  <c r="V1624" i="26"/>
  <c r="W1623" i="26"/>
  <c r="V1625" i="26"/>
  <c r="W1624" i="26"/>
  <c r="W1625" i="26"/>
  <c r="V1626" i="26"/>
  <c r="W1626" i="26"/>
  <c r="V1627" i="26"/>
  <c r="W1627" i="26"/>
  <c r="V1628" i="26"/>
  <c r="V1629" i="26"/>
  <c r="W1628" i="26"/>
  <c r="V1630" i="26"/>
  <c r="W1629" i="26"/>
  <c r="V1631" i="26"/>
  <c r="W1630" i="26"/>
  <c r="V1632" i="26"/>
  <c r="W1631" i="26"/>
  <c r="W1632" i="26"/>
  <c r="V1633" i="26"/>
  <c r="W1633" i="26"/>
  <c r="V1634" i="26"/>
  <c r="V1635" i="26"/>
  <c r="W1634" i="26"/>
  <c r="V1636" i="26"/>
  <c r="W1635" i="26"/>
  <c r="V1637" i="26"/>
  <c r="W1636" i="26"/>
  <c r="V1638" i="26"/>
  <c r="W1637" i="26"/>
  <c r="W1638" i="26"/>
  <c r="V1639" i="26"/>
  <c r="V1640" i="26"/>
  <c r="W1639" i="26"/>
  <c r="W1640" i="26"/>
  <c r="V1641" i="26"/>
  <c r="W1641" i="26"/>
  <c r="V1642" i="26"/>
  <c r="V1643" i="26"/>
  <c r="W1642" i="26"/>
  <c r="W1643" i="26"/>
  <c r="V1644" i="26"/>
  <c r="W1644" i="26"/>
  <c r="V1645" i="26"/>
  <c r="V1646" i="26"/>
  <c r="W1645" i="26"/>
  <c r="V1647" i="26"/>
  <c r="W1646" i="26"/>
  <c r="V1648" i="26"/>
  <c r="W1647" i="26"/>
  <c r="W1648" i="26"/>
  <c r="V1649" i="26"/>
  <c r="W1649" i="26"/>
  <c r="V1650" i="26"/>
  <c r="V1651" i="26"/>
  <c r="W1650" i="26"/>
  <c r="V1652" i="26"/>
  <c r="W1651" i="26"/>
  <c r="V1653" i="26"/>
  <c r="W1652" i="26"/>
  <c r="V1654" i="26"/>
  <c r="W1653" i="26"/>
  <c r="W1654" i="26"/>
  <c r="V1655" i="26"/>
  <c r="V1656" i="26"/>
  <c r="W1655" i="26"/>
  <c r="W1656" i="26"/>
  <c r="V1657" i="26"/>
  <c r="W1657" i="26"/>
  <c r="V1658" i="26"/>
  <c r="V1659" i="26"/>
  <c r="W1658" i="26"/>
  <c r="W1659" i="26"/>
  <c r="V1660" i="26"/>
  <c r="W1660" i="26"/>
  <c r="V1661" i="26"/>
  <c r="V1662" i="26"/>
  <c r="W1661" i="26"/>
  <c r="W1662" i="26"/>
  <c r="V1663" i="26"/>
  <c r="W1663" i="26"/>
  <c r="V1664" i="26"/>
  <c r="V1665" i="26"/>
  <c r="W1664" i="26"/>
  <c r="V1666" i="26"/>
  <c r="W1665" i="26"/>
  <c r="W1666" i="26"/>
  <c r="V1667" i="26"/>
  <c r="V1668" i="26"/>
  <c r="W1667" i="26"/>
  <c r="W1668" i="26"/>
  <c r="V1669" i="26"/>
  <c r="W1669" i="26"/>
  <c r="V1670" i="26"/>
  <c r="V1671" i="26"/>
  <c r="W1670" i="26"/>
  <c r="V1672" i="26"/>
  <c r="W1671" i="26"/>
  <c r="W1672" i="26"/>
  <c r="V1673" i="26"/>
  <c r="V1674" i="26"/>
  <c r="W1673" i="26"/>
  <c r="V1675" i="26"/>
  <c r="W1674" i="26"/>
  <c r="W1675" i="26"/>
  <c r="V1676" i="26"/>
  <c r="W1676" i="26"/>
  <c r="V1677" i="26"/>
  <c r="W1677" i="26"/>
  <c r="V1678" i="26"/>
  <c r="W1678" i="26"/>
  <c r="V1679" i="26"/>
  <c r="V1680" i="26"/>
  <c r="W1679" i="26"/>
  <c r="W1680" i="26"/>
  <c r="V1681" i="26"/>
  <c r="V1682" i="26"/>
  <c r="W1681" i="26"/>
  <c r="W1682" i="26"/>
  <c r="V1683" i="26"/>
  <c r="W1683" i="26"/>
  <c r="V1684" i="26"/>
  <c r="W1684" i="26"/>
  <c r="V1685" i="26"/>
  <c r="V1686" i="26"/>
  <c r="W1685" i="26"/>
  <c r="W1686" i="26"/>
  <c r="V1687" i="26"/>
  <c r="V1688" i="26"/>
  <c r="W1687" i="26"/>
  <c r="V1689" i="26"/>
  <c r="W1688" i="26"/>
  <c r="V1690" i="26"/>
  <c r="W1689" i="26"/>
  <c r="W1690" i="26"/>
  <c r="V1691" i="26"/>
  <c r="V1692" i="26"/>
  <c r="W1691" i="26"/>
  <c r="W1692" i="26"/>
  <c r="V1693" i="26"/>
  <c r="V1694" i="26"/>
  <c r="W1693" i="26"/>
  <c r="V1695" i="26"/>
  <c r="W1694" i="26"/>
  <c r="W1695" i="26"/>
  <c r="V1696" i="26"/>
  <c r="V1697" i="26"/>
  <c r="W1696" i="26"/>
  <c r="V1698" i="26"/>
  <c r="W1697" i="26"/>
  <c r="V1699" i="26"/>
  <c r="W1698" i="26"/>
  <c r="V1700" i="26"/>
  <c r="W1699" i="26"/>
  <c r="V1701" i="26"/>
  <c r="W1700" i="26"/>
  <c r="V1702" i="26"/>
  <c r="W1701" i="26"/>
  <c r="W1702" i="26"/>
  <c r="V1703" i="26"/>
  <c r="W1703" i="26"/>
  <c r="V1704" i="26"/>
  <c r="V1705" i="26"/>
  <c r="W1704" i="26"/>
  <c r="W1705" i="26"/>
  <c r="V1706" i="26"/>
  <c r="V1707" i="26"/>
  <c r="W1706" i="26"/>
  <c r="W1707" i="26"/>
  <c r="V1708" i="26"/>
  <c r="W1708" i="26"/>
  <c r="V1709" i="26"/>
  <c r="W1709" i="26"/>
  <c r="V1710" i="26"/>
  <c r="W1710" i="26"/>
  <c r="V1711" i="26"/>
  <c r="V1712" i="26"/>
  <c r="W1711" i="26"/>
  <c r="V1713" i="26"/>
  <c r="W1712" i="26"/>
  <c r="V1714" i="26"/>
  <c r="W1713" i="26"/>
  <c r="V1715" i="26"/>
  <c r="W1714" i="26"/>
  <c r="V1716" i="26"/>
  <c r="W1715" i="26"/>
  <c r="V1717" i="26"/>
  <c r="W1716" i="26"/>
  <c r="W1717" i="26"/>
  <c r="V1718" i="26"/>
  <c r="W1718" i="26"/>
  <c r="V1719" i="26"/>
  <c r="V1720" i="26"/>
  <c r="W1719" i="26"/>
  <c r="W1720" i="26"/>
  <c r="V1721" i="26"/>
  <c r="V1722" i="26"/>
  <c r="W1721" i="26"/>
  <c r="V1723" i="26"/>
  <c r="W1722" i="26"/>
  <c r="W1723" i="26"/>
  <c r="V1724" i="26"/>
  <c r="W1724" i="26"/>
  <c r="V1725" i="26"/>
  <c r="W1725" i="26"/>
  <c r="V1726" i="26"/>
  <c r="V1727" i="26"/>
  <c r="W1726" i="26"/>
  <c r="W1727" i="26"/>
  <c r="V1728" i="26"/>
  <c r="V1729" i="26"/>
  <c r="W1728" i="26"/>
  <c r="W1729" i="26"/>
  <c r="V1730" i="26"/>
  <c r="V1731" i="26"/>
  <c r="W1730" i="26"/>
  <c r="W1731" i="26"/>
  <c r="V1732" i="26"/>
  <c r="W1732" i="26"/>
  <c r="V1733" i="26"/>
  <c r="V1734" i="26"/>
  <c r="W1733" i="26"/>
  <c r="V1735" i="26"/>
  <c r="W1734" i="26"/>
  <c r="V1736" i="26"/>
  <c r="W1735" i="26"/>
  <c r="W1736" i="26"/>
  <c r="V1737" i="26"/>
  <c r="W1737" i="26"/>
  <c r="V1738" i="26"/>
  <c r="W1738" i="26"/>
  <c r="V1739" i="26"/>
  <c r="V1740" i="26"/>
  <c r="W1739" i="26"/>
  <c r="V1741" i="26"/>
  <c r="W1740" i="26"/>
  <c r="V1742" i="26"/>
  <c r="W1741" i="26"/>
  <c r="V1743" i="26"/>
  <c r="W1742" i="26"/>
  <c r="V1744" i="26"/>
  <c r="W1743" i="26"/>
  <c r="V1745" i="26"/>
  <c r="W1744" i="26"/>
  <c r="W1745" i="26"/>
  <c r="V1746" i="26"/>
  <c r="W1746" i="26"/>
  <c r="V1747" i="26"/>
  <c r="V1748" i="26"/>
  <c r="W1747" i="26"/>
  <c r="V1749" i="26"/>
  <c r="W1748" i="26"/>
  <c r="W1749" i="26"/>
  <c r="V1750" i="26"/>
  <c r="V1751" i="26"/>
  <c r="W1750" i="26"/>
  <c r="W1751" i="26"/>
  <c r="V1752" i="26"/>
  <c r="W1752" i="26"/>
  <c r="V1753" i="26"/>
  <c r="W1753" i="26"/>
  <c r="V1754" i="26"/>
  <c r="V1755" i="26"/>
  <c r="W1754" i="26"/>
  <c r="W1755" i="26"/>
  <c r="V1756" i="26"/>
  <c r="W1756" i="26"/>
  <c r="V1757" i="26"/>
  <c r="W1757" i="26"/>
  <c r="V1758" i="26"/>
  <c r="V1759" i="26"/>
  <c r="W1758" i="26"/>
  <c r="W1759" i="26"/>
  <c r="V1760" i="26"/>
  <c r="V1761" i="26"/>
  <c r="W1760" i="26"/>
  <c r="W1761" i="26"/>
  <c r="V1762" i="26"/>
  <c r="V1763" i="26"/>
  <c r="W1762" i="26"/>
  <c r="W1763" i="26"/>
  <c r="V1764" i="26"/>
  <c r="V1765" i="26"/>
  <c r="W1764" i="26"/>
  <c r="W1765" i="26"/>
  <c r="V1766" i="26"/>
  <c r="W1766" i="26"/>
  <c r="V1767" i="26"/>
  <c r="W1767" i="26"/>
  <c r="V1768" i="26"/>
  <c r="V1769" i="26"/>
  <c r="W1768" i="26"/>
  <c r="V1770" i="26"/>
  <c r="W1769" i="26"/>
  <c r="V1771" i="26"/>
  <c r="W1770" i="26"/>
  <c r="W1771" i="26"/>
  <c r="V1772" i="26"/>
  <c r="V1773" i="26"/>
  <c r="W1772" i="26"/>
  <c r="W1773" i="26"/>
  <c r="V1774" i="26"/>
  <c r="V1775" i="26"/>
  <c r="W1774" i="26"/>
  <c r="V1776" i="26"/>
  <c r="W1775" i="26"/>
  <c r="W1776" i="26"/>
  <c r="V1777" i="26"/>
  <c r="W1777" i="26"/>
  <c r="V1778" i="26"/>
  <c r="V1779" i="26"/>
  <c r="W1778" i="26"/>
  <c r="W1779" i="26"/>
  <c r="V1780" i="26"/>
  <c r="V1781" i="26"/>
  <c r="W1780" i="26"/>
  <c r="W1781" i="26"/>
  <c r="V1782" i="26"/>
  <c r="V1783" i="26"/>
  <c r="W1782" i="26"/>
  <c r="W1783" i="26"/>
  <c r="V1784" i="26"/>
  <c r="W1784" i="26"/>
  <c r="V1785" i="26"/>
  <c r="V1786" i="26"/>
  <c r="W1785" i="26"/>
  <c r="W1786" i="26"/>
  <c r="V1787" i="26"/>
  <c r="V1788" i="26"/>
  <c r="W1787" i="26"/>
  <c r="V1789" i="26"/>
  <c r="W1788" i="26"/>
  <c r="V1790" i="26"/>
  <c r="W1789" i="26"/>
  <c r="W1790" i="26"/>
  <c r="V1791" i="26"/>
  <c r="V1792" i="26"/>
  <c r="W1791" i="26"/>
  <c r="V1793" i="26"/>
  <c r="W1792" i="26"/>
  <c r="W1793" i="26"/>
  <c r="V1794" i="26"/>
  <c r="V1795" i="26"/>
  <c r="W1794" i="26"/>
  <c r="W1795" i="26"/>
  <c r="V1796" i="26"/>
  <c r="V1797" i="26"/>
  <c r="W1796" i="26"/>
  <c r="V1798" i="26"/>
  <c r="W1797" i="26"/>
  <c r="W1798" i="26"/>
  <c r="V1799" i="26"/>
  <c r="W1799" i="26"/>
  <c r="V1800" i="26"/>
  <c r="W1800" i="26"/>
  <c r="V1801" i="26"/>
  <c r="V1802" i="26"/>
  <c r="W1801" i="26"/>
  <c r="V1803" i="26"/>
  <c r="W1802" i="26"/>
  <c r="W1803" i="26"/>
  <c r="V1804" i="26"/>
  <c r="W1804" i="26"/>
  <c r="V1805" i="26"/>
  <c r="W1805" i="26"/>
  <c r="V1806" i="26"/>
  <c r="W1806" i="26"/>
  <c r="V1807" i="26"/>
  <c r="V1808" i="26"/>
  <c r="W1807" i="26"/>
  <c r="V1809" i="26"/>
  <c r="W1808" i="26"/>
  <c r="V1810" i="26"/>
  <c r="W1809" i="26"/>
  <c r="V1811" i="26"/>
  <c r="W1810" i="26"/>
  <c r="V1812" i="26"/>
  <c r="W1811" i="26"/>
  <c r="V1813" i="26"/>
  <c r="W1812" i="26"/>
  <c r="V1814" i="26"/>
  <c r="W1813" i="26"/>
  <c r="W1814" i="26"/>
  <c r="V1815" i="26"/>
  <c r="V1816" i="26"/>
  <c r="W1815" i="26"/>
  <c r="V1817" i="26"/>
  <c r="W1816" i="26"/>
  <c r="V1818" i="26"/>
  <c r="W1817" i="26"/>
  <c r="V1819" i="26"/>
  <c r="W1818" i="26"/>
  <c r="V1820" i="26"/>
  <c r="W1819" i="26"/>
  <c r="W1820" i="26"/>
  <c r="V1821" i="26"/>
  <c r="W1821" i="26"/>
  <c r="V1822" i="26"/>
  <c r="V1823" i="26"/>
  <c r="W1822" i="26"/>
  <c r="V1824" i="26"/>
  <c r="W1823" i="26"/>
  <c r="V1825" i="26"/>
  <c r="W1824" i="26"/>
  <c r="V1826" i="26"/>
  <c r="W1825" i="26"/>
  <c r="W1826" i="26"/>
  <c r="V1827" i="26"/>
  <c r="W1827" i="26"/>
  <c r="V1828" i="26"/>
  <c r="V1829" i="26"/>
  <c r="W1828" i="26"/>
  <c r="V1830" i="26"/>
  <c r="W1829" i="26"/>
  <c r="V1831" i="26"/>
  <c r="W1830" i="26"/>
  <c r="W1831" i="26"/>
  <c r="V1832" i="26"/>
  <c r="W1832" i="26"/>
  <c r="V1833" i="26"/>
  <c r="V1834" i="26"/>
  <c r="W1833" i="26"/>
  <c r="V1835" i="26"/>
  <c r="W1834" i="26"/>
  <c r="W1835" i="26"/>
  <c r="V1836" i="26"/>
  <c r="W1836" i="26"/>
  <c r="V1837" i="26"/>
  <c r="W1837" i="26"/>
  <c r="V1838" i="26"/>
  <c r="V1839" i="26"/>
  <c r="W1838" i="26"/>
  <c r="V1840" i="26"/>
  <c r="W1839" i="26"/>
  <c r="V1841" i="26"/>
  <c r="W1840" i="26"/>
  <c r="V1842" i="26"/>
  <c r="W1841" i="26"/>
  <c r="V1843" i="26"/>
  <c r="W1842" i="26"/>
  <c r="W1843" i="26"/>
  <c r="V1844" i="26"/>
  <c r="W1844" i="26"/>
  <c r="V1845" i="26"/>
  <c r="V1846" i="26"/>
  <c r="W1845" i="26"/>
  <c r="W1846" i="26"/>
  <c r="V1847" i="26"/>
  <c r="W1847" i="26"/>
  <c r="V1848" i="26"/>
  <c r="W1848" i="26"/>
  <c r="V1849" i="26"/>
  <c r="W1849" i="26"/>
  <c r="V1850" i="26"/>
  <c r="V1851" i="26"/>
  <c r="W1850" i="26"/>
  <c r="W1851" i="26"/>
  <c r="V1852" i="26"/>
  <c r="W1852" i="26"/>
  <c r="V1853" i="26"/>
  <c r="W1853" i="26"/>
  <c r="V1854" i="26"/>
  <c r="V1855" i="26"/>
  <c r="W1854" i="26"/>
  <c r="W1855" i="26"/>
  <c r="V1856" i="26"/>
  <c r="V1857" i="26"/>
  <c r="W1856" i="26"/>
  <c r="V1858" i="26"/>
  <c r="W1857" i="26"/>
  <c r="W1858" i="26"/>
  <c r="V1859" i="26"/>
  <c r="W1859" i="26"/>
  <c r="V1860" i="26"/>
  <c r="W1860" i="26"/>
  <c r="V1861" i="26"/>
  <c r="V1862" i="26"/>
  <c r="W1861" i="26"/>
  <c r="W1862" i="26"/>
  <c r="V1863" i="26"/>
  <c r="W1863" i="26"/>
  <c r="V1864" i="26"/>
  <c r="W1864" i="26"/>
  <c r="V1865" i="26"/>
  <c r="W1865" i="26"/>
  <c r="V1866" i="26"/>
  <c r="V1867" i="26"/>
  <c r="W1866" i="26"/>
  <c r="V1868" i="26"/>
  <c r="W1867" i="26"/>
  <c r="W1868" i="26"/>
  <c r="V1869" i="26"/>
  <c r="W1869" i="26"/>
  <c r="V1870" i="26"/>
  <c r="W1870" i="26"/>
  <c r="V1871" i="26"/>
  <c r="W1871" i="26"/>
  <c r="V1872" i="26"/>
  <c r="V1873" i="26"/>
  <c r="W1872" i="26"/>
  <c r="V1874" i="26"/>
  <c r="W1873" i="26"/>
  <c r="W1874" i="26"/>
  <c r="V1875" i="26"/>
  <c r="W1875" i="26"/>
  <c r="V1876" i="26"/>
  <c r="V1877" i="26"/>
  <c r="W1876" i="26"/>
  <c r="V1878" i="26"/>
  <c r="W1877" i="26"/>
  <c r="W1878" i="26"/>
  <c r="V1879" i="26"/>
  <c r="W1879" i="26"/>
  <c r="V1880" i="26"/>
  <c r="W1880" i="26"/>
  <c r="V1881" i="26"/>
  <c r="W1881" i="26"/>
  <c r="V1882" i="26"/>
  <c r="V1883" i="26"/>
  <c r="W1882" i="26"/>
  <c r="W1883" i="26"/>
  <c r="V1884" i="26"/>
  <c r="W1884" i="26"/>
  <c r="V1885" i="26"/>
  <c r="W1885" i="26"/>
  <c r="V1886" i="26"/>
  <c r="W1886" i="26"/>
  <c r="V1887" i="26"/>
  <c r="W1887" i="26"/>
  <c r="V1888" i="26"/>
  <c r="W1888" i="26"/>
  <c r="V1889" i="26"/>
  <c r="V1890" i="26"/>
  <c r="W1889" i="26"/>
  <c r="W1890" i="26"/>
  <c r="V1891" i="26"/>
  <c r="W1891" i="26"/>
  <c r="V1892" i="26"/>
  <c r="V1893" i="26"/>
  <c r="W1892" i="26"/>
  <c r="V1894" i="26"/>
  <c r="W1893" i="26"/>
  <c r="W1894" i="26"/>
  <c r="V1895" i="26"/>
  <c r="W1895" i="26"/>
  <c r="V1896" i="26"/>
  <c r="V1897" i="26"/>
  <c r="W1896" i="26"/>
  <c r="W1897" i="26"/>
  <c r="V1898" i="26"/>
  <c r="W1898" i="26"/>
  <c r="V1899" i="26"/>
  <c r="W1899" i="26"/>
  <c r="V1900" i="26"/>
  <c r="W1900" i="26"/>
  <c r="V1901" i="26"/>
  <c r="V1902" i="26"/>
  <c r="W1901" i="26"/>
  <c r="W1902" i="26"/>
  <c r="V1903" i="26"/>
  <c r="W1903" i="26"/>
  <c r="V1904" i="26"/>
  <c r="V1905" i="26"/>
  <c r="W1904" i="26"/>
  <c r="V1906" i="26"/>
  <c r="W1905" i="26"/>
  <c r="V1907" i="26"/>
  <c r="W1906" i="26"/>
  <c r="W1907" i="26"/>
  <c r="V1908" i="26"/>
  <c r="V1909" i="26"/>
  <c r="W1908" i="26"/>
  <c r="V1910" i="26"/>
  <c r="W1909" i="26"/>
  <c r="W1910" i="26"/>
  <c r="V1911" i="26"/>
  <c r="W1911" i="26"/>
  <c r="V1912" i="26"/>
  <c r="W1912" i="26"/>
  <c r="V1913" i="26"/>
  <c r="W1913" i="26"/>
  <c r="V1914" i="26"/>
  <c r="W1914" i="26"/>
  <c r="V1915" i="26"/>
  <c r="W1915" i="26"/>
  <c r="V1916" i="26"/>
  <c r="W1916" i="26"/>
  <c r="V1917" i="26"/>
  <c r="W1917" i="26"/>
  <c r="V1918" i="26"/>
  <c r="W1918" i="26"/>
  <c r="V1919" i="26"/>
  <c r="W1919" i="26"/>
  <c r="V1920" i="26"/>
  <c r="V1921" i="26"/>
  <c r="W1920" i="26"/>
  <c r="W1921" i="26"/>
  <c r="V1922" i="26"/>
  <c r="W1922" i="26"/>
  <c r="V1923" i="26"/>
  <c r="V1924" i="26"/>
  <c r="W1923" i="26"/>
  <c r="W1924" i="26"/>
  <c r="V1925" i="26"/>
  <c r="V1926" i="26"/>
  <c r="W1925" i="26"/>
  <c r="W1926" i="26"/>
  <c r="V1927" i="26"/>
  <c r="W1927" i="26"/>
  <c r="V1928" i="26"/>
  <c r="W1928" i="26"/>
  <c r="V1929" i="26"/>
  <c r="V1930" i="26"/>
  <c r="W1929" i="26"/>
  <c r="V1931" i="26"/>
  <c r="W1930" i="26"/>
  <c r="W1931" i="26"/>
  <c r="V1932" i="26"/>
  <c r="V1933" i="26"/>
  <c r="W1932" i="26"/>
  <c r="W1933" i="26"/>
  <c r="V1934" i="26"/>
  <c r="W1934" i="26"/>
  <c r="V1935" i="26"/>
  <c r="W1935" i="26"/>
  <c r="V1936" i="26"/>
  <c r="W1936" i="26"/>
  <c r="V1937" i="26"/>
  <c r="V1938" i="26"/>
  <c r="W1937" i="26"/>
  <c r="V1939" i="26"/>
  <c r="W1938" i="26"/>
  <c r="W1939" i="26"/>
  <c r="V1940" i="26"/>
  <c r="W1940" i="26"/>
  <c r="V1941" i="26"/>
  <c r="W1941" i="26"/>
  <c r="V1942" i="26"/>
  <c r="W1942" i="26"/>
  <c r="V1943" i="26"/>
  <c r="V1944" i="26"/>
  <c r="W1943" i="26"/>
  <c r="V1945" i="26"/>
  <c r="W1944" i="26"/>
  <c r="W1945" i="26"/>
  <c r="V1946" i="26"/>
  <c r="W1946" i="26"/>
  <c r="V1947" i="26"/>
  <c r="V1948" i="26"/>
  <c r="W1947" i="26"/>
  <c r="W1948" i="26"/>
  <c r="V1949" i="26"/>
  <c r="W1949" i="26"/>
  <c r="V1950" i="26"/>
  <c r="V1951" i="26"/>
  <c r="W1950" i="26"/>
  <c r="V1952" i="26"/>
  <c r="W1951" i="26"/>
  <c r="V1953" i="26"/>
  <c r="W1952" i="26"/>
  <c r="V1954" i="26"/>
  <c r="W1953" i="26"/>
  <c r="W1954" i="26"/>
  <c r="V1955" i="26"/>
  <c r="W1955" i="26"/>
  <c r="V1956" i="26"/>
  <c r="W1956" i="26"/>
  <c r="V1957" i="26"/>
  <c r="V1958" i="26"/>
  <c r="W1957" i="26"/>
  <c r="W1958" i="26"/>
  <c r="V1959" i="26"/>
  <c r="W1959" i="26"/>
  <c r="V1960" i="26"/>
  <c r="W1960" i="26"/>
  <c r="V1961" i="26"/>
  <c r="W1961" i="26"/>
  <c r="V1962" i="26"/>
  <c r="V1963" i="26"/>
  <c r="W1962" i="26"/>
  <c r="V1964" i="26"/>
  <c r="W1963" i="26"/>
  <c r="V1965" i="26"/>
  <c r="W1964" i="26"/>
  <c r="W1965" i="26"/>
  <c r="V1966" i="26"/>
  <c r="W1966" i="26"/>
  <c r="V1967" i="26"/>
  <c r="W1967" i="26"/>
  <c r="V1968" i="26"/>
  <c r="W1968" i="26"/>
  <c r="V1969" i="26"/>
  <c r="V1970" i="26"/>
  <c r="W1969" i="26"/>
  <c r="W1970" i="26"/>
  <c r="V1971" i="26"/>
  <c r="W1971" i="26"/>
  <c r="V1972" i="26"/>
  <c r="W1972" i="26"/>
  <c r="V1973" i="26"/>
  <c r="W1973" i="26"/>
  <c r="V1974" i="26"/>
  <c r="V1975" i="26"/>
  <c r="W1974" i="26"/>
  <c r="V1976" i="26"/>
  <c r="W1975" i="26"/>
  <c r="V1977" i="26"/>
  <c r="W1976" i="26"/>
  <c r="W1977" i="26"/>
  <c r="V1978" i="26"/>
  <c r="V1979" i="26"/>
  <c r="W1978" i="26"/>
  <c r="W1979" i="26"/>
  <c r="V1980" i="26"/>
  <c r="V1981" i="26"/>
  <c r="W1980" i="26"/>
  <c r="W1981" i="26"/>
  <c r="V1982" i="26"/>
  <c r="V1983" i="26"/>
  <c r="W1982" i="26"/>
  <c r="V1984" i="26"/>
  <c r="W1983" i="26"/>
  <c r="V1985" i="26"/>
  <c r="W1984" i="26"/>
  <c r="V1986" i="26"/>
  <c r="W1985" i="26"/>
  <c r="W1986" i="26"/>
  <c r="V1987" i="26"/>
  <c r="W1987" i="26"/>
  <c r="V1988" i="26"/>
  <c r="V1989" i="26"/>
  <c r="W1988" i="26"/>
  <c r="V1990" i="26"/>
  <c r="W1989" i="26"/>
  <c r="V1991" i="26"/>
  <c r="W1990" i="26"/>
  <c r="V1992" i="26"/>
  <c r="W1991" i="26"/>
  <c r="V1993" i="26"/>
  <c r="W1992" i="26"/>
  <c r="V1994" i="26"/>
  <c r="W1993" i="26"/>
  <c r="W1994" i="26"/>
  <c r="V1995" i="26"/>
  <c r="V1996" i="26"/>
  <c r="W1995" i="26"/>
  <c r="V1997" i="26"/>
  <c r="W1996" i="26"/>
  <c r="W1997" i="26"/>
  <c r="V1998" i="26"/>
  <c r="V1999" i="26"/>
  <c r="W1998" i="26"/>
  <c r="V2000" i="26"/>
  <c r="W1999" i="26"/>
  <c r="V2001" i="26"/>
  <c r="W2000" i="26"/>
  <c r="V2002" i="26"/>
  <c r="W2001" i="26"/>
  <c r="W2002" i="26"/>
  <c r="V2003" i="26"/>
  <c r="V2004" i="26"/>
  <c r="W2003" i="26"/>
  <c r="W2004" i="26"/>
  <c r="V2005" i="26"/>
  <c r="W2005" i="26"/>
  <c r="V2006" i="26"/>
  <c r="W2006" i="26"/>
  <c r="V2007" i="26"/>
  <c r="V2008" i="26"/>
  <c r="W2007" i="26"/>
  <c r="V2009" i="26"/>
  <c r="W2008" i="26"/>
  <c r="V2010" i="26"/>
  <c r="W2009" i="26"/>
  <c r="V2011" i="26"/>
  <c r="W2010" i="26"/>
  <c r="V2012" i="26"/>
  <c r="W2011" i="26"/>
  <c r="V2013" i="26"/>
  <c r="W2012" i="26"/>
  <c r="W2013" i="26"/>
  <c r="V2014" i="26"/>
  <c r="V2015" i="26"/>
  <c r="W2014" i="26"/>
  <c r="V2016" i="26"/>
  <c r="W2015" i="26"/>
  <c r="W2016" i="26"/>
  <c r="V2017" i="26"/>
  <c r="W2017" i="26"/>
  <c r="V2018" i="26"/>
  <c r="W2018" i="26"/>
  <c r="V2019" i="26"/>
  <c r="V2020" i="26"/>
  <c r="W2019" i="26"/>
  <c r="V2021" i="26"/>
  <c r="W2020" i="26"/>
  <c r="V2022" i="26"/>
  <c r="W2021" i="26"/>
  <c r="V2023" i="26"/>
  <c r="W2022" i="26"/>
  <c r="W2023" i="26"/>
  <c r="V2024" i="26"/>
  <c r="V2025" i="26"/>
  <c r="W2024" i="26"/>
  <c r="W2025" i="26"/>
  <c r="V2026" i="26"/>
  <c r="V2027" i="26"/>
  <c r="W2026" i="26"/>
  <c r="V2028" i="26"/>
  <c r="W2027" i="26"/>
  <c r="V2029" i="26"/>
  <c r="W2028" i="26"/>
  <c r="W2029" i="26"/>
  <c r="V2030" i="26"/>
  <c r="W2030" i="26"/>
  <c r="V2031" i="26"/>
  <c r="V2032" i="26"/>
  <c r="W2031" i="26"/>
  <c r="V2033" i="26"/>
  <c r="W2032" i="26"/>
  <c r="V2034" i="26"/>
  <c r="W2033" i="26"/>
  <c r="V2035" i="26"/>
  <c r="W2034" i="26"/>
  <c r="V2036" i="26"/>
  <c r="W2035" i="26"/>
  <c r="W2036" i="26"/>
  <c r="V2037" i="26"/>
  <c r="W2037" i="26"/>
  <c r="V2038" i="26"/>
  <c r="V2039" i="26"/>
  <c r="W2038" i="26"/>
  <c r="W2039" i="26"/>
  <c r="V2040" i="26"/>
  <c r="V2041" i="26"/>
  <c r="W2040" i="26"/>
  <c r="W2041" i="26"/>
  <c r="V2042" i="26"/>
  <c r="V2043" i="26"/>
  <c r="W2042" i="26"/>
  <c r="W2043" i="26"/>
  <c r="V2044" i="26"/>
  <c r="W2044" i="26"/>
  <c r="V2045" i="26"/>
  <c r="V2046" i="26"/>
  <c r="W2045" i="26"/>
  <c r="V2047" i="26"/>
  <c r="W2046" i="26"/>
  <c r="W2047" i="26"/>
  <c r="V2048" i="26"/>
  <c r="V2049" i="26"/>
  <c r="W2048" i="26"/>
  <c r="V2050" i="26"/>
  <c r="W2049" i="26"/>
  <c r="V2051" i="26"/>
  <c r="W2050" i="26"/>
  <c r="W2051" i="26"/>
  <c r="V2052" i="26"/>
  <c r="V2053" i="26"/>
  <c r="W2052" i="26"/>
  <c r="W2053" i="26"/>
  <c r="V2054" i="26"/>
  <c r="W2054" i="26"/>
  <c r="V2055" i="26"/>
  <c r="W2055" i="26"/>
  <c r="V2056" i="26"/>
  <c r="W2056" i="26"/>
  <c r="V2057" i="26"/>
  <c r="W2057" i="26"/>
  <c r="V2058" i="26"/>
  <c r="V2059" i="26"/>
  <c r="W2058" i="26"/>
  <c r="V2060" i="26"/>
  <c r="W2059" i="26"/>
  <c r="V2061" i="26"/>
  <c r="W2060" i="26"/>
  <c r="W2061" i="26"/>
  <c r="V2062" i="26"/>
  <c r="W2062" i="26"/>
  <c r="V2063" i="26"/>
  <c r="W2063" i="26"/>
  <c r="V2064" i="26"/>
  <c r="V2065" i="26"/>
  <c r="W2064" i="26"/>
  <c r="W2065" i="26"/>
  <c r="V2066" i="26"/>
  <c r="V2067" i="26"/>
  <c r="W2066" i="26"/>
  <c r="V2068" i="26"/>
  <c r="W2067" i="26"/>
  <c r="V2069" i="26"/>
  <c r="W2068" i="26"/>
  <c r="V2070" i="26"/>
  <c r="W2069" i="26"/>
  <c r="V2071" i="26"/>
  <c r="W2070" i="26"/>
  <c r="W2071" i="26"/>
  <c r="V2072" i="26"/>
  <c r="W2072" i="26"/>
  <c r="V2073" i="26"/>
  <c r="V2074" i="26"/>
  <c r="W2073" i="26"/>
  <c r="V2075" i="26"/>
  <c r="W2074" i="26"/>
  <c r="V2076" i="26"/>
  <c r="W2075" i="26"/>
  <c r="V2077" i="26"/>
  <c r="W2076" i="26"/>
  <c r="V2078" i="26"/>
  <c r="W2077" i="26"/>
  <c r="W2078" i="26"/>
  <c r="V2079" i="26"/>
  <c r="V2080" i="26"/>
  <c r="W2079" i="26"/>
  <c r="W2080" i="26"/>
  <c r="V2081" i="26"/>
  <c r="V2082" i="26"/>
  <c r="W2081" i="26"/>
  <c r="W2082" i="26"/>
  <c r="V2083" i="26"/>
  <c r="W2083" i="26"/>
  <c r="V2084" i="26"/>
  <c r="V2085" i="26"/>
  <c r="W2084" i="26"/>
  <c r="V2086" i="26"/>
  <c r="W2085" i="26"/>
  <c r="V2087" i="26"/>
  <c r="W2086" i="26"/>
  <c r="W2087" i="26"/>
  <c r="V2088" i="26"/>
  <c r="V2089" i="26"/>
  <c r="W2088" i="26"/>
  <c r="W2089" i="26"/>
  <c r="V2090" i="26"/>
  <c r="V2091" i="26"/>
  <c r="W2090" i="26"/>
  <c r="W2091" i="26"/>
  <c r="V2092" i="26"/>
  <c r="V2093" i="26"/>
  <c r="W2092" i="26"/>
  <c r="W2093" i="26"/>
  <c r="V2094" i="26"/>
  <c r="W2094" i="26"/>
  <c r="V2095" i="26"/>
  <c r="W2095" i="26"/>
  <c r="V2096" i="26"/>
  <c r="W2096" i="26"/>
  <c r="V2097" i="26"/>
  <c r="V2098" i="26"/>
  <c r="W2097" i="26"/>
  <c r="V2099" i="26"/>
  <c r="W2098" i="26"/>
  <c r="V2100" i="26"/>
  <c r="W2099" i="26"/>
  <c r="V2101" i="26"/>
  <c r="W2100" i="26"/>
  <c r="W2101" i="26"/>
  <c r="V2102" i="26"/>
  <c r="V2103" i="26"/>
  <c r="W2102" i="26"/>
  <c r="V2104" i="26"/>
  <c r="W2103" i="26"/>
  <c r="W2104" i="26"/>
  <c r="V2105" i="26"/>
  <c r="W2105" i="26"/>
  <c r="V2106" i="26"/>
  <c r="W2106" i="26"/>
  <c r="V2107" i="26"/>
  <c r="W2107" i="26"/>
  <c r="V2108" i="26"/>
  <c r="W2108" i="26"/>
  <c r="V2109" i="26"/>
  <c r="W2109" i="26"/>
  <c r="V2110" i="26"/>
  <c r="V2111" i="26"/>
  <c r="W2110" i="26"/>
  <c r="V2112" i="26"/>
  <c r="W2111" i="26"/>
  <c r="W2112" i="26"/>
  <c r="V2113" i="26"/>
  <c r="W2113" i="26"/>
  <c r="V2114" i="26"/>
  <c r="V2115" i="26"/>
  <c r="W2114" i="26"/>
  <c r="V2116" i="26"/>
  <c r="W2115" i="26"/>
  <c r="W2116" i="26"/>
  <c r="V2117" i="26"/>
  <c r="V2118" i="26"/>
  <c r="W2117" i="26"/>
  <c r="V2119" i="26"/>
  <c r="W2118" i="26"/>
  <c r="W2119" i="26"/>
  <c r="V2120" i="26"/>
  <c r="V2121" i="26"/>
  <c r="W2120" i="26"/>
  <c r="W2121" i="26"/>
  <c r="V2122" i="26"/>
  <c r="V2123" i="26"/>
  <c r="W2122" i="26"/>
  <c r="V2124" i="26"/>
  <c r="W2123" i="26"/>
  <c r="W2124" i="26"/>
  <c r="V2125" i="26"/>
  <c r="V2126" i="26"/>
  <c r="W2125" i="26"/>
  <c r="W2126" i="26"/>
  <c r="V2127" i="26"/>
  <c r="W2127" i="26"/>
  <c r="V2128" i="26"/>
  <c r="V2129" i="26"/>
  <c r="W2128" i="26"/>
  <c r="V2130" i="26"/>
  <c r="W2129" i="26"/>
  <c r="V2131" i="26"/>
  <c r="W2130" i="26"/>
  <c r="V2132" i="26"/>
  <c r="W2131" i="26"/>
  <c r="V2133" i="26"/>
  <c r="W2132" i="26"/>
  <c r="W2133" i="26"/>
  <c r="V2134" i="26"/>
  <c r="W2134" i="26"/>
  <c r="V2135" i="26"/>
  <c r="W2135" i="26"/>
  <c r="V2136" i="26"/>
  <c r="V2137" i="26"/>
  <c r="W2136" i="26"/>
  <c r="W2137" i="26"/>
  <c r="V2138" i="26"/>
  <c r="W2138" i="26"/>
  <c r="V2139" i="26"/>
  <c r="W2139" i="26"/>
  <c r="V2140" i="26"/>
  <c r="W2140" i="26"/>
  <c r="V2141" i="26"/>
  <c r="W2141" i="26"/>
  <c r="V2142" i="26"/>
  <c r="W2142" i="26"/>
  <c r="V2143" i="26"/>
  <c r="V2144" i="26"/>
  <c r="W2143" i="26"/>
  <c r="W2144" i="26"/>
  <c r="V2145" i="26"/>
  <c r="W2145" i="26"/>
  <c r="V2146" i="26"/>
  <c r="V2147" i="26"/>
  <c r="W2146" i="26"/>
  <c r="W2147" i="26"/>
  <c r="V2148" i="26"/>
  <c r="W2148" i="26"/>
  <c r="V2149" i="26"/>
  <c r="W2149" i="26"/>
  <c r="V2150" i="26"/>
  <c r="W2150" i="26"/>
  <c r="V2151" i="26"/>
  <c r="V2152" i="26"/>
  <c r="W2151" i="26"/>
  <c r="W2152" i="26"/>
  <c r="V2153" i="26"/>
  <c r="W2153" i="26"/>
  <c r="V2154" i="26"/>
  <c r="V2155" i="26"/>
  <c r="W2154" i="26"/>
  <c r="W2155" i="26"/>
  <c r="V2156" i="26"/>
  <c r="V2157" i="26"/>
  <c r="W2156" i="26"/>
  <c r="V2158" i="26"/>
  <c r="W2157" i="26"/>
  <c r="W2158" i="26"/>
  <c r="V2159" i="26"/>
  <c r="W2159" i="26"/>
  <c r="V2160" i="26"/>
  <c r="V2161" i="26"/>
  <c r="W2160" i="26"/>
  <c r="W2161" i="26"/>
  <c r="V2162" i="26"/>
  <c r="W2162" i="26"/>
  <c r="V2163" i="26"/>
  <c r="V2164" i="26"/>
  <c r="W2163" i="26"/>
  <c r="W2164" i="26"/>
  <c r="V2165" i="26"/>
  <c r="W2165" i="26"/>
  <c r="V2166" i="26"/>
  <c r="W2166" i="26"/>
  <c r="V2167" i="26"/>
  <c r="W2167" i="26"/>
  <c r="V2168" i="26"/>
  <c r="W2168" i="26"/>
  <c r="V2169" i="26"/>
  <c r="W2169" i="26"/>
  <c r="V2170" i="26"/>
  <c r="V2171" i="26"/>
  <c r="W2170" i="26"/>
  <c r="W2171" i="26"/>
  <c r="V2172" i="26"/>
  <c r="W2172" i="26"/>
  <c r="V2173" i="26"/>
  <c r="V2174" i="26"/>
  <c r="W2173" i="26"/>
  <c r="W2174" i="26"/>
  <c r="V2175" i="26"/>
  <c r="V2176" i="26"/>
  <c r="W2175" i="26"/>
  <c r="W2176" i="26"/>
  <c r="V2177" i="26"/>
  <c r="V2178" i="26"/>
  <c r="W2177" i="26"/>
  <c r="V2179" i="26"/>
  <c r="W2178" i="26"/>
  <c r="V2180" i="26"/>
  <c r="W2179" i="26"/>
  <c r="V2181" i="26"/>
  <c r="W2180" i="26"/>
  <c r="W2181" i="26"/>
  <c r="V2182" i="26"/>
  <c r="W2182" i="26"/>
  <c r="V2183" i="26"/>
  <c r="W2183" i="26"/>
  <c r="V2184" i="26"/>
  <c r="W2184" i="26"/>
  <c r="V2185" i="26"/>
  <c r="W2185" i="26"/>
  <c r="V2186" i="26"/>
  <c r="V2187" i="26"/>
  <c r="W2186" i="26"/>
  <c r="W2187" i="26"/>
  <c r="V2188" i="26"/>
  <c r="V2189" i="26"/>
  <c r="W2188" i="26"/>
  <c r="V2190" i="26"/>
  <c r="W2189" i="26"/>
  <c r="W2190" i="26"/>
  <c r="V2191" i="26"/>
  <c r="W2191" i="26"/>
  <c r="V2192" i="26"/>
  <c r="V2193" i="26"/>
  <c r="W2192" i="26"/>
  <c r="W2193" i="26"/>
  <c r="V2194" i="26"/>
  <c r="W2194" i="26"/>
  <c r="V2195" i="26"/>
  <c r="W2195" i="26"/>
  <c r="V2196" i="26"/>
  <c r="V2197" i="26"/>
  <c r="W2196" i="26"/>
  <c r="V2198" i="26"/>
  <c r="W2197" i="26"/>
  <c r="W2198" i="26"/>
  <c r="V2199" i="26"/>
  <c r="W2199" i="26"/>
  <c r="V2200" i="26"/>
  <c r="W2200" i="26"/>
  <c r="V2201" i="26"/>
  <c r="V2202" i="26"/>
  <c r="W2201" i="26"/>
  <c r="W2202" i="26"/>
  <c r="V2203" i="26"/>
  <c r="V2204" i="26"/>
  <c r="W2203" i="26"/>
  <c r="V2205" i="26"/>
  <c r="W2204" i="26"/>
  <c r="W2205" i="26"/>
  <c r="V2206" i="26"/>
  <c r="V2207" i="26"/>
  <c r="W2206" i="26"/>
  <c r="V2208" i="26"/>
  <c r="W2207" i="26"/>
  <c r="W2208" i="26"/>
  <c r="V2209" i="26"/>
  <c r="V2210" i="26"/>
  <c r="W2209" i="26"/>
  <c r="W2210" i="26"/>
  <c r="V2211" i="26"/>
  <c r="W2211" i="26"/>
  <c r="V2212" i="26"/>
  <c r="W2212" i="26"/>
  <c r="V2213" i="26"/>
  <c r="W2213" i="26"/>
  <c r="V2214" i="26"/>
  <c r="V2215" i="26"/>
  <c r="W2214" i="26"/>
  <c r="W2215" i="26"/>
  <c r="V2216" i="26"/>
  <c r="W2216" i="26"/>
  <c r="V2217" i="26"/>
  <c r="W2217" i="26"/>
  <c r="V2218" i="26"/>
  <c r="V2219" i="26"/>
  <c r="W2218" i="26"/>
  <c r="W2219" i="26"/>
  <c r="V2220" i="26"/>
  <c r="W2220" i="26"/>
  <c r="V2221" i="26"/>
  <c r="V2222" i="26"/>
  <c r="W2221" i="26"/>
  <c r="V2223" i="26"/>
  <c r="W2222" i="26"/>
  <c r="W2223" i="26"/>
  <c r="V2224" i="26"/>
  <c r="V2225" i="26"/>
  <c r="W2224" i="26"/>
  <c r="V2226" i="26"/>
  <c r="W2225" i="26"/>
  <c r="V2227" i="26"/>
  <c r="W2226" i="26"/>
  <c r="W2227" i="26"/>
  <c r="V2228" i="26"/>
  <c r="V2229" i="26"/>
  <c r="W2228" i="26"/>
  <c r="W2229" i="26"/>
  <c r="V2230" i="26"/>
  <c r="W2230" i="26"/>
  <c r="V2231" i="26"/>
  <c r="V2232" i="26"/>
  <c r="W2231" i="26"/>
  <c r="W2232" i="26"/>
  <c r="V2233" i="26"/>
  <c r="V2234" i="26"/>
  <c r="W2233" i="26"/>
  <c r="W2234" i="26"/>
  <c r="V2235" i="26"/>
  <c r="V2236" i="26"/>
  <c r="W2235" i="26"/>
  <c r="W2236" i="26"/>
  <c r="V2237" i="26"/>
  <c r="V2238" i="26"/>
  <c r="W2237" i="26"/>
  <c r="V2239" i="26"/>
  <c r="W2238" i="26"/>
  <c r="V2240" i="26"/>
  <c r="W2239" i="26"/>
  <c r="V2241" i="26"/>
  <c r="W2240" i="26"/>
  <c r="W2241" i="26"/>
  <c r="V2242" i="26"/>
  <c r="V2243" i="26"/>
  <c r="W2242" i="26"/>
  <c r="W2243" i="26"/>
  <c r="V2244" i="26"/>
  <c r="V2245" i="26"/>
  <c r="W2244" i="26"/>
  <c r="V2246" i="26"/>
  <c r="W2245" i="26"/>
  <c r="V2247" i="26"/>
  <c r="W2246" i="26"/>
  <c r="W2247" i="26"/>
  <c r="V2248" i="26"/>
  <c r="W2248" i="26"/>
  <c r="V2249" i="26"/>
  <c r="V2250" i="26"/>
  <c r="W2249" i="26"/>
  <c r="W2250" i="26"/>
  <c r="V2251" i="26"/>
  <c r="V2252" i="26"/>
  <c r="W2251" i="26"/>
  <c r="V2253" i="26"/>
  <c r="W2252" i="26"/>
  <c r="W2253" i="26"/>
  <c r="V2254" i="26"/>
  <c r="W2254" i="26"/>
  <c r="V2255" i="26"/>
  <c r="W2255" i="26"/>
  <c r="V2256" i="26"/>
  <c r="W2256" i="26"/>
  <c r="V2257" i="26"/>
  <c r="W2257" i="26"/>
  <c r="V2258" i="26"/>
  <c r="V2259" i="26"/>
  <c r="W2258" i="26"/>
  <c r="V2260" i="26"/>
  <c r="W2259" i="26"/>
  <c r="V2261" i="26"/>
  <c r="W2260" i="26"/>
  <c r="W2261" i="26"/>
  <c r="V2262" i="26"/>
  <c r="W2262" i="26"/>
  <c r="V2263" i="26"/>
  <c r="W2263" i="26"/>
  <c r="V2264" i="26"/>
  <c r="W2264" i="26"/>
  <c r="V2265" i="26"/>
  <c r="V2266" i="26"/>
  <c r="W2265" i="26"/>
  <c r="W2266" i="26"/>
  <c r="V2267" i="26"/>
  <c r="W2267" i="26"/>
  <c r="V2268" i="26"/>
  <c r="W2268" i="26"/>
  <c r="V2269" i="26"/>
  <c r="V2270" i="26"/>
  <c r="W2269" i="26"/>
  <c r="V2271" i="26"/>
  <c r="W2270" i="26"/>
  <c r="W2271" i="26"/>
  <c r="V2272" i="26"/>
  <c r="V2273" i="26"/>
  <c r="W2272" i="26"/>
  <c r="W2273" i="26"/>
  <c r="V2274" i="26"/>
  <c r="W2274" i="26"/>
  <c r="V2275" i="26"/>
  <c r="W2275" i="26"/>
  <c r="V2276" i="26"/>
  <c r="W2276" i="26"/>
  <c r="V2277" i="26"/>
  <c r="V2278" i="26"/>
  <c r="W2277" i="26"/>
  <c r="V2279" i="26"/>
  <c r="W2278" i="26"/>
  <c r="W2279" i="26"/>
  <c r="V2280" i="26"/>
  <c r="V2281" i="26"/>
  <c r="W2280" i="26"/>
  <c r="W2281" i="26"/>
  <c r="V2282" i="26"/>
  <c r="V2283" i="26"/>
  <c r="W2282" i="26"/>
  <c r="V2284" i="26"/>
  <c r="W2283" i="26"/>
  <c r="W2284" i="26"/>
  <c r="V2285" i="26"/>
  <c r="W2285" i="26"/>
  <c r="V2286" i="26"/>
  <c r="V2287" i="26"/>
  <c r="W2286" i="26"/>
  <c r="W2287" i="26"/>
  <c r="V2288" i="26"/>
  <c r="V2289" i="26"/>
  <c r="W2288" i="26"/>
  <c r="W2289" i="26"/>
  <c r="V2290" i="26"/>
  <c r="V2291" i="26"/>
  <c r="W2290" i="26"/>
  <c r="V2292" i="26"/>
  <c r="W2291" i="26"/>
  <c r="V2293" i="26"/>
  <c r="W2292" i="26"/>
  <c r="V2294" i="26"/>
  <c r="W2293" i="26"/>
  <c r="W2294" i="26"/>
  <c r="V2295" i="26"/>
  <c r="W2295" i="26"/>
  <c r="V2296" i="26"/>
  <c r="W2296" i="26"/>
  <c r="V2297" i="26"/>
  <c r="W2297" i="26"/>
  <c r="V2298" i="26"/>
  <c r="V2299" i="26"/>
  <c r="W2298" i="26"/>
  <c r="W2299" i="26"/>
  <c r="V2300" i="26"/>
  <c r="W2300" i="26"/>
  <c r="V2301" i="26"/>
  <c r="V2302" i="26"/>
  <c r="W2301" i="26"/>
  <c r="V2303" i="26"/>
  <c r="W2302" i="26"/>
  <c r="W2303" i="26"/>
  <c r="V2304" i="26"/>
  <c r="V2305" i="26"/>
  <c r="W2304" i="26"/>
  <c r="W2305" i="26"/>
  <c r="V2306" i="26"/>
  <c r="W2306" i="26"/>
  <c r="V2307" i="26"/>
  <c r="W2307" i="26"/>
  <c r="V2308" i="26"/>
  <c r="V2309" i="26"/>
  <c r="W2308" i="26"/>
  <c r="W2309" i="26"/>
  <c r="V2310" i="26"/>
  <c r="W2310" i="26"/>
  <c r="V2311" i="26"/>
  <c r="W2311" i="26"/>
  <c r="V2312" i="26"/>
  <c r="V2313" i="26"/>
  <c r="W2312" i="26"/>
  <c r="W2313" i="26"/>
  <c r="V2314" i="26"/>
  <c r="V2315" i="26"/>
  <c r="W2314" i="26"/>
  <c r="W2315" i="26"/>
  <c r="V2316" i="26"/>
  <c r="W2316" i="26"/>
  <c r="V2317" i="26"/>
  <c r="W2317" i="26"/>
  <c r="V2318" i="26"/>
  <c r="W2318" i="26"/>
  <c r="V2319" i="26"/>
  <c r="W2319" i="26"/>
  <c r="V2320" i="26"/>
  <c r="W2320" i="26"/>
  <c r="V2321" i="26"/>
  <c r="W2321" i="26"/>
  <c r="V2322" i="26"/>
  <c r="V2323" i="26"/>
  <c r="W2322" i="26"/>
  <c r="W2323" i="26"/>
  <c r="V2324" i="26"/>
  <c r="W2324" i="26"/>
  <c r="V2325" i="26"/>
  <c r="W2325" i="26"/>
  <c r="V2326" i="26"/>
  <c r="W2326" i="26"/>
  <c r="V2327" i="26"/>
  <c r="W2327" i="26"/>
  <c r="V2328" i="26"/>
  <c r="W2328" i="26"/>
  <c r="V2329" i="26"/>
  <c r="V2330" i="26"/>
  <c r="W2329" i="26"/>
  <c r="V2331" i="26"/>
  <c r="W2330" i="26"/>
  <c r="W2331" i="26"/>
  <c r="V2332" i="26"/>
  <c r="W2332" i="26"/>
  <c r="V2333" i="26"/>
  <c r="W2333" i="26"/>
  <c r="V2334" i="26"/>
  <c r="V2335" i="26"/>
  <c r="W2334" i="26"/>
  <c r="W2335" i="26"/>
  <c r="V2336" i="26"/>
  <c r="W2336" i="26"/>
  <c r="V2337" i="26"/>
  <c r="W2337" i="26"/>
  <c r="V2338" i="26"/>
  <c r="V2339" i="26"/>
  <c r="W2338" i="26"/>
  <c r="W2339" i="26"/>
  <c r="V2340" i="26"/>
  <c r="V2341" i="26"/>
  <c r="W2340" i="26"/>
  <c r="W2341" i="26"/>
  <c r="V2342" i="26"/>
  <c r="V2343" i="26"/>
  <c r="W2342" i="26"/>
  <c r="W2343" i="26"/>
  <c r="V2344" i="26"/>
  <c r="V2345" i="26"/>
  <c r="W2344" i="26"/>
  <c r="W2345" i="26"/>
  <c r="V2346" i="26"/>
  <c r="V2347" i="26"/>
  <c r="W2346" i="26"/>
  <c r="W2347" i="26"/>
  <c r="V2348" i="26"/>
  <c r="W2348" i="26"/>
  <c r="V2349" i="26"/>
  <c r="V2350" i="26"/>
  <c r="W2349" i="26"/>
  <c r="W2350" i="26"/>
  <c r="V2351" i="26"/>
  <c r="W2351" i="26"/>
  <c r="V2352" i="26"/>
  <c r="W2352" i="26"/>
  <c r="V2353" i="26"/>
  <c r="V2354" i="26"/>
  <c r="W2353" i="26"/>
  <c r="V2355" i="26"/>
  <c r="W2354" i="26"/>
  <c r="V2356" i="26"/>
  <c r="W2355" i="26"/>
  <c r="W2356" i="26"/>
  <c r="V2357" i="26"/>
  <c r="V2358" i="26"/>
  <c r="W2357" i="26"/>
  <c r="W2358" i="26"/>
  <c r="V2359" i="26"/>
  <c r="W2359" i="26"/>
  <c r="V2360" i="26"/>
  <c r="V2361" i="26"/>
  <c r="W2360" i="26"/>
  <c r="V2362" i="26"/>
  <c r="W2361" i="26"/>
  <c r="V2363" i="26"/>
  <c r="W2362" i="26"/>
  <c r="W2363" i="26"/>
  <c r="V2364" i="26"/>
  <c r="V2365" i="26"/>
  <c r="W2364" i="26"/>
  <c r="V2366" i="26"/>
  <c r="W2365" i="26"/>
  <c r="V2367" i="26"/>
  <c r="W2366" i="26"/>
  <c r="W2367" i="26"/>
  <c r="V2368" i="26"/>
  <c r="W2368" i="26"/>
  <c r="V2369" i="26"/>
  <c r="W2369" i="26"/>
  <c r="V2370" i="26"/>
  <c r="W2370" i="26"/>
  <c r="V2371" i="26"/>
  <c r="V2372" i="26"/>
  <c r="W2371" i="26"/>
  <c r="V2373" i="26"/>
  <c r="W2372" i="26"/>
  <c r="V2374" i="26"/>
  <c r="W2373" i="26"/>
  <c r="V2375" i="26"/>
  <c r="W2374" i="26"/>
  <c r="W2375" i="26"/>
  <c r="V2376" i="26"/>
  <c r="V2377" i="26"/>
  <c r="W2376" i="26"/>
  <c r="W2377" i="26"/>
  <c r="V2378" i="26"/>
  <c r="V2379" i="26"/>
  <c r="W2378" i="26"/>
  <c r="V2380" i="26"/>
  <c r="W2379" i="26"/>
  <c r="W2380" i="26"/>
  <c r="V2381" i="26"/>
  <c r="W2381" i="26"/>
  <c r="V2382" i="26"/>
  <c r="V2383" i="26"/>
  <c r="W2382" i="26"/>
  <c r="V2384" i="26"/>
  <c r="W2383" i="26"/>
  <c r="W2384" i="26"/>
  <c r="V2385" i="26"/>
  <c r="V2386" i="26"/>
  <c r="W2385" i="26"/>
  <c r="W2386" i="26"/>
  <c r="V2387" i="26"/>
  <c r="W2387" i="26"/>
  <c r="V2388" i="26"/>
  <c r="W2388" i="26"/>
  <c r="V2389" i="26"/>
  <c r="W2389" i="26"/>
  <c r="V2390" i="26"/>
  <c r="V2391" i="26"/>
  <c r="W2390" i="26"/>
  <c r="W2391" i="26"/>
  <c r="V2392" i="26"/>
  <c r="V2393" i="26"/>
  <c r="W2392" i="26"/>
  <c r="W2393" i="26"/>
  <c r="V2394" i="26"/>
  <c r="W2394" i="26"/>
  <c r="V2395" i="26"/>
  <c r="W2395" i="26"/>
  <c r="V2396" i="26"/>
  <c r="V2397" i="26"/>
  <c r="W2396" i="26"/>
  <c r="W2397" i="26"/>
  <c r="V2398" i="26"/>
  <c r="V2399" i="26"/>
  <c r="W2398" i="26"/>
  <c r="W2399" i="26"/>
  <c r="V2400" i="26"/>
  <c r="V2401" i="26"/>
  <c r="W2400" i="26"/>
  <c r="W2401" i="26"/>
  <c r="V2402" i="26"/>
  <c r="W2402" i="26"/>
  <c r="V2403" i="26"/>
  <c r="V2404" i="26"/>
  <c r="W2403" i="26"/>
  <c r="W2404" i="26"/>
  <c r="V2405" i="26"/>
  <c r="W2405" i="26"/>
  <c r="V2406" i="26"/>
  <c r="W2406" i="26"/>
  <c r="V2407" i="26"/>
  <c r="W2407" i="26"/>
  <c r="V2408" i="26"/>
  <c r="W2408" i="26"/>
  <c r="V2409" i="26"/>
  <c r="W2409" i="26"/>
  <c r="V2410" i="26"/>
  <c r="W2410" i="26"/>
  <c r="V2411" i="26"/>
  <c r="W2411" i="26"/>
  <c r="V2412" i="26"/>
  <c r="V2413" i="26"/>
  <c r="W2412" i="26"/>
  <c r="V2414" i="26"/>
  <c r="W2413" i="26"/>
  <c r="V2415" i="26"/>
  <c r="W2414" i="26"/>
  <c r="W2415" i="26"/>
  <c r="V2416" i="26"/>
  <c r="W2416" i="26"/>
  <c r="V2417" i="26"/>
  <c r="W2417" i="26"/>
  <c r="V2418" i="26"/>
  <c r="V2419" i="26"/>
  <c r="W2418" i="26"/>
  <c r="V2420" i="26"/>
  <c r="W2419" i="26"/>
  <c r="V2421" i="26"/>
  <c r="W2420" i="26"/>
  <c r="V2422" i="26"/>
  <c r="W2421" i="26"/>
  <c r="V2423" i="26"/>
  <c r="W2422" i="26"/>
  <c r="W2423" i="26"/>
  <c r="V2424" i="26"/>
  <c r="W2424" i="26"/>
  <c r="V2425" i="26"/>
  <c r="V2426" i="26"/>
  <c r="W2425" i="26"/>
  <c r="W2426" i="26"/>
  <c r="V2427" i="26"/>
  <c r="W2427" i="26"/>
  <c r="V2428" i="26"/>
  <c r="V2429" i="26"/>
  <c r="W2428" i="26"/>
  <c r="W2429" i="26"/>
  <c r="V2430" i="26"/>
  <c r="W2430" i="26"/>
  <c r="V2431" i="26"/>
  <c r="W2431" i="26"/>
  <c r="V2432" i="26"/>
  <c r="W2432" i="26"/>
  <c r="V2433" i="26"/>
  <c r="W2433" i="26"/>
  <c r="V2434" i="26"/>
  <c r="W2434" i="26"/>
  <c r="V2435" i="26"/>
  <c r="V2436" i="26"/>
  <c r="W2435" i="26"/>
  <c r="V2437" i="26"/>
  <c r="W2436" i="26"/>
  <c r="V2438" i="26"/>
  <c r="W2437" i="26"/>
  <c r="V2439" i="26"/>
  <c r="W2438" i="26"/>
  <c r="W2439" i="26"/>
  <c r="V2440" i="26"/>
  <c r="V2441" i="26"/>
  <c r="W2440" i="26"/>
  <c r="V2442" i="26"/>
  <c r="W2441" i="26"/>
  <c r="V2443" i="26"/>
  <c r="W2442" i="26"/>
  <c r="V2444" i="26"/>
  <c r="W2443" i="26"/>
  <c r="V2445" i="26"/>
  <c r="W2444" i="26"/>
  <c r="V2446" i="26"/>
  <c r="W2445" i="26"/>
  <c r="V2447" i="26"/>
  <c r="W2446" i="26"/>
  <c r="W2447" i="26"/>
  <c r="V2448" i="26"/>
  <c r="W2448" i="26"/>
  <c r="V2449" i="26"/>
  <c r="V2450" i="26"/>
  <c r="W2449" i="26"/>
  <c r="V2451" i="26"/>
  <c r="W2450" i="26"/>
  <c r="W2451" i="26"/>
  <c r="V2452" i="26"/>
  <c r="W2452" i="26"/>
  <c r="V2453" i="26"/>
  <c r="V2454" i="26"/>
  <c r="W2453" i="26"/>
  <c r="V2455" i="26"/>
  <c r="W2454" i="26"/>
  <c r="W2455" i="26"/>
  <c r="V2456" i="26"/>
  <c r="V2457" i="26"/>
  <c r="W2456" i="26"/>
  <c r="W2457" i="26"/>
  <c r="V2458" i="26"/>
  <c r="V2459" i="26"/>
  <c r="W2458" i="26"/>
  <c r="W2459" i="26"/>
  <c r="V2460" i="26"/>
  <c r="V2461" i="26"/>
  <c r="W2460" i="26"/>
  <c r="W2461" i="26"/>
  <c r="V2462" i="26"/>
  <c r="V2463" i="26"/>
  <c r="W2462" i="26"/>
  <c r="W2463" i="26"/>
  <c r="V2464" i="26"/>
  <c r="V2465" i="26"/>
  <c r="W2464" i="26"/>
  <c r="W2465" i="26"/>
  <c r="V2466" i="26"/>
  <c r="V2467" i="26"/>
  <c r="W2466" i="26"/>
  <c r="W2467" i="26"/>
  <c r="V2468" i="26"/>
  <c r="W2468" i="26"/>
  <c r="V2469" i="26"/>
  <c r="V2470" i="26"/>
  <c r="W2469" i="26"/>
  <c r="V2471" i="26"/>
  <c r="W2470" i="26"/>
  <c r="W2471" i="26"/>
  <c r="V2472" i="26"/>
  <c r="V2473" i="26"/>
  <c r="W2472" i="26"/>
  <c r="W2473" i="26"/>
  <c r="V2474" i="26"/>
  <c r="V2475" i="26"/>
  <c r="W2474" i="26"/>
  <c r="W2475" i="26"/>
  <c r="V2476" i="26"/>
  <c r="V2477" i="26"/>
  <c r="W2476" i="26"/>
  <c r="V2478" i="26"/>
  <c r="W2477" i="26"/>
  <c r="V2479" i="26"/>
  <c r="W2478" i="26"/>
  <c r="W2479" i="26"/>
  <c r="V2480" i="26"/>
  <c r="W2480" i="26"/>
  <c r="V2481" i="26"/>
  <c r="W2481" i="26"/>
  <c r="V2482" i="26"/>
  <c r="V2483" i="26"/>
  <c r="W2482" i="26"/>
  <c r="V2484" i="26"/>
  <c r="W2483" i="26"/>
  <c r="W2484" i="26"/>
  <c r="V2485" i="26"/>
  <c r="V2486" i="26"/>
  <c r="W2485" i="26"/>
  <c r="V2487" i="26"/>
  <c r="W2486" i="26"/>
  <c r="W2487" i="26"/>
  <c r="V2488" i="26"/>
  <c r="W2488" i="26"/>
  <c r="V2489" i="26"/>
  <c r="V2490" i="26"/>
  <c r="W2489" i="26"/>
  <c r="W2490" i="26"/>
  <c r="V2491" i="26"/>
  <c r="W2491" i="26"/>
  <c r="V2492" i="26"/>
  <c r="W2492" i="26"/>
  <c r="V2493" i="26"/>
  <c r="V2494" i="26"/>
  <c r="W2493" i="26"/>
  <c r="W2494" i="26"/>
  <c r="V2495" i="26"/>
  <c r="W2495" i="26"/>
  <c r="V2496" i="26"/>
  <c r="V2497" i="26"/>
  <c r="W2496" i="26"/>
  <c r="W2497" i="26"/>
  <c r="V2498" i="26"/>
  <c r="W2498" i="26"/>
  <c r="V2499" i="26"/>
  <c r="W2499" i="26"/>
  <c r="V2500" i="26"/>
  <c r="V2501" i="26"/>
  <c r="W2500" i="26"/>
  <c r="W2501" i="26"/>
  <c r="V2502" i="26"/>
  <c r="V2503" i="26"/>
  <c r="W2502" i="26"/>
  <c r="W2503" i="26"/>
  <c r="V2504" i="26"/>
  <c r="V2505" i="26"/>
  <c r="W2504" i="26"/>
  <c r="W2505" i="26"/>
  <c r="V2506" i="26"/>
  <c r="V2507" i="26"/>
  <c r="W2506" i="26"/>
  <c r="W2507" i="26"/>
  <c r="V2508" i="26"/>
  <c r="W2508" i="26"/>
  <c r="V2509" i="26"/>
  <c r="V2510" i="26"/>
  <c r="W2509" i="26"/>
  <c r="V2511" i="26"/>
  <c r="W2510" i="26"/>
  <c r="W2511" i="26"/>
  <c r="V2512" i="26"/>
  <c r="W2512" i="26"/>
  <c r="V2513" i="26"/>
  <c r="W2513" i="26"/>
  <c r="V2514" i="26"/>
  <c r="W2514" i="26"/>
  <c r="V2515" i="26"/>
  <c r="V2516" i="26"/>
  <c r="W2515" i="26"/>
  <c r="W2516" i="26"/>
  <c r="V2517" i="26"/>
  <c r="W2517" i="26"/>
  <c r="V2518" i="26"/>
  <c r="V2519" i="26"/>
  <c r="W2518" i="26"/>
  <c r="V2520" i="26"/>
  <c r="W2519" i="26"/>
  <c r="V2521" i="26"/>
  <c r="W2520" i="26"/>
  <c r="V2522" i="26"/>
  <c r="W2521" i="26"/>
  <c r="W2522" i="26"/>
  <c r="V2523" i="26"/>
  <c r="V2524" i="26"/>
  <c r="W2523" i="26"/>
  <c r="V2525" i="26"/>
  <c r="W2524" i="26"/>
  <c r="W2525" i="26"/>
  <c r="V2526" i="26"/>
  <c r="W2526" i="26"/>
  <c r="V2527" i="26"/>
  <c r="V2528" i="26"/>
  <c r="W2527" i="26"/>
  <c r="V2529" i="26"/>
  <c r="W2528" i="26"/>
  <c r="V2530" i="26"/>
  <c r="W2529" i="26"/>
  <c r="V2531" i="26"/>
  <c r="W2530" i="26"/>
  <c r="V2532" i="26"/>
  <c r="W2531" i="26"/>
  <c r="W2532" i="26"/>
  <c r="V2533" i="26"/>
  <c r="W2533" i="26"/>
  <c r="V2534" i="26"/>
  <c r="V2535" i="26"/>
  <c r="W2534" i="26"/>
  <c r="V2536" i="26"/>
  <c r="W2535" i="26"/>
  <c r="W2536" i="26"/>
  <c r="V2537" i="26"/>
  <c r="W2537" i="26"/>
  <c r="V2538" i="26"/>
  <c r="W2538" i="26"/>
  <c r="V2539" i="26"/>
  <c r="W2539" i="26"/>
  <c r="V2540" i="26"/>
  <c r="W2540" i="26"/>
  <c r="V2541" i="26"/>
  <c r="W2541" i="26"/>
  <c r="V2542" i="26"/>
  <c r="W2542" i="26"/>
  <c r="V2543" i="26"/>
  <c r="V2544" i="26"/>
  <c r="W2543" i="26"/>
  <c r="W2544" i="26"/>
  <c r="V2545" i="26"/>
  <c r="W2545" i="26"/>
  <c r="V2546" i="26"/>
  <c r="W2546" i="26"/>
  <c r="V2547" i="26"/>
  <c r="W2547" i="26"/>
  <c r="V2548" i="26"/>
  <c r="V2549" i="26"/>
  <c r="W2548" i="26"/>
  <c r="W2549" i="26"/>
  <c r="V2550" i="26"/>
  <c r="W2550" i="26"/>
  <c r="V2551" i="26"/>
  <c r="V2552" i="26"/>
  <c r="W2551" i="26"/>
  <c r="W2552" i="26"/>
  <c r="V2553" i="26"/>
  <c r="W2553" i="26"/>
  <c r="V2554" i="26"/>
  <c r="W2554" i="26"/>
  <c r="V2555" i="26"/>
  <c r="W2555" i="26"/>
  <c r="V2556" i="26"/>
  <c r="W2556" i="26"/>
  <c r="V2557" i="26"/>
  <c r="V2558" i="26"/>
  <c r="W2557" i="26"/>
  <c r="W2558" i="26"/>
  <c r="V2559" i="26"/>
  <c r="W2559" i="26"/>
  <c r="V2560" i="26"/>
  <c r="V2561" i="26"/>
  <c r="W2560" i="26"/>
  <c r="V2562" i="26"/>
  <c r="W2561" i="26"/>
  <c r="W2562" i="26"/>
  <c r="V2563" i="26"/>
  <c r="W2563" i="26"/>
  <c r="V2564" i="26"/>
  <c r="W2564" i="26"/>
  <c r="V2565" i="26"/>
  <c r="W2565" i="26"/>
  <c r="V2566" i="26"/>
  <c r="V2567" i="26"/>
  <c r="W2566" i="26"/>
  <c r="V2568" i="26"/>
  <c r="W2567" i="26"/>
  <c r="W2568" i="26"/>
  <c r="V2569" i="26"/>
  <c r="W2569" i="26"/>
  <c r="V2570" i="26"/>
  <c r="V2571" i="26"/>
  <c r="W2570" i="26"/>
  <c r="W2571" i="26"/>
  <c r="V2572" i="26"/>
  <c r="V2573" i="26"/>
  <c r="W2572" i="26"/>
  <c r="V2574" i="26"/>
  <c r="W2573" i="26"/>
  <c r="V2575" i="26"/>
  <c r="W2574" i="26"/>
  <c r="V2576" i="26"/>
  <c r="W2575" i="26"/>
  <c r="W2576" i="26"/>
  <c r="V2577" i="26"/>
  <c r="W2577" i="26"/>
  <c r="V2578" i="26"/>
  <c r="V2579" i="26"/>
  <c r="W2578" i="26"/>
  <c r="W2579" i="26"/>
  <c r="V2580" i="26"/>
  <c r="V2581" i="26"/>
  <c r="W2580" i="26"/>
  <c r="V2582" i="26"/>
  <c r="W2581" i="26"/>
  <c r="V2583" i="26"/>
  <c r="W2582" i="26"/>
  <c r="V2584" i="26"/>
  <c r="W2583" i="26"/>
  <c r="V2585" i="26"/>
  <c r="W2584" i="26"/>
  <c r="V2586" i="26"/>
  <c r="W2585" i="26"/>
  <c r="V2587" i="26"/>
  <c r="W2586" i="26"/>
  <c r="V2588" i="26"/>
  <c r="W2587" i="26"/>
  <c r="V2589" i="26"/>
  <c r="W2588" i="26"/>
  <c r="W2589" i="26"/>
  <c r="V2590" i="26"/>
  <c r="W2590" i="26"/>
  <c r="V2591" i="26"/>
  <c r="V2592" i="26"/>
  <c r="W2591" i="26"/>
  <c r="W2592" i="26"/>
  <c r="V2593" i="26"/>
  <c r="W2593" i="26"/>
  <c r="V2594" i="26"/>
  <c r="W2594" i="26"/>
  <c r="V2595" i="26"/>
  <c r="V2596" i="26"/>
  <c r="W2595" i="26"/>
  <c r="W2596" i="26"/>
  <c r="V2597" i="26"/>
  <c r="W2597" i="26"/>
  <c r="V2598" i="26"/>
  <c r="W2598" i="26"/>
  <c r="V2599" i="26"/>
  <c r="V2600" i="26"/>
  <c r="W2599" i="26"/>
  <c r="W2600" i="26"/>
  <c r="V2601" i="26"/>
  <c r="W2601" i="26"/>
  <c r="V2602" i="26"/>
  <c r="W2602" i="26"/>
  <c r="V2603" i="26"/>
  <c r="V2604" i="26"/>
  <c r="W2603" i="26"/>
  <c r="W2604" i="26"/>
  <c r="V2605" i="26"/>
  <c r="V2606" i="26"/>
  <c r="W2605" i="26"/>
  <c r="V2607" i="26"/>
  <c r="W2606" i="26"/>
  <c r="V2608" i="26"/>
  <c r="W2607" i="26"/>
  <c r="V2609" i="26"/>
  <c r="W2608" i="26"/>
  <c r="W2609" i="26"/>
  <c r="V2610" i="26"/>
  <c r="V2611" i="26"/>
  <c r="W2610" i="26"/>
  <c r="V2612" i="26"/>
  <c r="W2611" i="26"/>
  <c r="V2613" i="26"/>
  <c r="W2612" i="26"/>
  <c r="W2613" i="26"/>
  <c r="V2614" i="26"/>
  <c r="W2614" i="26"/>
  <c r="V2615" i="26"/>
  <c r="V2616" i="26"/>
  <c r="W2615" i="26"/>
  <c r="W2616" i="26"/>
  <c r="V2617" i="26"/>
  <c r="W2617" i="26"/>
  <c r="V2618" i="26"/>
  <c r="W2618" i="26"/>
  <c r="V2619" i="26"/>
  <c r="V2620" i="26"/>
  <c r="W2619" i="26"/>
  <c r="V2621" i="26"/>
  <c r="W2620" i="26"/>
  <c r="W2621" i="26"/>
  <c r="V2622" i="26"/>
  <c r="V2623" i="26"/>
  <c r="W2622" i="26"/>
  <c r="V2624" i="26"/>
  <c r="W2623" i="26"/>
  <c r="W2624" i="26"/>
  <c r="V2625" i="26"/>
  <c r="W2625" i="26"/>
  <c r="V2626" i="26"/>
  <c r="W2626" i="26"/>
  <c r="V2627" i="26"/>
  <c r="V2628" i="26"/>
  <c r="W2627" i="26"/>
  <c r="V2629" i="26"/>
  <c r="W2628" i="26"/>
  <c r="V2630" i="26"/>
  <c r="W2629" i="26"/>
  <c r="W2630" i="26"/>
  <c r="V2631" i="26"/>
  <c r="V2632" i="26"/>
  <c r="W2631" i="26"/>
  <c r="W2632" i="26"/>
  <c r="V2633" i="26"/>
  <c r="W2633" i="26"/>
  <c r="V2634" i="26"/>
  <c r="W2634" i="26"/>
  <c r="V2635" i="26"/>
  <c r="W2635" i="26"/>
  <c r="V2636" i="26"/>
  <c r="V2637" i="26"/>
  <c r="W2636" i="26"/>
  <c r="W2637" i="26"/>
  <c r="V2638" i="26"/>
  <c r="V2639" i="26"/>
  <c r="W2638" i="26"/>
  <c r="V2640" i="26"/>
  <c r="W2639" i="26"/>
  <c r="W2640" i="26"/>
  <c r="V2641" i="26"/>
  <c r="W2641" i="26"/>
  <c r="V2642" i="26"/>
  <c r="V2643" i="26"/>
  <c r="W2642" i="26"/>
  <c r="W2643" i="26"/>
  <c r="V2644" i="26"/>
  <c r="W2644" i="26"/>
  <c r="V2645" i="26"/>
  <c r="V2646" i="26"/>
  <c r="W2645" i="26"/>
  <c r="W2646" i="26"/>
  <c r="V2647" i="26"/>
  <c r="V2648" i="26"/>
  <c r="W2647" i="26"/>
  <c r="V2649" i="26"/>
  <c r="W2648" i="26"/>
  <c r="V2650" i="26"/>
  <c r="W2649" i="26"/>
  <c r="V2651" i="26"/>
  <c r="W2650" i="26"/>
  <c r="V2652" i="26"/>
  <c r="W2651" i="26"/>
  <c r="W2652" i="26"/>
  <c r="V2653" i="26"/>
  <c r="W2653" i="26"/>
  <c r="V2654" i="26"/>
  <c r="W2654" i="26"/>
  <c r="V2655" i="26"/>
  <c r="V2656" i="26"/>
  <c r="W2655" i="26"/>
  <c r="V2657" i="26"/>
  <c r="W2656" i="26"/>
  <c r="W2657" i="26"/>
  <c r="V2658" i="26"/>
  <c r="W2658" i="26"/>
  <c r="V2659" i="26"/>
  <c r="V2660" i="26"/>
  <c r="W2659" i="26"/>
  <c r="W2660" i="26"/>
  <c r="V2661" i="26"/>
  <c r="W2661" i="26"/>
  <c r="V2662" i="26"/>
  <c r="V2663" i="26"/>
  <c r="W2662" i="26"/>
  <c r="V2664" i="26"/>
  <c r="W2663" i="26"/>
  <c r="W2664" i="26"/>
  <c r="V2665" i="26"/>
  <c r="W2665" i="26"/>
  <c r="V2666" i="26"/>
  <c r="V2667" i="26"/>
  <c r="W2666" i="26"/>
  <c r="W2667" i="26"/>
  <c r="V2668" i="26"/>
  <c r="V2669" i="26"/>
  <c r="W2668" i="26"/>
  <c r="V2670" i="26"/>
  <c r="W2669" i="26"/>
  <c r="V2671" i="26"/>
  <c r="W2670" i="26"/>
  <c r="V2672" i="26"/>
  <c r="W2671" i="26"/>
  <c r="W2672" i="26"/>
  <c r="V2673" i="26"/>
  <c r="W2673" i="26"/>
  <c r="V2674" i="26"/>
  <c r="W2674" i="26"/>
  <c r="V2675" i="26"/>
  <c r="W2675" i="26"/>
  <c r="V2676" i="26"/>
  <c r="W2676" i="26"/>
  <c r="V2677" i="26"/>
  <c r="V2678" i="26"/>
  <c r="W2677" i="26"/>
  <c r="V2679" i="26"/>
  <c r="W2678" i="26"/>
  <c r="V2680" i="26"/>
  <c r="W2679" i="26"/>
  <c r="V2681" i="26"/>
  <c r="W2680" i="26"/>
  <c r="W2681" i="26"/>
  <c r="V2682" i="26"/>
  <c r="V2683" i="26"/>
  <c r="W2682" i="26"/>
  <c r="W2683" i="26"/>
  <c r="V2684" i="26"/>
  <c r="W2684" i="26"/>
  <c r="V2685" i="26"/>
  <c r="W2685" i="26"/>
  <c r="V2686" i="26"/>
  <c r="V2687" i="26"/>
  <c r="W2686" i="26"/>
  <c r="W2687" i="26"/>
  <c r="V2688" i="26"/>
  <c r="W2688" i="26"/>
  <c r="V2689" i="26"/>
  <c r="W2689" i="26"/>
  <c r="V2690" i="26"/>
  <c r="W2690" i="26"/>
  <c r="V2691" i="26"/>
  <c r="V2692" i="26"/>
  <c r="W2691" i="26"/>
  <c r="V2693" i="26"/>
  <c r="W2692" i="26"/>
  <c r="V2694" i="26"/>
  <c r="W2693" i="26"/>
  <c r="V2695" i="26"/>
  <c r="W2694" i="26"/>
  <c r="V2696" i="26"/>
  <c r="W2695" i="26"/>
  <c r="V2697" i="26"/>
  <c r="W2696" i="26"/>
  <c r="V2698" i="26"/>
  <c r="W2697" i="26"/>
  <c r="W2698" i="26"/>
  <c r="V2699" i="26"/>
  <c r="W2699" i="26"/>
  <c r="V2700" i="26"/>
  <c r="V2701" i="26"/>
  <c r="W2700" i="26"/>
  <c r="V2702" i="26"/>
  <c r="W2701" i="26"/>
  <c r="V2703" i="26"/>
  <c r="W2702" i="26"/>
  <c r="V2704" i="26"/>
  <c r="W2703" i="26"/>
  <c r="V2705" i="26"/>
  <c r="W2704" i="26"/>
  <c r="W2705" i="26"/>
  <c r="V2706" i="26"/>
  <c r="V2707" i="26"/>
  <c r="W2706" i="26"/>
  <c r="V2708" i="26"/>
  <c r="W2707" i="26"/>
  <c r="V2709" i="26"/>
  <c r="W2708" i="26"/>
  <c r="W2709" i="26"/>
  <c r="V2710" i="26"/>
  <c r="V2711" i="26"/>
  <c r="W2710" i="26"/>
  <c r="V2712" i="26"/>
  <c r="W2711" i="26"/>
  <c r="V2713" i="26"/>
  <c r="W2712" i="26"/>
  <c r="V2714" i="26"/>
  <c r="W2713" i="26"/>
  <c r="V2715" i="26"/>
  <c r="W2714" i="26"/>
  <c r="V2716" i="26"/>
  <c r="W2715" i="26"/>
  <c r="V2717" i="26"/>
  <c r="W2716" i="26"/>
  <c r="W2717" i="26"/>
  <c r="V2718" i="26"/>
  <c r="W2718" i="26"/>
  <c r="V2719" i="26"/>
  <c r="V2720" i="26"/>
  <c r="W2719" i="26"/>
  <c r="V2721" i="26"/>
  <c r="W2720" i="26"/>
  <c r="V2722" i="26"/>
  <c r="W2721" i="26"/>
  <c r="W2722" i="26"/>
  <c r="V2723" i="26"/>
  <c r="V2724" i="26"/>
  <c r="W2723" i="26"/>
  <c r="V2725" i="26"/>
  <c r="W2724" i="26"/>
  <c r="V2726" i="26"/>
  <c r="W2725" i="26"/>
  <c r="W2726" i="26"/>
  <c r="V2727" i="26"/>
  <c r="V2728" i="26"/>
  <c r="W2727" i="26"/>
  <c r="V2729" i="26"/>
  <c r="W2728" i="26"/>
  <c r="W2729" i="26"/>
  <c r="V2730" i="26"/>
  <c r="V2731" i="26"/>
  <c r="W2730" i="26"/>
  <c r="W2731" i="26"/>
  <c r="V2732" i="26"/>
  <c r="V2733" i="26"/>
  <c r="W2732" i="26"/>
  <c r="W2733" i="26"/>
  <c r="V2734" i="26"/>
  <c r="V2735" i="26"/>
  <c r="W2734" i="26"/>
  <c r="V2736" i="26"/>
  <c r="W2735" i="26"/>
  <c r="V2737" i="26"/>
  <c r="W2736" i="26"/>
  <c r="W2737" i="26"/>
  <c r="V2738" i="26"/>
  <c r="V2739" i="26"/>
  <c r="W2738" i="26"/>
  <c r="V2740" i="26"/>
  <c r="W2739" i="26"/>
  <c r="W2740" i="26"/>
  <c r="V2741" i="26"/>
  <c r="W2741" i="26"/>
  <c r="V2742" i="26"/>
  <c r="V2743" i="26"/>
  <c r="W2742" i="26"/>
  <c r="V2744" i="26"/>
  <c r="W2743" i="26"/>
  <c r="V2745" i="26"/>
  <c r="W2744" i="26"/>
  <c r="W2745" i="26"/>
  <c r="V2746" i="26"/>
  <c r="V2747" i="26"/>
  <c r="W2746" i="26"/>
  <c r="W2747" i="26"/>
  <c r="V2748" i="26"/>
  <c r="V2749" i="26"/>
  <c r="W2748" i="26"/>
  <c r="V2750" i="26"/>
  <c r="W2749" i="26"/>
  <c r="V2751" i="26"/>
  <c r="W2750" i="26"/>
  <c r="V2752" i="26"/>
  <c r="W2751" i="26"/>
  <c r="W2752" i="26"/>
  <c r="V2753" i="26"/>
  <c r="V2754" i="26"/>
  <c r="W2753" i="26"/>
  <c r="W2754" i="26"/>
  <c r="V2755" i="26"/>
  <c r="W2755" i="26"/>
  <c r="V2756" i="26"/>
  <c r="V2757" i="26"/>
  <c r="W2756" i="26"/>
  <c r="W2757" i="26"/>
  <c r="V2758" i="26"/>
  <c r="W2758" i="26"/>
  <c r="V2759" i="26"/>
  <c r="V2760" i="26"/>
  <c r="W2759" i="26"/>
  <c r="W2760" i="26"/>
  <c r="V2761" i="26"/>
  <c r="W2761" i="26"/>
  <c r="V2762" i="26"/>
  <c r="V2763" i="26"/>
  <c r="W2762" i="26"/>
  <c r="V2764" i="26"/>
  <c r="W2763" i="26"/>
  <c r="V2765" i="26"/>
  <c r="W2764" i="26"/>
  <c r="V2766" i="26"/>
  <c r="W2765" i="26"/>
  <c r="W2766" i="26"/>
  <c r="V2767" i="26"/>
  <c r="V2768" i="26"/>
  <c r="W2767" i="26"/>
  <c r="W2768" i="26"/>
  <c r="V2769" i="26"/>
  <c r="V2770" i="26"/>
  <c r="W2769" i="26"/>
  <c r="W2770" i="26"/>
  <c r="V2771" i="26"/>
  <c r="V2772" i="26"/>
  <c r="W2771" i="26"/>
  <c r="V2773" i="26"/>
  <c r="W2772" i="26"/>
  <c r="V2774" i="26"/>
  <c r="W2773" i="26"/>
  <c r="V2775" i="26"/>
  <c r="W2774" i="26"/>
  <c r="V2776" i="26"/>
  <c r="W2775" i="26"/>
  <c r="W2776" i="26"/>
  <c r="V2777" i="26"/>
  <c r="W2777" i="26"/>
  <c r="V2778" i="26"/>
  <c r="V2779" i="26"/>
  <c r="W2778" i="26"/>
  <c r="V2780" i="26"/>
  <c r="W2779" i="26"/>
  <c r="V2781" i="26"/>
  <c r="W2780" i="26"/>
  <c r="V2782" i="26"/>
  <c r="W2781" i="26"/>
  <c r="V2783" i="26"/>
  <c r="W2782" i="26"/>
  <c r="W2783" i="26"/>
  <c r="V2784" i="26"/>
  <c r="V2785" i="26"/>
  <c r="W2784" i="26"/>
  <c r="V2786" i="26"/>
  <c r="W2785" i="26"/>
  <c r="V2787" i="26"/>
  <c r="W2786" i="26"/>
  <c r="W2787" i="26"/>
  <c r="V2788" i="26"/>
  <c r="V2789" i="26"/>
  <c r="W2788" i="26"/>
  <c r="V2790" i="26"/>
  <c r="W2789" i="26"/>
  <c r="W2790" i="26"/>
  <c r="V2791" i="26"/>
  <c r="V2792" i="26"/>
  <c r="W2791" i="26"/>
  <c r="V2793" i="26"/>
  <c r="W2792" i="26"/>
  <c r="W2793" i="26"/>
  <c r="V2794" i="26"/>
  <c r="W2794" i="26"/>
  <c r="V2795" i="26"/>
  <c r="W2795" i="26"/>
  <c r="V2796" i="26"/>
  <c r="V2797" i="26"/>
  <c r="W2796" i="26"/>
  <c r="W2797" i="26"/>
  <c r="V2798" i="26"/>
  <c r="V2799" i="26"/>
  <c r="W2798" i="26"/>
  <c r="V2800" i="26"/>
  <c r="W2799" i="26"/>
  <c r="W2800" i="26"/>
  <c r="V2801" i="26"/>
  <c r="W2801" i="26"/>
  <c r="V2802" i="26"/>
  <c r="V2803" i="26"/>
  <c r="W2802" i="26"/>
  <c r="V2804" i="26"/>
  <c r="W2803" i="26"/>
  <c r="V2805" i="26"/>
  <c r="W2804" i="26"/>
  <c r="V2806" i="26"/>
  <c r="W2805" i="26"/>
  <c r="W2806" i="26"/>
  <c r="V2807" i="26"/>
  <c r="W2807" i="26"/>
  <c r="V2808" i="26"/>
  <c r="V2809" i="26"/>
  <c r="W2808" i="26"/>
  <c r="V2810" i="26"/>
  <c r="W2809" i="26"/>
  <c r="V2811" i="26"/>
  <c r="W2810" i="26"/>
  <c r="V2812" i="26"/>
  <c r="W2811" i="26"/>
  <c r="V2813" i="26"/>
  <c r="W2812" i="26"/>
  <c r="V2814" i="26"/>
  <c r="W2813" i="26"/>
  <c r="V2815" i="26"/>
  <c r="W2814" i="26"/>
  <c r="V2816" i="26"/>
  <c r="W2815" i="26"/>
  <c r="V2817" i="26"/>
  <c r="W2816" i="26"/>
  <c r="W2817" i="26"/>
  <c r="V2818" i="26"/>
  <c r="W2818" i="26"/>
  <c r="V2819" i="26"/>
  <c r="V2820" i="26"/>
  <c r="W2819" i="26"/>
  <c r="V2821" i="26"/>
  <c r="W2820" i="26"/>
  <c r="W2821" i="26"/>
  <c r="V2822" i="26"/>
  <c r="W2822" i="26"/>
  <c r="V2823" i="26"/>
  <c r="V2824" i="26"/>
  <c r="W2823" i="26"/>
  <c r="V2825" i="26"/>
  <c r="W2824" i="26"/>
  <c r="V2826" i="26"/>
  <c r="W2825" i="26"/>
  <c r="W2826" i="26"/>
  <c r="V2827" i="26"/>
  <c r="W2827" i="26"/>
  <c r="V2828" i="26"/>
  <c r="V2829" i="26"/>
  <c r="W2828" i="26"/>
  <c r="V2830" i="26"/>
  <c r="W2829" i="26"/>
  <c r="V2831" i="26"/>
  <c r="W2830" i="26"/>
  <c r="W2831" i="26"/>
  <c r="V2832" i="26"/>
  <c r="W2832" i="26"/>
  <c r="V2833" i="26"/>
  <c r="W2833" i="26"/>
  <c r="V2834" i="26"/>
  <c r="W2834" i="26"/>
  <c r="V2835" i="26"/>
  <c r="V2836" i="26"/>
  <c r="W2835" i="26"/>
  <c r="W2836" i="26"/>
  <c r="V2837" i="26"/>
  <c r="W2837" i="26"/>
  <c r="V2838" i="26"/>
  <c r="V2839" i="26"/>
  <c r="W2838" i="26"/>
  <c r="V2840" i="26"/>
  <c r="W2839" i="26"/>
  <c r="W2840" i="26"/>
  <c r="V2841" i="26"/>
  <c r="V2842" i="26"/>
  <c r="W2841" i="26"/>
  <c r="W2842" i="26"/>
  <c r="V2843" i="26"/>
  <c r="V2844" i="26"/>
  <c r="W2843" i="26"/>
  <c r="V2845" i="26"/>
  <c r="W2844" i="26"/>
  <c r="V2846" i="26"/>
  <c r="W2845" i="26"/>
  <c r="V2847" i="26"/>
  <c r="W2846" i="26"/>
  <c r="W2847" i="26"/>
  <c r="V2848" i="26"/>
  <c r="W2848" i="26"/>
  <c r="V2849" i="26"/>
  <c r="V2850" i="26"/>
  <c r="W2849" i="26"/>
  <c r="V2851" i="26"/>
  <c r="W2850" i="26"/>
  <c r="V2852" i="26"/>
  <c r="W2851" i="26"/>
  <c r="W2852" i="26"/>
  <c r="V2853" i="26"/>
  <c r="W2853" i="26"/>
  <c r="V2854" i="26"/>
  <c r="V2855" i="26"/>
  <c r="W2854" i="26"/>
  <c r="V2856" i="26"/>
  <c r="W2855" i="26"/>
  <c r="V2857" i="26"/>
  <c r="W2856" i="26"/>
  <c r="W2857" i="26"/>
  <c r="V2858" i="26"/>
  <c r="V2859" i="26"/>
  <c r="W2858" i="26"/>
  <c r="W2859" i="26"/>
  <c r="V2860" i="26"/>
  <c r="W2860" i="26"/>
  <c r="V2861" i="26"/>
  <c r="V2862" i="26"/>
  <c r="W2861" i="26"/>
  <c r="V2863" i="26"/>
  <c r="W2862" i="26"/>
  <c r="V2864" i="26"/>
  <c r="W2863" i="26"/>
  <c r="V2865" i="26"/>
  <c r="W2864" i="26"/>
  <c r="W2865" i="26"/>
  <c r="V2866" i="26"/>
  <c r="V2867" i="26"/>
  <c r="W2866" i="26"/>
  <c r="W2867" i="26"/>
  <c r="V2868" i="26"/>
  <c r="W2868" i="26"/>
  <c r="V2869" i="26"/>
  <c r="W2869" i="26"/>
  <c r="V2870" i="26"/>
  <c r="V2871" i="26"/>
  <c r="W2870" i="26"/>
  <c r="W2871" i="26"/>
  <c r="V2872" i="26"/>
  <c r="W2872" i="26"/>
  <c r="V2873" i="26"/>
  <c r="V2874" i="26"/>
  <c r="W2873" i="26"/>
  <c r="W2874" i="26"/>
  <c r="V2875" i="26"/>
  <c r="V2876" i="26"/>
  <c r="W2875" i="26"/>
  <c r="W2876" i="26"/>
  <c r="V2877" i="26"/>
  <c r="W2877" i="26"/>
  <c r="V2878" i="26"/>
  <c r="V2879" i="26"/>
  <c r="W2878" i="26"/>
  <c r="W2879" i="26"/>
  <c r="V2880" i="26"/>
  <c r="V2881" i="26"/>
  <c r="W2880" i="26"/>
  <c r="V2882" i="26"/>
  <c r="W2881" i="26"/>
  <c r="V2883" i="26"/>
  <c r="W2882" i="26"/>
  <c r="W2883" i="26"/>
  <c r="V2884" i="26"/>
  <c r="V2885" i="26"/>
  <c r="W2884" i="26"/>
  <c r="W2885" i="26"/>
  <c r="V2886" i="26"/>
  <c r="W2886" i="26"/>
  <c r="V2887" i="26"/>
  <c r="W2887" i="26"/>
  <c r="V2888" i="26"/>
  <c r="W2888" i="26"/>
  <c r="V2889" i="26"/>
  <c r="W2889" i="26"/>
  <c r="V2890" i="26"/>
  <c r="W2890" i="26"/>
  <c r="V2891" i="26"/>
  <c r="V2892" i="26"/>
  <c r="W2891" i="26"/>
  <c r="V2893" i="26"/>
  <c r="W2892" i="26"/>
  <c r="V2894" i="26"/>
  <c r="W2893" i="26"/>
  <c r="V2895" i="26"/>
  <c r="W2894" i="26"/>
  <c r="V2896" i="26"/>
  <c r="W2895" i="26"/>
  <c r="W2896" i="26"/>
  <c r="V2897" i="26"/>
  <c r="V2898" i="26"/>
  <c r="W2897" i="26"/>
  <c r="W2898" i="26"/>
  <c r="V2899" i="26"/>
  <c r="W2899" i="26"/>
  <c r="V2900" i="26"/>
  <c r="W2900" i="26"/>
  <c r="V2901" i="26"/>
  <c r="W2901" i="26"/>
  <c r="V2902" i="26"/>
  <c r="V2903" i="26"/>
  <c r="W2902" i="26"/>
  <c r="V2904" i="26"/>
  <c r="W2903" i="26"/>
  <c r="V2905" i="26"/>
  <c r="W2904" i="26"/>
  <c r="W2905" i="26"/>
  <c r="V2906" i="26"/>
  <c r="V2907" i="26"/>
  <c r="W2906" i="26"/>
  <c r="V2908" i="26"/>
  <c r="W2907" i="26"/>
  <c r="V2909" i="26"/>
  <c r="W2908" i="26"/>
  <c r="V2910" i="26"/>
  <c r="W2909" i="26"/>
  <c r="V2911" i="26"/>
  <c r="W2910" i="26"/>
  <c r="W2911" i="26"/>
  <c r="V2912" i="26"/>
  <c r="V2913" i="26"/>
  <c r="W2912" i="26"/>
  <c r="V2914" i="26"/>
  <c r="W2913" i="26"/>
  <c r="V2915" i="26"/>
  <c r="W2914" i="26"/>
  <c r="W2915" i="26"/>
  <c r="V2916" i="26"/>
  <c r="V2917" i="26"/>
  <c r="W2916" i="26"/>
  <c r="W2917" i="26"/>
  <c r="V2918" i="26"/>
  <c r="W2918" i="26"/>
  <c r="V2919" i="26"/>
  <c r="V2920" i="26"/>
  <c r="W2919" i="26"/>
  <c r="W2920" i="26"/>
  <c r="V2921" i="26"/>
  <c r="W2921" i="26"/>
  <c r="V2922" i="26"/>
  <c r="W2922" i="26"/>
  <c r="V2923" i="26"/>
  <c r="W2923" i="26"/>
  <c r="V2924" i="26"/>
  <c r="V2925" i="26"/>
  <c r="W2924" i="26"/>
  <c r="W2925" i="26"/>
  <c r="V2926" i="26"/>
  <c r="V2927" i="26"/>
  <c r="W2926" i="26"/>
  <c r="V2928" i="26"/>
  <c r="W2927" i="26"/>
  <c r="V2929" i="26"/>
  <c r="W2928" i="26"/>
  <c r="V2930" i="26"/>
  <c r="W2929" i="26"/>
  <c r="V2931" i="26"/>
  <c r="W2930" i="26"/>
  <c r="V2932" i="26"/>
  <c r="W2931" i="26"/>
  <c r="W2932" i="26"/>
  <c r="V2933" i="26"/>
  <c r="V2934" i="26"/>
  <c r="W2933" i="26"/>
  <c r="W2934" i="26"/>
  <c r="V2935" i="26"/>
  <c r="V2936" i="26"/>
  <c r="W2935" i="26"/>
  <c r="V2937" i="26"/>
  <c r="W2936" i="26"/>
  <c r="W2937" i="26"/>
  <c r="V2938" i="26"/>
  <c r="W2938" i="26"/>
  <c r="V2939" i="26"/>
  <c r="V2940" i="26"/>
  <c r="W2939" i="26"/>
  <c r="W2940" i="26"/>
  <c r="V2941" i="26"/>
  <c r="V2942" i="26"/>
  <c r="W2941" i="26"/>
  <c r="V2943" i="26"/>
  <c r="W2942" i="26"/>
  <c r="V2944" i="26"/>
  <c r="W2943" i="26"/>
  <c r="V2945" i="26"/>
  <c r="W2944" i="26"/>
  <c r="W2945" i="26"/>
  <c r="V2946" i="26"/>
  <c r="V2947" i="26"/>
  <c r="W2946" i="26"/>
  <c r="V2948" i="26"/>
  <c r="W2947" i="26"/>
  <c r="V2949" i="26"/>
  <c r="W2948" i="26"/>
  <c r="W2949" i="26"/>
  <c r="V2950" i="26"/>
  <c r="W2950" i="26"/>
  <c r="V2951" i="26"/>
  <c r="V2952" i="26"/>
  <c r="W2951" i="26"/>
  <c r="V2953" i="26"/>
  <c r="W2952" i="26"/>
  <c r="W2953" i="26"/>
  <c r="V2954" i="26"/>
  <c r="W2954" i="26"/>
  <c r="V2955" i="26"/>
  <c r="V2956" i="26"/>
  <c r="W2955" i="26"/>
  <c r="W2956" i="26"/>
  <c r="V2957" i="26"/>
  <c r="V2958" i="26"/>
  <c r="W2957" i="26"/>
  <c r="W2958" i="26"/>
  <c r="V2959" i="26"/>
  <c r="V2960" i="26"/>
  <c r="W2959" i="26"/>
  <c r="W2960" i="26"/>
  <c r="V2961" i="26"/>
  <c r="W2961" i="26"/>
  <c r="V2962" i="26"/>
  <c r="W2962" i="26"/>
  <c r="V2963" i="26"/>
  <c r="V2964" i="26"/>
  <c r="W2963" i="26"/>
  <c r="W2964" i="26"/>
  <c r="V2965" i="26"/>
  <c r="V2966" i="26"/>
  <c r="W2965" i="26"/>
  <c r="V2967" i="26"/>
  <c r="W2966" i="26"/>
  <c r="V2968" i="26"/>
  <c r="W2967" i="26"/>
  <c r="W2968" i="26"/>
  <c r="V2969" i="26"/>
  <c r="W2969" i="26"/>
  <c r="V2970" i="26"/>
  <c r="V2971" i="26"/>
  <c r="W2970" i="26"/>
  <c r="V2972" i="26"/>
  <c r="W2971" i="26"/>
  <c r="W2972" i="26"/>
  <c r="V2973" i="26"/>
  <c r="V2974" i="26"/>
  <c r="W2973" i="26"/>
  <c r="V2975" i="26"/>
  <c r="W2974" i="26"/>
  <c r="V2976" i="26"/>
  <c r="W2975" i="26"/>
  <c r="W2976" i="26"/>
  <c r="V2977" i="26"/>
  <c r="W2977" i="26"/>
  <c r="V2978" i="26"/>
  <c r="W2978" i="26"/>
  <c r="V2979" i="26"/>
  <c r="V2980" i="26"/>
  <c r="W2979" i="26"/>
  <c r="W2980" i="26"/>
  <c r="V2981" i="26"/>
  <c r="W2981" i="26"/>
  <c r="V2982" i="26"/>
  <c r="V2983" i="26"/>
  <c r="W2982" i="26"/>
  <c r="V2984" i="26"/>
  <c r="W2983" i="26"/>
  <c r="V2985" i="26"/>
  <c r="W2984" i="26"/>
  <c r="W2985" i="26"/>
  <c r="V2986" i="26"/>
  <c r="V2987" i="26"/>
  <c r="W2986" i="26"/>
  <c r="W2987" i="26"/>
  <c r="V2988" i="26"/>
  <c r="V2989" i="26"/>
  <c r="W2988" i="26"/>
  <c r="V2990" i="26"/>
  <c r="W2989" i="26"/>
  <c r="V2991" i="26"/>
  <c r="W2990" i="26"/>
  <c r="W2991" i="26"/>
  <c r="V2992" i="26"/>
  <c r="V2993" i="26"/>
  <c r="W2992" i="26"/>
  <c r="W2993" i="26"/>
  <c r="V2994" i="26"/>
  <c r="V2995" i="26"/>
  <c r="W2994" i="26"/>
  <c r="W2995" i="26"/>
  <c r="V2996" i="26"/>
  <c r="V2997" i="26"/>
  <c r="W2996" i="26"/>
  <c r="W2997" i="26"/>
  <c r="V2998" i="26"/>
  <c r="V2999" i="26"/>
  <c r="W2998" i="26"/>
  <c r="V3000" i="26"/>
  <c r="W2999" i="26"/>
  <c r="W3000" i="26"/>
  <c r="V3001" i="26"/>
  <c r="W3001" i="26"/>
  <c r="V3002" i="26"/>
  <c r="V3003" i="26"/>
  <c r="W3002" i="26"/>
  <c r="W3003" i="26"/>
  <c r="V3004" i="26"/>
  <c r="V3005" i="26"/>
  <c r="W3004" i="26"/>
  <c r="W3005" i="26"/>
  <c r="V3006" i="26"/>
  <c r="V3007" i="26"/>
  <c r="W3006" i="26"/>
  <c r="V3008" i="26"/>
  <c r="W3007" i="26"/>
  <c r="W3008" i="26"/>
  <c r="V3009" i="26"/>
  <c r="V3010" i="26"/>
  <c r="W3009" i="26"/>
  <c r="V3011" i="26"/>
  <c r="W3010" i="26"/>
  <c r="W3011" i="26"/>
  <c r="V3012" i="26"/>
  <c r="V3013" i="26"/>
  <c r="W3012" i="26"/>
  <c r="W3013" i="26"/>
  <c r="V3014" i="26"/>
  <c r="V3015" i="26"/>
  <c r="W3014" i="26"/>
  <c r="V3016" i="26"/>
  <c r="W3015" i="26"/>
  <c r="V3017" i="26"/>
  <c r="W3016" i="26"/>
  <c r="W3017" i="26"/>
  <c r="V3018" i="26"/>
  <c r="V3019" i="26"/>
  <c r="W3018" i="26"/>
  <c r="W3019" i="26"/>
  <c r="V3020" i="26"/>
  <c r="V3021" i="26"/>
  <c r="W3020" i="26"/>
  <c r="W3021" i="26"/>
  <c r="V3022" i="26"/>
  <c r="W3022" i="26"/>
  <c r="V3023" i="26"/>
  <c r="V3024" i="26"/>
  <c r="W3023" i="26"/>
  <c r="W3024" i="26"/>
  <c r="V3025" i="26"/>
  <c r="V3026" i="26"/>
  <c r="W3025" i="26"/>
  <c r="V3027" i="26"/>
  <c r="W3026" i="26"/>
  <c r="V3028" i="26"/>
  <c r="W3027" i="26"/>
  <c r="W3028" i="26"/>
  <c r="V3029" i="26"/>
  <c r="W3029" i="26"/>
  <c r="V3030" i="26"/>
  <c r="W3030" i="26"/>
  <c r="V3031" i="26"/>
  <c r="V3032" i="26"/>
  <c r="W3031" i="26"/>
  <c r="W3032" i="26"/>
  <c r="V3033" i="26"/>
  <c r="V3034" i="26"/>
  <c r="W3033" i="26"/>
  <c r="V3035" i="26"/>
  <c r="W3034" i="26"/>
  <c r="W3035" i="26"/>
  <c r="V3036" i="26"/>
  <c r="V3037" i="26"/>
  <c r="W3036" i="26"/>
  <c r="W3037" i="26"/>
  <c r="V3038" i="26"/>
  <c r="V3039" i="26"/>
  <c r="W3038" i="26"/>
  <c r="V3040" i="26"/>
  <c r="W3039" i="26"/>
  <c r="V3041" i="26"/>
  <c r="W3040" i="26"/>
  <c r="W3041" i="26"/>
  <c r="V3042" i="26"/>
  <c r="V3043" i="26"/>
  <c r="W3042" i="26"/>
  <c r="V3044" i="26"/>
  <c r="W3043" i="26"/>
  <c r="V3045" i="26"/>
  <c r="W3044" i="26"/>
  <c r="W3045" i="26"/>
  <c r="V3046" i="26"/>
  <c r="W3046" i="26"/>
  <c r="V3047" i="26"/>
  <c r="V3048" i="26"/>
  <c r="W3047" i="26"/>
  <c r="V3049" i="26"/>
  <c r="W3048" i="26"/>
  <c r="W3049" i="26"/>
  <c r="V3050" i="26"/>
  <c r="V3051" i="26"/>
  <c r="W3050" i="26"/>
  <c r="V3052" i="26"/>
  <c r="W3051" i="26"/>
  <c r="W3052" i="26"/>
  <c r="V3053" i="26"/>
  <c r="W3053" i="26"/>
  <c r="V3054" i="26"/>
  <c r="W3054" i="26"/>
  <c r="V3055" i="26"/>
  <c r="W3055" i="26"/>
  <c r="V3056" i="26"/>
  <c r="W3056" i="26"/>
  <c r="V3057" i="26"/>
  <c r="W3057" i="26"/>
  <c r="V3058" i="26"/>
  <c r="V3059" i="26"/>
  <c r="W3058" i="26"/>
  <c r="V3060" i="26"/>
  <c r="W3059" i="26"/>
  <c r="V3061" i="26"/>
  <c r="W3060" i="26"/>
  <c r="W3061" i="26"/>
  <c r="V3062" i="26"/>
  <c r="W3062" i="26"/>
  <c r="V3063" i="26"/>
  <c r="V3064" i="26"/>
  <c r="W3063" i="26"/>
  <c r="W3064" i="26"/>
  <c r="V3065" i="26"/>
  <c r="W3065" i="26"/>
  <c r="V3066" i="26"/>
  <c r="W3066" i="26"/>
  <c r="V3067" i="26"/>
  <c r="W3067" i="26"/>
  <c r="V3068" i="26"/>
  <c r="V3069" i="26"/>
  <c r="W3068" i="26"/>
  <c r="W3069" i="26"/>
  <c r="V3070" i="26"/>
  <c r="V3071" i="26"/>
  <c r="W3070" i="26"/>
  <c r="V3072" i="26"/>
  <c r="W3071" i="26"/>
  <c r="V3073" i="26"/>
  <c r="W3072" i="26"/>
  <c r="W3073" i="26"/>
  <c r="V3074" i="26"/>
  <c r="W3074" i="26"/>
  <c r="V3075" i="26"/>
  <c r="W3075" i="26"/>
  <c r="V3076" i="26"/>
  <c r="V3077" i="26"/>
  <c r="W3076" i="26"/>
  <c r="V3078" i="26"/>
  <c r="W3077" i="26"/>
  <c r="V3079" i="26"/>
  <c r="W3078" i="26"/>
  <c r="W3079" i="26"/>
  <c r="V3080" i="26"/>
  <c r="V3081" i="26"/>
  <c r="W3080" i="26"/>
  <c r="W3081" i="26"/>
  <c r="V3082" i="26"/>
  <c r="V3083" i="26"/>
  <c r="W3082" i="26"/>
  <c r="V3084" i="26"/>
  <c r="W3083" i="26"/>
  <c r="V3085" i="26"/>
  <c r="W3084" i="26"/>
  <c r="V3086" i="26"/>
  <c r="W3085" i="26"/>
  <c r="W3086" i="26"/>
  <c r="V3087" i="26"/>
  <c r="V3088" i="26"/>
  <c r="W3087" i="26"/>
  <c r="V3089" i="26"/>
  <c r="W3088" i="26"/>
  <c r="V3090" i="26"/>
  <c r="W3089" i="26"/>
  <c r="W3090" i="26"/>
  <c r="V3091" i="26"/>
  <c r="W3091" i="26"/>
  <c r="V3092" i="26"/>
  <c r="W3092" i="26"/>
  <c r="V3093" i="26"/>
  <c r="W3093" i="26"/>
  <c r="V3094" i="26"/>
  <c r="W3094" i="26"/>
  <c r="V3095" i="26"/>
  <c r="W3095" i="26"/>
  <c r="V3096" i="26"/>
  <c r="V3097" i="26"/>
  <c r="W3096" i="26"/>
  <c r="W3097" i="26"/>
  <c r="V3098" i="26"/>
  <c r="W3098" i="26"/>
  <c r="V3099" i="26"/>
  <c r="V3100" i="26"/>
  <c r="W3099" i="26"/>
  <c r="W3100" i="26"/>
  <c r="V3101" i="26"/>
  <c r="W3101" i="26"/>
  <c r="V3102" i="26"/>
  <c r="V3103" i="26"/>
  <c r="W3102" i="26"/>
  <c r="V3104" i="26"/>
  <c r="W3103" i="26"/>
  <c r="V3105" i="26"/>
  <c r="W3104" i="26"/>
  <c r="W3105" i="26"/>
  <c r="V3106" i="26"/>
  <c r="V3107" i="26"/>
  <c r="W3106" i="26"/>
  <c r="W3107" i="26"/>
  <c r="V3108" i="26"/>
  <c r="V3109" i="26"/>
  <c r="W3108" i="26"/>
  <c r="V3110" i="26"/>
  <c r="W3109" i="26"/>
  <c r="W3110" i="26"/>
  <c r="V3111" i="26"/>
  <c r="V3112" i="26"/>
  <c r="W3111" i="26"/>
  <c r="W3112" i="26"/>
  <c r="V3113" i="26"/>
  <c r="V3114" i="26"/>
  <c r="W3113" i="26"/>
  <c r="W3114" i="26"/>
  <c r="V3115" i="26"/>
  <c r="V3116" i="26"/>
  <c r="W3115" i="26"/>
  <c r="V3117" i="26"/>
  <c r="W3116" i="26"/>
  <c r="V3118" i="26"/>
  <c r="W3117" i="26"/>
  <c r="V3119" i="26"/>
  <c r="W3118" i="26"/>
  <c r="W3119" i="26"/>
  <c r="V3120" i="26"/>
  <c r="V3121" i="26"/>
  <c r="W3120" i="26"/>
  <c r="V3122" i="26"/>
  <c r="W3121" i="26"/>
  <c r="V3123" i="26"/>
  <c r="W3122" i="26"/>
  <c r="V3124" i="26"/>
  <c r="W3123" i="26"/>
  <c r="W3124" i="26"/>
  <c r="V3125" i="26"/>
  <c r="W3125" i="26"/>
  <c r="V3126" i="26"/>
  <c r="V3127" i="26"/>
  <c r="W3126" i="26"/>
  <c r="V3128" i="26"/>
  <c r="W3127" i="26"/>
  <c r="V3129" i="26"/>
  <c r="W3128" i="26"/>
  <c r="V3130" i="26"/>
  <c r="W3129" i="26"/>
  <c r="W3130" i="26"/>
  <c r="V3131" i="26"/>
  <c r="V3132" i="26"/>
  <c r="W3131" i="26"/>
  <c r="W3132" i="26"/>
  <c r="V3133" i="26"/>
  <c r="W3133" i="26"/>
  <c r="V3134" i="26"/>
  <c r="W3134" i="26"/>
  <c r="V3135" i="26"/>
  <c r="V3136" i="26"/>
  <c r="W3135" i="26"/>
  <c r="W3136" i="26"/>
  <c r="V3137" i="26"/>
  <c r="W3137" i="26"/>
  <c r="V3138" i="26"/>
  <c r="V3139" i="26"/>
  <c r="W3138" i="26"/>
  <c r="W3139" i="26"/>
  <c r="V3140" i="26"/>
  <c r="V3141" i="26"/>
  <c r="W3140" i="26"/>
  <c r="W3141" i="26"/>
  <c r="V3142" i="26"/>
  <c r="W3142" i="26"/>
  <c r="V3143" i="26"/>
  <c r="V3144" i="26"/>
  <c r="W3143" i="26"/>
  <c r="W3144" i="26"/>
  <c r="V3145" i="26"/>
  <c r="V3146" i="26"/>
  <c r="W3145" i="26"/>
  <c r="V3147" i="26"/>
  <c r="W3146" i="26"/>
  <c r="W3147" i="26"/>
  <c r="V3148" i="26"/>
  <c r="W3148" i="26"/>
  <c r="V3149" i="26"/>
  <c r="W3149" i="26"/>
  <c r="V3150" i="26"/>
  <c r="V3151" i="26"/>
  <c r="W3150" i="26"/>
  <c r="V3152" i="26"/>
  <c r="W3151" i="26"/>
  <c r="V3153" i="26"/>
  <c r="W3152" i="26"/>
  <c r="V3154" i="26"/>
  <c r="W3153" i="26"/>
  <c r="V3155" i="26"/>
  <c r="W3154" i="26"/>
  <c r="V3156" i="26"/>
  <c r="W3155" i="26"/>
  <c r="V3157" i="26"/>
  <c r="W3156" i="26"/>
  <c r="V3158" i="26"/>
  <c r="W3157" i="26"/>
  <c r="W3158" i="26"/>
  <c r="V3159" i="26"/>
  <c r="V3160" i="26"/>
  <c r="W3159" i="26"/>
  <c r="V3161" i="26"/>
  <c r="W3160" i="26"/>
  <c r="V3162" i="26"/>
  <c r="W3161" i="26"/>
  <c r="V3163" i="26"/>
  <c r="W3162" i="26"/>
  <c r="V3164" i="26"/>
  <c r="W3163" i="26"/>
  <c r="V3165" i="26"/>
  <c r="W3164" i="26"/>
  <c r="W3165" i="26"/>
  <c r="V3166" i="26"/>
  <c r="V3167" i="26"/>
  <c r="W3166" i="26"/>
  <c r="W3167" i="26"/>
  <c r="V3168" i="26"/>
  <c r="V3169" i="26"/>
  <c r="W3168" i="26"/>
  <c r="W3169" i="26"/>
  <c r="V3170" i="26"/>
  <c r="V3171" i="26"/>
  <c r="W3170" i="26"/>
  <c r="W3171" i="26"/>
  <c r="V3172" i="26"/>
  <c r="W3172" i="26"/>
  <c r="V3173" i="26"/>
  <c r="V3174" i="26"/>
  <c r="W3173" i="26"/>
  <c r="W3174" i="26"/>
  <c r="V3175" i="26"/>
  <c r="V3176" i="26"/>
  <c r="W3175" i="26"/>
  <c r="W3176" i="26"/>
  <c r="V3177" i="26"/>
  <c r="W3177" i="26"/>
  <c r="V3178" i="26"/>
  <c r="V3179" i="26"/>
  <c r="W3178" i="26"/>
  <c r="W3179" i="26"/>
  <c r="V3180" i="26"/>
  <c r="W3180" i="26"/>
  <c r="V3181" i="26"/>
  <c r="W3181" i="26"/>
  <c r="V3182" i="26"/>
  <c r="W3182" i="26"/>
  <c r="V3183" i="26"/>
  <c r="V3184" i="26"/>
  <c r="W3183" i="26"/>
  <c r="V3185" i="26"/>
  <c r="W3184" i="26"/>
  <c r="W3185" i="26"/>
  <c r="V3186" i="26"/>
  <c r="V3187" i="26"/>
  <c r="W3186" i="26"/>
  <c r="V3188" i="26"/>
  <c r="W3187" i="26"/>
  <c r="W3188" i="26"/>
  <c r="V3189" i="26"/>
  <c r="V3190" i="26"/>
  <c r="W3189" i="26"/>
  <c r="V3191" i="26"/>
  <c r="W3190" i="26"/>
  <c r="V3192" i="26"/>
  <c r="W3191" i="26"/>
  <c r="V3193" i="26"/>
  <c r="W3192" i="26"/>
  <c r="V3194" i="26"/>
  <c r="W3193" i="26"/>
  <c r="V3195" i="26"/>
  <c r="W3194" i="26"/>
  <c r="W3195" i="26"/>
  <c r="V3196" i="26"/>
  <c r="W3196" i="26"/>
  <c r="V3197" i="26"/>
  <c r="W3197" i="26"/>
  <c r="V3198" i="26"/>
  <c r="V3199" i="26"/>
  <c r="W3198" i="26"/>
  <c r="W3199" i="26"/>
  <c r="V3200" i="26"/>
  <c r="W3200" i="26"/>
  <c r="V3201" i="26"/>
  <c r="W3201" i="26"/>
  <c r="V3202" i="26"/>
  <c r="V3203" i="26"/>
  <c r="W3202" i="26"/>
  <c r="V3204" i="26"/>
  <c r="W3203" i="26"/>
  <c r="V3205" i="26"/>
  <c r="W3204" i="26"/>
  <c r="W3205" i="26"/>
  <c r="V3206" i="26"/>
  <c r="V3207" i="26"/>
  <c r="W3206" i="26"/>
  <c r="W3207" i="26"/>
  <c r="V3208" i="26"/>
  <c r="V3209" i="26"/>
  <c r="W3208" i="26"/>
  <c r="W3209" i="26"/>
  <c r="V3210" i="26"/>
  <c r="V3211" i="26"/>
  <c r="W3210" i="26"/>
  <c r="V3212" i="26"/>
  <c r="W3211" i="26"/>
  <c r="W3212" i="26"/>
  <c r="V3213" i="26"/>
  <c r="W3213" i="26"/>
  <c r="V3214" i="26"/>
  <c r="W3214" i="26"/>
  <c r="V3215" i="26"/>
  <c r="V3216" i="26"/>
  <c r="W3215" i="26"/>
  <c r="V3217" i="26"/>
  <c r="W3216" i="26"/>
  <c r="W3217" i="26"/>
  <c r="V3218" i="26"/>
  <c r="W3218" i="26"/>
  <c r="V3219" i="26"/>
  <c r="V3220" i="26"/>
  <c r="W3219" i="26"/>
  <c r="V3221" i="26"/>
  <c r="W3220" i="26"/>
  <c r="W3221" i="26"/>
  <c r="V3222" i="26"/>
  <c r="W3222" i="26"/>
  <c r="V3223" i="26"/>
  <c r="V3224" i="26"/>
  <c r="W3223" i="26"/>
  <c r="W3224" i="26"/>
  <c r="V3225" i="26"/>
  <c r="V3226" i="26"/>
  <c r="W3225" i="26"/>
  <c r="V3227" i="26"/>
  <c r="W3226" i="26"/>
  <c r="V3228" i="26"/>
  <c r="W3227" i="26"/>
  <c r="W3228" i="26"/>
  <c r="V3229" i="26"/>
  <c r="W3229" i="26"/>
  <c r="V3230" i="26"/>
  <c r="V3231" i="26"/>
  <c r="W3230" i="26"/>
  <c r="V3232" i="26"/>
  <c r="W3231" i="26"/>
  <c r="V3233" i="26"/>
  <c r="W3232" i="26"/>
  <c r="W3233" i="26"/>
  <c r="V3234" i="26"/>
  <c r="W3234" i="26"/>
  <c r="V3235" i="26"/>
  <c r="V3236" i="26"/>
  <c r="W3235" i="26"/>
  <c r="V3237" i="26"/>
  <c r="W3236" i="26"/>
  <c r="V3238" i="26"/>
  <c r="W3237" i="26"/>
  <c r="W3238" i="26"/>
  <c r="V3239" i="26"/>
  <c r="V3240" i="26"/>
  <c r="W3239" i="26"/>
  <c r="V3241" i="26"/>
  <c r="W3240" i="26"/>
  <c r="W3241" i="26"/>
  <c r="V3242" i="26"/>
  <c r="V3243" i="26"/>
  <c r="W3242" i="26"/>
  <c r="V3244" i="26"/>
  <c r="W3243" i="26"/>
  <c r="W3244" i="26"/>
  <c r="V3245" i="26"/>
  <c r="W3245" i="26"/>
  <c r="V3246" i="26"/>
  <c r="V3247" i="26"/>
  <c r="W3246" i="26"/>
  <c r="V3248" i="26"/>
  <c r="W3247" i="26"/>
  <c r="W3248" i="26"/>
  <c r="V3249" i="26"/>
  <c r="V3250" i="26"/>
  <c r="W3249" i="26"/>
  <c r="W3250" i="26"/>
  <c r="V3251" i="26"/>
  <c r="W3251" i="26"/>
  <c r="V3252" i="26"/>
  <c r="V3253" i="26"/>
  <c r="W3252" i="26"/>
  <c r="V3254" i="26"/>
  <c r="W3253" i="26"/>
  <c r="V3255" i="26"/>
  <c r="W3254" i="26"/>
  <c r="W3255" i="26"/>
  <c r="V3256" i="26"/>
  <c r="W3256" i="26"/>
  <c r="V3257" i="26"/>
  <c r="V3258" i="26"/>
  <c r="W3257" i="26"/>
  <c r="V3259" i="26"/>
  <c r="W3258" i="26"/>
  <c r="W3259" i="26"/>
  <c r="V3260" i="26"/>
  <c r="W3260" i="26"/>
  <c r="V3261" i="26"/>
  <c r="W3261" i="26"/>
  <c r="V3262" i="26"/>
  <c r="V3263" i="26"/>
  <c r="W3262" i="26"/>
  <c r="V3264" i="26"/>
  <c r="W3263" i="26"/>
  <c r="V3265" i="26"/>
  <c r="W3264" i="26"/>
  <c r="W3265" i="26"/>
  <c r="V3266" i="26"/>
  <c r="V3267" i="26"/>
  <c r="W3266" i="26"/>
  <c r="V3268" i="26"/>
  <c r="W3267" i="26"/>
  <c r="V3269" i="26"/>
  <c r="W3268" i="26"/>
  <c r="V3270" i="26"/>
  <c r="W3269" i="26"/>
  <c r="W3270" i="26"/>
  <c r="V3271" i="26"/>
  <c r="V3272" i="26"/>
  <c r="W3271" i="26"/>
  <c r="V3273" i="26"/>
  <c r="W3272" i="26"/>
  <c r="V3274" i="26"/>
  <c r="W3273" i="26"/>
  <c r="W3274" i="26"/>
  <c r="V3275" i="26"/>
  <c r="V3276" i="26"/>
  <c r="W3275" i="26"/>
  <c r="V3277" i="26"/>
  <c r="W3276" i="26"/>
  <c r="W3277" i="26"/>
  <c r="V3278" i="26"/>
  <c r="W3278" i="26"/>
  <c r="V3279" i="26"/>
  <c r="V3280" i="26"/>
  <c r="W3279" i="26"/>
  <c r="V3281" i="26"/>
  <c r="W3280" i="26"/>
  <c r="V3282" i="26"/>
  <c r="W3281" i="26"/>
  <c r="V3283" i="26"/>
  <c r="W3282" i="26"/>
  <c r="V3284" i="26"/>
  <c r="W3283" i="26"/>
  <c r="W3284" i="26"/>
  <c r="V3285" i="26"/>
  <c r="W3285" i="26"/>
  <c r="V3286" i="26"/>
  <c r="V3287" i="26"/>
  <c r="W3286" i="26"/>
  <c r="W3287" i="26"/>
  <c r="V3288" i="26"/>
  <c r="V3289" i="26"/>
  <c r="W3288" i="26"/>
  <c r="V3290" i="26"/>
  <c r="W3289" i="26"/>
  <c r="W3290" i="26"/>
  <c r="V3291" i="26"/>
  <c r="V3292" i="26"/>
  <c r="W3291" i="26"/>
  <c r="V3293" i="26"/>
  <c r="W3292" i="26"/>
  <c r="V3294" i="26"/>
  <c r="W3293" i="26"/>
  <c r="V3295" i="26"/>
  <c r="W3294" i="26"/>
  <c r="V3296" i="26"/>
  <c r="W3295" i="26"/>
  <c r="V3297" i="26"/>
  <c r="W3296" i="26"/>
  <c r="V3298" i="26"/>
  <c r="W3297" i="26"/>
  <c r="W3298" i="26"/>
  <c r="V3299" i="26"/>
  <c r="V3300" i="26"/>
  <c r="W3299" i="26"/>
  <c r="V3301" i="26"/>
  <c r="W3300" i="26"/>
  <c r="W3301" i="26"/>
  <c r="V3302" i="26"/>
  <c r="V3303" i="26"/>
  <c r="W3302" i="26"/>
  <c r="V3304" i="26"/>
  <c r="W3303" i="26"/>
  <c r="V3305" i="26"/>
  <c r="W3304" i="26"/>
  <c r="V3306" i="26"/>
  <c r="W3305" i="26"/>
  <c r="W3306" i="26"/>
  <c r="V3307" i="26"/>
  <c r="W3307" i="26"/>
  <c r="V3308" i="26"/>
  <c r="W3308" i="26"/>
  <c r="V3309" i="26"/>
  <c r="W3309" i="26"/>
  <c r="V3310" i="26"/>
  <c r="W3310" i="26"/>
  <c r="V3311" i="26"/>
  <c r="V3312" i="26"/>
  <c r="W3311" i="26"/>
  <c r="W3312" i="26"/>
  <c r="V3313" i="26"/>
  <c r="W3313" i="26"/>
  <c r="V3314" i="26"/>
  <c r="W3314" i="26"/>
  <c r="V3315" i="26"/>
  <c r="V3316" i="26"/>
  <c r="W3315" i="26"/>
  <c r="V3317" i="26"/>
  <c r="W3316" i="26"/>
  <c r="W3317" i="26"/>
  <c r="V3318" i="26"/>
  <c r="V3319" i="26"/>
  <c r="W3318" i="26"/>
  <c r="W3319" i="26"/>
  <c r="V3320" i="26"/>
  <c r="W3320" i="26"/>
  <c r="V3321" i="26"/>
  <c r="W3321" i="26"/>
  <c r="V3322" i="26"/>
  <c r="V3323" i="26"/>
  <c r="W3322" i="26"/>
  <c r="V3324" i="26"/>
  <c r="W3323" i="26"/>
  <c r="V3325" i="26"/>
  <c r="W3324" i="26"/>
  <c r="V3326" i="26"/>
  <c r="W3325" i="26"/>
  <c r="V3327" i="26"/>
  <c r="W3326" i="26"/>
  <c r="V3328" i="26"/>
  <c r="W3327" i="26"/>
  <c r="V3329" i="26"/>
  <c r="W3328" i="26"/>
  <c r="V3330" i="26"/>
  <c r="W3329" i="26"/>
  <c r="W3330" i="26"/>
  <c r="V3331" i="26"/>
  <c r="W3331" i="26"/>
  <c r="V3332" i="26"/>
  <c r="V3333" i="26"/>
  <c r="W3332" i="26"/>
  <c r="W3333" i="26"/>
  <c r="V3334" i="26"/>
  <c r="V3335" i="26"/>
  <c r="W3334" i="26"/>
  <c r="W3335" i="26"/>
  <c r="V3336" i="26"/>
  <c r="W3336" i="26"/>
  <c r="V3337" i="26"/>
  <c r="W3337" i="26"/>
  <c r="V3338" i="26"/>
  <c r="V3339" i="26"/>
  <c r="W3338" i="26"/>
  <c r="V3340" i="26"/>
  <c r="W3339" i="26"/>
  <c r="V3341" i="26"/>
  <c r="W3340" i="26"/>
  <c r="V3342" i="26"/>
  <c r="W3341" i="26"/>
  <c r="V3343" i="26"/>
  <c r="W3342" i="26"/>
  <c r="W3343" i="26"/>
  <c r="V3344" i="26"/>
  <c r="V3345" i="26"/>
  <c r="W3344" i="26"/>
  <c r="W3345" i="26"/>
  <c r="V3346" i="26"/>
  <c r="W3346" i="26"/>
  <c r="V3347" i="26"/>
  <c r="V3348" i="26"/>
  <c r="W3347" i="26"/>
  <c r="W3348" i="26"/>
  <c r="V3349" i="26"/>
  <c r="V3350" i="26"/>
  <c r="W3349" i="26"/>
  <c r="W3350" i="26"/>
  <c r="V3351" i="26"/>
  <c r="W3351" i="26"/>
  <c r="V3352" i="26"/>
  <c r="V3353" i="26"/>
  <c r="W3352" i="26"/>
  <c r="W3353" i="26"/>
  <c r="V3354" i="26"/>
  <c r="W3354" i="26"/>
  <c r="V3355" i="26"/>
  <c r="V3356" i="26"/>
  <c r="W3355" i="26"/>
  <c r="V3357" i="26"/>
  <c r="W3356" i="26"/>
  <c r="V3358" i="26"/>
  <c r="W3357" i="26"/>
  <c r="W3358" i="26"/>
  <c r="V3359" i="26"/>
  <c r="W3359" i="26"/>
  <c r="V3360" i="26"/>
  <c r="V3361" i="26"/>
  <c r="W3360" i="26"/>
  <c r="V3362" i="26"/>
  <c r="W3361" i="26"/>
  <c r="W3362" i="26"/>
  <c r="V3363" i="26"/>
  <c r="V3364" i="26"/>
  <c r="W3363" i="26"/>
  <c r="W3364" i="26"/>
  <c r="V3365" i="26"/>
  <c r="W3365" i="26"/>
  <c r="V3366" i="26"/>
  <c r="V3367" i="26"/>
  <c r="W3366" i="26"/>
  <c r="V3368" i="26"/>
  <c r="W3367" i="26"/>
  <c r="W3368" i="26"/>
  <c r="V3369" i="26"/>
  <c r="V3370" i="26"/>
  <c r="W3369" i="26"/>
  <c r="V3371" i="26"/>
  <c r="W3370" i="26"/>
  <c r="V3372" i="26"/>
  <c r="W3371" i="26"/>
  <c r="W3372" i="26"/>
  <c r="V3373" i="26"/>
  <c r="V3374" i="26"/>
  <c r="W3373" i="26"/>
  <c r="W3374" i="26"/>
  <c r="V3375" i="26"/>
  <c r="W3375" i="26"/>
  <c r="V3376" i="26"/>
  <c r="V3377" i="26"/>
  <c r="W3376" i="26"/>
  <c r="W3377" i="26"/>
  <c r="V3378" i="26"/>
  <c r="W3378" i="26"/>
  <c r="V3379" i="26"/>
  <c r="V3380" i="26"/>
  <c r="W3379" i="26"/>
  <c r="V3381" i="26"/>
  <c r="W3380" i="26"/>
  <c r="V3382" i="26"/>
  <c r="W3381" i="26"/>
  <c r="W3382" i="26"/>
  <c r="V3383" i="26"/>
  <c r="W3383" i="26"/>
  <c r="V3384" i="26"/>
  <c r="V3385" i="26"/>
  <c r="W3384" i="26"/>
  <c r="V3386" i="26"/>
  <c r="W3385" i="26"/>
  <c r="W3386" i="26"/>
  <c r="V3387" i="26"/>
  <c r="V3388" i="26"/>
  <c r="W3387" i="26"/>
  <c r="W3388" i="26"/>
  <c r="V3389" i="26"/>
  <c r="V3390" i="26"/>
  <c r="W3389" i="26"/>
  <c r="W3390" i="26"/>
  <c r="V3391" i="26"/>
  <c r="V3392" i="26"/>
  <c r="W3391" i="26"/>
  <c r="W3392" i="26"/>
  <c r="V3393" i="26"/>
  <c r="W3393" i="26"/>
  <c r="V3394" i="26"/>
  <c r="V3395" i="26"/>
  <c r="W3394" i="26"/>
  <c r="V3396" i="26"/>
  <c r="W3395" i="26"/>
  <c r="V3397" i="26"/>
  <c r="W3396" i="26"/>
  <c r="V3398" i="26"/>
  <c r="W3397" i="26"/>
  <c r="V3399" i="26"/>
  <c r="W3398" i="26"/>
  <c r="V3400" i="26"/>
  <c r="W3399" i="26"/>
  <c r="W3400" i="26"/>
  <c r="V3401" i="26"/>
  <c r="W3401" i="26"/>
  <c r="V3402" i="26"/>
  <c r="V3403" i="26"/>
  <c r="W3402" i="26"/>
  <c r="V3404" i="26"/>
  <c r="W3403" i="26"/>
  <c r="V3405" i="26"/>
  <c r="W3404" i="26"/>
  <c r="W3405" i="26"/>
  <c r="V3406" i="26"/>
  <c r="V3407" i="26"/>
  <c r="W3406" i="26"/>
  <c r="V3408" i="26"/>
  <c r="W3407" i="26"/>
  <c r="W3408" i="26"/>
  <c r="V3409" i="26"/>
  <c r="W3409" i="26"/>
  <c r="V3410" i="26"/>
  <c r="V3411" i="26"/>
  <c r="W3410" i="26"/>
  <c r="V3412" i="26"/>
  <c r="W3411" i="26"/>
  <c r="W3412" i="26"/>
  <c r="V3413" i="26"/>
  <c r="V3414" i="26"/>
  <c r="W3413" i="26"/>
  <c r="V3415" i="26"/>
  <c r="W3414" i="26"/>
  <c r="W3415" i="26"/>
  <c r="V3416" i="26"/>
  <c r="W3416" i="26"/>
  <c r="V3417" i="26"/>
  <c r="W3417" i="26"/>
  <c r="V3418" i="26"/>
  <c r="W3418" i="26"/>
  <c r="V3419" i="26"/>
  <c r="V3420" i="26"/>
  <c r="W3419" i="26"/>
  <c r="V3421" i="26"/>
  <c r="W3420" i="26"/>
  <c r="V3422" i="26"/>
  <c r="W3421" i="26"/>
  <c r="W3422" i="26"/>
  <c r="V3423" i="26"/>
  <c r="V3424" i="26"/>
  <c r="W3423" i="26"/>
  <c r="W3424" i="26"/>
  <c r="V3425" i="26"/>
  <c r="W3425" i="26"/>
  <c r="V3426" i="26"/>
  <c r="W3426" i="26"/>
  <c r="V3427" i="26"/>
  <c r="W3427" i="26"/>
  <c r="V3428" i="26"/>
  <c r="V3429" i="26"/>
  <c r="W3428" i="26"/>
  <c r="W3429" i="26"/>
  <c r="V3430" i="26"/>
  <c r="W3430" i="26"/>
  <c r="V3431" i="26"/>
  <c r="V3432" i="26"/>
  <c r="W3431" i="26"/>
  <c r="V3433" i="26"/>
  <c r="W3432" i="26"/>
  <c r="W3433" i="26"/>
  <c r="V3434" i="26"/>
  <c r="W3434" i="26"/>
  <c r="V3435" i="26"/>
  <c r="W3435" i="26"/>
  <c r="V3436" i="26"/>
  <c r="V3437" i="26"/>
  <c r="W3436" i="26"/>
  <c r="W3437" i="26"/>
  <c r="V3438" i="26"/>
  <c r="V3439" i="26"/>
  <c r="W3438" i="26"/>
  <c r="W3439" i="26"/>
  <c r="V3440" i="26"/>
  <c r="W3440" i="26"/>
  <c r="V3441" i="26"/>
  <c r="V3442" i="26"/>
  <c r="W3441" i="26"/>
  <c r="V3443" i="26"/>
  <c r="W3442" i="26"/>
  <c r="W3443" i="26"/>
  <c r="V3444" i="26"/>
  <c r="V3445" i="26"/>
  <c r="W3444" i="26"/>
  <c r="W3445" i="26"/>
  <c r="V3446" i="26"/>
  <c r="V3447" i="26"/>
  <c r="W3446" i="26"/>
  <c r="V3448" i="26"/>
  <c r="W3447" i="26"/>
  <c r="W3448" i="26"/>
  <c r="V3449" i="26"/>
  <c r="W3449" i="26"/>
  <c r="V3450" i="26"/>
  <c r="V3451" i="26"/>
  <c r="W3450" i="26"/>
  <c r="W3451" i="26"/>
  <c r="V3452" i="26"/>
  <c r="V3453" i="26"/>
  <c r="W3452" i="26"/>
  <c r="W3453" i="26"/>
  <c r="V3454" i="26"/>
  <c r="V3455" i="26"/>
  <c r="W3454" i="26"/>
  <c r="V3456" i="26"/>
  <c r="W3455" i="26"/>
  <c r="V3457" i="26"/>
  <c r="W3456" i="26"/>
  <c r="W3457" i="26"/>
  <c r="V3458" i="26"/>
  <c r="V3459" i="26"/>
  <c r="W3458" i="26"/>
  <c r="V3460" i="26"/>
  <c r="W3459" i="26"/>
  <c r="W3460" i="26"/>
  <c r="V3461" i="26"/>
  <c r="V3462" i="26"/>
  <c r="W3461" i="26"/>
  <c r="V3463" i="26"/>
  <c r="W3462" i="26"/>
  <c r="W3463" i="26"/>
  <c r="V3464" i="26"/>
  <c r="V3465" i="26"/>
  <c r="W3464" i="26"/>
  <c r="W3465" i="26"/>
  <c r="V3466" i="26"/>
  <c r="W3466" i="26"/>
  <c r="V3467" i="26"/>
  <c r="V3468" i="26"/>
  <c r="W3467" i="26"/>
  <c r="W3468" i="26"/>
  <c r="V3469" i="26"/>
  <c r="W3469" i="26"/>
  <c r="V3470" i="26"/>
  <c r="W3470" i="26"/>
  <c r="V3471" i="26"/>
  <c r="W3471" i="26"/>
  <c r="V3472" i="26"/>
  <c r="W3472" i="26"/>
  <c r="V3473" i="26"/>
  <c r="V3474" i="26"/>
  <c r="W3473" i="26"/>
  <c r="W3474" i="26"/>
  <c r="V3475" i="26"/>
  <c r="V3476" i="26"/>
  <c r="W3475" i="26"/>
  <c r="V3477" i="26"/>
  <c r="W3476" i="26"/>
  <c r="W3477" i="26"/>
  <c r="V3478" i="26"/>
  <c r="V3479" i="26"/>
  <c r="W3478" i="26"/>
  <c r="W3479" i="26"/>
  <c r="V3480" i="26"/>
  <c r="W3480" i="26"/>
  <c r="V3481" i="26"/>
  <c r="V3482" i="26"/>
  <c r="W3481" i="26"/>
  <c r="V3483" i="26"/>
  <c r="W3482" i="26"/>
  <c r="W3483" i="26"/>
  <c r="V3484" i="26"/>
  <c r="W3484" i="26"/>
  <c r="V3485" i="26"/>
  <c r="V3486" i="26"/>
  <c r="W3485" i="26"/>
  <c r="V3487" i="26"/>
  <c r="W3486" i="26"/>
  <c r="W3487" i="26"/>
  <c r="V3488" i="26"/>
  <c r="V3489" i="26"/>
  <c r="W3488" i="26"/>
  <c r="V3490" i="26"/>
  <c r="W3489" i="26"/>
  <c r="W3490" i="26"/>
  <c r="V3491" i="26"/>
  <c r="V3492" i="26"/>
  <c r="W3491" i="26"/>
  <c r="W3492" i="26"/>
  <c r="V3493" i="26"/>
  <c r="W3493" i="26"/>
  <c r="V3494" i="26"/>
  <c r="W3494" i="26"/>
  <c r="V3495" i="26"/>
  <c r="V3496" i="26"/>
  <c r="W3495" i="26"/>
  <c r="V3497" i="26"/>
  <c r="W3496" i="26"/>
  <c r="V3498" i="26"/>
  <c r="W3497" i="26"/>
  <c r="W3498" i="26"/>
  <c r="V3499" i="26"/>
  <c r="W3499" i="26"/>
  <c r="V3500" i="26"/>
  <c r="W3500" i="26"/>
  <c r="V3501" i="26"/>
  <c r="W3501" i="26"/>
  <c r="V3502" i="26"/>
  <c r="W3502" i="26"/>
  <c r="V3503" i="26"/>
  <c r="V3504" i="26"/>
  <c r="W3503" i="26"/>
  <c r="V3505" i="26"/>
  <c r="W3504" i="26"/>
  <c r="V3506" i="26"/>
  <c r="W3505" i="26"/>
  <c r="V3507" i="26"/>
  <c r="W3506" i="26"/>
  <c r="V3508" i="26"/>
  <c r="W3507" i="26"/>
  <c r="V3509" i="26"/>
  <c r="W3508" i="26"/>
  <c r="W3509" i="26"/>
  <c r="V3510" i="26"/>
  <c r="V3511" i="26"/>
  <c r="W3510" i="26"/>
  <c r="V3512" i="26"/>
  <c r="W3511" i="26"/>
  <c r="V3513" i="26"/>
  <c r="W3512" i="26"/>
  <c r="W3513" i="26"/>
  <c r="V3514" i="26"/>
  <c r="V3515" i="26"/>
  <c r="W3514" i="26"/>
  <c r="V3516" i="26"/>
  <c r="W3515" i="26"/>
  <c r="W3516" i="26"/>
  <c r="V3517" i="26"/>
  <c r="V3518" i="26"/>
  <c r="W3517" i="26"/>
  <c r="W3518" i="26"/>
  <c r="V3519" i="26"/>
  <c r="V3520" i="26"/>
  <c r="W3519" i="26"/>
  <c r="W3520" i="26"/>
  <c r="V3521" i="26"/>
  <c r="V3522" i="26"/>
  <c r="W3521" i="26"/>
  <c r="W3522" i="26"/>
  <c r="V3523" i="26"/>
  <c r="W3523" i="26"/>
  <c r="V3524" i="26"/>
  <c r="W3524" i="26"/>
  <c r="V3525" i="26"/>
  <c r="W3525" i="26"/>
  <c r="V3526" i="26"/>
  <c r="V3527" i="26"/>
  <c r="W3526" i="26"/>
  <c r="V3528" i="26"/>
  <c r="W3527" i="26"/>
  <c r="V3529" i="26"/>
  <c r="W3528" i="26"/>
  <c r="W3529" i="26"/>
  <c r="V3530" i="26"/>
  <c r="W3530" i="26"/>
  <c r="V3531" i="26"/>
  <c r="W3531" i="26"/>
  <c r="V3532" i="26"/>
  <c r="W3532" i="26"/>
  <c r="V3533" i="26"/>
  <c r="W3533" i="26"/>
  <c r="V3534" i="26"/>
  <c r="V3535" i="26"/>
  <c r="W3534" i="26"/>
  <c r="V3536" i="26"/>
  <c r="W3535" i="26"/>
  <c r="W3536" i="26"/>
  <c r="V3537" i="26"/>
  <c r="V3538" i="26"/>
  <c r="W3537" i="26"/>
  <c r="V3539" i="26"/>
  <c r="W3538" i="26"/>
  <c r="W3539" i="26"/>
  <c r="V3540" i="26"/>
  <c r="V3541" i="26"/>
  <c r="W3540" i="26"/>
  <c r="W3541" i="26"/>
  <c r="V3542" i="26"/>
  <c r="W3542" i="26"/>
  <c r="V3543" i="26"/>
  <c r="V3544" i="26"/>
  <c r="W3543" i="26"/>
  <c r="G1" i="17" l="1"/>
  <c r="G3" i="17" s="1"/>
  <c r="F3" i="17"/>
  <c r="W3544" i="26"/>
  <c r="M30" i="25"/>
  <c r="M34" i="25"/>
  <c r="M39" i="25"/>
  <c r="M24" i="25"/>
  <c r="H3" i="17"/>
  <c r="M25" i="25"/>
  <c r="M31" i="25"/>
  <c r="M32" i="25"/>
  <c r="M27" i="25"/>
  <c r="M29" i="25"/>
  <c r="M28" i="25"/>
  <c r="M41" i="25"/>
  <c r="M35" i="25"/>
  <c r="M26" i="25"/>
  <c r="M36" i="25"/>
  <c r="M37" i="25"/>
  <c r="M23" i="25"/>
  <c r="M3" i="25"/>
  <c r="M33" i="25"/>
  <c r="G2" i="17" l="1"/>
  <c r="F4" i="17"/>
  <c r="G4" i="17"/>
  <c r="H2" i="17"/>
  <c r="I3" i="17"/>
  <c r="H4" i="17"/>
  <c r="I2" i="17"/>
  <c r="E1" i="9" l="1"/>
  <c r="E2" i="9" s="1"/>
  <c r="D3" i="9"/>
  <c r="I4" i="17"/>
  <c r="E3" i="9" l="1"/>
  <c r="F2" i="9"/>
  <c r="F3" i="9"/>
  <c r="B1" i="6"/>
  <c r="D9" i="6" l="1"/>
  <c r="E2" i="5" s="1"/>
  <c r="D16" i="6"/>
  <c r="D20" i="6"/>
  <c r="E20" i="6"/>
  <c r="D23" i="6"/>
  <c r="B35" i="5"/>
  <c r="C35" i="5"/>
  <c r="G3" i="9"/>
  <c r="F2" i="5"/>
  <c r="D21" i="6"/>
  <c r="K2" i="5"/>
  <c r="G2" i="9"/>
  <c r="A16" i="5"/>
  <c r="L2" i="5"/>
  <c r="E5" i="5" l="1"/>
  <c r="E34" i="5"/>
  <c r="E28" i="5"/>
  <c r="E15" i="5"/>
  <c r="E14" i="5"/>
  <c r="E13" i="5"/>
  <c r="E9" i="5"/>
  <c r="E8" i="5"/>
  <c r="E33" i="5"/>
  <c r="E7" i="5"/>
  <c r="E29" i="5"/>
  <c r="E6" i="5"/>
  <c r="E32" i="5"/>
  <c r="E12" i="5"/>
  <c r="E4" i="5"/>
  <c r="E31" i="5"/>
  <c r="E11" i="5"/>
  <c r="E3" i="5"/>
  <c r="E30" i="5"/>
  <c r="E10" i="5"/>
  <c r="E21" i="6"/>
  <c r="E35" i="5"/>
  <c r="L11" i="26" s="1"/>
  <c r="C36" i="5"/>
  <c r="E36" i="5" s="1"/>
  <c r="L12" i="26" s="1"/>
  <c r="C37" i="5"/>
  <c r="E37" i="5" s="1"/>
  <c r="L13" i="26" s="1"/>
  <c r="C38" i="5"/>
  <c r="E38" i="5" s="1"/>
  <c r="L14" i="26" s="1"/>
  <c r="C39" i="5"/>
  <c r="E39" i="5" s="1"/>
  <c r="L15" i="26" s="1"/>
  <c r="C40" i="5"/>
  <c r="E40" i="5" s="1"/>
  <c r="L16" i="26" s="1"/>
  <c r="C41" i="5"/>
  <c r="E41" i="5" s="1"/>
  <c r="L17" i="26" s="1"/>
  <c r="C42" i="5"/>
  <c r="E42" i="5" s="1"/>
  <c r="L18" i="26" s="1"/>
  <c r="C43" i="5"/>
  <c r="E43" i="5" s="1"/>
  <c r="L19" i="26" s="1"/>
  <c r="C44" i="5"/>
  <c r="E44" i="5" s="1"/>
  <c r="L20" i="26" s="1"/>
  <c r="C45" i="5"/>
  <c r="E45" i="5" s="1"/>
  <c r="L21" i="26" s="1"/>
  <c r="C46" i="5"/>
  <c r="E46" i="5" s="1"/>
  <c r="L22" i="26" s="1"/>
  <c r="C47" i="5"/>
  <c r="E47" i="5" s="1"/>
  <c r="L23" i="26" s="1"/>
  <c r="C48" i="5"/>
  <c r="E48" i="5" s="1"/>
  <c r="L24" i="26" s="1"/>
  <c r="C49" i="5"/>
  <c r="E49" i="5" s="1"/>
  <c r="L25" i="26" s="1"/>
  <c r="B50" i="5"/>
  <c r="C50" i="5"/>
  <c r="D16" i="5"/>
  <c r="F28" i="5"/>
  <c r="M11" i="26"/>
  <c r="K15" i="5"/>
  <c r="L29" i="5"/>
  <c r="G46" i="5"/>
  <c r="K45" i="5"/>
  <c r="L14" i="5"/>
  <c r="G29" i="5"/>
  <c r="L33" i="5"/>
  <c r="M22" i="26"/>
  <c r="M25" i="26"/>
  <c r="L39" i="5"/>
  <c r="F32" i="5"/>
  <c r="F48" i="5"/>
  <c r="F35" i="5"/>
  <c r="G44" i="5"/>
  <c r="M17" i="26"/>
  <c r="L36" i="5"/>
  <c r="F42" i="5"/>
  <c r="M19" i="26"/>
  <c r="K46" i="5"/>
  <c r="F5" i="5"/>
  <c r="L11" i="5"/>
  <c r="F31" i="5"/>
  <c r="K28" i="5"/>
  <c r="L44" i="5"/>
  <c r="L13" i="5"/>
  <c r="K42" i="5"/>
  <c r="G49" i="5"/>
  <c r="L12" i="5"/>
  <c r="A17" i="5"/>
  <c r="L15" i="5"/>
  <c r="K33" i="5"/>
  <c r="F6" i="5"/>
  <c r="L40" i="5"/>
  <c r="K37" i="5"/>
  <c r="G38" i="5"/>
  <c r="F46" i="5"/>
  <c r="F8" i="5"/>
  <c r="M20" i="26"/>
  <c r="G32" i="5"/>
  <c r="K8" i="5"/>
  <c r="F43" i="5"/>
  <c r="F45" i="5"/>
  <c r="M14" i="26"/>
  <c r="G42" i="5"/>
  <c r="K36" i="5"/>
  <c r="G45" i="5"/>
  <c r="L9" i="5"/>
  <c r="G36" i="5"/>
  <c r="F13" i="5"/>
  <c r="M24" i="26"/>
  <c r="L5" i="5"/>
  <c r="G41" i="5"/>
  <c r="K6" i="5"/>
  <c r="L45" i="5"/>
  <c r="K34" i="5"/>
  <c r="M12" i="26"/>
  <c r="F39" i="5"/>
  <c r="L35" i="5"/>
  <c r="L30" i="5"/>
  <c r="K10" i="5"/>
  <c r="K29" i="5"/>
  <c r="F4" i="5"/>
  <c r="K40" i="5"/>
  <c r="F37" i="5"/>
  <c r="F10" i="5"/>
  <c r="M15" i="26"/>
  <c r="G43" i="5"/>
  <c r="G30" i="5"/>
  <c r="K48" i="5"/>
  <c r="K12" i="5"/>
  <c r="F29" i="5"/>
  <c r="F49" i="5"/>
  <c r="K3" i="5"/>
  <c r="L41" i="5"/>
  <c r="M21" i="26"/>
  <c r="G31" i="5"/>
  <c r="K13" i="5"/>
  <c r="G35" i="5"/>
  <c r="K9" i="5"/>
  <c r="F12" i="5"/>
  <c r="F3" i="5"/>
  <c r="G28" i="5"/>
  <c r="L46" i="5"/>
  <c r="G33" i="5"/>
  <c r="K14" i="5"/>
  <c r="F7" i="5"/>
  <c r="M13" i="26"/>
  <c r="K49" i="5"/>
  <c r="K35" i="5"/>
  <c r="F40" i="5"/>
  <c r="L43" i="5"/>
  <c r="L48" i="5"/>
  <c r="F38" i="5"/>
  <c r="M16" i="26"/>
  <c r="K32" i="5"/>
  <c r="K7" i="5"/>
  <c r="L3" i="5"/>
  <c r="G40" i="5"/>
  <c r="G48" i="5"/>
  <c r="K31" i="5"/>
  <c r="L42" i="5"/>
  <c r="F41" i="5"/>
  <c r="M18" i="26"/>
  <c r="F11" i="5"/>
  <c r="G39" i="5"/>
  <c r="L31" i="5"/>
  <c r="K39" i="5"/>
  <c r="F47" i="5"/>
  <c r="L47" i="5"/>
  <c r="F30" i="5"/>
  <c r="F34" i="5"/>
  <c r="G47" i="5"/>
  <c r="L34" i="5"/>
  <c r="K43" i="5"/>
  <c r="L38" i="5"/>
  <c r="F9" i="5"/>
  <c r="G34" i="5"/>
  <c r="L32" i="5"/>
  <c r="K47" i="5"/>
  <c r="K11" i="5"/>
  <c r="F15" i="5"/>
  <c r="F44" i="5"/>
  <c r="L10" i="5"/>
  <c r="F33" i="5"/>
  <c r="K38" i="5"/>
  <c r="K4" i="5"/>
  <c r="L49" i="5"/>
  <c r="F14" i="5"/>
  <c r="G37" i="5"/>
  <c r="F36" i="5"/>
  <c r="L7" i="5"/>
  <c r="L6" i="5"/>
  <c r="L37" i="5"/>
  <c r="L28" i="5"/>
  <c r="L8" i="5"/>
  <c r="K44" i="5"/>
  <c r="L4" i="5"/>
  <c r="K30" i="5"/>
  <c r="M23" i="26"/>
  <c r="K5" i="5"/>
  <c r="K41" i="5"/>
  <c r="E16" i="5" l="1"/>
  <c r="E50" i="5"/>
  <c r="L26" i="26" s="1"/>
  <c r="B51" i="5"/>
  <c r="C51" i="5"/>
  <c r="M26" i="26"/>
  <c r="G16" i="5"/>
  <c r="G50" i="5"/>
  <c r="L16" i="5"/>
  <c r="A18" i="5"/>
  <c r="F50" i="5"/>
  <c r="F16" i="5"/>
  <c r="D17" i="5"/>
  <c r="K16" i="5"/>
  <c r="L50" i="5"/>
  <c r="K50" i="5"/>
  <c r="E17" i="5" l="1"/>
  <c r="E51" i="5"/>
  <c r="L27" i="26" s="1"/>
  <c r="B52" i="5"/>
  <c r="C52" i="5"/>
  <c r="M27" i="26"/>
  <c r="A19" i="5"/>
  <c r="F17" i="5"/>
  <c r="K51" i="5"/>
  <c r="K17" i="5"/>
  <c r="L51" i="5"/>
  <c r="F51" i="5"/>
  <c r="L17" i="5"/>
  <c r="G51" i="5"/>
  <c r="D18" i="5"/>
  <c r="G17" i="5"/>
  <c r="E18" i="5" l="1"/>
  <c r="E52" i="5"/>
  <c r="L28" i="26" s="1"/>
  <c r="B53" i="5"/>
  <c r="C53" i="5"/>
  <c r="M28" i="26"/>
  <c r="K18" i="5"/>
  <c r="D19" i="5"/>
  <c r="G52" i="5"/>
  <c r="F52" i="5"/>
  <c r="A20" i="5"/>
  <c r="F18" i="5"/>
  <c r="K52" i="5"/>
  <c r="L18" i="5"/>
  <c r="L52" i="5"/>
  <c r="G18" i="5"/>
  <c r="E19" i="5" l="1"/>
  <c r="E53" i="5"/>
  <c r="L29" i="26" s="1"/>
  <c r="B54" i="5"/>
  <c r="C54" i="5"/>
  <c r="M29" i="26"/>
  <c r="A21" i="5"/>
  <c r="D20" i="5"/>
  <c r="G53" i="5"/>
  <c r="L19" i="5"/>
  <c r="K53" i="5"/>
  <c r="K19" i="5"/>
  <c r="L53" i="5"/>
  <c r="F19" i="5"/>
  <c r="G19" i="5"/>
  <c r="F53" i="5"/>
  <c r="A22" i="5"/>
  <c r="A23" i="5" s="1"/>
  <c r="E20" i="5" l="1"/>
  <c r="E54" i="5"/>
  <c r="L30" i="26" s="1"/>
  <c r="B55" i="5"/>
  <c r="C55" i="5"/>
  <c r="A24" i="5"/>
  <c r="G54" i="5"/>
  <c r="L20" i="5"/>
  <c r="G20" i="5"/>
  <c r="A25" i="5"/>
  <c r="K54" i="5"/>
  <c r="D22" i="5"/>
  <c r="D23" i="5"/>
  <c r="F20" i="5"/>
  <c r="L54" i="5"/>
  <c r="D21" i="5"/>
  <c r="M30" i="26"/>
  <c r="K20" i="5"/>
  <c r="F54" i="5"/>
  <c r="E22" i="5" l="1"/>
  <c r="E21" i="5"/>
  <c r="E23" i="5"/>
  <c r="E55" i="5"/>
  <c r="L31" i="26" s="1"/>
  <c r="B56" i="5"/>
  <c r="C56" i="5"/>
  <c r="K21" i="5"/>
  <c r="A26" i="5"/>
  <c r="F21" i="5"/>
  <c r="L22" i="5"/>
  <c r="L55" i="5"/>
  <c r="G23" i="5"/>
  <c r="K22" i="5"/>
  <c r="F55" i="5"/>
  <c r="K55" i="5"/>
  <c r="G22" i="5"/>
  <c r="D25" i="5"/>
  <c r="F22" i="5"/>
  <c r="G21" i="5"/>
  <c r="K23" i="5"/>
  <c r="L23" i="5"/>
  <c r="D24" i="5"/>
  <c r="L21" i="5"/>
  <c r="D26" i="5"/>
  <c r="M31" i="26"/>
  <c r="G55" i="5"/>
  <c r="F23" i="5"/>
  <c r="E24" i="5" l="1"/>
  <c r="E25" i="5"/>
  <c r="E26" i="5"/>
  <c r="E56" i="5"/>
  <c r="L32" i="26" s="1"/>
  <c r="B57" i="5"/>
  <c r="C57" i="5"/>
  <c r="F24" i="5"/>
  <c r="A27" i="5"/>
  <c r="K24" i="5"/>
  <c r="G25" i="5"/>
  <c r="L56" i="5"/>
  <c r="L26" i="5"/>
  <c r="F26" i="5"/>
  <c r="G56" i="5"/>
  <c r="K26" i="5"/>
  <c r="M32" i="26"/>
  <c r="K25" i="5"/>
  <c r="F25" i="5"/>
  <c r="G24" i="5"/>
  <c r="L25" i="5"/>
  <c r="G26" i="5"/>
  <c r="L24" i="5"/>
  <c r="F56" i="5"/>
  <c r="K56" i="5"/>
  <c r="E57" i="5" l="1"/>
  <c r="L33" i="26" s="1"/>
  <c r="B58" i="5"/>
  <c r="C58" i="5"/>
  <c r="M33" i="26"/>
  <c r="L57" i="5"/>
  <c r="D27" i="5"/>
  <c r="K57" i="5"/>
  <c r="F57" i="5"/>
  <c r="G57" i="5"/>
  <c r="E27" i="5" l="1"/>
  <c r="E58" i="5"/>
  <c r="L34" i="26" s="1"/>
  <c r="B59" i="5"/>
  <c r="C59" i="5"/>
  <c r="M34" i="26"/>
  <c r="G58" i="5"/>
  <c r="F27" i="5"/>
  <c r="L27" i="5"/>
  <c r="K27" i="5"/>
  <c r="G27" i="5"/>
  <c r="L58" i="5"/>
  <c r="K58" i="5"/>
  <c r="F58" i="5"/>
  <c r="E59" i="5" l="1"/>
  <c r="L35" i="26" s="1"/>
  <c r="B60" i="5"/>
  <c r="C60" i="5"/>
  <c r="M35" i="26"/>
  <c r="L59" i="5"/>
  <c r="G59" i="5"/>
  <c r="F59" i="5"/>
  <c r="K59" i="5"/>
  <c r="E60" i="5" l="1"/>
  <c r="L36" i="26" s="1"/>
  <c r="B61" i="5"/>
  <c r="C61" i="5"/>
  <c r="M36" i="26"/>
  <c r="L60" i="5"/>
  <c r="K60" i="5"/>
  <c r="G60" i="5"/>
  <c r="F60" i="5"/>
  <c r="E61" i="5" l="1"/>
  <c r="L37" i="26" s="1"/>
  <c r="B62" i="5"/>
  <c r="C62" i="5"/>
  <c r="M37" i="26"/>
  <c r="L61" i="5"/>
  <c r="F61" i="5"/>
  <c r="G61" i="5"/>
  <c r="K61" i="5"/>
  <c r="E62" i="5" l="1"/>
  <c r="L38" i="26" s="1"/>
  <c r="M38" i="26"/>
  <c r="K62" i="5"/>
  <c r="L62" i="5"/>
  <c r="G62" i="5"/>
  <c r="F62" i="5"/>
  <c r="H62" i="5" l="1"/>
  <c r="B63" i="5"/>
  <c r="C63" i="5"/>
  <c r="E63" i="5" l="1"/>
  <c r="L39" i="26" s="1"/>
  <c r="K63" i="5"/>
  <c r="M39" i="26"/>
  <c r="F63" i="5"/>
  <c r="L63" i="5"/>
  <c r="G63" i="5"/>
  <c r="H63" i="5" l="1"/>
  <c r="B64" i="5"/>
  <c r="C64" i="5"/>
  <c r="E64" i="5" l="1"/>
  <c r="L64" i="5"/>
  <c r="K64" i="5"/>
  <c r="F64" i="5"/>
  <c r="G64" i="5"/>
  <c r="H64" i="5" l="1"/>
  <c r="B65" i="5"/>
  <c r="C65" i="5"/>
  <c r="E65" i="5" l="1"/>
  <c r="F65" i="5"/>
  <c r="L65" i="5"/>
  <c r="G65" i="5"/>
  <c r="K65" i="5"/>
  <c r="H65" i="5" l="1"/>
  <c r="B66" i="5"/>
  <c r="C66" i="5"/>
  <c r="E66" i="5" l="1"/>
  <c r="L40" i="26" s="1"/>
  <c r="M40" i="26"/>
  <c r="G66" i="5"/>
  <c r="L66" i="5"/>
  <c r="F66" i="5"/>
  <c r="K66" i="5"/>
  <c r="H66" i="5" l="1"/>
  <c r="B67" i="5"/>
  <c r="C67" i="5"/>
  <c r="E67" i="5" l="1"/>
  <c r="L67" i="5"/>
  <c r="K67" i="5"/>
  <c r="G67" i="5"/>
  <c r="F67" i="5"/>
  <c r="H67" i="5" l="1"/>
  <c r="B68" i="5"/>
  <c r="C68" i="5"/>
  <c r="E68" i="5" l="1"/>
  <c r="K68" i="5"/>
  <c r="F68" i="5"/>
  <c r="L68" i="5"/>
  <c r="G68" i="5"/>
  <c r="H68" i="5" l="1"/>
  <c r="B69" i="5"/>
  <c r="C69" i="5"/>
  <c r="E69" i="5" l="1"/>
  <c r="G69" i="5"/>
  <c r="L69" i="5"/>
  <c r="K69" i="5"/>
  <c r="F69" i="5"/>
  <c r="H69" i="5" l="1"/>
  <c r="B70" i="5"/>
  <c r="C70" i="5"/>
  <c r="E70" i="5" l="1"/>
  <c r="K70" i="5"/>
  <c r="L70" i="5"/>
  <c r="G70" i="5"/>
  <c r="F70" i="5"/>
  <c r="H70" i="5" l="1"/>
  <c r="B71" i="5"/>
  <c r="C71" i="5"/>
  <c r="E71" i="5" l="1"/>
  <c r="L41" i="26" s="1"/>
  <c r="M41" i="26"/>
  <c r="L71" i="5"/>
  <c r="G71" i="5"/>
  <c r="K71" i="5"/>
  <c r="F71" i="5"/>
  <c r="H71" i="5" l="1"/>
  <c r="B72" i="5"/>
  <c r="C72" i="5"/>
  <c r="E72" i="5" l="1"/>
  <c r="L72" i="5"/>
  <c r="G72" i="5"/>
  <c r="F72" i="5"/>
  <c r="K72" i="5"/>
  <c r="H72" i="5" l="1"/>
  <c r="B73" i="5"/>
  <c r="C73" i="5"/>
  <c r="B74" i="5"/>
  <c r="C74" i="5"/>
  <c r="E73" i="5" l="1"/>
  <c r="E74" i="5"/>
  <c r="K74" i="5"/>
  <c r="G73" i="5"/>
  <c r="F74" i="5"/>
  <c r="K73" i="5"/>
  <c r="L73" i="5"/>
  <c r="L74" i="5"/>
  <c r="G74" i="5"/>
  <c r="F73" i="5"/>
  <c r="H73" i="5" l="1"/>
  <c r="H74" i="5"/>
  <c r="B75" i="5"/>
  <c r="C75" i="5"/>
  <c r="E75" i="5" l="1"/>
  <c r="G75" i="5"/>
  <c r="F75" i="5"/>
  <c r="K75" i="5"/>
  <c r="L75" i="5"/>
  <c r="H75" i="5" l="1"/>
  <c r="B76" i="5"/>
  <c r="C76" i="5"/>
  <c r="E76" i="5" l="1"/>
  <c r="L42" i="26" s="1"/>
  <c r="M42" i="26"/>
  <c r="F76" i="5"/>
  <c r="L76" i="5"/>
  <c r="K76" i="5"/>
  <c r="G76" i="5"/>
  <c r="H76" i="5" l="1"/>
  <c r="B77" i="5"/>
  <c r="C77" i="5"/>
  <c r="E77" i="5" l="1"/>
  <c r="L77" i="5"/>
  <c r="F77" i="5"/>
  <c r="K77" i="5"/>
  <c r="G77" i="5"/>
  <c r="H77" i="5" l="1"/>
  <c r="B78" i="5"/>
  <c r="C78" i="5"/>
  <c r="E78" i="5" l="1"/>
  <c r="F78" i="5"/>
  <c r="L78" i="5"/>
  <c r="G78" i="5"/>
  <c r="K78" i="5"/>
  <c r="H78" i="5" l="1"/>
  <c r="B79" i="5"/>
  <c r="C79" i="5"/>
  <c r="E79" i="5" l="1"/>
  <c r="K79" i="5"/>
  <c r="L79" i="5"/>
  <c r="F79" i="5"/>
  <c r="G79" i="5"/>
  <c r="H79" i="5" l="1"/>
  <c r="B80" i="5"/>
  <c r="C80" i="5"/>
  <c r="E80" i="5" l="1"/>
  <c r="L80" i="5"/>
  <c r="G80" i="5"/>
  <c r="K80" i="5"/>
  <c r="F80" i="5"/>
  <c r="H80" i="5" l="1"/>
  <c r="B81" i="5"/>
  <c r="C81" i="5"/>
  <c r="B82" i="5"/>
  <c r="C82" i="5"/>
  <c r="E81" i="5" l="1"/>
  <c r="L43" i="26" s="1"/>
  <c r="E82" i="5"/>
  <c r="F81" i="5"/>
  <c r="K81" i="5"/>
  <c r="L81" i="5"/>
  <c r="G81" i="5"/>
  <c r="K82" i="5"/>
  <c r="M43" i="26"/>
  <c r="F82" i="5"/>
  <c r="G82" i="5"/>
  <c r="L82" i="5"/>
  <c r="H81" i="5" l="1"/>
  <c r="H82" i="5"/>
  <c r="B83" i="5"/>
  <c r="C83" i="5"/>
  <c r="E83" i="5" l="1"/>
  <c r="L44" i="26" s="1"/>
  <c r="M44" i="26"/>
  <c r="L83" i="5"/>
  <c r="G83" i="5"/>
  <c r="F83" i="5"/>
  <c r="K83" i="5"/>
  <c r="H83" i="5" l="1"/>
  <c r="B84" i="5"/>
  <c r="C84" i="5"/>
  <c r="E84" i="5" l="1"/>
  <c r="L45" i="26" s="1"/>
  <c r="M45" i="26"/>
  <c r="K84" i="5"/>
  <c r="G84" i="5"/>
  <c r="F84" i="5"/>
  <c r="L84" i="5"/>
  <c r="H84" i="5" l="1"/>
  <c r="B85" i="5"/>
  <c r="C85" i="5"/>
  <c r="E85" i="5" l="1"/>
  <c r="L46" i="26" s="1"/>
  <c r="M46" i="26"/>
  <c r="K85" i="5"/>
  <c r="F85" i="5"/>
  <c r="G85" i="5"/>
  <c r="L85" i="5"/>
  <c r="H85" i="5" l="1"/>
  <c r="B86" i="5"/>
  <c r="C86" i="5"/>
  <c r="E86" i="5" l="1"/>
  <c r="F86" i="5"/>
  <c r="K86" i="5"/>
  <c r="L86" i="5"/>
  <c r="G86" i="5"/>
  <c r="H86" i="5" l="1"/>
  <c r="B87" i="5"/>
  <c r="C87" i="5"/>
  <c r="B88" i="5"/>
  <c r="C88" i="5"/>
  <c r="E87" i="5" l="1"/>
  <c r="E88" i="5"/>
  <c r="K87" i="5"/>
  <c r="K88" i="5"/>
  <c r="G87" i="5"/>
  <c r="G88" i="5"/>
  <c r="F87" i="5"/>
  <c r="L88" i="5"/>
  <c r="F88" i="5"/>
  <c r="L87" i="5"/>
  <c r="H87" i="5" l="1"/>
  <c r="H88" i="5"/>
  <c r="B89" i="5"/>
  <c r="C89" i="5"/>
  <c r="E89" i="5" l="1"/>
  <c r="F89" i="5"/>
  <c r="K89" i="5"/>
  <c r="L89" i="5"/>
  <c r="G89" i="5"/>
  <c r="H89" i="5" l="1"/>
  <c r="B90" i="5"/>
  <c r="C90" i="5"/>
  <c r="E90" i="5" l="1"/>
  <c r="F90" i="5"/>
  <c r="L90" i="5"/>
  <c r="G90" i="5"/>
  <c r="K90" i="5"/>
  <c r="H90" i="5" l="1"/>
  <c r="B91" i="5"/>
  <c r="C91" i="5"/>
  <c r="E91" i="5" l="1"/>
  <c r="G91" i="5"/>
  <c r="K91" i="5"/>
  <c r="F91" i="5"/>
  <c r="L91" i="5"/>
  <c r="H91" i="5" l="1"/>
  <c r="B92" i="5"/>
  <c r="C92" i="5"/>
  <c r="B93" i="5"/>
  <c r="C93" i="5"/>
  <c r="E92" i="5" l="1"/>
  <c r="E93" i="5"/>
  <c r="F93" i="5"/>
  <c r="G93" i="5"/>
  <c r="L92" i="5"/>
  <c r="L93" i="5"/>
  <c r="K92" i="5"/>
  <c r="K93" i="5"/>
  <c r="G92" i="5"/>
  <c r="F92" i="5"/>
  <c r="H92" i="5" l="1"/>
  <c r="H93" i="5"/>
  <c r="B94" i="5"/>
  <c r="C94" i="5"/>
  <c r="E94" i="5" l="1"/>
  <c r="K94" i="5"/>
  <c r="G94" i="5"/>
  <c r="L94" i="5"/>
  <c r="F94" i="5"/>
  <c r="H94" i="5" l="1"/>
  <c r="B95" i="5"/>
  <c r="C95" i="5"/>
  <c r="B96" i="5"/>
  <c r="C96" i="5"/>
  <c r="E95" i="5" l="1"/>
  <c r="E96" i="5"/>
  <c r="F96" i="5"/>
  <c r="G96" i="5"/>
  <c r="K96" i="5"/>
  <c r="L95" i="5"/>
  <c r="K95" i="5"/>
  <c r="G95" i="5"/>
  <c r="F95" i="5"/>
  <c r="L96" i="5"/>
  <c r="H95" i="5" l="1"/>
  <c r="H96" i="5"/>
  <c r="B97" i="5"/>
  <c r="C97" i="5"/>
  <c r="E97" i="5" l="1"/>
  <c r="K97" i="5"/>
  <c r="L97" i="5"/>
  <c r="F97" i="5"/>
  <c r="G97" i="5"/>
  <c r="H97" i="5" l="1"/>
  <c r="B98" i="5"/>
  <c r="C98" i="5"/>
  <c r="E98" i="5" l="1"/>
  <c r="G98" i="5"/>
  <c r="L98" i="5"/>
  <c r="F98" i="5"/>
  <c r="K98" i="5"/>
  <c r="H98" i="5" l="1"/>
  <c r="B99" i="5"/>
  <c r="C99" i="5"/>
  <c r="E99" i="5" l="1"/>
  <c r="F99" i="5"/>
  <c r="K99" i="5"/>
  <c r="G99" i="5"/>
  <c r="L99" i="5"/>
  <c r="H99" i="5" l="1"/>
  <c r="B100" i="5"/>
  <c r="C100" i="5"/>
  <c r="E100" i="5" l="1"/>
  <c r="G100" i="5"/>
  <c r="K100" i="5"/>
  <c r="L100" i="5"/>
  <c r="F100" i="5"/>
  <c r="H100" i="5" l="1"/>
  <c r="B101" i="5"/>
  <c r="C101" i="5"/>
  <c r="E101" i="5" l="1"/>
  <c r="L101" i="5"/>
  <c r="G101" i="5"/>
  <c r="F101" i="5"/>
  <c r="K101" i="5"/>
  <c r="H101" i="5" l="1"/>
  <c r="B102" i="5"/>
  <c r="C102" i="5"/>
  <c r="E102" i="5" l="1"/>
  <c r="L102" i="5"/>
  <c r="F102" i="5"/>
  <c r="K102" i="5"/>
  <c r="G102" i="5"/>
  <c r="H102" i="5" l="1"/>
  <c r="B103" i="5"/>
  <c r="C103" i="5"/>
  <c r="E103" i="5" l="1"/>
  <c r="G103" i="5"/>
  <c r="F103" i="5"/>
  <c r="L103" i="5"/>
  <c r="K103" i="5"/>
  <c r="H103" i="5" l="1"/>
  <c r="B104" i="5"/>
  <c r="C104" i="5"/>
  <c r="B105" i="5"/>
  <c r="C105" i="5"/>
  <c r="E104" i="5" l="1"/>
  <c r="E105" i="5"/>
  <c r="L105" i="5"/>
  <c r="K104" i="5"/>
  <c r="F105" i="5"/>
  <c r="K105" i="5"/>
  <c r="G104" i="5"/>
  <c r="L104" i="5"/>
  <c r="F104" i="5"/>
  <c r="G105" i="5"/>
  <c r="H104" i="5" l="1"/>
  <c r="H105" i="5"/>
  <c r="B106" i="5"/>
  <c r="C106" i="5"/>
  <c r="E106" i="5" l="1"/>
  <c r="L106" i="5"/>
  <c r="G106" i="5"/>
  <c r="F106" i="5"/>
  <c r="K106" i="5"/>
  <c r="H106" i="5" l="1"/>
  <c r="B107" i="5"/>
  <c r="C107" i="5"/>
  <c r="B108" i="5"/>
  <c r="C108" i="5"/>
  <c r="E107" i="5" l="1"/>
  <c r="E108" i="5"/>
  <c r="F107" i="5"/>
  <c r="K108" i="5"/>
  <c r="L108" i="5"/>
  <c r="F108" i="5"/>
  <c r="K107" i="5"/>
  <c r="G108" i="5"/>
  <c r="L107" i="5"/>
  <c r="G107" i="5"/>
  <c r="H107" i="5" l="1"/>
  <c r="H108" i="5"/>
  <c r="B109" i="5"/>
  <c r="C109" i="5"/>
  <c r="E109" i="5" l="1"/>
  <c r="L109" i="5"/>
  <c r="F109" i="5"/>
  <c r="K109" i="5"/>
  <c r="G109" i="5"/>
  <c r="H109" i="5" l="1"/>
  <c r="B110" i="5"/>
  <c r="C110" i="5"/>
  <c r="E110" i="5" l="1"/>
  <c r="K110" i="5"/>
  <c r="F110" i="5"/>
  <c r="L110" i="5"/>
  <c r="G110" i="5"/>
  <c r="H110" i="5" l="1"/>
  <c r="B111" i="5"/>
  <c r="C111" i="5"/>
  <c r="E111" i="5" l="1"/>
  <c r="G111" i="5"/>
  <c r="K111" i="5"/>
  <c r="F111" i="5"/>
  <c r="L111" i="5"/>
  <c r="H111" i="5" l="1"/>
  <c r="B112" i="5"/>
  <c r="C112" i="5"/>
  <c r="E112" i="5" l="1"/>
  <c r="F112" i="5"/>
  <c r="K112" i="5"/>
  <c r="L112" i="5"/>
  <c r="G112" i="5"/>
  <c r="H112" i="5" l="1"/>
  <c r="B113" i="5"/>
  <c r="C113" i="5"/>
  <c r="E113" i="5" l="1"/>
  <c r="G113" i="5"/>
  <c r="L113" i="5"/>
  <c r="F113" i="5"/>
  <c r="K113" i="5"/>
  <c r="H113" i="5" l="1"/>
  <c r="B114" i="5"/>
  <c r="C114" i="5"/>
  <c r="B115" i="5"/>
  <c r="C115" i="5"/>
  <c r="B116" i="5"/>
  <c r="C116" i="5"/>
  <c r="E114" i="5" l="1"/>
  <c r="E115" i="5"/>
  <c r="E116" i="5"/>
  <c r="G114" i="5"/>
  <c r="F115" i="5"/>
  <c r="G116" i="5"/>
  <c r="L116" i="5"/>
  <c r="K115" i="5"/>
  <c r="F116" i="5"/>
  <c r="L114" i="5"/>
  <c r="L115" i="5"/>
  <c r="K114" i="5"/>
  <c r="F114" i="5"/>
  <c r="G115" i="5"/>
  <c r="K116" i="5"/>
  <c r="H114" i="5" l="1"/>
  <c r="H115" i="5"/>
  <c r="H116" i="5"/>
  <c r="B117" i="5"/>
  <c r="C117" i="5"/>
  <c r="E117" i="5" l="1"/>
  <c r="L117" i="5"/>
  <c r="G117" i="5"/>
  <c r="K117" i="5"/>
  <c r="F117" i="5"/>
  <c r="H117" i="5" l="1"/>
  <c r="B118" i="5"/>
  <c r="C118" i="5"/>
  <c r="E118" i="5" l="1"/>
  <c r="K118" i="5"/>
  <c r="F118" i="5"/>
  <c r="G118" i="5"/>
  <c r="L118" i="5"/>
  <c r="H118" i="5" l="1"/>
  <c r="B119" i="5"/>
  <c r="C119" i="5"/>
  <c r="E119" i="5" l="1"/>
  <c r="F119" i="5"/>
  <c r="G119" i="5"/>
  <c r="K119" i="5"/>
  <c r="L119" i="5"/>
  <c r="H119" i="5" l="1"/>
  <c r="B120" i="5"/>
  <c r="C120" i="5"/>
  <c r="E120" i="5" l="1"/>
  <c r="G120" i="5"/>
  <c r="L120" i="5"/>
  <c r="K120" i="5"/>
  <c r="F120" i="5"/>
  <c r="H120" i="5" l="1"/>
  <c r="B121" i="5"/>
  <c r="C121" i="5"/>
  <c r="B122" i="5"/>
  <c r="C122" i="5"/>
  <c r="E121" i="5" l="1"/>
  <c r="E122" i="5"/>
  <c r="G122" i="5"/>
  <c r="K121" i="5"/>
  <c r="F121" i="5"/>
  <c r="L122" i="5"/>
  <c r="G121" i="5"/>
  <c r="F122" i="5"/>
  <c r="L121" i="5"/>
  <c r="K122" i="5"/>
  <c r="H121" i="5" l="1"/>
  <c r="H122"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G75" i="4"/>
  <c r="F113" i="4"/>
  <c r="G11" i="4"/>
  <c r="G90" i="4"/>
  <c r="H89" i="4"/>
  <c r="F91" i="4"/>
  <c r="F50" i="4"/>
  <c r="H117" i="4"/>
  <c r="E56" i="4"/>
  <c r="H44" i="4"/>
  <c r="E103" i="4"/>
  <c r="E72" i="4"/>
  <c r="G26" i="4"/>
  <c r="F57" i="4"/>
  <c r="H112" i="4"/>
  <c r="E62" i="4"/>
  <c r="F95" i="4"/>
  <c r="H100" i="4"/>
  <c r="H71" i="4"/>
  <c r="E114" i="4"/>
  <c r="E50" i="4"/>
  <c r="H66" i="4"/>
  <c r="H125" i="4"/>
  <c r="E70" i="4"/>
  <c r="E75" i="4"/>
  <c r="E54" i="4"/>
  <c r="E34" i="4"/>
  <c r="E39" i="4"/>
  <c r="E43" i="4"/>
  <c r="E23" i="4"/>
  <c r="G61" i="4"/>
  <c r="G79" i="4"/>
  <c r="E9" i="4"/>
  <c r="H74" i="4"/>
  <c r="F58" i="4"/>
  <c r="G13" i="4"/>
  <c r="H97" i="4"/>
  <c r="H43" i="4"/>
  <c r="H62" i="4"/>
  <c r="G86" i="4"/>
  <c r="H85" i="4"/>
  <c r="F53" i="4"/>
  <c r="E41" i="4"/>
  <c r="F11" i="4"/>
  <c r="G102" i="4"/>
  <c r="H32" i="4"/>
  <c r="H40" i="4"/>
  <c r="F27" i="4"/>
  <c r="F73" i="4"/>
  <c r="F2" i="4"/>
  <c r="H12" i="4"/>
  <c r="E12" i="4"/>
  <c r="G48" i="4"/>
  <c r="G35" i="4"/>
  <c r="E3" i="4"/>
  <c r="E119" i="4"/>
  <c r="H75" i="4"/>
  <c r="G23" i="4"/>
  <c r="E106" i="4"/>
  <c r="F42" i="4"/>
  <c r="G56" i="4"/>
  <c r="H41" i="4"/>
  <c r="G52" i="4"/>
  <c r="F81" i="4"/>
  <c r="E32" i="4"/>
  <c r="F14" i="4"/>
  <c r="E18" i="4"/>
  <c r="G9" i="4"/>
  <c r="H22" i="4"/>
  <c r="H114" i="4"/>
  <c r="G24" i="4"/>
  <c r="H53" i="4"/>
  <c r="E89" i="4"/>
  <c r="G94" i="4"/>
  <c r="H76" i="4"/>
  <c r="E123" i="4"/>
  <c r="G8" i="4"/>
  <c r="G18" i="4"/>
  <c r="G45" i="4"/>
  <c r="F93" i="4"/>
  <c r="F10" i="4"/>
  <c r="F106" i="4"/>
  <c r="G98" i="4"/>
  <c r="E82" i="4"/>
  <c r="E76" i="4"/>
  <c r="H9" i="4"/>
  <c r="E125" i="4"/>
  <c r="F60" i="4"/>
  <c r="F114" i="4"/>
  <c r="E108" i="4"/>
  <c r="H110" i="4"/>
  <c r="E42" i="4"/>
  <c r="H39" i="4"/>
  <c r="G113" i="4"/>
  <c r="G72" i="4"/>
  <c r="F121" i="4"/>
  <c r="E101" i="4"/>
  <c r="G118" i="4"/>
  <c r="E53" i="4"/>
  <c r="H17" i="4"/>
  <c r="H24" i="4"/>
  <c r="F103" i="4"/>
  <c r="H91" i="4"/>
  <c r="G57" i="4"/>
  <c r="E91" i="4"/>
  <c r="H96" i="4"/>
  <c r="G120" i="4"/>
  <c r="F71" i="4"/>
  <c r="G121" i="4"/>
  <c r="F110" i="4"/>
  <c r="F79" i="4"/>
  <c r="H67" i="4"/>
  <c r="E99" i="4"/>
  <c r="E81" i="4"/>
  <c r="E115" i="4"/>
  <c r="F118" i="4"/>
  <c r="E49" i="4"/>
  <c r="G62" i="4"/>
  <c r="H101" i="4"/>
  <c r="G69" i="4"/>
  <c r="G53" i="4"/>
  <c r="G32" i="4"/>
  <c r="H81" i="4"/>
  <c r="G43" i="4"/>
  <c r="H55" i="4"/>
  <c r="F105" i="4"/>
  <c r="F54" i="4"/>
  <c r="G84" i="4"/>
  <c r="F66" i="4"/>
  <c r="E13" i="4"/>
  <c r="H6" i="4"/>
  <c r="E14" i="4"/>
  <c r="G36" i="4"/>
  <c r="F8" i="4"/>
  <c r="E6" i="4"/>
  <c r="E57" i="4"/>
  <c r="E71" i="4"/>
  <c r="F40" i="4"/>
  <c r="G117" i="4"/>
  <c r="H95" i="4"/>
  <c r="F124" i="4"/>
  <c r="A7" i="4"/>
  <c r="E25" i="4"/>
  <c r="H104" i="4"/>
  <c r="G119" i="4"/>
  <c r="G16" i="4"/>
  <c r="G14" i="4"/>
  <c r="E31" i="4"/>
  <c r="H25" i="4"/>
  <c r="H116" i="4"/>
  <c r="F25" i="4"/>
  <c r="G3" i="4"/>
  <c r="H119" i="4"/>
  <c r="E85" i="4"/>
  <c r="F49" i="4"/>
  <c r="F44" i="4"/>
  <c r="E86" i="4"/>
  <c r="G101" i="4"/>
  <c r="E90" i="4"/>
  <c r="H93" i="4"/>
  <c r="E58" i="4"/>
  <c r="E92" i="4"/>
  <c r="F18" i="4"/>
  <c r="G38" i="4"/>
  <c r="H83" i="4"/>
  <c r="F4" i="4"/>
  <c r="G123" i="4"/>
  <c r="F68" i="4"/>
  <c r="G41" i="4"/>
  <c r="H68" i="4"/>
  <c r="G85" i="4"/>
  <c r="E100" i="4"/>
  <c r="E63" i="4"/>
  <c r="F24" i="4"/>
  <c r="G27" i="4"/>
  <c r="H4" i="4"/>
  <c r="G49" i="4"/>
  <c r="G10" i="4"/>
  <c r="E124" i="4"/>
  <c r="G108" i="4"/>
  <c r="H98" i="4"/>
  <c r="G76" i="4"/>
  <c r="E83" i="4"/>
  <c r="G17" i="4"/>
  <c r="G100" i="4"/>
  <c r="H46" i="4"/>
  <c r="G60" i="4"/>
  <c r="E5" i="4"/>
  <c r="G96" i="4"/>
  <c r="E27" i="4"/>
  <c r="G66" i="4"/>
  <c r="F17" i="4"/>
  <c r="H36" i="4"/>
  <c r="G59" i="4"/>
  <c r="G39" i="4"/>
  <c r="E20" i="4"/>
  <c r="H42" i="4"/>
  <c r="F100" i="4"/>
  <c r="F19" i="4"/>
  <c r="H82" i="4"/>
  <c r="G37" i="4"/>
  <c r="H33" i="4"/>
  <c r="F98" i="4"/>
  <c r="H50" i="4"/>
  <c r="G114" i="4"/>
  <c r="G50" i="4"/>
  <c r="F87" i="4"/>
  <c r="G15" i="4"/>
  <c r="H13" i="4"/>
  <c r="F94" i="4"/>
  <c r="H3" i="4"/>
  <c r="F77" i="4"/>
  <c r="F115" i="4"/>
  <c r="F97" i="4"/>
  <c r="E122" i="4"/>
  <c r="G40" i="4"/>
  <c r="G21" i="4"/>
  <c r="H65" i="4"/>
  <c r="H2" i="4"/>
  <c r="E121" i="4"/>
  <c r="G6" i="4"/>
  <c r="H8" i="4"/>
  <c r="H14" i="4"/>
  <c r="F125" i="4"/>
  <c r="G93" i="4"/>
  <c r="F9" i="4"/>
  <c r="E30" i="4"/>
  <c r="F101" i="4"/>
  <c r="G65" i="4"/>
  <c r="H126" i="4"/>
  <c r="F108" i="4"/>
  <c r="H52" i="4"/>
  <c r="H88" i="4"/>
  <c r="H105" i="4"/>
  <c r="F29" i="4"/>
  <c r="E116" i="4"/>
  <c r="F46" i="4"/>
  <c r="E79" i="4"/>
  <c r="G91" i="4"/>
  <c r="F6" i="4"/>
  <c r="F20" i="4"/>
  <c r="H94" i="4"/>
  <c r="G92" i="4"/>
  <c r="H34" i="4"/>
  <c r="F26" i="4"/>
  <c r="H47" i="4"/>
  <c r="F120" i="4"/>
  <c r="H61" i="4"/>
  <c r="G104" i="4"/>
  <c r="F5" i="4"/>
  <c r="G70" i="4"/>
  <c r="F96" i="4"/>
  <c r="G33" i="4"/>
  <c r="H23" i="4"/>
  <c r="E78" i="4"/>
  <c r="G30" i="4"/>
  <c r="E69" i="4"/>
  <c r="H58" i="4"/>
  <c r="B7" i="4"/>
  <c r="G63" i="4"/>
  <c r="E118" i="4"/>
  <c r="G78" i="4"/>
  <c r="E38" i="4"/>
  <c r="F63" i="4"/>
  <c r="F74" i="4"/>
  <c r="F117" i="4"/>
  <c r="E46" i="4"/>
  <c r="H29" i="4"/>
  <c r="H124" i="4"/>
  <c r="F32" i="4"/>
  <c r="G124" i="4"/>
  <c r="F45" i="4"/>
  <c r="E16" i="4"/>
  <c r="G28" i="4"/>
  <c r="H113" i="4"/>
  <c r="F109" i="4"/>
  <c r="E59" i="4"/>
  <c r="E55" i="4"/>
  <c r="G29" i="4"/>
  <c r="H120" i="4"/>
  <c r="G42" i="4"/>
  <c r="H19" i="4"/>
  <c r="H37" i="4"/>
  <c r="G125" i="4"/>
  <c r="G103" i="4"/>
  <c r="F70" i="4"/>
  <c r="H64" i="4"/>
  <c r="F38" i="4"/>
  <c r="E48" i="4"/>
  <c r="G126" i="4"/>
  <c r="H84" i="4"/>
  <c r="F7" i="4"/>
  <c r="H80" i="4"/>
  <c r="F28" i="4"/>
  <c r="E4" i="4"/>
  <c r="H118" i="4"/>
  <c r="G25" i="4"/>
  <c r="E26" i="4"/>
  <c r="F107" i="4"/>
  <c r="H18" i="4"/>
  <c r="H79" i="4"/>
  <c r="E15" i="4"/>
  <c r="H109" i="4"/>
  <c r="G12" i="4"/>
  <c r="H92" i="4"/>
  <c r="F13" i="4"/>
  <c r="E2" i="4"/>
  <c r="E102" i="4"/>
  <c r="G95" i="4"/>
  <c r="E51" i="4"/>
  <c r="E109" i="4"/>
  <c r="F52" i="4"/>
  <c r="E96" i="4"/>
  <c r="G74" i="4"/>
  <c r="F48" i="4"/>
  <c r="H28" i="4"/>
  <c r="E52" i="4"/>
  <c r="G82" i="4"/>
  <c r="F51" i="4"/>
  <c r="E120" i="4"/>
  <c r="E110" i="4"/>
  <c r="G89" i="4"/>
  <c r="E28" i="4"/>
  <c r="E24" i="4"/>
  <c r="H21" i="4"/>
  <c r="F64" i="4"/>
  <c r="E94" i="4"/>
  <c r="G31" i="4"/>
  <c r="E45" i="4"/>
  <c r="E97" i="4"/>
  <c r="F80" i="4"/>
  <c r="E105" i="4"/>
  <c r="E61" i="4"/>
  <c r="E17" i="4"/>
  <c r="F69" i="4"/>
  <c r="H59" i="4"/>
  <c r="E21" i="4"/>
  <c r="F30" i="4"/>
  <c r="H26" i="4"/>
  <c r="G20" i="4"/>
  <c r="E107" i="4"/>
  <c r="F111" i="4"/>
  <c r="F62" i="4"/>
  <c r="F84" i="4"/>
  <c r="G55" i="4"/>
  <c r="E11" i="4"/>
  <c r="H111" i="4"/>
  <c r="H108" i="4"/>
  <c r="G83" i="4"/>
  <c r="F56" i="4"/>
  <c r="E65" i="4"/>
  <c r="E68" i="4"/>
  <c r="G51" i="4"/>
  <c r="G58" i="4"/>
  <c r="E93" i="4"/>
  <c r="G73" i="4"/>
  <c r="E104" i="4"/>
  <c r="F119" i="4"/>
  <c r="E111" i="4"/>
  <c r="F126" i="4"/>
  <c r="F112" i="4"/>
  <c r="G107" i="4"/>
  <c r="F61" i="4"/>
  <c r="G111" i="4"/>
  <c r="F83" i="4"/>
  <c r="G80" i="4"/>
  <c r="H49" i="4"/>
  <c r="H30" i="4"/>
  <c r="E66" i="4"/>
  <c r="F65" i="4"/>
  <c r="H15" i="4"/>
  <c r="E8" i="4"/>
  <c r="G116" i="4"/>
  <c r="G97" i="4"/>
  <c r="F34" i="4"/>
  <c r="H123" i="4"/>
  <c r="E98" i="4"/>
  <c r="F76" i="4"/>
  <c r="E33" i="4"/>
  <c r="G109" i="4"/>
  <c r="G54" i="4"/>
  <c r="E73" i="4"/>
  <c r="F82" i="4"/>
  <c r="G7" i="4"/>
  <c r="F92" i="4"/>
  <c r="H54" i="4"/>
  <c r="E67" i="4"/>
  <c r="E126" i="4"/>
  <c r="H10" i="4"/>
  <c r="F39" i="4"/>
  <c r="E44" i="4"/>
  <c r="E29" i="4"/>
  <c r="F78" i="4"/>
  <c r="E40" i="4"/>
  <c r="G44" i="4"/>
  <c r="F33" i="4"/>
  <c r="F72" i="4"/>
  <c r="E95" i="4"/>
  <c r="E36" i="4"/>
  <c r="G22" i="4"/>
  <c r="F35" i="4"/>
  <c r="G67" i="4"/>
  <c r="E113" i="4"/>
  <c r="E10" i="4"/>
  <c r="B6" i="4"/>
  <c r="G47" i="4"/>
  <c r="G46" i="4"/>
  <c r="H121" i="4"/>
  <c r="G19" i="4"/>
  <c r="H86" i="4"/>
  <c r="H56" i="4"/>
  <c r="G87" i="4"/>
  <c r="E84" i="4"/>
  <c r="F67" i="4"/>
  <c r="F99" i="4"/>
  <c r="G110" i="4"/>
  <c r="E60" i="4"/>
  <c r="F31" i="4"/>
  <c r="G77" i="4"/>
  <c r="F47" i="4"/>
  <c r="E88" i="4"/>
  <c r="H7" i="4"/>
  <c r="H5" i="4"/>
  <c r="E64" i="4"/>
  <c r="F104" i="4"/>
  <c r="G105" i="4"/>
  <c r="G5" i="4"/>
  <c r="E47" i="4"/>
  <c r="F90" i="4"/>
  <c r="H20" i="4"/>
  <c r="F15" i="4"/>
  <c r="E35" i="4"/>
  <c r="F21" i="4"/>
  <c r="H57" i="4"/>
  <c r="G88" i="4"/>
  <c r="H78" i="4"/>
  <c r="G64" i="4"/>
  <c r="E112" i="4"/>
  <c r="H51" i="4"/>
  <c r="H35" i="4"/>
  <c r="E117" i="4"/>
  <c r="D14" i="6"/>
  <c r="H115" i="4"/>
  <c r="F41" i="4"/>
  <c r="F89" i="4"/>
  <c r="F55" i="4"/>
  <c r="H63" i="4"/>
  <c r="H102" i="4"/>
  <c r="F23" i="4"/>
  <c r="H73" i="4"/>
  <c r="G2" i="4"/>
  <c r="H69" i="4"/>
  <c r="H122" i="4"/>
  <c r="N24" i="26"/>
  <c r="H99" i="4"/>
  <c r="H48" i="4"/>
  <c r="H27" i="4"/>
  <c r="G106" i="4"/>
  <c r="H106" i="4"/>
  <c r="H107" i="4"/>
  <c r="G68" i="4"/>
  <c r="F22" i="4"/>
  <c r="H11" i="4"/>
  <c r="E80" i="4"/>
  <c r="H87" i="4"/>
  <c r="H38" i="4"/>
  <c r="F36" i="4"/>
  <c r="F59" i="4"/>
  <c r="H45" i="4"/>
  <c r="E19" i="4"/>
  <c r="F116" i="4"/>
  <c r="H16" i="4"/>
  <c r="E74" i="4"/>
  <c r="E87" i="4"/>
  <c r="F85" i="4"/>
  <c r="F88" i="4"/>
  <c r="N46" i="26"/>
  <c r="N35" i="26"/>
  <c r="H60" i="4"/>
  <c r="F123" i="4"/>
  <c r="F122" i="4"/>
  <c r="E37" i="4"/>
  <c r="G112" i="4"/>
  <c r="G81" i="4"/>
  <c r="E7" i="4"/>
  <c r="H103" i="4"/>
  <c r="F12" i="4"/>
  <c r="F102" i="4"/>
  <c r="H77" i="4"/>
  <c r="E22" i="4"/>
  <c r="F16" i="4"/>
  <c r="E77" i="4"/>
  <c r="H72" i="4"/>
  <c r="G4" i="4"/>
  <c r="G115" i="4"/>
  <c r="H90" i="4"/>
  <c r="N17" i="26"/>
  <c r="F3" i="4"/>
  <c r="F75" i="4"/>
  <c r="F37" i="4"/>
  <c r="F86" i="4"/>
  <c r="H70" i="4"/>
  <c r="G71" i="4"/>
  <c r="F43" i="4"/>
  <c r="H31" i="4"/>
  <c r="C28" i="6" s="1"/>
  <c r="G34" i="4"/>
  <c r="G99" i="4"/>
  <c r="G122" i="4"/>
  <c r="N13" i="26"/>
  <c r="N33" i="26"/>
  <c r="N40" i="26"/>
  <c r="C27" i="6"/>
  <c r="N16" i="26"/>
  <c r="N22" i="26"/>
  <c r="N32" i="26"/>
  <c r="N18" i="26"/>
  <c r="N23" i="26"/>
  <c r="N25" i="26"/>
  <c r="N38" i="26"/>
  <c r="N39" i="26"/>
  <c r="N30" i="26"/>
  <c r="N28" i="26"/>
  <c r="X9" i="26"/>
  <c r="X11" i="26" s="1" a="1"/>
  <c r="P20" i="26"/>
  <c r="P18" i="26"/>
  <c r="N31" i="26"/>
  <c r="I1" i="4" a="1"/>
  <c r="P33" i="26"/>
  <c r="P11" i="26"/>
  <c r="N42" i="26"/>
  <c r="N26" i="26"/>
  <c r="N21" i="26"/>
  <c r="N12" i="26"/>
  <c r="P28" i="26"/>
  <c r="N27" i="26"/>
  <c r="P41" i="26"/>
  <c r="N45" i="26"/>
  <c r="N15" i="26"/>
  <c r="N19" i="26"/>
  <c r="P43" i="26"/>
  <c r="N36" i="26"/>
  <c r="P21" i="26"/>
  <c r="Q21" i="26" s="1"/>
  <c r="N20" i="26"/>
  <c r="P19" i="26"/>
  <c r="N29" i="26"/>
  <c r="N43" i="26"/>
  <c r="N41" i="26"/>
  <c r="P13" i="26"/>
  <c r="P36" i="26"/>
  <c r="P39" i="26"/>
  <c r="P23" i="26"/>
  <c r="Q23" i="26" s="1"/>
  <c r="N11" i="26"/>
  <c r="N14" i="26"/>
  <c r="P46" i="26"/>
  <c r="P34" i="26"/>
  <c r="P22" i="26"/>
  <c r="P26" i="26"/>
  <c r="P14" i="26"/>
  <c r="D30" i="6"/>
  <c r="N34" i="26"/>
  <c r="N44" i="26"/>
  <c r="D15" i="6"/>
  <c r="N37" i="26"/>
  <c r="P27" i="26"/>
  <c r="P31" i="26"/>
  <c r="P30" i="26"/>
  <c r="P25" i="26"/>
  <c r="P24" i="26"/>
  <c r="P32" i="26"/>
  <c r="P40" i="26"/>
  <c r="P15" i="26"/>
  <c r="P16" i="26"/>
  <c r="P44" i="26"/>
  <c r="P12" i="26"/>
  <c r="P35" i="26"/>
  <c r="P37" i="26"/>
  <c r="P17" i="26"/>
  <c r="P38" i="26"/>
  <c r="P42" i="26"/>
  <c r="P45" i="26"/>
  <c r="P29" i="26"/>
  <c r="X11" i="26" l="1"/>
  <c r="X75" i="26"/>
  <c r="X139" i="26"/>
  <c r="X203" i="26"/>
  <c r="X267" i="26"/>
  <c r="X331" i="26"/>
  <c r="X395" i="26"/>
  <c r="X459" i="26"/>
  <c r="X523" i="26"/>
  <c r="X587" i="26"/>
  <c r="X651" i="26"/>
  <c r="X39" i="26"/>
  <c r="X112" i="26"/>
  <c r="X185" i="26"/>
  <c r="X258" i="26"/>
  <c r="X332" i="26"/>
  <c r="X405" i="26"/>
  <c r="X478" i="26"/>
  <c r="X551" i="26"/>
  <c r="X624" i="26"/>
  <c r="X40" i="26"/>
  <c r="X113" i="26"/>
  <c r="X186" i="26"/>
  <c r="X260" i="26"/>
  <c r="X333" i="26"/>
  <c r="X406" i="26"/>
  <c r="X479" i="26"/>
  <c r="X552" i="26"/>
  <c r="X625" i="26"/>
  <c r="X23" i="26"/>
  <c r="X96" i="26"/>
  <c r="X169" i="26"/>
  <c r="X242" i="26"/>
  <c r="X316" i="26"/>
  <c r="X389" i="26"/>
  <c r="X462" i="26"/>
  <c r="X535" i="26"/>
  <c r="X608" i="26"/>
  <c r="X681" i="26"/>
  <c r="X746" i="26"/>
  <c r="X72" i="26"/>
  <c r="X190" i="26"/>
  <c r="X308" i="26"/>
  <c r="X422" i="26"/>
  <c r="X540" i="26"/>
  <c r="X657" i="26"/>
  <c r="X739" i="26"/>
  <c r="X807" i="26"/>
  <c r="X871" i="26"/>
  <c r="X935" i="26"/>
  <c r="X999" i="26"/>
  <c r="X134" i="26"/>
  <c r="X265" i="26"/>
  <c r="X400" i="26"/>
  <c r="X532" i="26"/>
  <c r="X666" i="26"/>
  <c r="X755" i="26"/>
  <c r="X830" i="26"/>
  <c r="X904" i="26"/>
  <c r="X977" i="26"/>
  <c r="X1044" i="26"/>
  <c r="X1108" i="26"/>
  <c r="X1172" i="26"/>
  <c r="X1236" i="26"/>
  <c r="X1300" i="26"/>
  <c r="X1364" i="26"/>
  <c r="X1428" i="26"/>
  <c r="X1492" i="26"/>
  <c r="X1556" i="26"/>
  <c r="X1620" i="26"/>
  <c r="X1684" i="26"/>
  <c r="X1748" i="26"/>
  <c r="X110" i="26"/>
  <c r="X264" i="26"/>
  <c r="X418" i="26"/>
  <c r="X573" i="26"/>
  <c r="X707" i="26"/>
  <c r="X798" i="26"/>
  <c r="X882" i="26"/>
  <c r="X965" i="26"/>
  <c r="X1043" i="26"/>
  <c r="X1117" i="26"/>
  <c r="X1190" i="26"/>
  <c r="X1263" i="26"/>
  <c r="X1336" i="26"/>
  <c r="X19" i="26"/>
  <c r="X91" i="26"/>
  <c r="X163" i="26"/>
  <c r="X235" i="26"/>
  <c r="X307" i="26"/>
  <c r="X379" i="26"/>
  <c r="X451" i="26"/>
  <c r="X531" i="26"/>
  <c r="X603" i="26"/>
  <c r="X675" i="26"/>
  <c r="X76" i="26"/>
  <c r="X158" i="26"/>
  <c r="X240" i="26"/>
  <c r="X322" i="26"/>
  <c r="X414" i="26"/>
  <c r="X496" i="26"/>
  <c r="X578" i="26"/>
  <c r="X661" i="26"/>
  <c r="X86" i="26"/>
  <c r="X168" i="26"/>
  <c r="X250" i="26"/>
  <c r="X342" i="26"/>
  <c r="X424" i="26"/>
  <c r="X506" i="26"/>
  <c r="X589" i="26"/>
  <c r="X671" i="26"/>
  <c r="X78" i="26"/>
  <c r="X160" i="26"/>
  <c r="X252" i="26"/>
  <c r="X334" i="26"/>
  <c r="X416" i="26"/>
  <c r="X498" i="26"/>
  <c r="X581" i="26"/>
  <c r="X663" i="26"/>
  <c r="X738" i="26"/>
  <c r="X88" i="26"/>
  <c r="X218" i="26"/>
  <c r="X349" i="26"/>
  <c r="X482" i="26"/>
  <c r="X613" i="26"/>
  <c r="X720" i="26"/>
  <c r="X799" i="26"/>
  <c r="X879" i="26"/>
  <c r="X951" i="26"/>
  <c r="X47" i="26"/>
  <c r="X199" i="26"/>
  <c r="X348" i="26"/>
  <c r="X501" i="26"/>
  <c r="X649" i="26"/>
  <c r="X765" i="26"/>
  <c r="X849" i="26"/>
  <c r="X931" i="26"/>
  <c r="X1012" i="26"/>
  <c r="X1084" i="26"/>
  <c r="X1156" i="26"/>
  <c r="X1228" i="26"/>
  <c r="X1308" i="26"/>
  <c r="X1380" i="26"/>
  <c r="X1452" i="26"/>
  <c r="X1524" i="26"/>
  <c r="X1596" i="26"/>
  <c r="X1668" i="26"/>
  <c r="X1740" i="26"/>
  <c r="X128" i="26"/>
  <c r="X302" i="26"/>
  <c r="X474" i="26"/>
  <c r="X647" i="26"/>
  <c r="X767" i="26"/>
  <c r="X861" i="26"/>
  <c r="X955" i="26"/>
  <c r="X1053" i="26"/>
  <c r="X1135" i="26"/>
  <c r="X1217" i="26"/>
  <c r="X1299" i="26"/>
  <c r="X1382" i="26"/>
  <c r="X1455" i="26"/>
  <c r="X1528" i="26"/>
  <c r="X1601" i="26"/>
  <c r="X93" i="26"/>
  <c r="X246" i="26"/>
  <c r="X401" i="26"/>
  <c r="X554" i="26"/>
  <c r="X696" i="26"/>
  <c r="X789" i="26"/>
  <c r="X873" i="26"/>
  <c r="X956" i="26"/>
  <c r="X1035" i="26"/>
  <c r="X1109" i="26"/>
  <c r="X1182" i="26"/>
  <c r="X1255" i="26"/>
  <c r="X1328" i="26"/>
  <c r="X1401" i="26"/>
  <c r="X1474" i="26"/>
  <c r="X1547" i="26"/>
  <c r="X1621" i="26"/>
  <c r="X1694" i="26"/>
  <c r="X1767" i="26"/>
  <c r="X1831" i="26"/>
  <c r="X1895" i="26"/>
  <c r="X61" i="26"/>
  <c r="X210" i="26"/>
  <c r="X364" i="26"/>
  <c r="X519" i="26"/>
  <c r="X669" i="26"/>
  <c r="X769" i="26"/>
  <c r="X853" i="26"/>
  <c r="X937" i="26"/>
  <c r="X1018" i="26"/>
  <c r="X1091" i="26"/>
  <c r="X1165" i="26"/>
  <c r="X1238" i="26"/>
  <c r="X1311" i="26"/>
  <c r="X1384" i="26"/>
  <c r="X1457" i="26"/>
  <c r="X1530" i="26"/>
  <c r="X1603" i="26"/>
  <c r="X82" i="26"/>
  <c r="X328" i="26"/>
  <c r="X567" i="26"/>
  <c r="X763" i="26"/>
  <c r="X899" i="26"/>
  <c r="X1030" i="26"/>
  <c r="X1147" i="26"/>
  <c r="X1262" i="26"/>
  <c r="X1379" i="26"/>
  <c r="X1497" i="26"/>
  <c r="X1615" i="26"/>
  <c r="X1706" i="26"/>
  <c r="X1787" i="26"/>
  <c r="X1860" i="26"/>
  <c r="X1933" i="26"/>
  <c r="X1998" i="26"/>
  <c r="X2062" i="26"/>
  <c r="X2126" i="26"/>
  <c r="X2190" i="26"/>
  <c r="X2254" i="26"/>
  <c r="X2318" i="26"/>
  <c r="X2382" i="26"/>
  <c r="X2446" i="26"/>
  <c r="X2510" i="26"/>
  <c r="X2574" i="26"/>
  <c r="X2638" i="26"/>
  <c r="X2702" i="26"/>
  <c r="X2766" i="26"/>
  <c r="X2830" i="26"/>
  <c r="X2894" i="26"/>
  <c r="X2958" i="26"/>
  <c r="X3022" i="26"/>
  <c r="X3086" i="26"/>
  <c r="X3150" i="26"/>
  <c r="X3214" i="26"/>
  <c r="X3278" i="26"/>
  <c r="X3342" i="26"/>
  <c r="X3406" i="26"/>
  <c r="X3470" i="26"/>
  <c r="X3534" i="26"/>
  <c r="X207" i="26"/>
  <c r="X449" i="26"/>
  <c r="X689" i="26"/>
  <c r="X835" i="26"/>
  <c r="X970" i="26"/>
  <c r="X1088" i="26"/>
  <c r="X1206" i="26"/>
  <c r="X1323" i="26"/>
  <c r="X1441" i="26"/>
  <c r="X1559" i="26"/>
  <c r="X1665" i="26"/>
  <c r="X1750" i="26"/>
  <c r="X1825" i="26"/>
  <c r="X1898" i="26"/>
  <c r="X27" i="26"/>
  <c r="X107" i="26"/>
  <c r="X187" i="26"/>
  <c r="X275" i="26"/>
  <c r="X355" i="26"/>
  <c r="X435" i="26"/>
  <c r="X515" i="26"/>
  <c r="X611" i="26"/>
  <c r="X12" i="26"/>
  <c r="X103" i="26"/>
  <c r="X204" i="26"/>
  <c r="X295" i="26"/>
  <c r="X386" i="26"/>
  <c r="X487" i="26"/>
  <c r="X588" i="26"/>
  <c r="X22" i="26"/>
  <c r="X122" i="26"/>
  <c r="X214" i="26"/>
  <c r="X305" i="26"/>
  <c r="X397" i="26"/>
  <c r="X497" i="26"/>
  <c r="X598" i="26"/>
  <c r="X14" i="26"/>
  <c r="X114" i="26"/>
  <c r="X206" i="26"/>
  <c r="X297" i="26"/>
  <c r="X398" i="26"/>
  <c r="X489" i="26"/>
  <c r="X590" i="26"/>
  <c r="X690" i="26"/>
  <c r="X770" i="26"/>
  <c r="X145" i="26"/>
  <c r="X292" i="26"/>
  <c r="X454" i="26"/>
  <c r="X600" i="26"/>
  <c r="X729" i="26"/>
  <c r="X823" i="26"/>
  <c r="X903" i="26"/>
  <c r="X983" i="26"/>
  <c r="X148" i="26"/>
  <c r="X317" i="26"/>
  <c r="X484" i="26"/>
  <c r="X679" i="26"/>
  <c r="X785" i="26"/>
  <c r="X876" i="26"/>
  <c r="X968" i="26"/>
  <c r="X1060" i="26"/>
  <c r="X1140" i="26"/>
  <c r="X1220" i="26"/>
  <c r="X1316" i="26"/>
  <c r="X1396" i="26"/>
  <c r="X1476" i="26"/>
  <c r="X1564" i="26"/>
  <c r="X1644" i="26"/>
  <c r="X1724" i="26"/>
  <c r="X92" i="26"/>
  <c r="X321" i="26"/>
  <c r="X512" i="26"/>
  <c r="X695" i="26"/>
  <c r="X819" i="26"/>
  <c r="X924" i="26"/>
  <c r="X1025" i="26"/>
  <c r="X1126" i="26"/>
  <c r="X1226" i="26"/>
  <c r="X1318" i="26"/>
  <c r="X1409" i="26"/>
  <c r="X1491" i="26"/>
  <c r="X1574" i="26"/>
  <c r="X55" i="26"/>
  <c r="X228" i="26"/>
  <c r="X420" i="26"/>
  <c r="X592" i="26"/>
  <c r="X732" i="26"/>
  <c r="X832" i="26"/>
  <c r="X925" i="26"/>
  <c r="X1017" i="26"/>
  <c r="X1099" i="26"/>
  <c r="X1191" i="26"/>
  <c r="X1273" i="26"/>
  <c r="X1355" i="26"/>
  <c r="X1438" i="26"/>
  <c r="X1520" i="26"/>
  <c r="X1602" i="26"/>
  <c r="X1685" i="26"/>
  <c r="X1775" i="26"/>
  <c r="X1847" i="26"/>
  <c r="X1919" i="26"/>
  <c r="X136" i="26"/>
  <c r="X309" i="26"/>
  <c r="X477" i="26"/>
  <c r="X650" i="26"/>
  <c r="X780" i="26"/>
  <c r="X874" i="26"/>
  <c r="X969" i="26"/>
  <c r="X1055" i="26"/>
  <c r="X1137" i="26"/>
  <c r="X1219" i="26"/>
  <c r="X1302" i="26"/>
  <c r="X1393" i="26"/>
  <c r="X1475" i="26"/>
  <c r="X1558" i="26"/>
  <c r="X1640" i="26"/>
  <c r="X237" i="26"/>
  <c r="X509" i="26"/>
  <c r="X747" i="26"/>
  <c r="X917" i="26"/>
  <c r="X1058" i="26"/>
  <c r="X1189" i="26"/>
  <c r="X1322" i="26"/>
  <c r="X1453" i="26"/>
  <c r="X1586" i="26"/>
  <c r="X1696" i="26"/>
  <c r="X1796" i="26"/>
  <c r="X1878" i="26"/>
  <c r="X1958" i="26"/>
  <c r="X2030" i="26"/>
  <c r="X2102" i="26"/>
  <c r="X2174" i="26"/>
  <c r="X2246" i="26"/>
  <c r="X2326" i="26"/>
  <c r="X2398" i="26"/>
  <c r="X2470" i="26"/>
  <c r="X2542" i="26"/>
  <c r="X2614" i="26"/>
  <c r="X2686" i="26"/>
  <c r="X2758" i="26"/>
  <c r="X2838" i="26"/>
  <c r="X2910" i="26"/>
  <c r="X2982" i="26"/>
  <c r="X3054" i="26"/>
  <c r="X3126" i="26"/>
  <c r="X3198" i="26"/>
  <c r="X3270" i="26"/>
  <c r="X3350" i="26"/>
  <c r="X3422" i="26"/>
  <c r="X3494" i="26"/>
  <c r="X84" i="26"/>
  <c r="X357" i="26"/>
  <c r="X638" i="26"/>
  <c r="X817" i="26"/>
  <c r="X984" i="26"/>
  <c r="X1120" i="26"/>
  <c r="X1250" i="26"/>
  <c r="X1381" i="26"/>
  <c r="X1514" i="26"/>
  <c r="X1643" i="26"/>
  <c r="X1738" i="26"/>
  <c r="X1834" i="26"/>
  <c r="X1916" i="26"/>
  <c r="X1983" i="26"/>
  <c r="X2047" i="26"/>
  <c r="X2111" i="26"/>
  <c r="X2175" i="26"/>
  <c r="X2239" i="26"/>
  <c r="X2303" i="26"/>
  <c r="X2367" i="26"/>
  <c r="X2431" i="26"/>
  <c r="X2495" i="26"/>
  <c r="X2559" i="26"/>
  <c r="X2623" i="26"/>
  <c r="X2687" i="26"/>
  <c r="X2751" i="26"/>
  <c r="X2815" i="26"/>
  <c r="X2879" i="26"/>
  <c r="X2943" i="26"/>
  <c r="X3007" i="26"/>
  <c r="X3071" i="26"/>
  <c r="X3135" i="26"/>
  <c r="X3199" i="26"/>
  <c r="X3263" i="26"/>
  <c r="X3327" i="26"/>
  <c r="X3391" i="26"/>
  <c r="X3455" i="26"/>
  <c r="X3519" i="26"/>
  <c r="X181" i="26"/>
  <c r="X428" i="26"/>
  <c r="X673" i="26"/>
  <c r="X164" i="26"/>
  <c r="X559" i="26"/>
  <c r="X826" i="26"/>
  <c r="X1005" i="26"/>
  <c r="X1159" i="26"/>
  <c r="X1315" i="26"/>
  <c r="X1472" i="26"/>
  <c r="X1626" i="26"/>
  <c r="X1744" i="26"/>
  <c r="X1845" i="26"/>
  <c r="X1941" i="26"/>
  <c r="X2027" i="26"/>
  <c r="X2113" i="26"/>
  <c r="X2197" i="26"/>
  <c r="X2283" i="26"/>
  <c r="X2369" i="26"/>
  <c r="X2453" i="26"/>
  <c r="X2539" i="26"/>
  <c r="X2625" i="26"/>
  <c r="X2709" i="26"/>
  <c r="X2795" i="26"/>
  <c r="X2881" i="26"/>
  <c r="X2965" i="26"/>
  <c r="X3051" i="26"/>
  <c r="X3137" i="26"/>
  <c r="X3221" i="26"/>
  <c r="X3307" i="26"/>
  <c r="X3393" i="26"/>
  <c r="X3477" i="26"/>
  <c r="X71" i="26"/>
  <c r="X468" i="26"/>
  <c r="X786" i="26"/>
  <c r="X962" i="26"/>
  <c r="X1123" i="26"/>
  <c r="X1280" i="26"/>
  <c r="X1434" i="26"/>
  <c r="X1591" i="26"/>
  <c r="X1719" i="26"/>
  <c r="X1821" i="26"/>
  <c r="X1920" i="26"/>
  <c r="X2008" i="26"/>
  <c r="X2092" i="26"/>
  <c r="X2178" i="26"/>
  <c r="X429" i="26"/>
  <c r="X824" i="26"/>
  <c r="X1051" i="26"/>
  <c r="X1261" i="26"/>
  <c r="X1467" i="26"/>
  <c r="X1669" i="26"/>
  <c r="X1811" i="26"/>
  <c r="X1939" i="26"/>
  <c r="X2053" i="26"/>
  <c r="X2169" i="26"/>
  <c r="X2268" i="26"/>
  <c r="X2365" i="26"/>
  <c r="X2464" i="26"/>
  <c r="X2562" i="26"/>
  <c r="X2659" i="26"/>
  <c r="X2756" i="26"/>
  <c r="X2853" i="26"/>
  <c r="X2952" i="26"/>
  <c r="X3049" i="26"/>
  <c r="X3146" i="26"/>
  <c r="X3244" i="26"/>
  <c r="X3341" i="26"/>
  <c r="X3440" i="26"/>
  <c r="X3537" i="26"/>
  <c r="X236" i="26"/>
  <c r="X723" i="26"/>
  <c r="X973" i="26"/>
  <c r="X1186" i="26"/>
  <c r="X1390" i="26"/>
  <c r="X1605" i="26"/>
  <c r="X1763" i="26"/>
  <c r="X1892" i="26"/>
  <c r="X2012" i="26"/>
  <c r="X2128" i="26"/>
  <c r="X2234" i="26"/>
  <c r="X2331" i="26"/>
  <c r="X2428" i="26"/>
  <c r="X2525" i="26"/>
  <c r="X2624" i="26"/>
  <c r="X2722" i="26"/>
  <c r="X2819" i="26"/>
  <c r="X2916" i="26"/>
  <c r="X3013" i="26"/>
  <c r="X3112" i="26"/>
  <c r="X3209" i="26"/>
  <c r="X3306" i="26"/>
  <c r="X3404" i="26"/>
  <c r="X3501" i="26"/>
  <c r="X310" i="26"/>
  <c r="X772" i="26"/>
  <c r="X1010" i="26"/>
  <c r="X1214" i="26"/>
  <c r="X1423" i="26"/>
  <c r="X1653" i="26"/>
  <c r="X1800" i="26"/>
  <c r="X1928" i="26"/>
  <c r="X2043" i="26"/>
  <c r="X2157" i="26"/>
  <c r="X2259" i="26"/>
  <c r="X2356" i="26"/>
  <c r="X2456" i="26"/>
  <c r="X2553" i="26"/>
  <c r="X2650" i="26"/>
  <c r="X2747" i="26"/>
  <c r="X2844" i="26"/>
  <c r="X2941" i="26"/>
  <c r="X3040" i="26"/>
  <c r="X3138" i="26"/>
  <c r="X3235" i="26"/>
  <c r="X3332" i="26"/>
  <c r="X3429" i="26"/>
  <c r="X3539" i="26"/>
  <c r="X503" i="26"/>
  <c r="X860" i="26"/>
  <c r="X1093" i="26"/>
  <c r="X1296" i="26"/>
  <c r="X1505" i="26"/>
  <c r="X1693" i="26"/>
  <c r="X1830" i="26"/>
  <c r="X1960" i="26"/>
  <c r="X2074" i="26"/>
  <c r="X2201" i="26"/>
  <c r="X2298" i="26"/>
  <c r="X2395" i="26"/>
  <c r="X2492" i="26"/>
  <c r="X2589" i="26"/>
  <c r="X2688" i="26"/>
  <c r="X2786" i="26"/>
  <c r="X2883" i="26"/>
  <c r="X2980" i="26"/>
  <c r="X3077" i="26"/>
  <c r="X3176" i="26"/>
  <c r="X3284" i="26"/>
  <c r="X3384" i="26"/>
  <c r="X3481" i="26"/>
  <c r="X255" i="26"/>
  <c r="X740" i="26"/>
  <c r="X990" i="26"/>
  <c r="X1195" i="26"/>
  <c r="X1405" i="26"/>
  <c r="X1614" i="26"/>
  <c r="X1768" i="26"/>
  <c r="X1900" i="26"/>
  <c r="X2019" i="26"/>
  <c r="X2131" i="26"/>
  <c r="X2237" i="26"/>
  <c r="X2336" i="26"/>
  <c r="X2434" i="26"/>
  <c r="X2531" i="26"/>
  <c r="X200" i="26"/>
  <c r="X1097" i="26"/>
  <c r="X1659" i="26"/>
  <c r="X2009" i="26"/>
  <c r="X2291" i="26"/>
  <c r="X2556" i="26"/>
  <c r="X2764" i="26"/>
  <c r="X2960" i="26"/>
  <c r="X3154" i="26"/>
  <c r="X3348" i="26"/>
  <c r="X256" i="26"/>
  <c r="X2066" i="26"/>
  <c r="X35" i="26"/>
  <c r="X115" i="26"/>
  <c r="X195" i="26"/>
  <c r="X283" i="26"/>
  <c r="X43" i="26"/>
  <c r="X147" i="26"/>
  <c r="X251" i="26"/>
  <c r="X363" i="26"/>
  <c r="X467" i="26"/>
  <c r="X555" i="26"/>
  <c r="X643" i="26"/>
  <c r="X66" i="26"/>
  <c r="X176" i="26"/>
  <c r="X286" i="26"/>
  <c r="X396" i="26"/>
  <c r="X514" i="26"/>
  <c r="X615" i="26"/>
  <c r="X68" i="26"/>
  <c r="X177" i="26"/>
  <c r="X287" i="26"/>
  <c r="X388" i="26"/>
  <c r="X516" i="26"/>
  <c r="X616" i="26"/>
  <c r="X50" i="26"/>
  <c r="X151" i="26"/>
  <c r="X270" i="26"/>
  <c r="X370" i="26"/>
  <c r="X480" i="26"/>
  <c r="X599" i="26"/>
  <c r="X706" i="26"/>
  <c r="X44" i="26"/>
  <c r="X234" i="26"/>
  <c r="X393" i="26"/>
  <c r="X568" i="26"/>
  <c r="X711" i="26"/>
  <c r="X831" i="26"/>
  <c r="X919" i="26"/>
  <c r="X33" i="26"/>
  <c r="X230" i="26"/>
  <c r="X431" i="26"/>
  <c r="X618" i="26"/>
  <c r="X776" i="26"/>
  <c r="X885" i="26"/>
  <c r="X995" i="26"/>
  <c r="X1092" i="26"/>
  <c r="X1188" i="26"/>
  <c r="X1276" i="26"/>
  <c r="X1372" i="26"/>
  <c r="X1468" i="26"/>
  <c r="X1572" i="26"/>
  <c r="X1660" i="26"/>
  <c r="X1764" i="26"/>
  <c r="X208" i="26"/>
  <c r="X437" i="26"/>
  <c r="X665" i="26"/>
  <c r="X809" i="26"/>
  <c r="X934" i="26"/>
  <c r="X1062" i="26"/>
  <c r="X1162" i="26"/>
  <c r="X1272" i="26"/>
  <c r="X1373" i="26"/>
  <c r="X1473" i="26"/>
  <c r="X1565" i="26"/>
  <c r="X74" i="26"/>
  <c r="X285" i="26"/>
  <c r="X476" i="26"/>
  <c r="X668" i="26"/>
  <c r="X800" i="26"/>
  <c r="X905" i="26"/>
  <c r="X1008" i="26"/>
  <c r="X1118" i="26"/>
  <c r="X1209" i="26"/>
  <c r="X1301" i="26"/>
  <c r="X1392" i="26"/>
  <c r="X1493" i="26"/>
  <c r="X1584" i="26"/>
  <c r="X1675" i="26"/>
  <c r="X1783" i="26"/>
  <c r="X1863" i="26"/>
  <c r="X20" i="26"/>
  <c r="X229" i="26"/>
  <c r="X421" i="26"/>
  <c r="X612" i="26"/>
  <c r="X51" i="26"/>
  <c r="X155" i="26"/>
  <c r="X259" i="26"/>
  <c r="X371" i="26"/>
  <c r="X475" i="26"/>
  <c r="X563" i="26"/>
  <c r="X659" i="26"/>
  <c r="X85" i="26"/>
  <c r="X194" i="26"/>
  <c r="X304" i="26"/>
  <c r="X423" i="26"/>
  <c r="X524" i="26"/>
  <c r="X633" i="26"/>
  <c r="X77" i="26"/>
  <c r="X196" i="26"/>
  <c r="X296" i="26"/>
  <c r="X415" i="26"/>
  <c r="X525" i="26"/>
  <c r="X634" i="26"/>
  <c r="X60" i="26"/>
  <c r="X178" i="26"/>
  <c r="X279" i="26"/>
  <c r="X380" i="26"/>
  <c r="X508" i="26"/>
  <c r="X617" i="26"/>
  <c r="X714" i="26"/>
  <c r="X56" i="26"/>
  <c r="X247" i="26"/>
  <c r="X409" i="26"/>
  <c r="X584" i="26"/>
  <c r="X748" i="26"/>
  <c r="X839" i="26"/>
  <c r="X927" i="26"/>
  <c r="X64" i="26"/>
  <c r="X248" i="26"/>
  <c r="X448" i="26"/>
  <c r="X632" i="26"/>
  <c r="X794" i="26"/>
  <c r="X894" i="26"/>
  <c r="X1004" i="26"/>
  <c r="X1100" i="26"/>
  <c r="X1196" i="26"/>
  <c r="X1284" i="26"/>
  <c r="X1388" i="26"/>
  <c r="X1484" i="26"/>
  <c r="X1580" i="26"/>
  <c r="X1676" i="26"/>
  <c r="X17" i="26"/>
  <c r="X226" i="26"/>
  <c r="X456" i="26"/>
  <c r="X682" i="26"/>
  <c r="X829" i="26"/>
  <c r="X945" i="26"/>
  <c r="X1071" i="26"/>
  <c r="X1171" i="26"/>
  <c r="X1281" i="26"/>
  <c r="X1391" i="26"/>
  <c r="X1482" i="26"/>
  <c r="X1583" i="26"/>
  <c r="X111" i="26"/>
  <c r="X303" i="26"/>
  <c r="X494" i="26"/>
  <c r="X685" i="26"/>
  <c r="X810" i="26"/>
  <c r="X915" i="26"/>
  <c r="X1026" i="26"/>
  <c r="X1127" i="26"/>
  <c r="X1218" i="26"/>
  <c r="X1310" i="26"/>
  <c r="X1410" i="26"/>
  <c r="X1502" i="26"/>
  <c r="X1593" i="26"/>
  <c r="X1703" i="26"/>
  <c r="X1791" i="26"/>
  <c r="X1871" i="26"/>
  <c r="X38" i="26"/>
  <c r="X253" i="26"/>
  <c r="X440" i="26"/>
  <c r="X631" i="26"/>
  <c r="X790" i="26"/>
  <c r="X896" i="26"/>
  <c r="X1000" i="26"/>
  <c r="X1101" i="26"/>
  <c r="X1192" i="26"/>
  <c r="X1283" i="26"/>
  <c r="X59" i="26"/>
  <c r="X211" i="26"/>
  <c r="X339" i="26"/>
  <c r="X483" i="26"/>
  <c r="X595" i="26"/>
  <c r="X48" i="26"/>
  <c r="X213" i="26"/>
  <c r="X350" i="26"/>
  <c r="X469" i="26"/>
  <c r="X642" i="26"/>
  <c r="X132" i="26"/>
  <c r="X269" i="26"/>
  <c r="X433" i="26"/>
  <c r="X561" i="26"/>
  <c r="X32" i="26"/>
  <c r="X188" i="26"/>
  <c r="X325" i="26"/>
  <c r="X453" i="26"/>
  <c r="X626" i="26"/>
  <c r="X754" i="26"/>
  <c r="X174" i="26"/>
  <c r="X438" i="26"/>
  <c r="X670" i="26"/>
  <c r="X791" i="26"/>
  <c r="X943" i="26"/>
  <c r="X116" i="26"/>
  <c r="X383" i="26"/>
  <c r="X692" i="26"/>
  <c r="X821" i="26"/>
  <c r="X958" i="26"/>
  <c r="X1116" i="26"/>
  <c r="X1244" i="26"/>
  <c r="X1348" i="26"/>
  <c r="X1500" i="26"/>
  <c r="X1612" i="26"/>
  <c r="X1732" i="26"/>
  <c r="X245" i="26"/>
  <c r="X550" i="26"/>
  <c r="X778" i="26"/>
  <c r="X976" i="26"/>
  <c r="X1098" i="26"/>
  <c r="X1245" i="26"/>
  <c r="X1400" i="26"/>
  <c r="X1519" i="26"/>
  <c r="X18" i="26"/>
  <c r="X326" i="26"/>
  <c r="X574" i="26"/>
  <c r="X768" i="26"/>
  <c r="X936" i="26"/>
  <c r="X1063" i="26"/>
  <c r="X1173" i="26"/>
  <c r="X1319" i="26"/>
  <c r="X1447" i="26"/>
  <c r="X1566" i="26"/>
  <c r="X1712" i="26"/>
  <c r="X1815" i="26"/>
  <c r="X1927" i="26"/>
  <c r="X271" i="26"/>
  <c r="X537" i="26"/>
  <c r="X733" i="26"/>
  <c r="X864" i="26"/>
  <c r="X989" i="26"/>
  <c r="X1110" i="26"/>
  <c r="X1210" i="26"/>
  <c r="X1329" i="26"/>
  <c r="X1421" i="26"/>
  <c r="X1512" i="26"/>
  <c r="X1613" i="26"/>
  <c r="X175" i="26"/>
  <c r="X481" i="26"/>
  <c r="X782" i="26"/>
  <c r="X950" i="26"/>
  <c r="X1103" i="26"/>
  <c r="X1249" i="26"/>
  <c r="X1408" i="26"/>
  <c r="X1554" i="26"/>
  <c r="X1686" i="26"/>
  <c r="X1805" i="26"/>
  <c r="X1897" i="26"/>
  <c r="X1982" i="26"/>
  <c r="X2070" i="26"/>
  <c r="X2150" i="26"/>
  <c r="X2230" i="26"/>
  <c r="X2310" i="26"/>
  <c r="X2406" i="26"/>
  <c r="X2486" i="26"/>
  <c r="X2566" i="26"/>
  <c r="X2654" i="26"/>
  <c r="X2734" i="26"/>
  <c r="X2814" i="26"/>
  <c r="X2902" i="26"/>
  <c r="X2990" i="26"/>
  <c r="X3070" i="26"/>
  <c r="X3158" i="26"/>
  <c r="X3238" i="26"/>
  <c r="X3318" i="26"/>
  <c r="X3398" i="26"/>
  <c r="X3486" i="26"/>
  <c r="X119" i="26"/>
  <c r="X426" i="26"/>
  <c r="X727" i="26"/>
  <c r="X900" i="26"/>
  <c r="X1059" i="26"/>
  <c r="X1222" i="26"/>
  <c r="X1368" i="26"/>
  <c r="X1527" i="26"/>
  <c r="X1677" i="26"/>
  <c r="X1779" i="26"/>
  <c r="X1870" i="26"/>
  <c r="X1959" i="26"/>
  <c r="X2031" i="26"/>
  <c r="X2103" i="26"/>
  <c r="X2183" i="26"/>
  <c r="X2255" i="26"/>
  <c r="X2327" i="26"/>
  <c r="X2399" i="26"/>
  <c r="X2471" i="26"/>
  <c r="X2543" i="26"/>
  <c r="X2615" i="26"/>
  <c r="X2695" i="26"/>
  <c r="X2767" i="26"/>
  <c r="X2839" i="26"/>
  <c r="X2911" i="26"/>
  <c r="X2983" i="26"/>
  <c r="X3055" i="26"/>
  <c r="X3127" i="26"/>
  <c r="X3207" i="26"/>
  <c r="X3279" i="26"/>
  <c r="X3351" i="26"/>
  <c r="X3423" i="26"/>
  <c r="X3495" i="26"/>
  <c r="X120" i="26"/>
  <c r="X392" i="26"/>
  <c r="X691" i="26"/>
  <c r="X257" i="26"/>
  <c r="X699" i="26"/>
  <c r="X912" i="26"/>
  <c r="X1102" i="26"/>
  <c r="X1277" i="26"/>
  <c r="X1451" i="26"/>
  <c r="X1646" i="26"/>
  <c r="X1772" i="26"/>
  <c r="X1882" i="26"/>
  <c r="X1985" i="26"/>
  <c r="X2081" i="26"/>
  <c r="X2177" i="26"/>
  <c r="X2273" i="26"/>
  <c r="X2379" i="26"/>
  <c r="X2475" i="26"/>
  <c r="X2571" i="26"/>
  <c r="X2667" i="26"/>
  <c r="X2763" i="26"/>
  <c r="X2859" i="26"/>
  <c r="X2955" i="26"/>
  <c r="X3061" i="26"/>
  <c r="X3157" i="26"/>
  <c r="X3253" i="26"/>
  <c r="X3349" i="26"/>
  <c r="X3445" i="26"/>
  <c r="X3541" i="26"/>
  <c r="X412" i="26"/>
  <c r="X806" i="26"/>
  <c r="X1006" i="26"/>
  <c r="X1184" i="26"/>
  <c r="X1359" i="26"/>
  <c r="X1534" i="26"/>
  <c r="X1690" i="26"/>
  <c r="X1810" i="26"/>
  <c r="X1931" i="26"/>
  <c r="X2028" i="26"/>
  <c r="X2124" i="26"/>
  <c r="X157" i="26"/>
  <c r="X717" i="26"/>
  <c r="X996" i="26"/>
  <c r="X1232" i="26"/>
  <c r="X1496" i="26"/>
  <c r="X1705" i="26"/>
  <c r="X1859" i="26"/>
  <c r="X1997" i="26"/>
  <c r="X2125" i="26"/>
  <c r="X2244" i="26"/>
  <c r="X2354" i="26"/>
  <c r="X2476" i="26"/>
  <c r="X2586" i="26"/>
  <c r="X2696" i="26"/>
  <c r="X2804" i="26"/>
  <c r="X2915" i="26"/>
  <c r="X3025" i="26"/>
  <c r="X3133" i="26"/>
  <c r="X3257" i="26"/>
  <c r="X3365" i="26"/>
  <c r="X3475" i="26"/>
  <c r="X3187" i="26"/>
  <c r="X558" i="26"/>
  <c r="X910" i="26"/>
  <c r="X1158" i="26"/>
  <c r="X1422" i="26"/>
  <c r="X1651" i="26"/>
  <c r="X1812" i="26"/>
  <c r="X1956" i="26"/>
  <c r="X2084" i="26"/>
  <c r="X2210" i="26"/>
  <c r="X2320" i="26"/>
  <c r="X2441" i="26"/>
  <c r="X2552" i="26"/>
  <c r="X2660" i="26"/>
  <c r="X2770" i="26"/>
  <c r="X2880" i="26"/>
  <c r="X2989" i="26"/>
  <c r="X3099" i="26"/>
  <c r="X3220" i="26"/>
  <c r="X3331" i="26"/>
  <c r="X3441" i="26"/>
  <c r="X46" i="26"/>
  <c r="X623" i="26"/>
  <c r="X948" i="26"/>
  <c r="X1187" i="26"/>
  <c r="X1478" i="26"/>
  <c r="X1691" i="26"/>
  <c r="X1848" i="26"/>
  <c r="X1987" i="26"/>
  <c r="X2115" i="26"/>
  <c r="X2235" i="26"/>
  <c r="X2345" i="26"/>
  <c r="X2467" i="26"/>
  <c r="X2577" i="26"/>
  <c r="X2685" i="26"/>
  <c r="X2796" i="26"/>
  <c r="X2906" i="26"/>
  <c r="X3016" i="26"/>
  <c r="X3124" i="26"/>
  <c r="X3248" i="26"/>
  <c r="X3356" i="26"/>
  <c r="X3480" i="26"/>
  <c r="X254" i="26"/>
  <c r="X773" i="26"/>
  <c r="X1038" i="26"/>
  <c r="X1270" i="26"/>
  <c r="X1531" i="26"/>
  <c r="X1729" i="26"/>
  <c r="X1881" i="26"/>
  <c r="X2016" i="26"/>
  <c r="X2160" i="26"/>
  <c r="X2274" i="26"/>
  <c r="X2384" i="26"/>
  <c r="X2505" i="26"/>
  <c r="X2616" i="26"/>
  <c r="X2724" i="26"/>
  <c r="X2834" i="26"/>
  <c r="X2944" i="26"/>
  <c r="X3053" i="26"/>
  <c r="X3163" i="26"/>
  <c r="X3298" i="26"/>
  <c r="X3408" i="26"/>
  <c r="X3516" i="26"/>
  <c r="X522" i="26"/>
  <c r="X898" i="26"/>
  <c r="X1143" i="26"/>
  <c r="X1378" i="26"/>
  <c r="X1637" i="26"/>
  <c r="X1802" i="26"/>
  <c r="X1947" i="26"/>
  <c r="X2075" i="26"/>
  <c r="X2202" i="26"/>
  <c r="X2312" i="26"/>
  <c r="X2420" i="26"/>
  <c r="X2544" i="26"/>
  <c r="X538" i="26"/>
  <c r="X1312" i="26"/>
  <c r="X1840" i="26"/>
  <c r="X2194" i="26"/>
  <c r="X2488" i="26"/>
  <c r="X2739" i="26"/>
  <c r="X2984" i="26"/>
  <c r="X3203" i="26"/>
  <c r="X3421" i="26"/>
  <c r="X2970" i="26"/>
  <c r="X3217" i="26"/>
  <c r="X3299" i="26"/>
  <c r="X971" i="26"/>
  <c r="X1536" i="26"/>
  <c r="X1937" i="26"/>
  <c r="X2232" i="26"/>
  <c r="X2496" i="26"/>
  <c r="X2716" i="26"/>
  <c r="X2912" i="26"/>
  <c r="X3107" i="26"/>
  <c r="X3301" i="26"/>
  <c r="X3497" i="26"/>
  <c r="X992" i="26"/>
  <c r="X1541" i="26"/>
  <c r="X1938" i="26"/>
  <c r="X2240" i="26"/>
  <c r="X67" i="26"/>
  <c r="X219" i="26"/>
  <c r="X347" i="26"/>
  <c r="X491" i="26"/>
  <c r="X619" i="26"/>
  <c r="X57" i="26"/>
  <c r="X222" i="26"/>
  <c r="X359" i="26"/>
  <c r="X505" i="26"/>
  <c r="X652" i="26"/>
  <c r="X141" i="26"/>
  <c r="X278" i="26"/>
  <c r="X442" i="26"/>
  <c r="X570" i="26"/>
  <c r="X41" i="26"/>
  <c r="X197" i="26"/>
  <c r="X343" i="26"/>
  <c r="X471" i="26"/>
  <c r="X636" i="26"/>
  <c r="X762" i="26"/>
  <c r="X202" i="26"/>
  <c r="X466" i="26"/>
  <c r="X684" i="26"/>
  <c r="X815" i="26"/>
  <c r="X959" i="26"/>
  <c r="X165" i="26"/>
  <c r="X417" i="26"/>
  <c r="X703" i="26"/>
  <c r="X840" i="26"/>
  <c r="X986" i="26"/>
  <c r="X1124" i="26"/>
  <c r="X1252" i="26"/>
  <c r="X1356" i="26"/>
  <c r="X1508" i="26"/>
  <c r="X1628" i="26"/>
  <c r="X1756" i="26"/>
  <c r="X284" i="26"/>
  <c r="X591" i="26"/>
  <c r="X788" i="26"/>
  <c r="X987" i="26"/>
  <c r="X1107" i="26"/>
  <c r="X1254" i="26"/>
  <c r="X1418" i="26"/>
  <c r="X1537" i="26"/>
  <c r="X37" i="26"/>
  <c r="X344" i="26"/>
  <c r="X610" i="26"/>
  <c r="X779" i="26"/>
  <c r="X946" i="26"/>
  <c r="X1072" i="26"/>
  <c r="X1200" i="26"/>
  <c r="X1337" i="26"/>
  <c r="X1456" i="26"/>
  <c r="X1575" i="26"/>
  <c r="X1721" i="26"/>
  <c r="X1823" i="26"/>
  <c r="X1935" i="26"/>
  <c r="X289" i="26"/>
  <c r="X557" i="26"/>
  <c r="X745" i="26"/>
  <c r="X884" i="26"/>
  <c r="X1009" i="26"/>
  <c r="X1119" i="26"/>
  <c r="X1229" i="26"/>
  <c r="X1338" i="26"/>
  <c r="X1430" i="26"/>
  <c r="X1521" i="26"/>
  <c r="X1622" i="26"/>
  <c r="X201" i="26"/>
  <c r="X541" i="26"/>
  <c r="X797" i="26"/>
  <c r="X964" i="26"/>
  <c r="X1115" i="26"/>
  <c r="X1278" i="26"/>
  <c r="X1424" i="26"/>
  <c r="X1570" i="26"/>
  <c r="X1717" i="26"/>
  <c r="X1814" i="26"/>
  <c r="X1906" i="26"/>
  <c r="X1990" i="26"/>
  <c r="X2078" i="26"/>
  <c r="X2158" i="26"/>
  <c r="X2238" i="26"/>
  <c r="X2334" i="26"/>
  <c r="X2414" i="26"/>
  <c r="X2494" i="26"/>
  <c r="X2582" i="26"/>
  <c r="X2662" i="26"/>
  <c r="X2742" i="26"/>
  <c r="X2822" i="26"/>
  <c r="X2918" i="26"/>
  <c r="X2998" i="26"/>
  <c r="X3078" i="26"/>
  <c r="X3166" i="26"/>
  <c r="X3246" i="26"/>
  <c r="X3326" i="26"/>
  <c r="X3414" i="26"/>
  <c r="X3502" i="26"/>
  <c r="X144" i="26"/>
  <c r="X485" i="26"/>
  <c r="X749" i="26"/>
  <c r="X918" i="26"/>
  <c r="X1075" i="26"/>
  <c r="X1234" i="26"/>
  <c r="X1397" i="26"/>
  <c r="X1543" i="26"/>
  <c r="X1687" i="26"/>
  <c r="X1788" i="26"/>
  <c r="X1880" i="26"/>
  <c r="X1967" i="26"/>
  <c r="X2039" i="26"/>
  <c r="X2119" i="26"/>
  <c r="X2191" i="26"/>
  <c r="X2263" i="26"/>
  <c r="X2335" i="26"/>
  <c r="X2407" i="26"/>
  <c r="X2479" i="26"/>
  <c r="X2551" i="26"/>
  <c r="X2631" i="26"/>
  <c r="X2703" i="26"/>
  <c r="X2775" i="26"/>
  <c r="X2847" i="26"/>
  <c r="X2919" i="26"/>
  <c r="X2991" i="26"/>
  <c r="X3063" i="26"/>
  <c r="X3143" i="26"/>
  <c r="X3215" i="26"/>
  <c r="X3287" i="26"/>
  <c r="X3359" i="26"/>
  <c r="X3431" i="26"/>
  <c r="X3503" i="26"/>
  <c r="X146" i="26"/>
  <c r="X455" i="26"/>
  <c r="X712" i="26"/>
  <c r="X312" i="26"/>
  <c r="X725" i="26"/>
  <c r="X939" i="26"/>
  <c r="X1122" i="26"/>
  <c r="X1297" i="26"/>
  <c r="X1490" i="26"/>
  <c r="X1661" i="26"/>
  <c r="X1784" i="26"/>
  <c r="X1893" i="26"/>
  <c r="X1995" i="26"/>
  <c r="X2091" i="26"/>
  <c r="X2187" i="26"/>
  <c r="X2293" i="26"/>
  <c r="X2389" i="26"/>
  <c r="X2485" i="26"/>
  <c r="X2581" i="26"/>
  <c r="X2677" i="26"/>
  <c r="X2773" i="26"/>
  <c r="X2869" i="26"/>
  <c r="X2977" i="26"/>
  <c r="X3073" i="26"/>
  <c r="X3169" i="26"/>
  <c r="X3265" i="26"/>
  <c r="X3361" i="26"/>
  <c r="X3457" i="26"/>
  <c r="X34" i="26"/>
  <c r="X521" i="26"/>
  <c r="X827" i="26"/>
  <c r="X1024" i="26"/>
  <c r="X1202" i="26"/>
  <c r="X1377" i="26"/>
  <c r="X1552" i="26"/>
  <c r="X1704" i="26"/>
  <c r="X1835" i="26"/>
  <c r="X1944" i="26"/>
  <c r="X2040" i="26"/>
  <c r="X83" i="26"/>
  <c r="X291" i="26"/>
  <c r="X427" i="26"/>
  <c r="X627" i="26"/>
  <c r="X130" i="26"/>
  <c r="X313" i="26"/>
  <c r="X533" i="26"/>
  <c r="X49" i="26"/>
  <c r="X232" i="26"/>
  <c r="X452" i="26"/>
  <c r="X644" i="26"/>
  <c r="X133" i="26"/>
  <c r="X352" i="26"/>
  <c r="X544" i="26"/>
  <c r="X722" i="26"/>
  <c r="X263" i="26"/>
  <c r="X527" i="26"/>
  <c r="X775" i="26"/>
  <c r="X967" i="26"/>
  <c r="X282" i="26"/>
  <c r="X583" i="26"/>
  <c r="X858" i="26"/>
  <c r="X1036" i="26"/>
  <c r="X1204" i="26"/>
  <c r="X1404" i="26"/>
  <c r="X1540" i="26"/>
  <c r="X1708" i="26"/>
  <c r="X340" i="26"/>
  <c r="X718" i="26"/>
  <c r="X902" i="26"/>
  <c r="X1144" i="26"/>
  <c r="X1327" i="26"/>
  <c r="X1501" i="26"/>
  <c r="X135" i="26"/>
  <c r="X439" i="26"/>
  <c r="X743" i="26"/>
  <c r="X966" i="26"/>
  <c r="X1136" i="26"/>
  <c r="X1282" i="26"/>
  <c r="X1465" i="26"/>
  <c r="X1639" i="26"/>
  <c r="X1799" i="26"/>
  <c r="X79" i="26"/>
  <c r="X384" i="26"/>
  <c r="X709" i="26"/>
  <c r="X906" i="26"/>
  <c r="X1046" i="26"/>
  <c r="X1183" i="26"/>
  <c r="X1347" i="26"/>
  <c r="X1466" i="26"/>
  <c r="X1585" i="26"/>
  <c r="X262" i="26"/>
  <c r="X660" i="26"/>
  <c r="X881" i="26"/>
  <c r="X1131" i="26"/>
  <c r="X1335" i="26"/>
  <c r="X1526" i="26"/>
  <c r="X1727" i="26"/>
  <c r="X1842" i="26"/>
  <c r="X1966" i="26"/>
  <c r="X2086" i="26"/>
  <c r="X2198" i="26"/>
  <c r="X2294" i="26"/>
  <c r="X2422" i="26"/>
  <c r="X2526" i="26"/>
  <c r="X2630" i="26"/>
  <c r="X2750" i="26"/>
  <c r="X2862" i="26"/>
  <c r="X2966" i="26"/>
  <c r="X3094" i="26"/>
  <c r="X3190" i="26"/>
  <c r="X3302" i="26"/>
  <c r="X3430" i="26"/>
  <c r="X3526" i="26"/>
  <c r="X329" i="26"/>
  <c r="X764" i="26"/>
  <c r="X1002" i="26"/>
  <c r="X1177" i="26"/>
  <c r="X1413" i="26"/>
  <c r="X1600" i="26"/>
  <c r="X1760" i="26"/>
  <c r="X1889" i="26"/>
  <c r="X1999" i="26"/>
  <c r="X2087" i="26"/>
  <c r="X2199" i="26"/>
  <c r="X2287" i="26"/>
  <c r="X2383" i="26"/>
  <c r="X2487" i="26"/>
  <c r="X2583" i="26"/>
  <c r="X2671" i="26"/>
  <c r="X2783" i="26"/>
  <c r="X2871" i="26"/>
  <c r="X2967" i="26"/>
  <c r="X3079" i="26"/>
  <c r="X3167" i="26"/>
  <c r="X3255" i="26"/>
  <c r="X3367" i="26"/>
  <c r="X3463" i="26"/>
  <c r="X26" i="26"/>
  <c r="X486" i="26"/>
  <c r="X29" i="26"/>
  <c r="X614" i="26"/>
  <c r="X961" i="26"/>
  <c r="X1198" i="26"/>
  <c r="X1415" i="26"/>
  <c r="X1673" i="26"/>
  <c r="X1820" i="26"/>
  <c r="X1963" i="26"/>
  <c r="X2101" i="26"/>
  <c r="X2229" i="26"/>
  <c r="X2347" i="26"/>
  <c r="X2497" i="26"/>
  <c r="X2613" i="26"/>
  <c r="X2741" i="26"/>
  <c r="X2891" i="26"/>
  <c r="X3009" i="26"/>
  <c r="X3125" i="26"/>
  <c r="X3275" i="26"/>
  <c r="X3403" i="26"/>
  <c r="X3521" i="26"/>
  <c r="X564" i="26"/>
  <c r="X897" i="26"/>
  <c r="X1142" i="26"/>
  <c r="X1398" i="26"/>
  <c r="X1633" i="26"/>
  <c r="X1785" i="26"/>
  <c r="X1954" i="26"/>
  <c r="X2072" i="26"/>
  <c r="X2188" i="26"/>
  <c r="X621" i="26"/>
  <c r="X972" i="26"/>
  <c r="X1287" i="26"/>
  <c r="X1545" i="26"/>
  <c r="X1762" i="26"/>
  <c r="X1923" i="26"/>
  <c r="X2083" i="26"/>
  <c r="X2220" i="26"/>
  <c r="X2341" i="26"/>
  <c r="X2489" i="26"/>
  <c r="X2610" i="26"/>
  <c r="X2732" i="26"/>
  <c r="X2866" i="26"/>
  <c r="X2988" i="26"/>
  <c r="X3109" i="26"/>
  <c r="X3232" i="26"/>
  <c r="X3378" i="26"/>
  <c r="X3500" i="26"/>
  <c r="X162" i="26"/>
  <c r="X795" i="26"/>
  <c r="X1079" i="26"/>
  <c r="X1343" i="26"/>
  <c r="X1625" i="26"/>
  <c r="X1828" i="26"/>
  <c r="X1984" i="26"/>
  <c r="X2140" i="26"/>
  <c r="X2269" i="26"/>
  <c r="X2393" i="26"/>
  <c r="X2514" i="26"/>
  <c r="X2649" i="26"/>
  <c r="X2781" i="26"/>
  <c r="X2905" i="26"/>
  <c r="X3037" i="26"/>
  <c r="X3161" i="26"/>
  <c r="X3282" i="26"/>
  <c r="X3417" i="26"/>
  <c r="X3538" i="26"/>
  <c r="X687" i="26"/>
  <c r="X1033" i="26"/>
  <c r="X1289" i="26"/>
  <c r="X1579" i="26"/>
  <c r="X1781" i="26"/>
  <c r="X1957" i="26"/>
  <c r="X2099" i="26"/>
  <c r="X2248" i="26"/>
  <c r="X2381" i="26"/>
  <c r="X2504" i="26"/>
  <c r="X2626" i="26"/>
  <c r="X2760" i="26"/>
  <c r="X2882" i="26"/>
  <c r="X3003" i="26"/>
  <c r="X3149" i="26"/>
  <c r="X3272" i="26"/>
  <c r="X3394" i="26"/>
  <c r="X3528" i="26"/>
  <c r="X640" i="26"/>
  <c r="X980" i="26"/>
  <c r="X1243" i="26"/>
  <c r="X1560" i="26"/>
  <c r="X1766" i="26"/>
  <c r="X1929" i="26"/>
  <c r="X2100" i="26"/>
  <c r="X2236" i="26"/>
  <c r="X2360" i="26"/>
  <c r="X2481" i="26"/>
  <c r="X2627" i="26"/>
  <c r="X2748" i="26"/>
  <c r="X2872" i="26"/>
  <c r="X3004" i="26"/>
  <c r="X3128" i="26"/>
  <c r="X3260" i="26"/>
  <c r="X3395" i="26"/>
  <c r="X3529" i="26"/>
  <c r="X646" i="26"/>
  <c r="X1013" i="26"/>
  <c r="X1271" i="26"/>
  <c r="X1535" i="26"/>
  <c r="X1752" i="26"/>
  <c r="X1932" i="26"/>
  <c r="X2089" i="26"/>
  <c r="X2226" i="26"/>
  <c r="X2361" i="26"/>
  <c r="X2482" i="26"/>
  <c r="X2604" i="26"/>
  <c r="X1175" i="26"/>
  <c r="X1803" i="26"/>
  <c r="X2228" i="26"/>
  <c r="X2585" i="26"/>
  <c r="X2836" i="26"/>
  <c r="X3081" i="26"/>
  <c r="X3324" i="26"/>
  <c r="X3450" i="26"/>
  <c r="X3168" i="26"/>
  <c r="X80" i="26"/>
  <c r="X1121" i="26"/>
  <c r="X1714" i="26"/>
  <c r="X2090" i="26"/>
  <c r="X2397" i="26"/>
  <c r="X2668" i="26"/>
  <c r="X2888" i="26"/>
  <c r="X3131" i="26"/>
  <c r="X3352" i="26"/>
  <c r="X408" i="26"/>
  <c r="X1257" i="26"/>
  <c r="X1808" i="26"/>
  <c r="X2164" i="26"/>
  <c r="X2461" i="26"/>
  <c r="X2693" i="26"/>
  <c r="X2914" i="26"/>
  <c r="X3108" i="26"/>
  <c r="X3304" i="26"/>
  <c r="X3523" i="26"/>
  <c r="X993" i="26"/>
  <c r="X1618" i="26"/>
  <c r="X1980" i="26"/>
  <c r="X2276" i="26"/>
  <c r="X2533" i="26"/>
  <c r="X2749" i="26"/>
  <c r="X2946" i="26"/>
  <c r="X3164" i="26"/>
  <c r="X3385" i="26"/>
  <c r="X472" i="26"/>
  <c r="X1207" i="26"/>
  <c r="X1735" i="26"/>
  <c r="X2065" i="26"/>
  <c r="X2340" i="26"/>
  <c r="X2605" i="26"/>
  <c r="X2801" i="26"/>
  <c r="X2995" i="26"/>
  <c r="X3216" i="26"/>
  <c r="X3410" i="26"/>
  <c r="X473" i="26"/>
  <c r="X1225" i="26"/>
  <c r="X1736" i="26"/>
  <c r="X2107" i="26"/>
  <c r="X2377" i="26"/>
  <c r="X2632" i="26"/>
  <c r="X2851" i="26"/>
  <c r="X3069" i="26"/>
  <c r="X3387" i="26"/>
  <c r="X676" i="26"/>
  <c r="X1304" i="26"/>
  <c r="X1790" i="26"/>
  <c r="X2108" i="26"/>
  <c r="X2386" i="26"/>
  <c r="X2633" i="26"/>
  <c r="X2828" i="26"/>
  <c r="X3048" i="26"/>
  <c r="X3242" i="26"/>
  <c r="X3437" i="26"/>
  <c r="X704" i="26"/>
  <c r="X1305" i="26"/>
  <c r="X1792" i="26"/>
  <c r="X2152" i="26"/>
  <c r="X2424" i="26"/>
  <c r="X2665" i="26"/>
  <c r="X2860" i="26"/>
  <c r="X3080" i="26"/>
  <c r="X3274" i="26"/>
  <c r="X3517" i="26"/>
  <c r="X932" i="26"/>
  <c r="X1581" i="26"/>
  <c r="X1789" i="26"/>
  <c r="X99" i="26"/>
  <c r="X299" i="26"/>
  <c r="X443" i="26"/>
  <c r="X635" i="26"/>
  <c r="X140" i="26"/>
  <c r="X341" i="26"/>
  <c r="X542" i="26"/>
  <c r="X58" i="26"/>
  <c r="X241" i="26"/>
  <c r="X461" i="26"/>
  <c r="X653" i="26"/>
  <c r="X142" i="26"/>
  <c r="X361" i="26"/>
  <c r="X553" i="26"/>
  <c r="X730" i="26"/>
  <c r="X276" i="26"/>
  <c r="X556" i="26"/>
  <c r="X783" i="26"/>
  <c r="X975" i="26"/>
  <c r="X300" i="26"/>
  <c r="X601" i="26"/>
  <c r="X867" i="26"/>
  <c r="X1052" i="26"/>
  <c r="X1212" i="26"/>
  <c r="X1412" i="26"/>
  <c r="X1548" i="26"/>
  <c r="X1716" i="26"/>
  <c r="X358" i="26"/>
  <c r="X731" i="26"/>
  <c r="X914" i="26"/>
  <c r="X1153" i="26"/>
  <c r="X1345" i="26"/>
  <c r="X1510" i="26"/>
  <c r="X153" i="26"/>
  <c r="X457" i="26"/>
  <c r="X756" i="26"/>
  <c r="X978" i="26"/>
  <c r="X1145" i="26"/>
  <c r="X1291" i="26"/>
  <c r="X1483" i="26"/>
  <c r="X1648" i="26"/>
  <c r="X1807" i="26"/>
  <c r="X97" i="26"/>
  <c r="X402" i="26"/>
  <c r="X721" i="26"/>
  <c r="X916" i="26"/>
  <c r="X1064" i="26"/>
  <c r="X1201" i="26"/>
  <c r="X1357" i="26"/>
  <c r="X1485" i="26"/>
  <c r="X1594" i="26"/>
  <c r="X294" i="26"/>
  <c r="X688" i="26"/>
  <c r="X1160" i="26"/>
  <c r="X1351" i="26"/>
  <c r="X1542" i="26"/>
  <c r="X1737" i="26"/>
  <c r="X1851" i="26"/>
  <c r="X1974" i="26"/>
  <c r="X2094" i="26"/>
  <c r="X2206" i="26"/>
  <c r="X2302" i="26"/>
  <c r="X2430" i="26"/>
  <c r="X2534" i="26"/>
  <c r="X2646" i="26"/>
  <c r="X2774" i="26"/>
  <c r="X2870" i="26"/>
  <c r="X2974" i="26"/>
  <c r="X3102" i="26"/>
  <c r="X3206" i="26"/>
  <c r="X3310" i="26"/>
  <c r="X3438" i="26"/>
  <c r="X3542" i="26"/>
  <c r="X391" i="26"/>
  <c r="X784" i="26"/>
  <c r="X1015" i="26"/>
  <c r="X1193" i="26"/>
  <c r="X1425" i="26"/>
  <c r="X1616" i="26"/>
  <c r="X1770" i="26"/>
  <c r="X1907" i="26"/>
  <c r="X2007" i="26"/>
  <c r="X2095" i="26"/>
  <c r="X2207" i="26"/>
  <c r="X2295" i="26"/>
  <c r="X2391" i="26"/>
  <c r="X2503" i="26"/>
  <c r="X2591" i="26"/>
  <c r="X2679" i="26"/>
  <c r="X2791" i="26"/>
  <c r="X2887" i="26"/>
  <c r="X2975" i="26"/>
  <c r="X3087" i="26"/>
  <c r="X3175" i="26"/>
  <c r="X3271" i="26"/>
  <c r="X3375" i="26"/>
  <c r="X3471" i="26"/>
  <c r="X89" i="26"/>
  <c r="X520" i="26"/>
  <c r="X70" i="26"/>
  <c r="X656" i="26"/>
  <c r="X981" i="26"/>
  <c r="X1216" i="26"/>
  <c r="X1433" i="26"/>
  <c r="X1689" i="26"/>
  <c r="X1832" i="26"/>
  <c r="X1973" i="26"/>
  <c r="X2123" i="26"/>
  <c r="X2241" i="26"/>
  <c r="X2357" i="26"/>
  <c r="X2507" i="26"/>
  <c r="X2635" i="26"/>
  <c r="X2753" i="26"/>
  <c r="X2901" i="26"/>
  <c r="X3019" i="26"/>
  <c r="X3147" i="26"/>
  <c r="X3285" i="26"/>
  <c r="X3413" i="26"/>
  <c r="X3531" i="26"/>
  <c r="X620" i="26"/>
  <c r="X920" i="26"/>
  <c r="X1166" i="26"/>
  <c r="X1416" i="26"/>
  <c r="X1647" i="26"/>
  <c r="X1798" i="26"/>
  <c r="X1964" i="26"/>
  <c r="X2082" i="26"/>
  <c r="X42" i="26"/>
  <c r="X677" i="26"/>
  <c r="X1029" i="26"/>
  <c r="X1313" i="26"/>
  <c r="X1577" i="26"/>
  <c r="X1777" i="26"/>
  <c r="X1955" i="26"/>
  <c r="X2097" i="26"/>
  <c r="X2233" i="26"/>
  <c r="X2378" i="26"/>
  <c r="X2500" i="26"/>
  <c r="X2621" i="26"/>
  <c r="X2745" i="26"/>
  <c r="X2877" i="26"/>
  <c r="X3001" i="26"/>
  <c r="X3122" i="26"/>
  <c r="X3268" i="26"/>
  <c r="X3389" i="26"/>
  <c r="X3513" i="26"/>
  <c r="X293" i="26"/>
  <c r="X825" i="26"/>
  <c r="X1111" i="26"/>
  <c r="X1369" i="26"/>
  <c r="X1670" i="26"/>
  <c r="X1844" i="26"/>
  <c r="X2000" i="26"/>
  <c r="X2154" i="26"/>
  <c r="X2282" i="26"/>
  <c r="X2404" i="26"/>
  <c r="X2538" i="26"/>
  <c r="X2673" i="26"/>
  <c r="X2794" i="26"/>
  <c r="X2929" i="26"/>
  <c r="X3050" i="26"/>
  <c r="X3172" i="26"/>
  <c r="X3293" i="26"/>
  <c r="X3428" i="26"/>
  <c r="X106" i="26"/>
  <c r="X736" i="26"/>
  <c r="X1057" i="26"/>
  <c r="X1321" i="26"/>
  <c r="X1606" i="26"/>
  <c r="X1813" i="26"/>
  <c r="X1971" i="26"/>
  <c r="X2129" i="26"/>
  <c r="X2272" i="26"/>
  <c r="X2394" i="26"/>
  <c r="X2515" i="26"/>
  <c r="X2637" i="26"/>
  <c r="X2771" i="26"/>
  <c r="X2893" i="26"/>
  <c r="X3027" i="26"/>
  <c r="X3162" i="26"/>
  <c r="X3283" i="26"/>
  <c r="X3405" i="26"/>
  <c r="X62" i="26"/>
  <c r="X694" i="26"/>
  <c r="X1011" i="26"/>
  <c r="X1325" i="26"/>
  <c r="X1782" i="26"/>
  <c r="X1946" i="26"/>
  <c r="X2116" i="26"/>
  <c r="X2249" i="26"/>
  <c r="X2371" i="26"/>
  <c r="X2516" i="26"/>
  <c r="X2640" i="26"/>
  <c r="X2761" i="26"/>
  <c r="X2896" i="26"/>
  <c r="X3017" i="26"/>
  <c r="X3139" i="26"/>
  <c r="X3273" i="26"/>
  <c r="X3419" i="26"/>
  <c r="X3540" i="26"/>
  <c r="X701" i="26"/>
  <c r="X1039" i="26"/>
  <c r="X1303" i="26"/>
  <c r="X1561" i="26"/>
  <c r="X1786" i="26"/>
  <c r="X1961" i="26"/>
  <c r="X2105" i="26"/>
  <c r="X2250" i="26"/>
  <c r="X2372" i="26"/>
  <c r="X2493" i="26"/>
  <c r="X65" i="26"/>
  <c r="X1251" i="26"/>
  <c r="X1886" i="26"/>
  <c r="X2265" i="26"/>
  <c r="X2618" i="26"/>
  <c r="X2861" i="26"/>
  <c r="X3106" i="26"/>
  <c r="X3373" i="26"/>
  <c r="X1487" i="26"/>
  <c r="X3290" i="26"/>
  <c r="X217" i="26"/>
  <c r="X1178" i="26"/>
  <c r="X1755" i="26"/>
  <c r="X2122" i="26"/>
  <c r="X2426" i="26"/>
  <c r="X2692" i="26"/>
  <c r="X2937" i="26"/>
  <c r="X3155" i="26"/>
  <c r="X3376" i="26"/>
  <c r="X594" i="26"/>
  <c r="X1331" i="26"/>
  <c r="X1854" i="26"/>
  <c r="X2204" i="26"/>
  <c r="X2498" i="26"/>
  <c r="X2717" i="26"/>
  <c r="X2938" i="26"/>
  <c r="X3132" i="26"/>
  <c r="X3328" i="26"/>
  <c r="X127" i="26"/>
  <c r="X1069" i="26"/>
  <c r="X1680" i="26"/>
  <c r="X2021" i="26"/>
  <c r="X2304" i="26"/>
  <c r="X2569" i="26"/>
  <c r="X2776" i="26"/>
  <c r="X2994" i="26"/>
  <c r="X3188" i="26"/>
  <c r="X3409" i="26"/>
  <c r="X655" i="26"/>
  <c r="X1285" i="26"/>
  <c r="X1776" i="26"/>
  <c r="X2106" i="26"/>
  <c r="X2376" i="26"/>
  <c r="X2629" i="26"/>
  <c r="X2825" i="26"/>
  <c r="X3020" i="26"/>
  <c r="X3240" i="26"/>
  <c r="X3434" i="26"/>
  <c r="X674" i="26"/>
  <c r="X1286" i="26"/>
  <c r="X2148" i="26"/>
  <c r="X2412" i="26"/>
  <c r="X2656" i="26"/>
  <c r="X2875" i="26"/>
  <c r="X3096" i="26"/>
  <c r="X3411" i="26"/>
  <c r="X787" i="26"/>
  <c r="X1361" i="26"/>
  <c r="X1837" i="26"/>
  <c r="X2149" i="26"/>
  <c r="X2413" i="26"/>
  <c r="X2658" i="26"/>
  <c r="X2852" i="26"/>
  <c r="X3072" i="26"/>
  <c r="X3267" i="26"/>
  <c r="X3461" i="26"/>
  <c r="X792" i="26"/>
  <c r="X1385" i="26"/>
  <c r="X1838" i="26"/>
  <c r="X2193" i="26"/>
  <c r="X2450" i="26"/>
  <c r="X2690" i="26"/>
  <c r="X2884" i="26"/>
  <c r="X3104" i="26"/>
  <c r="X3323" i="26"/>
  <c r="X3544" i="26"/>
  <c r="X123" i="26"/>
  <c r="X315" i="26"/>
  <c r="X499" i="26"/>
  <c r="X667" i="26"/>
  <c r="X149" i="26"/>
  <c r="X368" i="26"/>
  <c r="X560" i="26"/>
  <c r="X95" i="26"/>
  <c r="X314" i="26"/>
  <c r="X470" i="26"/>
  <c r="X662" i="26"/>
  <c r="X215" i="26"/>
  <c r="X407" i="26"/>
  <c r="X562" i="26"/>
  <c r="X15" i="26"/>
  <c r="X320" i="26"/>
  <c r="X629" i="26"/>
  <c r="X991" i="26"/>
  <c r="X330" i="26"/>
  <c r="X713" i="26"/>
  <c r="X913" i="26"/>
  <c r="X1068" i="26"/>
  <c r="X1260" i="26"/>
  <c r="X1420" i="26"/>
  <c r="X1588" i="26"/>
  <c r="X36" i="26"/>
  <c r="X376" i="26"/>
  <c r="X742" i="26"/>
  <c r="X997" i="26"/>
  <c r="X1181" i="26"/>
  <c r="X1354" i="26"/>
  <c r="X1546" i="26"/>
  <c r="X172" i="26"/>
  <c r="X513" i="26"/>
  <c r="X820" i="26"/>
  <c r="X988" i="26"/>
  <c r="X1154" i="26"/>
  <c r="X1346" i="26"/>
  <c r="X1511" i="26"/>
  <c r="X1657" i="26"/>
  <c r="X1839" i="26"/>
  <c r="X118" i="26"/>
  <c r="X458" i="26"/>
  <c r="X758" i="26"/>
  <c r="X926" i="26"/>
  <c r="X1073" i="26"/>
  <c r="X1247" i="26"/>
  <c r="X1366" i="26"/>
  <c r="X1494" i="26"/>
  <c r="X1631" i="26"/>
  <c r="X356" i="26"/>
  <c r="X705" i="26"/>
  <c r="X982" i="26"/>
  <c r="X1176" i="26"/>
  <c r="X1367" i="26"/>
  <c r="X1599" i="26"/>
  <c r="X1747" i="26"/>
  <c r="X1869" i="26"/>
  <c r="X2006" i="26"/>
  <c r="X2110" i="26"/>
  <c r="X2214" i="26"/>
  <c r="X2438" i="26"/>
  <c r="X2550" i="26"/>
  <c r="X2670" i="26"/>
  <c r="X2782" i="26"/>
  <c r="X2878" i="26"/>
  <c r="X3006" i="26"/>
  <c r="X3110" i="26"/>
  <c r="X3222" i="26"/>
  <c r="X3334" i="26"/>
  <c r="X3446" i="26"/>
  <c r="X25" i="26"/>
  <c r="X510" i="26"/>
  <c r="X802" i="26"/>
  <c r="X1031" i="26"/>
  <c r="X1266" i="26"/>
  <c r="X1454" i="26"/>
  <c r="X1632" i="26"/>
  <c r="X1797" i="26"/>
  <c r="X1925" i="26"/>
  <c r="X2015" i="26"/>
  <c r="X2127" i="26"/>
  <c r="X2215" i="26"/>
  <c r="X2311" i="26"/>
  <c r="X2415" i="26"/>
  <c r="X131" i="26"/>
  <c r="X411" i="26"/>
  <c r="X21" i="26"/>
  <c r="X277" i="26"/>
  <c r="X606" i="26"/>
  <c r="X324" i="26"/>
  <c r="X580" i="26"/>
  <c r="X233" i="26"/>
  <c r="X526" i="26"/>
  <c r="X117" i="26"/>
  <c r="X641" i="26"/>
  <c r="X887" i="26"/>
  <c r="X366" i="26"/>
  <c r="X803" i="26"/>
  <c r="X1132" i="26"/>
  <c r="X1340" i="26"/>
  <c r="X1652" i="26"/>
  <c r="X399" i="26"/>
  <c r="X872" i="26"/>
  <c r="X1208" i="26"/>
  <c r="X1464" i="26"/>
  <c r="X266" i="26"/>
  <c r="X842" i="26"/>
  <c r="X1081" i="26"/>
  <c r="X1374" i="26"/>
  <c r="X1630" i="26"/>
  <c r="X1887" i="26"/>
  <c r="X500" i="26"/>
  <c r="X833" i="26"/>
  <c r="X1128" i="26"/>
  <c r="X1320" i="26"/>
  <c r="X1549" i="26"/>
  <c r="X390" i="26"/>
  <c r="X848" i="26"/>
  <c r="X1221" i="26"/>
  <c r="X1513" i="26"/>
  <c r="X1778" i="26"/>
  <c r="X2014" i="26"/>
  <c r="X2166" i="26"/>
  <c r="X2350" i="26"/>
  <c r="X2502" i="26"/>
  <c r="X2694" i="26"/>
  <c r="X2854" i="26"/>
  <c r="X3038" i="26"/>
  <c r="X3230" i="26"/>
  <c r="X3382" i="26"/>
  <c r="X180" i="26"/>
  <c r="X710" i="26"/>
  <c r="X1133" i="26"/>
  <c r="X1470" i="26"/>
  <c r="X1718" i="26"/>
  <c r="X1943" i="26"/>
  <c r="X2079" i="26"/>
  <c r="X2247" i="26"/>
  <c r="X2423" i="26"/>
  <c r="X2535" i="26"/>
  <c r="X2663" i="26"/>
  <c r="X2807" i="26"/>
  <c r="X2935" i="26"/>
  <c r="X3047" i="26"/>
  <c r="X3191" i="26"/>
  <c r="X3319" i="26"/>
  <c r="X3447" i="26"/>
  <c r="X239" i="26"/>
  <c r="X639" i="26"/>
  <c r="X504" i="26"/>
  <c r="X1041" i="26"/>
  <c r="X1358" i="26"/>
  <c r="X1608" i="26"/>
  <c r="X1868" i="26"/>
  <c r="X2049" i="26"/>
  <c r="X2219" i="26"/>
  <c r="X2411" i="26"/>
  <c r="X2561" i="26"/>
  <c r="X2731" i="26"/>
  <c r="X2923" i="26"/>
  <c r="X3093" i="26"/>
  <c r="X3243" i="26"/>
  <c r="X3435" i="26"/>
  <c r="X274" i="26"/>
  <c r="X875" i="26"/>
  <c r="X1241" i="26"/>
  <c r="X1515" i="26"/>
  <c r="X1773" i="26"/>
  <c r="X1986" i="26"/>
  <c r="X2146" i="26"/>
  <c r="X548" i="26"/>
  <c r="X1106" i="26"/>
  <c r="X1417" i="26"/>
  <c r="X1742" i="26"/>
  <c r="X1981" i="26"/>
  <c r="X2181" i="26"/>
  <c r="X2330" i="26"/>
  <c r="X2524" i="26"/>
  <c r="X2683" i="26"/>
  <c r="X2842" i="26"/>
  <c r="X3036" i="26"/>
  <c r="X3195" i="26"/>
  <c r="X3354" i="26"/>
  <c r="X1449" i="26"/>
  <c r="X622" i="26"/>
  <c r="X1056" i="26"/>
  <c r="X1471" i="26"/>
  <c r="X1743" i="26"/>
  <c r="X1970" i="26"/>
  <c r="X2184" i="26"/>
  <c r="X2355" i="26"/>
  <c r="X2501" i="26"/>
  <c r="X2697" i="26"/>
  <c r="X2856" i="26"/>
  <c r="X3026" i="26"/>
  <c r="X3196" i="26"/>
  <c r="X3368" i="26"/>
  <c r="X3525" i="26"/>
  <c r="X828" i="26"/>
  <c r="X1167" i="26"/>
  <c r="X1553" i="26"/>
  <c r="X1864" i="26"/>
  <c r="X2057" i="26"/>
  <c r="X2224" i="26"/>
  <c r="X2418" i="26"/>
  <c r="X2588" i="26"/>
  <c r="X2736" i="26"/>
  <c r="X2930" i="26"/>
  <c r="X3089" i="26"/>
  <c r="X3259" i="26"/>
  <c r="X3442" i="26"/>
  <c r="X375" i="26"/>
  <c r="X953" i="26"/>
  <c r="X1371" i="26"/>
  <c r="X1672" i="26"/>
  <c r="X1913" i="26"/>
  <c r="X2144" i="26"/>
  <c r="X2322" i="26"/>
  <c r="X2468" i="26"/>
  <c r="X2664" i="26"/>
  <c r="X2821" i="26"/>
  <c r="X2993" i="26"/>
  <c r="X3200" i="26"/>
  <c r="X3346" i="26"/>
  <c r="X3505" i="26"/>
  <c r="X808" i="26"/>
  <c r="X1169" i="26"/>
  <c r="X1506" i="26"/>
  <c r="X1836" i="26"/>
  <c r="X2033" i="26"/>
  <c r="X2213" i="26"/>
  <c r="X2396" i="26"/>
  <c r="X2568" i="26"/>
  <c r="X1040" i="26"/>
  <c r="X1968" i="26"/>
  <c r="X2425" i="26"/>
  <c r="X2812" i="26"/>
  <c r="X3178" i="26"/>
  <c r="X3496" i="26"/>
  <c r="X3120" i="26"/>
  <c r="X586" i="26"/>
  <c r="X1462" i="26"/>
  <c r="X2051" i="26"/>
  <c r="X2523" i="26"/>
  <c r="X2813" i="26"/>
  <c r="X3082" i="26"/>
  <c r="X3424" i="26"/>
  <c r="X1050" i="26"/>
  <c r="X1771" i="26"/>
  <c r="X2301" i="26"/>
  <c r="X2620" i="26"/>
  <c r="X2889" i="26"/>
  <c r="X3181" i="26"/>
  <c r="X3426" i="26"/>
  <c r="X908" i="26"/>
  <c r="X1774" i="26"/>
  <c r="X2176" i="26"/>
  <c r="X2499" i="26"/>
  <c r="X2824" i="26"/>
  <c r="X3091" i="26"/>
  <c r="X3336" i="26"/>
  <c r="X844" i="26"/>
  <c r="X1562" i="26"/>
  <c r="X2024" i="26"/>
  <c r="X2437" i="26"/>
  <c r="X2728" i="26"/>
  <c r="X2971" i="26"/>
  <c r="X3289" i="26"/>
  <c r="X3532" i="26"/>
  <c r="X1151" i="26"/>
  <c r="X1873" i="26"/>
  <c r="X2280" i="26"/>
  <c r="X2608" i="26"/>
  <c r="X2924" i="26"/>
  <c r="X3266" i="26"/>
  <c r="X528" i="26"/>
  <c r="X1507" i="26"/>
  <c r="X1994" i="26"/>
  <c r="X2352" i="26"/>
  <c r="X2706" i="26"/>
  <c r="X2973" i="26"/>
  <c r="X3218" i="26"/>
  <c r="X3512" i="26"/>
  <c r="X1096" i="26"/>
  <c r="X1753" i="26"/>
  <c r="X2256" i="26"/>
  <c r="X2584" i="26"/>
  <c r="X2835" i="26"/>
  <c r="X3153" i="26"/>
  <c r="X3444" i="26"/>
  <c r="X171" i="26"/>
  <c r="X2537" i="26"/>
  <c r="X2172" i="26"/>
  <c r="X2163" i="26"/>
  <c r="X1623" i="26"/>
  <c r="X1568" i="26"/>
  <c r="X2908" i="26"/>
  <c r="X507" i="26"/>
  <c r="X2025" i="26"/>
  <c r="X2346" i="26"/>
  <c r="X419" i="26"/>
  <c r="X30" i="26"/>
  <c r="X377" i="26"/>
  <c r="X13" i="26"/>
  <c r="X351" i="26"/>
  <c r="X607" i="26"/>
  <c r="X261" i="26"/>
  <c r="X572" i="26"/>
  <c r="X129" i="26"/>
  <c r="X693" i="26"/>
  <c r="X895" i="26"/>
  <c r="X465" i="26"/>
  <c r="X812" i="26"/>
  <c r="X1148" i="26"/>
  <c r="X1436" i="26"/>
  <c r="X1692" i="26"/>
  <c r="X493" i="26"/>
  <c r="X892" i="26"/>
  <c r="X1235" i="26"/>
  <c r="X1555" i="26"/>
  <c r="X362" i="26"/>
  <c r="X852" i="26"/>
  <c r="X1090" i="26"/>
  <c r="X1383" i="26"/>
  <c r="X1666" i="26"/>
  <c r="X1903" i="26"/>
  <c r="X575" i="26"/>
  <c r="X843" i="26"/>
  <c r="X1146" i="26"/>
  <c r="X1375" i="26"/>
  <c r="X1567" i="26"/>
  <c r="X413" i="26"/>
  <c r="X866" i="26"/>
  <c r="X1233" i="26"/>
  <c r="X1627" i="26"/>
  <c r="X1824" i="26"/>
  <c r="X2022" i="26"/>
  <c r="X2182" i="26"/>
  <c r="X2358" i="26"/>
  <c r="X2518" i="26"/>
  <c r="X2710" i="26"/>
  <c r="X2886" i="26"/>
  <c r="X3046" i="26"/>
  <c r="X3254" i="26"/>
  <c r="X3390" i="26"/>
  <c r="X238" i="26"/>
  <c r="X850" i="26"/>
  <c r="X1149" i="26"/>
  <c r="X1486" i="26"/>
  <c r="X1728" i="26"/>
  <c r="X1951" i="26"/>
  <c r="X2135" i="26"/>
  <c r="X2271" i="26"/>
  <c r="X2439" i="26"/>
  <c r="X2567" i="26"/>
  <c r="X2711" i="26"/>
  <c r="X2823" i="26"/>
  <c r="X2951" i="26"/>
  <c r="X3095" i="26"/>
  <c r="X3223" i="26"/>
  <c r="X3335" i="26"/>
  <c r="X3479" i="26"/>
  <c r="X273" i="26"/>
  <c r="X728" i="26"/>
  <c r="X759" i="26"/>
  <c r="X1065" i="26"/>
  <c r="X1376" i="26"/>
  <c r="X1702" i="26"/>
  <c r="X1905" i="26"/>
  <c r="X2059" i="26"/>
  <c r="X2251" i="26"/>
  <c r="X2421" i="26"/>
  <c r="X2593" i="26"/>
  <c r="X2785" i="26"/>
  <c r="X2933" i="26"/>
  <c r="X3105" i="26"/>
  <c r="X3297" i="26"/>
  <c r="X3467" i="26"/>
  <c r="X318" i="26"/>
  <c r="X941" i="26"/>
  <c r="X1259" i="26"/>
  <c r="X1573" i="26"/>
  <c r="X1846" i="26"/>
  <c r="X1996" i="26"/>
  <c r="X2156" i="26"/>
  <c r="X761" i="26"/>
  <c r="X1130" i="26"/>
  <c r="X1443" i="26"/>
  <c r="X1793" i="26"/>
  <c r="X2011" i="26"/>
  <c r="X2195" i="26"/>
  <c r="X2392" i="26"/>
  <c r="X2707" i="26"/>
  <c r="X2890" i="26"/>
  <c r="X3060" i="26"/>
  <c r="X3208" i="26"/>
  <c r="X3402" i="26"/>
  <c r="X3466" i="26"/>
  <c r="X678" i="26"/>
  <c r="X1134" i="26"/>
  <c r="X1499" i="26"/>
  <c r="X1780" i="26"/>
  <c r="X2026" i="26"/>
  <c r="X2196" i="26"/>
  <c r="X2368" i="26"/>
  <c r="X2563" i="26"/>
  <c r="X2708" i="26"/>
  <c r="X2867" i="26"/>
  <c r="X3064" i="26"/>
  <c r="X3234" i="26"/>
  <c r="X3379" i="26"/>
  <c r="X183" i="26"/>
  <c r="X859" i="26"/>
  <c r="X1242" i="26"/>
  <c r="X1634" i="26"/>
  <c r="X1877" i="26"/>
  <c r="X2073" i="26"/>
  <c r="X2284" i="26"/>
  <c r="X2429" i="26"/>
  <c r="X2601" i="26"/>
  <c r="X2784" i="26"/>
  <c r="X2954" i="26"/>
  <c r="X3100" i="26"/>
  <c r="X3296" i="26"/>
  <c r="X3453" i="26"/>
  <c r="X445" i="26"/>
  <c r="X1061" i="26"/>
  <c r="X1403" i="26"/>
  <c r="X1711" i="26"/>
  <c r="X1972" i="26"/>
  <c r="X2333" i="26"/>
  <c r="X2530" i="26"/>
  <c r="X2675" i="26"/>
  <c r="X2845" i="26"/>
  <c r="X3028" i="26"/>
  <c r="X3212" i="26"/>
  <c r="X3357" i="26"/>
  <c r="X63" i="26"/>
  <c r="X837" i="26"/>
  <c r="X1224" i="26"/>
  <c r="X1582" i="26"/>
  <c r="X1850" i="26"/>
  <c r="X2045" i="26"/>
  <c r="X2264" i="26"/>
  <c r="X2409" i="26"/>
  <c r="X2579" i="26"/>
  <c r="X1386" i="26"/>
  <c r="X2048" i="26"/>
  <c r="X2459" i="26"/>
  <c r="X2885" i="26"/>
  <c r="X3227" i="26"/>
  <c r="X3520" i="26"/>
  <c r="X3363" i="26"/>
  <c r="X716" i="26"/>
  <c r="X1597" i="26"/>
  <c r="X2557" i="26"/>
  <c r="X2840" i="26"/>
  <c r="X3180" i="26"/>
  <c r="X3449" i="26"/>
  <c r="X1125" i="26"/>
  <c r="X1901" i="26"/>
  <c r="X2338" i="26"/>
  <c r="X2644" i="26"/>
  <c r="X2962" i="26"/>
  <c r="X3205" i="26"/>
  <c r="X3474" i="26"/>
  <c r="X1129" i="26"/>
  <c r="X1819" i="26"/>
  <c r="X2205" i="26"/>
  <c r="X2596" i="26"/>
  <c r="X2848" i="26"/>
  <c r="X3116" i="26"/>
  <c r="X3433" i="26"/>
  <c r="X929" i="26"/>
  <c r="X2138" i="26"/>
  <c r="X2473" i="26"/>
  <c r="X2752" i="26"/>
  <c r="X3044" i="26"/>
  <c r="X3313" i="26"/>
  <c r="X138" i="26"/>
  <c r="X1360" i="26"/>
  <c r="X1917" i="26"/>
  <c r="X2314" i="26"/>
  <c r="X2681" i="26"/>
  <c r="X2948" i="26"/>
  <c r="X3314" i="26"/>
  <c r="X869" i="26"/>
  <c r="X2035" i="26"/>
  <c r="X2449" i="26"/>
  <c r="X2730" i="26"/>
  <c r="X3000" i="26"/>
  <c r="X3291" i="26"/>
  <c r="X3536" i="26"/>
  <c r="X1170" i="26"/>
  <c r="X1885" i="26"/>
  <c r="X2290" i="26"/>
  <c r="X2617" i="26"/>
  <c r="X3177" i="26"/>
  <c r="X3469" i="26"/>
  <c r="X179" i="26"/>
  <c r="X2548" i="26"/>
  <c r="X193" i="26"/>
  <c r="X94" i="26"/>
  <c r="X432" i="26"/>
  <c r="X31" i="26"/>
  <c r="X360" i="26"/>
  <c r="X680" i="26"/>
  <c r="X288" i="26"/>
  <c r="X645" i="26"/>
  <c r="X161" i="26"/>
  <c r="X702" i="26"/>
  <c r="X911" i="26"/>
  <c r="X518" i="26"/>
  <c r="X922" i="26"/>
  <c r="X1164" i="26"/>
  <c r="X1444" i="26"/>
  <c r="X1700" i="26"/>
  <c r="X530" i="26"/>
  <c r="X1007" i="26"/>
  <c r="X1290" i="26"/>
  <c r="X1592" i="26"/>
  <c r="X382" i="26"/>
  <c r="X862" i="26"/>
  <c r="X1163" i="26"/>
  <c r="X1419" i="26"/>
  <c r="X1730" i="26"/>
  <c r="X1911" i="26"/>
  <c r="X593" i="26"/>
  <c r="X947" i="26"/>
  <c r="X1155" i="26"/>
  <c r="X1402" i="26"/>
  <c r="X1576" i="26"/>
  <c r="X447" i="26"/>
  <c r="X1001" i="26"/>
  <c r="X1294" i="26"/>
  <c r="X1642" i="26"/>
  <c r="X1833" i="26"/>
  <c r="X2038" i="26"/>
  <c r="X2222" i="26"/>
  <c r="X2366" i="26"/>
  <c r="X2558" i="26"/>
  <c r="X2718" i="26"/>
  <c r="X2926" i="26"/>
  <c r="X3062" i="26"/>
  <c r="X3262" i="26"/>
  <c r="X3454" i="26"/>
  <c r="X272" i="26"/>
  <c r="X868" i="26"/>
  <c r="X1161" i="26"/>
  <c r="X1498" i="26"/>
  <c r="X1806" i="26"/>
  <c r="X1975" i="26"/>
  <c r="X2143" i="26"/>
  <c r="X2279" i="26"/>
  <c r="X2447" i="26"/>
  <c r="X2575" i="26"/>
  <c r="X2719" i="26"/>
  <c r="X2831" i="26"/>
  <c r="X2959" i="26"/>
  <c r="X3103" i="26"/>
  <c r="X3231" i="26"/>
  <c r="X3343" i="26"/>
  <c r="X3487" i="26"/>
  <c r="X301" i="26"/>
  <c r="X750" i="26"/>
  <c r="X781" i="26"/>
  <c r="X1083" i="26"/>
  <c r="X1394" i="26"/>
  <c r="X1715" i="26"/>
  <c r="X1918" i="26"/>
  <c r="X2069" i="26"/>
  <c r="X2261" i="26"/>
  <c r="X2433" i="26"/>
  <c r="X2603" i="26"/>
  <c r="X2805" i="26"/>
  <c r="X2945" i="26"/>
  <c r="X3115" i="26"/>
  <c r="X3317" i="26"/>
  <c r="X3489" i="26"/>
  <c r="X373" i="26"/>
  <c r="X985" i="26"/>
  <c r="X1298" i="26"/>
  <c r="X1609" i="26"/>
  <c r="X1858" i="26"/>
  <c r="X2018" i="26"/>
  <c r="X2168" i="26"/>
  <c r="X793" i="26"/>
  <c r="X1157" i="26"/>
  <c r="X1522" i="26"/>
  <c r="X1827" i="26"/>
  <c r="X2208" i="26"/>
  <c r="X2403" i="26"/>
  <c r="X2720" i="26"/>
  <c r="X2904" i="26"/>
  <c r="X3074" i="26"/>
  <c r="X3219" i="26"/>
  <c r="X3416" i="26"/>
  <c r="X2088" i="26"/>
  <c r="X771" i="26"/>
  <c r="X1213" i="26"/>
  <c r="X1523" i="26"/>
  <c r="X1794" i="26"/>
  <c r="X2042" i="26"/>
  <c r="X2221" i="26"/>
  <c r="X2380" i="26"/>
  <c r="X2576" i="26"/>
  <c r="X2733" i="26"/>
  <c r="X2892" i="26"/>
  <c r="X3075" i="26"/>
  <c r="X3245" i="26"/>
  <c r="X3392" i="26"/>
  <c r="X244" i="26"/>
  <c r="X889" i="26"/>
  <c r="X1269" i="26"/>
  <c r="X1671" i="26"/>
  <c r="X1896" i="26"/>
  <c r="X2085" i="26"/>
  <c r="X2297" i="26"/>
  <c r="X2442" i="26"/>
  <c r="X2612" i="26"/>
  <c r="X2809" i="26"/>
  <c r="X2968" i="26"/>
  <c r="X3113" i="26"/>
  <c r="X3308" i="26"/>
  <c r="X3491" i="26"/>
  <c r="X582" i="26"/>
  <c r="X1113" i="26"/>
  <c r="X1426" i="26"/>
  <c r="X1751" i="26"/>
  <c r="X1988" i="26"/>
  <c r="X2186" i="26"/>
  <c r="X2541" i="26"/>
  <c r="X2700" i="26"/>
  <c r="X2858" i="26"/>
  <c r="X3042" i="26"/>
  <c r="X3225" i="26"/>
  <c r="X3370" i="26"/>
  <c r="X865" i="26"/>
  <c r="X1248" i="26"/>
  <c r="X1658" i="26"/>
  <c r="X1866" i="26"/>
  <c r="X2061" i="26"/>
  <c r="X2275" i="26"/>
  <c r="X2445" i="26"/>
  <c r="X2592" i="26"/>
  <c r="X1461" i="26"/>
  <c r="X2080" i="26"/>
  <c r="X2522" i="26"/>
  <c r="X2909" i="26"/>
  <c r="X3251" i="26"/>
  <c r="X2792" i="26"/>
  <c r="X3460" i="26"/>
  <c r="X814" i="26"/>
  <c r="X1663" i="26"/>
  <c r="X2203" i="26"/>
  <c r="X2594" i="26"/>
  <c r="X2864" i="26"/>
  <c r="X3204" i="26"/>
  <c r="X3473" i="26"/>
  <c r="X1197" i="26"/>
  <c r="X1979" i="26"/>
  <c r="X2364" i="26"/>
  <c r="X2669" i="26"/>
  <c r="X3229" i="26"/>
  <c r="X3498" i="26"/>
  <c r="X1203" i="26"/>
  <c r="X1856" i="26"/>
  <c r="X2242" i="26"/>
  <c r="X2628" i="26"/>
  <c r="X2873" i="26"/>
  <c r="X3140" i="26"/>
  <c r="X3458" i="26"/>
  <c r="X227" i="26"/>
  <c r="X579" i="26"/>
  <c r="X450" i="26"/>
  <c r="X223" i="26"/>
  <c r="X105" i="26"/>
  <c r="X654" i="26"/>
  <c r="X495" i="26"/>
  <c r="X81" i="26"/>
  <c r="X744" i="26"/>
  <c r="X1292" i="26"/>
  <c r="X54" i="26"/>
  <c r="X841" i="26"/>
  <c r="X1363" i="26"/>
  <c r="X209" i="26"/>
  <c r="X998" i="26"/>
  <c r="X1429" i="26"/>
  <c r="X1855" i="26"/>
  <c r="X697" i="26"/>
  <c r="X1082" i="26"/>
  <c r="X1448" i="26"/>
  <c r="X602" i="26"/>
  <c r="X1087" i="26"/>
  <c r="X1664" i="26"/>
  <c r="X1950" i="26"/>
  <c r="X2278" i="26"/>
  <c r="X2590" i="26"/>
  <c r="X2806" i="26"/>
  <c r="X3134" i="26"/>
  <c r="X3374" i="26"/>
  <c r="X576" i="26"/>
  <c r="X1279" i="26"/>
  <c r="X1697" i="26"/>
  <c r="X2023" i="26"/>
  <c r="X2231" i="26"/>
  <c r="X2511" i="26"/>
  <c r="X2727" i="26"/>
  <c r="X2903" i="26"/>
  <c r="X3119" i="26"/>
  <c r="X3311" i="26"/>
  <c r="X3535" i="26"/>
  <c r="X125" i="26"/>
  <c r="X891" i="26"/>
  <c r="X1533" i="26"/>
  <c r="X1857" i="26"/>
  <c r="X2155" i="26"/>
  <c r="X2443" i="26"/>
  <c r="X2699" i="26"/>
  <c r="X2997" i="26"/>
  <c r="X3233" i="26"/>
  <c r="X126" i="26"/>
  <c r="X1048" i="26"/>
  <c r="X1477" i="26"/>
  <c r="X1883" i="26"/>
  <c r="X2136" i="26"/>
  <c r="X909" i="26"/>
  <c r="X1598" i="26"/>
  <c r="X1909" i="26"/>
  <c r="X2281" i="26"/>
  <c r="X2513" i="26"/>
  <c r="X2793" i="26"/>
  <c r="X3085" i="26"/>
  <c r="X3316" i="26"/>
  <c r="X102" i="26"/>
  <c r="X1032" i="26"/>
  <c r="X1688" i="26"/>
  <c r="X2056" i="26"/>
  <c r="X2307" i="26"/>
  <c r="X2600" i="26"/>
  <c r="X2843" i="26"/>
  <c r="X3136" i="26"/>
  <c r="X3452" i="26"/>
  <c r="X565" i="26"/>
  <c r="X1370" i="26"/>
  <c r="X1829" i="26"/>
  <c r="X2185" i="26"/>
  <c r="X2480" i="26"/>
  <c r="X2712" i="26"/>
  <c r="X2992" i="26"/>
  <c r="X3224" i="26"/>
  <c r="X108" i="26"/>
  <c r="X1139" i="26"/>
  <c r="X1635" i="26"/>
  <c r="X2032" i="26"/>
  <c r="X2309" i="26"/>
  <c r="X2578" i="26"/>
  <c r="X2907" i="26"/>
  <c r="X3114" i="26"/>
  <c r="X3443" i="26"/>
  <c r="X774" i="26"/>
  <c r="X1431" i="26"/>
  <c r="X1884" i="26"/>
  <c r="X2173" i="26"/>
  <c r="X2469" i="26"/>
  <c r="X963" i="26"/>
  <c r="X2328" i="26"/>
  <c r="X2936" i="26"/>
  <c r="X3448" i="26"/>
  <c r="X2925" i="26"/>
  <c r="X1387" i="26"/>
  <c r="X2329" i="26"/>
  <c r="X2961" i="26"/>
  <c r="X3325" i="26"/>
  <c r="X1463" i="26"/>
  <c r="X2267" i="26"/>
  <c r="X2816" i="26"/>
  <c r="X3156" i="26"/>
  <c r="X596" i="26"/>
  <c r="X1902" i="26"/>
  <c r="X2436" i="26"/>
  <c r="X2921" i="26"/>
  <c r="X3312" i="26"/>
  <c r="X1150" i="26"/>
  <c r="X1949" i="26"/>
  <c r="X2508" i="26"/>
  <c r="X2874" i="26"/>
  <c r="X3192" i="26"/>
  <c r="X337" i="26"/>
  <c r="X1563" i="26"/>
  <c r="X2217" i="26"/>
  <c r="X2705" i="26"/>
  <c r="X3045" i="26"/>
  <c r="X3533" i="26"/>
  <c r="X1641" i="26"/>
  <c r="X2218" i="26"/>
  <c r="X2609" i="26"/>
  <c r="X3024" i="26"/>
  <c r="X3364" i="26"/>
  <c r="X960" i="26"/>
  <c r="X1922" i="26"/>
  <c r="X2387" i="26"/>
  <c r="X2787" i="26"/>
  <c r="X3202" i="26"/>
  <c r="X243" i="26"/>
  <c r="X683" i="26"/>
  <c r="X460" i="26"/>
  <c r="X369" i="26"/>
  <c r="X124" i="26"/>
  <c r="X672" i="26"/>
  <c r="X511" i="26"/>
  <c r="X98" i="26"/>
  <c r="X940" i="26"/>
  <c r="X1324" i="26"/>
  <c r="X73" i="26"/>
  <c r="X851" i="26"/>
  <c r="X1427" i="26"/>
  <c r="X536" i="26"/>
  <c r="X1045" i="26"/>
  <c r="X1529" i="26"/>
  <c r="X1879" i="26"/>
  <c r="X801" i="26"/>
  <c r="X1174" i="26"/>
  <c r="X1503" i="26"/>
  <c r="X637" i="26"/>
  <c r="X1205" i="26"/>
  <c r="X2046" i="26"/>
  <c r="X2286" i="26"/>
  <c r="X2598" i="26"/>
  <c r="X2846" i="26"/>
  <c r="X3142" i="26"/>
  <c r="X3462" i="26"/>
  <c r="X604" i="26"/>
  <c r="X1295" i="26"/>
  <c r="X1707" i="26"/>
  <c r="X2055" i="26"/>
  <c r="X2319" i="26"/>
  <c r="X2519" i="26"/>
  <c r="X2735" i="26"/>
  <c r="X2927" i="26"/>
  <c r="X3151" i="26"/>
  <c r="X3383" i="26"/>
  <c r="X3543" i="26"/>
  <c r="X220" i="26"/>
  <c r="X1023" i="26"/>
  <c r="X1551" i="26"/>
  <c r="X1930" i="26"/>
  <c r="X2165" i="26"/>
  <c r="X2465" i="26"/>
  <c r="X2721" i="26"/>
  <c r="X3029" i="26"/>
  <c r="X3329" i="26"/>
  <c r="X166" i="26"/>
  <c r="X1066" i="26"/>
  <c r="X1495" i="26"/>
  <c r="X1894" i="26"/>
  <c r="X100" i="26"/>
  <c r="X942" i="26"/>
  <c r="X1624" i="26"/>
  <c r="X1969" i="26"/>
  <c r="X2292" i="26"/>
  <c r="X2818" i="26"/>
  <c r="X3098" i="26"/>
  <c r="X3330" i="26"/>
  <c r="X354" i="26"/>
  <c r="X1239" i="26"/>
  <c r="X1709" i="26"/>
  <c r="X2068" i="26"/>
  <c r="X2344" i="26"/>
  <c r="X2611" i="26"/>
  <c r="X2940" i="26"/>
  <c r="X3148" i="26"/>
  <c r="X3465" i="26"/>
  <c r="X796" i="26"/>
  <c r="X1399" i="26"/>
  <c r="X1912" i="26"/>
  <c r="X2200" i="26"/>
  <c r="X2491" i="26"/>
  <c r="X2723" i="26"/>
  <c r="X3052" i="26"/>
  <c r="X3321" i="26"/>
  <c r="X184" i="26"/>
  <c r="X1168" i="26"/>
  <c r="X1656" i="26"/>
  <c r="X2044" i="26"/>
  <c r="X2408" i="26"/>
  <c r="X2602" i="26"/>
  <c r="X2920" i="26"/>
  <c r="X3152" i="26"/>
  <c r="X3456" i="26"/>
  <c r="X928" i="26"/>
  <c r="X1459" i="26"/>
  <c r="X1914" i="26"/>
  <c r="X2189" i="26"/>
  <c r="X1518" i="26"/>
  <c r="X2362" i="26"/>
  <c r="X3008" i="26"/>
  <c r="X3472" i="26"/>
  <c r="X2036" i="26"/>
  <c r="X1804" i="26"/>
  <c r="X2363" i="26"/>
  <c r="X2985" i="26"/>
  <c r="X3400" i="26"/>
  <c r="X1617" i="26"/>
  <c r="X2400" i="26"/>
  <c r="X2841" i="26"/>
  <c r="X3256" i="26"/>
  <c r="X751" i="26"/>
  <c r="X1948" i="26"/>
  <c r="X2472" i="26"/>
  <c r="X3018" i="26"/>
  <c r="X3482" i="26"/>
  <c r="X1353" i="26"/>
  <c r="X1992" i="26"/>
  <c r="X2536" i="26"/>
  <c r="X2898" i="26"/>
  <c r="X3264" i="26"/>
  <c r="X777" i="26"/>
  <c r="X1638" i="26"/>
  <c r="X2252" i="26"/>
  <c r="X2729" i="26"/>
  <c r="X3144" i="26"/>
  <c r="X156" i="26"/>
  <c r="X1698" i="26"/>
  <c r="X2253" i="26"/>
  <c r="X2682" i="26"/>
  <c r="X3097" i="26"/>
  <c r="X1022" i="26"/>
  <c r="X1965" i="26"/>
  <c r="X2484" i="26"/>
  <c r="X2811" i="26"/>
  <c r="X3226" i="26"/>
  <c r="X597" i="26"/>
  <c r="X3362" i="26"/>
  <c r="X101" i="26"/>
  <c r="X1223" i="26"/>
  <c r="X2170" i="26"/>
  <c r="X2013" i="26"/>
  <c r="X3173" i="26"/>
  <c r="X1349" i="26"/>
  <c r="X2212" i="26"/>
  <c r="X2737" i="26"/>
  <c r="X3309" i="26"/>
  <c r="X1094" i="26"/>
  <c r="X2003" i="26"/>
  <c r="X1754" i="26"/>
  <c r="X3130" i="26"/>
  <c r="X901" i="26"/>
  <c r="X2643" i="26"/>
  <c r="X741" i="26"/>
  <c r="X3011" i="26"/>
  <c r="X1333" i="26"/>
  <c r="X2701" i="26"/>
  <c r="X137" i="26"/>
  <c r="X2243" i="26"/>
  <c r="X3068" i="26"/>
  <c r="X1019" i="26"/>
  <c r="X2474" i="26"/>
  <c r="X1095" i="26"/>
  <c r="X2483" i="26"/>
  <c r="X3170" i="26"/>
  <c r="X2120" i="26"/>
  <c r="X2981" i="26"/>
  <c r="X249" i="26"/>
  <c r="X543" i="26"/>
  <c r="X336" i="26"/>
  <c r="X566" i="26"/>
  <c r="X1532" i="26"/>
  <c r="X1089" i="26"/>
  <c r="X719" i="26"/>
  <c r="X1739" i="26"/>
  <c r="X1293" i="26"/>
  <c r="X1014" i="26"/>
  <c r="X1915" i="26"/>
  <c r="X2454" i="26"/>
  <c r="X3014" i="26"/>
  <c r="X53" i="26"/>
  <c r="X1674" i="26"/>
  <c r="X2573" i="26"/>
  <c r="X2506" i="26"/>
  <c r="X3388" i="26"/>
  <c r="X323" i="26"/>
  <c r="X121" i="26"/>
  <c r="X569" i="26"/>
  <c r="X378" i="26"/>
  <c r="X224" i="26"/>
  <c r="X698" i="26"/>
  <c r="X757" i="26"/>
  <c r="X182" i="26"/>
  <c r="X949" i="26"/>
  <c r="X1332" i="26"/>
  <c r="X152" i="26"/>
  <c r="X1016" i="26"/>
  <c r="X1437" i="26"/>
  <c r="X630" i="26"/>
  <c r="X1054" i="26"/>
  <c r="X1538" i="26"/>
  <c r="X154" i="26"/>
  <c r="X811" i="26"/>
  <c r="X1256" i="26"/>
  <c r="X1539" i="26"/>
  <c r="X726" i="26"/>
  <c r="X1306" i="26"/>
  <c r="X1759" i="26"/>
  <c r="X2054" i="26"/>
  <c r="X2342" i="26"/>
  <c r="X2606" i="26"/>
  <c r="X2934" i="26"/>
  <c r="X3174" i="26"/>
  <c r="X3478" i="26"/>
  <c r="X664" i="26"/>
  <c r="X1307" i="26"/>
  <c r="X1816" i="26"/>
  <c r="X2063" i="26"/>
  <c r="X2343" i="26"/>
  <c r="X2527" i="26"/>
  <c r="X2743" i="26"/>
  <c r="X2999" i="26"/>
  <c r="X3159" i="26"/>
  <c r="X3399" i="26"/>
  <c r="X212" i="26"/>
  <c r="X372" i="26"/>
  <c r="X1141" i="26"/>
  <c r="X1569" i="26"/>
  <c r="X1953" i="26"/>
  <c r="X2209" i="26"/>
  <c r="X2517" i="26"/>
  <c r="X2817" i="26"/>
  <c r="X3041" i="26"/>
  <c r="X3339" i="26"/>
  <c r="X221" i="26"/>
  <c r="X1085" i="26"/>
  <c r="X1662" i="26"/>
  <c r="X1908" i="26"/>
  <c r="X225" i="26"/>
  <c r="X1078" i="26"/>
  <c r="X1650" i="26"/>
  <c r="X2041" i="26"/>
  <c r="X2306" i="26"/>
  <c r="X2597" i="26"/>
  <c r="X2829" i="26"/>
  <c r="X3160" i="26"/>
  <c r="X3427" i="26"/>
  <c r="X430" i="26"/>
  <c r="X1267" i="26"/>
  <c r="X1725" i="26"/>
  <c r="X2098" i="26"/>
  <c r="X2417" i="26"/>
  <c r="X2636" i="26"/>
  <c r="X2953" i="26"/>
  <c r="X3185" i="26"/>
  <c r="X3476" i="26"/>
  <c r="X921" i="26"/>
  <c r="X1504" i="26"/>
  <c r="X1945" i="26"/>
  <c r="X2211" i="26"/>
  <c r="X2528" i="26"/>
  <c r="X2820" i="26"/>
  <c r="X3065" i="26"/>
  <c r="X3345" i="26"/>
  <c r="X311" i="26"/>
  <c r="X1194" i="26"/>
  <c r="X1801" i="26"/>
  <c r="X2058" i="26"/>
  <c r="X2419" i="26"/>
  <c r="X2651" i="26"/>
  <c r="X2931" i="26"/>
  <c r="X3236" i="26"/>
  <c r="X3468" i="26"/>
  <c r="X954" i="26"/>
  <c r="X1480" i="26"/>
  <c r="X1977" i="26"/>
  <c r="X2288" i="26"/>
  <c r="X2520" i="26"/>
  <c r="X1595" i="26"/>
  <c r="X2388" i="26"/>
  <c r="X3033" i="26"/>
  <c r="X3360" i="26"/>
  <c r="X3005" i="26"/>
  <c r="X1853" i="26"/>
  <c r="X2460" i="26"/>
  <c r="X3010" i="26"/>
  <c r="X3522" i="26"/>
  <c r="X1667" i="26"/>
  <c r="X2435" i="26"/>
  <c r="X2865" i="26"/>
  <c r="X3280" i="26"/>
  <c r="X838" i="26"/>
  <c r="X2652" i="26"/>
  <c r="X3043" i="26"/>
  <c r="X3506" i="26"/>
  <c r="X1414" i="26"/>
  <c r="X2179" i="26"/>
  <c r="X2570" i="26"/>
  <c r="X2922" i="26"/>
  <c r="X3337" i="26"/>
  <c r="X845" i="26"/>
  <c r="X1682" i="26"/>
  <c r="X2349" i="26"/>
  <c r="X2754" i="26"/>
  <c r="X3193" i="26"/>
  <c r="X938" i="26"/>
  <c r="X1741" i="26"/>
  <c r="X2289" i="26"/>
  <c r="X2755" i="26"/>
  <c r="X3121" i="26"/>
  <c r="X3412" i="26"/>
  <c r="X1231" i="26"/>
  <c r="X2004" i="26"/>
  <c r="X2521" i="26"/>
  <c r="X2932" i="26"/>
  <c r="X3250" i="26"/>
  <c r="X387" i="26"/>
  <c r="X1769" i="26"/>
  <c r="X886" i="26"/>
  <c r="X2071" i="26"/>
  <c r="X2599" i="26"/>
  <c r="X3015" i="26"/>
  <c r="X3407" i="26"/>
  <c r="X410" i="26"/>
  <c r="X1179" i="26"/>
  <c r="X1590" i="26"/>
  <c r="X2005" i="26"/>
  <c r="X2529" i="26"/>
  <c r="X2827" i="26"/>
  <c r="X3083" i="26"/>
  <c r="X3371" i="26"/>
  <c r="X1105" i="26"/>
  <c r="X1678" i="26"/>
  <c r="X1976" i="26"/>
  <c r="X290" i="26"/>
  <c r="X1185" i="26"/>
  <c r="X2067" i="26"/>
  <c r="X2317" i="26"/>
  <c r="X2634" i="26"/>
  <c r="X2928" i="26"/>
  <c r="X3171" i="26"/>
  <c r="X3451" i="26"/>
  <c r="X1288" i="26"/>
  <c r="X1862" i="26"/>
  <c r="X2112" i="26"/>
  <c r="X2452" i="26"/>
  <c r="X2684" i="26"/>
  <c r="X2964" i="26"/>
  <c r="X3258" i="26"/>
  <c r="X3490" i="26"/>
  <c r="X974" i="26"/>
  <c r="X1525" i="26"/>
  <c r="X2308" i="26"/>
  <c r="X2540" i="26"/>
  <c r="X2833" i="26"/>
  <c r="X3076" i="26"/>
  <c r="X3369" i="26"/>
  <c r="X737" i="26"/>
  <c r="X1215" i="26"/>
  <c r="X1817" i="26"/>
  <c r="X2130" i="26"/>
  <c r="X2432" i="26"/>
  <c r="X2713" i="26"/>
  <c r="X2956" i="26"/>
  <c r="X3249" i="26"/>
  <c r="X1067" i="26"/>
  <c r="X1679" i="26"/>
  <c r="X1989" i="26"/>
  <c r="X2299" i="26"/>
  <c r="X2555" i="26"/>
  <c r="X1701" i="26"/>
  <c r="X2642" i="26"/>
  <c r="X3057" i="26"/>
  <c r="X281" i="26"/>
  <c r="X404" i="26"/>
  <c r="X1890" i="26"/>
  <c r="X2619" i="26"/>
  <c r="X3034" i="26"/>
  <c r="X90" i="26"/>
  <c r="X1720" i="26"/>
  <c r="X2532" i="26"/>
  <c r="X2986" i="26"/>
  <c r="X1275" i="26"/>
  <c r="X2096" i="26"/>
  <c r="X2676" i="26"/>
  <c r="X3067" i="26"/>
  <c r="X3530" i="26"/>
  <c r="X1488" i="26"/>
  <c r="X2216" i="26"/>
  <c r="X2653" i="26"/>
  <c r="X2947" i="26"/>
  <c r="X930" i="26"/>
  <c r="X1826" i="26"/>
  <c r="X2448" i="26"/>
  <c r="X2778" i="26"/>
  <c r="X3241" i="26"/>
  <c r="X1021" i="26"/>
  <c r="X1874" i="26"/>
  <c r="X2316" i="26"/>
  <c r="X2779" i="26"/>
  <c r="X3145" i="26"/>
  <c r="X1442" i="26"/>
  <c r="X2077" i="26"/>
  <c r="X2547" i="26"/>
  <c r="X2957" i="26"/>
  <c r="X3347" i="26"/>
  <c r="X403" i="26"/>
  <c r="X104" i="26"/>
  <c r="X534" i="26"/>
  <c r="X425" i="26"/>
  <c r="X847" i="26"/>
  <c r="X549" i="26"/>
  <c r="X1028" i="26"/>
  <c r="X1516" i="26"/>
  <c r="X189" i="26"/>
  <c r="X1080" i="26"/>
  <c r="X1610" i="26"/>
  <c r="X708" i="26"/>
  <c r="X1237" i="26"/>
  <c r="X1611" i="26"/>
  <c r="X192" i="26"/>
  <c r="X957" i="26"/>
  <c r="X1274" i="26"/>
  <c r="X24" i="26"/>
  <c r="X834" i="26"/>
  <c r="X1440" i="26"/>
  <c r="X1888" i="26"/>
  <c r="X2134" i="26"/>
  <c r="X2390" i="26"/>
  <c r="X2678" i="26"/>
  <c r="X2950" i="26"/>
  <c r="X3286" i="26"/>
  <c r="X3518" i="26"/>
  <c r="X933" i="26"/>
  <c r="X1352" i="26"/>
  <c r="X1852" i="26"/>
  <c r="X2151" i="26"/>
  <c r="X2359" i="26"/>
  <c r="X2607" i="26"/>
  <c r="X2799" i="26"/>
  <c r="X3023" i="26"/>
  <c r="X3239" i="26"/>
  <c r="X3415" i="26"/>
  <c r="X367" i="26"/>
  <c r="X464" i="26"/>
  <c r="X1240" i="26"/>
  <c r="X1731" i="26"/>
  <c r="X2017" i="26"/>
  <c r="X2315" i="26"/>
  <c r="X2549" i="26"/>
  <c r="X2837" i="26"/>
  <c r="X3179" i="26"/>
  <c r="X3381" i="26"/>
  <c r="X700" i="26"/>
  <c r="X1733" i="26"/>
  <c r="X2050" i="26"/>
  <c r="X353" i="26"/>
  <c r="X1211" i="26"/>
  <c r="X1723" i="26"/>
  <c r="X2109" i="26"/>
  <c r="X2416" i="26"/>
  <c r="X2648" i="26"/>
  <c r="X2939" i="26"/>
  <c r="X3184" i="26"/>
  <c r="X3464" i="26"/>
  <c r="X857" i="26"/>
  <c r="X1314" i="26"/>
  <c r="X1876" i="26"/>
  <c r="X2466" i="26"/>
  <c r="X2746" i="26"/>
  <c r="X2978" i="26"/>
  <c r="X3269" i="26"/>
  <c r="X3514" i="26"/>
  <c r="X1086" i="26"/>
  <c r="X1710" i="26"/>
  <c r="X2321" i="26"/>
  <c r="X2564" i="26"/>
  <c r="X2857" i="26"/>
  <c r="X3380" i="26"/>
  <c r="X804" i="26"/>
  <c r="X1849" i="26"/>
  <c r="X2444" i="26"/>
  <c r="X2969" i="26"/>
  <c r="X319" i="26"/>
  <c r="X1695" i="26"/>
  <c r="X2323" i="26"/>
  <c r="X394" i="26"/>
  <c r="X2666" i="26"/>
  <c r="X3141" i="26"/>
  <c r="X1978" i="26"/>
  <c r="X3058" i="26"/>
  <c r="X2020" i="26"/>
  <c r="X2560" i="26"/>
  <c r="X3377" i="26"/>
  <c r="X2137" i="26"/>
  <c r="X3213" i="26"/>
  <c r="X1681" i="26"/>
  <c r="X2680" i="26"/>
  <c r="X3386" i="26"/>
  <c r="X1952" i="26"/>
  <c r="X2802" i="26"/>
  <c r="X1921" i="26"/>
  <c r="X2803" i="26"/>
  <c r="X198" i="26"/>
  <c r="X1517" i="26"/>
  <c r="X2641" i="26"/>
  <c r="X3372" i="26"/>
  <c r="X539" i="26"/>
  <c r="X150" i="26"/>
  <c r="X434" i="26"/>
  <c r="X855" i="26"/>
  <c r="X1076" i="26"/>
  <c r="X609" i="26"/>
  <c r="X1619" i="26"/>
  <c r="X1246" i="26"/>
  <c r="X327" i="26"/>
  <c r="X979" i="26"/>
  <c r="X52" i="26"/>
  <c r="X1469" i="26"/>
  <c r="X2142" i="26"/>
  <c r="X2726" i="26"/>
  <c r="X3294" i="26"/>
  <c r="X2064" i="26"/>
  <c r="X167" i="26"/>
  <c r="X488" i="26"/>
  <c r="X306" i="26"/>
  <c r="X28" i="26"/>
  <c r="X766" i="26"/>
  <c r="X216" i="26"/>
  <c r="X1020" i="26"/>
  <c r="X1460" i="26"/>
  <c r="X170" i="26"/>
  <c r="X1034" i="26"/>
  <c r="X1446" i="26"/>
  <c r="X648" i="26"/>
  <c r="X1227" i="26"/>
  <c r="X1557" i="26"/>
  <c r="X173" i="26"/>
  <c r="X822" i="26"/>
  <c r="X1265" i="26"/>
  <c r="X1649" i="26"/>
  <c r="X816" i="26"/>
  <c r="X1395" i="26"/>
  <c r="X2118" i="26"/>
  <c r="X2374" i="26"/>
  <c r="X2622" i="26"/>
  <c r="X2942" i="26"/>
  <c r="X3182" i="26"/>
  <c r="X3510" i="26"/>
  <c r="X1339" i="26"/>
  <c r="X1843" i="26"/>
  <c r="X2351" i="26"/>
  <c r="X2759" i="26"/>
  <c r="X3183" i="26"/>
  <c r="X335" i="26"/>
  <c r="X2305" i="26"/>
  <c r="X658" i="26"/>
  <c r="X1683" i="26"/>
  <c r="X492" i="26"/>
  <c r="X2001" i="26"/>
  <c r="X3492" i="26"/>
  <c r="X3353" i="26"/>
  <c r="X3485" i="26"/>
  <c r="X231" i="26"/>
  <c r="X547" i="26"/>
  <c r="X444" i="26"/>
  <c r="X1180" i="26"/>
  <c r="X1629" i="26"/>
  <c r="X345" i="26"/>
  <c r="X1042" i="26"/>
  <c r="X2462" i="26"/>
  <c r="X298" i="26"/>
  <c r="X1861" i="26"/>
  <c r="X2463" i="26"/>
  <c r="X3039" i="26"/>
  <c r="X546" i="26"/>
  <c r="X1509" i="26"/>
  <c r="X2337" i="26"/>
  <c r="X3189" i="26"/>
  <c r="X854" i="26"/>
  <c r="X2104" i="26"/>
  <c r="X1841" i="26"/>
  <c r="X2451" i="26"/>
  <c r="X3292" i="26"/>
  <c r="X1445" i="26"/>
  <c r="X2296" i="26"/>
  <c r="X3088" i="26"/>
  <c r="X1112" i="26"/>
  <c r="X2171" i="26"/>
  <c r="X2917" i="26"/>
  <c r="X836" i="26"/>
  <c r="X2002" i="26"/>
  <c r="X2797" i="26"/>
  <c r="X385" i="26"/>
  <c r="X1818" i="26"/>
  <c r="X813" i="26"/>
  <c r="X3276" i="26"/>
  <c r="X1330" i="26"/>
  <c r="X3252" i="26"/>
  <c r="X2595" i="26"/>
  <c r="X463" i="26"/>
  <c r="X2800" i="26"/>
  <c r="X1822" i="26"/>
  <c r="X2850" i="26"/>
  <c r="X1432" i="26"/>
  <c r="X2899" i="26"/>
  <c r="X1230" i="26"/>
  <c r="X2876" i="26"/>
  <c r="X877" i="26"/>
  <c r="X2738" i="26"/>
  <c r="X571" i="26"/>
  <c r="X517" i="26"/>
  <c r="X1268" i="26"/>
  <c r="X191" i="26"/>
  <c r="X686" i="26"/>
  <c r="X1074" i="26"/>
  <c r="X2478" i="26"/>
  <c r="X545" i="26"/>
  <c r="X1934" i="26"/>
  <c r="X2639" i="26"/>
  <c r="X3111" i="26"/>
  <c r="X577" i="26"/>
  <c r="X1757" i="26"/>
  <c r="X2401" i="26"/>
  <c r="X3201" i="26"/>
  <c r="X1317" i="26"/>
  <c r="X2114" i="26"/>
  <c r="X1875" i="26"/>
  <c r="X2672" i="26"/>
  <c r="X3305" i="26"/>
  <c r="X1550" i="26"/>
  <c r="X2477" i="26"/>
  <c r="X3123" i="26"/>
  <c r="X1138" i="26"/>
  <c r="X2332" i="26"/>
  <c r="X2979" i="26"/>
  <c r="X890" i="26"/>
  <c r="X2225" i="26"/>
  <c r="X2810" i="26"/>
  <c r="X446" i="26"/>
  <c r="X2117" i="26"/>
  <c r="X878" i="26"/>
  <c r="X3300" i="26"/>
  <c r="X2010" i="26"/>
  <c r="X3277" i="26"/>
  <c r="X2744" i="26"/>
  <c r="X1407" i="26"/>
  <c r="X2897" i="26"/>
  <c r="X1867" i="26"/>
  <c r="X3092" i="26"/>
  <c r="X1489" i="26"/>
  <c r="X2972" i="26"/>
  <c r="X1435" i="26"/>
  <c r="X2900" i="26"/>
  <c r="X1589" i="26"/>
  <c r="X2762" i="26"/>
  <c r="X2147" i="26"/>
  <c r="X1645" i="26"/>
  <c r="X441" i="26"/>
  <c r="X381" i="26"/>
  <c r="X1636" i="26"/>
  <c r="X893" i="26"/>
  <c r="X1037" i="26"/>
  <c r="X1654" i="26"/>
  <c r="X2798" i="26"/>
  <c r="X1047" i="26"/>
  <c r="X2159" i="26"/>
  <c r="X2655" i="26"/>
  <c r="X3295" i="26"/>
  <c r="X805" i="26"/>
  <c r="X1809" i="26"/>
  <c r="X2657" i="26"/>
  <c r="X3425" i="26"/>
  <c r="X1458" i="26"/>
  <c r="X856" i="26"/>
  <c r="X2139" i="26"/>
  <c r="X2780" i="26"/>
  <c r="X3524" i="26"/>
  <c r="X1910" i="26"/>
  <c r="X2587" i="26"/>
  <c r="X3344" i="26"/>
  <c r="X1726" i="26"/>
  <c r="X2405" i="26"/>
  <c r="X3197" i="26"/>
  <c r="X1450" i="26"/>
  <c r="X2285" i="26"/>
  <c r="X3090" i="26"/>
  <c r="X1114" i="26"/>
  <c r="X2161" i="26"/>
  <c r="X2121" i="26"/>
  <c r="X2300" i="26"/>
  <c r="X907" i="26"/>
  <c r="X3035" i="26"/>
  <c r="X1722" i="26"/>
  <c r="X3261" i="26"/>
  <c r="X2277" i="26"/>
  <c r="X3165" i="26"/>
  <c r="X2034" i="26"/>
  <c r="X3338" i="26"/>
  <c r="X2076" i="26"/>
  <c r="X3194" i="26"/>
  <c r="X1699" i="26"/>
  <c r="X159" i="26"/>
  <c r="X628" i="26"/>
  <c r="X1264" i="26"/>
  <c r="X1411" i="26"/>
  <c r="X1924" i="26"/>
  <c r="X3030" i="26"/>
  <c r="X1104" i="26"/>
  <c r="X2167" i="26"/>
  <c r="X2855" i="26"/>
  <c r="X3303" i="26"/>
  <c r="X846" i="26"/>
  <c r="X2037" i="26"/>
  <c r="X2689" i="26"/>
  <c r="X3499" i="26"/>
  <c r="X1745" i="26"/>
  <c r="X880" i="26"/>
  <c r="X2153" i="26"/>
  <c r="X2963" i="26"/>
  <c r="X45" i="26"/>
  <c r="X1926" i="26"/>
  <c r="X2757" i="26"/>
  <c r="X3355" i="26"/>
  <c r="X1746" i="26"/>
  <c r="X2661" i="26"/>
  <c r="X3210" i="26"/>
  <c r="X1479" i="26"/>
  <c r="X2457" i="26"/>
  <c r="X3101" i="26"/>
  <c r="X1326" i="26"/>
  <c r="X2348" i="26"/>
  <c r="X2162" i="26"/>
  <c r="X2740" i="26"/>
  <c r="X1406" i="26"/>
  <c r="X3059" i="26"/>
  <c r="X2339" i="26"/>
  <c r="X3288" i="26"/>
  <c r="X2313" i="26"/>
  <c r="X3459" i="26"/>
  <c r="X2180" i="26"/>
  <c r="X2192" i="26"/>
  <c r="X3315" i="26"/>
  <c r="X2227" i="26"/>
  <c r="X3129" i="26"/>
  <c r="X205" i="26"/>
  <c r="X753" i="26"/>
  <c r="X1365" i="26"/>
  <c r="X1942" i="26"/>
  <c r="X1571" i="26"/>
  <c r="X2863" i="26"/>
  <c r="X870" i="26"/>
  <c r="X2849" i="26"/>
  <c r="X1761" i="26"/>
  <c r="X2257" i="26"/>
  <c r="X888" i="26"/>
  <c r="X2808" i="26"/>
  <c r="X1765" i="26"/>
  <c r="X3418" i="26"/>
  <c r="X2554" i="26"/>
  <c r="X1350" i="26"/>
  <c r="X2691" i="26"/>
  <c r="X2765" i="26"/>
  <c r="X2052" i="26"/>
  <c r="X2373" i="26"/>
  <c r="X2410" i="26"/>
  <c r="X2509" i="26"/>
  <c r="X2512" i="26"/>
  <c r="X2324" i="26"/>
  <c r="X3396" i="26"/>
  <c r="X69" i="26"/>
  <c r="X1199" i="26"/>
  <c r="X109" i="26"/>
  <c r="X1587" i="26"/>
  <c r="X2895" i="26"/>
  <c r="X3511" i="26"/>
  <c r="X2145" i="26"/>
  <c r="X735" i="26"/>
  <c r="X1362" i="26"/>
  <c r="X3012" i="26"/>
  <c r="X2245" i="26"/>
  <c r="X436" i="26"/>
  <c r="X2029" i="26"/>
  <c r="X2698" i="26"/>
  <c r="X1865" i="26"/>
  <c r="X2565" i="26"/>
  <c r="X1713" i="26"/>
  <c r="X2715" i="26"/>
  <c r="X2789" i="26"/>
  <c r="X3401" i="26"/>
  <c r="X994" i="26"/>
  <c r="X3507" i="26"/>
  <c r="X3508" i="26"/>
  <c r="X2353" i="26"/>
  <c r="X87" i="26"/>
  <c r="X143" i="26"/>
  <c r="X3366" i="26"/>
  <c r="X2455" i="26"/>
  <c r="X3031" i="26"/>
  <c r="X1334" i="26"/>
  <c r="X2987" i="26"/>
  <c r="X2060" i="26"/>
  <c r="X2440" i="26"/>
  <c r="X1003" i="26"/>
  <c r="X2258" i="26"/>
  <c r="X502" i="26"/>
  <c r="X2868" i="26"/>
  <c r="X1899" i="26"/>
  <c r="X3432" i="26"/>
  <c r="X715" i="26"/>
  <c r="X1253" i="26"/>
  <c r="X2132" i="26"/>
  <c r="X2725" i="26"/>
  <c r="X2777" i="26"/>
  <c r="X2572" i="26"/>
  <c r="X2580" i="26"/>
  <c r="X529" i="26"/>
  <c r="X3420" i="26"/>
  <c r="X268" i="26"/>
  <c r="X365" i="26"/>
  <c r="X1604" i="26"/>
  <c r="X883" i="26"/>
  <c r="X1027" i="26"/>
  <c r="X1481" i="26"/>
  <c r="X2790" i="26"/>
  <c r="X952" i="26"/>
  <c r="X1991" i="26"/>
  <c r="X2647" i="26"/>
  <c r="X3247" i="26"/>
  <c r="X605" i="26"/>
  <c r="X1795" i="26"/>
  <c r="X2645" i="26"/>
  <c r="X3211" i="26"/>
  <c r="X1341" i="26"/>
  <c r="X490" i="26"/>
  <c r="X1891" i="26"/>
  <c r="X2769" i="26"/>
  <c r="X3488" i="26"/>
  <c r="X1578" i="26"/>
  <c r="X2490" i="26"/>
  <c r="X3320" i="26"/>
  <c r="X1344" i="26"/>
  <c r="X2370" i="26"/>
  <c r="X3186" i="26"/>
  <c r="X923" i="26"/>
  <c r="X2260" i="26"/>
  <c r="X3066" i="26"/>
  <c r="X585" i="26"/>
  <c r="X1936" i="26"/>
  <c r="X3397" i="26"/>
  <c r="X2266" i="26"/>
  <c r="X818" i="26"/>
  <c r="X2768" i="26"/>
  <c r="X1544" i="26"/>
  <c r="X3237" i="26"/>
  <c r="X1904" i="26"/>
  <c r="X3117" i="26"/>
  <c r="X1993" i="26"/>
  <c r="X2996" i="26"/>
  <c r="X1962" i="26"/>
  <c r="X2949" i="26"/>
  <c r="X3032" i="26"/>
  <c r="X2826" i="26"/>
  <c r="X3056" i="26"/>
  <c r="X863" i="26"/>
  <c r="X3021" i="26"/>
  <c r="X3436" i="26"/>
  <c r="X16" i="26"/>
  <c r="X1439" i="26"/>
  <c r="X3118" i="26"/>
  <c r="X2223" i="26"/>
  <c r="X3439" i="26"/>
  <c r="X2133" i="26"/>
  <c r="X3509" i="26"/>
  <c r="X1342" i="26"/>
  <c r="X2976" i="26"/>
  <c r="X1940" i="26"/>
  <c r="X374" i="26"/>
  <c r="X2674" i="26"/>
  <c r="X1607" i="26"/>
  <c r="X3322" i="26"/>
  <c r="X2385" i="26"/>
  <c r="X338" i="26"/>
  <c r="X3084" i="26"/>
  <c r="X752" i="26"/>
  <c r="X3483" i="26"/>
  <c r="X3484" i="26"/>
  <c r="X3340" i="26"/>
  <c r="X724" i="26"/>
  <c r="X1749" i="26"/>
  <c r="X2262" i="26"/>
  <c r="X3358" i="26"/>
  <c r="X2375" i="26"/>
  <c r="X1258" i="26"/>
  <c r="X2913" i="26"/>
  <c r="X1872" i="26"/>
  <c r="X2427" i="26"/>
  <c r="X944" i="26"/>
  <c r="X2832" i="26"/>
  <c r="X3504" i="26"/>
  <c r="X3333" i="26"/>
  <c r="X2458" i="26"/>
  <c r="X1049" i="26"/>
  <c r="X2093" i="26"/>
  <c r="X2402" i="26"/>
  <c r="X2704" i="26"/>
  <c r="X2545" i="26"/>
  <c r="X2546" i="26"/>
  <c r="X346" i="26"/>
  <c r="X3493" i="26"/>
  <c r="X734" i="26"/>
  <c r="X1309" i="26"/>
  <c r="X1758" i="26"/>
  <c r="X2270" i="26"/>
  <c r="X1655" i="26"/>
  <c r="X3527" i="26"/>
  <c r="X2325" i="26"/>
  <c r="X760" i="26"/>
  <c r="X1389" i="26"/>
  <c r="X3281" i="26"/>
  <c r="X3002" i="26"/>
  <c r="X2141" i="26"/>
  <c r="X3515" i="26"/>
  <c r="X2772" i="26"/>
  <c r="X1734" i="26"/>
  <c r="X2788" i="26"/>
  <c r="X3228" i="26"/>
  <c r="X280" i="26"/>
  <c r="X1070" i="26"/>
  <c r="X1077" i="26"/>
  <c r="X1152" i="26"/>
  <c r="X2714" i="26"/>
  <c r="R23" i="26"/>
  <c r="R21" i="26"/>
  <c r="I120" i="4"/>
  <c r="I84" i="4"/>
  <c r="I30" i="4"/>
  <c r="I25" i="4"/>
  <c r="I56" i="4"/>
  <c r="I94" i="4"/>
  <c r="I97" i="4"/>
  <c r="I116" i="4"/>
  <c r="I57" i="4"/>
  <c r="I88" i="4"/>
  <c r="I1" i="4"/>
  <c r="I19" i="4"/>
  <c r="I90" i="4"/>
  <c r="I108" i="4"/>
  <c r="I5" i="4"/>
  <c r="I35" i="4"/>
  <c r="I107" i="4"/>
  <c r="I39" i="4"/>
  <c r="I96" i="4"/>
  <c r="I43" i="4"/>
  <c r="I49" i="4"/>
  <c r="I68" i="4"/>
  <c r="I24" i="4"/>
  <c r="I113" i="4"/>
  <c r="I69" i="4"/>
  <c r="I36" i="4"/>
  <c r="I48" i="4"/>
  <c r="I104" i="4"/>
  <c r="I13" i="4"/>
  <c r="I105" i="4"/>
  <c r="I71" i="4"/>
  <c r="I66" i="4"/>
  <c r="I12" i="4"/>
  <c r="I59" i="4"/>
  <c r="I106" i="4"/>
  <c r="I23" i="4"/>
  <c r="I80" i="4"/>
  <c r="I126" i="4"/>
  <c r="I47" i="4"/>
  <c r="I72" i="4"/>
  <c r="I37" i="4"/>
  <c r="I7" i="4"/>
  <c r="I119" i="4"/>
  <c r="I124" i="4"/>
  <c r="I52" i="4"/>
  <c r="I81" i="4"/>
  <c r="I41" i="4"/>
  <c r="I98" i="4"/>
  <c r="I31" i="4"/>
  <c r="I10" i="4"/>
  <c r="I103" i="4"/>
  <c r="I111" i="4"/>
  <c r="I3" i="4"/>
  <c r="I32" i="4"/>
  <c r="I11" i="4"/>
  <c r="I62" i="4"/>
  <c r="I77" i="4"/>
  <c r="I46" i="4"/>
  <c r="I85" i="4"/>
  <c r="I40" i="4"/>
  <c r="I29" i="4"/>
  <c r="I123" i="4"/>
  <c r="I92" i="4"/>
  <c r="I33" i="4"/>
  <c r="I17" i="4"/>
  <c r="I4" i="4"/>
  <c r="I125" i="4"/>
  <c r="I34" i="4"/>
  <c r="I83" i="4"/>
  <c r="I16" i="4"/>
  <c r="I70" i="4"/>
  <c r="I27" i="4"/>
  <c r="I21" i="4"/>
  <c r="I118" i="4"/>
  <c r="I109" i="4"/>
  <c r="I122" i="4"/>
  <c r="I50" i="4"/>
  <c r="I112" i="4"/>
  <c r="I99" i="4"/>
  <c r="I14" i="4"/>
  <c r="I114" i="4"/>
  <c r="I101" i="4"/>
  <c r="I53" i="4"/>
  <c r="I67" i="4"/>
  <c r="I117" i="4"/>
  <c r="I42" i="4"/>
  <c r="I95" i="4"/>
  <c r="I86" i="4"/>
  <c r="I20" i="4"/>
  <c r="I115" i="4"/>
  <c r="I54" i="4"/>
  <c r="I9" i="4"/>
  <c r="I87" i="4"/>
  <c r="I44" i="4"/>
  <c r="I110" i="4"/>
  <c r="I78" i="4"/>
  <c r="I76" i="4"/>
  <c r="I102" i="4"/>
  <c r="I64" i="4"/>
  <c r="I45" i="4"/>
  <c r="I91" i="4"/>
  <c r="I65" i="4"/>
  <c r="I63" i="4"/>
  <c r="I60" i="4"/>
  <c r="I28" i="4"/>
  <c r="I18" i="4"/>
  <c r="I58" i="4"/>
  <c r="I89" i="4"/>
  <c r="I8" i="4"/>
  <c r="I73" i="4"/>
  <c r="I26" i="4"/>
  <c r="I121" i="4"/>
  <c r="I82" i="4"/>
  <c r="I55" i="4"/>
  <c r="I74" i="4"/>
  <c r="I79" i="4"/>
  <c r="I2" i="4"/>
  <c r="I75" i="4"/>
  <c r="I22" i="4"/>
  <c r="I61" i="4"/>
  <c r="I100" i="4"/>
  <c r="I38" i="4"/>
  <c r="I15" i="4"/>
  <c r="I93" i="4"/>
  <c r="I6" i="4"/>
  <c r="I51" i="4"/>
  <c r="Q29" i="26"/>
  <c r="Q24" i="26"/>
  <c r="Q46" i="26"/>
  <c r="Q18" i="26"/>
  <c r="Q14" i="26"/>
  <c r="Q45" i="26"/>
  <c r="Q25" i="26"/>
  <c r="Q39" i="26"/>
  <c r="Q20" i="26"/>
  <c r="Q12" i="26"/>
  <c r="Q38" i="26"/>
  <c r="Q30" i="26"/>
  <c r="Q36" i="26"/>
  <c r="Q15" i="26"/>
  <c r="Q42" i="26"/>
  <c r="Q37" i="26"/>
  <c r="Q31" i="26"/>
  <c r="Q19" i="26"/>
  <c r="Q43" i="26"/>
  <c r="Q35" i="26"/>
  <c r="Q27" i="26"/>
  <c r="Q41" i="26"/>
  <c r="Q13" i="26"/>
  <c r="Q44" i="26"/>
  <c r="Q26" i="26"/>
  <c r="Q28" i="26"/>
  <c r="Q17" i="26"/>
  <c r="Q40" i="26"/>
  <c r="Q22" i="26"/>
  <c r="Q11" i="26"/>
  <c r="Q16" i="26"/>
  <c r="Q32" i="26"/>
  <c r="Q34" i="26"/>
  <c r="Q33" i="26"/>
  <c r="D29" i="6"/>
  <c r="R33" i="26" l="1"/>
  <c r="R34" i="26"/>
  <c r="R32" i="26"/>
  <c r="R11" i="26"/>
  <c r="R22" i="26"/>
  <c r="R40" i="26"/>
  <c r="R28" i="26"/>
  <c r="R26" i="26"/>
  <c r="R44" i="26"/>
  <c r="R41" i="26"/>
  <c r="R27" i="26"/>
  <c r="R35" i="26"/>
  <c r="R19" i="26"/>
  <c r="R31" i="26"/>
  <c r="R37" i="26"/>
  <c r="R36" i="26"/>
  <c r="R30" i="26"/>
  <c r="R38" i="26"/>
  <c r="R20" i="26"/>
  <c r="R39" i="26"/>
  <c r="R25" i="26"/>
  <c r="R45" i="26"/>
  <c r="R18" i="26"/>
  <c r="R46" i="26"/>
  <c r="R24" i="26"/>
  <c r="R29" i="26"/>
  <c r="R42" i="26"/>
  <c r="R12" i="26"/>
  <c r="R14" i="26"/>
  <c r="R16" i="26"/>
  <c r="R17" i="26"/>
  <c r="R13" i="26"/>
  <c r="R43" i="26"/>
  <c r="R15" i="26"/>
  <c r="S11" i="26" l="1" a="1"/>
  <c r="S11" i="26"/>
  <c r="D27" i="6"/>
  <c r="D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<sst xmlns="http://schemas.openxmlformats.org/spreadsheetml/2006/main" count="432" uniqueCount="172">
  <si>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</si>
  <si>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</si>
  <si>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</si>
  <si>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</si>
  <si>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</si>
  <si>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</si>
  <si>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</si>
  <si>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</si>
  <si>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</si>
  <si>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</si>
  <si>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</si>
  <si>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</si>
  <si>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</si>
  <si>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</si>
  <si>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</si>
  <si>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</si>
  <si>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</si>
  <si>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</si>
  <si>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</si>
  <si>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</si>
  <si>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</si>
  <si>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</si>
  <si>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</si>
  <si>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</si>
  <si>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</si>
  <si>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</si>
  <si>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</si>
  <si>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</si>
  <si>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</si>
  <si>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</si>
  <si>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</si>
  <si>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</si>
  <si>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</si>
  <si>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</si>
  <si>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</si>
  <si>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</si>
  <si>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</si>
  <si>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</si>
  <si>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</si>
  <si>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</si>
  <si>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</si>
  <si>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</si>
  <si>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</si>
  <si>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</si>
  <si>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</si>
  <si>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</si>
  <si>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</si>
  <si>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</si>
  <si>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</si>
  <si>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</si>
  <si>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</si>
  <si>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</si>
  <si>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</si>
  <si>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</si>
  <si>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</si>
  <si>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</si>
  <si>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</si>
  <si>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</si>
  <si>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</si>
  <si>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</si>
  <si>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</si>
  <si>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</si>
  <si>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1S</t>
  </si>
  <si>
    <t>2S</t>
  </si>
  <si>
    <t>4S</t>
  </si>
  <si>
    <t>3S</t>
  </si>
  <si>
    <t>OIS</t>
  </si>
  <si>
    <t>ECB</t>
  </si>
  <si>
    <t>1YD</t>
  </si>
  <si>
    <t>9MD</t>
  </si>
  <si>
    <t>6MD</t>
  </si>
  <si>
    <t>5MD</t>
  </si>
  <si>
    <t>4MD</t>
  </si>
  <si>
    <t>3MD</t>
  </si>
  <si>
    <t>2MD</t>
  </si>
  <si>
    <t>1MD</t>
  </si>
  <si>
    <t>3WD</t>
  </si>
  <si>
    <t>2WD</t>
  </si>
  <si>
    <t>SWD</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</si>
  <si>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</si>
  <si>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</si>
  <si>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</si>
  <si>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</si>
  <si>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</si>
  <si>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</si>
  <si>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</si>
  <si>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</si>
  <si>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</si>
  <si>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</si>
  <si>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</si>
  <si>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</si>
  <si>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</si>
  <si>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</si>
  <si>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</si>
  <si>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</si>
  <si>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</si>
  <si>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</si>
  <si>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</si>
  <si>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</si>
  <si>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</si>
  <si>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</si>
  <si>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</si>
  <si>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</si>
  <si>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</si>
  <si>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</si>
  <si>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</si>
  <si>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</si>
  <si>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</si>
  <si>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</si>
  <si>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</si>
  <si>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</si>
  <si>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</si>
  <si>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</si>
  <si>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</si>
  <si>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</si>
  <si>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</si>
  <si>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</si>
  <si>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</si>
  <si>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</si>
  <si>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</si>
  <si>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</si>
  <si>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</si>
  <si>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</si>
  <si>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</si>
  <si>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</si>
  <si>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</si>
  <si>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</si>
  <si>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</si>
  <si>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EUR_YCRH_Deposits</t>
  </si>
  <si>
    <t>D</t>
  </si>
  <si>
    <t>SN</t>
  </si>
  <si>
    <t>2D</t>
  </si>
  <si>
    <t>TN</t>
  </si>
  <si>
    <t>1D</t>
  </si>
  <si>
    <t>EUR_YCRH_FRAs</t>
  </si>
  <si>
    <t>Modified Following</t>
  </si>
  <si>
    <t>Spread</t>
  </si>
  <si>
    <t>Day Count Convention</t>
  </si>
  <si>
    <t>Business Day Convention</t>
  </si>
  <si>
    <t>Freq</t>
  </si>
  <si>
    <t>Fwd start</t>
  </si>
  <si>
    <t>Following</t>
  </si>
  <si>
    <t>Annual</t>
  </si>
  <si>
    <t>1W</t>
  </si>
  <si>
    <t>Length</t>
  </si>
  <si>
    <t>Actual/360</t>
  </si>
  <si>
    <t>Discounting2</t>
  </si>
  <si>
    <t>Discounting</t>
  </si>
  <si>
    <t>MoneyMarketDayCounter</t>
  </si>
  <si>
    <t>EUR_YCRH_Swaps</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</si>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</sst>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ddd\,\ dd\-mmm\-yyyy"/>
    <numFmt numFmtId="166" formatCode="0.0000%"/>
    <numFmt numFmtId="167" formatCode="ddd\,\ d\-mmm\-yyyy"/>
    <numFmt numFmtId="168" formatCode="0.00000%"/>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4" fillId="0" borderId="0" applyFont="0" applyFill="0" applyBorder="0" applyAlignment="0" applyProtection="0"/>
  </cellStyleXfs>
  <cellXfs count="261">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49" fontId="2" fillId="2" borderId="18" xfId="1" applyNumberFormat="1" applyFont="1" applyFill="1" applyBorder="1" applyAlignment="1">
      <alignment horizontal="left"/>
    </xf>
    <xf numFmtId="49" fontId="2" fillId="2" borderId="0" xfId="1" applyNumberFormat="1" applyFont="1" applyFill="1" applyBorder="1" applyAlignment="1">
      <alignment horizontal="left"/>
    </xf>
    <xf numFmtId="167" fontId="2" fillId="0" borderId="0" xfId="1" applyNumberFormat="1" applyFont="1"/>
    <xf numFmtId="168" fontId="2" fillId="0" borderId="0" xfId="1" applyNumberFormat="1" applyFont="1"/>
    <xf numFmtId="166" fontId="2" fillId="0" borderId="0" xfId="1" applyNumberFormat="1" applyFont="1"/>
    <xf numFmtId="0" fontId="2" fillId="2" borderId="23" xfId="1" applyNumberFormat="1" applyFont="1" applyFill="1" applyBorder="1" applyAlignment="1">
      <alignment horizontal="left"/>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9"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1"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1" fontId="8" fillId="3" borderId="22" xfId="1" quotePrefix="1" applyNumberFormat="1" applyFont="1" applyFill="1" applyBorder="1" applyAlignment="1">
      <alignment horizontal="center"/>
    </xf>
    <xf numFmtId="0" fontId="8" fillId="4" borderId="29" xfId="1" applyFont="1" applyFill="1" applyBorder="1"/>
    <xf numFmtId="172"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3"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4" fontId="8" fillId="2" borderId="25" xfId="4" applyNumberFormat="1" applyFont="1" applyFill="1" applyBorder="1" applyAlignment="1">
      <alignment horizontal="left"/>
    </xf>
    <xf numFmtId="174"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2"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2"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left"/>
    </xf>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3" fontId="3" fillId="3" borderId="25" xfId="4" applyNumberFormat="1" applyFont="1" applyFill="1" applyBorder="1" applyAlignment="1" applyProtection="1">
      <alignment horizontal="left"/>
    </xf>
    <xf numFmtId="0" fontId="2" fillId="2" borderId="25" xfId="4" applyFont="1" applyFill="1" applyBorder="1"/>
    <xf numFmtId="0" fontId="2" fillId="0" borderId="25" xfId="4" applyFont="1" applyBorder="1" applyAlignment="1">
      <alignment horizontal="left"/>
    </xf>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2" fillId="2" borderId="34" xfId="4" applyFont="1" applyFill="1" applyBorder="1" applyAlignment="1">
      <alignment horizont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2" fillId="13" borderId="39" xfId="1" applyNumberFormat="1" applyFont="1" applyFill="1" applyBorder="1"/>
    <xf numFmtId="10" fontId="2" fillId="13" borderId="39" xfId="1" applyNumberFormat="1" applyFont="1" applyFill="1" applyBorder="1"/>
    <xf numFmtId="9" fontId="2" fillId="0" borderId="0" xfId="1" applyNumberFormat="1" applyFont="1" applyBorder="1"/>
    <xf numFmtId="178" fontId="2" fillId="0" borderId="0" xfId="1" applyNumberFormat="1" applyFont="1"/>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4" fillId="11"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1" borderId="16" xfId="1" applyFont="1" applyFill="1" applyBorder="1" applyAlignment="1">
      <alignment horizontal="center"/>
    </xf>
    <xf numFmtId="0" fontId="4" fillId="11" borderId="35" xfId="1" applyFont="1" applyFill="1" applyBorder="1" applyAlignment="1">
      <alignment horizontal="center"/>
    </xf>
    <xf numFmtId="0" fontId="4" fillId="11" borderId="15" xfId="1" applyFont="1" applyFill="1" applyBorder="1" applyAlignment="1">
      <alignment horizontal="center" vertical="center"/>
    </xf>
    <xf numFmtId="165" fontId="2" fillId="0" borderId="0" xfId="1" applyNumberFormat="1" applyFont="1" applyBorder="1"/>
    <xf numFmtId="166" fontId="2" fillId="0" borderId="4" xfId="2"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0" fontId="4" fillId="11" borderId="34" xfId="1" applyFont="1" applyFill="1" applyBorder="1" applyAlignment="1">
      <alignment horizontal="right"/>
    </xf>
    <xf numFmtId="0" fontId="4" fillId="11" borderId="32" xfId="1" applyFont="1" applyFill="1" applyBorder="1" applyAlignment="1">
      <alignment horizontal="center"/>
    </xf>
    <xf numFmtId="166" fontId="2" fillId="0" borderId="0" xfId="2"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2" applyNumberFormat="1" applyFont="1" applyBorder="1"/>
    <xf numFmtId="0" fontId="2" fillId="0" borderId="2" xfId="1" applyFont="1" applyBorder="1" applyAlignment="1">
      <alignment horizontal="right"/>
    </xf>
    <xf numFmtId="0" fontId="2" fillId="0" borderId="2" xfId="1" applyFont="1" applyBorder="1"/>
    <xf numFmtId="166" fontId="2" fillId="0" borderId="2" xfId="13" applyNumberFormat="1" applyFont="1" applyBorder="1"/>
    <xf numFmtId="166" fontId="2" fillId="0" borderId="1" xfId="1" applyNumberFormat="1" applyFont="1" applyBorder="1"/>
    <xf numFmtId="165" fontId="2" fillId="0" borderId="2" xfId="1" applyNumberFormat="1" applyFont="1" applyBorder="1" applyAlignment="1"/>
    <xf numFmtId="166" fontId="2" fillId="0" borderId="5" xfId="2" quotePrefix="1" applyNumberFormat="1" applyFont="1" applyBorder="1" applyAlignment="1"/>
    <xf numFmtId="0" fontId="2" fillId="13" borderId="41" xfId="1" applyNumberFormat="1" applyFont="1" applyFill="1" applyBorder="1"/>
    <xf numFmtId="10" fontId="2" fillId="13" borderId="41" xfId="1" applyNumberFormat="1" applyFont="1" applyFill="1" applyBorder="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0" fontId="4" fillId="12" borderId="43" xfId="1" applyFont="1" applyFill="1" applyBorder="1" applyAlignment="1">
      <alignment horizontal="center"/>
    </xf>
    <xf numFmtId="0" fontId="4" fillId="12" borderId="44" xfId="1" applyFont="1" applyFill="1" applyBorder="1" applyAlignment="1">
      <alignment horizontal="center"/>
    </xf>
    <xf numFmtId="10" fontId="2" fillId="13" borderId="38" xfId="1" applyNumberFormat="1" applyFont="1" applyFill="1" applyBorder="1"/>
    <xf numFmtId="10" fontId="2" fillId="13" borderId="30" xfId="1" applyNumberFormat="1" applyFont="1" applyFill="1" applyBorder="1"/>
    <xf numFmtId="10" fontId="2" fillId="13" borderId="40" xfId="1" applyNumberFormat="1" applyFont="1" applyFill="1" applyBorder="1"/>
    <xf numFmtId="10" fontId="2" fillId="13" borderId="45" xfId="1" applyNumberFormat="1" applyFont="1" applyFill="1" applyBorder="1"/>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6" fillId="2" borderId="17" xfId="1" applyFont="1" applyFill="1" applyBorder="1" applyAlignment="1">
      <alignment horizontal="center"/>
    </xf>
    <xf numFmtId="15" fontId="8" fillId="2" borderId="30" xfId="3" applyNumberFormat="1" applyFont="1" applyFill="1" applyBorder="1" applyAlignment="1">
      <alignment horizontal="right" vertical="center"/>
    </xf>
    <xf numFmtId="0" fontId="8" fillId="2" borderId="20" xfId="3" applyFont="1" applyFill="1" applyBorder="1" applyAlignment="1">
      <alignment horizontal="center" vertical="center"/>
    </xf>
    <xf numFmtId="15" fontId="6" fillId="2" borderId="29" xfId="3" applyNumberFormat="1" applyFont="1" applyFill="1" applyBorder="1" applyAlignment="1">
      <alignment horizontal="right" vertical="center"/>
    </xf>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Monitor!$W$11:$W$3544</c:f>
              <c:numCache>
                <c:formatCode>ddd\,\ dd\-mmm\-yyyy</c:formatCode>
                <c:ptCount val="3534"/>
                <c:pt idx="0">
                  <c:v>41788</c:v>
                </c:pt>
                <c:pt idx="1">
                  <c:v>41789</c:v>
                </c:pt>
                <c:pt idx="2">
                  <c:v>41792</c:v>
                </c:pt>
                <c:pt idx="3">
                  <c:v>41793</c:v>
                </c:pt>
                <c:pt idx="4">
                  <c:v>41794</c:v>
                </c:pt>
                <c:pt idx="5">
                  <c:v>41795</c:v>
                </c:pt>
                <c:pt idx="6">
                  <c:v>41796</c:v>
                </c:pt>
                <c:pt idx="7">
                  <c:v>41799</c:v>
                </c:pt>
                <c:pt idx="8">
                  <c:v>41800</c:v>
                </c:pt>
                <c:pt idx="9">
                  <c:v>41801</c:v>
                </c:pt>
                <c:pt idx="10">
                  <c:v>41802</c:v>
                </c:pt>
                <c:pt idx="11">
                  <c:v>41803</c:v>
                </c:pt>
                <c:pt idx="12">
                  <c:v>41806</c:v>
                </c:pt>
                <c:pt idx="13">
                  <c:v>41807</c:v>
                </c:pt>
                <c:pt idx="14">
                  <c:v>41808</c:v>
                </c:pt>
                <c:pt idx="15">
                  <c:v>41809</c:v>
                </c:pt>
                <c:pt idx="16">
                  <c:v>41810</c:v>
                </c:pt>
                <c:pt idx="17">
                  <c:v>41813</c:v>
                </c:pt>
                <c:pt idx="18">
                  <c:v>41814</c:v>
                </c:pt>
                <c:pt idx="19">
                  <c:v>41815</c:v>
                </c:pt>
                <c:pt idx="20">
                  <c:v>41816</c:v>
                </c:pt>
                <c:pt idx="21">
                  <c:v>41817</c:v>
                </c:pt>
                <c:pt idx="22">
                  <c:v>41820</c:v>
                </c:pt>
                <c:pt idx="23">
                  <c:v>41821</c:v>
                </c:pt>
                <c:pt idx="24">
                  <c:v>41822</c:v>
                </c:pt>
                <c:pt idx="25">
                  <c:v>41823</c:v>
                </c:pt>
                <c:pt idx="26">
                  <c:v>41824</c:v>
                </c:pt>
                <c:pt idx="27">
                  <c:v>41827</c:v>
                </c:pt>
                <c:pt idx="28">
                  <c:v>41828</c:v>
                </c:pt>
                <c:pt idx="29">
                  <c:v>41829</c:v>
                </c:pt>
                <c:pt idx="30">
                  <c:v>41830</c:v>
                </c:pt>
                <c:pt idx="31">
                  <c:v>41831</c:v>
                </c:pt>
                <c:pt idx="32">
                  <c:v>41834</c:v>
                </c:pt>
                <c:pt idx="33">
                  <c:v>41835</c:v>
                </c:pt>
                <c:pt idx="34">
                  <c:v>41836</c:v>
                </c:pt>
                <c:pt idx="35">
                  <c:v>41837</c:v>
                </c:pt>
                <c:pt idx="36">
                  <c:v>41838</c:v>
                </c:pt>
                <c:pt idx="37">
                  <c:v>41841</c:v>
                </c:pt>
                <c:pt idx="38">
                  <c:v>41842</c:v>
                </c:pt>
                <c:pt idx="39">
                  <c:v>41843</c:v>
                </c:pt>
                <c:pt idx="40">
                  <c:v>41844</c:v>
                </c:pt>
                <c:pt idx="41">
                  <c:v>41845</c:v>
                </c:pt>
                <c:pt idx="42">
                  <c:v>41848</c:v>
                </c:pt>
                <c:pt idx="43">
                  <c:v>41849</c:v>
                </c:pt>
                <c:pt idx="44">
                  <c:v>41850</c:v>
                </c:pt>
                <c:pt idx="45">
                  <c:v>41851</c:v>
                </c:pt>
                <c:pt idx="46">
                  <c:v>41852</c:v>
                </c:pt>
                <c:pt idx="47">
                  <c:v>41855</c:v>
                </c:pt>
                <c:pt idx="48">
                  <c:v>41856</c:v>
                </c:pt>
                <c:pt idx="49">
                  <c:v>41857</c:v>
                </c:pt>
                <c:pt idx="50">
                  <c:v>41858</c:v>
                </c:pt>
                <c:pt idx="51">
                  <c:v>41859</c:v>
                </c:pt>
                <c:pt idx="52">
                  <c:v>41862</c:v>
                </c:pt>
                <c:pt idx="53">
                  <c:v>41863</c:v>
                </c:pt>
                <c:pt idx="54">
                  <c:v>41864</c:v>
                </c:pt>
                <c:pt idx="55">
                  <c:v>41865</c:v>
                </c:pt>
                <c:pt idx="56">
                  <c:v>41866</c:v>
                </c:pt>
                <c:pt idx="57">
                  <c:v>41869</c:v>
                </c:pt>
                <c:pt idx="58">
                  <c:v>41870</c:v>
                </c:pt>
                <c:pt idx="59">
                  <c:v>41871</c:v>
                </c:pt>
                <c:pt idx="60">
                  <c:v>41872</c:v>
                </c:pt>
                <c:pt idx="61">
                  <c:v>41873</c:v>
                </c:pt>
                <c:pt idx="62">
                  <c:v>41876</c:v>
                </c:pt>
                <c:pt idx="63">
                  <c:v>41877</c:v>
                </c:pt>
                <c:pt idx="64">
                  <c:v>41878</c:v>
                </c:pt>
                <c:pt idx="65">
                  <c:v>41879</c:v>
                </c:pt>
                <c:pt idx="66">
                  <c:v>41880</c:v>
                </c:pt>
                <c:pt idx="67">
                  <c:v>41883</c:v>
                </c:pt>
                <c:pt idx="68">
                  <c:v>41884</c:v>
                </c:pt>
                <c:pt idx="69">
                  <c:v>41885</c:v>
                </c:pt>
                <c:pt idx="70">
                  <c:v>41886</c:v>
                </c:pt>
                <c:pt idx="71">
                  <c:v>41887</c:v>
                </c:pt>
                <c:pt idx="72">
                  <c:v>41890</c:v>
                </c:pt>
                <c:pt idx="73">
                  <c:v>41891</c:v>
                </c:pt>
                <c:pt idx="74">
                  <c:v>41892</c:v>
                </c:pt>
                <c:pt idx="75">
                  <c:v>41893</c:v>
                </c:pt>
                <c:pt idx="76">
                  <c:v>41894</c:v>
                </c:pt>
                <c:pt idx="77">
                  <c:v>41897</c:v>
                </c:pt>
                <c:pt idx="78">
                  <c:v>41898</c:v>
                </c:pt>
                <c:pt idx="79">
                  <c:v>41899</c:v>
                </c:pt>
                <c:pt idx="80">
                  <c:v>41900</c:v>
                </c:pt>
                <c:pt idx="81">
                  <c:v>41901</c:v>
                </c:pt>
                <c:pt idx="82">
                  <c:v>41904</c:v>
                </c:pt>
                <c:pt idx="83">
                  <c:v>41905</c:v>
                </c:pt>
                <c:pt idx="84">
                  <c:v>41906</c:v>
                </c:pt>
                <c:pt idx="85">
                  <c:v>41907</c:v>
                </c:pt>
                <c:pt idx="86">
                  <c:v>41908</c:v>
                </c:pt>
                <c:pt idx="87">
                  <c:v>41911</c:v>
                </c:pt>
                <c:pt idx="88">
                  <c:v>41912</c:v>
                </c:pt>
                <c:pt idx="89">
                  <c:v>41913</c:v>
                </c:pt>
                <c:pt idx="90">
                  <c:v>41914</c:v>
                </c:pt>
                <c:pt idx="91">
                  <c:v>41915</c:v>
                </c:pt>
                <c:pt idx="92">
                  <c:v>41918</c:v>
                </c:pt>
                <c:pt idx="93">
                  <c:v>41919</c:v>
                </c:pt>
                <c:pt idx="94">
                  <c:v>41920</c:v>
                </c:pt>
                <c:pt idx="95">
                  <c:v>41921</c:v>
                </c:pt>
                <c:pt idx="96">
                  <c:v>41922</c:v>
                </c:pt>
                <c:pt idx="97">
                  <c:v>41925</c:v>
                </c:pt>
                <c:pt idx="98">
                  <c:v>41926</c:v>
                </c:pt>
                <c:pt idx="99">
                  <c:v>41927</c:v>
                </c:pt>
                <c:pt idx="100">
                  <c:v>41928</c:v>
                </c:pt>
                <c:pt idx="101">
                  <c:v>41929</c:v>
                </c:pt>
                <c:pt idx="102">
                  <c:v>41932</c:v>
                </c:pt>
                <c:pt idx="103">
                  <c:v>41933</c:v>
                </c:pt>
                <c:pt idx="104">
                  <c:v>41934</c:v>
                </c:pt>
                <c:pt idx="105">
                  <c:v>41935</c:v>
                </c:pt>
                <c:pt idx="106">
                  <c:v>41936</c:v>
                </c:pt>
                <c:pt idx="107">
                  <c:v>41939</c:v>
                </c:pt>
                <c:pt idx="108">
                  <c:v>41940</c:v>
                </c:pt>
                <c:pt idx="109">
                  <c:v>41941</c:v>
                </c:pt>
                <c:pt idx="110">
                  <c:v>41942</c:v>
                </c:pt>
                <c:pt idx="111">
                  <c:v>41943</c:v>
                </c:pt>
                <c:pt idx="112">
                  <c:v>41946</c:v>
                </c:pt>
                <c:pt idx="113">
                  <c:v>41947</c:v>
                </c:pt>
                <c:pt idx="114">
                  <c:v>41948</c:v>
                </c:pt>
                <c:pt idx="115">
                  <c:v>41949</c:v>
                </c:pt>
                <c:pt idx="116">
                  <c:v>41950</c:v>
                </c:pt>
                <c:pt idx="117">
                  <c:v>41953</c:v>
                </c:pt>
                <c:pt idx="118">
                  <c:v>41954</c:v>
                </c:pt>
                <c:pt idx="119">
                  <c:v>41955</c:v>
                </c:pt>
                <c:pt idx="120">
                  <c:v>41956</c:v>
                </c:pt>
                <c:pt idx="121">
                  <c:v>41957</c:v>
                </c:pt>
                <c:pt idx="122">
                  <c:v>41960</c:v>
                </c:pt>
                <c:pt idx="123">
                  <c:v>41961</c:v>
                </c:pt>
                <c:pt idx="124">
                  <c:v>41962</c:v>
                </c:pt>
                <c:pt idx="125">
                  <c:v>41963</c:v>
                </c:pt>
                <c:pt idx="126">
                  <c:v>41964</c:v>
                </c:pt>
                <c:pt idx="127">
                  <c:v>41967</c:v>
                </c:pt>
                <c:pt idx="128">
                  <c:v>41968</c:v>
                </c:pt>
                <c:pt idx="129">
                  <c:v>41969</c:v>
                </c:pt>
                <c:pt idx="130">
                  <c:v>41970</c:v>
                </c:pt>
                <c:pt idx="131">
                  <c:v>41971</c:v>
                </c:pt>
                <c:pt idx="132">
                  <c:v>41974</c:v>
                </c:pt>
                <c:pt idx="133">
                  <c:v>41975</c:v>
                </c:pt>
                <c:pt idx="134">
                  <c:v>41976</c:v>
                </c:pt>
                <c:pt idx="135">
                  <c:v>41977</c:v>
                </c:pt>
                <c:pt idx="136">
                  <c:v>41978</c:v>
                </c:pt>
                <c:pt idx="137">
                  <c:v>41981</c:v>
                </c:pt>
                <c:pt idx="138">
                  <c:v>41982</c:v>
                </c:pt>
                <c:pt idx="139">
                  <c:v>41983</c:v>
                </c:pt>
                <c:pt idx="140">
                  <c:v>41984</c:v>
                </c:pt>
                <c:pt idx="141">
                  <c:v>41985</c:v>
                </c:pt>
                <c:pt idx="142">
                  <c:v>41988</c:v>
                </c:pt>
                <c:pt idx="143">
                  <c:v>41989</c:v>
                </c:pt>
                <c:pt idx="144">
                  <c:v>41990</c:v>
                </c:pt>
                <c:pt idx="145">
                  <c:v>41991</c:v>
                </c:pt>
                <c:pt idx="146">
                  <c:v>41992</c:v>
                </c:pt>
                <c:pt idx="147">
                  <c:v>41995</c:v>
                </c:pt>
                <c:pt idx="148">
                  <c:v>41996</c:v>
                </c:pt>
                <c:pt idx="149">
                  <c:v>41997</c:v>
                </c:pt>
                <c:pt idx="150">
                  <c:v>42002</c:v>
                </c:pt>
                <c:pt idx="151">
                  <c:v>42003</c:v>
                </c:pt>
                <c:pt idx="152">
                  <c:v>42004</c:v>
                </c:pt>
                <c:pt idx="153">
                  <c:v>42006</c:v>
                </c:pt>
                <c:pt idx="154">
                  <c:v>42009</c:v>
                </c:pt>
                <c:pt idx="155">
                  <c:v>42010</c:v>
                </c:pt>
                <c:pt idx="156">
                  <c:v>42011</c:v>
                </c:pt>
                <c:pt idx="157">
                  <c:v>42012</c:v>
                </c:pt>
                <c:pt idx="158">
                  <c:v>42013</c:v>
                </c:pt>
                <c:pt idx="159">
                  <c:v>42016</c:v>
                </c:pt>
                <c:pt idx="160">
                  <c:v>42017</c:v>
                </c:pt>
                <c:pt idx="161">
                  <c:v>42018</c:v>
                </c:pt>
                <c:pt idx="162">
                  <c:v>42019</c:v>
                </c:pt>
                <c:pt idx="163">
                  <c:v>42020</c:v>
                </c:pt>
                <c:pt idx="164">
                  <c:v>42023</c:v>
                </c:pt>
                <c:pt idx="165">
                  <c:v>42024</c:v>
                </c:pt>
                <c:pt idx="166">
                  <c:v>42025</c:v>
                </c:pt>
                <c:pt idx="167">
                  <c:v>42026</c:v>
                </c:pt>
                <c:pt idx="168">
                  <c:v>42027</c:v>
                </c:pt>
                <c:pt idx="169">
                  <c:v>42030</c:v>
                </c:pt>
                <c:pt idx="170">
                  <c:v>42031</c:v>
                </c:pt>
                <c:pt idx="171">
                  <c:v>42032</c:v>
                </c:pt>
                <c:pt idx="172">
                  <c:v>42033</c:v>
                </c:pt>
                <c:pt idx="173">
                  <c:v>42034</c:v>
                </c:pt>
                <c:pt idx="174">
                  <c:v>42037</c:v>
                </c:pt>
                <c:pt idx="175">
                  <c:v>42038</c:v>
                </c:pt>
                <c:pt idx="176">
                  <c:v>42039</c:v>
                </c:pt>
                <c:pt idx="177">
                  <c:v>42040</c:v>
                </c:pt>
                <c:pt idx="178">
                  <c:v>42041</c:v>
                </c:pt>
                <c:pt idx="179">
                  <c:v>42044</c:v>
                </c:pt>
                <c:pt idx="180">
                  <c:v>42045</c:v>
                </c:pt>
                <c:pt idx="181">
                  <c:v>42046</c:v>
                </c:pt>
                <c:pt idx="182">
                  <c:v>42047</c:v>
                </c:pt>
                <c:pt idx="183">
                  <c:v>42048</c:v>
                </c:pt>
                <c:pt idx="184">
                  <c:v>42051</c:v>
                </c:pt>
                <c:pt idx="185">
                  <c:v>42052</c:v>
                </c:pt>
                <c:pt idx="186">
                  <c:v>42053</c:v>
                </c:pt>
                <c:pt idx="187">
                  <c:v>42054</c:v>
                </c:pt>
                <c:pt idx="188">
                  <c:v>42055</c:v>
                </c:pt>
                <c:pt idx="189">
                  <c:v>42058</c:v>
                </c:pt>
                <c:pt idx="190">
                  <c:v>42059</c:v>
                </c:pt>
                <c:pt idx="191">
                  <c:v>42060</c:v>
                </c:pt>
                <c:pt idx="192">
                  <c:v>42061</c:v>
                </c:pt>
                <c:pt idx="193">
                  <c:v>42062</c:v>
                </c:pt>
                <c:pt idx="194">
                  <c:v>42065</c:v>
                </c:pt>
                <c:pt idx="195">
                  <c:v>42066</c:v>
                </c:pt>
                <c:pt idx="196">
                  <c:v>42067</c:v>
                </c:pt>
                <c:pt idx="197">
                  <c:v>42068</c:v>
                </c:pt>
                <c:pt idx="198">
                  <c:v>42069</c:v>
                </c:pt>
                <c:pt idx="199">
                  <c:v>42072</c:v>
                </c:pt>
                <c:pt idx="200">
                  <c:v>42073</c:v>
                </c:pt>
                <c:pt idx="201">
                  <c:v>42074</c:v>
                </c:pt>
                <c:pt idx="202">
                  <c:v>42075</c:v>
                </c:pt>
                <c:pt idx="203">
                  <c:v>42076</c:v>
                </c:pt>
                <c:pt idx="204">
                  <c:v>42079</c:v>
                </c:pt>
                <c:pt idx="205">
                  <c:v>42080</c:v>
                </c:pt>
                <c:pt idx="206">
                  <c:v>42081</c:v>
                </c:pt>
                <c:pt idx="207">
                  <c:v>42082</c:v>
                </c:pt>
                <c:pt idx="208">
                  <c:v>42083</c:v>
                </c:pt>
                <c:pt idx="209">
                  <c:v>42086</c:v>
                </c:pt>
                <c:pt idx="210">
                  <c:v>42087</c:v>
                </c:pt>
                <c:pt idx="211">
                  <c:v>42088</c:v>
                </c:pt>
                <c:pt idx="212">
                  <c:v>42089</c:v>
                </c:pt>
                <c:pt idx="213">
                  <c:v>42090</c:v>
                </c:pt>
                <c:pt idx="214">
                  <c:v>42093</c:v>
                </c:pt>
                <c:pt idx="215">
                  <c:v>42094</c:v>
                </c:pt>
                <c:pt idx="216">
                  <c:v>42095</c:v>
                </c:pt>
                <c:pt idx="217">
                  <c:v>42096</c:v>
                </c:pt>
                <c:pt idx="218">
                  <c:v>42101</c:v>
                </c:pt>
                <c:pt idx="219">
                  <c:v>42102</c:v>
                </c:pt>
                <c:pt idx="220">
                  <c:v>42103</c:v>
                </c:pt>
                <c:pt idx="221">
                  <c:v>42104</c:v>
                </c:pt>
                <c:pt idx="222">
                  <c:v>42107</c:v>
                </c:pt>
                <c:pt idx="223">
                  <c:v>42108</c:v>
                </c:pt>
                <c:pt idx="224">
                  <c:v>42109</c:v>
                </c:pt>
                <c:pt idx="225">
                  <c:v>42110</c:v>
                </c:pt>
                <c:pt idx="226">
                  <c:v>42111</c:v>
                </c:pt>
                <c:pt idx="227">
                  <c:v>42114</c:v>
                </c:pt>
                <c:pt idx="228">
                  <c:v>42115</c:v>
                </c:pt>
                <c:pt idx="229">
                  <c:v>42116</c:v>
                </c:pt>
                <c:pt idx="230">
                  <c:v>42117</c:v>
                </c:pt>
                <c:pt idx="231">
                  <c:v>42118</c:v>
                </c:pt>
                <c:pt idx="232">
                  <c:v>42121</c:v>
                </c:pt>
                <c:pt idx="233">
                  <c:v>42122</c:v>
                </c:pt>
                <c:pt idx="234">
                  <c:v>42123</c:v>
                </c:pt>
                <c:pt idx="235">
                  <c:v>42124</c:v>
                </c:pt>
                <c:pt idx="236">
                  <c:v>42128</c:v>
                </c:pt>
                <c:pt idx="237">
                  <c:v>42129</c:v>
                </c:pt>
                <c:pt idx="238">
                  <c:v>42130</c:v>
                </c:pt>
                <c:pt idx="239">
                  <c:v>42131</c:v>
                </c:pt>
                <c:pt idx="240">
                  <c:v>42132</c:v>
                </c:pt>
                <c:pt idx="241">
                  <c:v>42135</c:v>
                </c:pt>
                <c:pt idx="242">
                  <c:v>42136</c:v>
                </c:pt>
                <c:pt idx="243">
                  <c:v>42137</c:v>
                </c:pt>
                <c:pt idx="244">
                  <c:v>42138</c:v>
                </c:pt>
                <c:pt idx="245">
                  <c:v>42139</c:v>
                </c:pt>
                <c:pt idx="246">
                  <c:v>42142</c:v>
                </c:pt>
                <c:pt idx="247">
                  <c:v>42143</c:v>
                </c:pt>
                <c:pt idx="248">
                  <c:v>42144</c:v>
                </c:pt>
                <c:pt idx="249">
                  <c:v>42145</c:v>
                </c:pt>
                <c:pt idx="250">
                  <c:v>42146</c:v>
                </c:pt>
                <c:pt idx="251">
                  <c:v>42149</c:v>
                </c:pt>
                <c:pt idx="252">
                  <c:v>42150</c:v>
                </c:pt>
                <c:pt idx="253">
                  <c:v>42151</c:v>
                </c:pt>
                <c:pt idx="254">
                  <c:v>42152</c:v>
                </c:pt>
                <c:pt idx="255">
                  <c:v>42153</c:v>
                </c:pt>
                <c:pt idx="256">
                  <c:v>42156</c:v>
                </c:pt>
                <c:pt idx="257">
                  <c:v>42157</c:v>
                </c:pt>
                <c:pt idx="258">
                  <c:v>42158</c:v>
                </c:pt>
                <c:pt idx="259">
                  <c:v>42159</c:v>
                </c:pt>
                <c:pt idx="260">
                  <c:v>42160</c:v>
                </c:pt>
                <c:pt idx="261">
                  <c:v>42163</c:v>
                </c:pt>
                <c:pt idx="262">
                  <c:v>42164</c:v>
                </c:pt>
                <c:pt idx="263">
                  <c:v>42165</c:v>
                </c:pt>
                <c:pt idx="264">
                  <c:v>42166</c:v>
                </c:pt>
                <c:pt idx="265">
                  <c:v>42167</c:v>
                </c:pt>
                <c:pt idx="266">
                  <c:v>42170</c:v>
                </c:pt>
                <c:pt idx="267">
                  <c:v>42171</c:v>
                </c:pt>
                <c:pt idx="268">
                  <c:v>42172</c:v>
                </c:pt>
                <c:pt idx="269">
                  <c:v>42173</c:v>
                </c:pt>
                <c:pt idx="270">
                  <c:v>42174</c:v>
                </c:pt>
                <c:pt idx="271">
                  <c:v>42177</c:v>
                </c:pt>
                <c:pt idx="272">
                  <c:v>42178</c:v>
                </c:pt>
                <c:pt idx="273">
                  <c:v>42179</c:v>
                </c:pt>
                <c:pt idx="274">
                  <c:v>42180</c:v>
                </c:pt>
                <c:pt idx="275">
                  <c:v>42181</c:v>
                </c:pt>
                <c:pt idx="276">
                  <c:v>42184</c:v>
                </c:pt>
                <c:pt idx="277">
                  <c:v>42185</c:v>
                </c:pt>
                <c:pt idx="278">
                  <c:v>42186</c:v>
                </c:pt>
                <c:pt idx="279">
                  <c:v>42187</c:v>
                </c:pt>
                <c:pt idx="280">
                  <c:v>42188</c:v>
                </c:pt>
                <c:pt idx="281">
                  <c:v>42191</c:v>
                </c:pt>
                <c:pt idx="282">
                  <c:v>42192</c:v>
                </c:pt>
                <c:pt idx="283">
                  <c:v>42193</c:v>
                </c:pt>
                <c:pt idx="284">
                  <c:v>42194</c:v>
                </c:pt>
                <c:pt idx="285">
                  <c:v>42195</c:v>
                </c:pt>
                <c:pt idx="286">
                  <c:v>42198</c:v>
                </c:pt>
                <c:pt idx="287">
                  <c:v>42199</c:v>
                </c:pt>
                <c:pt idx="288">
                  <c:v>42200</c:v>
                </c:pt>
                <c:pt idx="289">
                  <c:v>42201</c:v>
                </c:pt>
                <c:pt idx="290">
                  <c:v>42202</c:v>
                </c:pt>
                <c:pt idx="291">
                  <c:v>42205</c:v>
                </c:pt>
                <c:pt idx="292">
                  <c:v>42206</c:v>
                </c:pt>
                <c:pt idx="293">
                  <c:v>42207</c:v>
                </c:pt>
                <c:pt idx="294">
                  <c:v>42208</c:v>
                </c:pt>
                <c:pt idx="295">
                  <c:v>42209</c:v>
                </c:pt>
                <c:pt idx="296">
                  <c:v>42212</c:v>
                </c:pt>
                <c:pt idx="297">
                  <c:v>42213</c:v>
                </c:pt>
                <c:pt idx="298">
                  <c:v>42214</c:v>
                </c:pt>
                <c:pt idx="299">
                  <c:v>42215</c:v>
                </c:pt>
                <c:pt idx="300">
                  <c:v>42216</c:v>
                </c:pt>
                <c:pt idx="301">
                  <c:v>42219</c:v>
                </c:pt>
                <c:pt idx="302">
                  <c:v>42220</c:v>
                </c:pt>
                <c:pt idx="303">
                  <c:v>42221</c:v>
                </c:pt>
                <c:pt idx="304">
                  <c:v>42222</c:v>
                </c:pt>
                <c:pt idx="305">
                  <c:v>42223</c:v>
                </c:pt>
                <c:pt idx="306">
                  <c:v>42226</c:v>
                </c:pt>
                <c:pt idx="307">
                  <c:v>42227</c:v>
                </c:pt>
                <c:pt idx="308">
                  <c:v>42228</c:v>
                </c:pt>
                <c:pt idx="309">
                  <c:v>42229</c:v>
                </c:pt>
                <c:pt idx="310">
                  <c:v>42230</c:v>
                </c:pt>
                <c:pt idx="311">
                  <c:v>42233</c:v>
                </c:pt>
                <c:pt idx="312">
                  <c:v>42234</c:v>
                </c:pt>
                <c:pt idx="313">
                  <c:v>42235</c:v>
                </c:pt>
                <c:pt idx="314">
                  <c:v>42236</c:v>
                </c:pt>
                <c:pt idx="315">
                  <c:v>42237</c:v>
                </c:pt>
                <c:pt idx="316">
                  <c:v>42240</c:v>
                </c:pt>
                <c:pt idx="317">
                  <c:v>42241</c:v>
                </c:pt>
                <c:pt idx="318">
                  <c:v>42242</c:v>
                </c:pt>
                <c:pt idx="319">
                  <c:v>42243</c:v>
                </c:pt>
                <c:pt idx="320">
                  <c:v>42244</c:v>
                </c:pt>
                <c:pt idx="321">
                  <c:v>42247</c:v>
                </c:pt>
                <c:pt idx="322">
                  <c:v>42248</c:v>
                </c:pt>
                <c:pt idx="323">
                  <c:v>42249</c:v>
                </c:pt>
                <c:pt idx="324">
                  <c:v>42250</c:v>
                </c:pt>
                <c:pt idx="325">
                  <c:v>42251</c:v>
                </c:pt>
                <c:pt idx="326">
                  <c:v>42254</c:v>
                </c:pt>
                <c:pt idx="327">
                  <c:v>42255</c:v>
                </c:pt>
                <c:pt idx="328">
                  <c:v>42256</c:v>
                </c:pt>
                <c:pt idx="329">
                  <c:v>42257</c:v>
                </c:pt>
                <c:pt idx="330">
                  <c:v>42258</c:v>
                </c:pt>
                <c:pt idx="331">
                  <c:v>42261</c:v>
                </c:pt>
                <c:pt idx="332">
                  <c:v>42262</c:v>
                </c:pt>
                <c:pt idx="333">
                  <c:v>42263</c:v>
                </c:pt>
                <c:pt idx="334">
                  <c:v>42264</c:v>
                </c:pt>
                <c:pt idx="335">
                  <c:v>42265</c:v>
                </c:pt>
                <c:pt idx="336">
                  <c:v>42268</c:v>
                </c:pt>
                <c:pt idx="337">
                  <c:v>42269</c:v>
                </c:pt>
                <c:pt idx="338">
                  <c:v>42270</c:v>
                </c:pt>
                <c:pt idx="339">
                  <c:v>42271</c:v>
                </c:pt>
                <c:pt idx="340">
                  <c:v>42272</c:v>
                </c:pt>
                <c:pt idx="341">
                  <c:v>42275</c:v>
                </c:pt>
                <c:pt idx="342">
                  <c:v>42276</c:v>
                </c:pt>
                <c:pt idx="343">
                  <c:v>42277</c:v>
                </c:pt>
                <c:pt idx="344">
                  <c:v>42278</c:v>
                </c:pt>
                <c:pt idx="345">
                  <c:v>42279</c:v>
                </c:pt>
                <c:pt idx="346">
                  <c:v>42282</c:v>
                </c:pt>
                <c:pt idx="347">
                  <c:v>42283</c:v>
                </c:pt>
                <c:pt idx="348">
                  <c:v>42284</c:v>
                </c:pt>
                <c:pt idx="349">
                  <c:v>42285</c:v>
                </c:pt>
                <c:pt idx="350">
                  <c:v>42286</c:v>
                </c:pt>
                <c:pt idx="351">
                  <c:v>42289</c:v>
                </c:pt>
                <c:pt idx="352">
                  <c:v>42290</c:v>
                </c:pt>
                <c:pt idx="353">
                  <c:v>42291</c:v>
                </c:pt>
                <c:pt idx="354">
                  <c:v>42292</c:v>
                </c:pt>
                <c:pt idx="355">
                  <c:v>42293</c:v>
                </c:pt>
                <c:pt idx="356">
                  <c:v>42296</c:v>
                </c:pt>
                <c:pt idx="357">
                  <c:v>42297</c:v>
                </c:pt>
                <c:pt idx="358">
                  <c:v>42298</c:v>
                </c:pt>
                <c:pt idx="359">
                  <c:v>42299</c:v>
                </c:pt>
                <c:pt idx="360">
                  <c:v>42300</c:v>
                </c:pt>
                <c:pt idx="361">
                  <c:v>42303</c:v>
                </c:pt>
                <c:pt idx="362">
                  <c:v>42304</c:v>
                </c:pt>
                <c:pt idx="363">
                  <c:v>42305</c:v>
                </c:pt>
                <c:pt idx="364">
                  <c:v>42306</c:v>
                </c:pt>
                <c:pt idx="365">
                  <c:v>42307</c:v>
                </c:pt>
                <c:pt idx="366">
                  <c:v>42310</c:v>
                </c:pt>
                <c:pt idx="367">
                  <c:v>42311</c:v>
                </c:pt>
                <c:pt idx="368">
                  <c:v>42312</c:v>
                </c:pt>
                <c:pt idx="369">
                  <c:v>42313</c:v>
                </c:pt>
                <c:pt idx="370">
                  <c:v>42314</c:v>
                </c:pt>
                <c:pt idx="371">
                  <c:v>42317</c:v>
                </c:pt>
                <c:pt idx="372">
                  <c:v>42318</c:v>
                </c:pt>
                <c:pt idx="373">
                  <c:v>42319</c:v>
                </c:pt>
                <c:pt idx="374">
                  <c:v>42320</c:v>
                </c:pt>
                <c:pt idx="375">
                  <c:v>42321</c:v>
                </c:pt>
                <c:pt idx="376">
                  <c:v>42324</c:v>
                </c:pt>
                <c:pt idx="377">
                  <c:v>42325</c:v>
                </c:pt>
                <c:pt idx="378">
                  <c:v>42326</c:v>
                </c:pt>
                <c:pt idx="379">
                  <c:v>42327</c:v>
                </c:pt>
                <c:pt idx="380">
                  <c:v>42328</c:v>
                </c:pt>
                <c:pt idx="381">
                  <c:v>42331</c:v>
                </c:pt>
                <c:pt idx="382">
                  <c:v>42332</c:v>
                </c:pt>
                <c:pt idx="383">
                  <c:v>42333</c:v>
                </c:pt>
                <c:pt idx="384">
                  <c:v>42334</c:v>
                </c:pt>
                <c:pt idx="385">
                  <c:v>42335</c:v>
                </c:pt>
                <c:pt idx="386">
                  <c:v>42338</c:v>
                </c:pt>
                <c:pt idx="387">
                  <c:v>42339</c:v>
                </c:pt>
                <c:pt idx="388">
                  <c:v>42340</c:v>
                </c:pt>
                <c:pt idx="389">
                  <c:v>42341</c:v>
                </c:pt>
                <c:pt idx="390">
                  <c:v>42342</c:v>
                </c:pt>
                <c:pt idx="391">
                  <c:v>42345</c:v>
                </c:pt>
                <c:pt idx="392">
                  <c:v>42346</c:v>
                </c:pt>
                <c:pt idx="393">
                  <c:v>42347</c:v>
                </c:pt>
                <c:pt idx="394">
                  <c:v>42348</c:v>
                </c:pt>
                <c:pt idx="395">
                  <c:v>42349</c:v>
                </c:pt>
                <c:pt idx="396">
                  <c:v>42352</c:v>
                </c:pt>
                <c:pt idx="397">
                  <c:v>42353</c:v>
                </c:pt>
                <c:pt idx="398">
                  <c:v>42354</c:v>
                </c:pt>
                <c:pt idx="399">
                  <c:v>42355</c:v>
                </c:pt>
                <c:pt idx="400">
                  <c:v>42356</c:v>
                </c:pt>
                <c:pt idx="401">
                  <c:v>42359</c:v>
                </c:pt>
                <c:pt idx="402">
                  <c:v>42360</c:v>
                </c:pt>
                <c:pt idx="403">
                  <c:v>42361</c:v>
                </c:pt>
                <c:pt idx="404">
                  <c:v>42362</c:v>
                </c:pt>
                <c:pt idx="405">
                  <c:v>42366</c:v>
                </c:pt>
                <c:pt idx="406">
                  <c:v>42367</c:v>
                </c:pt>
                <c:pt idx="407">
                  <c:v>42368</c:v>
                </c:pt>
                <c:pt idx="408">
                  <c:v>42369</c:v>
                </c:pt>
                <c:pt idx="409">
                  <c:v>42373</c:v>
                </c:pt>
                <c:pt idx="410">
                  <c:v>42374</c:v>
                </c:pt>
                <c:pt idx="411">
                  <c:v>42375</c:v>
                </c:pt>
                <c:pt idx="412">
                  <c:v>42376</c:v>
                </c:pt>
                <c:pt idx="413">
                  <c:v>42377</c:v>
                </c:pt>
                <c:pt idx="414">
                  <c:v>42380</c:v>
                </c:pt>
                <c:pt idx="415">
                  <c:v>42381</c:v>
                </c:pt>
                <c:pt idx="416">
                  <c:v>42382</c:v>
                </c:pt>
                <c:pt idx="417">
                  <c:v>42383</c:v>
                </c:pt>
                <c:pt idx="418">
                  <c:v>42384</c:v>
                </c:pt>
                <c:pt idx="419">
                  <c:v>42387</c:v>
                </c:pt>
                <c:pt idx="420">
                  <c:v>42388</c:v>
                </c:pt>
                <c:pt idx="421">
                  <c:v>42389</c:v>
                </c:pt>
                <c:pt idx="422">
                  <c:v>42390</c:v>
                </c:pt>
                <c:pt idx="423">
                  <c:v>42391</c:v>
                </c:pt>
                <c:pt idx="424">
                  <c:v>42394</c:v>
                </c:pt>
                <c:pt idx="425">
                  <c:v>42395</c:v>
                </c:pt>
                <c:pt idx="426">
                  <c:v>42396</c:v>
                </c:pt>
                <c:pt idx="427">
                  <c:v>42397</c:v>
                </c:pt>
                <c:pt idx="428">
                  <c:v>42398</c:v>
                </c:pt>
                <c:pt idx="429">
                  <c:v>42401</c:v>
                </c:pt>
                <c:pt idx="430">
                  <c:v>42402</c:v>
                </c:pt>
                <c:pt idx="431">
                  <c:v>42403</c:v>
                </c:pt>
                <c:pt idx="432">
                  <c:v>42404</c:v>
                </c:pt>
                <c:pt idx="433">
                  <c:v>42405</c:v>
                </c:pt>
                <c:pt idx="434">
                  <c:v>42408</c:v>
                </c:pt>
                <c:pt idx="435">
                  <c:v>42409</c:v>
                </c:pt>
                <c:pt idx="436">
                  <c:v>42410</c:v>
                </c:pt>
                <c:pt idx="437">
                  <c:v>42411</c:v>
                </c:pt>
                <c:pt idx="438">
                  <c:v>42412</c:v>
                </c:pt>
                <c:pt idx="439">
                  <c:v>42415</c:v>
                </c:pt>
                <c:pt idx="440">
                  <c:v>42416</c:v>
                </c:pt>
                <c:pt idx="441">
                  <c:v>42417</c:v>
                </c:pt>
                <c:pt idx="442">
                  <c:v>42418</c:v>
                </c:pt>
                <c:pt idx="443">
                  <c:v>42419</c:v>
                </c:pt>
                <c:pt idx="444">
                  <c:v>42422</c:v>
                </c:pt>
                <c:pt idx="445">
                  <c:v>42423</c:v>
                </c:pt>
                <c:pt idx="446">
                  <c:v>42424</c:v>
                </c:pt>
                <c:pt idx="447">
                  <c:v>42425</c:v>
                </c:pt>
                <c:pt idx="448">
                  <c:v>42426</c:v>
                </c:pt>
                <c:pt idx="449">
                  <c:v>42429</c:v>
                </c:pt>
                <c:pt idx="450">
                  <c:v>42430</c:v>
                </c:pt>
                <c:pt idx="451">
                  <c:v>42431</c:v>
                </c:pt>
                <c:pt idx="452">
                  <c:v>42432</c:v>
                </c:pt>
                <c:pt idx="453">
                  <c:v>42433</c:v>
                </c:pt>
                <c:pt idx="454">
                  <c:v>42436</c:v>
                </c:pt>
                <c:pt idx="455">
                  <c:v>42437</c:v>
                </c:pt>
                <c:pt idx="456">
                  <c:v>42438</c:v>
                </c:pt>
                <c:pt idx="457">
                  <c:v>42439</c:v>
                </c:pt>
                <c:pt idx="458">
                  <c:v>42440</c:v>
                </c:pt>
                <c:pt idx="459">
                  <c:v>42443</c:v>
                </c:pt>
                <c:pt idx="460">
                  <c:v>42444</c:v>
                </c:pt>
                <c:pt idx="461">
                  <c:v>42445</c:v>
                </c:pt>
                <c:pt idx="462">
                  <c:v>42446</c:v>
                </c:pt>
                <c:pt idx="463">
                  <c:v>42447</c:v>
                </c:pt>
                <c:pt idx="464">
                  <c:v>42450</c:v>
                </c:pt>
                <c:pt idx="465">
                  <c:v>42451</c:v>
                </c:pt>
                <c:pt idx="466">
                  <c:v>42452</c:v>
                </c:pt>
                <c:pt idx="467">
                  <c:v>42453</c:v>
                </c:pt>
                <c:pt idx="468">
                  <c:v>42458</c:v>
                </c:pt>
                <c:pt idx="469">
                  <c:v>42459</c:v>
                </c:pt>
                <c:pt idx="470">
                  <c:v>42460</c:v>
                </c:pt>
                <c:pt idx="471">
                  <c:v>42461</c:v>
                </c:pt>
                <c:pt idx="472">
                  <c:v>42464</c:v>
                </c:pt>
                <c:pt idx="473">
                  <c:v>42465</c:v>
                </c:pt>
                <c:pt idx="474">
                  <c:v>42466</c:v>
                </c:pt>
                <c:pt idx="475">
                  <c:v>42467</c:v>
                </c:pt>
                <c:pt idx="476">
                  <c:v>42468</c:v>
                </c:pt>
                <c:pt idx="477">
                  <c:v>42471</c:v>
                </c:pt>
                <c:pt idx="478">
                  <c:v>42472</c:v>
                </c:pt>
                <c:pt idx="479">
                  <c:v>42473</c:v>
                </c:pt>
                <c:pt idx="480">
                  <c:v>42474</c:v>
                </c:pt>
                <c:pt idx="481">
                  <c:v>42475</c:v>
                </c:pt>
                <c:pt idx="482">
                  <c:v>42478</c:v>
                </c:pt>
                <c:pt idx="483">
                  <c:v>42479</c:v>
                </c:pt>
                <c:pt idx="484">
                  <c:v>42480</c:v>
                </c:pt>
                <c:pt idx="485">
                  <c:v>42481</c:v>
                </c:pt>
                <c:pt idx="486">
                  <c:v>42482</c:v>
                </c:pt>
                <c:pt idx="487">
                  <c:v>42485</c:v>
                </c:pt>
                <c:pt idx="488">
                  <c:v>42486</c:v>
                </c:pt>
                <c:pt idx="489">
                  <c:v>42487</c:v>
                </c:pt>
                <c:pt idx="490">
                  <c:v>42488</c:v>
                </c:pt>
                <c:pt idx="491">
                  <c:v>42489</c:v>
                </c:pt>
                <c:pt idx="492">
                  <c:v>42492</c:v>
                </c:pt>
                <c:pt idx="493">
                  <c:v>42493</c:v>
                </c:pt>
                <c:pt idx="494">
                  <c:v>42494</c:v>
                </c:pt>
                <c:pt idx="495">
                  <c:v>42495</c:v>
                </c:pt>
                <c:pt idx="496">
                  <c:v>42496</c:v>
                </c:pt>
                <c:pt idx="497">
                  <c:v>42499</c:v>
                </c:pt>
                <c:pt idx="498">
                  <c:v>42500</c:v>
                </c:pt>
                <c:pt idx="499">
                  <c:v>42501</c:v>
                </c:pt>
                <c:pt idx="500">
                  <c:v>42502</c:v>
                </c:pt>
                <c:pt idx="501">
                  <c:v>42503</c:v>
                </c:pt>
                <c:pt idx="502">
                  <c:v>42506</c:v>
                </c:pt>
                <c:pt idx="503">
                  <c:v>42507</c:v>
                </c:pt>
                <c:pt idx="504">
                  <c:v>42508</c:v>
                </c:pt>
                <c:pt idx="505">
                  <c:v>42509</c:v>
                </c:pt>
                <c:pt idx="506">
                  <c:v>42510</c:v>
                </c:pt>
                <c:pt idx="507">
                  <c:v>42513</c:v>
                </c:pt>
                <c:pt idx="508">
                  <c:v>42514</c:v>
                </c:pt>
                <c:pt idx="509">
                  <c:v>42515</c:v>
                </c:pt>
                <c:pt idx="510">
                  <c:v>42516</c:v>
                </c:pt>
                <c:pt idx="511">
                  <c:v>42517</c:v>
                </c:pt>
                <c:pt idx="512">
                  <c:v>42520</c:v>
                </c:pt>
                <c:pt idx="513">
                  <c:v>42521</c:v>
                </c:pt>
                <c:pt idx="514">
                  <c:v>42522</c:v>
                </c:pt>
                <c:pt idx="515">
                  <c:v>42523</c:v>
                </c:pt>
                <c:pt idx="516">
                  <c:v>42524</c:v>
                </c:pt>
                <c:pt idx="517">
                  <c:v>42527</c:v>
                </c:pt>
                <c:pt idx="518">
                  <c:v>42534</c:v>
                </c:pt>
                <c:pt idx="519">
                  <c:v>42541</c:v>
                </c:pt>
                <c:pt idx="520">
                  <c:v>42548</c:v>
                </c:pt>
                <c:pt idx="521">
                  <c:v>42555</c:v>
                </c:pt>
                <c:pt idx="522">
                  <c:v>42562</c:v>
                </c:pt>
                <c:pt idx="523">
                  <c:v>42569</c:v>
                </c:pt>
                <c:pt idx="524">
                  <c:v>42576</c:v>
                </c:pt>
                <c:pt idx="525">
                  <c:v>42583</c:v>
                </c:pt>
                <c:pt idx="526">
                  <c:v>42590</c:v>
                </c:pt>
                <c:pt idx="527">
                  <c:v>42597</c:v>
                </c:pt>
                <c:pt idx="528">
                  <c:v>42604</c:v>
                </c:pt>
                <c:pt idx="529">
                  <c:v>42611</c:v>
                </c:pt>
                <c:pt idx="530">
                  <c:v>42618</c:v>
                </c:pt>
                <c:pt idx="531">
                  <c:v>42625</c:v>
                </c:pt>
                <c:pt idx="532">
                  <c:v>42632</c:v>
                </c:pt>
                <c:pt idx="533">
                  <c:v>42639</c:v>
                </c:pt>
                <c:pt idx="534">
                  <c:v>42646</c:v>
                </c:pt>
                <c:pt idx="535">
                  <c:v>42653</c:v>
                </c:pt>
                <c:pt idx="536">
                  <c:v>42660</c:v>
                </c:pt>
                <c:pt idx="537">
                  <c:v>42667</c:v>
                </c:pt>
                <c:pt idx="538">
                  <c:v>42674</c:v>
                </c:pt>
                <c:pt idx="539">
                  <c:v>42681</c:v>
                </c:pt>
                <c:pt idx="540">
                  <c:v>42688</c:v>
                </c:pt>
                <c:pt idx="541">
                  <c:v>42695</c:v>
                </c:pt>
                <c:pt idx="542">
                  <c:v>42702</c:v>
                </c:pt>
                <c:pt idx="543">
                  <c:v>42709</c:v>
                </c:pt>
                <c:pt idx="544">
                  <c:v>42716</c:v>
                </c:pt>
                <c:pt idx="545">
                  <c:v>42723</c:v>
                </c:pt>
                <c:pt idx="546">
                  <c:v>42731</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42843</c:v>
                </c:pt>
                <c:pt idx="563">
                  <c:v>42850</c:v>
                </c:pt>
                <c:pt idx="564">
                  <c:v>42857</c:v>
                </c:pt>
                <c:pt idx="565">
                  <c:v>42864</c:v>
                </c:pt>
                <c:pt idx="566">
                  <c:v>42871</c:v>
                </c:pt>
                <c:pt idx="567">
                  <c:v>42878</c:v>
                </c:pt>
                <c:pt idx="568">
                  <c:v>42885</c:v>
                </c:pt>
                <c:pt idx="569">
                  <c:v>42892</c:v>
                </c:pt>
                <c:pt idx="570">
                  <c:v>42899</c:v>
                </c:pt>
                <c:pt idx="571">
                  <c:v>42906</c:v>
                </c:pt>
                <c:pt idx="572">
                  <c:v>42913</c:v>
                </c:pt>
                <c:pt idx="573">
                  <c:v>42920</c:v>
                </c:pt>
                <c:pt idx="574">
                  <c:v>42927</c:v>
                </c:pt>
                <c:pt idx="575">
                  <c:v>42934</c:v>
                </c:pt>
                <c:pt idx="576">
                  <c:v>42941</c:v>
                </c:pt>
                <c:pt idx="577">
                  <c:v>42948</c:v>
                </c:pt>
                <c:pt idx="578">
                  <c:v>42955</c:v>
                </c:pt>
                <c:pt idx="579">
                  <c:v>42962</c:v>
                </c:pt>
                <c:pt idx="580">
                  <c:v>42969</c:v>
                </c:pt>
                <c:pt idx="581">
                  <c:v>42976</c:v>
                </c:pt>
                <c:pt idx="582">
                  <c:v>42983</c:v>
                </c:pt>
                <c:pt idx="583">
                  <c:v>42990</c:v>
                </c:pt>
                <c:pt idx="584">
                  <c:v>42997</c:v>
                </c:pt>
                <c:pt idx="585">
                  <c:v>43004</c:v>
                </c:pt>
                <c:pt idx="586">
                  <c:v>43011</c:v>
                </c:pt>
                <c:pt idx="587">
                  <c:v>43018</c:v>
                </c:pt>
                <c:pt idx="588">
                  <c:v>43025</c:v>
                </c:pt>
                <c:pt idx="589">
                  <c:v>43032</c:v>
                </c:pt>
                <c:pt idx="590">
                  <c:v>43039</c:v>
                </c:pt>
                <c:pt idx="591">
                  <c:v>43046</c:v>
                </c:pt>
                <c:pt idx="592">
                  <c:v>43053</c:v>
                </c:pt>
                <c:pt idx="593">
                  <c:v>43060</c:v>
                </c:pt>
                <c:pt idx="594">
                  <c:v>43067</c:v>
                </c:pt>
                <c:pt idx="595">
                  <c:v>43074</c:v>
                </c:pt>
                <c:pt idx="596">
                  <c:v>43081</c:v>
                </c:pt>
                <c:pt idx="597">
                  <c:v>43088</c:v>
                </c:pt>
                <c:pt idx="598">
                  <c:v>43096</c:v>
                </c:pt>
                <c:pt idx="599">
                  <c:v>43103</c:v>
                </c:pt>
                <c:pt idx="600">
                  <c:v>43110</c:v>
                </c:pt>
                <c:pt idx="601">
                  <c:v>43117</c:v>
                </c:pt>
                <c:pt idx="602">
                  <c:v>43124</c:v>
                </c:pt>
                <c:pt idx="603">
                  <c:v>43131</c:v>
                </c:pt>
                <c:pt idx="604">
                  <c:v>43138</c:v>
                </c:pt>
                <c:pt idx="605">
                  <c:v>43145</c:v>
                </c:pt>
                <c:pt idx="606">
                  <c:v>43152</c:v>
                </c:pt>
                <c:pt idx="607">
                  <c:v>43159</c:v>
                </c:pt>
                <c:pt idx="608">
                  <c:v>43166</c:v>
                </c:pt>
                <c:pt idx="609">
                  <c:v>43173</c:v>
                </c:pt>
                <c:pt idx="610">
                  <c:v>43180</c:v>
                </c:pt>
                <c:pt idx="611">
                  <c:v>43187</c:v>
                </c:pt>
                <c:pt idx="612">
                  <c:v>43194</c:v>
                </c:pt>
                <c:pt idx="613">
                  <c:v>43201</c:v>
                </c:pt>
                <c:pt idx="614">
                  <c:v>43208</c:v>
                </c:pt>
                <c:pt idx="615">
                  <c:v>43215</c:v>
                </c:pt>
                <c:pt idx="616">
                  <c:v>43222</c:v>
                </c:pt>
                <c:pt idx="617">
                  <c:v>43229</c:v>
                </c:pt>
                <c:pt idx="618">
                  <c:v>43236</c:v>
                </c:pt>
                <c:pt idx="619">
                  <c:v>43243</c:v>
                </c:pt>
                <c:pt idx="620">
                  <c:v>43250</c:v>
                </c:pt>
                <c:pt idx="621">
                  <c:v>43257</c:v>
                </c:pt>
                <c:pt idx="622">
                  <c:v>43264</c:v>
                </c:pt>
                <c:pt idx="623">
                  <c:v>43271</c:v>
                </c:pt>
                <c:pt idx="624">
                  <c:v>43278</c:v>
                </c:pt>
                <c:pt idx="625">
                  <c:v>43285</c:v>
                </c:pt>
                <c:pt idx="626">
                  <c:v>43292</c:v>
                </c:pt>
                <c:pt idx="627">
                  <c:v>43299</c:v>
                </c:pt>
                <c:pt idx="628">
                  <c:v>43306</c:v>
                </c:pt>
                <c:pt idx="629">
                  <c:v>43313</c:v>
                </c:pt>
                <c:pt idx="630">
                  <c:v>43320</c:v>
                </c:pt>
                <c:pt idx="631">
                  <c:v>43327</c:v>
                </c:pt>
                <c:pt idx="632">
                  <c:v>43334</c:v>
                </c:pt>
                <c:pt idx="633">
                  <c:v>43341</c:v>
                </c:pt>
                <c:pt idx="634">
                  <c:v>43348</c:v>
                </c:pt>
                <c:pt idx="635">
                  <c:v>43355</c:v>
                </c:pt>
                <c:pt idx="636">
                  <c:v>43362</c:v>
                </c:pt>
                <c:pt idx="637">
                  <c:v>43369</c:v>
                </c:pt>
                <c:pt idx="638">
                  <c:v>43376</c:v>
                </c:pt>
                <c:pt idx="639">
                  <c:v>43383</c:v>
                </c:pt>
                <c:pt idx="640">
                  <c:v>43390</c:v>
                </c:pt>
                <c:pt idx="641">
                  <c:v>43397</c:v>
                </c:pt>
                <c:pt idx="642">
                  <c:v>43404</c:v>
                </c:pt>
                <c:pt idx="643">
                  <c:v>43411</c:v>
                </c:pt>
                <c:pt idx="644">
                  <c:v>43418</c:v>
                </c:pt>
                <c:pt idx="645">
                  <c:v>43425</c:v>
                </c:pt>
                <c:pt idx="646">
                  <c:v>43432</c:v>
                </c:pt>
                <c:pt idx="647">
                  <c:v>43439</c:v>
                </c:pt>
                <c:pt idx="648">
                  <c:v>43446</c:v>
                </c:pt>
                <c:pt idx="649">
                  <c:v>43453</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Monitor!$X$11:$X$3544</c:f>
              <c:numCache>
                <c:formatCode>0.0000%</c:formatCode>
                <c:ptCount val="3534"/>
                <c:pt idx="0">
                  <c:v>5.4999999999960636E-3</c:v>
                </c:pt>
                <c:pt idx="1">
                  <c:v>3.2000000000209639E-3</c:v>
                </c:pt>
                <c:pt idx="2">
                  <c:v>3.19999999746301E-3</c:v>
                </c:pt>
                <c:pt idx="3">
                  <c:v>3.1636537827850475E-3</c:v>
                </c:pt>
                <c:pt idx="4">
                  <c:v>2.9792798041405888E-3</c:v>
                </c:pt>
                <c:pt idx="5">
                  <c:v>2.8145668725265693E-3</c:v>
                </c:pt>
                <c:pt idx="6">
                  <c:v>2.5506957635634819E-3</c:v>
                </c:pt>
                <c:pt idx="7">
                  <c:v>2.3469874033033022E-3</c:v>
                </c:pt>
                <c:pt idx="8">
                  <c:v>2.2485530510341079E-3</c:v>
                </c:pt>
                <c:pt idx="9">
                  <c:v>2.137753336910464E-3</c:v>
                </c:pt>
                <c:pt idx="10">
                  <c:v>2.0145882722033548E-3</c:v>
                </c:pt>
                <c:pt idx="11">
                  <c:v>1.7270486371678828E-3</c:v>
                </c:pt>
                <c:pt idx="12">
                  <c:v>1.4045689613784162E-3</c:v>
                </c:pt>
                <c:pt idx="13">
                  <c:v>1.2573424179418424E-3</c:v>
                </c:pt>
                <c:pt idx="14">
                  <c:v>1.1355156298442637E-3</c:v>
                </c:pt>
                <c:pt idx="15">
                  <c:v>1.0390885714262055E-3</c:v>
                </c:pt>
                <c:pt idx="16">
                  <c:v>9.3090253457717154E-4</c:v>
                </c:pt>
                <c:pt idx="17">
                  <c:v>9.0330104356439733E-4</c:v>
                </c:pt>
                <c:pt idx="18">
                  <c:v>9.0941485901829822E-4</c:v>
                </c:pt>
                <c:pt idx="19">
                  <c:v>9.1647078038548102E-4</c:v>
                </c:pt>
                <c:pt idx="20">
                  <c:v>9.2446880790575392E-4</c:v>
                </c:pt>
                <c:pt idx="21">
                  <c:v>9.4360768979839804E-4</c:v>
                </c:pt>
                <c:pt idx="22">
                  <c:v>9.658819794378104E-4</c:v>
                </c:pt>
                <c:pt idx="23">
                  <c:v>9.7859053828308618E-4</c:v>
                </c:pt>
                <c:pt idx="24">
                  <c:v>9.9191826808286976E-4</c:v>
                </c:pt>
                <c:pt idx="25">
                  <c:v>1.0045734273234075E-3</c:v>
                </c:pt>
                <c:pt idx="26">
                  <c:v>1.0265683190180397E-3</c:v>
                </c:pt>
                <c:pt idx="27">
                  <c:v>1.0452390017512414E-3</c:v>
                </c:pt>
                <c:pt idx="28">
                  <c:v>1.0529166293249403E-3</c:v>
                </c:pt>
                <c:pt idx="29">
                  <c:v>1.0595987503414506E-3</c:v>
                </c:pt>
                <c:pt idx="30">
                  <c:v>1.065285364720836E-3</c:v>
                </c:pt>
                <c:pt idx="31">
                  <c:v>1.0733434381560158E-3</c:v>
                </c:pt>
                <c:pt idx="32">
                  <c:v>1.0780767554674497E-3</c:v>
                </c:pt>
                <c:pt idx="33">
                  <c:v>1.078785836261531E-3</c:v>
                </c:pt>
                <c:pt idx="34">
                  <c:v>1.0784994103385515E-3</c:v>
                </c:pt>
                <c:pt idx="35">
                  <c:v>1.077217477618575E-3</c:v>
                </c:pt>
                <c:pt idx="36">
                  <c:v>1.0713384445715235E-3</c:v>
                </c:pt>
                <c:pt idx="37">
                  <c:v>1.0621346794081887E-3</c:v>
                </c:pt>
                <c:pt idx="38">
                  <c:v>1.0558752131828442E-3</c:v>
                </c:pt>
                <c:pt idx="39">
                  <c:v>1.0486202404003109E-3</c:v>
                </c:pt>
                <c:pt idx="40">
                  <c:v>1.0403697610605889E-3</c:v>
                </c:pt>
                <c:pt idx="41">
                  <c:v>1.0205533407159351E-3</c:v>
                </c:pt>
                <c:pt idx="42">
                  <c:v>9.9741278004827905E-4</c:v>
                </c:pt>
                <c:pt idx="43">
                  <c:v>9.8418476928152643E-4</c:v>
                </c:pt>
                <c:pt idx="44">
                  <c:v>9.6996125259707355E-4</c:v>
                </c:pt>
                <c:pt idx="45">
                  <c:v>9.5474223007485648E-4</c:v>
                </c:pt>
                <c:pt idx="46">
                  <c:v>9.2098818851304998E-4</c:v>
                </c:pt>
                <c:pt idx="47">
                  <c:v>8.8420992551796473E-4</c:v>
                </c:pt>
                <c:pt idx="48">
                  <c:v>8.6580642647327011E-4</c:v>
                </c:pt>
                <c:pt idx="49">
                  <c:v>8.482004729781778E-4</c:v>
                </c:pt>
                <c:pt idx="50">
                  <c:v>8.3139206487281569E-4</c:v>
                </c:pt>
                <c:pt idx="51">
                  <c:v>8.0043551237807264E-4</c:v>
                </c:pt>
                <c:pt idx="52">
                  <c:v>7.7213388451013998E-4</c:v>
                </c:pt>
                <c:pt idx="53">
                  <c:v>7.5931320199451591E-4</c:v>
                </c:pt>
                <c:pt idx="54">
                  <c:v>7.4729006430906963E-4</c:v>
                </c:pt>
                <c:pt idx="55">
                  <c:v>7.360644713738651E-4</c:v>
                </c:pt>
                <c:pt idx="56">
                  <c:v>7.1627319259803812E-4</c:v>
                </c:pt>
                <c:pt idx="57">
                  <c:v>6.9913754553674323E-4</c:v>
                </c:pt>
                <c:pt idx="58">
                  <c:v>6.9189967539351471E-4</c:v>
                </c:pt>
                <c:pt idx="59">
                  <c:v>6.8545934944097553E-4</c:v>
                </c:pt>
                <c:pt idx="60">
                  <c:v>6.7981656799886991E-4</c:v>
                </c:pt>
                <c:pt idx="61">
                  <c:v>6.7119073733579171E-4</c:v>
                </c:pt>
                <c:pt idx="62">
                  <c:v>6.6522088469689322E-4</c:v>
                </c:pt>
                <c:pt idx="63">
                  <c:v>6.6356582452797852E-4</c:v>
                </c:pt>
                <c:pt idx="64">
                  <c:v>6.627083084698171E-4</c:v>
                </c:pt>
                <c:pt idx="65">
                  <c:v>6.6264833660234501E-4</c:v>
                </c:pt>
                <c:pt idx="66">
                  <c:v>6.6518810257321093E-4</c:v>
                </c:pt>
                <c:pt idx="67">
                  <c:v>6.7038389103935003E-4</c:v>
                </c:pt>
                <c:pt idx="68">
                  <c:v>6.7413573235697299E-4</c:v>
                </c:pt>
                <c:pt idx="69">
                  <c:v>6.7780557854391077E-4</c:v>
                </c:pt>
                <c:pt idx="70">
                  <c:v>6.8121752159200355E-4</c:v>
                </c:pt>
                <c:pt idx="71">
                  <c:v>6.8718304246928597E-4</c:v>
                </c:pt>
                <c:pt idx="72">
                  <c:v>6.9228626303541319E-4</c:v>
                </c:pt>
                <c:pt idx="73">
                  <c:v>6.9440869062908916E-4</c:v>
                </c:pt>
                <c:pt idx="74">
                  <c:v>6.9627321516385621E-4</c:v>
                </c:pt>
                <c:pt idx="75">
                  <c:v>6.9787983663971431E-4</c:v>
                </c:pt>
                <c:pt idx="76">
                  <c:v>7.0023476454572631E-4</c:v>
                </c:pt>
                <c:pt idx="77">
                  <c:v>7.017272913145689E-4</c:v>
                </c:pt>
                <c:pt idx="78">
                  <c:v>7.0204439725607415E-4</c:v>
                </c:pt>
                <c:pt idx="79">
                  <c:v>7.0210359997879834E-4</c:v>
                </c:pt>
                <c:pt idx="80">
                  <c:v>7.0190489972254966E-4</c:v>
                </c:pt>
                <c:pt idx="81">
                  <c:v>7.0064918557655176E-4</c:v>
                </c:pt>
                <c:pt idx="82">
                  <c:v>6.9853106714923285E-4</c:v>
                </c:pt>
                <c:pt idx="83">
                  <c:v>6.9704285127869525E-4</c:v>
                </c:pt>
                <c:pt idx="84">
                  <c:v>6.9529673226931266E-4</c:v>
                </c:pt>
                <c:pt idx="85">
                  <c:v>6.9329271020102112E-4</c:v>
                </c:pt>
                <c:pt idx="86">
                  <c:v>6.8842630542853556E-4</c:v>
                </c:pt>
                <c:pt idx="87">
                  <c:v>6.8269759085914927E-4</c:v>
                </c:pt>
                <c:pt idx="88">
                  <c:v>6.7940405325650488E-4</c:v>
                </c:pt>
                <c:pt idx="89">
                  <c:v>6.7585261267488761E-4</c:v>
                </c:pt>
                <c:pt idx="90">
                  <c:v>6.7207024697424345E-4</c:v>
                </c:pt>
                <c:pt idx="91">
                  <c:v>6.6413266720743991E-4</c:v>
                </c:pt>
                <c:pt idx="92">
                  <c:v>6.5587251933507673E-4</c:v>
                </c:pt>
                <c:pt idx="93">
                  <c:v>6.5158299923595564E-4</c:v>
                </c:pt>
                <c:pt idx="94">
                  <c:v>6.4719744379715394E-4</c:v>
                </c:pt>
                <c:pt idx="95">
                  <c:v>6.4271585309860768E-4</c:v>
                </c:pt>
                <c:pt idx="96">
                  <c:v>6.334336686375508E-4</c:v>
                </c:pt>
                <c:pt idx="97">
                  <c:v>6.2382913754710501E-4</c:v>
                </c:pt>
                <c:pt idx="98">
                  <c:v>6.1886737046989992E-4</c:v>
                </c:pt>
                <c:pt idx="99">
                  <c:v>6.1380956813295029E-4</c:v>
                </c:pt>
                <c:pt idx="100">
                  <c:v>6.0865573061619216E-4</c:v>
                </c:pt>
                <c:pt idx="101">
                  <c:v>5.9802893133564794E-4</c:v>
                </c:pt>
                <c:pt idx="102">
                  <c:v>5.8708002779184199E-4</c:v>
                </c:pt>
                <c:pt idx="103">
                  <c:v>5.8144601397636109E-4</c:v>
                </c:pt>
                <c:pt idx="104">
                  <c:v>5.7571596498107169E-4</c:v>
                </c:pt>
                <c:pt idx="105">
                  <c:v>5.6988988072603775E-4</c:v>
                </c:pt>
                <c:pt idx="106">
                  <c:v>5.579184594850517E-4</c:v>
                </c:pt>
                <c:pt idx="107">
                  <c:v>5.4562519158807277E-4</c:v>
                </c:pt>
                <c:pt idx="108">
                  <c:v>5.3931893127412422E-4</c:v>
                </c:pt>
                <c:pt idx="109">
                  <c:v>5.3291663578036719E-4</c:v>
                </c:pt>
                <c:pt idx="110">
                  <c:v>5.2641830518673771E-4</c:v>
                </c:pt>
                <c:pt idx="111">
                  <c:v>5.1310225774869878E-4</c:v>
                </c:pt>
                <c:pt idx="112">
                  <c:v>4.9951852478358205E-4</c:v>
                </c:pt>
                <c:pt idx="113">
                  <c:v>4.9286338362541926E-4</c:v>
                </c:pt>
                <c:pt idx="114">
                  <c:v>4.8643557246208502E-4</c:v>
                </c:pt>
                <c:pt idx="115">
                  <c:v>4.8023509161332356E-4</c:v>
                </c:pt>
                <c:pt idx="116">
                  <c:v>4.6859250674380348E-4</c:v>
                </c:pt>
                <c:pt idx="117">
                  <c:v>4.5770646912579593E-4</c:v>
                </c:pt>
                <c:pt idx="118">
                  <c:v>4.5264263873079358E-4</c:v>
                </c:pt>
                <c:pt idx="119">
                  <c:v>4.4780613849049189E-4</c:v>
                </c:pt>
                <c:pt idx="120">
                  <c:v>4.4319696824501875E-4</c:v>
                </c:pt>
                <c:pt idx="121">
                  <c:v>4.3473691968998196E-4</c:v>
                </c:pt>
                <c:pt idx="122">
                  <c:v>4.2703358801077229E-4</c:v>
                </c:pt>
                <c:pt idx="123">
                  <c:v>4.2356106805918614E-4</c:v>
                </c:pt>
                <c:pt idx="124">
                  <c:v>4.2031587802249248E-4</c:v>
                </c:pt>
                <c:pt idx="125">
                  <c:v>4.1729801814049949E-4</c:v>
                </c:pt>
                <c:pt idx="126">
                  <c:v>4.1202053654210147E-4</c:v>
                </c:pt>
                <c:pt idx="127">
                  <c:v>4.0749987856081304E-4</c:v>
                </c:pt>
                <c:pt idx="128">
                  <c:v>4.0561866865296281E-4</c:v>
                </c:pt>
                <c:pt idx="129">
                  <c:v>4.0396478873994113E-4</c:v>
                </c:pt>
                <c:pt idx="130">
                  <c:v>4.02538238821748E-4</c:v>
                </c:pt>
                <c:pt idx="131">
                  <c:v>4.0044335101185879E-4</c:v>
                </c:pt>
                <c:pt idx="132">
                  <c:v>3.9910533901732492E-4</c:v>
                </c:pt>
                <c:pt idx="133">
                  <c:v>3.9875900181840507E-4</c:v>
                </c:pt>
                <c:pt idx="134">
                  <c:v>3.9835780897945483E-4</c:v>
                </c:pt>
                <c:pt idx="135">
                  <c:v>3.9784532324560473E-4</c:v>
                </c:pt>
                <c:pt idx="136">
                  <c:v>3.9644981207231922E-4</c:v>
                </c:pt>
                <c:pt idx="137">
                  <c:v>3.9468245152107784E-4</c:v>
                </c:pt>
                <c:pt idx="138">
                  <c:v>3.9361350139266449E-4</c:v>
                </c:pt>
                <c:pt idx="139">
                  <c:v>3.9243325844928734E-4</c:v>
                </c:pt>
                <c:pt idx="140">
                  <c:v>3.9114172261101032E-4</c:v>
                </c:pt>
                <c:pt idx="141">
                  <c:v>3.8818809329654869E-4</c:v>
                </c:pt>
                <c:pt idx="142">
                  <c:v>3.8486265062864788E-4</c:v>
                </c:pt>
                <c:pt idx="143">
                  <c:v>3.8301465039580762E-4</c:v>
                </c:pt>
                <c:pt idx="144">
                  <c:v>3.8105535742793961E-4</c:v>
                </c:pt>
                <c:pt idx="145">
                  <c:v>3.7898477156517174E-4</c:v>
                </c:pt>
                <c:pt idx="146">
                  <c:v>3.7447301315829407E-4</c:v>
                </c:pt>
                <c:pt idx="147">
                  <c:v>3.6958949956478193E-4</c:v>
                </c:pt>
                <c:pt idx="148">
                  <c:v>3.6696244946732293E-4</c:v>
                </c:pt>
                <c:pt idx="149">
                  <c:v>3.5830296238792414E-4</c:v>
                </c:pt>
                <c:pt idx="150">
                  <c:v>3.488629990489045E-4</c:v>
                </c:pt>
                <c:pt idx="151">
                  <c:v>3.4545689908682675E-4</c:v>
                </c:pt>
                <c:pt idx="152">
                  <c:v>3.4012532418525865E-4</c:v>
                </c:pt>
                <c:pt idx="153">
                  <c:v>3.3193755901272937E-4</c:v>
                </c:pt>
                <c:pt idx="154">
                  <c:v>3.2784168819688375E-4</c:v>
                </c:pt>
                <c:pt idx="155">
                  <c:v>3.2700261714424528E-4</c:v>
                </c:pt>
                <c:pt idx="156">
                  <c:v>3.2688877301012553E-4</c:v>
                </c:pt>
                <c:pt idx="157">
                  <c:v>3.275001556346524E-4</c:v>
                </c:pt>
                <c:pt idx="158">
                  <c:v>3.3114064831529788E-4</c:v>
                </c:pt>
                <c:pt idx="159">
                  <c:v>3.3719795475839476E-4</c:v>
                </c:pt>
                <c:pt idx="160">
                  <c:v>3.4143547165577104E-4</c:v>
                </c:pt>
                <c:pt idx="161">
                  <c:v>3.4639821555160211E-4</c:v>
                </c:pt>
                <c:pt idx="162">
                  <c:v>3.520861863659519E-4</c:v>
                </c:pt>
                <c:pt idx="163">
                  <c:v>3.6587992318537488E-4</c:v>
                </c:pt>
                <c:pt idx="164">
                  <c:v>3.8209033992764319E-4</c:v>
                </c:pt>
                <c:pt idx="165">
                  <c:v>3.914044461339472E-4</c:v>
                </c:pt>
                <c:pt idx="166">
                  <c:v>4.0144377957851418E-4</c:v>
                </c:pt>
                <c:pt idx="167">
                  <c:v>4.1220834026134412E-4</c:v>
                </c:pt>
                <c:pt idx="168">
                  <c:v>4.3615541447827866E-4</c:v>
                </c:pt>
                <c:pt idx="169">
                  <c:v>4.6251885713388674E-4</c:v>
                </c:pt>
                <c:pt idx="170">
                  <c:v>4.769095552870084E-4</c:v>
                </c:pt>
                <c:pt idx="171">
                  <c:v>4.9202548123794543E-4</c:v>
                </c:pt>
                <c:pt idx="172">
                  <c:v>5.0786663498669782E-4</c:v>
                </c:pt>
                <c:pt idx="173">
                  <c:v>5.4196718462407034E-4</c:v>
                </c:pt>
                <c:pt idx="174">
                  <c:v>5.7812130762613378E-4</c:v>
                </c:pt>
                <c:pt idx="175">
                  <c:v>5.9541526661099908E-4</c:v>
                </c:pt>
                <c:pt idx="176">
                  <c:v>6.1126111844167497E-4</c:v>
                </c:pt>
                <c:pt idx="177">
                  <c:v>6.2565886287835326E-4</c:v>
                </c:pt>
                <c:pt idx="178">
                  <c:v>6.4962849824823365E-4</c:v>
                </c:pt>
                <c:pt idx="179">
                  <c:v>6.6876876308796795E-4</c:v>
                </c:pt>
                <c:pt idx="180">
                  <c:v>6.7592596815657657E-4</c:v>
                </c:pt>
                <c:pt idx="181">
                  <c:v>6.8163506503182703E-4</c:v>
                </c:pt>
                <c:pt idx="182">
                  <c:v>6.8589605371371931E-4</c:v>
                </c:pt>
                <c:pt idx="183">
                  <c:v>6.8959232415011229E-4</c:v>
                </c:pt>
                <c:pt idx="184">
                  <c:v>6.8845892482904958E-4</c:v>
                </c:pt>
                <c:pt idx="185">
                  <c:v>6.8547937182472651E-4</c:v>
                </c:pt>
                <c:pt idx="186">
                  <c:v>6.8105171038723711E-4</c:v>
                </c:pt>
                <c:pt idx="187">
                  <c:v>6.7517594075638954E-4</c:v>
                </c:pt>
                <c:pt idx="188">
                  <c:v>6.5859857908634467E-4</c:v>
                </c:pt>
                <c:pt idx="189">
                  <c:v>6.3719178125865028E-4</c:v>
                </c:pt>
                <c:pt idx="190">
                  <c:v>6.2407547186005274E-4</c:v>
                </c:pt>
                <c:pt idx="191">
                  <c:v>6.0951105466777733E-4</c:v>
                </c:pt>
                <c:pt idx="192">
                  <c:v>5.9349853024137644E-4</c:v>
                </c:pt>
                <c:pt idx="193">
                  <c:v>5.566473180795839E-4</c:v>
                </c:pt>
                <c:pt idx="194">
                  <c:v>5.1536419348074958E-4</c:v>
                </c:pt>
                <c:pt idx="195">
                  <c:v>4.9449212005114873E-4</c:v>
                </c:pt>
                <c:pt idx="196">
                  <c:v>4.7455292495612866E-4</c:v>
                </c:pt>
                <c:pt idx="197">
                  <c:v>4.555466079558812E-4</c:v>
                </c:pt>
                <c:pt idx="198">
                  <c:v>4.2064405843866837E-4</c:v>
                </c:pt>
                <c:pt idx="199">
                  <c:v>3.8885011890421595E-4</c:v>
                </c:pt>
                <c:pt idx="200">
                  <c:v>3.7450819069917429E-4</c:v>
                </c:pt>
                <c:pt idx="201">
                  <c:v>3.6109913986948072E-4</c:v>
                </c:pt>
                <c:pt idx="202">
                  <c:v>3.4862296633519918E-4</c:v>
                </c:pt>
                <c:pt idx="203">
                  <c:v>3.2678050628121014E-4</c:v>
                </c:pt>
                <c:pt idx="204">
                  <c:v>3.0804704315379183E-4</c:v>
                </c:pt>
                <c:pt idx="205">
                  <c:v>3.002352548175935E-4</c:v>
                </c:pt>
                <c:pt idx="206">
                  <c:v>2.9335634313731873E-4</c:v>
                </c:pt>
                <c:pt idx="207">
                  <c:v>2.8741030827283964E-4</c:v>
                </c:pt>
                <c:pt idx="208">
                  <c:v>2.7862804314437994E-4</c:v>
                </c:pt>
                <c:pt idx="209">
                  <c:v>2.7295493553403105E-4</c:v>
                </c:pt>
                <c:pt idx="210">
                  <c:v>2.7167328394916979E-4</c:v>
                </c:pt>
                <c:pt idx="211">
                  <c:v>2.7132450886035997E-4</c:v>
                </c:pt>
                <c:pt idx="212">
                  <c:v>2.7190861042747372E-4</c:v>
                </c:pt>
                <c:pt idx="213">
                  <c:v>2.7618661403217004E-4</c:v>
                </c:pt>
                <c:pt idx="214">
                  <c:v>2.835737826156759E-4</c:v>
                </c:pt>
                <c:pt idx="215">
                  <c:v>2.8882226730253535E-4</c:v>
                </c:pt>
                <c:pt idx="216">
                  <c:v>2.9500362872525443E-4</c:v>
                </c:pt>
                <c:pt idx="217">
                  <c:v>3.1527692643784633E-4</c:v>
                </c:pt>
                <c:pt idx="218">
                  <c:v>3.3420483668500367E-4</c:v>
                </c:pt>
                <c:pt idx="219">
                  <c:v>3.4000220998642305E-4</c:v>
                </c:pt>
                <c:pt idx="220">
                  <c:v>3.4558010581164922E-4</c:v>
                </c:pt>
                <c:pt idx="221">
                  <c:v>3.5600465759344502E-4</c:v>
                </c:pt>
                <c:pt idx="222">
                  <c:v>3.6569691347132505E-4</c:v>
                </c:pt>
                <c:pt idx="223">
                  <c:v>3.7017742159584088E-4</c:v>
                </c:pt>
                <c:pt idx="224">
                  <c:v>3.7443845200435533E-4</c:v>
                </c:pt>
                <c:pt idx="225">
                  <c:v>3.7848000493667655E-4</c:v>
                </c:pt>
                <c:pt idx="226">
                  <c:v>3.8583193224361878E-4</c:v>
                </c:pt>
                <c:pt idx="227">
                  <c:v>3.9245144054511627E-4</c:v>
                </c:pt>
                <c:pt idx="228">
                  <c:v>3.9539560545698293E-4</c:v>
                </c:pt>
                <c:pt idx="229">
                  <c:v>3.9812029265284821E-4</c:v>
                </c:pt>
                <c:pt idx="230">
                  <c:v>4.0062550237252026E-4</c:v>
                </c:pt>
                <c:pt idx="231">
                  <c:v>4.049047849274956E-4</c:v>
                </c:pt>
                <c:pt idx="232">
                  <c:v>4.0845156457081089E-4</c:v>
                </c:pt>
                <c:pt idx="233">
                  <c:v>4.0985938611015627E-4</c:v>
                </c:pt>
                <c:pt idx="234">
                  <c:v>4.1104772985356419E-4</c:v>
                </c:pt>
                <c:pt idx="235">
                  <c:v>4.1292191158337488E-4</c:v>
                </c:pt>
                <c:pt idx="236">
                  <c:v>4.1372555317664705E-4</c:v>
                </c:pt>
                <c:pt idx="237">
                  <c:v>4.1376664526637796E-4</c:v>
                </c:pt>
                <c:pt idx="238">
                  <c:v>4.1375787396269459E-4</c:v>
                </c:pt>
                <c:pt idx="239">
                  <c:v>4.1369923902578876E-4</c:v>
                </c:pt>
                <c:pt idx="240">
                  <c:v>4.1341623252755255E-4</c:v>
                </c:pt>
                <c:pt idx="241">
                  <c:v>4.1296606486440623E-4</c:v>
                </c:pt>
                <c:pt idx="242">
                  <c:v>4.1265811264068475E-4</c:v>
                </c:pt>
                <c:pt idx="243">
                  <c:v>4.1230029694361292E-4</c:v>
                </c:pt>
                <c:pt idx="244">
                  <c:v>4.1189261777319075E-4</c:v>
                </c:pt>
                <c:pt idx="245">
                  <c:v>4.1091151683936289E-4</c:v>
                </c:pt>
                <c:pt idx="246">
                  <c:v>4.0976326627806259E-4</c:v>
                </c:pt>
                <c:pt idx="247">
                  <c:v>4.0910626974088871E-4</c:v>
                </c:pt>
                <c:pt idx="248">
                  <c:v>4.0839940973036448E-4</c:v>
                </c:pt>
                <c:pt idx="249">
                  <c:v>4.0764268624648992E-4</c:v>
                </c:pt>
                <c:pt idx="250">
                  <c:v>4.0596348549470918E-4</c:v>
                </c:pt>
                <c:pt idx="251">
                  <c:v>4.0411715757748823E-4</c:v>
                </c:pt>
                <c:pt idx="252">
                  <c:v>4.0311111672686195E-4</c:v>
                </c:pt>
                <c:pt idx="253">
                  <c:v>4.0205521240288533E-4</c:v>
                </c:pt>
                <c:pt idx="254">
                  <c:v>4.0094944460555837E-4</c:v>
                </c:pt>
                <c:pt idx="255">
                  <c:v>3.9857213876004494E-4</c:v>
                </c:pt>
                <c:pt idx="256">
                  <c:v>3.9602773884261921E-4</c:v>
                </c:pt>
                <c:pt idx="257">
                  <c:v>3.9468788373575592E-4</c:v>
                </c:pt>
                <c:pt idx="258">
                  <c:v>3.9337431560149128E-4</c:v>
                </c:pt>
                <c:pt idx="259">
                  <c:v>3.9210226441710461E-4</c:v>
                </c:pt>
                <c:pt idx="260">
                  <c:v>3.8969697383706148E-4</c:v>
                </c:pt>
                <c:pt idx="261">
                  <c:v>3.874292294980819E-4</c:v>
                </c:pt>
                <c:pt idx="262">
                  <c:v>3.8636476322295721E-4</c:v>
                </c:pt>
                <c:pt idx="263">
                  <c:v>3.8534181389771049E-4</c:v>
                </c:pt>
                <c:pt idx="264">
                  <c:v>3.8436038152234175E-4</c:v>
                </c:pt>
                <c:pt idx="265">
                  <c:v>3.8253631323925674E-4</c:v>
                </c:pt>
                <c:pt idx="266">
                  <c:v>3.8084982191932681E-4</c:v>
                </c:pt>
                <c:pt idx="267">
                  <c:v>3.8007597445322006E-4</c:v>
                </c:pt>
                <c:pt idx="268">
                  <c:v>3.7934364393699127E-4</c:v>
                </c:pt>
                <c:pt idx="269">
                  <c:v>3.7865283037064046E-4</c:v>
                </c:pt>
                <c:pt idx="270">
                  <c:v>3.774099889142235E-4</c:v>
                </c:pt>
                <c:pt idx="271">
                  <c:v>3.7630474600369723E-4</c:v>
                </c:pt>
                <c:pt idx="272">
                  <c:v>3.758215173466084E-4</c:v>
                </c:pt>
                <c:pt idx="273">
                  <c:v>3.7537980563939755E-4</c:v>
                </c:pt>
                <c:pt idx="274">
                  <c:v>3.7497961088206466E-4</c:v>
                </c:pt>
                <c:pt idx="275">
                  <c:v>3.7431800056886289E-4</c:v>
                </c:pt>
                <c:pt idx="276">
                  <c:v>3.7379400167125709E-4</c:v>
                </c:pt>
                <c:pt idx="277">
                  <c:v>3.7360139182318619E-4</c:v>
                </c:pt>
                <c:pt idx="278">
                  <c:v>3.7345029892499326E-4</c:v>
                </c:pt>
                <c:pt idx="279">
                  <c:v>3.7334072297667831E-4</c:v>
                </c:pt>
                <c:pt idx="280">
                  <c:v>3.7326034801665742E-4</c:v>
                </c:pt>
                <c:pt idx="281">
                  <c:v>3.7331758900194245E-4</c:v>
                </c:pt>
                <c:pt idx="282">
                  <c:v>3.7341559788295342E-4</c:v>
                </c:pt>
                <c:pt idx="283">
                  <c:v>3.7355512371384236E-4</c:v>
                </c:pt>
                <c:pt idx="284">
                  <c:v>3.7373616665448139E-4</c:v>
                </c:pt>
                <c:pt idx="285">
                  <c:v>3.742370312576071E-4</c:v>
                </c:pt>
                <c:pt idx="286">
                  <c:v>3.7487550775594514E-4</c:v>
                </c:pt>
                <c:pt idx="287">
                  <c:v>3.7526413544597403E-4</c:v>
                </c:pt>
                <c:pt idx="288">
                  <c:v>3.7569428016581696E-4</c:v>
                </c:pt>
                <c:pt idx="289">
                  <c:v>3.7616594175560181E-4</c:v>
                </c:pt>
                <c:pt idx="290">
                  <c:v>3.7724805034500264E-4</c:v>
                </c:pt>
                <c:pt idx="291">
                  <c:v>3.7846775809313726E-4</c:v>
                </c:pt>
                <c:pt idx="292">
                  <c:v>3.7914700467212015E-4</c:v>
                </c:pt>
                <c:pt idx="293">
                  <c:v>3.79867768200981E-4</c:v>
                </c:pt>
                <c:pt idx="294">
                  <c:v>3.8063004859978378E-4</c:v>
                </c:pt>
                <c:pt idx="295">
                  <c:v>3.8229340538542544E-4</c:v>
                </c:pt>
                <c:pt idx="296">
                  <c:v>3.8409434017339095E-4</c:v>
                </c:pt>
                <c:pt idx="297">
                  <c:v>3.850642054814557E-4</c:v>
                </c:pt>
                <c:pt idx="298">
                  <c:v>3.8607558781933449E-4</c:v>
                </c:pt>
                <c:pt idx="299">
                  <c:v>3.8712848702715519E-4</c:v>
                </c:pt>
                <c:pt idx="300">
                  <c:v>3.8937309669861975E-4</c:v>
                </c:pt>
                <c:pt idx="301">
                  <c:v>3.9175525391677013E-4</c:v>
                </c:pt>
                <c:pt idx="302">
                  <c:v>3.9301573811378887E-4</c:v>
                </c:pt>
                <c:pt idx="303">
                  <c:v>3.9431773918074953E-4</c:v>
                </c:pt>
                <c:pt idx="304">
                  <c:v>3.9566125727752421E-4</c:v>
                </c:pt>
                <c:pt idx="305">
                  <c:v>3.9848712455103907E-4</c:v>
                </c:pt>
                <c:pt idx="306">
                  <c:v>4.0145049956308299E-4</c:v>
                </c:pt>
                <c:pt idx="307">
                  <c:v>4.0300160256911965E-4</c:v>
                </c:pt>
                <c:pt idx="308">
                  <c:v>4.0459422260497035E-4</c:v>
                </c:pt>
                <c:pt idx="309">
                  <c:v>4.0622835951076297E-4</c:v>
                </c:pt>
                <c:pt idx="310">
                  <c:v>4.0963548950223583E-4</c:v>
                </c:pt>
                <c:pt idx="311">
                  <c:v>4.1318007719226557E-4</c:v>
                </c:pt>
                <c:pt idx="312">
                  <c:v>4.1502179908725623E-4</c:v>
                </c:pt>
                <c:pt idx="313">
                  <c:v>4.1690503793212486E-4</c:v>
                </c:pt>
                <c:pt idx="314">
                  <c:v>4.1882979380680752E-4</c:v>
                </c:pt>
                <c:pt idx="315">
                  <c:v>4.2281819205847171E-4</c:v>
                </c:pt>
                <c:pt idx="316">
                  <c:v>4.2694398704412606E-4</c:v>
                </c:pt>
                <c:pt idx="317">
                  <c:v>4.2907632790800676E-4</c:v>
                </c:pt>
                <c:pt idx="318">
                  <c:v>4.3125018564182938E-4</c:v>
                </c:pt>
                <c:pt idx="319">
                  <c:v>4.3346556040546602E-4</c:v>
                </c:pt>
                <c:pt idx="320">
                  <c:v>4.3803523291252588E-4</c:v>
                </c:pt>
                <c:pt idx="321">
                  <c:v>4.4274222943840869E-4</c:v>
                </c:pt>
                <c:pt idx="322">
                  <c:v>4.4516518919124337E-4</c:v>
                </c:pt>
                <c:pt idx="323">
                  <c:v>4.4762653136132258E-4</c:v>
                </c:pt>
                <c:pt idx="324">
                  <c:v>4.5011371789804855E-4</c:v>
                </c:pt>
                <c:pt idx="325">
                  <c:v>4.551643659578275E-4</c:v>
                </c:pt>
                <c:pt idx="326">
                  <c:v>4.6028956246502162E-4</c:v>
                </c:pt>
                <c:pt idx="327">
                  <c:v>4.6289029825175021E-4</c:v>
                </c:pt>
                <c:pt idx="328">
                  <c:v>4.6551374379255606E-4</c:v>
                </c:pt>
                <c:pt idx="329">
                  <c:v>4.6815989924731127E-4</c:v>
                </c:pt>
                <c:pt idx="330">
                  <c:v>4.7352853235871351E-4</c:v>
                </c:pt>
                <c:pt idx="331">
                  <c:v>4.7897161924659315E-4</c:v>
                </c:pt>
                <c:pt idx="332">
                  <c:v>4.8173132387141493E-4</c:v>
                </c:pt>
                <c:pt idx="333">
                  <c:v>4.8451373825031396E-4</c:v>
                </c:pt>
                <c:pt idx="334">
                  <c:v>4.8731886262309843E-4</c:v>
                </c:pt>
                <c:pt idx="335">
                  <c:v>4.9300548576880487E-4</c:v>
                </c:pt>
                <c:pt idx="336">
                  <c:v>4.9876645813462517E-4</c:v>
                </c:pt>
                <c:pt idx="337">
                  <c:v>5.0168513167747619E-4</c:v>
                </c:pt>
                <c:pt idx="338">
                  <c:v>5.0462651497440447E-4</c:v>
                </c:pt>
                <c:pt idx="339">
                  <c:v>5.0759060818528212E-4</c:v>
                </c:pt>
                <c:pt idx="340">
                  <c:v>5.1359522672100866E-4</c:v>
                </c:pt>
                <c:pt idx="341">
                  <c:v>5.1967407936892585E-4</c:v>
                </c:pt>
                <c:pt idx="342">
                  <c:v>5.2275172174987006E-4</c:v>
                </c:pt>
                <c:pt idx="343">
                  <c:v>5.2585207404476364E-4</c:v>
                </c:pt>
                <c:pt idx="344">
                  <c:v>5.2897513609373448E-4</c:v>
                </c:pt>
                <c:pt idx="345">
                  <c:v>5.3529775577487726E-4</c:v>
                </c:pt>
                <c:pt idx="346">
                  <c:v>5.4169448302943124E-4</c:v>
                </c:pt>
                <c:pt idx="347">
                  <c:v>5.4493109440834075E-4</c:v>
                </c:pt>
                <c:pt idx="348">
                  <c:v>5.4819041562126358E-4</c:v>
                </c:pt>
                <c:pt idx="349">
                  <c:v>5.5147244666819972E-4</c:v>
                </c:pt>
                <c:pt idx="350">
                  <c:v>5.5811307354325379E-4</c:v>
                </c:pt>
                <c:pt idx="351">
                  <c:v>5.6482766951582164E-4</c:v>
                </c:pt>
                <c:pt idx="352">
                  <c:v>5.682232498127604E-4</c:v>
                </c:pt>
                <c:pt idx="353">
                  <c:v>5.7164154002364853E-4</c:v>
                </c:pt>
                <c:pt idx="354">
                  <c:v>5.7508254006854997E-4</c:v>
                </c:pt>
                <c:pt idx="355">
                  <c:v>5.8204118069227206E-4</c:v>
                </c:pt>
                <c:pt idx="356">
                  <c:v>5.8907363882809705E-4</c:v>
                </c:pt>
                <c:pt idx="357">
                  <c:v>5.9262818820293717E-4</c:v>
                </c:pt>
                <c:pt idx="358">
                  <c:v>5.962054474117906E-4</c:v>
                </c:pt>
                <c:pt idx="359">
                  <c:v>5.9980541645465735E-4</c:v>
                </c:pt>
                <c:pt idx="360">
                  <c:v>6.0708207786142054E-4</c:v>
                </c:pt>
                <c:pt idx="361">
                  <c:v>6.1443239136593775E-4</c:v>
                </c:pt>
                <c:pt idx="362">
                  <c:v>6.1814590973874317E-4</c:v>
                </c:pt>
                <c:pt idx="363">
                  <c:v>6.2188213794556191E-4</c:v>
                </c:pt>
                <c:pt idx="364">
                  <c:v>6.2564107614626607E-4</c:v>
                </c:pt>
                <c:pt idx="365">
                  <c:v>6.332357657434784E-4</c:v>
                </c:pt>
                <c:pt idx="366">
                  <c:v>6.4090392728921586E-4</c:v>
                </c:pt>
                <c:pt idx="367">
                  <c:v>6.4477641473992264E-4</c:v>
                </c:pt>
                <c:pt idx="368">
                  <c:v>6.4867161202464274E-4</c:v>
                </c:pt>
                <c:pt idx="369">
                  <c:v>6.5258951922331221E-4</c:v>
                </c:pt>
                <c:pt idx="370">
                  <c:v>6.6050224508451549E-4</c:v>
                </c:pt>
                <c:pt idx="371">
                  <c:v>6.6848824683773955E-4</c:v>
                </c:pt>
                <c:pt idx="372">
                  <c:v>6.725197033663477E-4</c:v>
                </c:pt>
                <c:pt idx="373">
                  <c:v>6.7657386980890521E-4</c:v>
                </c:pt>
                <c:pt idx="374">
                  <c:v>6.806507461654121E-4</c:v>
                </c:pt>
                <c:pt idx="375">
                  <c:v>6.8888151660395636E-4</c:v>
                </c:pt>
                <c:pt idx="376">
                  <c:v>6.97185350251317E-4</c:v>
                </c:pt>
                <c:pt idx="377">
                  <c:v>7.0137577593776257E-4</c:v>
                </c:pt>
                <c:pt idx="378">
                  <c:v>7.0558891161809356E-4</c:v>
                </c:pt>
                <c:pt idx="379">
                  <c:v>7.0982475705250181E-4</c:v>
                </c:pt>
                <c:pt idx="380">
                  <c:v>7.1837358112780691E-4</c:v>
                </c:pt>
                <c:pt idx="381">
                  <c:v>7.2699523784969244E-4</c:v>
                </c:pt>
                <c:pt idx="382">
                  <c:v>7.3134463277391148E-4</c:v>
                </c:pt>
                <c:pt idx="383">
                  <c:v>7.3571673753214384E-4</c:v>
                </c:pt>
                <c:pt idx="384">
                  <c:v>7.4011155220432556E-4</c:v>
                </c:pt>
                <c:pt idx="385">
                  <c:v>7.4897843945542775E-4</c:v>
                </c:pt>
                <c:pt idx="386">
                  <c:v>7.5791790987267404E-4</c:v>
                </c:pt>
                <c:pt idx="387">
                  <c:v>7.6242627403466656E-4</c:v>
                </c:pt>
                <c:pt idx="388">
                  <c:v>7.6694993452086635E-4</c:v>
                </c:pt>
                <c:pt idx="389">
                  <c:v>7.7145923713217712E-4</c:v>
                </c:pt>
                <c:pt idx="390">
                  <c:v>7.8040696302572599E-4</c:v>
                </c:pt>
                <c:pt idx="391">
                  <c:v>7.8927873421008599E-4</c:v>
                </c:pt>
                <c:pt idx="392">
                  <c:v>7.9367917997785753E-4</c:v>
                </c:pt>
                <c:pt idx="393">
                  <c:v>7.9805785452080613E-4</c:v>
                </c:pt>
                <c:pt idx="394">
                  <c:v>8.0241475751918756E-4</c:v>
                </c:pt>
                <c:pt idx="395">
                  <c:v>8.1105781973178637E-4</c:v>
                </c:pt>
                <c:pt idx="396">
                  <c:v>8.1962465622531511E-4</c:v>
                </c:pt>
                <c:pt idx="397">
                  <c:v>8.2387270238015731E-4</c:v>
                </c:pt>
                <c:pt idx="398">
                  <c:v>8.2809897731017656E-4</c:v>
                </c:pt>
                <c:pt idx="399">
                  <c:v>8.3230348077556471E-4</c:v>
                </c:pt>
                <c:pt idx="400">
                  <c:v>8.4064187941379487E-4</c:v>
                </c:pt>
                <c:pt idx="401">
                  <c:v>8.4890378087010276E-4</c:v>
                </c:pt>
                <c:pt idx="402">
                  <c:v>8.5299942749195168E-4</c:v>
                </c:pt>
                <c:pt idx="403">
                  <c:v>8.5707330272910554E-4</c:v>
                </c:pt>
                <c:pt idx="404">
                  <c:v>8.6715226687239522E-4</c:v>
                </c:pt>
                <c:pt idx="405">
                  <c:v>8.7711610798457684E-4</c:v>
                </c:pt>
                <c:pt idx="406">
                  <c:v>8.8105935491356036E-4</c:v>
                </c:pt>
                <c:pt idx="407">
                  <c:v>8.8498083037791275E-4</c:v>
                </c:pt>
                <c:pt idx="408">
                  <c:v>8.9467899744732904E-4</c:v>
                </c:pt>
                <c:pt idx="409">
                  <c:v>9.0426163716905705E-4</c:v>
                </c:pt>
                <c:pt idx="410">
                  <c:v>9.0805248440517516E-4</c:v>
                </c:pt>
                <c:pt idx="411">
                  <c:v>9.1182156025659822E-4</c:v>
                </c:pt>
                <c:pt idx="412">
                  <c:v>9.1556886464339016E-4</c:v>
                </c:pt>
                <c:pt idx="413">
                  <c:v>9.2299326853506614E-4</c:v>
                </c:pt>
                <c:pt idx="414">
                  <c:v>9.3034036834360734E-4</c:v>
                </c:pt>
                <c:pt idx="415">
                  <c:v>9.3397881580692399E-4</c:v>
                </c:pt>
                <c:pt idx="416">
                  <c:v>9.3759549188554558E-4</c:v>
                </c:pt>
                <c:pt idx="417">
                  <c:v>9.4119039649953606E-4</c:v>
                </c:pt>
                <c:pt idx="418">
                  <c:v>9.4831013252694163E-4</c:v>
                </c:pt>
                <c:pt idx="419">
                  <c:v>9.5535230110854741E-4</c:v>
                </c:pt>
                <c:pt idx="420">
                  <c:v>9.5883834887899866E-4</c:v>
                </c:pt>
                <c:pt idx="421">
                  <c:v>9.6230262510488274E-4</c:v>
                </c:pt>
                <c:pt idx="422">
                  <c:v>9.6574513002600781E-4</c:v>
                </c:pt>
                <c:pt idx="423">
                  <c:v>9.7256019579106123E-4</c:v>
                </c:pt>
                <c:pt idx="424">
                  <c:v>9.7929743546387726E-4</c:v>
                </c:pt>
                <c:pt idx="425">
                  <c:v>9.8263108330165494E-4</c:v>
                </c:pt>
                <c:pt idx="426">
                  <c:v>9.8594295975473756E-4</c:v>
                </c:pt>
                <c:pt idx="427">
                  <c:v>9.8923306482312512E-4</c:v>
                </c:pt>
                <c:pt idx="428">
                  <c:v>9.9574345774122719E-4</c:v>
                </c:pt>
                <c:pt idx="429">
                  <c:v>1.0021757709299806E-3</c:v>
                </c:pt>
                <c:pt idx="430">
                  <c:v>1.0053570189949568E-3</c:v>
                </c:pt>
                <c:pt idx="431">
                  <c:v>1.0085164955953019E-3</c:v>
                </c:pt>
                <c:pt idx="432">
                  <c:v>1.0116542007310159E-3</c:v>
                </c:pt>
                <c:pt idx="433">
                  <c:v>1.0178599176846603E-3</c:v>
                </c:pt>
                <c:pt idx="434">
                  <c:v>1.0239873075068573E-3</c:v>
                </c:pt>
                <c:pt idx="435">
                  <c:v>1.0270161556391599E-3</c:v>
                </c:pt>
                <c:pt idx="436">
                  <c:v>1.0300232323867675E-3</c:v>
                </c:pt>
                <c:pt idx="437">
                  <c:v>1.03300853774968E-3</c:v>
                </c:pt>
                <c:pt idx="438">
                  <c:v>1.0389095751417443E-3</c:v>
                </c:pt>
                <c:pt idx="439">
                  <c:v>1.0447320448747632E-3</c:v>
                </c:pt>
                <c:pt idx="440">
                  <c:v>1.0476084931543284E-3</c:v>
                </c:pt>
                <c:pt idx="441">
                  <c:v>1.0504631700491984E-3</c:v>
                </c:pt>
                <c:pt idx="442">
                  <c:v>1.0532960753995013E-3</c:v>
                </c:pt>
                <c:pt idx="443">
                  <c:v>1.0588924294729907E-3</c:v>
                </c:pt>
                <c:pt idx="444">
                  <c:v>1.0644099829537623E-3</c:v>
                </c:pt>
                <c:pt idx="445">
                  <c:v>1.0671340313006539E-3</c:v>
                </c:pt>
                <c:pt idx="446">
                  <c:v>1.0698363082628504E-3</c:v>
                </c:pt>
                <c:pt idx="447">
                  <c:v>1.0725168136804797E-3</c:v>
                </c:pt>
                <c:pt idx="448">
                  <c:v>1.0778084801454924E-3</c:v>
                </c:pt>
                <c:pt idx="449">
                  <c:v>1.0830211215040464E-3</c:v>
                </c:pt>
                <c:pt idx="450">
                  <c:v>1.0855927698383283E-3</c:v>
                </c:pt>
                <c:pt idx="451">
                  <c:v>1.0881546542229614E-3</c:v>
                </c:pt>
                <c:pt idx="452">
                  <c:v>1.0907548037586423E-3</c:v>
                </c:pt>
                <c:pt idx="453">
                  <c:v>1.0961260155539776E-3</c:v>
                </c:pt>
                <c:pt idx="454">
                  <c:v>1.1016581277623061E-3</c:v>
                </c:pt>
                <c:pt idx="455">
                  <c:v>1.1045096402284571E-3</c:v>
                </c:pt>
                <c:pt idx="456">
                  <c:v>1.1074114252807021E-3</c:v>
                </c:pt>
                <c:pt idx="457">
                  <c:v>1.1103634828391051E-3</c:v>
                </c:pt>
                <c:pt idx="458">
                  <c:v>1.1164386357531697E-3</c:v>
                </c:pt>
                <c:pt idx="459">
                  <c:v>1.1226744393333377E-3</c:v>
                </c:pt>
                <c:pt idx="460">
                  <c:v>1.1258778599021468E-3</c:v>
                </c:pt>
                <c:pt idx="461">
                  <c:v>1.1291315531369861E-3</c:v>
                </c:pt>
                <c:pt idx="462">
                  <c:v>1.1324355188779833E-3</c:v>
                </c:pt>
                <c:pt idx="463">
                  <c:v>1.1392146307631634E-3</c:v>
                </c:pt>
                <c:pt idx="464">
                  <c:v>1.1461541079427207E-3</c:v>
                </c:pt>
                <c:pt idx="465">
                  <c:v>1.1497094367740601E-3</c:v>
                </c:pt>
                <c:pt idx="466">
                  <c:v>1.1533150381914936E-3</c:v>
                </c:pt>
                <c:pt idx="467">
                  <c:v>1.1644912840083066E-3</c:v>
                </c:pt>
                <c:pt idx="468">
                  <c:v>1.1760043712438772E-3</c:v>
                </c:pt>
                <c:pt idx="469">
                  <c:v>1.179961880923841E-3</c:v>
                </c:pt>
                <c:pt idx="470">
                  <c:v>1.1839696632698349E-3</c:v>
                </c:pt>
                <c:pt idx="471">
                  <c:v>1.1921567510242426E-3</c:v>
                </c:pt>
                <c:pt idx="472">
                  <c:v>1.2005035185147506E-3</c:v>
                </c:pt>
                <c:pt idx="473">
                  <c:v>1.2047626639510867E-3</c:v>
                </c:pt>
                <c:pt idx="474">
                  <c:v>1.2090720819735168E-3</c:v>
                </c:pt>
                <c:pt idx="475">
                  <c:v>1.213431772661977E-3</c:v>
                </c:pt>
                <c:pt idx="476">
                  <c:v>1.222322879526061E-3</c:v>
                </c:pt>
                <c:pt idx="477">
                  <c:v>1.2313732615965023E-3</c:v>
                </c:pt>
                <c:pt idx="478">
                  <c:v>1.2359843153753047E-3</c:v>
                </c:pt>
                <c:pt idx="479">
                  <c:v>1.2406456419000733E-3</c:v>
                </c:pt>
                <c:pt idx="480">
                  <c:v>1.2453572409309999E-3</c:v>
                </c:pt>
                <c:pt idx="481">
                  <c:v>1.2549523893934378E-3</c:v>
                </c:pt>
                <c:pt idx="482">
                  <c:v>1.2647063639548151E-3</c:v>
                </c:pt>
                <c:pt idx="483">
                  <c:v>1.269669326235956E-3</c:v>
                </c:pt>
                <c:pt idx="484">
                  <c:v>1.274682561263063E-3</c:v>
                </c:pt>
                <c:pt idx="485">
                  <c:v>1.2797460689562001E-3</c:v>
                </c:pt>
                <c:pt idx="486">
                  <c:v>1.290045282598129E-3</c:v>
                </c:pt>
                <c:pt idx="487">
                  <c:v>1.3005028262291773E-3</c:v>
                </c:pt>
                <c:pt idx="488">
                  <c:v>1.3058176971725288E-3</c:v>
                </c:pt>
                <c:pt idx="489">
                  <c:v>1.3111828409417825E-3</c:v>
                </c:pt>
                <c:pt idx="490">
                  <c:v>1.3165982572171941E-3</c:v>
                </c:pt>
                <c:pt idx="491">
                  <c:v>1.3276015613250536E-3</c:v>
                </c:pt>
                <c:pt idx="492">
                  <c:v>1.3387626493788218E-3</c:v>
                </c:pt>
                <c:pt idx="493">
                  <c:v>1.3444294290643199E-3</c:v>
                </c:pt>
                <c:pt idx="494">
                  <c:v>1.3501464814957842E-3</c:v>
                </c:pt>
                <c:pt idx="495">
                  <c:v>1.3559138065932785E-3</c:v>
                </c:pt>
                <c:pt idx="496">
                  <c:v>1.3676212278923572E-3</c:v>
                </c:pt>
                <c:pt idx="497">
                  <c:v>1.3794858339633009E-3</c:v>
                </c:pt>
                <c:pt idx="498">
                  <c:v>1.3855045225508178E-3</c:v>
                </c:pt>
                <c:pt idx="499">
                  <c:v>1.3915734838043647E-3</c:v>
                </c:pt>
                <c:pt idx="500">
                  <c:v>1.3976927178038778E-3</c:v>
                </c:pt>
                <c:pt idx="501">
                  <c:v>1.4101042847247669E-3</c:v>
                </c:pt>
                <c:pt idx="502">
                  <c:v>1.4226723809418473E-3</c:v>
                </c:pt>
                <c:pt idx="503">
                  <c:v>1.4290429784313829E-3</c:v>
                </c:pt>
                <c:pt idx="504">
                  <c:v>1.4354638487468208E-3</c:v>
                </c:pt>
                <c:pt idx="505">
                  <c:v>1.4419349918082247E-3</c:v>
                </c:pt>
                <c:pt idx="506">
                  <c:v>1.4550507345134633E-3</c:v>
                </c:pt>
                <c:pt idx="507">
                  <c:v>1.4683222911138216E-3</c:v>
                </c:pt>
                <c:pt idx="508">
                  <c:v>1.4750447978251202E-3</c:v>
                </c:pt>
                <c:pt idx="509">
                  <c:v>1.4818175772024489E-3</c:v>
                </c:pt>
                <c:pt idx="510">
                  <c:v>1.4886406294056798E-3</c:v>
                </c:pt>
                <c:pt idx="511">
                  <c:v>1.5024605799496271E-3</c:v>
                </c:pt>
                <c:pt idx="512">
                  <c:v>1.5164355655183925E-3</c:v>
                </c:pt>
                <c:pt idx="513">
                  <c:v>1.5235099814514541E-3</c:v>
                </c:pt>
                <c:pt idx="514">
                  <c:v>1.5306346701304818E-3</c:v>
                </c:pt>
                <c:pt idx="515">
                  <c:v>1.5378031239610124E-3</c:v>
                </c:pt>
                <c:pt idx="516">
                  <c:v>1.5521971636012211E-3</c:v>
                </c:pt>
                <c:pt idx="517">
                  <c:v>1.5666152425719559E-3</c:v>
                </c:pt>
                <c:pt idx="518">
                  <c:v>1.6174687003367438E-3</c:v>
                </c:pt>
                <c:pt idx="519">
                  <c:v>1.668872295237378E-3</c:v>
                </c:pt>
                <c:pt idx="520">
                  <c:v>1.7208260271939224E-3</c:v>
                </c:pt>
                <c:pt idx="521">
                  <c:v>1.7733298966060573E-3</c:v>
                </c:pt>
                <c:pt idx="522">
                  <c:v>1.826383903793527E-3</c:v>
                </c:pt>
                <c:pt idx="523">
                  <c:v>1.8799880488362675E-3</c:v>
                </c:pt>
                <c:pt idx="524">
                  <c:v>1.934142332054023E-3</c:v>
                </c:pt>
                <c:pt idx="525">
                  <c:v>1.9888467536866017E-3</c:v>
                </c:pt>
                <c:pt idx="526">
                  <c:v>2.0441013139738118E-3</c:v>
                </c:pt>
                <c:pt idx="527">
                  <c:v>2.0999060132353975E-3</c:v>
                </c:pt>
                <c:pt idx="528">
                  <c:v>2.1562608516312309E-3</c:v>
                </c:pt>
                <c:pt idx="529">
                  <c:v>2.2131658294810563E-3</c:v>
                </c:pt>
                <c:pt idx="530">
                  <c:v>2.2706209470246819E-3</c:v>
                </c:pt>
                <c:pt idx="531">
                  <c:v>2.3286262045818518E-3</c:v>
                </c:pt>
                <c:pt idx="532">
                  <c:v>2.3871816022325021E-3</c:v>
                </c:pt>
                <c:pt idx="533">
                  <c:v>2.4462871404562492E-3</c:v>
                </c:pt>
                <c:pt idx="534">
                  <c:v>2.5059428194929012E-3</c:v>
                </c:pt>
                <c:pt idx="535">
                  <c:v>2.5661486395023303E-3</c:v>
                </c:pt>
                <c:pt idx="536">
                  <c:v>2.6269046008842167E-3</c:v>
                </c:pt>
                <c:pt idx="537">
                  <c:v>2.6882107037984326E-3</c:v>
                </c:pt>
                <c:pt idx="538">
                  <c:v>2.7500669486446583E-3</c:v>
                </c:pt>
                <c:pt idx="539">
                  <c:v>2.8124733356627019E-3</c:v>
                </c:pt>
                <c:pt idx="540">
                  <c:v>2.8754298650124355E-3</c:v>
                </c:pt>
                <c:pt idx="541">
                  <c:v>2.9389365371734755E-3</c:v>
                </c:pt>
                <c:pt idx="542">
                  <c:v>3.00299335238563E-3</c:v>
                </c:pt>
                <c:pt idx="543">
                  <c:v>3.0676003108887073E-3</c:v>
                </c:pt>
                <c:pt idx="544">
                  <c:v>3.1327574130024516E-3</c:v>
                </c:pt>
                <c:pt idx="545">
                  <c:v>3.198464659046607E-3</c:v>
                </c:pt>
                <c:pt idx="546">
                  <c:v>3.2742323004875118E-3</c:v>
                </c:pt>
                <c:pt idx="547">
                  <c:v>3.3411184273646199E-3</c:v>
                </c:pt>
                <c:pt idx="548">
                  <c:v>3.408554699131372E-3</c:v>
                </c:pt>
                <c:pt idx="549">
                  <c:v>3.4765411160275761E-3</c:v>
                </c:pt>
                <c:pt idx="550">
                  <c:v>3.5450776784529126E-3</c:v>
                </c:pt>
                <c:pt idx="551">
                  <c:v>3.6141643866471895E-3</c:v>
                </c:pt>
                <c:pt idx="552">
                  <c:v>3.6838012409301513E-3</c:v>
                </c:pt>
                <c:pt idx="553">
                  <c:v>3.753988241701478E-3</c:v>
                </c:pt>
                <c:pt idx="554">
                  <c:v>3.8247253892809141E-3</c:v>
                </c:pt>
                <c:pt idx="555">
                  <c:v>3.8960126838283315E-3</c:v>
                </c:pt>
                <c:pt idx="556">
                  <c:v>3.9678501259032828E-3</c:v>
                </c:pt>
                <c:pt idx="557">
                  <c:v>4.0402377156656399E-3</c:v>
                </c:pt>
                <c:pt idx="558">
                  <c:v>4.1131754535150833E-3</c:v>
                </c:pt>
                <c:pt idx="559">
                  <c:v>4.1866633397713571E-3</c:v>
                </c:pt>
                <c:pt idx="560">
                  <c:v>4.2607013747542055E-3</c:v>
                </c:pt>
                <c:pt idx="561">
                  <c:v>4.3352895588633089E-3</c:v>
                </c:pt>
                <c:pt idx="562">
                  <c:v>4.4104278923384754E-3</c:v>
                </c:pt>
                <c:pt idx="563">
                  <c:v>4.4861163755793854E-3</c:v>
                </c:pt>
                <c:pt idx="564">
                  <c:v>4.5623550090656551E-3</c:v>
                </c:pt>
                <c:pt idx="565">
                  <c:v>4.6391437928772206E-3</c:v>
                </c:pt>
                <c:pt idx="566">
                  <c:v>4.7164827275736343E-3</c:v>
                </c:pt>
                <c:pt idx="567">
                  <c:v>4.7943718133947044E-3</c:v>
                </c:pt>
                <c:pt idx="568">
                  <c:v>4.8728110508200473E-3</c:v>
                </c:pt>
                <c:pt idx="569">
                  <c:v>4.9516935010718299E-3</c:v>
                </c:pt>
                <c:pt idx="570">
                  <c:v>5.0306440016090193E-3</c:v>
                </c:pt>
                <c:pt idx="571">
                  <c:v>5.1096292433960855E-3</c:v>
                </c:pt>
                <c:pt idx="572">
                  <c:v>5.1886492265929007E-3</c:v>
                </c:pt>
                <c:pt idx="573">
                  <c:v>5.2677039511195289E-3</c:v>
                </c:pt>
                <c:pt idx="574">
                  <c:v>5.3467934171358422E-3</c:v>
                </c:pt>
                <c:pt idx="575">
                  <c:v>5.4259176244819685E-3</c:v>
                </c:pt>
                <c:pt idx="576">
                  <c:v>5.5050765733177798E-3</c:v>
                </c:pt>
                <c:pt idx="577">
                  <c:v>5.5842702637232122E-3</c:v>
                </c:pt>
                <c:pt idx="578">
                  <c:v>5.6634986955383937E-3</c:v>
                </c:pt>
                <c:pt idx="579">
                  <c:v>5.7427618688432602E-3</c:v>
                </c:pt>
                <c:pt idx="580">
                  <c:v>5.822059783797684E-3</c:v>
                </c:pt>
                <c:pt idx="581">
                  <c:v>5.9013924402417928E-3</c:v>
                </c:pt>
                <c:pt idx="582">
                  <c:v>5.9807598382555227E-3</c:v>
                </c:pt>
                <c:pt idx="583">
                  <c:v>6.0601619779188098E-3</c:v>
                </c:pt>
                <c:pt idx="584">
                  <c:v>6.1395988592316542E-3</c:v>
                </c:pt>
                <c:pt idx="585">
                  <c:v>6.2190704821940557E-3</c:v>
                </c:pt>
                <c:pt idx="586">
                  <c:v>6.2985768468060144E-3</c:v>
                </c:pt>
                <c:pt idx="587">
                  <c:v>6.3781179532274024E-3</c:v>
                </c:pt>
                <c:pt idx="588">
                  <c:v>6.4576938012983476E-3</c:v>
                </c:pt>
                <c:pt idx="589">
                  <c:v>6.537304391098786E-3</c:v>
                </c:pt>
                <c:pt idx="590">
                  <c:v>6.6169497227086538E-3</c:v>
                </c:pt>
                <c:pt idx="591">
                  <c:v>6.6966297961279508E-3</c:v>
                </c:pt>
                <c:pt idx="592">
                  <c:v>6.7763446114366133E-3</c:v>
                </c:pt>
                <c:pt idx="593">
                  <c:v>6.8560941683948329E-3</c:v>
                </c:pt>
                <c:pt idx="594">
                  <c:v>6.93587846740229E-3</c:v>
                </c:pt>
                <c:pt idx="595">
                  <c:v>7.0156975082191764E-3</c:v>
                </c:pt>
                <c:pt idx="596">
                  <c:v>7.0955512910053642E-3</c:v>
                </c:pt>
                <c:pt idx="597">
                  <c:v>7.1754398156009813E-3</c:v>
                </c:pt>
                <c:pt idx="598">
                  <c:v>7.2667835278750204E-3</c:v>
                </c:pt>
                <c:pt idx="599">
                  <c:v>7.3467464996390675E-3</c:v>
                </c:pt>
                <c:pt idx="600">
                  <c:v>7.426744213372416E-3</c:v>
                </c:pt>
                <c:pt idx="601">
                  <c:v>7.506776669234938E-3</c:v>
                </c:pt>
                <c:pt idx="602">
                  <c:v>7.5868438670667615E-3</c:v>
                </c:pt>
                <c:pt idx="603">
                  <c:v>7.6669458070277585E-3</c:v>
                </c:pt>
                <c:pt idx="604">
                  <c:v>7.747082489037993E-3</c:v>
                </c:pt>
                <c:pt idx="605">
                  <c:v>7.8272539132573371E-3</c:v>
                </c:pt>
                <c:pt idx="606">
                  <c:v>7.9074600795259187E-3</c:v>
                </c:pt>
                <c:pt idx="607">
                  <c:v>7.9877009880835459E-3</c:v>
                </c:pt>
                <c:pt idx="608">
                  <c:v>8.0679766387703467E-3</c:v>
                </c:pt>
                <c:pt idx="609">
                  <c:v>8.1482870315863209E-3</c:v>
                </c:pt>
                <c:pt idx="610">
                  <c:v>8.228632166771277E-3</c:v>
                </c:pt>
                <c:pt idx="611">
                  <c:v>8.3090120441653426E-3</c:v>
                </c:pt>
                <c:pt idx="612">
                  <c:v>8.3894266638484538E-3</c:v>
                </c:pt>
                <c:pt idx="613">
                  <c:v>8.4698760259005468E-3</c:v>
                </c:pt>
                <c:pt idx="614">
                  <c:v>8.5503601302416854E-3</c:v>
                </c:pt>
                <c:pt idx="615">
                  <c:v>8.6308789769518057E-3</c:v>
                </c:pt>
                <c:pt idx="616">
                  <c:v>8.7114325660309078E-3</c:v>
                </c:pt>
                <c:pt idx="617">
                  <c:v>8.7920208974789915E-3</c:v>
                </c:pt>
                <c:pt idx="618">
                  <c:v>8.872643971375993E-3</c:v>
                </c:pt>
                <c:pt idx="619">
                  <c:v>8.9533017877219123E-3</c:v>
                </c:pt>
                <c:pt idx="620">
                  <c:v>9.0339943465966854E-3</c:v>
                </c:pt>
                <c:pt idx="621">
                  <c:v>9.1147246569533991E-3</c:v>
                </c:pt>
                <c:pt idx="622">
                  <c:v>9.1955266100018918E-3</c:v>
                </c:pt>
                <c:pt idx="623">
                  <c:v>9.2764098664144257E-3</c:v>
                </c:pt>
                <c:pt idx="624">
                  <c:v>9.3573744261910008E-3</c:v>
                </c:pt>
                <c:pt idx="625">
                  <c:v>9.4384202894914893E-3</c:v>
                </c:pt>
                <c:pt idx="626">
                  <c:v>9.519547456235955E-3</c:v>
                </c:pt>
                <c:pt idx="627">
                  <c:v>9.6007559265842701E-3</c:v>
                </c:pt>
                <c:pt idx="628">
                  <c:v>9.6820457004564986E-3</c:v>
                </c:pt>
                <c:pt idx="629">
                  <c:v>9.7634167780924486E-3</c:v>
                </c:pt>
                <c:pt idx="630">
                  <c:v>9.844869159412184E-3</c:v>
                </c:pt>
                <c:pt idx="631">
                  <c:v>9.9264028444956409E-3</c:v>
                </c:pt>
                <c:pt idx="632">
                  <c:v>1.0008017833422755E-2</c:v>
                </c:pt>
                <c:pt idx="633">
                  <c:v>1.0089714126193527E-2</c:v>
                </c:pt>
                <c:pt idx="634">
                  <c:v>1.0171491722967829E-2</c:v>
                </c:pt>
                <c:pt idx="635">
                  <c:v>1.0253350623745661E-2</c:v>
                </c:pt>
                <c:pt idx="636">
                  <c:v>1.0335290828527022E-2</c:v>
                </c:pt>
                <c:pt idx="637">
                  <c:v>1.0417312337391849E-2</c:v>
                </c:pt>
                <c:pt idx="638">
                  <c:v>1.0499415150500013E-2</c:v>
                </c:pt>
                <c:pt idx="639">
                  <c:v>1.058159926777158E-2</c:v>
                </c:pt>
                <c:pt idx="640">
                  <c:v>1.066386468936642E-2</c:v>
                </c:pt>
                <c:pt idx="641">
                  <c:v>1.0746211415284534E-2</c:v>
                </c:pt>
                <c:pt idx="642">
                  <c:v>1.0828639445525923E-2</c:v>
                </c:pt>
                <c:pt idx="643">
                  <c:v>1.0911148780250457E-2</c:v>
                </c:pt>
                <c:pt idx="644">
                  <c:v>1.0993739419538073E-2</c:v>
                </c:pt>
                <c:pt idx="645">
                  <c:v>1.1076411363308836E-2</c:v>
                </c:pt>
                <c:pt idx="646">
                  <c:v>1.1159164611722616E-2</c:v>
                </c:pt>
                <c:pt idx="647">
                  <c:v>1.1241999164779415E-2</c:v>
                </c:pt>
                <c:pt idx="648">
                  <c:v>1.1324915022559168E-2</c:v>
                </c:pt>
                <c:pt idx="649">
                  <c:v>1.1407912185141811E-2</c:v>
                </c:pt>
                <c:pt idx="650">
                  <c:v>1.1502865642158966E-2</c:v>
                </c:pt>
                <c:pt idx="651">
                  <c:v>1.1586037029456264E-2</c:v>
                </c:pt>
                <c:pt idx="652">
                  <c:v>1.1669289721716325E-2</c:v>
                </c:pt>
                <c:pt idx="653">
                  <c:v>1.1752623718939148E-2</c:v>
                </c:pt>
                <c:pt idx="654">
                  <c:v>1.183603902120467E-2</c:v>
                </c:pt>
                <c:pt idx="655">
                  <c:v>1.1919535628672762E-2</c:v>
                </c:pt>
                <c:pt idx="656">
                  <c:v>1.2003113541343424E-2</c:v>
                </c:pt>
                <c:pt idx="657">
                  <c:v>1.2086772759216657E-2</c:v>
                </c:pt>
                <c:pt idx="658">
                  <c:v>1.2170513282372397E-2</c:v>
                </c:pt>
                <c:pt idx="659">
                  <c:v>1.225433511089058E-2</c:v>
                </c:pt>
                <c:pt idx="660">
                  <c:v>1.2338238244851141E-2</c:v>
                </c:pt>
                <c:pt idx="661">
                  <c:v>1.2422222684174145E-2</c:v>
                </c:pt>
                <c:pt idx="662">
                  <c:v>1.2506288429099399E-2</c:v>
                </c:pt>
                <c:pt idx="663">
                  <c:v>1.2590435479546969E-2</c:v>
                </c:pt>
                <c:pt idx="664">
                  <c:v>1.2674663835756661E-2</c:v>
                </c:pt>
                <c:pt idx="665">
                  <c:v>1.2758973497568604E-2</c:v>
                </c:pt>
                <c:pt idx="666">
                  <c:v>1.2868412642115246E-2</c:v>
                </c:pt>
                <c:pt idx="667">
                  <c:v>1.292783673847886E-2</c:v>
                </c:pt>
                <c:pt idx="668">
                  <c:v>1.3012390317737044E-2</c:v>
                </c:pt>
                <c:pt idx="669">
                  <c:v>1.3097025202917223E-2</c:v>
                </c:pt>
                <c:pt idx="670">
                  <c:v>1.3181741394019397E-2</c:v>
                </c:pt>
                <c:pt idx="671">
                  <c:v>1.3266538891203439E-2</c:v>
                </c:pt>
                <c:pt idx="672">
                  <c:v>1.3351417694469347E-2</c:v>
                </c:pt>
                <c:pt idx="673">
                  <c:v>1.3436319501733962E-2</c:v>
                </c:pt>
                <c:pt idx="674">
                  <c:v>1.3520897651178032E-2</c:v>
                </c:pt>
                <c:pt idx="675">
                  <c:v>1.360509384023878E-2</c:v>
                </c:pt>
                <c:pt idx="676">
                  <c:v>1.3688908068756334E-2</c:v>
                </c:pt>
                <c:pt idx="677">
                  <c:v>1.3772340336490885E-2</c:v>
                </c:pt>
                <c:pt idx="678">
                  <c:v>1.3855390643122689E-2</c:v>
                </c:pt>
                <c:pt idx="679">
                  <c:v>1.3938058988332003E-2</c:v>
                </c:pt>
                <c:pt idx="680">
                  <c:v>1.4020345372038889E-2</c:v>
                </c:pt>
                <c:pt idx="681">
                  <c:v>1.4102249793763733E-2</c:v>
                </c:pt>
                <c:pt idx="682">
                  <c:v>1.4183772253426596E-2</c:v>
                </c:pt>
                <c:pt idx="683">
                  <c:v>1.4264912750627801E-2</c:v>
                </c:pt>
                <c:pt idx="684">
                  <c:v>1.4345671285127537E-2</c:v>
                </c:pt>
                <c:pt idx="685">
                  <c:v>1.4426047856765933E-2</c:v>
                </c:pt>
                <c:pt idx="686">
                  <c:v>1.4506042465303182E-2</c:v>
                </c:pt>
                <c:pt idx="687">
                  <c:v>1.4585655110339601E-2</c:v>
                </c:pt>
                <c:pt idx="688">
                  <c:v>1.4664885791635385E-2</c:v>
                </c:pt>
                <c:pt idx="689">
                  <c:v>1.4743734509110595E-2</c:v>
                </c:pt>
                <c:pt idx="690">
                  <c:v>1.4822201262365553E-2</c:v>
                </c:pt>
                <c:pt idx="691">
                  <c:v>1.490028605116045E-2</c:v>
                </c:pt>
                <c:pt idx="692">
                  <c:v>1.4977988875255477E-2</c:v>
                </c:pt>
                <c:pt idx="693">
                  <c:v>1.5055309734410827E-2</c:v>
                </c:pt>
                <c:pt idx="694">
                  <c:v>1.5132248628466627E-2</c:v>
                </c:pt>
                <c:pt idx="695">
                  <c:v>1.5208805557023197E-2</c:v>
                </c:pt>
                <c:pt idx="696">
                  <c:v>1.5284980520000602E-2</c:v>
                </c:pt>
                <c:pt idx="697">
                  <c:v>1.536077351699916E-2</c:v>
                </c:pt>
                <c:pt idx="698">
                  <c:v>1.5436184547859E-2</c:v>
                </c:pt>
                <c:pt idx="699">
                  <c:v>1.5511213612340313E-2</c:v>
                </c:pt>
                <c:pt idx="700">
                  <c:v>1.5585860710203292E-2</c:v>
                </c:pt>
                <c:pt idx="701">
                  <c:v>1.5660125841208128E-2</c:v>
                </c:pt>
                <c:pt idx="702">
                  <c:v>1.5755735238833779E-2</c:v>
                </c:pt>
                <c:pt idx="703">
                  <c:v>1.5829133740803414E-2</c:v>
                </c:pt>
                <c:pt idx="704">
                  <c:v>1.5902150271278614E-2</c:v>
                </c:pt>
                <c:pt idx="705">
                  <c:v>1.5974784829619892E-2</c:v>
                </c:pt>
                <c:pt idx="706">
                  <c:v>1.6047037415134469E-2</c:v>
                </c:pt>
                <c:pt idx="707">
                  <c:v>1.6118908027076273E-2</c:v>
                </c:pt>
                <c:pt idx="708">
                  <c:v>1.6190396664832463E-2</c:v>
                </c:pt>
                <c:pt idx="709">
                  <c:v>1.6261503327656968E-2</c:v>
                </c:pt>
                <c:pt idx="710">
                  <c:v>1.6332228014883654E-2</c:v>
                </c:pt>
                <c:pt idx="711">
                  <c:v>1.6402570725873034E-2</c:v>
                </c:pt>
                <c:pt idx="712">
                  <c:v>1.6472531459905682E-2</c:v>
                </c:pt>
                <c:pt idx="713">
                  <c:v>1.6542110216368755E-2</c:v>
                </c:pt>
                <c:pt idx="714">
                  <c:v>1.6611306994569475E-2</c:v>
                </c:pt>
                <c:pt idx="715">
                  <c:v>1.6680121793815061E-2</c:v>
                </c:pt>
                <c:pt idx="716">
                  <c:v>1.6748554613519318E-2</c:v>
                </c:pt>
                <c:pt idx="717">
                  <c:v>1.6844867558818422E-2</c:v>
                </c:pt>
                <c:pt idx="718">
                  <c:v>1.691236638158955E-2</c:v>
                </c:pt>
                <c:pt idx="719">
                  <c:v>1.6979483233185988E-2</c:v>
                </c:pt>
                <c:pt idx="720">
                  <c:v>1.70462181135278E-2</c:v>
                </c:pt>
                <c:pt idx="721">
                  <c:v>1.7112571022455114E-2</c:v>
                </c:pt>
                <c:pt idx="722">
                  <c:v>1.717854195956825E-2</c:v>
                </c:pt>
                <c:pt idx="723">
                  <c:v>1.7244130924787271E-2</c:v>
                </c:pt>
                <c:pt idx="724">
                  <c:v>1.7309339378144273E-2</c:v>
                </c:pt>
                <c:pt idx="725">
                  <c:v>1.7374409742281216E-2</c:v>
                </c:pt>
                <c:pt idx="726">
                  <c:v>1.7439527485239026E-2</c:v>
                </c:pt>
                <c:pt idx="727">
                  <c:v>1.7504692606777894E-2</c:v>
                </c:pt>
                <c:pt idx="728">
                  <c:v>1.7569905107137629E-2</c:v>
                </c:pt>
                <c:pt idx="729">
                  <c:v>1.7635164986238294E-2</c:v>
                </c:pt>
                <c:pt idx="730">
                  <c:v>1.7700472244159826E-2</c:v>
                </c:pt>
                <c:pt idx="731">
                  <c:v>1.7765826880902225E-2</c:v>
                </c:pt>
                <c:pt idx="732">
                  <c:v>1.783122889646549E-2</c:v>
                </c:pt>
                <c:pt idx="733">
                  <c:v>1.7896678290929557E-2</c:v>
                </c:pt>
                <c:pt idx="734">
                  <c:v>1.7962175064294428E-2</c:v>
                </c:pt>
                <c:pt idx="735">
                  <c:v>1.8027719216560101E-2</c:v>
                </c:pt>
                <c:pt idx="736">
                  <c:v>1.8093310747806512E-2</c:v>
                </c:pt>
                <c:pt idx="737">
                  <c:v>1.8158949658033663E-2</c:v>
                </c:pt>
                <c:pt idx="738">
                  <c:v>1.8224635947241552E-2</c:v>
                </c:pt>
                <c:pt idx="739">
                  <c:v>1.8290369615510116E-2</c:v>
                </c:pt>
                <c:pt idx="740">
                  <c:v>1.8356150662759418E-2</c:v>
                </c:pt>
                <c:pt idx="741">
                  <c:v>1.8421979089229268E-2</c:v>
                </c:pt>
                <c:pt idx="742">
                  <c:v>1.8487854894679856E-2</c:v>
                </c:pt>
                <c:pt idx="743">
                  <c:v>1.8553778079350991E-2</c:v>
                </c:pt>
                <c:pt idx="744">
                  <c:v>1.8619748643082801E-2</c:v>
                </c:pt>
                <c:pt idx="745">
                  <c:v>1.8685766586115093E-2</c:v>
                </c:pt>
                <c:pt idx="746">
                  <c:v>1.8751831908367933E-2</c:v>
                </c:pt>
                <c:pt idx="747">
                  <c:v>1.8817944609761383E-2</c:v>
                </c:pt>
                <c:pt idx="748">
                  <c:v>1.8884104690455317E-2</c:v>
                </c:pt>
                <c:pt idx="749">
                  <c:v>1.8950312150449733E-2</c:v>
                </c:pt>
                <c:pt idx="750">
                  <c:v>1.9016566989744632E-2</c:v>
                </c:pt>
                <c:pt idx="751">
                  <c:v>1.908286920841995E-2</c:v>
                </c:pt>
                <c:pt idx="752">
                  <c:v>1.9149218806475687E-2</c:v>
                </c:pt>
                <c:pt idx="753">
                  <c:v>1.9215615783911844E-2</c:v>
                </c:pt>
                <c:pt idx="754">
                  <c:v>1.9282060140728419E-2</c:v>
                </c:pt>
                <c:pt idx="755">
                  <c:v>1.9348551877005349E-2</c:v>
                </c:pt>
                <c:pt idx="756">
                  <c:v>1.941509099282257E-2</c:v>
                </c:pt>
                <c:pt idx="757">
                  <c:v>1.948167748802021E-2</c:v>
                </c:pt>
                <c:pt idx="758">
                  <c:v>1.9548311362838078E-2</c:v>
                </c:pt>
                <c:pt idx="759">
                  <c:v>1.9614992617196236E-2</c:v>
                </c:pt>
                <c:pt idx="760">
                  <c:v>1.9681721251094686E-2</c:v>
                </c:pt>
                <c:pt idx="761">
                  <c:v>1.9748497264613363E-2</c:v>
                </c:pt>
                <c:pt idx="762">
                  <c:v>1.9815320657832203E-2</c:v>
                </c:pt>
                <c:pt idx="763">
                  <c:v>1.988219143067127E-2</c:v>
                </c:pt>
                <c:pt idx="764">
                  <c:v>1.99491095832105E-2</c:v>
                </c:pt>
                <c:pt idx="765">
                  <c:v>2.0016075115369958E-2</c:v>
                </c:pt>
                <c:pt idx="766">
                  <c:v>2.0083088027389451E-2</c:v>
                </c:pt>
                <c:pt idx="767">
                  <c:v>2.0150148319029171E-2</c:v>
                </c:pt>
                <c:pt idx="768">
                  <c:v>2.0217255990608862E-2</c:v>
                </c:pt>
                <c:pt idx="769">
                  <c:v>2.0284411041888717E-2</c:v>
                </c:pt>
                <c:pt idx="770">
                  <c:v>2.0351613473108543E-2</c:v>
                </c:pt>
                <c:pt idx="771">
                  <c:v>2.0418863284188404E-2</c:v>
                </c:pt>
                <c:pt idx="772">
                  <c:v>2.0486160475128301E-2</c:v>
                </c:pt>
                <c:pt idx="773">
                  <c:v>2.0553505046008169E-2</c:v>
                </c:pt>
                <c:pt idx="774">
                  <c:v>2.0620896996828009E-2</c:v>
                </c:pt>
                <c:pt idx="775">
                  <c:v>2.0688336327667756E-2</c:v>
                </c:pt>
                <c:pt idx="776">
                  <c:v>2.0755823038367538E-2</c:v>
                </c:pt>
                <c:pt idx="777">
                  <c:v>2.0823107833463084E-2</c:v>
                </c:pt>
                <c:pt idx="778">
                  <c:v>2.0889864861288743E-2</c:v>
                </c:pt>
                <c:pt idx="779">
                  <c:v>2.0956092158614936E-2</c:v>
                </c:pt>
                <c:pt idx="780">
                  <c:v>2.1021789725201856E-2</c:v>
                </c:pt>
                <c:pt idx="781">
                  <c:v>2.1086957560729758E-2</c:v>
                </c:pt>
                <c:pt idx="782">
                  <c:v>2.1151595664958833E-2</c:v>
                </c:pt>
                <c:pt idx="783">
                  <c:v>2.1215704037649274E-2</c:v>
                </c:pt>
                <c:pt idx="784">
                  <c:v>2.1279282678401401E-2</c:v>
                </c:pt>
                <c:pt idx="785">
                  <c:v>2.1342331586975405E-2</c:v>
                </c:pt>
                <c:pt idx="786">
                  <c:v>2.1404850763131478E-2</c:v>
                </c:pt>
                <c:pt idx="787">
                  <c:v>2.1466840206469939E-2</c:v>
                </c:pt>
                <c:pt idx="788">
                  <c:v>2.1528299916830917E-2</c:v>
                </c:pt>
                <c:pt idx="789">
                  <c:v>2.158922989405454E-2</c:v>
                </c:pt>
                <c:pt idx="790">
                  <c:v>2.1649630137581255E-2</c:v>
                </c:pt>
                <c:pt idx="791">
                  <c:v>2.1709500647331126E-2</c:v>
                </c:pt>
                <c:pt idx="792">
                  <c:v>2.1768841423064345E-2</c:v>
                </c:pt>
                <c:pt idx="793">
                  <c:v>2.1827652464461167E-2</c:v>
                </c:pt>
                <c:pt idx="794">
                  <c:v>2.1885933771201849E-2</c:v>
                </c:pt>
                <c:pt idx="795">
                  <c:v>2.1943685343126518E-2</c:v>
                </c:pt>
                <c:pt idx="796">
                  <c:v>2.200090717991543E-2</c:v>
                </c:pt>
                <c:pt idx="797">
                  <c:v>2.2057599281408713E-2</c:v>
                </c:pt>
                <c:pt idx="798">
                  <c:v>2.2113761647206687E-2</c:v>
                </c:pt>
                <c:pt idx="799">
                  <c:v>2.2169394277229415E-2</c:v>
                </c:pt>
                <c:pt idx="800">
                  <c:v>2.2224497171077218E-2</c:v>
                </c:pt>
                <c:pt idx="801">
                  <c:v>2.2279070328670159E-2</c:v>
                </c:pt>
                <c:pt idx="802">
                  <c:v>2.2333113749608557E-2</c:v>
                </c:pt>
                <c:pt idx="803">
                  <c:v>2.2386627433732542E-2</c:v>
                </c:pt>
                <c:pt idx="804">
                  <c:v>2.2439611380882241E-2</c:v>
                </c:pt>
                <c:pt idx="805">
                  <c:v>2.2492065590578036E-2</c:v>
                </c:pt>
                <c:pt idx="806">
                  <c:v>2.2543990062899866E-2</c:v>
                </c:pt>
                <c:pt idx="807">
                  <c:v>2.2595384797368112E-2</c:v>
                </c:pt>
                <c:pt idx="808">
                  <c:v>2.264624979390284E-2</c:v>
                </c:pt>
                <c:pt idx="809">
                  <c:v>2.2696585052184304E-2</c:v>
                </c:pt>
                <c:pt idx="810">
                  <c:v>2.2746390572052633E-2</c:v>
                </c:pt>
                <c:pt idx="811">
                  <c:v>2.2795666353347954E-2</c:v>
                </c:pt>
                <c:pt idx="812">
                  <c:v>2.2844412395670588E-2</c:v>
                </c:pt>
                <c:pt idx="813">
                  <c:v>2.2892628698940598E-2</c:v>
                </c:pt>
                <c:pt idx="814">
                  <c:v>2.2940315262918176E-2</c:v>
                </c:pt>
                <c:pt idx="815">
                  <c:v>2.298747208744345E-2</c:v>
                </c:pt>
                <c:pt idx="816">
                  <c:v>2.3034099172196676E-2</c:v>
                </c:pt>
                <c:pt idx="817">
                  <c:v>2.3080196517017981E-2</c:v>
                </c:pt>
                <c:pt idx="818">
                  <c:v>2.3125764121747494E-2</c:v>
                </c:pt>
                <c:pt idx="819">
                  <c:v>2.3170801986145406E-2</c:v>
                </c:pt>
                <c:pt idx="820">
                  <c:v>2.3215310109971909E-2</c:v>
                </c:pt>
                <c:pt idx="821">
                  <c:v>2.3259288493147068E-2</c:v>
                </c:pt>
                <c:pt idx="822">
                  <c:v>2.3302737135431073E-2</c:v>
                </c:pt>
                <c:pt idx="823">
                  <c:v>2.3345656036504181E-2</c:v>
                </c:pt>
                <c:pt idx="824">
                  <c:v>2.3388045196446328E-2</c:v>
                </c:pt>
                <c:pt idx="825">
                  <c:v>2.3429904614777897E-2</c:v>
                </c:pt>
                <c:pt idx="826">
                  <c:v>2.3471234291498888E-2</c:v>
                </c:pt>
                <c:pt idx="827">
                  <c:v>2.3512034226289558E-2</c:v>
                </c:pt>
                <c:pt idx="828">
                  <c:v>2.3552304419069969E-2</c:v>
                </c:pt>
                <c:pt idx="829">
                  <c:v>2.3592116613011527E-2</c:v>
                </c:pt>
                <c:pt idx="830">
                  <c:v>2.3631625331868022E-2</c:v>
                </c:pt>
                <c:pt idx="831">
                  <c:v>2.3670836094265013E-2</c:v>
                </c:pt>
                <c:pt idx="832">
                  <c:v>2.3709748900202499E-2</c:v>
                </c:pt>
                <c:pt idx="833">
                  <c:v>2.3748363749440671E-2</c:v>
                </c:pt>
                <c:pt idx="834">
                  <c:v>2.3786680642059466E-2</c:v>
                </c:pt>
                <c:pt idx="835">
                  <c:v>2.3824699577739139E-2</c:v>
                </c:pt>
                <c:pt idx="836">
                  <c:v>2.3862420556559627E-2</c:v>
                </c:pt>
                <c:pt idx="837">
                  <c:v>2.3899843578361057E-2</c:v>
                </c:pt>
                <c:pt idx="838">
                  <c:v>2.3936968643063494E-2</c:v>
                </c:pt>
                <c:pt idx="839">
                  <c:v>2.3973795750587001E-2</c:v>
                </c:pt>
                <c:pt idx="840">
                  <c:v>2.4010324900851643E-2</c:v>
                </c:pt>
                <c:pt idx="841">
                  <c:v>2.4046556093697546E-2</c:v>
                </c:pt>
                <c:pt idx="842">
                  <c:v>2.4082489329044776E-2</c:v>
                </c:pt>
                <c:pt idx="843">
                  <c:v>2.4118124606973268E-2</c:v>
                </c:pt>
                <c:pt idx="844">
                  <c:v>2.4153461927163278E-2</c:v>
                </c:pt>
                <c:pt idx="845">
                  <c:v>2.4188501289614806E-2</c:v>
                </c:pt>
                <c:pt idx="846">
                  <c:v>2.4223242694327851E-2</c:v>
                </c:pt>
                <c:pt idx="847">
                  <c:v>2.4257686141062607E-2</c:v>
                </c:pt>
                <c:pt idx="848">
                  <c:v>2.4291831629819072E-2</c:v>
                </c:pt>
                <c:pt idx="849">
                  <c:v>2.4325679160517311E-2</c:v>
                </c:pt>
                <c:pt idx="850">
                  <c:v>2.4359228733077387E-2</c:v>
                </c:pt>
                <c:pt idx="851">
                  <c:v>2.4392480347419365E-2</c:v>
                </c:pt>
                <c:pt idx="852">
                  <c:v>2.4425434003383373E-2</c:v>
                </c:pt>
                <c:pt idx="853">
                  <c:v>2.445808970096941E-2</c:v>
                </c:pt>
                <c:pt idx="854">
                  <c:v>2.449044744009754E-2</c:v>
                </c:pt>
                <c:pt idx="855">
                  <c:v>2.4522507220607892E-2</c:v>
                </c:pt>
                <c:pt idx="856">
                  <c:v>2.4554269042500465E-2</c:v>
                </c:pt>
                <c:pt idx="857">
                  <c:v>2.4585732905615387E-2</c:v>
                </c:pt>
                <c:pt idx="858">
                  <c:v>2.4616898810032595E-2</c:v>
                </c:pt>
                <c:pt idx="859">
                  <c:v>2.4647766755512279E-2</c:v>
                </c:pt>
                <c:pt idx="860">
                  <c:v>2.4678336742054441E-2</c:v>
                </c:pt>
                <c:pt idx="861">
                  <c:v>2.4708608769579143E-2</c:v>
                </c:pt>
                <c:pt idx="862">
                  <c:v>2.4738582837926515E-2</c:v>
                </c:pt>
                <c:pt idx="863">
                  <c:v>2.4768258947096555E-2</c:v>
                </c:pt>
                <c:pt idx="864">
                  <c:v>2.4797637097089265E-2</c:v>
                </c:pt>
                <c:pt idx="865">
                  <c:v>2.4826717287744771E-2</c:v>
                </c:pt>
                <c:pt idx="866">
                  <c:v>2.4855499518983137E-2</c:v>
                </c:pt>
                <c:pt idx="867">
                  <c:v>2.4883983790724429E-2</c:v>
                </c:pt>
                <c:pt idx="868">
                  <c:v>2.4912170102968645E-2</c:v>
                </c:pt>
                <c:pt idx="869">
                  <c:v>2.4940058455555913E-2</c:v>
                </c:pt>
                <c:pt idx="870">
                  <c:v>2.4967648848486235E-2</c:v>
                </c:pt>
                <c:pt idx="871">
                  <c:v>2.4994941281679672E-2</c:v>
                </c:pt>
                <c:pt idx="872">
                  <c:v>2.5021935754976354E-2</c:v>
                </c:pt>
                <c:pt idx="873">
                  <c:v>2.5048632268456217E-2</c:v>
                </c:pt>
                <c:pt idx="874">
                  <c:v>2.5075030821959388E-2</c:v>
                </c:pt>
                <c:pt idx="875">
                  <c:v>2.5101131415485867E-2</c:v>
                </c:pt>
                <c:pt idx="876">
                  <c:v>2.5126934048955718E-2</c:v>
                </c:pt>
                <c:pt idx="877">
                  <c:v>2.515243872220907E-2</c:v>
                </c:pt>
                <c:pt idx="878">
                  <c:v>2.5177645435325857E-2</c:v>
                </c:pt>
                <c:pt idx="879">
                  <c:v>2.5202554188066273E-2</c:v>
                </c:pt>
                <c:pt idx="880">
                  <c:v>2.5227164980590189E-2</c:v>
                </c:pt>
                <c:pt idx="881">
                  <c:v>2.52515946499976E-2</c:v>
                </c:pt>
                <c:pt idx="882">
                  <c:v>2.5276253084811628E-2</c:v>
                </c:pt>
                <c:pt idx="883">
                  <c:v>2.5301176676961745E-2</c:v>
                </c:pt>
                <c:pt idx="884">
                  <c:v>2.5326365426687758E-2</c:v>
                </c:pt>
                <c:pt idx="885">
                  <c:v>2.5351819333829795E-2</c:v>
                </c:pt>
                <c:pt idx="886">
                  <c:v>2.5377538398627664E-2</c:v>
                </c:pt>
                <c:pt idx="887">
                  <c:v>2.5403522621001429E-2</c:v>
                </c:pt>
                <c:pt idx="888">
                  <c:v>2.5429772001110962E-2</c:v>
                </c:pt>
                <c:pt idx="889">
                  <c:v>2.5456286538876327E-2</c:v>
                </c:pt>
                <c:pt idx="890">
                  <c:v>2.5483066234457397E-2</c:v>
                </c:pt>
                <c:pt idx="891">
                  <c:v>2.5510111087934106E-2</c:v>
                </c:pt>
                <c:pt idx="892">
                  <c:v>2.5537421099306457E-2</c:v>
                </c:pt>
                <c:pt idx="893">
                  <c:v>2.5564996268654383E-2</c:v>
                </c:pt>
                <c:pt idx="894">
                  <c:v>2.5592836596057822E-2</c:v>
                </c:pt>
                <c:pt idx="895">
                  <c:v>2.5620942081516773E-2</c:v>
                </c:pt>
                <c:pt idx="896">
                  <c:v>2.5649312725191109E-2</c:v>
                </c:pt>
                <c:pt idx="897">
                  <c:v>2.5677948527080829E-2</c:v>
                </c:pt>
                <c:pt idx="898">
                  <c:v>2.5706849487185934E-2</c:v>
                </c:pt>
                <c:pt idx="899">
                  <c:v>2.5736015605746232E-2</c:v>
                </c:pt>
                <c:pt idx="900">
                  <c:v>2.5765446882681786E-2</c:v>
                </c:pt>
                <c:pt idx="901">
                  <c:v>2.5795143318072533E-2</c:v>
                </c:pt>
                <c:pt idx="902">
                  <c:v>2.5825104912078345E-2</c:v>
                </c:pt>
                <c:pt idx="903">
                  <c:v>2.5855331664619285E-2</c:v>
                </c:pt>
                <c:pt idx="904">
                  <c:v>2.5885823575935163E-2</c:v>
                </c:pt>
                <c:pt idx="905">
                  <c:v>2.5916580645946041E-2</c:v>
                </c:pt>
                <c:pt idx="906">
                  <c:v>2.5947602874731857E-2</c:v>
                </c:pt>
                <c:pt idx="907">
                  <c:v>2.5978890262452481E-2</c:v>
                </c:pt>
                <c:pt idx="908">
                  <c:v>2.6010442809107914E-2</c:v>
                </c:pt>
                <c:pt idx="909">
                  <c:v>2.6042260514858029E-2</c:v>
                </c:pt>
                <c:pt idx="910">
                  <c:v>2.6078948291674564E-2</c:v>
                </c:pt>
                <c:pt idx="911">
                  <c:v>2.611133419547329E-2</c:v>
                </c:pt>
                <c:pt idx="912">
                  <c:v>2.614398525852657E-2</c:v>
                </c:pt>
                <c:pt idx="913">
                  <c:v>2.6176901480994275E-2</c:v>
                </c:pt>
                <c:pt idx="914">
                  <c:v>2.6210082862716533E-2</c:v>
                </c:pt>
                <c:pt idx="915">
                  <c:v>2.6243529404013088E-2</c:v>
                </c:pt>
                <c:pt idx="916">
                  <c:v>2.6277241104804006E-2</c:v>
                </c:pt>
                <c:pt idx="917">
                  <c:v>2.631121796516922E-2</c:v>
                </c:pt>
                <c:pt idx="918">
                  <c:v>2.6345459985268604E-2</c:v>
                </c:pt>
                <c:pt idx="919">
                  <c:v>2.6379967165182094E-2</c:v>
                </c:pt>
                <c:pt idx="920">
                  <c:v>2.6414739504829754E-2</c:v>
                </c:pt>
                <c:pt idx="921">
                  <c:v>2.6449777004451391E-2</c:v>
                </c:pt>
                <c:pt idx="922">
                  <c:v>2.6485079664047007E-2</c:v>
                </c:pt>
                <c:pt idx="923">
                  <c:v>2.6520647483776472E-2</c:v>
                </c:pt>
                <c:pt idx="924">
                  <c:v>2.6556480463559851E-2</c:v>
                </c:pt>
                <c:pt idx="925">
                  <c:v>2.6592578603636952E-2</c:v>
                </c:pt>
                <c:pt idx="926">
                  <c:v>2.6628941903927839E-2</c:v>
                </c:pt>
                <c:pt idx="927">
                  <c:v>2.6665570364752256E-2</c:v>
                </c:pt>
                <c:pt idx="928">
                  <c:v>2.6707756149058071E-2</c:v>
                </c:pt>
                <c:pt idx="929">
                  <c:v>2.6744952810888734E-2</c:v>
                </c:pt>
                <c:pt idx="930">
                  <c:v>2.6782414633412799E-2</c:v>
                </c:pt>
                <c:pt idx="931">
                  <c:v>2.6820141616630266E-2</c:v>
                </c:pt>
                <c:pt idx="932">
                  <c:v>2.6858133760701008E-2</c:v>
                </c:pt>
                <c:pt idx="933">
                  <c:v>2.6896301536440959E-2</c:v>
                </c:pt>
                <c:pt idx="934">
                  <c:v>2.6934112607914784E-2</c:v>
                </c:pt>
                <c:pt idx="935">
                  <c:v>2.6971477445778547E-2</c:v>
                </c:pt>
                <c:pt idx="936">
                  <c:v>2.7008396049872374E-2</c:v>
                </c:pt>
                <c:pt idx="937">
                  <c:v>2.704486842011633E-2</c:v>
                </c:pt>
                <c:pt idx="938">
                  <c:v>2.7080894556350543E-2</c:v>
                </c:pt>
                <c:pt idx="939">
                  <c:v>2.7116474458335205E-2</c:v>
                </c:pt>
                <c:pt idx="940">
                  <c:v>2.7151608126070315E-2</c:v>
                </c:pt>
                <c:pt idx="941">
                  <c:v>2.7186295559475937E-2</c:v>
                </c:pt>
                <c:pt idx="942">
                  <c:v>2.7220536758232328E-2</c:v>
                </c:pt>
                <c:pt idx="943">
                  <c:v>2.7254331722339487E-2</c:v>
                </c:pt>
                <c:pt idx="944">
                  <c:v>2.7287680451637542E-2</c:v>
                </c:pt>
                <c:pt idx="945">
                  <c:v>2.7320582946046557E-2</c:v>
                </c:pt>
                <c:pt idx="946">
                  <c:v>2.735303920540666E-2</c:v>
                </c:pt>
                <c:pt idx="947">
                  <c:v>2.7385049229557978E-2</c:v>
                </c:pt>
                <c:pt idx="948">
                  <c:v>2.7416613018500513E-2</c:v>
                </c:pt>
                <c:pt idx="949">
                  <c:v>2.7447730571834583E-2</c:v>
                </c:pt>
                <c:pt idx="950">
                  <c:v>2.7478401889879933E-2</c:v>
                </c:pt>
                <c:pt idx="951">
                  <c:v>2.7508626972156947E-2</c:v>
                </c:pt>
                <c:pt idx="952">
                  <c:v>2.7538405818745559E-2</c:v>
                </c:pt>
                <c:pt idx="953">
                  <c:v>2.75677384294859E-2</c:v>
                </c:pt>
                <c:pt idx="954">
                  <c:v>2.7596624804218095E-2</c:v>
                </c:pt>
                <c:pt idx="955">
                  <c:v>2.7625064942942146E-2</c:v>
                </c:pt>
                <c:pt idx="956">
                  <c:v>2.7653058845418244E-2</c:v>
                </c:pt>
                <c:pt idx="957">
                  <c:v>2.7680606511646388E-2</c:v>
                </c:pt>
                <c:pt idx="958">
                  <c:v>2.7707707941466708E-2</c:v>
                </c:pt>
                <c:pt idx="959">
                  <c:v>2.7734363134799267E-2</c:v>
                </c:pt>
                <c:pt idx="960">
                  <c:v>2.7760572091564129E-2</c:v>
                </c:pt>
                <c:pt idx="961">
                  <c:v>2.7786334811681357E-2</c:v>
                </c:pt>
                <c:pt idx="962">
                  <c:v>2.7820949316037513E-2</c:v>
                </c:pt>
                <c:pt idx="963">
                  <c:v>2.7845695891972611E-2</c:v>
                </c:pt>
                <c:pt idx="964">
                  <c:v>2.7869996165259536E-2</c:v>
                </c:pt>
                <c:pt idx="965">
                  <c:v>2.7893850135605192E-2</c:v>
                </c:pt>
                <c:pt idx="966">
                  <c:v>2.7917257802716477E-2</c:v>
                </c:pt>
                <c:pt idx="967">
                  <c:v>2.7940219166353586E-2</c:v>
                </c:pt>
                <c:pt idx="968">
                  <c:v>2.7962734226250063E-2</c:v>
                </c:pt>
                <c:pt idx="969">
                  <c:v>2.7984802982166102E-2</c:v>
                </c:pt>
                <c:pt idx="970">
                  <c:v>2.8006425433861892E-2</c:v>
                </c:pt>
                <c:pt idx="971">
                  <c:v>2.8027601581070982E-2</c:v>
                </c:pt>
                <c:pt idx="972">
                  <c:v>2.8048331423580208E-2</c:v>
                </c:pt>
                <c:pt idx="973">
                  <c:v>2.8068614961123117E-2</c:v>
                </c:pt>
                <c:pt idx="974">
                  <c:v>2.8088452193513191E-2</c:v>
                </c:pt>
                <c:pt idx="975">
                  <c:v>2.8107843120537268E-2</c:v>
                </c:pt>
                <c:pt idx="976">
                  <c:v>2.8126787741928894E-2</c:v>
                </c:pt>
                <c:pt idx="977">
                  <c:v>2.8145286057501551E-2</c:v>
                </c:pt>
                <c:pt idx="978">
                  <c:v>2.8168736892002499E-2</c:v>
                </c:pt>
                <c:pt idx="979">
                  <c:v>2.8186148595521487E-2</c:v>
                </c:pt>
                <c:pt idx="980">
                  <c:v>2.8203114060634249E-2</c:v>
                </c:pt>
                <c:pt idx="981">
                  <c:v>2.821963328742072E-2</c:v>
                </c:pt>
                <c:pt idx="982">
                  <c:v>2.8235706275880901E-2</c:v>
                </c:pt>
                <c:pt idx="983">
                  <c:v>2.8251333025854919E-2</c:v>
                </c:pt>
                <c:pt idx="984">
                  <c:v>2.8266523718478709E-2</c:v>
                </c:pt>
                <c:pt idx="985">
                  <c:v>2.8281563428516066E-2</c:v>
                </c:pt>
                <c:pt idx="986">
                  <c:v>2.8296584511773304E-2</c:v>
                </c:pt>
                <c:pt idx="987">
                  <c:v>2.8311586968410296E-2</c:v>
                </c:pt>
                <c:pt idx="988">
                  <c:v>2.832657079826717E-2</c:v>
                </c:pt>
                <c:pt idx="989">
                  <c:v>2.8341536001503798E-2</c:v>
                </c:pt>
                <c:pt idx="990">
                  <c:v>2.8356482577960307E-2</c:v>
                </c:pt>
                <c:pt idx="991">
                  <c:v>2.837141052779657E-2</c:v>
                </c:pt>
                <c:pt idx="992">
                  <c:v>2.8386319850852715E-2</c:v>
                </c:pt>
                <c:pt idx="993">
                  <c:v>2.8401210547128741E-2</c:v>
                </c:pt>
                <c:pt idx="994">
                  <c:v>2.8416082616864458E-2</c:v>
                </c:pt>
                <c:pt idx="995">
                  <c:v>2.8430936059820056E-2</c:v>
                </c:pt>
                <c:pt idx="996">
                  <c:v>2.8445770876075471E-2</c:v>
                </c:pt>
                <c:pt idx="997">
                  <c:v>2.8460587065550769E-2</c:v>
                </c:pt>
                <c:pt idx="998">
                  <c:v>2.847538462840582E-2</c:v>
                </c:pt>
                <c:pt idx="999">
                  <c:v>2.8490163564480753E-2</c:v>
                </c:pt>
                <c:pt idx="1000">
                  <c:v>2.8504923873855503E-2</c:v>
                </c:pt>
                <c:pt idx="1001">
                  <c:v>2.8519665556450136E-2</c:v>
                </c:pt>
                <c:pt idx="1002">
                  <c:v>2.8534388612344586E-2</c:v>
                </c:pt>
                <c:pt idx="1003">
                  <c:v>2.8549093041538853E-2</c:v>
                </c:pt>
                <c:pt idx="1004">
                  <c:v>2.8563778843953003E-2</c:v>
                </c:pt>
                <c:pt idx="1005">
                  <c:v>2.857844601966697E-2</c:v>
                </c:pt>
                <c:pt idx="1006">
                  <c:v>2.8593094568600819E-2</c:v>
                </c:pt>
                <c:pt idx="1007">
                  <c:v>2.8607724490834485E-2</c:v>
                </c:pt>
                <c:pt idx="1008">
                  <c:v>2.8622335786288033E-2</c:v>
                </c:pt>
                <c:pt idx="1009">
                  <c:v>2.8636928455041399E-2</c:v>
                </c:pt>
                <c:pt idx="1010">
                  <c:v>2.8651502497014647E-2</c:v>
                </c:pt>
                <c:pt idx="1011">
                  <c:v>2.8666057912287712E-2</c:v>
                </c:pt>
                <c:pt idx="1012">
                  <c:v>2.8680594700780659E-2</c:v>
                </c:pt>
                <c:pt idx="1013">
                  <c:v>2.8695112862493488E-2</c:v>
                </c:pt>
                <c:pt idx="1014">
                  <c:v>2.8709612397426199E-2</c:v>
                </c:pt>
                <c:pt idx="1015">
                  <c:v>2.8724093305658727E-2</c:v>
                </c:pt>
                <c:pt idx="1016">
                  <c:v>2.8738555587191073E-2</c:v>
                </c:pt>
                <c:pt idx="1017">
                  <c:v>2.8752999241863364E-2</c:v>
                </c:pt>
                <c:pt idx="1018">
                  <c:v>2.8767424269755537E-2</c:v>
                </c:pt>
                <c:pt idx="1019">
                  <c:v>2.8781830670947528E-2</c:v>
                </c:pt>
                <c:pt idx="1020">
                  <c:v>2.8796218445359401E-2</c:v>
                </c:pt>
                <c:pt idx="1021">
                  <c:v>2.8810587592911219E-2</c:v>
                </c:pt>
                <c:pt idx="1022">
                  <c:v>2.8824938113842791E-2</c:v>
                </c:pt>
                <c:pt idx="1023">
                  <c:v>2.8839270007914308E-2</c:v>
                </c:pt>
                <c:pt idx="1024">
                  <c:v>2.8853583275205708E-2</c:v>
                </c:pt>
                <c:pt idx="1025">
                  <c:v>2.8867877915716988E-2</c:v>
                </c:pt>
                <c:pt idx="1026">
                  <c:v>2.8882153929448151E-2</c:v>
                </c:pt>
                <c:pt idx="1027">
                  <c:v>2.8896411316399195E-2</c:v>
                </c:pt>
                <c:pt idx="1028">
                  <c:v>2.8910650076490185E-2</c:v>
                </c:pt>
                <c:pt idx="1029">
                  <c:v>2.8924870209960929E-2</c:v>
                </c:pt>
                <c:pt idx="1030">
                  <c:v>2.8939071716491682E-2</c:v>
                </c:pt>
                <c:pt idx="1031">
                  <c:v>2.8953254596322253E-2</c:v>
                </c:pt>
                <c:pt idx="1032">
                  <c:v>2.896741884929277E-2</c:v>
                </c:pt>
                <c:pt idx="1033">
                  <c:v>2.8981564475483168E-2</c:v>
                </c:pt>
                <c:pt idx="1034">
                  <c:v>2.8995691474893448E-2</c:v>
                </c:pt>
                <c:pt idx="1035">
                  <c:v>2.9009799847443674E-2</c:v>
                </c:pt>
                <c:pt idx="1036">
                  <c:v>2.9023889073869213E-2</c:v>
                </c:pt>
                <c:pt idx="1037">
                  <c:v>2.9037872937616171E-2</c:v>
                </c:pt>
                <c:pt idx="1038">
                  <c:v>2.9051685477687883E-2</c:v>
                </c:pt>
                <c:pt idx="1039">
                  <c:v>2.906532669424422E-2</c:v>
                </c:pt>
                <c:pt idx="1040">
                  <c:v>2.9078796587125311E-2</c:v>
                </c:pt>
                <c:pt idx="1041">
                  <c:v>2.9092095156411091E-2</c:v>
                </c:pt>
                <c:pt idx="1042">
                  <c:v>2.9105222402021624E-2</c:v>
                </c:pt>
                <c:pt idx="1043">
                  <c:v>2.9118178324036847E-2</c:v>
                </c:pt>
                <c:pt idx="1044">
                  <c:v>2.9130962922296888E-2</c:v>
                </c:pt>
                <c:pt idx="1045">
                  <c:v>2.9143576196881682E-2</c:v>
                </c:pt>
                <c:pt idx="1046">
                  <c:v>2.9156018147711293E-2</c:v>
                </c:pt>
                <c:pt idx="1047">
                  <c:v>2.9168288774865658E-2</c:v>
                </c:pt>
                <c:pt idx="1048">
                  <c:v>2.9180388078264841E-2</c:v>
                </c:pt>
                <c:pt idx="1049">
                  <c:v>2.9192316057828904E-2</c:v>
                </c:pt>
                <c:pt idx="1050">
                  <c:v>2.9204072713557849E-2</c:v>
                </c:pt>
                <c:pt idx="1051">
                  <c:v>2.9215658045531612E-2</c:v>
                </c:pt>
                <c:pt idx="1052">
                  <c:v>2.9227072053670256E-2</c:v>
                </c:pt>
                <c:pt idx="1053">
                  <c:v>2.9238314737973781E-2</c:v>
                </c:pt>
                <c:pt idx="1054">
                  <c:v>2.9249386098442187E-2</c:v>
                </c:pt>
                <c:pt idx="1055">
                  <c:v>2.9260286135075475E-2</c:v>
                </c:pt>
                <c:pt idx="1056">
                  <c:v>2.9271014847713772E-2</c:v>
                </c:pt>
                <c:pt idx="1057">
                  <c:v>2.9281572236516951E-2</c:v>
                </c:pt>
                <c:pt idx="1058">
                  <c:v>2.9291958301405074E-2</c:v>
                </c:pt>
                <c:pt idx="1059">
                  <c:v>2.9302173042298207E-2</c:v>
                </c:pt>
                <c:pt idx="1060">
                  <c:v>2.9312216459276286E-2</c:v>
                </c:pt>
                <c:pt idx="1061">
                  <c:v>2.9322088552259373E-2</c:v>
                </c:pt>
                <c:pt idx="1062">
                  <c:v>2.9331789321327406E-2</c:v>
                </c:pt>
                <c:pt idx="1063">
                  <c:v>2.9341318766320512E-2</c:v>
                </c:pt>
                <c:pt idx="1064">
                  <c:v>2.9350676887398564E-2</c:v>
                </c:pt>
                <c:pt idx="1065">
                  <c:v>2.9359863684401688E-2</c:v>
                </c:pt>
                <c:pt idx="1066">
                  <c:v>2.9368879157409822E-2</c:v>
                </c:pt>
                <c:pt idx="1067">
                  <c:v>2.9377723306343029E-2</c:v>
                </c:pt>
                <c:pt idx="1068">
                  <c:v>2.9386396131281245E-2</c:v>
                </c:pt>
                <c:pt idx="1069">
                  <c:v>2.9394897632064598E-2</c:v>
                </c:pt>
                <c:pt idx="1070">
                  <c:v>2.9403227808773025E-2</c:v>
                </c:pt>
                <c:pt idx="1071">
                  <c:v>2.9411386661406524E-2</c:v>
                </c:pt>
                <c:pt idx="1072">
                  <c:v>2.9419374189965097E-2</c:v>
                </c:pt>
                <c:pt idx="1073">
                  <c:v>2.9427190394368807E-2</c:v>
                </c:pt>
                <c:pt idx="1074">
                  <c:v>2.9434835274697591E-2</c:v>
                </c:pt>
                <c:pt idx="1075">
                  <c:v>2.9442308830871511E-2</c:v>
                </c:pt>
                <c:pt idx="1076">
                  <c:v>2.9449611062810632E-2</c:v>
                </c:pt>
                <c:pt idx="1077">
                  <c:v>2.9456741970594891E-2</c:v>
                </c:pt>
                <c:pt idx="1078">
                  <c:v>2.9463701554304222E-2</c:v>
                </c:pt>
                <c:pt idx="1079">
                  <c:v>2.9470489813858691E-2</c:v>
                </c:pt>
                <c:pt idx="1080">
                  <c:v>2.9477106749098425E-2</c:v>
                </c:pt>
                <c:pt idx="1081">
                  <c:v>2.9483552360263232E-2</c:v>
                </c:pt>
                <c:pt idx="1082">
                  <c:v>2.9489826647113304E-2</c:v>
                </c:pt>
                <c:pt idx="1083">
                  <c:v>2.9495929609888449E-2</c:v>
                </c:pt>
                <c:pt idx="1084">
                  <c:v>2.9501861248268924E-2</c:v>
                </c:pt>
                <c:pt idx="1085">
                  <c:v>2.9507621562494535E-2</c:v>
                </c:pt>
                <c:pt idx="1086">
                  <c:v>2.9513210552405411E-2</c:v>
                </c:pt>
                <c:pt idx="1087">
                  <c:v>2.9518628218161425E-2</c:v>
                </c:pt>
                <c:pt idx="1088">
                  <c:v>2.9523874559602703E-2</c:v>
                </c:pt>
                <c:pt idx="1089">
                  <c:v>2.9528949576809183E-2</c:v>
                </c:pt>
                <c:pt idx="1090">
                  <c:v>2.9533853269700927E-2</c:v>
                </c:pt>
                <c:pt idx="1091">
                  <c:v>2.9538585638357873E-2</c:v>
                </c:pt>
                <c:pt idx="1092">
                  <c:v>2.9543146682700083E-2</c:v>
                </c:pt>
                <c:pt idx="1093">
                  <c:v>2.9547536402807495E-2</c:v>
                </c:pt>
                <c:pt idx="1094">
                  <c:v>2.9551754798600172E-2</c:v>
                </c:pt>
                <c:pt idx="1095">
                  <c:v>2.9555801870078113E-2</c:v>
                </c:pt>
                <c:pt idx="1096">
                  <c:v>2.9559677617161384E-2</c:v>
                </c:pt>
                <c:pt idx="1097">
                  <c:v>2.9563382040009856E-2</c:v>
                </c:pt>
                <c:pt idx="1098">
                  <c:v>2.9566915138463656E-2</c:v>
                </c:pt>
                <c:pt idx="1099">
                  <c:v>2.9570276912682658E-2</c:v>
                </c:pt>
                <c:pt idx="1100">
                  <c:v>2.9573467362506989E-2</c:v>
                </c:pt>
                <c:pt idx="1101">
                  <c:v>2.9576486488016585E-2</c:v>
                </c:pt>
                <c:pt idx="1102">
                  <c:v>2.9579334289211445E-2</c:v>
                </c:pt>
                <c:pt idx="1103">
                  <c:v>2.9582010766091571E-2</c:v>
                </c:pt>
                <c:pt idx="1104">
                  <c:v>2.958451591849709E-2</c:v>
                </c:pt>
                <c:pt idx="1105">
                  <c:v>2.9586849746667809E-2</c:v>
                </c:pt>
                <c:pt idx="1106">
                  <c:v>2.9589012250363922E-2</c:v>
                </c:pt>
                <c:pt idx="1107">
                  <c:v>2.9591003429825236E-2</c:v>
                </c:pt>
                <c:pt idx="1108">
                  <c:v>2.9592823284811942E-2</c:v>
                </c:pt>
                <c:pt idx="1109">
                  <c:v>2.959447181556385E-2</c:v>
                </c:pt>
                <c:pt idx="1110">
                  <c:v>2.959594902184115E-2</c:v>
                </c:pt>
                <c:pt idx="1111">
                  <c:v>2.9597254903803716E-2</c:v>
                </c:pt>
                <c:pt idx="1112">
                  <c:v>2.959838946137161E-2</c:v>
                </c:pt>
                <c:pt idx="1113">
                  <c:v>2.9599352694544834E-2</c:v>
                </c:pt>
                <c:pt idx="1114">
                  <c:v>2.9600144603403322E-2</c:v>
                </c:pt>
                <c:pt idx="1115">
                  <c:v>2.960076518786714E-2</c:v>
                </c:pt>
                <c:pt idx="1116">
                  <c:v>2.9601214447936286E-2</c:v>
                </c:pt>
                <c:pt idx="1117">
                  <c:v>2.9601492383610761E-2</c:v>
                </c:pt>
                <c:pt idx="1118">
                  <c:v>2.9601598994890566E-2</c:v>
                </c:pt>
                <c:pt idx="1119">
                  <c:v>2.9601534281855635E-2</c:v>
                </c:pt>
                <c:pt idx="1120">
                  <c:v>2.9601298244426033E-2</c:v>
                </c:pt>
                <c:pt idx="1121">
                  <c:v>2.9600890882681696E-2</c:v>
                </c:pt>
                <c:pt idx="1122">
                  <c:v>2.9600312196542689E-2</c:v>
                </c:pt>
                <c:pt idx="1123">
                  <c:v>2.9599562185929074E-2</c:v>
                </c:pt>
                <c:pt idx="1124">
                  <c:v>2.9598640851000724E-2</c:v>
                </c:pt>
                <c:pt idx="1125">
                  <c:v>2.9597548191597767E-2</c:v>
                </c:pt>
                <c:pt idx="1126">
                  <c:v>2.9596284208039947E-2</c:v>
                </c:pt>
                <c:pt idx="1127">
                  <c:v>2.9594848899927584E-2</c:v>
                </c:pt>
                <c:pt idx="1128">
                  <c:v>2.9593242267580422E-2</c:v>
                </c:pt>
                <c:pt idx="1129">
                  <c:v>2.9591464310758653E-2</c:v>
                </c:pt>
                <c:pt idx="1130">
                  <c:v>2.9589515029622149E-2</c:v>
                </c:pt>
                <c:pt idx="1131">
                  <c:v>2.9587394424090974E-2</c:v>
                </c:pt>
                <c:pt idx="1132">
                  <c:v>2.9585102494245064E-2</c:v>
                </c:pt>
                <c:pt idx="1133">
                  <c:v>2.9582639240084418E-2</c:v>
                </c:pt>
                <c:pt idx="1134">
                  <c:v>2.9580004661529102E-2</c:v>
                </c:pt>
                <c:pt idx="1135">
                  <c:v>2.9577198758579115E-2</c:v>
                </c:pt>
                <c:pt idx="1136">
                  <c:v>2.9574221531314393E-2</c:v>
                </c:pt>
                <c:pt idx="1137">
                  <c:v>2.9571072979734936E-2</c:v>
                </c:pt>
                <c:pt idx="1138">
                  <c:v>2.9567753103840744E-2</c:v>
                </c:pt>
                <c:pt idx="1139">
                  <c:v>2.9564261903631817E-2</c:v>
                </c:pt>
                <c:pt idx="1140">
                  <c:v>2.9560599379028218E-2</c:v>
                </c:pt>
                <c:pt idx="1141">
                  <c:v>2.9556765530109885E-2</c:v>
                </c:pt>
                <c:pt idx="1142">
                  <c:v>2.9552760356956753E-2</c:v>
                </c:pt>
                <c:pt idx="1143">
                  <c:v>2.954858385940895E-2</c:v>
                </c:pt>
                <c:pt idx="1144">
                  <c:v>2.9544236037626348E-2</c:v>
                </c:pt>
                <c:pt idx="1145">
                  <c:v>2.9539716891449075E-2</c:v>
                </c:pt>
                <c:pt idx="1146">
                  <c:v>2.9535026421116939E-2</c:v>
                </c:pt>
                <c:pt idx="1147">
                  <c:v>2.9530164626470068E-2</c:v>
                </c:pt>
                <c:pt idx="1148">
                  <c:v>2.9525131507508462E-2</c:v>
                </c:pt>
                <c:pt idx="1149">
                  <c:v>2.9519927064232121E-2</c:v>
                </c:pt>
                <c:pt idx="1150">
                  <c:v>2.9514551296800917E-2</c:v>
                </c:pt>
                <c:pt idx="1151">
                  <c:v>2.9509004205054978E-2</c:v>
                </c:pt>
                <c:pt idx="1152">
                  <c:v>2.9503285789074241E-2</c:v>
                </c:pt>
                <c:pt idx="1153">
                  <c:v>2.9497396048858704E-2</c:v>
                </c:pt>
                <c:pt idx="1154">
                  <c:v>2.9491334984408368E-2</c:v>
                </c:pt>
                <c:pt idx="1155">
                  <c:v>2.948510259580317E-2</c:v>
                </c:pt>
                <c:pt idx="1156">
                  <c:v>2.94786988828033E-2</c:v>
                </c:pt>
                <c:pt idx="1157">
                  <c:v>2.947212384580844E-2</c:v>
                </c:pt>
                <c:pt idx="1158">
                  <c:v>2.9465377484578781E-2</c:v>
                </c:pt>
                <c:pt idx="1159">
                  <c:v>2.9458459799114323E-2</c:v>
                </c:pt>
                <c:pt idx="1160">
                  <c:v>2.9451370789415066E-2</c:v>
                </c:pt>
                <c:pt idx="1161">
                  <c:v>2.9444110455640882E-2</c:v>
                </c:pt>
                <c:pt idx="1162">
                  <c:v>2.9436678797711835E-2</c:v>
                </c:pt>
                <c:pt idx="1163">
                  <c:v>2.9429075815627925E-2</c:v>
                </c:pt>
                <c:pt idx="1164">
                  <c:v>2.9421301509389153E-2</c:v>
                </c:pt>
                <c:pt idx="1165">
                  <c:v>2.941335587915539E-2</c:v>
                </c:pt>
                <c:pt idx="1166">
                  <c:v>2.9405238924606891E-2</c:v>
                </c:pt>
                <c:pt idx="1167">
                  <c:v>2.9396950646143338E-2</c:v>
                </c:pt>
                <c:pt idx="1168">
                  <c:v>2.9388491043604859E-2</c:v>
                </c:pt>
                <c:pt idx="1169">
                  <c:v>2.9379860116911516E-2</c:v>
                </c:pt>
                <c:pt idx="1170">
                  <c:v>2.9369786416078014E-2</c:v>
                </c:pt>
                <c:pt idx="1171">
                  <c:v>2.9360788366412649E-2</c:v>
                </c:pt>
                <c:pt idx="1172">
                  <c:v>2.9351618992672357E-2</c:v>
                </c:pt>
                <c:pt idx="1173">
                  <c:v>2.934227829501701E-2</c:v>
                </c:pt>
                <c:pt idx="1174">
                  <c:v>2.9332766273286737E-2</c:v>
                </c:pt>
                <c:pt idx="1175">
                  <c:v>2.9323082927561472E-2</c:v>
                </c:pt>
                <c:pt idx="1176">
                  <c:v>2.9313228257841217E-2</c:v>
                </c:pt>
                <c:pt idx="1177">
                  <c:v>2.9303202264205908E-2</c:v>
                </c:pt>
                <c:pt idx="1178">
                  <c:v>2.9293004946575607E-2</c:v>
                </c:pt>
                <c:pt idx="1179">
                  <c:v>2.9282636305030252E-2</c:v>
                </c:pt>
                <c:pt idx="1180">
                  <c:v>2.9272096339569842E-2</c:v>
                </c:pt>
                <c:pt idx="1181">
                  <c:v>2.9261385050114441E-2</c:v>
                </c:pt>
                <c:pt idx="1182">
                  <c:v>2.9250502436983794E-2</c:v>
                </c:pt>
                <c:pt idx="1183">
                  <c:v>2.9239448499858156E-2</c:v>
                </c:pt>
                <c:pt idx="1184">
                  <c:v>2.9228223238737527E-2</c:v>
                </c:pt>
                <c:pt idx="1185">
                  <c:v>2.9216826653941652E-2</c:v>
                </c:pt>
                <c:pt idx="1186">
                  <c:v>2.9205258745230722E-2</c:v>
                </c:pt>
                <c:pt idx="1187">
                  <c:v>2.919351951276461E-2</c:v>
                </c:pt>
                <c:pt idx="1188">
                  <c:v>2.9181608956463378E-2</c:v>
                </c:pt>
                <c:pt idx="1189">
                  <c:v>2.9169527076486901E-2</c:v>
                </c:pt>
                <c:pt idx="1190">
                  <c:v>2.9157273872675304E-2</c:v>
                </c:pt>
                <c:pt idx="1191">
                  <c:v>2.9144849345028589E-2</c:v>
                </c:pt>
                <c:pt idx="1192">
                  <c:v>2.9132253493786564E-2</c:v>
                </c:pt>
                <c:pt idx="1193">
                  <c:v>2.9119498386176446E-2</c:v>
                </c:pt>
                <c:pt idx="1194">
                  <c:v>2.9106719939395731E-2</c:v>
                </c:pt>
                <c:pt idx="1195">
                  <c:v>2.9093956896053541E-2</c:v>
                </c:pt>
                <c:pt idx="1196">
                  <c:v>2.9081209256149876E-2</c:v>
                </c:pt>
                <c:pt idx="1197">
                  <c:v>2.9068477019764671E-2</c:v>
                </c:pt>
                <c:pt idx="1198">
                  <c:v>2.9055760186897928E-2</c:v>
                </c:pt>
                <c:pt idx="1199">
                  <c:v>2.9043058757469709E-2</c:v>
                </c:pt>
                <c:pt idx="1200">
                  <c:v>2.9030372731480014E-2</c:v>
                </c:pt>
                <c:pt idx="1201">
                  <c:v>2.9017702109008781E-2</c:v>
                </c:pt>
                <c:pt idx="1202">
                  <c:v>2.9005046889896136E-2</c:v>
                </c:pt>
                <c:pt idx="1203">
                  <c:v>2.8992407074381887E-2</c:v>
                </c:pt>
                <c:pt idx="1204">
                  <c:v>2.8979782662306164E-2</c:v>
                </c:pt>
                <c:pt idx="1205">
                  <c:v>2.8967173653668965E-2</c:v>
                </c:pt>
                <c:pt idx="1206">
                  <c:v>2.8954580048550227E-2</c:v>
                </c:pt>
                <c:pt idx="1207">
                  <c:v>2.8942001846790077E-2</c:v>
                </c:pt>
                <c:pt idx="1208">
                  <c:v>2.8929439048628325E-2</c:v>
                </c:pt>
                <c:pt idx="1209">
                  <c:v>2.8916891653745225E-2</c:v>
                </c:pt>
                <c:pt idx="1210">
                  <c:v>2.8904359662460521E-2</c:v>
                </c:pt>
                <c:pt idx="1211">
                  <c:v>2.8891843074614343E-2</c:v>
                </c:pt>
                <c:pt idx="1212">
                  <c:v>2.8879341890206689E-2</c:v>
                </c:pt>
                <c:pt idx="1213">
                  <c:v>2.886685610923756E-2</c:v>
                </c:pt>
                <c:pt idx="1214">
                  <c:v>2.8854385731706955E-2</c:v>
                </c:pt>
                <c:pt idx="1215">
                  <c:v>2.8841930757614875E-2</c:v>
                </c:pt>
                <c:pt idx="1216">
                  <c:v>2.882949118696132E-2</c:v>
                </c:pt>
                <c:pt idx="1217">
                  <c:v>2.8817067019826226E-2</c:v>
                </c:pt>
                <c:pt idx="1218">
                  <c:v>2.880465825604972E-2</c:v>
                </c:pt>
                <c:pt idx="1219">
                  <c:v>2.8792264895791675E-2</c:v>
                </c:pt>
                <c:pt idx="1220">
                  <c:v>2.8779886938892218E-2</c:v>
                </c:pt>
                <c:pt idx="1221">
                  <c:v>2.8767524385511223E-2</c:v>
                </c:pt>
                <c:pt idx="1222">
                  <c:v>2.8753414614319794E-2</c:v>
                </c:pt>
                <c:pt idx="1223">
                  <c:v>2.8741085068295646E-2</c:v>
                </c:pt>
                <c:pt idx="1224">
                  <c:v>2.8728770925710023E-2</c:v>
                </c:pt>
                <c:pt idx="1225">
                  <c:v>2.8716472186562925E-2</c:v>
                </c:pt>
                <c:pt idx="1226">
                  <c:v>2.8704188850774415E-2</c:v>
                </c:pt>
                <c:pt idx="1227">
                  <c:v>2.8691920918424429E-2</c:v>
                </c:pt>
                <c:pt idx="1228">
                  <c:v>2.8679668389592905E-2</c:v>
                </c:pt>
                <c:pt idx="1229">
                  <c:v>2.8667431264040033E-2</c:v>
                </c:pt>
                <c:pt idx="1230">
                  <c:v>2.8655209542005622E-2</c:v>
                </c:pt>
                <c:pt idx="1231">
                  <c:v>2.8643003223409735E-2</c:v>
                </c:pt>
                <c:pt idx="1232">
                  <c:v>2.8630812308172437E-2</c:v>
                </c:pt>
                <c:pt idx="1233">
                  <c:v>2.8618636796373664E-2</c:v>
                </c:pt>
                <c:pt idx="1234">
                  <c:v>2.8606476688013416E-2</c:v>
                </c:pt>
                <c:pt idx="1235">
                  <c:v>2.8594331983011756E-2</c:v>
                </c:pt>
                <c:pt idx="1236">
                  <c:v>2.8582202681528557E-2</c:v>
                </c:pt>
                <c:pt idx="1237">
                  <c:v>2.8570088783403946E-2</c:v>
                </c:pt>
                <c:pt idx="1238">
                  <c:v>2.8559066865241789E-2</c:v>
                </c:pt>
                <c:pt idx="1239">
                  <c:v>2.8545907197390363E-2</c:v>
                </c:pt>
                <c:pt idx="1240">
                  <c:v>2.8533839509421455E-2</c:v>
                </c:pt>
                <c:pt idx="1241">
                  <c:v>2.8521787225050943E-2</c:v>
                </c:pt>
                <c:pt idx="1242">
                  <c:v>2.8509750343879148E-2</c:v>
                </c:pt>
                <c:pt idx="1243">
                  <c:v>2.8497728866225813E-2</c:v>
                </c:pt>
                <c:pt idx="1244">
                  <c:v>2.8485722791931067E-2</c:v>
                </c:pt>
                <c:pt idx="1245">
                  <c:v>2.8473732121074846E-2</c:v>
                </c:pt>
                <c:pt idx="1246">
                  <c:v>2.8461756853577214E-2</c:v>
                </c:pt>
                <c:pt idx="1247">
                  <c:v>2.8449796989518106E-2</c:v>
                </c:pt>
                <c:pt idx="1248">
                  <c:v>2.8437852528897523E-2</c:v>
                </c:pt>
                <c:pt idx="1249">
                  <c:v>2.8425923471555592E-2</c:v>
                </c:pt>
                <c:pt idx="1250">
                  <c:v>2.8414009817652186E-2</c:v>
                </c:pt>
                <c:pt idx="1251">
                  <c:v>2.8402111567107369E-2</c:v>
                </c:pt>
                <c:pt idx="1252">
                  <c:v>2.8390228720001076E-2</c:v>
                </c:pt>
                <c:pt idx="1253">
                  <c:v>2.8378361276333308E-2</c:v>
                </c:pt>
                <c:pt idx="1254">
                  <c:v>2.8366509235944193E-2</c:v>
                </c:pt>
                <c:pt idx="1255">
                  <c:v>2.8354672598993602E-2</c:v>
                </c:pt>
                <c:pt idx="1256">
                  <c:v>2.8342851365481536E-2</c:v>
                </c:pt>
                <c:pt idx="1257">
                  <c:v>2.8331045535248123E-2</c:v>
                </c:pt>
                <c:pt idx="1258">
                  <c:v>2.8319255108453234E-2</c:v>
                </c:pt>
                <c:pt idx="1259">
                  <c:v>2.830748008509687E-2</c:v>
                </c:pt>
                <c:pt idx="1260">
                  <c:v>2.8295720465019158E-2</c:v>
                </c:pt>
                <c:pt idx="1261">
                  <c:v>2.8283976248379972E-2</c:v>
                </c:pt>
                <c:pt idx="1262">
                  <c:v>2.8272247435019437E-2</c:v>
                </c:pt>
                <c:pt idx="1263">
                  <c:v>2.8260534025097428E-2</c:v>
                </c:pt>
                <c:pt idx="1264">
                  <c:v>2.8248836018534007E-2</c:v>
                </c:pt>
                <c:pt idx="1265">
                  <c:v>2.8237153415409111E-2</c:v>
                </c:pt>
                <c:pt idx="1266">
                  <c:v>2.8225486215642803E-2</c:v>
                </c:pt>
                <c:pt idx="1267">
                  <c:v>2.8213834419155148E-2</c:v>
                </c:pt>
                <c:pt idx="1268">
                  <c:v>2.8202198026106018E-2</c:v>
                </c:pt>
                <c:pt idx="1269">
                  <c:v>2.819057703633554E-2</c:v>
                </c:pt>
                <c:pt idx="1270">
                  <c:v>2.8178971450083523E-2</c:v>
                </c:pt>
                <c:pt idx="1271">
                  <c:v>2.8167381266950287E-2</c:v>
                </c:pt>
                <c:pt idx="1272">
                  <c:v>2.8155806487415447E-2</c:v>
                </c:pt>
                <c:pt idx="1273">
                  <c:v>2.8144247111079324E-2</c:v>
                </c:pt>
                <c:pt idx="1274">
                  <c:v>2.8131605805850057E-2</c:v>
                </c:pt>
                <c:pt idx="1275">
                  <c:v>2.8120079836604361E-2</c:v>
                </c:pt>
                <c:pt idx="1276">
                  <c:v>2.8108569273888051E-2</c:v>
                </c:pt>
                <c:pt idx="1277">
                  <c:v>2.8097074117594545E-2</c:v>
                </c:pt>
                <c:pt idx="1278">
                  <c:v>2.808559436785707E-2</c:v>
                </c:pt>
                <c:pt idx="1279">
                  <c:v>2.8074130024595689E-2</c:v>
                </c:pt>
                <c:pt idx="1280">
                  <c:v>2.8062681087810404E-2</c:v>
                </c:pt>
                <c:pt idx="1281">
                  <c:v>2.8051247557474568E-2</c:v>
                </c:pt>
                <c:pt idx="1282">
                  <c:v>2.8039829433641472E-2</c:v>
                </c:pt>
                <c:pt idx="1283">
                  <c:v>2.8028426716231181E-2</c:v>
                </c:pt>
                <c:pt idx="1284">
                  <c:v>2.8017039405323629E-2</c:v>
                </c:pt>
                <c:pt idx="1285">
                  <c:v>2.8005667500865528E-2</c:v>
                </c:pt>
                <c:pt idx="1286">
                  <c:v>2.7994311002856875E-2</c:v>
                </c:pt>
                <c:pt idx="1287">
                  <c:v>2.7982969911324318E-2</c:v>
                </c:pt>
                <c:pt idx="1288">
                  <c:v>2.7971644226187919E-2</c:v>
                </c:pt>
                <c:pt idx="1289">
                  <c:v>2.7953320717903907E-2</c:v>
                </c:pt>
                <c:pt idx="1290">
                  <c:v>2.7942034200822974E-2</c:v>
                </c:pt>
                <c:pt idx="1291">
                  <c:v>2.793076308710063E-2</c:v>
                </c:pt>
                <c:pt idx="1292">
                  <c:v>2.791950737681681E-2</c:v>
                </c:pt>
                <c:pt idx="1293">
                  <c:v>2.7908267069811643E-2</c:v>
                </c:pt>
                <c:pt idx="1294">
                  <c:v>2.7897042166085129E-2</c:v>
                </c:pt>
                <c:pt idx="1295">
                  <c:v>2.7885832665717203E-2</c:v>
                </c:pt>
                <c:pt idx="1296">
                  <c:v>2.787463856862793E-2</c:v>
                </c:pt>
                <c:pt idx="1297">
                  <c:v>2.7863459874817309E-2</c:v>
                </c:pt>
                <c:pt idx="1298">
                  <c:v>2.7852296584445213E-2</c:v>
                </c:pt>
                <c:pt idx="1299">
                  <c:v>2.784114869735177E-2</c:v>
                </c:pt>
                <c:pt idx="1300">
                  <c:v>2.7830016213616915E-2</c:v>
                </c:pt>
                <c:pt idx="1301">
                  <c:v>2.7818899133160713E-2</c:v>
                </c:pt>
                <c:pt idx="1302">
                  <c:v>2.7807797456063099E-2</c:v>
                </c:pt>
                <c:pt idx="1303">
                  <c:v>2.7796711182164202E-2</c:v>
                </c:pt>
                <c:pt idx="1304">
                  <c:v>2.778564031170383E-2</c:v>
                </c:pt>
                <c:pt idx="1305">
                  <c:v>2.7774584844442174E-2</c:v>
                </c:pt>
                <c:pt idx="1306">
                  <c:v>2.7763544780539107E-2</c:v>
                </c:pt>
                <c:pt idx="1307">
                  <c:v>2.7752520119994628E-2</c:v>
                </c:pt>
                <c:pt idx="1308">
                  <c:v>2.7741510862648866E-2</c:v>
                </c:pt>
                <c:pt idx="1309">
                  <c:v>2.7730517008741629E-2</c:v>
                </c:pt>
                <c:pt idx="1310">
                  <c:v>2.7719538558113044E-2</c:v>
                </c:pt>
                <c:pt idx="1311">
                  <c:v>2.7708575510683175E-2</c:v>
                </c:pt>
                <c:pt idx="1312">
                  <c:v>2.7697627866611896E-2</c:v>
                </c:pt>
                <c:pt idx="1313">
                  <c:v>2.7686695625899205E-2</c:v>
                </c:pt>
                <c:pt idx="1314">
                  <c:v>2.767577878838523E-2</c:v>
                </c:pt>
                <c:pt idx="1315">
                  <c:v>2.7664877354229844E-2</c:v>
                </c:pt>
                <c:pt idx="1316">
                  <c:v>2.7653991323353111E-2</c:v>
                </c:pt>
                <c:pt idx="1317">
                  <c:v>2.764312069575503E-2</c:v>
                </c:pt>
                <c:pt idx="1318">
                  <c:v>2.7632265471515538E-2</c:v>
                </c:pt>
                <c:pt idx="1319">
                  <c:v>2.7621425650474762E-2</c:v>
                </c:pt>
                <c:pt idx="1320">
                  <c:v>2.7610601232792575E-2</c:v>
                </c:pt>
                <c:pt idx="1321">
                  <c:v>2.7599792218309105E-2</c:v>
                </c:pt>
                <c:pt idx="1322">
                  <c:v>2.7588998607264159E-2</c:v>
                </c:pt>
                <c:pt idx="1323">
                  <c:v>2.7578220399337994E-2</c:v>
                </c:pt>
                <c:pt idx="1324">
                  <c:v>2.7567457594850353E-2</c:v>
                </c:pt>
                <c:pt idx="1325">
                  <c:v>2.7556710193481493E-2</c:v>
                </c:pt>
                <c:pt idx="1326">
                  <c:v>2.7545978195471221E-2</c:v>
                </c:pt>
                <c:pt idx="1327">
                  <c:v>2.7535261600819538E-2</c:v>
                </c:pt>
                <c:pt idx="1328">
                  <c:v>2.7524560409366572E-2</c:v>
                </c:pt>
                <c:pt idx="1329">
                  <c:v>2.7513874621192258E-2</c:v>
                </c:pt>
                <c:pt idx="1330">
                  <c:v>2.7503204236296597E-2</c:v>
                </c:pt>
                <c:pt idx="1331">
                  <c:v>2.7492549254679588E-2</c:v>
                </c:pt>
                <c:pt idx="1332">
                  <c:v>2.7481909676341232E-2</c:v>
                </c:pt>
                <c:pt idx="1333">
                  <c:v>2.7471285501281528E-2</c:v>
                </c:pt>
                <c:pt idx="1334">
                  <c:v>2.7460676729500477E-2</c:v>
                </c:pt>
                <c:pt idx="1335">
                  <c:v>2.7450083360918143E-2</c:v>
                </c:pt>
                <c:pt idx="1336">
                  <c:v>2.7439505395694397E-2</c:v>
                </c:pt>
                <c:pt idx="1337">
                  <c:v>2.7428942833669367E-2</c:v>
                </c:pt>
                <c:pt idx="1338">
                  <c:v>2.7418395675002927E-2</c:v>
                </c:pt>
                <c:pt idx="1339">
                  <c:v>2.7407863919535203E-2</c:v>
                </c:pt>
                <c:pt idx="1340">
                  <c:v>2.7397347567346131E-2</c:v>
                </c:pt>
                <c:pt idx="1341">
                  <c:v>2.7386846618355776E-2</c:v>
                </c:pt>
                <c:pt idx="1342">
                  <c:v>2.7376361072724009E-2</c:v>
                </c:pt>
                <c:pt idx="1343">
                  <c:v>2.7365890930290959E-2</c:v>
                </c:pt>
                <c:pt idx="1344">
                  <c:v>2.7355436191136562E-2</c:v>
                </c:pt>
                <c:pt idx="1345">
                  <c:v>2.7344996855180881E-2</c:v>
                </c:pt>
                <c:pt idx="1346">
                  <c:v>2.7334572922583789E-2</c:v>
                </c:pt>
                <c:pt idx="1347">
                  <c:v>2.7324164393185413E-2</c:v>
                </c:pt>
                <c:pt idx="1348">
                  <c:v>2.7313771266985754E-2</c:v>
                </c:pt>
                <c:pt idx="1349">
                  <c:v>2.7303393544144683E-2</c:v>
                </c:pt>
                <c:pt idx="1350">
                  <c:v>2.7293031224422393E-2</c:v>
                </c:pt>
                <c:pt idx="1351">
                  <c:v>2.7282684308138627E-2</c:v>
                </c:pt>
                <c:pt idx="1352">
                  <c:v>2.7272352794893706E-2</c:v>
                </c:pt>
                <c:pt idx="1353">
                  <c:v>2.7262036684927438E-2</c:v>
                </c:pt>
                <c:pt idx="1354">
                  <c:v>2.7251735978319758E-2</c:v>
                </c:pt>
                <c:pt idx="1355">
                  <c:v>2.7241450674910794E-2</c:v>
                </c:pt>
                <c:pt idx="1356">
                  <c:v>2.7231180774700547E-2</c:v>
                </c:pt>
                <c:pt idx="1357">
                  <c:v>2.7220926277768953E-2</c:v>
                </c:pt>
                <c:pt idx="1358">
                  <c:v>2.7210687184116011E-2</c:v>
                </c:pt>
                <c:pt idx="1359">
                  <c:v>2.7200463493661786E-2</c:v>
                </c:pt>
                <c:pt idx="1360">
                  <c:v>2.7190255206326341E-2</c:v>
                </c:pt>
                <c:pt idx="1361">
                  <c:v>2.7180062322349485E-2</c:v>
                </c:pt>
                <c:pt idx="1362">
                  <c:v>2.7169884841571346E-2</c:v>
                </c:pt>
                <c:pt idx="1363">
                  <c:v>2.7159722764071859E-2</c:v>
                </c:pt>
                <c:pt idx="1364">
                  <c:v>2.7149576089771088E-2</c:v>
                </c:pt>
                <c:pt idx="1365">
                  <c:v>2.713944481874897E-2</c:v>
                </c:pt>
                <c:pt idx="1366">
                  <c:v>2.7129328950845633E-2</c:v>
                </c:pt>
                <c:pt idx="1367">
                  <c:v>2.7119228486300884E-2</c:v>
                </c:pt>
                <c:pt idx="1368">
                  <c:v>2.7109143424874915E-2</c:v>
                </c:pt>
                <c:pt idx="1369">
                  <c:v>2.7099073766727599E-2</c:v>
                </c:pt>
                <c:pt idx="1370">
                  <c:v>2.7089019511779E-2</c:v>
                </c:pt>
                <c:pt idx="1371">
                  <c:v>2.7078980660029117E-2</c:v>
                </c:pt>
                <c:pt idx="1372">
                  <c:v>2.7068957211557887E-2</c:v>
                </c:pt>
                <c:pt idx="1373">
                  <c:v>2.7058949166285373E-2</c:v>
                </c:pt>
                <c:pt idx="1374">
                  <c:v>2.7048956524211576E-2</c:v>
                </c:pt>
                <c:pt idx="1375">
                  <c:v>2.7038979285256559E-2</c:v>
                </c:pt>
                <c:pt idx="1376">
                  <c:v>2.7029017449660131E-2</c:v>
                </c:pt>
                <c:pt idx="1377">
                  <c:v>2.7019071017262419E-2</c:v>
                </c:pt>
                <c:pt idx="1378">
                  <c:v>2.7009139988063424E-2</c:v>
                </c:pt>
                <c:pt idx="1379">
                  <c:v>2.6999224362063146E-2</c:v>
                </c:pt>
                <c:pt idx="1380">
                  <c:v>2.6989324139261583E-2</c:v>
                </c:pt>
                <c:pt idx="1381">
                  <c:v>2.6979439319738674E-2</c:v>
                </c:pt>
                <c:pt idx="1382">
                  <c:v>2.6969569903334545E-2</c:v>
                </c:pt>
                <c:pt idx="1383">
                  <c:v>2.6959715890209068E-2</c:v>
                </c:pt>
                <c:pt idx="1384">
                  <c:v>2.6949877280202372E-2</c:v>
                </c:pt>
                <c:pt idx="1385">
                  <c:v>2.6940054073474329E-2</c:v>
                </c:pt>
                <c:pt idx="1386">
                  <c:v>2.6930246269865066E-2</c:v>
                </c:pt>
                <c:pt idx="1387">
                  <c:v>2.6920453869534455E-2</c:v>
                </c:pt>
                <c:pt idx="1388">
                  <c:v>2.6910676872402561E-2</c:v>
                </c:pt>
                <c:pt idx="1389">
                  <c:v>2.6900915278469384E-2</c:v>
                </c:pt>
                <c:pt idx="1390">
                  <c:v>2.6891169087654987E-2</c:v>
                </c:pt>
                <c:pt idx="1391">
                  <c:v>2.6881438300119243E-2</c:v>
                </c:pt>
                <c:pt idx="1392">
                  <c:v>2.6871722915782215E-2</c:v>
                </c:pt>
                <c:pt idx="1393">
                  <c:v>2.6862022934563967E-2</c:v>
                </c:pt>
                <c:pt idx="1394">
                  <c:v>2.6852338356624372E-2</c:v>
                </c:pt>
                <c:pt idx="1395">
                  <c:v>2.6842669181803558E-2</c:v>
                </c:pt>
                <c:pt idx="1396">
                  <c:v>2.6833015410341332E-2</c:v>
                </c:pt>
                <c:pt idx="1397">
                  <c:v>2.6823377041758079E-2</c:v>
                </c:pt>
                <c:pt idx="1398">
                  <c:v>2.6813754076693286E-2</c:v>
                </c:pt>
                <c:pt idx="1399">
                  <c:v>2.6804146514587401E-2</c:v>
                </c:pt>
                <c:pt idx="1400">
                  <c:v>2.679455435576017E-2</c:v>
                </c:pt>
                <c:pt idx="1401">
                  <c:v>2.6784977600051718E-2</c:v>
                </c:pt>
                <c:pt idx="1402">
                  <c:v>2.6775416247541983E-2</c:v>
                </c:pt>
                <c:pt idx="1403">
                  <c:v>2.6765870298230965E-2</c:v>
                </c:pt>
                <c:pt idx="1404">
                  <c:v>2.6756339752198599E-2</c:v>
                </c:pt>
                <c:pt idx="1405">
                  <c:v>2.6746824609285014E-2</c:v>
                </c:pt>
                <c:pt idx="1406">
                  <c:v>2.6737324869490209E-2</c:v>
                </c:pt>
                <c:pt idx="1407">
                  <c:v>2.672784053289412E-2</c:v>
                </c:pt>
                <c:pt idx="1408">
                  <c:v>2.6718371599416813E-2</c:v>
                </c:pt>
                <c:pt idx="1409">
                  <c:v>2.6708918069218157E-2</c:v>
                </c:pt>
                <c:pt idx="1410">
                  <c:v>2.6699479942218218E-2</c:v>
                </c:pt>
                <c:pt idx="1411">
                  <c:v>2.6690057218177188E-2</c:v>
                </c:pt>
                <c:pt idx="1412">
                  <c:v>2.6680649897494746E-2</c:v>
                </c:pt>
                <c:pt idx="1413">
                  <c:v>2.6671257980011021E-2</c:v>
                </c:pt>
                <c:pt idx="1414">
                  <c:v>2.6661881465646076E-2</c:v>
                </c:pt>
                <c:pt idx="1415">
                  <c:v>2.6652520354399911E-2</c:v>
                </c:pt>
                <c:pt idx="1416">
                  <c:v>2.6643174646352463E-2</c:v>
                </c:pt>
                <c:pt idx="1417">
                  <c:v>2.6633844341423796E-2</c:v>
                </c:pt>
                <c:pt idx="1418">
                  <c:v>2.6624529439693845E-2</c:v>
                </c:pt>
                <c:pt idx="1419">
                  <c:v>2.6615229941082674E-2</c:v>
                </c:pt>
                <c:pt idx="1420">
                  <c:v>2.6605945845750156E-2</c:v>
                </c:pt>
                <c:pt idx="1421">
                  <c:v>2.6596677153456483E-2</c:v>
                </c:pt>
                <c:pt idx="1422">
                  <c:v>2.6587423864441462E-2</c:v>
                </c:pt>
                <c:pt idx="1423">
                  <c:v>2.6578185978465285E-2</c:v>
                </c:pt>
                <c:pt idx="1424">
                  <c:v>2.6568963495687825E-2</c:v>
                </c:pt>
                <c:pt idx="1425">
                  <c:v>2.6559756416109082E-2</c:v>
                </c:pt>
                <c:pt idx="1426">
                  <c:v>2.6550564739649118E-2</c:v>
                </c:pt>
                <c:pt idx="1427">
                  <c:v>2.6541388466387872E-2</c:v>
                </c:pt>
                <c:pt idx="1428">
                  <c:v>2.6532227596085534E-2</c:v>
                </c:pt>
                <c:pt idx="1429">
                  <c:v>2.6523082129141784E-2</c:v>
                </c:pt>
                <c:pt idx="1430">
                  <c:v>2.6513952065316815E-2</c:v>
                </c:pt>
                <c:pt idx="1431">
                  <c:v>2.650483740453069E-2</c:v>
                </c:pt>
                <c:pt idx="1432">
                  <c:v>2.6495738146943282E-2</c:v>
                </c:pt>
                <c:pt idx="1433">
                  <c:v>2.648665429255459E-2</c:v>
                </c:pt>
                <c:pt idx="1434">
                  <c:v>2.6477585841284679E-2</c:v>
                </c:pt>
                <c:pt idx="1435">
                  <c:v>2.6468532793133548E-2</c:v>
                </c:pt>
                <c:pt idx="1436">
                  <c:v>2.6459495148101198E-2</c:v>
                </c:pt>
                <c:pt idx="1437">
                  <c:v>2.64504729063475E-2</c:v>
                </c:pt>
                <c:pt idx="1438">
                  <c:v>2.644146606755271E-2</c:v>
                </c:pt>
                <c:pt idx="1439">
                  <c:v>2.6432474632036573E-2</c:v>
                </c:pt>
                <c:pt idx="1440">
                  <c:v>2.6423498599559281E-2</c:v>
                </c:pt>
                <c:pt idx="1441">
                  <c:v>2.6414537970280705E-2</c:v>
                </c:pt>
                <c:pt idx="1442">
                  <c:v>2.6405592744120909E-2</c:v>
                </c:pt>
                <c:pt idx="1443">
                  <c:v>2.6396662921079894E-2</c:v>
                </c:pt>
                <c:pt idx="1444">
                  <c:v>2.638774850115766E-2</c:v>
                </c:pt>
                <c:pt idx="1445">
                  <c:v>2.6378849484434141E-2</c:v>
                </c:pt>
                <c:pt idx="1446">
                  <c:v>2.6369965870749468E-2</c:v>
                </c:pt>
                <c:pt idx="1447">
                  <c:v>2.6361097660263511E-2</c:v>
                </c:pt>
                <c:pt idx="1448">
                  <c:v>2.6352244852896334E-2</c:v>
                </c:pt>
                <c:pt idx="1449">
                  <c:v>2.6343407448647937E-2</c:v>
                </c:pt>
                <c:pt idx="1450">
                  <c:v>2.6334585447518322E-2</c:v>
                </c:pt>
                <c:pt idx="1451">
                  <c:v>2.6325778849507486E-2</c:v>
                </c:pt>
                <c:pt idx="1452">
                  <c:v>2.6316987654695367E-2</c:v>
                </c:pt>
                <c:pt idx="1453">
                  <c:v>2.630820598898076E-2</c:v>
                </c:pt>
                <c:pt idx="1454">
                  <c:v>2.6299413245807202E-2</c:v>
                </c:pt>
                <c:pt idx="1455">
                  <c:v>2.6290607595598203E-2</c:v>
                </c:pt>
                <c:pt idx="1456">
                  <c:v>2.6281789038113956E-2</c:v>
                </c:pt>
                <c:pt idx="1457">
                  <c:v>2.6272957573754141E-2</c:v>
                </c:pt>
                <c:pt idx="1458">
                  <c:v>2.6264113202199013E-2</c:v>
                </c:pt>
                <c:pt idx="1459">
                  <c:v>2.6255255923528509E-2</c:v>
                </c:pt>
                <c:pt idx="1460">
                  <c:v>2.62463857379025E-2</c:v>
                </c:pt>
                <c:pt idx="1461">
                  <c:v>2.6237502645081179E-2</c:v>
                </c:pt>
                <c:pt idx="1462">
                  <c:v>2.6228606645144481E-2</c:v>
                </c:pt>
                <c:pt idx="1463">
                  <c:v>2.6219697738252279E-2</c:v>
                </c:pt>
                <c:pt idx="1464">
                  <c:v>2.6210775924164764E-2</c:v>
                </c:pt>
                <c:pt idx="1465">
                  <c:v>2.6201841203041809E-2</c:v>
                </c:pt>
                <c:pt idx="1466">
                  <c:v>2.6192893574803477E-2</c:v>
                </c:pt>
                <c:pt idx="1467">
                  <c:v>2.6183933039449769E-2</c:v>
                </c:pt>
                <c:pt idx="1468">
                  <c:v>2.6174959597060621E-2</c:v>
                </c:pt>
                <c:pt idx="1469">
                  <c:v>2.6165973247556096E-2</c:v>
                </c:pt>
                <c:pt idx="1470">
                  <c:v>2.6156973991096066E-2</c:v>
                </c:pt>
                <c:pt idx="1471">
                  <c:v>2.6147961827360788E-2</c:v>
                </c:pt>
                <c:pt idx="1472">
                  <c:v>2.6138936756749942E-2</c:v>
                </c:pt>
                <c:pt idx="1473">
                  <c:v>2.6129898778863847E-2</c:v>
                </c:pt>
                <c:pt idx="1474">
                  <c:v>2.6120847894022248E-2</c:v>
                </c:pt>
                <c:pt idx="1475">
                  <c:v>2.6111784102065272E-2</c:v>
                </c:pt>
                <c:pt idx="1476">
                  <c:v>2.6102707403072856E-2</c:v>
                </c:pt>
                <c:pt idx="1477">
                  <c:v>2.6093617797044999E-2</c:v>
                </c:pt>
                <c:pt idx="1478">
                  <c:v>2.6084515283901766E-2</c:v>
                </c:pt>
                <c:pt idx="1479">
                  <c:v>2.6075399863643156E-2</c:v>
                </c:pt>
                <c:pt idx="1480">
                  <c:v>2.606627153626917E-2</c:v>
                </c:pt>
                <c:pt idx="1481">
                  <c:v>2.6057130302019615E-2</c:v>
                </c:pt>
                <c:pt idx="1482">
                  <c:v>2.6046667372456866E-2</c:v>
                </c:pt>
                <c:pt idx="1483">
                  <c:v>2.6037498480011578E-2</c:v>
                </c:pt>
                <c:pt idx="1484">
                  <c:v>2.6028316680610786E-2</c:v>
                </c:pt>
                <c:pt idx="1485">
                  <c:v>2.6019121974174553E-2</c:v>
                </c:pt>
                <c:pt idx="1486">
                  <c:v>2.6009914360622943E-2</c:v>
                </c:pt>
                <c:pt idx="1487">
                  <c:v>2.6000693839955957E-2</c:v>
                </c:pt>
                <c:pt idx="1488">
                  <c:v>2.5991460412333467E-2</c:v>
                </c:pt>
                <c:pt idx="1489">
                  <c:v>2.5982214077515664E-2</c:v>
                </c:pt>
                <c:pt idx="1490">
                  <c:v>2.5972954835742357E-2</c:v>
                </c:pt>
                <c:pt idx="1491">
                  <c:v>2.5963682686853673E-2</c:v>
                </c:pt>
                <c:pt idx="1492">
                  <c:v>2.5954397630929549E-2</c:v>
                </c:pt>
                <c:pt idx="1493">
                  <c:v>2.5945099667890048E-2</c:v>
                </c:pt>
                <c:pt idx="1494">
                  <c:v>2.5935788797974979E-2</c:v>
                </c:pt>
                <c:pt idx="1495">
                  <c:v>2.5926465020944534E-2</c:v>
                </c:pt>
                <c:pt idx="1496">
                  <c:v>2.5917128336638839E-2</c:v>
                </c:pt>
                <c:pt idx="1497">
                  <c:v>2.5907778745537513E-2</c:v>
                </c:pt>
                <c:pt idx="1498">
                  <c:v>2.589841624732081E-2</c:v>
                </c:pt>
                <c:pt idx="1499">
                  <c:v>2.5889040841988731E-2</c:v>
                </c:pt>
                <c:pt idx="1500">
                  <c:v>2.5879652529621211E-2</c:v>
                </c:pt>
                <c:pt idx="1501">
                  <c:v>2.5870251310218251E-2</c:v>
                </c:pt>
                <c:pt idx="1502">
                  <c:v>2.586083718377985E-2</c:v>
                </c:pt>
                <c:pt idx="1503">
                  <c:v>2.5851410150306009E-2</c:v>
                </c:pt>
                <c:pt idx="1504">
                  <c:v>2.5841970209796727E-2</c:v>
                </c:pt>
                <c:pt idx="1505">
                  <c:v>2.5832517362172069E-2</c:v>
                </c:pt>
                <c:pt idx="1506">
                  <c:v>2.5823051607591907E-2</c:v>
                </c:pt>
                <c:pt idx="1507">
                  <c:v>2.5813572945896368E-2</c:v>
                </c:pt>
                <c:pt idx="1508">
                  <c:v>2.5804081377245325E-2</c:v>
                </c:pt>
                <c:pt idx="1509">
                  <c:v>2.5794576901398969E-2</c:v>
                </c:pt>
                <c:pt idx="1510">
                  <c:v>2.5785059518597109E-2</c:v>
                </c:pt>
                <c:pt idx="1511">
                  <c:v>2.5775529228839744E-2</c:v>
                </c:pt>
                <c:pt idx="1512">
                  <c:v>2.5765986031967003E-2</c:v>
                </c:pt>
                <c:pt idx="1513">
                  <c:v>2.5756429928138758E-2</c:v>
                </c:pt>
                <c:pt idx="1514">
                  <c:v>2.57468609171152E-2</c:v>
                </c:pt>
                <c:pt idx="1515">
                  <c:v>2.5737278999216073E-2</c:v>
                </c:pt>
                <c:pt idx="1516">
                  <c:v>2.5727684174121634E-2</c:v>
                </c:pt>
                <c:pt idx="1517">
                  <c:v>2.5718076442151627E-2</c:v>
                </c:pt>
                <c:pt idx="1518">
                  <c:v>2.5708455803066244E-2</c:v>
                </c:pt>
                <c:pt idx="1519">
                  <c:v>2.5698822256945419E-2</c:v>
                </c:pt>
                <c:pt idx="1520">
                  <c:v>2.5689175803869091E-2</c:v>
                </c:pt>
                <c:pt idx="1521">
                  <c:v>2.5679516443757322E-2</c:v>
                </c:pt>
                <c:pt idx="1522">
                  <c:v>2.5669844176530177E-2</c:v>
                </c:pt>
                <c:pt idx="1523">
                  <c:v>2.5660159002347527E-2</c:v>
                </c:pt>
                <c:pt idx="1524">
                  <c:v>2.5650460921129437E-2</c:v>
                </c:pt>
                <c:pt idx="1525">
                  <c:v>2.564074993279597E-2</c:v>
                </c:pt>
                <c:pt idx="1526">
                  <c:v>2.5631026037506999E-2</c:v>
                </c:pt>
                <c:pt idx="1527">
                  <c:v>2.5621289235262523E-2</c:v>
                </c:pt>
                <c:pt idx="1528">
                  <c:v>2.5611539525902671E-2</c:v>
                </c:pt>
                <c:pt idx="1529">
                  <c:v>2.5601776909587315E-2</c:v>
                </c:pt>
                <c:pt idx="1530">
                  <c:v>2.5592001386236518E-2</c:v>
                </c:pt>
                <c:pt idx="1531">
                  <c:v>2.5582212955850281E-2</c:v>
                </c:pt>
                <c:pt idx="1532">
                  <c:v>2.5572411618428603E-2</c:v>
                </c:pt>
                <c:pt idx="1533">
                  <c:v>2.5562597374051421E-2</c:v>
                </c:pt>
                <c:pt idx="1534">
                  <c:v>2.5551365290228389E-2</c:v>
                </c:pt>
                <c:pt idx="1535">
                  <c:v>2.5541523387895282E-2</c:v>
                </c:pt>
                <c:pt idx="1536">
                  <c:v>2.553166857860667E-2</c:v>
                </c:pt>
                <c:pt idx="1537">
                  <c:v>2.5521800862282618E-2</c:v>
                </c:pt>
                <c:pt idx="1538">
                  <c:v>2.5511920239003061E-2</c:v>
                </c:pt>
                <c:pt idx="1539">
                  <c:v>2.5502026708608128E-2</c:v>
                </c:pt>
                <c:pt idx="1540">
                  <c:v>2.549212027125769E-2</c:v>
                </c:pt>
                <c:pt idx="1541">
                  <c:v>2.5482200926951748E-2</c:v>
                </c:pt>
                <c:pt idx="1542">
                  <c:v>2.5472268675610366E-2</c:v>
                </c:pt>
                <c:pt idx="1543">
                  <c:v>2.5462323517233543E-2</c:v>
                </c:pt>
                <c:pt idx="1544">
                  <c:v>2.5452365451821279E-2</c:v>
                </c:pt>
                <c:pt idx="1545">
                  <c:v>2.5442394479373576E-2</c:v>
                </c:pt>
                <c:pt idx="1546">
                  <c:v>2.5432410600050304E-2</c:v>
                </c:pt>
                <c:pt idx="1547">
                  <c:v>2.5422413813691591E-2</c:v>
                </c:pt>
                <c:pt idx="1548">
                  <c:v>2.5412404120377374E-2</c:v>
                </c:pt>
                <c:pt idx="1549">
                  <c:v>2.5403099624083936E-2</c:v>
                </c:pt>
                <c:pt idx="1550">
                  <c:v>2.5392346012562683E-2</c:v>
                </c:pt>
                <c:pt idx="1551">
                  <c:v>2.5382297598142145E-2</c:v>
                </c:pt>
                <c:pt idx="1552">
                  <c:v>2.5371146987094306E-2</c:v>
                </c:pt>
                <c:pt idx="1553">
                  <c:v>2.5361067650875313E-2</c:v>
                </c:pt>
                <c:pt idx="1554">
                  <c:v>2.5350975406395193E-2</c:v>
                </c:pt>
                <c:pt idx="1555">
                  <c:v>2.5340870253680592E-2</c:v>
                </c:pt>
                <c:pt idx="1556">
                  <c:v>2.5330752192704864E-2</c:v>
                </c:pt>
                <c:pt idx="1557">
                  <c:v>2.5320621223547946E-2</c:v>
                </c:pt>
                <c:pt idx="1558">
                  <c:v>2.5310477346103255E-2</c:v>
                </c:pt>
                <c:pt idx="1559">
                  <c:v>2.5300320560450729E-2</c:v>
                </c:pt>
                <c:pt idx="1560">
                  <c:v>2.5290150866590366E-2</c:v>
                </c:pt>
                <c:pt idx="1561">
                  <c:v>2.5279968264495523E-2</c:v>
                </c:pt>
                <c:pt idx="1562">
                  <c:v>2.5269772754166198E-2</c:v>
                </c:pt>
                <c:pt idx="1563">
                  <c:v>2.5259564335629037E-2</c:v>
                </c:pt>
                <c:pt idx="1564">
                  <c:v>2.524934300888404E-2</c:v>
                </c:pt>
                <c:pt idx="1565">
                  <c:v>2.5239108773904562E-2</c:v>
                </c:pt>
                <c:pt idx="1566">
                  <c:v>2.5228861630743893E-2</c:v>
                </c:pt>
                <c:pt idx="1567">
                  <c:v>2.5218601579348743E-2</c:v>
                </c:pt>
                <c:pt idx="1568">
                  <c:v>2.5208328619772402E-2</c:v>
                </c:pt>
                <c:pt idx="1569">
                  <c:v>2.5198042751988226E-2</c:v>
                </c:pt>
                <c:pt idx="1570">
                  <c:v>2.5187743976049504E-2</c:v>
                </c:pt>
                <c:pt idx="1571">
                  <c:v>2.5177432291902946E-2</c:v>
                </c:pt>
                <c:pt idx="1572">
                  <c:v>2.5167107699548552E-2</c:v>
                </c:pt>
                <c:pt idx="1573">
                  <c:v>2.5156770199039613E-2</c:v>
                </c:pt>
                <c:pt idx="1574">
                  <c:v>2.5146419790296193E-2</c:v>
                </c:pt>
                <c:pt idx="1575">
                  <c:v>2.5136056473451518E-2</c:v>
                </c:pt>
                <c:pt idx="1576">
                  <c:v>2.5125680248372362E-2</c:v>
                </c:pt>
                <c:pt idx="1577">
                  <c:v>2.5115291115165306E-2</c:v>
                </c:pt>
                <c:pt idx="1578">
                  <c:v>2.5104889073777059E-2</c:v>
                </c:pt>
                <c:pt idx="1579">
                  <c:v>2.5094474124207622E-2</c:v>
                </c:pt>
                <c:pt idx="1580">
                  <c:v>2.5084046266483639E-2</c:v>
                </c:pt>
                <c:pt idx="1581">
                  <c:v>2.5073605500631757E-2</c:v>
                </c:pt>
                <c:pt idx="1582">
                  <c:v>2.5063151826598684E-2</c:v>
                </c:pt>
                <c:pt idx="1583">
                  <c:v>2.5052685244411066E-2</c:v>
                </c:pt>
                <c:pt idx="1584">
                  <c:v>2.5042205754095548E-2</c:v>
                </c:pt>
                <c:pt idx="1585">
                  <c:v>2.5031713355625484E-2</c:v>
                </c:pt>
                <c:pt idx="1586">
                  <c:v>2.5016465810718813E-2</c:v>
                </c:pt>
                <c:pt idx="1587">
                  <c:v>2.5005945369880322E-2</c:v>
                </c:pt>
                <c:pt idx="1588">
                  <c:v>2.4995412021926455E-2</c:v>
                </c:pt>
                <c:pt idx="1589">
                  <c:v>2.4984865767176956E-2</c:v>
                </c:pt>
                <c:pt idx="1590">
                  <c:v>2.4974306605392016E-2</c:v>
                </c:pt>
                <c:pt idx="1591">
                  <c:v>2.4963734536731508E-2</c:v>
                </c:pt>
                <c:pt idx="1592">
                  <c:v>2.4953149560955623E-2</c:v>
                </c:pt>
                <c:pt idx="1593">
                  <c:v>2.4942551678384106E-2</c:v>
                </c:pt>
                <c:pt idx="1594">
                  <c:v>2.4931940888857085E-2</c:v>
                </c:pt>
                <c:pt idx="1595">
                  <c:v>2.4921317192374559E-2</c:v>
                </c:pt>
                <c:pt idx="1596">
                  <c:v>2.4910680588936529E-2</c:v>
                </c:pt>
                <c:pt idx="1597">
                  <c:v>2.4900031078463059E-2</c:v>
                </c:pt>
                <c:pt idx="1598">
                  <c:v>2.4889368661193956E-2</c:v>
                </c:pt>
                <c:pt idx="1599">
                  <c:v>2.4878693336809476E-2</c:v>
                </c:pt>
                <c:pt idx="1600">
                  <c:v>2.4866477161777922E-2</c:v>
                </c:pt>
                <c:pt idx="1601">
                  <c:v>2.4855774179837198E-2</c:v>
                </c:pt>
                <c:pt idx="1602">
                  <c:v>2.4845058290861033E-2</c:v>
                </c:pt>
                <c:pt idx="1603">
                  <c:v>2.48343294950093E-2</c:v>
                </c:pt>
                <c:pt idx="1604">
                  <c:v>2.4823587792122126E-2</c:v>
                </c:pt>
                <c:pt idx="1605">
                  <c:v>2.481283318243932E-2</c:v>
                </c:pt>
                <c:pt idx="1606">
                  <c:v>2.4802065665721074E-2</c:v>
                </c:pt>
                <c:pt idx="1607">
                  <c:v>2.4791285242047323E-2</c:v>
                </c:pt>
                <c:pt idx="1608">
                  <c:v>2.478049191157794E-2</c:v>
                </c:pt>
                <c:pt idx="1609">
                  <c:v>2.476968567399318E-2</c:v>
                </c:pt>
                <c:pt idx="1610">
                  <c:v>2.4758866529692725E-2</c:v>
                </c:pt>
                <c:pt idx="1611">
                  <c:v>2.4748034478276892E-2</c:v>
                </c:pt>
                <c:pt idx="1612">
                  <c:v>2.4737189519985492E-2</c:v>
                </c:pt>
                <c:pt idx="1613">
                  <c:v>2.4726331654818523E-2</c:v>
                </c:pt>
                <c:pt idx="1614">
                  <c:v>2.4715460882616114E-2</c:v>
                </c:pt>
                <c:pt idx="1615">
                  <c:v>2.4704577203618072E-2</c:v>
                </c:pt>
                <c:pt idx="1616">
                  <c:v>2.4693680617664526E-2</c:v>
                </c:pt>
                <c:pt idx="1617">
                  <c:v>2.468277112467554E-2</c:v>
                </c:pt>
                <c:pt idx="1618">
                  <c:v>2.4671848724970857E-2</c:v>
                </c:pt>
                <c:pt idx="1619">
                  <c:v>2.4660913418230734E-2</c:v>
                </c:pt>
                <c:pt idx="1620">
                  <c:v>2.4649965204535107E-2</c:v>
                </c:pt>
                <c:pt idx="1621">
                  <c:v>2.4639004084043847E-2</c:v>
                </c:pt>
                <c:pt idx="1622">
                  <c:v>2.4628030056517147E-2</c:v>
                </c:pt>
                <c:pt idx="1623">
                  <c:v>2.4617043122194815E-2</c:v>
                </c:pt>
                <c:pt idx="1624">
                  <c:v>2.4606043280837042E-2</c:v>
                </c:pt>
                <c:pt idx="1625">
                  <c:v>2.4595030532523765E-2</c:v>
                </c:pt>
                <c:pt idx="1626">
                  <c:v>2.4584004877414856E-2</c:v>
                </c:pt>
                <c:pt idx="1627">
                  <c:v>2.4572966315430378E-2</c:v>
                </c:pt>
                <c:pt idx="1628">
                  <c:v>2.4561914846490396E-2</c:v>
                </c:pt>
                <c:pt idx="1629">
                  <c:v>2.4550850470674845E-2</c:v>
                </c:pt>
                <c:pt idx="1630">
                  <c:v>2.4539773187983727E-2</c:v>
                </c:pt>
                <c:pt idx="1631">
                  <c:v>2.4528682998177231E-2</c:v>
                </c:pt>
                <c:pt idx="1632">
                  <c:v>2.451757990165504E-2</c:v>
                </c:pt>
                <c:pt idx="1633">
                  <c:v>2.4506463898177344E-2</c:v>
                </c:pt>
                <c:pt idx="1634">
                  <c:v>2.4495334987744144E-2</c:v>
                </c:pt>
                <c:pt idx="1635">
                  <c:v>2.4484193170515312E-2</c:v>
                </c:pt>
                <c:pt idx="1636">
                  <c:v>2.4473038446330975E-2</c:v>
                </c:pt>
                <c:pt idx="1637">
                  <c:v>2.446187081527107E-2</c:v>
                </c:pt>
                <c:pt idx="1638">
                  <c:v>2.4450690277335596E-2</c:v>
                </c:pt>
                <c:pt idx="1639">
                  <c:v>2.4439496832524554E-2</c:v>
                </c:pt>
                <c:pt idx="1640">
                  <c:v>2.4428290480758008E-2</c:v>
                </c:pt>
                <c:pt idx="1641">
                  <c:v>2.4417071222115894E-2</c:v>
                </c:pt>
                <c:pt idx="1642">
                  <c:v>2.4405839056598211E-2</c:v>
                </c:pt>
                <c:pt idx="1643">
                  <c:v>2.4394593984125024E-2</c:v>
                </c:pt>
                <c:pt idx="1644">
                  <c:v>2.4383336004776268E-2</c:v>
                </c:pt>
                <c:pt idx="1645">
                  <c:v>2.437206511863188E-2</c:v>
                </c:pt>
                <c:pt idx="1646">
                  <c:v>2.4360781325531988E-2</c:v>
                </c:pt>
                <c:pt idx="1647">
                  <c:v>2.4349484625556528E-2</c:v>
                </c:pt>
                <c:pt idx="1648">
                  <c:v>2.4338175018705499E-2</c:v>
                </c:pt>
                <c:pt idx="1649">
                  <c:v>2.4326852504978902E-2</c:v>
                </c:pt>
                <c:pt idx="1650">
                  <c:v>2.4315517084376737E-2</c:v>
                </c:pt>
                <c:pt idx="1651">
                  <c:v>2.4304168756819067E-2</c:v>
                </c:pt>
                <c:pt idx="1652">
                  <c:v>2.4292807522465765E-2</c:v>
                </c:pt>
                <c:pt idx="1653">
                  <c:v>2.4281433381156958E-2</c:v>
                </c:pt>
                <c:pt idx="1654">
                  <c:v>2.427004633305252E-2</c:v>
                </c:pt>
                <c:pt idx="1655">
                  <c:v>2.4258646378072513E-2</c:v>
                </c:pt>
                <c:pt idx="1656">
                  <c:v>2.4247233516137001E-2</c:v>
                </c:pt>
                <c:pt idx="1657">
                  <c:v>2.4235807747405858E-2</c:v>
                </c:pt>
                <c:pt idx="1658">
                  <c:v>2.422436907171921E-2</c:v>
                </c:pt>
                <c:pt idx="1659">
                  <c:v>2.4212917489316865E-2</c:v>
                </c:pt>
                <c:pt idx="1660">
                  <c:v>2.4201452999879081E-2</c:v>
                </c:pt>
                <c:pt idx="1661">
                  <c:v>2.4189975603645664E-2</c:v>
                </c:pt>
                <c:pt idx="1662">
                  <c:v>2.4178485300536678E-2</c:v>
                </c:pt>
                <c:pt idx="1663">
                  <c:v>2.4166982090632061E-2</c:v>
                </c:pt>
                <c:pt idx="1664">
                  <c:v>2.4155465973692003E-2</c:v>
                </c:pt>
                <c:pt idx="1665">
                  <c:v>2.4143936950036249E-2</c:v>
                </c:pt>
                <c:pt idx="1666">
                  <c:v>2.4132395019584862E-2</c:v>
                </c:pt>
                <c:pt idx="1667">
                  <c:v>2.4120840182098036E-2</c:v>
                </c:pt>
                <c:pt idx="1668">
                  <c:v>2.4109272437895513E-2</c:v>
                </c:pt>
                <c:pt idx="1669">
                  <c:v>2.4097691786657549E-2</c:v>
                </c:pt>
                <c:pt idx="1670">
                  <c:v>2.4086098228623953E-2</c:v>
                </c:pt>
                <c:pt idx="1671">
                  <c:v>2.4074491763874661E-2</c:v>
                </c:pt>
                <c:pt idx="1672">
                  <c:v>2.4062872392089929E-2</c:v>
                </c:pt>
                <c:pt idx="1673">
                  <c:v>2.4051240113509564E-2</c:v>
                </c:pt>
                <c:pt idx="1674">
                  <c:v>2.4039594928133567E-2</c:v>
                </c:pt>
                <c:pt idx="1675">
                  <c:v>2.4027936835882002E-2</c:v>
                </c:pt>
                <c:pt idx="1676">
                  <c:v>2.4016265836754869E-2</c:v>
                </c:pt>
                <c:pt idx="1677">
                  <c:v>2.4004581930832103E-2</c:v>
                </c:pt>
                <c:pt idx="1678">
                  <c:v>2.3992885117953833E-2</c:v>
                </c:pt>
                <c:pt idx="1679">
                  <c:v>2.398117539827993E-2</c:v>
                </c:pt>
                <c:pt idx="1680">
                  <c:v>2.3969452771810396E-2</c:v>
                </c:pt>
                <c:pt idx="1681">
                  <c:v>2.3957717238465293E-2</c:v>
                </c:pt>
                <c:pt idx="1682">
                  <c:v>2.3945968798324557E-2</c:v>
                </c:pt>
                <c:pt idx="1683">
                  <c:v>2.3934207451308254E-2</c:v>
                </c:pt>
                <c:pt idx="1684">
                  <c:v>2.3922433197496318E-2</c:v>
                </c:pt>
                <c:pt idx="1685">
                  <c:v>2.3910646036728878E-2</c:v>
                </c:pt>
                <c:pt idx="1686">
                  <c:v>2.3898845969165805E-2</c:v>
                </c:pt>
                <c:pt idx="1687">
                  <c:v>2.38870329948071E-2</c:v>
                </c:pt>
                <c:pt idx="1688">
                  <c:v>2.3875207113652763E-2</c:v>
                </c:pt>
                <c:pt idx="1689">
                  <c:v>2.3863368325542922E-2</c:v>
                </c:pt>
                <c:pt idx="1690">
                  <c:v>2.3851516630717384E-2</c:v>
                </c:pt>
                <c:pt idx="1691">
                  <c:v>2.3839652028936342E-2</c:v>
                </c:pt>
                <c:pt idx="1692">
                  <c:v>2.3827774520439604E-2</c:v>
                </c:pt>
                <c:pt idx="1693">
                  <c:v>2.3815884105147234E-2</c:v>
                </c:pt>
                <c:pt idx="1694">
                  <c:v>2.3803980782899359E-2</c:v>
                </c:pt>
                <c:pt idx="1695">
                  <c:v>2.3792064553935788E-2</c:v>
                </c:pt>
                <c:pt idx="1696">
                  <c:v>2.3780135418016712E-2</c:v>
                </c:pt>
                <c:pt idx="1697">
                  <c:v>2.3768193375461877E-2</c:v>
                </c:pt>
                <c:pt idx="1698">
                  <c:v>2.3756238425871601E-2</c:v>
                </c:pt>
                <c:pt idx="1699">
                  <c:v>2.3744270569565629E-2</c:v>
                </c:pt>
                <c:pt idx="1700">
                  <c:v>2.3732289806464024E-2</c:v>
                </c:pt>
                <c:pt idx="1701">
                  <c:v>2.3720296136566787E-2</c:v>
                </c:pt>
                <c:pt idx="1702">
                  <c:v>2.3708289559793982E-2</c:v>
                </c:pt>
                <c:pt idx="1703">
                  <c:v>2.3696270076225545E-2</c:v>
                </c:pt>
                <c:pt idx="1704">
                  <c:v>2.3684237685861476E-2</c:v>
                </c:pt>
                <c:pt idx="1705">
                  <c:v>2.3672192388621838E-2</c:v>
                </c:pt>
                <c:pt idx="1706">
                  <c:v>2.366013418474644E-2</c:v>
                </c:pt>
                <c:pt idx="1707">
                  <c:v>2.3648063073835601E-2</c:v>
                </c:pt>
                <c:pt idx="1708">
                  <c:v>2.3635979056209067E-2</c:v>
                </c:pt>
                <c:pt idx="1709">
                  <c:v>2.36238821317869E-2</c:v>
                </c:pt>
                <c:pt idx="1710">
                  <c:v>2.36117723005691E-2</c:v>
                </c:pt>
                <c:pt idx="1711">
                  <c:v>2.3599649562555669E-2</c:v>
                </c:pt>
                <c:pt idx="1712">
                  <c:v>2.3587513917666669E-2</c:v>
                </c:pt>
                <c:pt idx="1713">
                  <c:v>2.3575390714505318E-2</c:v>
                </c:pt>
                <c:pt idx="1714">
                  <c:v>2.3563334549718817E-2</c:v>
                </c:pt>
                <c:pt idx="1715">
                  <c:v>2.3551347373347298E-2</c:v>
                </c:pt>
                <c:pt idx="1716">
                  <c:v>2.3539429185230887E-2</c:v>
                </c:pt>
                <c:pt idx="1717">
                  <c:v>2.3527579985369584E-2</c:v>
                </c:pt>
                <c:pt idx="1718">
                  <c:v>2.3515799773763391E-2</c:v>
                </c:pt>
                <c:pt idx="1719">
                  <c:v>2.3504088550652114E-2</c:v>
                </c:pt>
                <c:pt idx="1720">
                  <c:v>2.3492446315556137E-2</c:v>
                </c:pt>
                <c:pt idx="1721">
                  <c:v>2.3480873068875141E-2</c:v>
                </c:pt>
                <c:pt idx="1722">
                  <c:v>2.3469368810369318E-2</c:v>
                </c:pt>
                <c:pt idx="1723">
                  <c:v>2.3457933540198539E-2</c:v>
                </c:pt>
                <c:pt idx="1724">
                  <c:v>2.3446567258282869E-2</c:v>
                </c:pt>
                <c:pt idx="1725">
                  <c:v>2.3435269964542371E-2</c:v>
                </c:pt>
                <c:pt idx="1726">
                  <c:v>2.3424041658977046E-2</c:v>
                </c:pt>
                <c:pt idx="1727">
                  <c:v>2.3412882341746766E-2</c:v>
                </c:pt>
                <c:pt idx="1728">
                  <c:v>2.3401792012691658E-2</c:v>
                </c:pt>
                <c:pt idx="1729">
                  <c:v>2.3390770671891659E-2</c:v>
                </c:pt>
                <c:pt idx="1730">
                  <c:v>2.3379818319346768E-2</c:v>
                </c:pt>
                <c:pt idx="1731">
                  <c:v>2.3368934954897114E-2</c:v>
                </c:pt>
                <c:pt idx="1732">
                  <c:v>2.3358120578622632E-2</c:v>
                </c:pt>
                <c:pt idx="1733">
                  <c:v>2.3347375190603259E-2</c:v>
                </c:pt>
                <c:pt idx="1734">
                  <c:v>2.3336698790759058E-2</c:v>
                </c:pt>
                <c:pt idx="1735">
                  <c:v>2.332609137909003E-2</c:v>
                </c:pt>
                <c:pt idx="1736">
                  <c:v>2.3315552955516239E-2</c:v>
                </c:pt>
                <c:pt idx="1737">
                  <c:v>2.330508352011762E-2</c:v>
                </c:pt>
                <c:pt idx="1738">
                  <c:v>2.3294683072974109E-2</c:v>
                </c:pt>
                <c:pt idx="1739">
                  <c:v>2.3284351614005772E-2</c:v>
                </c:pt>
                <c:pt idx="1740">
                  <c:v>2.3274089143052734E-2</c:v>
                </c:pt>
                <c:pt idx="1741">
                  <c:v>2.3263895660354805E-2</c:v>
                </c:pt>
                <c:pt idx="1742">
                  <c:v>2.3253771165832049E-2</c:v>
                </c:pt>
                <c:pt idx="1743">
                  <c:v>2.3243715659324593E-2</c:v>
                </c:pt>
                <c:pt idx="1744">
                  <c:v>2.323372914099231E-2</c:v>
                </c:pt>
                <c:pt idx="1745">
                  <c:v>2.3223811610675327E-2</c:v>
                </c:pt>
                <c:pt idx="1746">
                  <c:v>2.3213963068613452E-2</c:v>
                </c:pt>
                <c:pt idx="1747">
                  <c:v>2.3204183514646815E-2</c:v>
                </c:pt>
                <c:pt idx="1748">
                  <c:v>2.3194472948695477E-2</c:v>
                </c:pt>
                <c:pt idx="1749">
                  <c:v>2.3184831370839376E-2</c:v>
                </c:pt>
                <c:pt idx="1750">
                  <c:v>2.3175258781078512E-2</c:v>
                </c:pt>
                <c:pt idx="1751">
                  <c:v>2.316575517949282E-2</c:v>
                </c:pt>
                <c:pt idx="1752">
                  <c:v>2.3156320565922428E-2</c:v>
                </c:pt>
                <c:pt idx="1753">
                  <c:v>2.3146954940447273E-2</c:v>
                </c:pt>
                <c:pt idx="1754">
                  <c:v>2.3137658302987418E-2</c:v>
                </c:pt>
                <c:pt idx="1755">
                  <c:v>2.31284306536228E-2</c:v>
                </c:pt>
                <c:pt idx="1756">
                  <c:v>2.3119271992273482E-2</c:v>
                </c:pt>
                <c:pt idx="1757">
                  <c:v>2.3110182319099337E-2</c:v>
                </c:pt>
                <c:pt idx="1758">
                  <c:v>2.3101161633860556E-2</c:v>
                </c:pt>
                <c:pt idx="1759">
                  <c:v>2.3092209936717012E-2</c:v>
                </c:pt>
                <c:pt idx="1760">
                  <c:v>2.3082063900785599E-2</c:v>
                </c:pt>
                <c:pt idx="1761">
                  <c:v>2.3073260035069154E-2</c:v>
                </c:pt>
                <c:pt idx="1762">
                  <c:v>2.3064525157447946E-2</c:v>
                </c:pt>
                <c:pt idx="1763">
                  <c:v>2.3055859267921974E-2</c:v>
                </c:pt>
                <c:pt idx="1764">
                  <c:v>2.3047262366171495E-2</c:v>
                </c:pt>
                <c:pt idx="1765">
                  <c:v>2.3038734452676124E-2</c:v>
                </c:pt>
                <c:pt idx="1766">
                  <c:v>2.3030275527036181E-2</c:v>
                </c:pt>
                <c:pt idx="1767">
                  <c:v>2.3021885589491475E-2</c:v>
                </c:pt>
                <c:pt idx="1768">
                  <c:v>2.3013564639882134E-2</c:v>
                </c:pt>
                <c:pt idx="1769">
                  <c:v>2.3005312678208156E-2</c:v>
                </c:pt>
                <c:pt idx="1770">
                  <c:v>2.2997129704709351E-2</c:v>
                </c:pt>
                <c:pt idx="1771">
                  <c:v>2.2989015718986039E-2</c:v>
                </c:pt>
                <c:pt idx="1772">
                  <c:v>2.2980970721437899E-2</c:v>
                </c:pt>
                <c:pt idx="1773">
                  <c:v>2.2972994711665251E-2</c:v>
                </c:pt>
                <c:pt idx="1774">
                  <c:v>2.296508768998784E-2</c:v>
                </c:pt>
                <c:pt idx="1775">
                  <c:v>2.2957249656165857E-2</c:v>
                </c:pt>
                <c:pt idx="1776">
                  <c:v>2.2949480610359174E-2</c:v>
                </c:pt>
                <c:pt idx="1777">
                  <c:v>2.2941780552567792E-2</c:v>
                </c:pt>
                <c:pt idx="1778">
                  <c:v>2.2934149482631838E-2</c:v>
                </c:pt>
                <c:pt idx="1779">
                  <c:v>2.2926587400711185E-2</c:v>
                </c:pt>
                <c:pt idx="1780">
                  <c:v>2.2919094306725896E-2</c:v>
                </c:pt>
                <c:pt idx="1781">
                  <c:v>2.2911670200596035E-2</c:v>
                </c:pt>
                <c:pt idx="1782">
                  <c:v>2.2904315082481475E-2</c:v>
                </c:pt>
                <c:pt idx="1783">
                  <c:v>2.2897028952222342E-2</c:v>
                </c:pt>
                <c:pt idx="1784">
                  <c:v>2.2889811809978511E-2</c:v>
                </c:pt>
                <c:pt idx="1785">
                  <c:v>2.2882663655670044E-2</c:v>
                </c:pt>
                <c:pt idx="1786">
                  <c:v>2.2875584489217005E-2</c:v>
                </c:pt>
                <c:pt idx="1787">
                  <c:v>2.286857431069933E-2</c:v>
                </c:pt>
                <c:pt idx="1788">
                  <c:v>2.2861633120037084E-2</c:v>
                </c:pt>
                <c:pt idx="1789">
                  <c:v>2.2854760917310202E-2</c:v>
                </c:pt>
                <c:pt idx="1790">
                  <c:v>2.2847957702438748E-2</c:v>
                </c:pt>
                <c:pt idx="1791">
                  <c:v>2.2841223475502659E-2</c:v>
                </c:pt>
                <c:pt idx="1792">
                  <c:v>2.2834558236501934E-2</c:v>
                </c:pt>
                <c:pt idx="1793">
                  <c:v>2.2827961985356637E-2</c:v>
                </c:pt>
                <c:pt idx="1794">
                  <c:v>2.282050788761758E-2</c:v>
                </c:pt>
                <c:pt idx="1795">
                  <c:v>2.2814059467579639E-2</c:v>
                </c:pt>
                <c:pt idx="1796">
                  <c:v>2.2807680035477063E-2</c:v>
                </c:pt>
                <c:pt idx="1797">
                  <c:v>2.2801369591229914E-2</c:v>
                </c:pt>
                <c:pt idx="1798">
                  <c:v>2.279512813491813E-2</c:v>
                </c:pt>
                <c:pt idx="1799">
                  <c:v>2.2788955666461774E-2</c:v>
                </c:pt>
                <c:pt idx="1800">
                  <c:v>2.2782852185860847E-2</c:v>
                </c:pt>
                <c:pt idx="1801">
                  <c:v>2.2776817693035412E-2</c:v>
                </c:pt>
                <c:pt idx="1802">
                  <c:v>2.2770852188145341E-2</c:v>
                </c:pt>
                <c:pt idx="1803">
                  <c:v>2.2764955671030762E-2</c:v>
                </c:pt>
                <c:pt idx="1804">
                  <c:v>2.2759128141851548E-2</c:v>
                </c:pt>
                <c:pt idx="1805">
                  <c:v>2.2753369600527762E-2</c:v>
                </c:pt>
                <c:pt idx="1806">
                  <c:v>2.2747680046979468E-2</c:v>
                </c:pt>
                <c:pt idx="1807">
                  <c:v>2.2742059481206667E-2</c:v>
                </c:pt>
                <c:pt idx="1808">
                  <c:v>2.273650790336923E-2</c:v>
                </c:pt>
                <c:pt idx="1809">
                  <c:v>2.2731025313387221E-2</c:v>
                </c:pt>
                <c:pt idx="1810">
                  <c:v>2.2726948026686955E-2</c:v>
                </c:pt>
                <c:pt idx="1811">
                  <c:v>2.2720267096909552E-2</c:v>
                </c:pt>
                <c:pt idx="1812">
                  <c:v>2.271499147025402E-2</c:v>
                </c:pt>
                <c:pt idx="1813">
                  <c:v>2.2709784831613788E-2</c:v>
                </c:pt>
                <c:pt idx="1814">
                  <c:v>2.2704647180669113E-2</c:v>
                </c:pt>
                <c:pt idx="1815">
                  <c:v>2.2699578517579866E-2</c:v>
                </c:pt>
                <c:pt idx="1816">
                  <c:v>2.2694578842266111E-2</c:v>
                </c:pt>
                <c:pt idx="1817">
                  <c:v>2.2689648154807784E-2</c:v>
                </c:pt>
                <c:pt idx="1818">
                  <c:v>2.268478645512495E-2</c:v>
                </c:pt>
                <c:pt idx="1819">
                  <c:v>2.2679993743297544E-2</c:v>
                </c:pt>
                <c:pt idx="1820">
                  <c:v>2.2675270019165694E-2</c:v>
                </c:pt>
                <c:pt idx="1821">
                  <c:v>2.2670615282889273E-2</c:v>
                </c:pt>
                <c:pt idx="1822">
                  <c:v>2.2666029534388343E-2</c:v>
                </c:pt>
                <c:pt idx="1823">
                  <c:v>2.2661512773742842E-2</c:v>
                </c:pt>
                <c:pt idx="1824">
                  <c:v>2.2657065000792898E-2</c:v>
                </c:pt>
                <c:pt idx="1825">
                  <c:v>2.2652686215698381E-2</c:v>
                </c:pt>
                <c:pt idx="1826">
                  <c:v>2.2648376418379357E-2</c:v>
                </c:pt>
                <c:pt idx="1827">
                  <c:v>2.2644135608915761E-2</c:v>
                </c:pt>
                <c:pt idx="1828">
                  <c:v>2.2639963787067785E-2</c:v>
                </c:pt>
                <c:pt idx="1829">
                  <c:v>2.2635860953075237E-2</c:v>
                </c:pt>
                <c:pt idx="1830">
                  <c:v>2.2631827106858182E-2</c:v>
                </c:pt>
                <c:pt idx="1831">
                  <c:v>2.2627862248336683E-2</c:v>
                </c:pt>
                <c:pt idx="1832">
                  <c:v>2.2623966377750548E-2</c:v>
                </c:pt>
                <c:pt idx="1833">
                  <c:v>2.2620139494780034E-2</c:v>
                </c:pt>
                <c:pt idx="1834">
                  <c:v>2.2616381599664948E-2</c:v>
                </c:pt>
                <c:pt idx="1835">
                  <c:v>2.2612692692325354E-2</c:v>
                </c:pt>
                <c:pt idx="1836">
                  <c:v>2.2609072772681316E-2</c:v>
                </c:pt>
                <c:pt idx="1837">
                  <c:v>2.260552184081277E-2</c:v>
                </c:pt>
                <c:pt idx="1838">
                  <c:v>2.2602039896719717E-2</c:v>
                </c:pt>
                <c:pt idx="1839">
                  <c:v>2.259862694032222E-2</c:v>
                </c:pt>
                <c:pt idx="1840">
                  <c:v>2.2595282971700215E-2</c:v>
                </c:pt>
                <c:pt idx="1841">
                  <c:v>2.2592007990853702E-2</c:v>
                </c:pt>
                <c:pt idx="1842">
                  <c:v>2.2588801997782681E-2</c:v>
                </c:pt>
                <c:pt idx="1843">
                  <c:v>2.2585664992407217E-2</c:v>
                </c:pt>
                <c:pt idx="1844">
                  <c:v>2.2582596974727309E-2</c:v>
                </c:pt>
                <c:pt idx="1845">
                  <c:v>2.2579597944902829E-2</c:v>
                </c:pt>
                <c:pt idx="1846">
                  <c:v>2.2577259664506855E-2</c:v>
                </c:pt>
                <c:pt idx="1847">
                  <c:v>2.257441796456483E-2</c:v>
                </c:pt>
                <c:pt idx="1848">
                  <c:v>2.2571645261004747E-2</c:v>
                </c:pt>
                <c:pt idx="1849">
                  <c:v>2.2568941553933186E-2</c:v>
                </c:pt>
                <c:pt idx="1850">
                  <c:v>2.2566306843243567E-2</c:v>
                </c:pt>
                <c:pt idx="1851">
                  <c:v>2.2563741128989179E-2</c:v>
                </c:pt>
                <c:pt idx="1852">
                  <c:v>2.2561244411170023E-2</c:v>
                </c:pt>
                <c:pt idx="1853">
                  <c:v>2.2558816689732808E-2</c:v>
                </c:pt>
                <c:pt idx="1854">
                  <c:v>2.2556457964730825E-2</c:v>
                </c:pt>
                <c:pt idx="1855">
                  <c:v>2.2554168236137428E-2</c:v>
                </c:pt>
                <c:pt idx="1856">
                  <c:v>2.2551947503899328E-2</c:v>
                </c:pt>
                <c:pt idx="1857">
                  <c:v>2.2549795768043168E-2</c:v>
                </c:pt>
                <c:pt idx="1858">
                  <c:v>2.2547713028648886E-2</c:v>
                </c:pt>
                <c:pt idx="1859">
                  <c:v>2.2545699285609899E-2</c:v>
                </c:pt>
                <c:pt idx="1860">
                  <c:v>2.2541530252544462E-2</c:v>
                </c:pt>
                <c:pt idx="1861">
                  <c:v>2.2539684303310992E-2</c:v>
                </c:pt>
                <c:pt idx="1862">
                  <c:v>2.2537907341773078E-2</c:v>
                </c:pt>
                <c:pt idx="1863">
                  <c:v>2.2536199368010656E-2</c:v>
                </c:pt>
                <c:pt idx="1864">
                  <c:v>2.2534560381863855E-2</c:v>
                </c:pt>
                <c:pt idx="1865">
                  <c:v>2.2532990383492546E-2</c:v>
                </c:pt>
                <c:pt idx="1866">
                  <c:v>2.2531489372816793E-2</c:v>
                </c:pt>
                <c:pt idx="1867">
                  <c:v>2.2530057349916532E-2</c:v>
                </c:pt>
                <c:pt idx="1868">
                  <c:v>2.2528694314711828E-2</c:v>
                </c:pt>
                <c:pt idx="1869">
                  <c:v>2.2527400267122744E-2</c:v>
                </c:pt>
                <c:pt idx="1870">
                  <c:v>2.2526175207309151E-2</c:v>
                </c:pt>
                <c:pt idx="1871">
                  <c:v>2.2525019135271052E-2</c:v>
                </c:pt>
                <c:pt idx="1872">
                  <c:v>2.2523932050848572E-2</c:v>
                </c:pt>
                <c:pt idx="1873">
                  <c:v>2.252291395428152E-2</c:v>
                </c:pt>
                <c:pt idx="1874">
                  <c:v>2.2521964845170217E-2</c:v>
                </c:pt>
                <c:pt idx="1875">
                  <c:v>2.2521084723914342E-2</c:v>
                </c:pt>
                <c:pt idx="1876">
                  <c:v>2.2520273590433959E-2</c:v>
                </c:pt>
                <c:pt idx="1877">
                  <c:v>2.2519531444649132E-2</c:v>
                </c:pt>
                <c:pt idx="1878">
                  <c:v>2.2518858286479926E-2</c:v>
                </c:pt>
                <c:pt idx="1879">
                  <c:v>2.2518254116086212E-2</c:v>
                </c:pt>
                <c:pt idx="1880">
                  <c:v>2.2517718933388053E-2</c:v>
                </c:pt>
                <c:pt idx="1881">
                  <c:v>2.2517252738305515E-2</c:v>
                </c:pt>
                <c:pt idx="1882">
                  <c:v>2.251685553099847E-2</c:v>
                </c:pt>
                <c:pt idx="1883">
                  <c:v>2.2516527311307044E-2</c:v>
                </c:pt>
                <c:pt idx="1884">
                  <c:v>2.2516268079471047E-2</c:v>
                </c:pt>
                <c:pt idx="1885">
                  <c:v>2.2516077835330606E-2</c:v>
                </c:pt>
                <c:pt idx="1886">
                  <c:v>2.2515956578805785E-2</c:v>
                </c:pt>
                <c:pt idx="1887">
                  <c:v>2.251590430997652E-2</c:v>
                </c:pt>
                <c:pt idx="1888">
                  <c:v>2.2515921028842811E-2</c:v>
                </c:pt>
                <c:pt idx="1889">
                  <c:v>2.2516006735644467E-2</c:v>
                </c:pt>
                <c:pt idx="1890">
                  <c:v>2.2516161429981807E-2</c:v>
                </c:pt>
                <c:pt idx="1891">
                  <c:v>2.2516385111934767E-2</c:v>
                </c:pt>
                <c:pt idx="1892">
                  <c:v>2.2516677781663219E-2</c:v>
                </c:pt>
                <c:pt idx="1893">
                  <c:v>2.2517039439167164E-2</c:v>
                </c:pt>
                <c:pt idx="1894">
                  <c:v>2.2517470084366664E-2</c:v>
                </c:pt>
                <c:pt idx="1895">
                  <c:v>2.2517969717261721E-2</c:v>
                </c:pt>
                <c:pt idx="1896">
                  <c:v>2.2518538337612526E-2</c:v>
                </c:pt>
                <c:pt idx="1897">
                  <c:v>2.2519175945978631E-2</c:v>
                </c:pt>
                <c:pt idx="1898">
                  <c:v>2.2519882541960357E-2</c:v>
                </c:pt>
                <c:pt idx="1899">
                  <c:v>2.2520658125717574E-2</c:v>
                </c:pt>
                <c:pt idx="1900">
                  <c:v>2.2521502697010476E-2</c:v>
                </c:pt>
                <c:pt idx="1901">
                  <c:v>2.2522416256158806E-2</c:v>
                </c:pt>
                <c:pt idx="1902">
                  <c:v>2.2523398803002692E-2</c:v>
                </c:pt>
                <c:pt idx="1903">
                  <c:v>2.2524450337542135E-2</c:v>
                </c:pt>
                <c:pt idx="1904">
                  <c:v>2.2525570859777133E-2</c:v>
                </c:pt>
                <c:pt idx="1905">
                  <c:v>2.2526760369707688E-2</c:v>
                </c:pt>
                <c:pt idx="1906">
                  <c:v>2.2528018867333799E-2</c:v>
                </c:pt>
                <c:pt idx="1907">
                  <c:v>2.2529346352735402E-2</c:v>
                </c:pt>
                <c:pt idx="1908">
                  <c:v>2.2530742825672689E-2</c:v>
                </c:pt>
                <c:pt idx="1909">
                  <c:v>2.2532208286625277E-2</c:v>
                </c:pt>
                <c:pt idx="1910">
                  <c:v>2.2533742735033613E-2</c:v>
                </c:pt>
                <c:pt idx="1911">
                  <c:v>2.2535346171297377E-2</c:v>
                </c:pt>
                <c:pt idx="1912">
                  <c:v>2.2537018595176761E-2</c:v>
                </c:pt>
                <c:pt idx="1913">
                  <c:v>2.2538760006911573E-2</c:v>
                </c:pt>
                <c:pt idx="1914">
                  <c:v>2.254057040618207E-2</c:v>
                </c:pt>
                <c:pt idx="1915">
                  <c:v>2.2542449793307995E-2</c:v>
                </c:pt>
                <c:pt idx="1916">
                  <c:v>2.2544398168209412E-2</c:v>
                </c:pt>
                <c:pt idx="1917">
                  <c:v>2.2546415530646513E-2</c:v>
                </c:pt>
                <c:pt idx="1918">
                  <c:v>2.2548501880939043E-2</c:v>
                </c:pt>
                <c:pt idx="1919">
                  <c:v>2.2550657219007064E-2</c:v>
                </c:pt>
                <c:pt idx="1920">
                  <c:v>2.2552881544690706E-2</c:v>
                </c:pt>
                <c:pt idx="1921">
                  <c:v>2.2555174858069904E-2</c:v>
                </c:pt>
                <c:pt idx="1922">
                  <c:v>2.2557537159224594E-2</c:v>
                </c:pt>
                <c:pt idx="1923">
                  <c:v>2.2559968448154777E-2</c:v>
                </c:pt>
                <c:pt idx="1924">
                  <c:v>2.2562468724780516E-2</c:v>
                </c:pt>
                <c:pt idx="1925">
                  <c:v>2.256503798910181E-2</c:v>
                </c:pt>
                <c:pt idx="1926">
                  <c:v>2.2567676241198598E-2</c:v>
                </c:pt>
                <c:pt idx="1927">
                  <c:v>2.2570383480990941E-2</c:v>
                </c:pt>
                <c:pt idx="1928">
                  <c:v>2.2573159708558777E-2</c:v>
                </c:pt>
                <c:pt idx="1929">
                  <c:v>2.2576004923822168E-2</c:v>
                </c:pt>
                <c:pt idx="1930">
                  <c:v>2.2578919126861052E-2</c:v>
                </c:pt>
                <c:pt idx="1931">
                  <c:v>2.2581902317595492E-2</c:v>
                </c:pt>
                <c:pt idx="1932">
                  <c:v>2.2584954496105425E-2</c:v>
                </c:pt>
                <c:pt idx="1933">
                  <c:v>2.258807566239085E-2</c:v>
                </c:pt>
                <c:pt idx="1934">
                  <c:v>2.2591265816451767E-2</c:v>
                </c:pt>
                <c:pt idx="1935">
                  <c:v>2.2594524958128304E-2</c:v>
                </c:pt>
                <c:pt idx="1936">
                  <c:v>2.2597853087740205E-2</c:v>
                </c:pt>
                <c:pt idx="1937">
                  <c:v>2.2601250204967727E-2</c:v>
                </c:pt>
                <c:pt idx="1938">
                  <c:v>2.2604716309890804E-2</c:v>
                </c:pt>
                <c:pt idx="1939">
                  <c:v>2.260825140266931E-2</c:v>
                </c:pt>
                <c:pt idx="1940">
                  <c:v>2.2611855483143373E-2</c:v>
                </c:pt>
                <c:pt idx="1941">
                  <c:v>2.2615528551552799E-2</c:v>
                </c:pt>
                <c:pt idx="1942">
                  <c:v>2.2619270607577846E-2</c:v>
                </c:pt>
                <c:pt idx="1943">
                  <c:v>2.2623081651378385E-2</c:v>
                </c:pt>
                <c:pt idx="1944">
                  <c:v>2.2626961682954416E-2</c:v>
                </c:pt>
                <c:pt idx="1945">
                  <c:v>2.263091070230594E-2</c:v>
                </c:pt>
                <c:pt idx="1946">
                  <c:v>2.2634928709512891E-2</c:v>
                </c:pt>
                <c:pt idx="1947">
                  <c:v>2.2639015704415399E-2</c:v>
                </c:pt>
                <c:pt idx="1948">
                  <c:v>2.2643171687013464E-2</c:v>
                </c:pt>
                <c:pt idx="1949">
                  <c:v>2.2647396657546892E-2</c:v>
                </c:pt>
                <c:pt idx="1950">
                  <c:v>2.2651690615616005E-2</c:v>
                </c:pt>
                <c:pt idx="1951">
                  <c:v>2.2656053561620482E-2</c:v>
                </c:pt>
                <c:pt idx="1952">
                  <c:v>2.2660485495480387E-2</c:v>
                </c:pt>
                <c:pt idx="1953">
                  <c:v>2.2664986417035848E-2</c:v>
                </c:pt>
                <c:pt idx="1954">
                  <c:v>2.2669556326446738E-2</c:v>
                </c:pt>
                <c:pt idx="1955">
                  <c:v>2.267419522363312E-2</c:v>
                </c:pt>
                <c:pt idx="1956">
                  <c:v>2.267890310867493E-2</c:v>
                </c:pt>
                <c:pt idx="1957">
                  <c:v>2.2683679981332361E-2</c:v>
                </c:pt>
                <c:pt idx="1958">
                  <c:v>2.2688525842005092E-2</c:v>
                </c:pt>
                <c:pt idx="1959">
                  <c:v>2.2693440690293443E-2</c:v>
                </c:pt>
                <c:pt idx="1960">
                  <c:v>2.2698424526437222E-2</c:v>
                </c:pt>
                <c:pt idx="1961">
                  <c:v>2.2703477350356494E-2</c:v>
                </c:pt>
                <c:pt idx="1962">
                  <c:v>2.2708599162211129E-2</c:v>
                </c:pt>
                <c:pt idx="1963">
                  <c:v>2.2713789961921194E-2</c:v>
                </c:pt>
                <c:pt idx="1964">
                  <c:v>2.2719049749326814E-2</c:v>
                </c:pt>
                <c:pt idx="1965">
                  <c:v>2.2724378524507927E-2</c:v>
                </c:pt>
                <c:pt idx="1966">
                  <c:v>2.2729776287544468E-2</c:v>
                </c:pt>
                <c:pt idx="1967">
                  <c:v>2.2735243038516373E-2</c:v>
                </c:pt>
                <c:pt idx="1968">
                  <c:v>2.274077877726377E-2</c:v>
                </c:pt>
                <c:pt idx="1969">
                  <c:v>2.2746383503946532E-2</c:v>
                </c:pt>
                <c:pt idx="1970">
                  <c:v>2.2752057218244914E-2</c:v>
                </c:pt>
                <c:pt idx="1971">
                  <c:v>2.2757799920478661E-2</c:v>
                </c:pt>
                <c:pt idx="1972">
                  <c:v>2.2763611610567835E-2</c:v>
                </c:pt>
                <c:pt idx="1973">
                  <c:v>2.2769464403058493E-2</c:v>
                </c:pt>
                <c:pt idx="1974">
                  <c:v>2.2775298237034391E-2</c:v>
                </c:pt>
                <c:pt idx="1975">
                  <c:v>2.2781110967331486E-2</c:v>
                </c:pt>
                <c:pt idx="1976">
                  <c:v>2.278690259426952E-2</c:v>
                </c:pt>
                <c:pt idx="1977">
                  <c:v>2.2792673117448814E-2</c:v>
                </c:pt>
                <c:pt idx="1978">
                  <c:v>2.2798422537029239E-2</c:v>
                </c:pt>
                <c:pt idx="1979">
                  <c:v>2.2804150853170668E-2</c:v>
                </c:pt>
                <c:pt idx="1980">
                  <c:v>2.2809858065633293E-2</c:v>
                </c:pt>
                <c:pt idx="1981">
                  <c:v>2.2815544174497049E-2</c:v>
                </c:pt>
                <c:pt idx="1982">
                  <c:v>2.2821209179761937E-2</c:v>
                </c:pt>
                <c:pt idx="1983">
                  <c:v>2.2826853081587828E-2</c:v>
                </c:pt>
                <c:pt idx="1984">
                  <c:v>2.2832475879654979E-2</c:v>
                </c:pt>
                <c:pt idx="1985">
                  <c:v>2.2838077574203197E-2</c:v>
                </c:pt>
                <c:pt idx="1986">
                  <c:v>2.2843658165072611E-2</c:v>
                </c:pt>
                <c:pt idx="1987">
                  <c:v>2.2849217652343157E-2</c:v>
                </c:pt>
                <c:pt idx="1988">
                  <c:v>2.2854756036174706E-2</c:v>
                </c:pt>
                <c:pt idx="1989">
                  <c:v>2.2860273316407387E-2</c:v>
                </c:pt>
                <c:pt idx="1990">
                  <c:v>2.2865769492961263E-2</c:v>
                </c:pt>
                <c:pt idx="1991">
                  <c:v>2.2871244565916271E-2</c:v>
                </c:pt>
                <c:pt idx="1992">
                  <c:v>2.2876698535352347E-2</c:v>
                </c:pt>
                <c:pt idx="1993">
                  <c:v>2.2882131401029682E-2</c:v>
                </c:pt>
                <c:pt idx="1994">
                  <c:v>2.288754316326802E-2</c:v>
                </c:pt>
                <c:pt idx="1995">
                  <c:v>2.2892933821827555E-2</c:v>
                </c:pt>
                <c:pt idx="1996">
                  <c:v>2.2898303376868157E-2</c:v>
                </c:pt>
                <c:pt idx="1997">
                  <c:v>2.2903651828229954E-2</c:v>
                </c:pt>
                <c:pt idx="1998">
                  <c:v>2.2908979176072819E-2</c:v>
                </c:pt>
                <c:pt idx="1999">
                  <c:v>2.2914285420156943E-2</c:v>
                </c:pt>
                <c:pt idx="2000">
                  <c:v>2.2919570560802072E-2</c:v>
                </c:pt>
                <c:pt idx="2001">
                  <c:v>2.2924834597688459E-2</c:v>
                </c:pt>
                <c:pt idx="2002">
                  <c:v>2.2930077531135851E-2</c:v>
                </c:pt>
                <c:pt idx="2003">
                  <c:v>2.2935299360904438E-2</c:v>
                </c:pt>
                <c:pt idx="2004">
                  <c:v>2.2940500087074156E-2</c:v>
                </c:pt>
                <c:pt idx="2005">
                  <c:v>2.2945679709645006E-2</c:v>
                </c:pt>
                <c:pt idx="2006">
                  <c:v>2.2950838228537052E-2</c:v>
                </c:pt>
                <c:pt idx="2007">
                  <c:v>2.2955975643990101E-2</c:v>
                </c:pt>
                <c:pt idx="2008">
                  <c:v>2.2961091955604473E-2</c:v>
                </c:pt>
                <c:pt idx="2009">
                  <c:v>2.2966187163699914E-2</c:v>
                </c:pt>
                <c:pt idx="2010">
                  <c:v>2.297126126811655E-2</c:v>
                </c:pt>
                <c:pt idx="2011">
                  <c:v>2.2976314269014253E-2</c:v>
                </c:pt>
                <c:pt idx="2012">
                  <c:v>2.2981346166393024E-2</c:v>
                </c:pt>
                <c:pt idx="2013">
                  <c:v>2.2986356960013055E-2</c:v>
                </c:pt>
                <c:pt idx="2014">
                  <c:v>2.2991346650114153E-2</c:v>
                </c:pt>
                <c:pt idx="2015">
                  <c:v>2.2996315236376574E-2</c:v>
                </c:pt>
                <c:pt idx="2016">
                  <c:v>2.30012627192E-2</c:v>
                </c:pt>
                <c:pt idx="2017">
                  <c:v>2.3006189098424557E-2</c:v>
                </c:pt>
                <c:pt idx="2018">
                  <c:v>2.3011094373970309E-2</c:v>
                </c:pt>
                <c:pt idx="2019">
                  <c:v>2.3015978545917193E-2</c:v>
                </c:pt>
                <c:pt idx="2020">
                  <c:v>2.3020841614185272E-2</c:v>
                </c:pt>
                <c:pt idx="2021">
                  <c:v>2.3025683579014355E-2</c:v>
                </c:pt>
                <c:pt idx="2022">
                  <c:v>2.3030504440084698E-2</c:v>
                </c:pt>
                <c:pt idx="2023">
                  <c:v>2.3035304197556172E-2</c:v>
                </c:pt>
                <c:pt idx="2024">
                  <c:v>2.3040082851268906E-2</c:v>
                </c:pt>
                <c:pt idx="2025">
                  <c:v>2.3044840401462707E-2</c:v>
                </c:pt>
                <c:pt idx="2026">
                  <c:v>2.3049576848137576E-2</c:v>
                </c:pt>
                <c:pt idx="2027">
                  <c:v>2.3054292191053705E-2</c:v>
                </c:pt>
                <c:pt idx="2028">
                  <c:v>2.3058986430370965E-2</c:v>
                </c:pt>
                <c:pt idx="2029">
                  <c:v>2.306365956600942E-2</c:v>
                </c:pt>
                <c:pt idx="2030">
                  <c:v>2.3068311598128943E-2</c:v>
                </c:pt>
                <c:pt idx="2031">
                  <c:v>2.3072942526489726E-2</c:v>
                </c:pt>
                <c:pt idx="2032">
                  <c:v>2.3077552351331576E-2</c:v>
                </c:pt>
                <c:pt idx="2033">
                  <c:v>2.3082141072494622E-2</c:v>
                </c:pt>
                <c:pt idx="2034">
                  <c:v>2.3086708690058799E-2</c:v>
                </c:pt>
                <c:pt idx="2035">
                  <c:v>2.3091255203864236E-2</c:v>
                </c:pt>
                <c:pt idx="2036">
                  <c:v>2.309578061415074E-2</c:v>
                </c:pt>
                <c:pt idx="2037">
                  <c:v>2.3100284920838376E-2</c:v>
                </c:pt>
                <c:pt idx="2038">
                  <c:v>2.3104768123767272E-2</c:v>
                </c:pt>
                <c:pt idx="2039">
                  <c:v>2.3109230223177235E-2</c:v>
                </c:pt>
                <c:pt idx="2040">
                  <c:v>2.3113671218908394E-2</c:v>
                </c:pt>
                <c:pt idx="2041">
                  <c:v>2.3118091111040684E-2</c:v>
                </c:pt>
                <c:pt idx="2042">
                  <c:v>2.3122489899414234E-2</c:v>
                </c:pt>
                <c:pt idx="2043">
                  <c:v>2.3126867584188915E-2</c:v>
                </c:pt>
                <c:pt idx="2044">
                  <c:v>2.3131224165364728E-2</c:v>
                </c:pt>
                <c:pt idx="2045">
                  <c:v>2.3135559642861736E-2</c:v>
                </c:pt>
                <c:pt idx="2046">
                  <c:v>2.313987401667994E-2</c:v>
                </c:pt>
                <c:pt idx="2047">
                  <c:v>2.3144167286979211E-2</c:v>
                </c:pt>
                <c:pt idx="2048">
                  <c:v>2.3148439453599678E-2</c:v>
                </c:pt>
                <c:pt idx="2049">
                  <c:v>2.3152690516541341E-2</c:v>
                </c:pt>
                <c:pt idx="2050">
                  <c:v>2.3156920475884135E-2</c:v>
                </c:pt>
                <c:pt idx="2051">
                  <c:v>2.3161129331468189E-2</c:v>
                </c:pt>
                <c:pt idx="2052">
                  <c:v>2.316531708353331E-2</c:v>
                </c:pt>
                <c:pt idx="2053">
                  <c:v>2.3169483731839691E-2</c:v>
                </c:pt>
                <c:pt idx="2054">
                  <c:v>2.3174219774517724E-2</c:v>
                </c:pt>
                <c:pt idx="2055">
                  <c:v>2.3178341200758013E-2</c:v>
                </c:pt>
                <c:pt idx="2056">
                  <c:v>2.3182441523399433E-2</c:v>
                </c:pt>
                <c:pt idx="2057">
                  <c:v>2.3186520742282113E-2</c:v>
                </c:pt>
                <c:pt idx="2058">
                  <c:v>2.3190578857565924E-2</c:v>
                </c:pt>
                <c:pt idx="2059">
                  <c:v>2.3194615869250867E-2</c:v>
                </c:pt>
                <c:pt idx="2060">
                  <c:v>2.3198631777257006E-2</c:v>
                </c:pt>
                <c:pt idx="2061">
                  <c:v>2.320262658158434E-2</c:v>
                </c:pt>
                <c:pt idx="2062">
                  <c:v>2.3206600282312806E-2</c:v>
                </c:pt>
                <c:pt idx="2063">
                  <c:v>2.3210552879362467E-2</c:v>
                </c:pt>
                <c:pt idx="2064">
                  <c:v>2.3214484372733324E-2</c:v>
                </c:pt>
                <c:pt idx="2065">
                  <c:v>2.321839476234544E-2</c:v>
                </c:pt>
                <c:pt idx="2066">
                  <c:v>2.3222284048598496E-2</c:v>
                </c:pt>
                <c:pt idx="2067">
                  <c:v>2.3226152230853003E-2</c:v>
                </c:pt>
                <c:pt idx="2068">
                  <c:v>2.3229999309668514E-2</c:v>
                </c:pt>
                <c:pt idx="2069">
                  <c:v>2.3233825284725285E-2</c:v>
                </c:pt>
                <c:pt idx="2070">
                  <c:v>2.3237630156183187E-2</c:v>
                </c:pt>
                <c:pt idx="2071">
                  <c:v>2.3241413923962284E-2</c:v>
                </c:pt>
                <c:pt idx="2072">
                  <c:v>2.3245176588062577E-2</c:v>
                </c:pt>
                <c:pt idx="2073">
                  <c:v>2.3248918148564002E-2</c:v>
                </c:pt>
                <c:pt idx="2074">
                  <c:v>2.3252638605306686E-2</c:v>
                </c:pt>
                <c:pt idx="2075">
                  <c:v>2.3256337958450501E-2</c:v>
                </c:pt>
                <c:pt idx="2076">
                  <c:v>2.3260016207915513E-2</c:v>
                </c:pt>
                <c:pt idx="2077">
                  <c:v>2.3263673353701719E-2</c:v>
                </c:pt>
                <c:pt idx="2078">
                  <c:v>2.3267309395809121E-2</c:v>
                </c:pt>
                <c:pt idx="2079">
                  <c:v>2.3270924334317655E-2</c:v>
                </c:pt>
                <c:pt idx="2080">
                  <c:v>2.3274518168987512E-2</c:v>
                </c:pt>
                <c:pt idx="2081">
                  <c:v>2.3278090900138437E-2</c:v>
                </c:pt>
                <c:pt idx="2082">
                  <c:v>2.3281642527690494E-2</c:v>
                </c:pt>
                <c:pt idx="2083">
                  <c:v>2.328517305148381E-2</c:v>
                </c:pt>
                <c:pt idx="2084">
                  <c:v>2.3288682471518385E-2</c:v>
                </c:pt>
                <c:pt idx="2085">
                  <c:v>2.3292170788113964E-2</c:v>
                </c:pt>
                <c:pt idx="2086">
                  <c:v>2.3295638000870866E-2</c:v>
                </c:pt>
                <c:pt idx="2087">
                  <c:v>2.3299084109869028E-2</c:v>
                </c:pt>
                <c:pt idx="2088">
                  <c:v>2.3302509115348258E-2</c:v>
                </c:pt>
                <c:pt idx="2089">
                  <c:v>2.3305913017148683E-2</c:v>
                </c:pt>
                <c:pt idx="2090">
                  <c:v>2.3309295815270303E-2</c:v>
                </c:pt>
                <c:pt idx="2091">
                  <c:v>2.3312657509633183E-2</c:v>
                </c:pt>
                <c:pt idx="2092">
                  <c:v>2.3315998100477131E-2</c:v>
                </c:pt>
                <c:pt idx="2093">
                  <c:v>2.3319317587642274E-2</c:v>
                </c:pt>
                <c:pt idx="2094">
                  <c:v>2.3322615970968741E-2</c:v>
                </c:pt>
                <c:pt idx="2095">
                  <c:v>2.3325893250696339E-2</c:v>
                </c:pt>
                <c:pt idx="2096">
                  <c:v>2.3329149426825069E-2</c:v>
                </c:pt>
                <c:pt idx="2097">
                  <c:v>2.3332384499195058E-2</c:v>
                </c:pt>
                <c:pt idx="2098">
                  <c:v>2.3335598467806307E-2</c:v>
                </c:pt>
                <c:pt idx="2099">
                  <c:v>2.3338791332818687E-2</c:v>
                </c:pt>
                <c:pt idx="2100">
                  <c:v>2.3341963094232199E-2</c:v>
                </c:pt>
                <c:pt idx="2101">
                  <c:v>2.334511375188697E-2</c:v>
                </c:pt>
                <c:pt idx="2102">
                  <c:v>2.3348243305783001E-2</c:v>
                </c:pt>
                <c:pt idx="2103">
                  <c:v>2.3351351756160099E-2</c:v>
                </c:pt>
                <c:pt idx="2104">
                  <c:v>2.3354439102858393E-2</c:v>
                </c:pt>
                <c:pt idx="2105">
                  <c:v>2.335750534571801E-2</c:v>
                </c:pt>
                <c:pt idx="2106">
                  <c:v>2.3360983782216849E-2</c:v>
                </c:pt>
                <c:pt idx="2107">
                  <c:v>2.3364004802930438E-2</c:v>
                </c:pt>
                <c:pt idx="2108">
                  <c:v>2.3367004720045159E-2</c:v>
                </c:pt>
                <c:pt idx="2109">
                  <c:v>2.3369983533481076E-2</c:v>
                </c:pt>
                <c:pt idx="2110">
                  <c:v>2.3372941243078316E-2</c:v>
                </c:pt>
                <c:pt idx="2111">
                  <c:v>2.3375877849156623E-2</c:v>
                </c:pt>
                <c:pt idx="2112">
                  <c:v>2.3378793351556126E-2</c:v>
                </c:pt>
                <c:pt idx="2113">
                  <c:v>2.3381687750276825E-2</c:v>
                </c:pt>
                <c:pt idx="2114">
                  <c:v>2.3384561045158847E-2</c:v>
                </c:pt>
                <c:pt idx="2115">
                  <c:v>2.3387413236521937E-2</c:v>
                </c:pt>
                <c:pt idx="2116">
                  <c:v>2.3390244324126286E-2</c:v>
                </c:pt>
                <c:pt idx="2117">
                  <c:v>2.3393054308051831E-2</c:v>
                </c:pt>
                <c:pt idx="2118">
                  <c:v>2.3395843188218635E-2</c:v>
                </c:pt>
                <c:pt idx="2119">
                  <c:v>2.339861096478657E-2</c:v>
                </c:pt>
                <c:pt idx="2120">
                  <c:v>2.3401357637675702E-2</c:v>
                </c:pt>
                <c:pt idx="2121">
                  <c:v>2.3407901095019668E-2</c:v>
                </c:pt>
                <c:pt idx="2122">
                  <c:v>2.3406787672337614E-2</c:v>
                </c:pt>
                <c:pt idx="2123">
                  <c:v>2.3409471034190332E-2</c:v>
                </c:pt>
                <c:pt idx="2124">
                  <c:v>2.3412133292204373E-2</c:v>
                </c:pt>
                <c:pt idx="2125">
                  <c:v>2.3414774446619546E-2</c:v>
                </c:pt>
                <c:pt idx="2126">
                  <c:v>2.3417394497355914E-2</c:v>
                </c:pt>
                <c:pt idx="2127">
                  <c:v>2.3419993444413478E-2</c:v>
                </c:pt>
                <c:pt idx="2128">
                  <c:v>2.3422571287712302E-2</c:v>
                </c:pt>
                <c:pt idx="2129">
                  <c:v>2.342512802733232E-2</c:v>
                </c:pt>
                <c:pt idx="2130">
                  <c:v>2.3427663663353471E-2</c:v>
                </c:pt>
                <c:pt idx="2131">
                  <c:v>2.3430178195615881E-2</c:v>
                </c:pt>
                <c:pt idx="2132">
                  <c:v>2.343267162411955E-2</c:v>
                </c:pt>
                <c:pt idx="2133">
                  <c:v>2.3435143948944415E-2</c:v>
                </c:pt>
                <c:pt idx="2134">
                  <c:v>2.3437595170170411E-2</c:v>
                </c:pt>
                <c:pt idx="2135">
                  <c:v>2.3440025287637667E-2</c:v>
                </c:pt>
                <c:pt idx="2136">
                  <c:v>2.3442434301346182E-2</c:v>
                </c:pt>
                <c:pt idx="2137">
                  <c:v>2.3444822211535765E-2</c:v>
                </c:pt>
                <c:pt idx="2138">
                  <c:v>2.3447189017886672E-2</c:v>
                </c:pt>
                <c:pt idx="2139">
                  <c:v>2.3449534720478837E-2</c:v>
                </c:pt>
                <c:pt idx="2140">
                  <c:v>2.3451859319552071E-2</c:v>
                </c:pt>
                <c:pt idx="2141">
                  <c:v>2.3454162814866564E-2</c:v>
                </c:pt>
                <c:pt idx="2142">
                  <c:v>2.3456445206502252E-2</c:v>
                </c:pt>
                <c:pt idx="2143">
                  <c:v>2.3458706494299264E-2</c:v>
                </c:pt>
                <c:pt idx="2144">
                  <c:v>2.3460946678577344E-2</c:v>
                </c:pt>
                <c:pt idx="2145">
                  <c:v>2.3463165759016746E-2</c:v>
                </c:pt>
                <c:pt idx="2146">
                  <c:v>2.3465363735857281E-2</c:v>
                </c:pt>
                <c:pt idx="2147">
                  <c:v>2.3467540608939075E-2</c:v>
                </c:pt>
                <c:pt idx="2148">
                  <c:v>2.3469696378422E-2</c:v>
                </c:pt>
                <c:pt idx="2149">
                  <c:v>2.3471831043986313E-2</c:v>
                </c:pt>
                <c:pt idx="2150">
                  <c:v>2.3473944605951758E-2</c:v>
                </c:pt>
                <c:pt idx="2151">
                  <c:v>2.3476037064238398E-2</c:v>
                </c:pt>
                <c:pt idx="2152">
                  <c:v>2.3478108418926169E-2</c:v>
                </c:pt>
                <c:pt idx="2153">
                  <c:v>2.3480158669775264E-2</c:v>
                </c:pt>
                <c:pt idx="2154">
                  <c:v>2.3482187816945554E-2</c:v>
                </c:pt>
                <c:pt idx="2155">
                  <c:v>2.348419586043704E-2</c:v>
                </c:pt>
                <c:pt idx="2156">
                  <c:v>2.3486182800249722E-2</c:v>
                </c:pt>
                <c:pt idx="2157">
                  <c:v>2.3488148636303663E-2</c:v>
                </c:pt>
                <c:pt idx="2158">
                  <c:v>2.3492177826751615E-2</c:v>
                </c:pt>
                <c:pt idx="2159">
                  <c:v>2.349409567607097E-2</c:v>
                </c:pt>
                <c:pt idx="2160">
                  <c:v>2.3495992418913758E-2</c:v>
                </c:pt>
                <c:pt idx="2161">
                  <c:v>2.3497868055359916E-2</c:v>
                </c:pt>
                <c:pt idx="2162">
                  <c:v>2.3499722585329508E-2</c:v>
                </c:pt>
                <c:pt idx="2163">
                  <c:v>2.3501556008875824E-2</c:v>
                </c:pt>
                <c:pt idx="2164">
                  <c:v>2.3503368325972218E-2</c:v>
                </c:pt>
                <c:pt idx="2165">
                  <c:v>2.3505159536645337E-2</c:v>
                </c:pt>
                <c:pt idx="2166">
                  <c:v>2.3506929640815244E-2</c:v>
                </c:pt>
                <c:pt idx="2167">
                  <c:v>2.3508678638615166E-2</c:v>
                </c:pt>
                <c:pt idx="2168">
                  <c:v>2.3510406529911876E-2</c:v>
                </c:pt>
                <c:pt idx="2169">
                  <c:v>2.351211331478531E-2</c:v>
                </c:pt>
                <c:pt idx="2170">
                  <c:v>2.3513798993208823E-2</c:v>
                </c:pt>
                <c:pt idx="2171">
                  <c:v>2.3515463565182415E-2</c:v>
                </c:pt>
                <c:pt idx="2172">
                  <c:v>2.3516268869485657E-2</c:v>
                </c:pt>
                <c:pt idx="2173">
                  <c:v>2.3517881972257015E-2</c:v>
                </c:pt>
                <c:pt idx="2174">
                  <c:v>2.3519473971189697E-2</c:v>
                </c:pt>
                <c:pt idx="2175">
                  <c:v>2.3521044866443575E-2</c:v>
                </c:pt>
                <c:pt idx="2176">
                  <c:v>2.3522594658018647E-2</c:v>
                </c:pt>
                <c:pt idx="2177">
                  <c:v>2.3524123345914916E-2</c:v>
                </c:pt>
                <c:pt idx="2178">
                  <c:v>2.3525630930052444E-2</c:v>
                </c:pt>
                <c:pt idx="2179">
                  <c:v>2.3527117410351295E-2</c:v>
                </c:pt>
                <c:pt idx="2180">
                  <c:v>2.3528582787131214E-2</c:v>
                </c:pt>
                <c:pt idx="2181">
                  <c:v>2.3530027060152392E-2</c:v>
                </c:pt>
                <c:pt idx="2182">
                  <c:v>2.353145022941483E-2</c:v>
                </c:pt>
                <c:pt idx="2183">
                  <c:v>2.3532852294918527E-2</c:v>
                </c:pt>
                <c:pt idx="2184">
                  <c:v>2.3534233256903292E-2</c:v>
                </c:pt>
                <c:pt idx="2185">
                  <c:v>2.353559311504938E-2</c:v>
                </c:pt>
                <c:pt idx="2186">
                  <c:v>2.3536931869436728E-2</c:v>
                </c:pt>
                <c:pt idx="2187">
                  <c:v>2.3538249520145271E-2</c:v>
                </c:pt>
                <c:pt idx="2188">
                  <c:v>2.3539546067254946E-2</c:v>
                </c:pt>
                <c:pt idx="2189">
                  <c:v>2.3540821510525944E-2</c:v>
                </c:pt>
                <c:pt idx="2190">
                  <c:v>2.3542075850038202E-2</c:v>
                </c:pt>
                <c:pt idx="2191">
                  <c:v>2.3543309085951591E-2</c:v>
                </c:pt>
                <c:pt idx="2192">
                  <c:v>2.354452121810624E-2</c:v>
                </c:pt>
                <c:pt idx="2193">
                  <c:v>2.3545712246502148E-2</c:v>
                </c:pt>
                <c:pt idx="2194">
                  <c:v>2.3546882171219252E-2</c:v>
                </c:pt>
                <c:pt idx="2195">
                  <c:v>2.3548030992337488E-2</c:v>
                </c:pt>
                <c:pt idx="2196">
                  <c:v>2.3549158709617046E-2</c:v>
                </c:pt>
                <c:pt idx="2197">
                  <c:v>2.3550265323137864E-2</c:v>
                </c:pt>
                <c:pt idx="2198">
                  <c:v>2.3551350833059814E-2</c:v>
                </c:pt>
                <c:pt idx="2199">
                  <c:v>2.355241523930296E-2</c:v>
                </c:pt>
                <c:pt idx="2200">
                  <c:v>2.3553458541707428E-2</c:v>
                </c:pt>
                <c:pt idx="2201">
                  <c:v>2.3554480740353156E-2</c:v>
                </c:pt>
                <c:pt idx="2202">
                  <c:v>2.3555481835400016E-2</c:v>
                </c:pt>
                <c:pt idx="2203">
                  <c:v>2.3556461826688135E-2</c:v>
                </c:pt>
                <c:pt idx="2204">
                  <c:v>2.3557420714217514E-2</c:v>
                </c:pt>
                <c:pt idx="2205">
                  <c:v>2.3558358498068088E-2</c:v>
                </c:pt>
                <c:pt idx="2206">
                  <c:v>2.3559275178239858E-2</c:v>
                </c:pt>
                <c:pt idx="2207">
                  <c:v>2.3560170754652887E-2</c:v>
                </c:pt>
                <c:pt idx="2208">
                  <c:v>2.3561045227307176E-2</c:v>
                </c:pt>
                <c:pt idx="2209">
                  <c:v>2.3561898596362596E-2</c:v>
                </c:pt>
                <c:pt idx="2210">
                  <c:v>2.3562730861659276E-2</c:v>
                </c:pt>
                <c:pt idx="2211">
                  <c:v>2.3563542023117279E-2</c:v>
                </c:pt>
                <c:pt idx="2212">
                  <c:v>2.3564332080976413E-2</c:v>
                </c:pt>
                <c:pt idx="2213">
                  <c:v>2.3565101035156744E-2</c:v>
                </c:pt>
                <c:pt idx="2214">
                  <c:v>2.3565848885578333E-2</c:v>
                </c:pt>
                <c:pt idx="2215">
                  <c:v>2.3566575632161246E-2</c:v>
                </c:pt>
                <c:pt idx="2216">
                  <c:v>2.3567281275225227E-2</c:v>
                </c:pt>
                <c:pt idx="2217">
                  <c:v>2.3567965814450531E-2</c:v>
                </c:pt>
                <c:pt idx="2218">
                  <c:v>2.3568629249997031E-2</c:v>
                </c:pt>
                <c:pt idx="2219">
                  <c:v>2.3569271581704854E-2</c:v>
                </c:pt>
                <c:pt idx="2220">
                  <c:v>2.3569892809893744E-2</c:v>
                </c:pt>
                <c:pt idx="2221">
                  <c:v>2.3570492934323894E-2</c:v>
                </c:pt>
                <c:pt idx="2222">
                  <c:v>2.3571071954835432E-2</c:v>
                </c:pt>
                <c:pt idx="2223">
                  <c:v>2.3571629871748101E-2</c:v>
                </c:pt>
                <c:pt idx="2224">
                  <c:v>2.3572166685141838E-2</c:v>
                </c:pt>
                <c:pt idx="2225">
                  <c:v>2.3572682394537026E-2</c:v>
                </c:pt>
                <c:pt idx="2226">
                  <c:v>2.3573177000253409E-2</c:v>
                </c:pt>
                <c:pt idx="2227">
                  <c:v>2.3573650502370924E-2</c:v>
                </c:pt>
                <c:pt idx="2228">
                  <c:v>2.3574102900729699E-2</c:v>
                </c:pt>
                <c:pt idx="2229">
                  <c:v>2.3574534195329733E-2</c:v>
                </c:pt>
                <c:pt idx="2230">
                  <c:v>2.3574944386250962E-2</c:v>
                </c:pt>
                <c:pt idx="2231">
                  <c:v>2.3575333473493387E-2</c:v>
                </c:pt>
                <c:pt idx="2232">
                  <c:v>2.3575701456897136E-2</c:v>
                </c:pt>
                <c:pt idx="2233">
                  <c:v>2.3576048336542144E-2</c:v>
                </c:pt>
                <c:pt idx="2234">
                  <c:v>2.3576374112588283E-2</c:v>
                </c:pt>
                <c:pt idx="2235">
                  <c:v>2.3576678784955618E-2</c:v>
                </c:pt>
                <c:pt idx="2236">
                  <c:v>2.3576962353564213E-2</c:v>
                </c:pt>
                <c:pt idx="2237">
                  <c:v>2.357722481833413E-2</c:v>
                </c:pt>
                <c:pt idx="2238">
                  <c:v>2.3577466179585116E-2</c:v>
                </c:pt>
                <c:pt idx="2239">
                  <c:v>2.3577686436997425E-2</c:v>
                </c:pt>
                <c:pt idx="2240">
                  <c:v>2.3577885590571057E-2</c:v>
                </c:pt>
                <c:pt idx="2241">
                  <c:v>2.3578063640625757E-2</c:v>
                </c:pt>
                <c:pt idx="2242">
                  <c:v>2.3578220586921717E-2</c:v>
                </c:pt>
                <c:pt idx="2243">
                  <c:v>2.3578356429458935E-2</c:v>
                </c:pt>
                <c:pt idx="2244">
                  <c:v>2.3578471168237414E-2</c:v>
                </c:pt>
                <c:pt idx="2245">
                  <c:v>2.3578564803337088E-2</c:v>
                </c:pt>
                <c:pt idx="2246">
                  <c:v>2.3578637334757957E-2</c:v>
                </c:pt>
                <c:pt idx="2247">
                  <c:v>2.3578688762420086E-2</c:v>
                </c:pt>
                <c:pt idx="2248">
                  <c:v>2.3578719086243538E-2</c:v>
                </c:pt>
                <c:pt idx="2249">
                  <c:v>2.3578728306548058E-2</c:v>
                </c:pt>
                <c:pt idx="2250">
                  <c:v>2.3578716423093837E-2</c:v>
                </c:pt>
                <c:pt idx="2251">
                  <c:v>2.357868343580094E-2</c:v>
                </c:pt>
                <c:pt idx="2252">
                  <c:v>2.3578629344829238E-2</c:v>
                </c:pt>
                <c:pt idx="2253">
                  <c:v>2.3578554150178732E-2</c:v>
                </c:pt>
                <c:pt idx="2254">
                  <c:v>2.3578457851849421E-2</c:v>
                </c:pt>
                <c:pt idx="2255">
                  <c:v>2.3578340449601498E-2</c:v>
                </c:pt>
                <c:pt idx="2256">
                  <c:v>2.3578201943914578E-2</c:v>
                </c:pt>
                <c:pt idx="2257">
                  <c:v>2.3578042334388982E-2</c:v>
                </c:pt>
                <c:pt idx="2258">
                  <c:v>2.3577861621104645E-2</c:v>
                </c:pt>
                <c:pt idx="2259">
                  <c:v>2.3577659804061568E-2</c:v>
                </c:pt>
                <c:pt idx="2260">
                  <c:v>2.3577436883419622E-2</c:v>
                </c:pt>
                <c:pt idx="2261">
                  <c:v>2.3577192859018936E-2</c:v>
                </c:pt>
                <c:pt idx="2262">
                  <c:v>2.3576927730779573E-2</c:v>
                </c:pt>
                <c:pt idx="2263">
                  <c:v>2.3576641499021278E-2</c:v>
                </c:pt>
                <c:pt idx="2264">
                  <c:v>2.3576334163424306E-2</c:v>
                </c:pt>
                <c:pt idx="2265">
                  <c:v>2.3576005724068594E-2</c:v>
                </c:pt>
                <c:pt idx="2266">
                  <c:v>2.3575656181034077E-2</c:v>
                </c:pt>
                <c:pt idx="2267">
                  <c:v>2.3575285534320756E-2</c:v>
                </c:pt>
                <c:pt idx="2268">
                  <c:v>2.357489378392863E-2</c:v>
                </c:pt>
                <c:pt idx="2269">
                  <c:v>2.3574480929617891E-2</c:v>
                </c:pt>
                <c:pt idx="2270">
                  <c:v>2.3574046971708285E-2</c:v>
                </c:pt>
                <c:pt idx="2271">
                  <c:v>2.3573591910199809E-2</c:v>
                </c:pt>
                <c:pt idx="2272">
                  <c:v>2.3573115744772721E-2</c:v>
                </c:pt>
                <c:pt idx="2273">
                  <c:v>2.3572618475746765E-2</c:v>
                </c:pt>
                <c:pt idx="2274">
                  <c:v>2.3572100102962068E-2</c:v>
                </c:pt>
                <c:pt idx="2275">
                  <c:v>2.3571560626498567E-2</c:v>
                </c:pt>
                <c:pt idx="2276">
                  <c:v>2.3571000046276325E-2</c:v>
                </c:pt>
                <c:pt idx="2277">
                  <c:v>2.3570418362215406E-2</c:v>
                </c:pt>
                <c:pt idx="2278">
                  <c:v>2.3569815574635555E-2</c:v>
                </c:pt>
                <c:pt idx="2279">
                  <c:v>2.35691916833769E-2</c:v>
                </c:pt>
                <c:pt idx="2280">
                  <c:v>2.3568546688119696E-2</c:v>
                </c:pt>
                <c:pt idx="2281">
                  <c:v>2.3567880589343559E-2</c:v>
                </c:pt>
                <c:pt idx="2282">
                  <c:v>2.3567193386888619E-2</c:v>
                </c:pt>
                <c:pt idx="2283">
                  <c:v>2.3566485080595001E-2</c:v>
                </c:pt>
                <c:pt idx="2284">
                  <c:v>2.3565755670542643E-2</c:v>
                </c:pt>
                <c:pt idx="2285">
                  <c:v>2.3565005156971353E-2</c:v>
                </c:pt>
                <c:pt idx="2286">
                  <c:v>2.3564233539641322E-2</c:v>
                </c:pt>
                <c:pt idx="2287">
                  <c:v>2.3563440818392678E-2</c:v>
                </c:pt>
                <c:pt idx="2288">
                  <c:v>2.3562626993545166E-2</c:v>
                </c:pt>
                <c:pt idx="2289">
                  <c:v>2.3561792065018849E-2</c:v>
                </c:pt>
                <c:pt idx="2290">
                  <c:v>2.3560936032813729E-2</c:v>
                </c:pt>
                <c:pt idx="2291">
                  <c:v>2.3560058896769931E-2</c:v>
                </c:pt>
                <c:pt idx="2292">
                  <c:v>2.3559160657047329E-2</c:v>
                </c:pt>
                <c:pt idx="2293">
                  <c:v>2.3558241313645922E-2</c:v>
                </c:pt>
                <c:pt idx="2294">
                  <c:v>2.3557300866485775E-2</c:v>
                </c:pt>
                <c:pt idx="2295">
                  <c:v>2.3556339315566888E-2</c:v>
                </c:pt>
                <c:pt idx="2296">
                  <c:v>2.3555356661049132E-2</c:v>
                </c:pt>
                <c:pt idx="2297">
                  <c:v>2.3554352902772635E-2</c:v>
                </c:pt>
                <c:pt idx="2298">
                  <c:v>2.3553328040737398E-2</c:v>
                </c:pt>
                <c:pt idx="2299">
                  <c:v>2.3552282075023356E-2</c:v>
                </c:pt>
                <c:pt idx="2300">
                  <c:v>2.355121500563051E-2</c:v>
                </c:pt>
                <c:pt idx="2301">
                  <c:v>2.3550126832478924E-2</c:v>
                </c:pt>
                <c:pt idx="2302">
                  <c:v>2.3549017555568597E-2</c:v>
                </c:pt>
                <c:pt idx="2303">
                  <c:v>2.3547887175059401E-2</c:v>
                </c:pt>
                <c:pt idx="2304">
                  <c:v>2.3546735690711529E-2</c:v>
                </c:pt>
                <c:pt idx="2305">
                  <c:v>2.3545563102604916E-2</c:v>
                </c:pt>
                <c:pt idx="2306">
                  <c:v>2.3544369410899435E-2</c:v>
                </c:pt>
                <c:pt idx="2307">
                  <c:v>2.3543154615595085E-2</c:v>
                </c:pt>
                <c:pt idx="2308">
                  <c:v>2.3541918716372123E-2</c:v>
                </c:pt>
                <c:pt idx="2309">
                  <c:v>2.3540661713470357E-2</c:v>
                </c:pt>
                <c:pt idx="2310">
                  <c:v>2.3539383606889785E-2</c:v>
                </c:pt>
                <c:pt idx="2311">
                  <c:v>2.353808439663041E-2</c:v>
                </c:pt>
                <c:pt idx="2312">
                  <c:v>2.3536764082612294E-2</c:v>
                </c:pt>
                <c:pt idx="2313">
                  <c:v>2.3535422664835437E-2</c:v>
                </c:pt>
                <c:pt idx="2314">
                  <c:v>2.3534060143459712E-2</c:v>
                </c:pt>
                <c:pt idx="2315">
                  <c:v>2.3532676518325246E-2</c:v>
                </c:pt>
                <c:pt idx="2316">
                  <c:v>2.3531271789352104E-2</c:v>
                </c:pt>
                <c:pt idx="2317">
                  <c:v>2.3529845956780093E-2</c:v>
                </c:pt>
                <c:pt idx="2318">
                  <c:v>2.3528399020609214E-2</c:v>
                </c:pt>
                <c:pt idx="2319">
                  <c:v>2.3526930980599658E-2</c:v>
                </c:pt>
                <c:pt idx="2320">
                  <c:v>2.3525441836831362E-2</c:v>
                </c:pt>
                <c:pt idx="2321">
                  <c:v>2.3523931589464198E-2</c:v>
                </c:pt>
                <c:pt idx="2322">
                  <c:v>2.3522400238418228E-2</c:v>
                </c:pt>
                <c:pt idx="2323">
                  <c:v>2.3520847783453647E-2</c:v>
                </c:pt>
                <c:pt idx="2324">
                  <c:v>2.3519274224890196E-2</c:v>
                </c:pt>
                <c:pt idx="2325">
                  <c:v>2.3517679562727878E-2</c:v>
                </c:pt>
                <c:pt idx="2326">
                  <c:v>2.3516063796806819E-2</c:v>
                </c:pt>
                <c:pt idx="2327">
                  <c:v>2.3514426927047083E-2</c:v>
                </c:pt>
                <c:pt idx="2328">
                  <c:v>2.3512768953688479E-2</c:v>
                </c:pt>
                <c:pt idx="2329">
                  <c:v>2.3511089876571134E-2</c:v>
                </c:pt>
                <c:pt idx="2330">
                  <c:v>2.3509389695774985E-2</c:v>
                </c:pt>
                <c:pt idx="2331">
                  <c:v>2.3507668411220095E-2</c:v>
                </c:pt>
                <c:pt idx="2332">
                  <c:v>2.3505926023066337E-2</c:v>
                </c:pt>
                <c:pt idx="2333">
                  <c:v>2.3504162531153838E-2</c:v>
                </c:pt>
                <c:pt idx="2334">
                  <c:v>2.3502377935482599E-2</c:v>
                </c:pt>
                <c:pt idx="2335">
                  <c:v>2.3500572236132555E-2</c:v>
                </c:pt>
                <c:pt idx="2336">
                  <c:v>2.3498745433103707E-2</c:v>
                </c:pt>
                <c:pt idx="2337">
                  <c:v>2.3496897526396054E-2</c:v>
                </c:pt>
                <c:pt idx="2338">
                  <c:v>2.3495028515849725E-2</c:v>
                </c:pt>
                <c:pt idx="2339">
                  <c:v>2.3493138401784464E-2</c:v>
                </c:pt>
                <c:pt idx="2340">
                  <c:v>2.3491227183880525E-2</c:v>
                </c:pt>
                <c:pt idx="2341">
                  <c:v>2.3489294862297783E-2</c:v>
                </c:pt>
                <c:pt idx="2342">
                  <c:v>2.3487341436956299E-2</c:v>
                </c:pt>
                <c:pt idx="2343">
                  <c:v>2.3485366908015948E-2</c:v>
                </c:pt>
                <c:pt idx="2344">
                  <c:v>2.3483371275396792E-2</c:v>
                </c:pt>
                <c:pt idx="2345">
                  <c:v>2.3481354538938959E-2</c:v>
                </c:pt>
                <c:pt idx="2346">
                  <c:v>2.3479316698802322E-2</c:v>
                </c:pt>
                <c:pt idx="2347">
                  <c:v>2.3477257755066816E-2</c:v>
                </c:pt>
                <c:pt idx="2348">
                  <c:v>2.347517770757257E-2</c:v>
                </c:pt>
                <c:pt idx="2349">
                  <c:v>2.3473076556239647E-2</c:v>
                </c:pt>
                <c:pt idx="2350">
                  <c:v>2.3470954301467728E-2</c:v>
                </c:pt>
                <c:pt idx="2351">
                  <c:v>2.3468810942937068E-2</c:v>
                </c:pt>
                <c:pt idx="2352">
                  <c:v>2.3466646480487796E-2</c:v>
                </c:pt>
                <c:pt idx="2353">
                  <c:v>2.3464460914519591E-2</c:v>
                </c:pt>
                <c:pt idx="2354">
                  <c:v>2.3462254244792646E-2</c:v>
                </c:pt>
                <c:pt idx="2355">
                  <c:v>2.3460026471466833E-2</c:v>
                </c:pt>
                <c:pt idx="2356">
                  <c:v>2.3457777594222406E-2</c:v>
                </c:pt>
                <c:pt idx="2357">
                  <c:v>2.3455507613538984E-2</c:v>
                </c:pt>
                <c:pt idx="2358">
                  <c:v>2.3453216529016885E-2</c:v>
                </c:pt>
                <c:pt idx="2359">
                  <c:v>2.3450904340895917E-2</c:v>
                </c:pt>
                <c:pt idx="2360">
                  <c:v>2.3448571048856337E-2</c:v>
                </c:pt>
                <c:pt idx="2361">
                  <c:v>2.3446216653297824E-2</c:v>
                </c:pt>
                <c:pt idx="2362">
                  <c:v>2.3443841153980571E-2</c:v>
                </c:pt>
                <c:pt idx="2363">
                  <c:v>2.3441444550984514E-2</c:v>
                </c:pt>
                <c:pt idx="2364">
                  <c:v>2.3439026844309652E-2</c:v>
                </c:pt>
                <c:pt idx="2365">
                  <c:v>2.3436588033876049E-2</c:v>
                </c:pt>
                <c:pt idx="2366">
                  <c:v>2.3433774980805566E-2</c:v>
                </c:pt>
                <c:pt idx="2367">
                  <c:v>2.3431290948225936E-2</c:v>
                </c:pt>
                <c:pt idx="2368">
                  <c:v>2.3428785811887565E-2</c:v>
                </c:pt>
                <c:pt idx="2369">
                  <c:v>2.3426259571950325E-2</c:v>
                </c:pt>
                <c:pt idx="2370">
                  <c:v>2.3423712228334281E-2</c:v>
                </c:pt>
                <c:pt idx="2371">
                  <c:v>2.3421143780959497E-2</c:v>
                </c:pt>
                <c:pt idx="2372">
                  <c:v>2.3418554229905908E-2</c:v>
                </c:pt>
                <c:pt idx="2373">
                  <c:v>2.3415943575093578E-2</c:v>
                </c:pt>
                <c:pt idx="2374">
                  <c:v>2.3413311816762317E-2</c:v>
                </c:pt>
                <c:pt idx="2375">
                  <c:v>2.3410658954512442E-2</c:v>
                </c:pt>
                <c:pt idx="2376">
                  <c:v>2.3407984988743635E-2</c:v>
                </c:pt>
                <c:pt idx="2377">
                  <c:v>2.3405289919296024E-2</c:v>
                </c:pt>
                <c:pt idx="2378">
                  <c:v>2.3402573746089672E-2</c:v>
                </c:pt>
                <c:pt idx="2379">
                  <c:v>2.339983646912458E-2</c:v>
                </c:pt>
                <c:pt idx="2380">
                  <c:v>2.3397078088640555E-2</c:v>
                </c:pt>
                <c:pt idx="2381">
                  <c:v>2.3394298604317854E-2</c:v>
                </c:pt>
                <c:pt idx="2382">
                  <c:v>2.3391498016396284E-2</c:v>
                </c:pt>
                <c:pt idx="2383">
                  <c:v>2.3388676324715973E-2</c:v>
                </c:pt>
                <c:pt idx="2384">
                  <c:v>2.3385425692952211E-2</c:v>
                </c:pt>
                <c:pt idx="2385">
                  <c:v>2.3382558779205809E-2</c:v>
                </c:pt>
                <c:pt idx="2386">
                  <c:v>2.3379670761700666E-2</c:v>
                </c:pt>
                <c:pt idx="2387">
                  <c:v>2.3376761640516719E-2</c:v>
                </c:pt>
                <c:pt idx="2388">
                  <c:v>2.3373831415574031E-2</c:v>
                </c:pt>
                <c:pt idx="2389">
                  <c:v>2.3370880087032475E-2</c:v>
                </c:pt>
                <c:pt idx="2390">
                  <c:v>2.3367907654812115E-2</c:v>
                </c:pt>
                <c:pt idx="2391">
                  <c:v>2.3364914118753077E-2</c:v>
                </c:pt>
                <c:pt idx="2392">
                  <c:v>2.3361899479175108E-2</c:v>
                </c:pt>
                <c:pt idx="2393">
                  <c:v>2.3358863735918334E-2</c:v>
                </c:pt>
                <c:pt idx="2394">
                  <c:v>2.3355806888902819E-2</c:v>
                </c:pt>
                <c:pt idx="2395">
                  <c:v>2.3352728938288436E-2</c:v>
                </c:pt>
                <c:pt idx="2396">
                  <c:v>2.3349629883995249E-2</c:v>
                </c:pt>
                <c:pt idx="2397">
                  <c:v>2.3346509725943321E-2</c:v>
                </c:pt>
                <c:pt idx="2398">
                  <c:v>2.3343368464292524E-2</c:v>
                </c:pt>
                <c:pt idx="2399">
                  <c:v>2.3340206098803051E-2</c:v>
                </c:pt>
                <c:pt idx="2400">
                  <c:v>2.3337022629794646E-2</c:v>
                </c:pt>
                <c:pt idx="2401">
                  <c:v>2.3333818057107436E-2</c:v>
                </c:pt>
                <c:pt idx="2402">
                  <c:v>2.3330592380661486E-2</c:v>
                </c:pt>
                <c:pt idx="2403">
                  <c:v>2.3327345600536731E-2</c:v>
                </c:pt>
                <c:pt idx="2404">
                  <c:v>2.3324077716733171E-2</c:v>
                </c:pt>
                <c:pt idx="2405">
                  <c:v>2.3320788729330744E-2</c:v>
                </c:pt>
                <c:pt idx="2406">
                  <c:v>2.3317478638169575E-2</c:v>
                </c:pt>
                <c:pt idx="2407">
                  <c:v>2.3314147443409539E-2</c:v>
                </c:pt>
                <c:pt idx="2408">
                  <c:v>2.3310795144970697E-2</c:v>
                </c:pt>
                <c:pt idx="2409">
                  <c:v>2.3307421742773116E-2</c:v>
                </c:pt>
                <c:pt idx="2410">
                  <c:v>2.3304027236976665E-2</c:v>
                </c:pt>
                <c:pt idx="2411">
                  <c:v>2.3300611627501411E-2</c:v>
                </c:pt>
                <c:pt idx="2412">
                  <c:v>2.3297174914347352E-2</c:v>
                </c:pt>
                <c:pt idx="2413">
                  <c:v>2.3293717097434552E-2</c:v>
                </c:pt>
                <c:pt idx="2414">
                  <c:v>2.3290238177082756E-2</c:v>
                </c:pt>
                <c:pt idx="2415">
                  <c:v>2.3286738152892283E-2</c:v>
                </c:pt>
                <c:pt idx="2416">
                  <c:v>2.3283217025102942E-2</c:v>
                </c:pt>
                <c:pt idx="2417">
                  <c:v>2.3279674793474925E-2</c:v>
                </c:pt>
                <c:pt idx="2418">
                  <c:v>2.3276594180217103E-2</c:v>
                </c:pt>
                <c:pt idx="2419">
                  <c:v>2.3273003247545887E-2</c:v>
                </c:pt>
                <c:pt idx="2420">
                  <c:v>2.3269391208504686E-2</c:v>
                </c:pt>
                <c:pt idx="2421">
                  <c:v>2.3265758063173436E-2</c:v>
                </c:pt>
                <c:pt idx="2422">
                  <c:v>2.3262103811498847E-2</c:v>
                </c:pt>
                <c:pt idx="2423">
                  <c:v>2.3258428453507562E-2</c:v>
                </c:pt>
                <c:pt idx="2424">
                  <c:v>2.3254731989226229E-2</c:v>
                </c:pt>
                <c:pt idx="2425">
                  <c:v>2.3251014418574911E-2</c:v>
                </c:pt>
                <c:pt idx="2426">
                  <c:v>2.3247275741686835E-2</c:v>
                </c:pt>
                <c:pt idx="2427">
                  <c:v>2.3243515958428773E-2</c:v>
                </c:pt>
                <c:pt idx="2428">
                  <c:v>2.3239735068907308E-2</c:v>
                </c:pt>
                <c:pt idx="2429">
                  <c:v>2.3235933073069148E-2</c:v>
                </c:pt>
                <c:pt idx="2430">
                  <c:v>2.3232109970887649E-2</c:v>
                </c:pt>
                <c:pt idx="2431">
                  <c:v>2.3228265762469391E-2</c:v>
                </c:pt>
                <c:pt idx="2432">
                  <c:v>2.3221239684563244E-2</c:v>
                </c:pt>
                <c:pt idx="2433">
                  <c:v>2.3217344720452004E-2</c:v>
                </c:pt>
                <c:pt idx="2434">
                  <c:v>2.3213428652582024E-2</c:v>
                </c:pt>
                <c:pt idx="2435">
                  <c:v>2.3209491481113176E-2</c:v>
                </c:pt>
                <c:pt idx="2436">
                  <c:v>2.3205533206045459E-2</c:v>
                </c:pt>
                <c:pt idx="2437">
                  <c:v>2.3201553827219001E-2</c:v>
                </c:pt>
                <c:pt idx="2438">
                  <c:v>2.3197553344793675E-2</c:v>
                </c:pt>
                <c:pt idx="2439">
                  <c:v>2.3193531758689545E-2</c:v>
                </c:pt>
                <c:pt idx="2440">
                  <c:v>2.3189489069066482E-2</c:v>
                </c:pt>
                <c:pt idx="2441">
                  <c:v>2.3185425275684679E-2</c:v>
                </c:pt>
                <c:pt idx="2442">
                  <c:v>2.3181340378544135E-2</c:v>
                </c:pt>
                <c:pt idx="2443">
                  <c:v>2.3177234377964595E-2</c:v>
                </c:pt>
                <c:pt idx="2444">
                  <c:v>2.3173107273626314E-2</c:v>
                </c:pt>
                <c:pt idx="2445">
                  <c:v>2.3168959065609229E-2</c:v>
                </c:pt>
                <c:pt idx="2446">
                  <c:v>2.316478975391334E-2</c:v>
                </c:pt>
                <c:pt idx="2447">
                  <c:v>2.3160599338778454E-2</c:v>
                </c:pt>
                <c:pt idx="2448">
                  <c:v>2.3156387819804891E-2</c:v>
                </c:pt>
                <c:pt idx="2449">
                  <c:v>2.3152155197152524E-2</c:v>
                </c:pt>
                <c:pt idx="2450">
                  <c:v>2.3147901471061161E-2</c:v>
                </c:pt>
                <c:pt idx="2451">
                  <c:v>2.3143626641131121E-2</c:v>
                </c:pt>
                <c:pt idx="2452">
                  <c:v>2.3139330707602213E-2</c:v>
                </c:pt>
                <c:pt idx="2453">
                  <c:v>2.31350136703945E-2</c:v>
                </c:pt>
                <c:pt idx="2454">
                  <c:v>2.3130675529667855E-2</c:v>
                </c:pt>
                <c:pt idx="2455">
                  <c:v>2.3126316285262405E-2</c:v>
                </c:pt>
                <c:pt idx="2456">
                  <c:v>2.3121935937098215E-2</c:v>
                </c:pt>
                <c:pt idx="2457">
                  <c:v>2.3117534485415092E-2</c:v>
                </c:pt>
                <c:pt idx="2458">
                  <c:v>2.3113111930133101E-2</c:v>
                </c:pt>
                <c:pt idx="2459">
                  <c:v>2.310866827109237E-2</c:v>
                </c:pt>
                <c:pt idx="2460">
                  <c:v>2.3104203508372834E-2</c:v>
                </c:pt>
                <c:pt idx="2461">
                  <c:v>2.3099717642214301E-2</c:v>
                </c:pt>
                <c:pt idx="2462">
                  <c:v>2.3095210672297029E-2</c:v>
                </c:pt>
                <c:pt idx="2463">
                  <c:v>2.3090682598700951E-2</c:v>
                </c:pt>
                <c:pt idx="2464">
                  <c:v>2.3086133421506005E-2</c:v>
                </c:pt>
                <c:pt idx="2465">
                  <c:v>2.3081563140792127E-2</c:v>
                </c:pt>
                <c:pt idx="2466">
                  <c:v>2.3076971756319509E-2</c:v>
                </c:pt>
                <c:pt idx="2467">
                  <c:v>2.3072359268168086E-2</c:v>
                </c:pt>
                <c:pt idx="2468">
                  <c:v>2.3067725676577666E-2</c:v>
                </c:pt>
                <c:pt idx="2469">
                  <c:v>2.3063070981308442E-2</c:v>
                </c:pt>
                <c:pt idx="2470">
                  <c:v>2.3058395182280478E-2</c:v>
                </c:pt>
                <c:pt idx="2471">
                  <c:v>2.3053698279653645E-2</c:v>
                </c:pt>
                <c:pt idx="2472">
                  <c:v>2.3048980273427944E-2</c:v>
                </c:pt>
                <c:pt idx="2473">
                  <c:v>2.304424116368331E-2</c:v>
                </c:pt>
                <c:pt idx="2474">
                  <c:v>2.30394809501E-2</c:v>
                </c:pt>
                <c:pt idx="2475">
                  <c:v>2.3034699632997757E-2</c:v>
                </c:pt>
                <c:pt idx="2476">
                  <c:v>2.3029897212296646E-2</c:v>
                </c:pt>
                <c:pt idx="2477">
                  <c:v>2.3025073687996667E-2</c:v>
                </c:pt>
                <c:pt idx="2478">
                  <c:v>2.3020229060017883E-2</c:v>
                </c:pt>
                <c:pt idx="2479">
                  <c:v>2.301536332844023E-2</c:v>
                </c:pt>
                <c:pt idx="2480">
                  <c:v>2.3010476493183774E-2</c:v>
                </c:pt>
                <c:pt idx="2481">
                  <c:v>2.3005568554328448E-2</c:v>
                </c:pt>
                <c:pt idx="2482">
                  <c:v>2.3000639511874255E-2</c:v>
                </c:pt>
                <c:pt idx="2483">
                  <c:v>2.2995689365821192E-2</c:v>
                </c:pt>
                <c:pt idx="2484">
                  <c:v>2.2990718116169262E-2</c:v>
                </c:pt>
                <c:pt idx="2485">
                  <c:v>2.2985725762838527E-2</c:v>
                </c:pt>
                <c:pt idx="2486">
                  <c:v>2.2980712305908924E-2</c:v>
                </c:pt>
                <c:pt idx="2487">
                  <c:v>2.2975677745380452E-2</c:v>
                </c:pt>
                <c:pt idx="2488">
                  <c:v>2.2970622081253111E-2</c:v>
                </c:pt>
                <c:pt idx="2489">
                  <c:v>2.2965545313446967E-2</c:v>
                </c:pt>
                <c:pt idx="2490">
                  <c:v>2.296044744212189E-2</c:v>
                </c:pt>
                <c:pt idx="2491">
                  <c:v>2.2955328467197944E-2</c:v>
                </c:pt>
                <c:pt idx="2492">
                  <c:v>2.2950188531201121E-2</c:v>
                </c:pt>
                <c:pt idx="2493">
                  <c:v>2.2945051339888778E-2</c:v>
                </c:pt>
                <c:pt idx="2494">
                  <c:v>2.2939935028754022E-2</c:v>
                </c:pt>
                <c:pt idx="2495">
                  <c:v>2.2934839597876788E-2</c:v>
                </c:pt>
                <c:pt idx="2496">
                  <c:v>2.2929765047257078E-2</c:v>
                </c:pt>
                <c:pt idx="2497">
                  <c:v>2.2924711376974827E-2</c:v>
                </c:pt>
                <c:pt idx="2498">
                  <c:v>2.2919678586870162E-2</c:v>
                </c:pt>
                <c:pt idx="2499">
                  <c:v>2.2914666677182893E-2</c:v>
                </c:pt>
                <c:pt idx="2500">
                  <c:v>2.2909675647513339E-2</c:v>
                </c:pt>
                <c:pt idx="2501">
                  <c:v>2.2904705498341116E-2</c:v>
                </c:pt>
                <c:pt idx="2502">
                  <c:v>2.289975622934648E-2</c:v>
                </c:pt>
                <c:pt idx="2503">
                  <c:v>2.2894827840609366E-2</c:v>
                </c:pt>
                <c:pt idx="2504">
                  <c:v>2.2889920332209712E-2</c:v>
                </c:pt>
                <c:pt idx="2505">
                  <c:v>2.2885033704067581E-2</c:v>
                </c:pt>
                <c:pt idx="2506">
                  <c:v>2.2880167956182973E-2</c:v>
                </c:pt>
                <c:pt idx="2507">
                  <c:v>2.2875323088396016E-2</c:v>
                </c:pt>
                <c:pt idx="2508">
                  <c:v>2.287049910110639E-2</c:v>
                </c:pt>
                <c:pt idx="2509">
                  <c:v>2.2865695993914414E-2</c:v>
                </c:pt>
                <c:pt idx="2510">
                  <c:v>2.2860913767059898E-2</c:v>
                </c:pt>
                <c:pt idx="2511">
                  <c:v>2.2856152420382969E-2</c:v>
                </c:pt>
                <c:pt idx="2512">
                  <c:v>2.2851411954123435E-2</c:v>
                </c:pt>
                <c:pt idx="2513">
                  <c:v>2.2846692368041488E-2</c:v>
                </c:pt>
                <c:pt idx="2514">
                  <c:v>2.2841993662217064E-2</c:v>
                </c:pt>
                <c:pt idx="2515">
                  <c:v>2.2837315836650163E-2</c:v>
                </c:pt>
                <c:pt idx="2516">
                  <c:v>2.2832658891420721E-2</c:v>
                </c:pt>
                <c:pt idx="2517">
                  <c:v>2.282802282628893E-2</c:v>
                </c:pt>
                <c:pt idx="2518">
                  <c:v>2.2823407641494597E-2</c:v>
                </c:pt>
                <c:pt idx="2519">
                  <c:v>2.2818813336877852E-2</c:v>
                </c:pt>
                <c:pt idx="2520">
                  <c:v>2.2814239912678502E-2</c:v>
                </c:pt>
                <c:pt idx="2521">
                  <c:v>2.2809687368496867E-2</c:v>
                </c:pt>
                <c:pt idx="2522">
                  <c:v>2.2805155704652691E-2</c:v>
                </c:pt>
                <c:pt idx="2523">
                  <c:v>2.280064492122591E-2</c:v>
                </c:pt>
                <c:pt idx="2524">
                  <c:v>2.279615501789678E-2</c:v>
                </c:pt>
                <c:pt idx="2525">
                  <c:v>2.2791685994825173E-2</c:v>
                </c:pt>
                <c:pt idx="2526">
                  <c:v>2.2787237852011089E-2</c:v>
                </c:pt>
                <c:pt idx="2527">
                  <c:v>2.2782810589454527E-2</c:v>
                </c:pt>
                <c:pt idx="2528">
                  <c:v>2.2778404207075553E-2</c:v>
                </c:pt>
                <c:pt idx="2529">
                  <c:v>2.2774018705034038E-2</c:v>
                </c:pt>
                <c:pt idx="2530">
                  <c:v>2.2769654083329982E-2</c:v>
                </c:pt>
                <c:pt idx="2531">
                  <c:v>2.2765310341723577E-2</c:v>
                </c:pt>
                <c:pt idx="2532">
                  <c:v>2.2760987480374695E-2</c:v>
                </c:pt>
                <c:pt idx="2533">
                  <c:v>2.2756685499283336E-2</c:v>
                </c:pt>
                <c:pt idx="2534">
                  <c:v>2.2752404398449499E-2</c:v>
                </c:pt>
                <c:pt idx="2535">
                  <c:v>2.2748144177873186E-2</c:v>
                </c:pt>
                <c:pt idx="2536">
                  <c:v>2.2743904837394524E-2</c:v>
                </c:pt>
                <c:pt idx="2537">
                  <c:v>2.2739686377333257E-2</c:v>
                </c:pt>
                <c:pt idx="2538">
                  <c:v>2.2735488797369641E-2</c:v>
                </c:pt>
                <c:pt idx="2539">
                  <c:v>2.2731312097743483E-2</c:v>
                </c:pt>
                <c:pt idx="2540">
                  <c:v>2.2727156278374849E-2</c:v>
                </c:pt>
                <c:pt idx="2541">
                  <c:v>2.2723021339183802E-2</c:v>
                </c:pt>
                <c:pt idx="2542">
                  <c:v>2.2718907280330214E-2</c:v>
                </c:pt>
                <c:pt idx="2543">
                  <c:v>2.2714814101494341E-2</c:v>
                </c:pt>
                <c:pt idx="2544">
                  <c:v>2.2710741803155798E-2</c:v>
                </c:pt>
                <c:pt idx="2545">
                  <c:v>2.2706690384914907E-2</c:v>
                </c:pt>
                <c:pt idx="2546">
                  <c:v>2.2702659846931539E-2</c:v>
                </c:pt>
                <c:pt idx="2547">
                  <c:v>2.2698650189045821E-2</c:v>
                </c:pt>
                <c:pt idx="2548">
                  <c:v>2.2694661411577499E-2</c:v>
                </c:pt>
                <c:pt idx="2549">
                  <c:v>2.2690693514286764E-2</c:v>
                </c:pt>
                <c:pt idx="2550">
                  <c:v>2.2686746497173615E-2</c:v>
                </c:pt>
                <c:pt idx="2551">
                  <c:v>2.2682820360238054E-2</c:v>
                </c:pt>
                <c:pt idx="2552">
                  <c:v>2.2678915103719888E-2</c:v>
                </c:pt>
                <c:pt idx="2553">
                  <c:v>2.2675030727379308E-2</c:v>
                </c:pt>
                <c:pt idx="2554">
                  <c:v>2.267116723113638E-2</c:v>
                </c:pt>
                <c:pt idx="2555">
                  <c:v>2.266732461523091E-2</c:v>
                </c:pt>
                <c:pt idx="2556">
                  <c:v>2.2663502879582964E-2</c:v>
                </c:pt>
                <c:pt idx="2557">
                  <c:v>2.2659702024032669E-2</c:v>
                </c:pt>
                <c:pt idx="2558">
                  <c:v>2.2655922048739896E-2</c:v>
                </c:pt>
                <c:pt idx="2559">
                  <c:v>2.2652162953784583E-2</c:v>
                </c:pt>
                <c:pt idx="2560">
                  <c:v>2.2648424739006856E-2</c:v>
                </c:pt>
                <c:pt idx="2561">
                  <c:v>2.264470740432678E-2</c:v>
                </c:pt>
                <c:pt idx="2562">
                  <c:v>2.2641010949984164E-2</c:v>
                </c:pt>
                <c:pt idx="2563">
                  <c:v>2.2637335375819134E-2</c:v>
                </c:pt>
                <c:pt idx="2564">
                  <c:v>2.2633680681911628E-2</c:v>
                </c:pt>
                <c:pt idx="2565">
                  <c:v>2.2630046868181708E-2</c:v>
                </c:pt>
                <c:pt idx="2566">
                  <c:v>2.2626433934789247E-2</c:v>
                </c:pt>
                <c:pt idx="2567">
                  <c:v>2.2622841881494438E-2</c:v>
                </c:pt>
                <c:pt idx="2568">
                  <c:v>2.2619270708377215E-2</c:v>
                </c:pt>
                <c:pt idx="2569">
                  <c:v>2.2615720415517515E-2</c:v>
                </c:pt>
                <c:pt idx="2570">
                  <c:v>2.261219100307521E-2</c:v>
                </c:pt>
                <c:pt idx="2571">
                  <c:v>2.2608682470650621E-2</c:v>
                </c:pt>
                <c:pt idx="2572">
                  <c:v>2.2605194818403618E-2</c:v>
                </c:pt>
                <c:pt idx="2573">
                  <c:v>2.260172804657401E-2</c:v>
                </c:pt>
                <c:pt idx="2574">
                  <c:v>2.2598282154762117E-2</c:v>
                </c:pt>
                <c:pt idx="2575">
                  <c:v>2.2594857143127811E-2</c:v>
                </c:pt>
                <c:pt idx="2576">
                  <c:v>2.25914530119109E-2</c:v>
                </c:pt>
                <c:pt idx="2577">
                  <c:v>2.2588069760871576E-2</c:v>
                </c:pt>
                <c:pt idx="2578">
                  <c:v>2.2584707389929903E-2</c:v>
                </c:pt>
                <c:pt idx="2579">
                  <c:v>2.2581365899245753E-2</c:v>
                </c:pt>
                <c:pt idx="2580">
                  <c:v>2.257804528873919E-2</c:v>
                </c:pt>
                <c:pt idx="2581">
                  <c:v>2.257474555849015E-2</c:v>
                </c:pt>
                <c:pt idx="2582">
                  <c:v>2.2571466708498633E-2</c:v>
                </c:pt>
                <c:pt idx="2583">
                  <c:v>2.2568208738604767E-2</c:v>
                </c:pt>
                <c:pt idx="2584">
                  <c:v>2.256497164904836E-2</c:v>
                </c:pt>
                <c:pt idx="2585">
                  <c:v>2.256175543966954E-2</c:v>
                </c:pt>
                <c:pt idx="2586">
                  <c:v>2.2558560110308434E-2</c:v>
                </c:pt>
                <c:pt idx="2587">
                  <c:v>2.2555385661284788E-2</c:v>
                </c:pt>
                <c:pt idx="2588">
                  <c:v>2.2552232092598601E-2</c:v>
                </c:pt>
                <c:pt idx="2589">
                  <c:v>2.2549099403930128E-2</c:v>
                </c:pt>
                <c:pt idx="2590">
                  <c:v>2.2545987595599115E-2</c:v>
                </c:pt>
                <c:pt idx="2591">
                  <c:v>2.2542896667445689E-2</c:v>
                </c:pt>
                <c:pt idx="2592">
                  <c:v>2.2539826619469849E-2</c:v>
                </c:pt>
                <c:pt idx="2593">
                  <c:v>2.2536777451591661E-2</c:v>
                </c:pt>
                <c:pt idx="2594">
                  <c:v>2.2533749164130867E-2</c:v>
                </c:pt>
                <c:pt idx="2595">
                  <c:v>2.2530741756767725E-2</c:v>
                </c:pt>
                <c:pt idx="2596">
                  <c:v>2.2527755229582169E-2</c:v>
                </c:pt>
                <c:pt idx="2597">
                  <c:v>2.2524789582574201E-2</c:v>
                </c:pt>
                <c:pt idx="2598">
                  <c:v>2.2521844815903691E-2</c:v>
                </c:pt>
                <c:pt idx="2599">
                  <c:v>2.2518920929330832E-2</c:v>
                </c:pt>
                <c:pt idx="2600">
                  <c:v>2.2516017923015497E-2</c:v>
                </c:pt>
                <c:pt idx="2601">
                  <c:v>2.2513135796797812E-2</c:v>
                </c:pt>
                <c:pt idx="2602">
                  <c:v>2.2510274550917586E-2</c:v>
                </c:pt>
                <c:pt idx="2603">
                  <c:v>2.2507434185135011E-2</c:v>
                </c:pt>
                <c:pt idx="2604">
                  <c:v>2.2504614699530023E-2</c:v>
                </c:pt>
                <c:pt idx="2605">
                  <c:v>2.2501816094182558E-2</c:v>
                </c:pt>
                <c:pt idx="2606">
                  <c:v>2.2499038369092617E-2</c:v>
                </c:pt>
                <c:pt idx="2607">
                  <c:v>2.2496281524100326E-2</c:v>
                </c:pt>
                <c:pt idx="2608">
                  <c:v>2.2493545559205685E-2</c:v>
                </c:pt>
                <c:pt idx="2609">
                  <c:v>2.249083047472844E-2</c:v>
                </c:pt>
                <c:pt idx="2610">
                  <c:v>2.2488136270348846E-2</c:v>
                </c:pt>
                <c:pt idx="2611">
                  <c:v>2.2485462946226775E-2</c:v>
                </c:pt>
                <c:pt idx="2612">
                  <c:v>2.2482810502202355E-2</c:v>
                </c:pt>
                <c:pt idx="2613">
                  <c:v>2.2480178938355522E-2</c:v>
                </c:pt>
                <c:pt idx="2614">
                  <c:v>2.2477568254846148E-2</c:v>
                </c:pt>
                <c:pt idx="2615">
                  <c:v>2.2474978451354488E-2</c:v>
                </c:pt>
                <c:pt idx="2616">
                  <c:v>2.2472409528120352E-2</c:v>
                </c:pt>
                <c:pt idx="2617">
                  <c:v>2.2469861485223674E-2</c:v>
                </c:pt>
                <c:pt idx="2618">
                  <c:v>2.2467334322344712E-2</c:v>
                </c:pt>
                <c:pt idx="2619">
                  <c:v>2.2464828039643336E-2</c:v>
                </c:pt>
                <c:pt idx="2620">
                  <c:v>2.2462342637199484E-2</c:v>
                </c:pt>
                <c:pt idx="2621">
                  <c:v>2.2459878115013154E-2</c:v>
                </c:pt>
                <c:pt idx="2622">
                  <c:v>2.2457434472924476E-2</c:v>
                </c:pt>
                <c:pt idx="2623">
                  <c:v>2.2455011711013384E-2</c:v>
                </c:pt>
                <c:pt idx="2624">
                  <c:v>2.2452609829359815E-2</c:v>
                </c:pt>
                <c:pt idx="2625">
                  <c:v>2.2450228827883834E-2</c:v>
                </c:pt>
                <c:pt idx="2626">
                  <c:v>2.2447533250922191E-2</c:v>
                </c:pt>
                <c:pt idx="2627">
                  <c:v>2.2445196992535443E-2</c:v>
                </c:pt>
                <c:pt idx="2628">
                  <c:v>2.244288161456609E-2</c:v>
                </c:pt>
                <c:pt idx="2629">
                  <c:v>2.2440587116774324E-2</c:v>
                </c:pt>
                <c:pt idx="2630">
                  <c:v>2.2438313499080209E-2</c:v>
                </c:pt>
                <c:pt idx="2631">
                  <c:v>2.2436060761563681E-2</c:v>
                </c:pt>
                <c:pt idx="2632">
                  <c:v>2.2433828904304676E-2</c:v>
                </c:pt>
                <c:pt idx="2633">
                  <c:v>2.2431617927223257E-2</c:v>
                </c:pt>
                <c:pt idx="2634">
                  <c:v>2.242942783023949E-2</c:v>
                </c:pt>
                <c:pt idx="2635">
                  <c:v>2.242725861343331E-2</c:v>
                </c:pt>
                <c:pt idx="2636">
                  <c:v>2.2425110276964588E-2</c:v>
                </c:pt>
                <c:pt idx="2637">
                  <c:v>2.2422982820513582E-2</c:v>
                </c:pt>
                <c:pt idx="2638">
                  <c:v>2.2420876244320098E-2</c:v>
                </c:pt>
                <c:pt idx="2639">
                  <c:v>2.2418790548384138E-2</c:v>
                </c:pt>
                <c:pt idx="2640">
                  <c:v>2.2416725732545828E-2</c:v>
                </c:pt>
                <c:pt idx="2641">
                  <c:v>2.2414681796965041E-2</c:v>
                </c:pt>
                <c:pt idx="2642">
                  <c:v>2.241265874140197E-2</c:v>
                </c:pt>
                <c:pt idx="2643">
                  <c:v>2.2410656566096421E-2</c:v>
                </c:pt>
                <c:pt idx="2644">
                  <c:v>2.2408675271048395E-2</c:v>
                </c:pt>
                <c:pt idx="2645">
                  <c:v>2.240671485609802E-2</c:v>
                </c:pt>
                <c:pt idx="2646">
                  <c:v>2.2404775321325232E-2</c:v>
                </c:pt>
                <c:pt idx="2647">
                  <c:v>2.2402856666889903E-2</c:v>
                </c:pt>
                <c:pt idx="2648">
                  <c:v>2.2400958892552225E-2</c:v>
                </c:pt>
                <c:pt idx="2649">
                  <c:v>2.2399081998232262E-2</c:v>
                </c:pt>
                <c:pt idx="2650">
                  <c:v>2.2397225984169822E-2</c:v>
                </c:pt>
                <c:pt idx="2651">
                  <c:v>2.2395390850444841E-2</c:v>
                </c:pt>
                <c:pt idx="2652">
                  <c:v>2.239357659681751E-2</c:v>
                </c:pt>
                <c:pt idx="2653">
                  <c:v>2.2391783223287831E-2</c:v>
                </c:pt>
                <c:pt idx="2654">
                  <c:v>2.2390010730015675E-2</c:v>
                </c:pt>
                <c:pt idx="2655">
                  <c:v>2.2388259116921105E-2</c:v>
                </c:pt>
                <c:pt idx="2656">
                  <c:v>2.2386528383924187E-2</c:v>
                </c:pt>
                <c:pt idx="2657">
                  <c:v>2.2384818531104855E-2</c:v>
                </c:pt>
                <c:pt idx="2658">
                  <c:v>2.2383129558543047E-2</c:v>
                </c:pt>
                <c:pt idx="2659">
                  <c:v>2.2381461466238761E-2</c:v>
                </c:pt>
                <c:pt idx="2660">
                  <c:v>2.2379814253872254E-2</c:v>
                </c:pt>
                <c:pt idx="2661">
                  <c:v>2.2378187921923143E-2</c:v>
                </c:pt>
                <c:pt idx="2662">
                  <c:v>2.2376582470071682E-2</c:v>
                </c:pt>
                <c:pt idx="2663">
                  <c:v>2.2374997898317872E-2</c:v>
                </c:pt>
                <c:pt idx="2664">
                  <c:v>2.2373434206741649E-2</c:v>
                </c:pt>
                <c:pt idx="2665">
                  <c:v>2.2371891395422949E-2</c:v>
                </c:pt>
                <c:pt idx="2666">
                  <c:v>2.2370369464281836E-2</c:v>
                </c:pt>
                <c:pt idx="2667">
                  <c:v>2.2368868413158438E-2</c:v>
                </c:pt>
                <c:pt idx="2668">
                  <c:v>2.2367388242372499E-2</c:v>
                </c:pt>
                <c:pt idx="2669">
                  <c:v>2.2365928951764147E-2</c:v>
                </c:pt>
                <c:pt idx="2670">
                  <c:v>2.2364490541253446E-2</c:v>
                </c:pt>
                <c:pt idx="2671">
                  <c:v>2.2363073010920331E-2</c:v>
                </c:pt>
                <c:pt idx="2672">
                  <c:v>2.236167636084474E-2</c:v>
                </c:pt>
                <c:pt idx="2673">
                  <c:v>2.23603005908668E-2</c:v>
                </c:pt>
                <c:pt idx="2674">
                  <c:v>2.2358945701066446E-2</c:v>
                </c:pt>
                <c:pt idx="2675">
                  <c:v>2.235761169144368E-2</c:v>
                </c:pt>
                <c:pt idx="2676">
                  <c:v>2.2356298562078436E-2</c:v>
                </c:pt>
                <c:pt idx="2677">
                  <c:v>2.2355006312730907E-2</c:v>
                </c:pt>
                <c:pt idx="2678">
                  <c:v>2.2353555023961746E-2</c:v>
                </c:pt>
                <c:pt idx="2679">
                  <c:v>2.2352307517863323E-2</c:v>
                </c:pt>
                <c:pt idx="2680">
                  <c:v>2.2351080892022424E-2</c:v>
                </c:pt>
                <c:pt idx="2681">
                  <c:v>2.2349875146279174E-2</c:v>
                </c:pt>
                <c:pt idx="2682">
                  <c:v>2.2348690280793448E-2</c:v>
                </c:pt>
                <c:pt idx="2683">
                  <c:v>2.2347526295405373E-2</c:v>
                </c:pt>
                <c:pt idx="2684">
                  <c:v>2.2346383190274821E-2</c:v>
                </c:pt>
                <c:pt idx="2685">
                  <c:v>2.2345260965321856E-2</c:v>
                </c:pt>
                <c:pt idx="2686">
                  <c:v>2.2344159620466542E-2</c:v>
                </c:pt>
                <c:pt idx="2687">
                  <c:v>2.2343079155628942E-2</c:v>
                </c:pt>
                <c:pt idx="2688">
                  <c:v>2.2342019571208738E-2</c:v>
                </c:pt>
                <c:pt idx="2689">
                  <c:v>2.2340980866886184E-2</c:v>
                </c:pt>
                <c:pt idx="2690">
                  <c:v>2.2339963042661282E-2</c:v>
                </c:pt>
                <c:pt idx="2691">
                  <c:v>2.2338966098693902E-2</c:v>
                </c:pt>
                <c:pt idx="2692">
                  <c:v>2.2337990034904109E-2</c:v>
                </c:pt>
                <c:pt idx="2693">
                  <c:v>2.2339538214408705E-2</c:v>
                </c:pt>
                <c:pt idx="2694">
                  <c:v>2.2336100547697413E-2</c:v>
                </c:pt>
                <c:pt idx="2695">
                  <c:v>2.2335187124360445E-2</c:v>
                </c:pt>
                <c:pt idx="2696">
                  <c:v>2.2334294581281E-2</c:v>
                </c:pt>
                <c:pt idx="2697">
                  <c:v>2.2333422918139334E-2</c:v>
                </c:pt>
                <c:pt idx="2698">
                  <c:v>2.2332572135415063E-2</c:v>
                </c:pt>
                <c:pt idx="2699">
                  <c:v>2.2331742232788443E-2</c:v>
                </c:pt>
                <c:pt idx="2700">
                  <c:v>2.2330933210259474E-2</c:v>
                </c:pt>
                <c:pt idx="2701">
                  <c:v>2.2330145067908092E-2</c:v>
                </c:pt>
                <c:pt idx="2702">
                  <c:v>2.2329377805734296E-2</c:v>
                </c:pt>
                <c:pt idx="2703">
                  <c:v>2.2328631423818024E-2</c:v>
                </c:pt>
                <c:pt idx="2704">
                  <c:v>2.2327905922079339E-2</c:v>
                </c:pt>
                <c:pt idx="2705">
                  <c:v>2.2327201300358368E-2</c:v>
                </c:pt>
                <c:pt idx="2706">
                  <c:v>2.2326517558974857E-2</c:v>
                </c:pt>
                <c:pt idx="2707">
                  <c:v>2.2325854697529124E-2</c:v>
                </c:pt>
                <c:pt idx="2708">
                  <c:v>2.232521271642085E-2</c:v>
                </c:pt>
                <c:pt idx="2709">
                  <c:v>2.2324591615410228E-2</c:v>
                </c:pt>
                <c:pt idx="2710">
                  <c:v>2.2323991394657128E-2</c:v>
                </c:pt>
                <c:pt idx="2711">
                  <c:v>2.2323412054001679E-2</c:v>
                </c:pt>
                <c:pt idx="2712">
                  <c:v>2.2322853593443881E-2</c:v>
                </c:pt>
                <c:pt idx="2713">
                  <c:v>2.2322316013223542E-2</c:v>
                </c:pt>
                <c:pt idx="2714">
                  <c:v>2.2321799313100854E-2</c:v>
                </c:pt>
                <c:pt idx="2715">
                  <c:v>2.2321303493155753E-2</c:v>
                </c:pt>
                <c:pt idx="2716">
                  <c:v>2.2320828553228367E-2</c:v>
                </c:pt>
                <c:pt idx="2717">
                  <c:v>2.232037449363844E-2</c:v>
                </c:pt>
                <c:pt idx="2718">
                  <c:v>2.2319941314146163E-2</c:v>
                </c:pt>
                <c:pt idx="2719">
                  <c:v>2.2319529014831474E-2</c:v>
                </c:pt>
                <c:pt idx="2720">
                  <c:v>2.2319137595614436E-2</c:v>
                </c:pt>
                <c:pt idx="2721">
                  <c:v>2.2318767056734856E-2</c:v>
                </c:pt>
                <c:pt idx="2722">
                  <c:v>2.2318417397952928E-2</c:v>
                </c:pt>
                <c:pt idx="2723">
                  <c:v>2.2318088619188714E-2</c:v>
                </c:pt>
                <c:pt idx="2724">
                  <c:v>2.2317780720761959E-2</c:v>
                </c:pt>
                <c:pt idx="2725">
                  <c:v>2.2317493702432856E-2</c:v>
                </c:pt>
                <c:pt idx="2726">
                  <c:v>2.2317227564201403E-2</c:v>
                </c:pt>
                <c:pt idx="2727">
                  <c:v>2.2316982306307409E-2</c:v>
                </c:pt>
                <c:pt idx="2728">
                  <c:v>2.2316757928511066E-2</c:v>
                </c:pt>
                <c:pt idx="2729">
                  <c:v>2.231655443089231E-2</c:v>
                </c:pt>
                <c:pt idx="2730">
                  <c:v>2.2317707026804356E-2</c:v>
                </c:pt>
                <c:pt idx="2731">
                  <c:v>2.2317551235930821E-2</c:v>
                </c:pt>
                <c:pt idx="2732">
                  <c:v>2.2317416327819473E-2</c:v>
                </c:pt>
                <c:pt idx="2733">
                  <c:v>2.2317302302417019E-2</c:v>
                </c:pt>
                <c:pt idx="2734">
                  <c:v>2.2317209159803397E-2</c:v>
                </c:pt>
                <c:pt idx="2735">
                  <c:v>2.2317136899925316E-2</c:v>
                </c:pt>
                <c:pt idx="2736">
                  <c:v>2.2317085522836067E-2</c:v>
                </c:pt>
                <c:pt idx="2737">
                  <c:v>2.2317055028482358E-2</c:v>
                </c:pt>
                <c:pt idx="2738">
                  <c:v>2.231704541686419E-2</c:v>
                </c:pt>
                <c:pt idx="2739">
                  <c:v>2.2317056688008208E-2</c:v>
                </c:pt>
                <c:pt idx="2740">
                  <c:v>2.2317088841941057E-2</c:v>
                </c:pt>
                <c:pt idx="2741">
                  <c:v>2.2317141878582802E-2</c:v>
                </c:pt>
                <c:pt idx="2742">
                  <c:v>2.2317215797960088E-2</c:v>
                </c:pt>
                <c:pt idx="2743">
                  <c:v>2.2315974110780346E-2</c:v>
                </c:pt>
                <c:pt idx="2744">
                  <c:v>2.2316098730055245E-2</c:v>
                </c:pt>
                <c:pt idx="2745">
                  <c:v>2.2316244229427795E-2</c:v>
                </c:pt>
                <c:pt idx="2746">
                  <c:v>2.2316410609057868E-2</c:v>
                </c:pt>
                <c:pt idx="2747">
                  <c:v>2.2316597868865529E-2</c:v>
                </c:pt>
                <c:pt idx="2748">
                  <c:v>2.2316806008610968E-2</c:v>
                </c:pt>
                <c:pt idx="2749">
                  <c:v>2.2317035028693866E-2</c:v>
                </c:pt>
                <c:pt idx="2750">
                  <c:v>2.2317284928874415E-2</c:v>
                </c:pt>
                <c:pt idx="2751">
                  <c:v>2.2317555709312487E-2</c:v>
                </c:pt>
                <c:pt idx="2752">
                  <c:v>2.2317847369848209E-2</c:v>
                </c:pt>
                <c:pt idx="2753">
                  <c:v>2.2318159910641455E-2</c:v>
                </c:pt>
                <c:pt idx="2754">
                  <c:v>2.2318493331452416E-2</c:v>
                </c:pt>
                <c:pt idx="2755">
                  <c:v>2.2318847632440963E-2</c:v>
                </c:pt>
                <c:pt idx="2756">
                  <c:v>2.2319222813607098E-2</c:v>
                </c:pt>
                <c:pt idx="2757">
                  <c:v>2.2319618875030756E-2</c:v>
                </c:pt>
                <c:pt idx="2758">
                  <c:v>2.2320035816632E-2</c:v>
                </c:pt>
                <c:pt idx="2759">
                  <c:v>2.2320473638250959E-2</c:v>
                </c:pt>
                <c:pt idx="2760">
                  <c:v>2.2320932340127442E-2</c:v>
                </c:pt>
                <c:pt idx="2761">
                  <c:v>2.2321411922181511E-2</c:v>
                </c:pt>
                <c:pt idx="2762">
                  <c:v>2.2321912384413167E-2</c:v>
                </c:pt>
                <c:pt idx="2763">
                  <c:v>2.2322433726742474E-2</c:v>
                </c:pt>
                <c:pt idx="2764">
                  <c:v>2.2322975949329305E-2</c:v>
                </c:pt>
                <c:pt idx="2765">
                  <c:v>2.2323539052013786E-2</c:v>
                </c:pt>
                <c:pt idx="2766">
                  <c:v>2.2324123034875853E-2</c:v>
                </c:pt>
                <c:pt idx="2767">
                  <c:v>2.2324727897915508E-2</c:v>
                </c:pt>
                <c:pt idx="2768">
                  <c:v>2.2325353641052814E-2</c:v>
                </c:pt>
                <c:pt idx="2769">
                  <c:v>2.2326000264607515E-2</c:v>
                </c:pt>
                <c:pt idx="2770">
                  <c:v>2.2326667768020059E-2</c:v>
                </c:pt>
                <c:pt idx="2771">
                  <c:v>2.2327356151690125E-2</c:v>
                </c:pt>
                <c:pt idx="2772">
                  <c:v>2.2328065415617715E-2</c:v>
                </c:pt>
                <c:pt idx="2773">
                  <c:v>2.2328795559642955E-2</c:v>
                </c:pt>
                <c:pt idx="2774">
                  <c:v>2.2329546583765847E-2</c:v>
                </c:pt>
                <c:pt idx="2775">
                  <c:v>2.2330318488226197E-2</c:v>
                </c:pt>
                <c:pt idx="2776">
                  <c:v>2.2331111272704263E-2</c:v>
                </c:pt>
                <c:pt idx="2777">
                  <c:v>2.2331924937439851E-2</c:v>
                </c:pt>
                <c:pt idx="2778">
                  <c:v>2.233275948227309E-2</c:v>
                </c:pt>
                <c:pt idx="2779">
                  <c:v>2.2333614907443788E-2</c:v>
                </c:pt>
                <c:pt idx="2780">
                  <c:v>2.2334491212472329E-2</c:v>
                </c:pt>
                <c:pt idx="2781">
                  <c:v>2.2335388397918265E-2</c:v>
                </c:pt>
                <c:pt idx="2782">
                  <c:v>2.2336306463541789E-2</c:v>
                </c:pt>
                <c:pt idx="2783">
                  <c:v>2.2337245409262962E-2</c:v>
                </c:pt>
                <c:pt idx="2784">
                  <c:v>2.2338205235081787E-2</c:v>
                </c:pt>
                <c:pt idx="2785">
                  <c:v>2.2339185941238071E-2</c:v>
                </c:pt>
                <c:pt idx="2786">
                  <c:v>2.2340187527332134E-2</c:v>
                </c:pt>
                <c:pt idx="2787">
                  <c:v>2.2341209993763655E-2</c:v>
                </c:pt>
                <c:pt idx="2788">
                  <c:v>2.2342253340292828E-2</c:v>
                </c:pt>
                <c:pt idx="2789">
                  <c:v>2.234331756715946E-2</c:v>
                </c:pt>
                <c:pt idx="2790">
                  <c:v>2.2344402674043806E-2</c:v>
                </c:pt>
                <c:pt idx="2791">
                  <c:v>2.234550866110574E-2</c:v>
                </c:pt>
                <c:pt idx="2792">
                  <c:v>2.234663552834526E-2</c:v>
                </c:pt>
                <c:pt idx="2793">
                  <c:v>2.2347783275682431E-2</c:v>
                </c:pt>
                <c:pt idx="2794">
                  <c:v>2.2348951903436998E-2</c:v>
                </c:pt>
                <c:pt idx="2795">
                  <c:v>2.2350141411049407E-2</c:v>
                </c:pt>
                <c:pt idx="2796">
                  <c:v>2.2351351798999275E-2</c:v>
                </c:pt>
                <c:pt idx="2797">
                  <c:v>2.235258306712673E-2</c:v>
                </c:pt>
                <c:pt idx="2798">
                  <c:v>2.2353835215431772E-2</c:v>
                </c:pt>
                <c:pt idx="2799">
                  <c:v>2.2355108243754529E-2</c:v>
                </c:pt>
                <c:pt idx="2800">
                  <c:v>2.2356402152494681E-2</c:v>
                </c:pt>
                <c:pt idx="2801">
                  <c:v>2.2357716941332484E-2</c:v>
                </c:pt>
                <c:pt idx="2802">
                  <c:v>2.2359052610108066E-2</c:v>
                </c:pt>
                <c:pt idx="2803">
                  <c:v>2.2360409159380978E-2</c:v>
                </c:pt>
                <c:pt idx="2804">
                  <c:v>2.2361786588671606E-2</c:v>
                </c:pt>
                <c:pt idx="2805">
                  <c:v>2.2363184898139821E-2</c:v>
                </c:pt>
                <c:pt idx="2806">
                  <c:v>2.2364604087705686E-2</c:v>
                </c:pt>
                <c:pt idx="2807">
                  <c:v>2.2366044157609011E-2</c:v>
                </c:pt>
                <c:pt idx="2808">
                  <c:v>2.236750510753005E-2</c:v>
                </c:pt>
                <c:pt idx="2809">
                  <c:v>2.2368986937708613E-2</c:v>
                </c:pt>
                <c:pt idx="2810">
                  <c:v>2.2370489648144698E-2</c:v>
                </c:pt>
                <c:pt idx="2811">
                  <c:v>2.2372013238678434E-2</c:v>
                </c:pt>
                <c:pt idx="2812">
                  <c:v>2.2373557709389758E-2</c:v>
                </c:pt>
                <c:pt idx="2813">
                  <c:v>2.2375123060198732E-2</c:v>
                </c:pt>
                <c:pt idx="2814">
                  <c:v>2.2376709291345165E-2</c:v>
                </c:pt>
                <c:pt idx="2815">
                  <c:v>2.2378316402509313E-2</c:v>
                </c:pt>
                <c:pt idx="2816">
                  <c:v>2.237994439401092E-2</c:v>
                </c:pt>
                <c:pt idx="2817">
                  <c:v>2.2381593265450306E-2</c:v>
                </c:pt>
                <c:pt idx="2818">
                  <c:v>2.2383263017227151E-2</c:v>
                </c:pt>
                <c:pt idx="2819">
                  <c:v>2.2384953649181583E-2</c:v>
                </c:pt>
                <c:pt idx="2820">
                  <c:v>2.2386665161313601E-2</c:v>
                </c:pt>
                <c:pt idx="2821">
                  <c:v>2.2388397553543271E-2</c:v>
                </c:pt>
                <c:pt idx="2822">
                  <c:v>2.23901508261104E-2</c:v>
                </c:pt>
                <c:pt idx="2823">
                  <c:v>2.2391924978615307E-2</c:v>
                </c:pt>
                <c:pt idx="2824">
                  <c:v>2.2393720011377738E-2</c:v>
                </c:pt>
                <c:pt idx="2825">
                  <c:v>2.2395535924557564E-2</c:v>
                </c:pt>
                <c:pt idx="2826">
                  <c:v>2.2397372717675168E-2</c:v>
                </c:pt>
                <c:pt idx="2827">
                  <c:v>2.2399230390970359E-2</c:v>
                </c:pt>
                <c:pt idx="2828">
                  <c:v>2.2401108944443138E-2</c:v>
                </c:pt>
                <c:pt idx="2829">
                  <c:v>2.2403008378333311E-2</c:v>
                </c:pt>
                <c:pt idx="2830">
                  <c:v>2.2404928692161263E-2</c:v>
                </c:pt>
                <c:pt idx="2831">
                  <c:v>2.2406869886166803E-2</c:v>
                </c:pt>
                <c:pt idx="2832">
                  <c:v>2.2408831960509801E-2</c:v>
                </c:pt>
                <c:pt idx="2833">
                  <c:v>2.241081491495045E-2</c:v>
                </c:pt>
                <c:pt idx="2834">
                  <c:v>2.2412818749648622E-2</c:v>
                </c:pt>
                <c:pt idx="2835">
                  <c:v>2.2414843464364509E-2</c:v>
                </c:pt>
                <c:pt idx="2836">
                  <c:v>2.2416889059417855E-2</c:v>
                </c:pt>
                <c:pt idx="2837">
                  <c:v>2.2418955534568852E-2</c:v>
                </c:pt>
                <c:pt idx="2838">
                  <c:v>2.24210428898175E-2</c:v>
                </c:pt>
                <c:pt idx="2839">
                  <c:v>2.242315112532367E-2</c:v>
                </c:pt>
                <c:pt idx="2840">
                  <c:v>2.2425280241247236E-2</c:v>
                </c:pt>
                <c:pt idx="2841">
                  <c:v>2.2427430237108581E-2</c:v>
                </c:pt>
                <c:pt idx="2842">
                  <c:v>2.2429601113067577E-2</c:v>
                </c:pt>
                <c:pt idx="2843">
                  <c:v>2.2431792869443967E-2</c:v>
                </c:pt>
                <c:pt idx="2844">
                  <c:v>2.2434005505918009E-2</c:v>
                </c:pt>
                <c:pt idx="2845">
                  <c:v>2.2436239022569637E-2</c:v>
                </c:pt>
                <c:pt idx="2846">
                  <c:v>2.2438493419318917E-2</c:v>
                </c:pt>
                <c:pt idx="2847">
                  <c:v>2.2440768696405655E-2</c:v>
                </c:pt>
                <c:pt idx="2848">
                  <c:v>2.2443064853590045E-2</c:v>
                </c:pt>
                <c:pt idx="2849">
                  <c:v>2.2445381890872085E-2</c:v>
                </c:pt>
                <c:pt idx="2850">
                  <c:v>2.244771980857152E-2</c:v>
                </c:pt>
                <c:pt idx="2851">
                  <c:v>2.2450078606368606E-2</c:v>
                </c:pt>
                <c:pt idx="2852">
                  <c:v>2.245245828434328E-2</c:v>
                </c:pt>
                <c:pt idx="2853">
                  <c:v>2.245485884249554E-2</c:v>
                </c:pt>
                <c:pt idx="2854">
                  <c:v>2.2457280280825387E-2</c:v>
                </c:pt>
                <c:pt idx="2855">
                  <c:v>2.2459722599332821E-2</c:v>
                </c:pt>
                <c:pt idx="2856">
                  <c:v>2.2462185798017842E-2</c:v>
                </c:pt>
                <c:pt idx="2857">
                  <c:v>2.246466987688045E-2</c:v>
                </c:pt>
                <c:pt idx="2858">
                  <c:v>2.2467174836080517E-2</c:v>
                </c:pt>
                <c:pt idx="2859">
                  <c:v>2.2469700675298299E-2</c:v>
                </c:pt>
                <c:pt idx="2860">
                  <c:v>2.2472247394773603E-2</c:v>
                </c:pt>
                <c:pt idx="2861">
                  <c:v>2.2474814994426495E-2</c:v>
                </c:pt>
                <c:pt idx="2862">
                  <c:v>2.247740347433691E-2</c:v>
                </c:pt>
                <c:pt idx="2863">
                  <c:v>2.2480012834424912E-2</c:v>
                </c:pt>
                <c:pt idx="2864">
                  <c:v>2.2482643074610564E-2</c:v>
                </c:pt>
                <c:pt idx="2865">
                  <c:v>2.2485294195133676E-2</c:v>
                </c:pt>
                <c:pt idx="2866">
                  <c:v>2.2487966195834375E-2</c:v>
                </c:pt>
                <c:pt idx="2867">
                  <c:v>2.2490659076552788E-2</c:v>
                </c:pt>
                <c:pt idx="2868">
                  <c:v>2.2493372837528725E-2</c:v>
                </c:pt>
                <c:pt idx="2869">
                  <c:v>2.2496107478762184E-2</c:v>
                </c:pt>
                <c:pt idx="2870">
                  <c:v>2.2498863000333102E-2</c:v>
                </c:pt>
                <c:pt idx="2871">
                  <c:v>2.2501639401921736E-2</c:v>
                </c:pt>
                <c:pt idx="2872">
                  <c:v>2.2504436683767892E-2</c:v>
                </c:pt>
                <c:pt idx="2873">
                  <c:v>2.2507254845711699E-2</c:v>
                </c:pt>
                <c:pt idx="2874">
                  <c:v>2.251009388791303E-2</c:v>
                </c:pt>
                <c:pt idx="2875">
                  <c:v>2.2512953810371883E-2</c:v>
                </c:pt>
                <c:pt idx="2876">
                  <c:v>2.2515834612928387E-2</c:v>
                </c:pt>
                <c:pt idx="2877">
                  <c:v>2.251873629582235E-2</c:v>
                </c:pt>
                <c:pt idx="2878">
                  <c:v>2.2521658858734028E-2</c:v>
                </c:pt>
                <c:pt idx="2879">
                  <c:v>2.2524602302063101E-2</c:v>
                </c:pt>
                <c:pt idx="2880">
                  <c:v>2.2527566625409889E-2</c:v>
                </c:pt>
                <c:pt idx="2881">
                  <c:v>2.25305518290142E-2</c:v>
                </c:pt>
                <c:pt idx="2882">
                  <c:v>2.2533557912876034E-2</c:v>
                </c:pt>
                <c:pt idx="2883">
                  <c:v>2.2536584876835519E-2</c:v>
                </c:pt>
                <c:pt idx="2884">
                  <c:v>2.2539632721212399E-2</c:v>
                </c:pt>
                <c:pt idx="2885">
                  <c:v>2.2542701445527058E-2</c:v>
                </c:pt>
                <c:pt idx="2886">
                  <c:v>2.2545791050179176E-2</c:v>
                </c:pt>
                <c:pt idx="2887">
                  <c:v>2.2548901534928945E-2</c:v>
                </c:pt>
                <c:pt idx="2888">
                  <c:v>2.2552032900176044E-2</c:v>
                </c:pt>
                <c:pt idx="2889">
                  <c:v>2.2555185145360923E-2</c:v>
                </c:pt>
                <c:pt idx="2890">
                  <c:v>2.2558358270803325E-2</c:v>
                </c:pt>
                <c:pt idx="2891">
                  <c:v>2.2561552276503249E-2</c:v>
                </c:pt>
                <c:pt idx="2892">
                  <c:v>2.2564767162380761E-2</c:v>
                </c:pt>
                <c:pt idx="2893">
                  <c:v>2.256800292843586E-2</c:v>
                </c:pt>
                <c:pt idx="2894">
                  <c:v>2.2571259574828417E-2</c:v>
                </c:pt>
                <c:pt idx="2895">
                  <c:v>2.257453710123869E-2</c:v>
                </c:pt>
                <c:pt idx="2896">
                  <c:v>2.2577835507986421E-2</c:v>
                </c:pt>
                <c:pt idx="2897">
                  <c:v>2.2581154794831804E-2</c:v>
                </c:pt>
                <c:pt idx="2898">
                  <c:v>2.2584494962094581E-2</c:v>
                </c:pt>
                <c:pt idx="2899">
                  <c:v>2.258785600945501E-2</c:v>
                </c:pt>
                <c:pt idx="2900">
                  <c:v>2.2591237936833153E-2</c:v>
                </c:pt>
                <c:pt idx="2901">
                  <c:v>2.2594640744788563E-2</c:v>
                </c:pt>
                <c:pt idx="2902">
                  <c:v>2.2598064432681753E-2</c:v>
                </c:pt>
                <c:pt idx="2903">
                  <c:v>2.2601509000832465E-2</c:v>
                </c:pt>
                <c:pt idx="2904">
                  <c:v>2.26049744492407E-2</c:v>
                </c:pt>
                <c:pt idx="2905">
                  <c:v>2.2608460777986394E-2</c:v>
                </c:pt>
                <c:pt idx="2906">
                  <c:v>2.261196798682974E-2</c:v>
                </c:pt>
                <c:pt idx="2907">
                  <c:v>2.2615496075770736E-2</c:v>
                </c:pt>
                <c:pt idx="2908">
                  <c:v>2.2619045045288999E-2</c:v>
                </c:pt>
                <c:pt idx="2909">
                  <c:v>2.2622614894665105E-2</c:v>
                </c:pt>
                <c:pt idx="2910">
                  <c:v>2.262620562437867E-2</c:v>
                </c:pt>
                <c:pt idx="2911">
                  <c:v>2.2629817234269822E-2</c:v>
                </c:pt>
                <c:pt idx="2912">
                  <c:v>2.2633449724578369E-2</c:v>
                </c:pt>
                <c:pt idx="2913">
                  <c:v>2.2637103094904631E-2</c:v>
                </c:pt>
                <c:pt idx="2914">
                  <c:v>2.264077734540848E-2</c:v>
                </c:pt>
                <c:pt idx="2915">
                  <c:v>2.2644472476169852E-2</c:v>
                </c:pt>
                <c:pt idx="2916">
                  <c:v>2.2648188487348619E-2</c:v>
                </c:pt>
                <c:pt idx="2917">
                  <c:v>2.2651925378625037E-2</c:v>
                </c:pt>
                <c:pt idx="2918">
                  <c:v>2.2655683150079042E-2</c:v>
                </c:pt>
                <c:pt idx="2919">
                  <c:v>2.2659461801710634E-2</c:v>
                </c:pt>
                <c:pt idx="2920">
                  <c:v>2.2663261333839557E-2</c:v>
                </c:pt>
                <c:pt idx="2921">
                  <c:v>2.2667081745906259E-2</c:v>
                </c:pt>
                <c:pt idx="2922">
                  <c:v>2.2670923038230484E-2</c:v>
                </c:pt>
                <c:pt idx="2923">
                  <c:v>2.2674785210972104E-2</c:v>
                </c:pt>
                <c:pt idx="2924">
                  <c:v>2.2678668263811375E-2</c:v>
                </c:pt>
                <c:pt idx="2925">
                  <c:v>2.2682572196748296E-2</c:v>
                </c:pt>
                <c:pt idx="2926">
                  <c:v>2.2686497010102613E-2</c:v>
                </c:pt>
                <c:pt idx="2927">
                  <c:v>2.2690442703714453E-2</c:v>
                </c:pt>
                <c:pt idx="2928">
                  <c:v>2.2694409277423944E-2</c:v>
                </c:pt>
                <c:pt idx="2929">
                  <c:v>2.2698396731390957E-2</c:v>
                </c:pt>
                <c:pt idx="2930">
                  <c:v>2.270240506569543E-2</c:v>
                </c:pt>
                <c:pt idx="2931">
                  <c:v>2.270643428017749E-2</c:v>
                </c:pt>
                <c:pt idx="2932">
                  <c:v>2.2710484374837137E-2</c:v>
                </c:pt>
                <c:pt idx="2933">
                  <c:v>2.271455534967437E-2</c:v>
                </c:pt>
                <c:pt idx="2934">
                  <c:v>2.2718647204849063E-2</c:v>
                </c:pt>
                <c:pt idx="2935">
                  <c:v>2.2722759940281279E-2</c:v>
                </c:pt>
                <c:pt idx="2936">
                  <c:v>2.2726893555891081E-2</c:v>
                </c:pt>
                <c:pt idx="2937">
                  <c:v>2.2731048051838343E-2</c:v>
                </c:pt>
                <c:pt idx="2938">
                  <c:v>2.2735821614743301E-2</c:v>
                </c:pt>
                <c:pt idx="2939">
                  <c:v>2.2740020854019605E-2</c:v>
                </c:pt>
                <c:pt idx="2940">
                  <c:v>2.2744240973393559E-2</c:v>
                </c:pt>
                <c:pt idx="2941">
                  <c:v>2.2748481973184909E-2</c:v>
                </c:pt>
                <c:pt idx="2942">
                  <c:v>2.2752743853153845E-2</c:v>
                </c:pt>
                <c:pt idx="2943">
                  <c:v>2.2757026613300368E-2</c:v>
                </c:pt>
                <c:pt idx="2944">
                  <c:v>2.2761330253784351E-2</c:v>
                </c:pt>
                <c:pt idx="2945">
                  <c:v>2.276565477444592E-2</c:v>
                </c:pt>
                <c:pt idx="2946">
                  <c:v>2.2770000175365013E-2</c:v>
                </c:pt>
                <c:pt idx="2947">
                  <c:v>2.2774366456541628E-2</c:v>
                </c:pt>
                <c:pt idx="2948">
                  <c:v>2.2778753617815894E-2</c:v>
                </c:pt>
                <c:pt idx="2949">
                  <c:v>2.2783161659587492E-2</c:v>
                </c:pt>
                <c:pt idx="2950">
                  <c:v>2.278759058145674E-2</c:v>
                </c:pt>
                <c:pt idx="2951">
                  <c:v>2.2792040383663448E-2</c:v>
                </c:pt>
                <c:pt idx="2952">
                  <c:v>2.2796511066127678E-2</c:v>
                </c:pt>
                <c:pt idx="2953">
                  <c:v>2.2801002628769496E-2</c:v>
                </c:pt>
                <c:pt idx="2954">
                  <c:v>2.2805515071668836E-2</c:v>
                </c:pt>
                <c:pt idx="2955">
                  <c:v>2.2810048394665827E-2</c:v>
                </c:pt>
                <c:pt idx="2956">
                  <c:v>2.281460259816015E-2</c:v>
                </c:pt>
                <c:pt idx="2957">
                  <c:v>2.2819177681832059E-2</c:v>
                </c:pt>
                <c:pt idx="2958">
                  <c:v>2.2823773645681555E-2</c:v>
                </c:pt>
                <c:pt idx="2959">
                  <c:v>2.2828390489868511E-2</c:v>
                </c:pt>
                <c:pt idx="2960">
                  <c:v>2.2833028214233053E-2</c:v>
                </c:pt>
                <c:pt idx="2961">
                  <c:v>2.2837686819014991E-2</c:v>
                </c:pt>
                <c:pt idx="2962">
                  <c:v>2.2842366303894579E-2</c:v>
                </c:pt>
                <c:pt idx="2963">
                  <c:v>2.284706666903169E-2</c:v>
                </c:pt>
                <c:pt idx="2964">
                  <c:v>2.2851787914586197E-2</c:v>
                </c:pt>
                <c:pt idx="2965">
                  <c:v>2.2856530040238354E-2</c:v>
                </c:pt>
                <c:pt idx="2966">
                  <c:v>2.2861293046148035E-2</c:v>
                </c:pt>
                <c:pt idx="2967">
                  <c:v>2.2866076932395174E-2</c:v>
                </c:pt>
                <c:pt idx="2968">
                  <c:v>2.2870881698899836E-2</c:v>
                </c:pt>
                <c:pt idx="2969">
                  <c:v>2.287570734550215E-2</c:v>
                </c:pt>
                <c:pt idx="2970">
                  <c:v>2.2880553872521858E-2</c:v>
                </c:pt>
                <c:pt idx="2971">
                  <c:v>2.2885421279879026E-2</c:v>
                </c:pt>
                <c:pt idx="2972">
                  <c:v>2.289030956741378E-2</c:v>
                </c:pt>
                <c:pt idx="2973">
                  <c:v>2.2895218735206058E-2</c:v>
                </c:pt>
                <c:pt idx="2974">
                  <c:v>2.2900148783335794E-2</c:v>
                </c:pt>
                <c:pt idx="2975">
                  <c:v>2.2905099711643118E-2</c:v>
                </c:pt>
                <c:pt idx="2976">
                  <c:v>2.2910071520128028E-2</c:v>
                </c:pt>
                <c:pt idx="2977">
                  <c:v>2.2915064209030334E-2</c:v>
                </c:pt>
                <c:pt idx="2978">
                  <c:v>2.2920077778190162E-2</c:v>
                </c:pt>
                <c:pt idx="2979">
                  <c:v>2.2925112227607514E-2</c:v>
                </c:pt>
                <c:pt idx="2980">
                  <c:v>2.2930167557282388E-2</c:v>
                </c:pt>
                <c:pt idx="2981">
                  <c:v>2.2935243767294722E-2</c:v>
                </c:pt>
                <c:pt idx="2982">
                  <c:v>2.2940340857484642E-2</c:v>
                </c:pt>
                <c:pt idx="2983">
                  <c:v>2.2945458827932086E-2</c:v>
                </c:pt>
                <c:pt idx="2984">
                  <c:v>2.2950597678716989E-2</c:v>
                </c:pt>
                <c:pt idx="2985">
                  <c:v>2.2955757409759414E-2</c:v>
                </c:pt>
                <c:pt idx="2986">
                  <c:v>2.2960938021059363E-2</c:v>
                </c:pt>
                <c:pt idx="2987">
                  <c:v>2.2966139512776707E-2</c:v>
                </c:pt>
                <c:pt idx="2988">
                  <c:v>2.2971361884431829E-2</c:v>
                </c:pt>
                <c:pt idx="2989">
                  <c:v>2.2976605136744155E-2</c:v>
                </c:pt>
                <c:pt idx="2990">
                  <c:v>2.2982622992477886E-2</c:v>
                </c:pt>
                <c:pt idx="2991">
                  <c:v>2.2987910988119253E-2</c:v>
                </c:pt>
                <c:pt idx="2992">
                  <c:v>2.299321986409808E-2</c:v>
                </c:pt>
                <c:pt idx="2993">
                  <c:v>2.2998549620174558E-2</c:v>
                </c:pt>
                <c:pt idx="2994">
                  <c:v>2.3003900256748366E-2</c:v>
                </c:pt>
                <c:pt idx="2995">
                  <c:v>2.3009271773499762E-2</c:v>
                </c:pt>
                <c:pt idx="2996">
                  <c:v>2.3014664170428745E-2</c:v>
                </c:pt>
                <c:pt idx="2997">
                  <c:v>2.3020077447775122E-2</c:v>
                </c:pt>
                <c:pt idx="2998">
                  <c:v>2.3025511605538895E-2</c:v>
                </c:pt>
                <c:pt idx="2999">
                  <c:v>2.3030966643400319E-2</c:v>
                </c:pt>
                <c:pt idx="3000">
                  <c:v>2.303644256143933E-2</c:v>
                </c:pt>
                <c:pt idx="3001">
                  <c:v>2.3041939360135544E-2</c:v>
                </c:pt>
                <c:pt idx="3002">
                  <c:v>2.3047457038929409E-2</c:v>
                </c:pt>
                <c:pt idx="3003">
                  <c:v>2.3052995597980797E-2</c:v>
                </c:pt>
                <c:pt idx="3004">
                  <c:v>2.3063102179072814E-2</c:v>
                </c:pt>
                <c:pt idx="3005">
                  <c:v>2.3064135356936077E-2</c:v>
                </c:pt>
                <c:pt idx="3006">
                  <c:v>2.306973655683997E-2</c:v>
                </c:pt>
                <c:pt idx="3007">
                  <c:v>2.3075358637001386E-2</c:v>
                </c:pt>
                <c:pt idx="3008">
                  <c:v>2.3084097901033829E-2</c:v>
                </c:pt>
                <c:pt idx="3009">
                  <c:v>2.3089768434836344E-2</c:v>
                </c:pt>
                <c:pt idx="3010">
                  <c:v>2.3095459851800726E-2</c:v>
                </c:pt>
                <c:pt idx="3011">
                  <c:v>2.310117215200691E-2</c:v>
                </c:pt>
                <c:pt idx="3012">
                  <c:v>2.310690533526838E-2</c:v>
                </c:pt>
                <c:pt idx="3013">
                  <c:v>2.311264931269541E-2</c:v>
                </c:pt>
                <c:pt idx="3014">
                  <c:v>2.3118383254976393E-2</c:v>
                </c:pt>
                <c:pt idx="3015">
                  <c:v>2.3124106185878901E-2</c:v>
                </c:pt>
                <c:pt idx="3016">
                  <c:v>2.3129818105376287E-2</c:v>
                </c:pt>
                <c:pt idx="3017">
                  <c:v>2.3135519013495198E-2</c:v>
                </c:pt>
                <c:pt idx="3018">
                  <c:v>2.3141208910182343E-2</c:v>
                </c:pt>
                <c:pt idx="3019">
                  <c:v>2.314688779538443E-2</c:v>
                </c:pt>
                <c:pt idx="3020">
                  <c:v>2.3152555669208041E-2</c:v>
                </c:pt>
                <c:pt idx="3021">
                  <c:v>2.3158212531626532E-2</c:v>
                </c:pt>
                <c:pt idx="3022">
                  <c:v>2.3163858382613256E-2</c:v>
                </c:pt>
                <c:pt idx="3023">
                  <c:v>2.3169493222141568E-2</c:v>
                </c:pt>
                <c:pt idx="3024">
                  <c:v>2.3175117050291405E-2</c:v>
                </c:pt>
                <c:pt idx="3025">
                  <c:v>2.3180729867009475E-2</c:v>
                </c:pt>
                <c:pt idx="3026">
                  <c:v>2.3186331672269134E-2</c:v>
                </c:pt>
                <c:pt idx="3027">
                  <c:v>2.319192246607038E-2</c:v>
                </c:pt>
                <c:pt idx="3028">
                  <c:v>2.3197502248466506E-2</c:v>
                </c:pt>
                <c:pt idx="3029">
                  <c:v>2.3203071019457511E-2</c:v>
                </c:pt>
                <c:pt idx="3030">
                  <c:v>2.3208628778990104E-2</c:v>
                </c:pt>
                <c:pt idx="3031">
                  <c:v>2.3214175527064285E-2</c:v>
                </c:pt>
                <c:pt idx="3032">
                  <c:v>2.3219711263733345E-2</c:v>
                </c:pt>
                <c:pt idx="3033">
                  <c:v>2.3225235988970638E-2</c:v>
                </c:pt>
                <c:pt idx="3034">
                  <c:v>2.323074970269623E-2</c:v>
                </c:pt>
                <c:pt idx="3035">
                  <c:v>2.323625240506999E-2</c:v>
                </c:pt>
                <c:pt idx="3036">
                  <c:v>2.3241744095905403E-2</c:v>
                </c:pt>
                <c:pt idx="3037">
                  <c:v>2.3247224775335695E-2</c:v>
                </c:pt>
                <c:pt idx="3038">
                  <c:v>2.3252694443334221E-2</c:v>
                </c:pt>
                <c:pt idx="3039">
                  <c:v>2.325815309990098E-2</c:v>
                </c:pt>
                <c:pt idx="3040">
                  <c:v>2.3263600744929391E-2</c:v>
                </c:pt>
                <c:pt idx="3041">
                  <c:v>2.3269037378579327E-2</c:v>
                </c:pt>
                <c:pt idx="3042">
                  <c:v>2.3274506468906608E-2</c:v>
                </c:pt>
                <c:pt idx="3043">
                  <c:v>2.327991723386269E-2</c:v>
                </c:pt>
                <c:pt idx="3044">
                  <c:v>2.3285316988426175E-2</c:v>
                </c:pt>
                <c:pt idx="3045">
                  <c:v>2.3290705732836869E-2</c:v>
                </c:pt>
                <c:pt idx="3046">
                  <c:v>2.3296083467094775E-2</c:v>
                </c:pt>
                <c:pt idx="3047">
                  <c:v>2.3301450191119955E-2</c:v>
                </c:pt>
                <c:pt idx="3048">
                  <c:v>2.3306805905152217E-2</c:v>
                </c:pt>
                <c:pt idx="3049">
                  <c:v>2.3312150608711946E-2</c:v>
                </c:pt>
                <c:pt idx="3050">
                  <c:v>2.3317484302278757E-2</c:v>
                </c:pt>
                <c:pt idx="3051">
                  <c:v>2.3322806985532907E-2</c:v>
                </c:pt>
                <c:pt idx="3052">
                  <c:v>2.3328118658554331E-2</c:v>
                </c:pt>
                <c:pt idx="3053">
                  <c:v>2.3333419321502902E-2</c:v>
                </c:pt>
                <c:pt idx="3054">
                  <c:v>2.3338708974218747E-2</c:v>
                </c:pt>
                <c:pt idx="3055">
                  <c:v>2.3344740809490006E-2</c:v>
                </c:pt>
                <c:pt idx="3056">
                  <c:v>2.3350006868998463E-2</c:v>
                </c:pt>
                <c:pt idx="3057">
                  <c:v>2.3355261918114323E-2</c:v>
                </c:pt>
                <c:pt idx="3058">
                  <c:v>2.3360505957157329E-2</c:v>
                </c:pt>
                <c:pt idx="3059">
                  <c:v>2.336573898596761E-2</c:v>
                </c:pt>
                <c:pt idx="3060">
                  <c:v>2.3370961004545165E-2</c:v>
                </c:pt>
                <c:pt idx="3061">
                  <c:v>2.3376172012810059E-2</c:v>
                </c:pt>
                <c:pt idx="3062">
                  <c:v>2.3381372011002099E-2</c:v>
                </c:pt>
                <c:pt idx="3063">
                  <c:v>2.3386560998881478E-2</c:v>
                </c:pt>
                <c:pt idx="3064">
                  <c:v>2.3391738976688004E-2</c:v>
                </c:pt>
                <c:pt idx="3065">
                  <c:v>2.3396905944261803E-2</c:v>
                </c:pt>
                <c:pt idx="3066">
                  <c:v>2.3402061901602877E-2</c:v>
                </c:pt>
                <c:pt idx="3067">
                  <c:v>2.3407206848711226E-2</c:v>
                </c:pt>
                <c:pt idx="3068">
                  <c:v>2.3412340785666785E-2</c:v>
                </c:pt>
                <c:pt idx="3069">
                  <c:v>2.3417463712309683E-2</c:v>
                </c:pt>
                <c:pt idx="3070">
                  <c:v>2.3422575628959663E-2</c:v>
                </c:pt>
                <c:pt idx="3071">
                  <c:v>2.342767653513711E-2</c:v>
                </c:pt>
                <c:pt idx="3072">
                  <c:v>2.3432766431241703E-2</c:v>
                </c:pt>
                <c:pt idx="3073">
                  <c:v>2.3437845317033634E-2</c:v>
                </c:pt>
                <c:pt idx="3074">
                  <c:v>2.3442913192752712E-2</c:v>
                </c:pt>
                <c:pt idx="3075">
                  <c:v>2.3447970058319001E-2</c:v>
                </c:pt>
                <c:pt idx="3076">
                  <c:v>2.3453015913412756E-2</c:v>
                </c:pt>
                <c:pt idx="3077">
                  <c:v>2.3458050758433657E-2</c:v>
                </c:pt>
                <c:pt idx="3078">
                  <c:v>2.3463074593301769E-2</c:v>
                </c:pt>
                <c:pt idx="3079">
                  <c:v>2.3468087417777284E-2</c:v>
                </c:pt>
                <c:pt idx="3080">
                  <c:v>2.3473089232259881E-2</c:v>
                </c:pt>
                <c:pt idx="3081">
                  <c:v>2.3478080036429816E-2</c:v>
                </c:pt>
                <c:pt idx="3082">
                  <c:v>2.3483059830367026E-2</c:v>
                </c:pt>
                <c:pt idx="3083">
                  <c:v>2.348802861407151E-2</c:v>
                </c:pt>
                <c:pt idx="3084">
                  <c:v>2.3492986387703141E-2</c:v>
                </c:pt>
                <c:pt idx="3085">
                  <c:v>2.349793315102211E-2</c:v>
                </c:pt>
                <c:pt idx="3086">
                  <c:v>2.3502868904108354E-2</c:v>
                </c:pt>
                <c:pt idx="3087">
                  <c:v>2.3507793646961872E-2</c:v>
                </c:pt>
                <c:pt idx="3088">
                  <c:v>2.3512707379662601E-2</c:v>
                </c:pt>
                <c:pt idx="3089">
                  <c:v>2.3517610102050668E-2</c:v>
                </c:pt>
                <c:pt idx="3090">
                  <c:v>2.3522501814126073E-2</c:v>
                </c:pt>
                <c:pt idx="3091">
                  <c:v>2.3527382516288498E-2</c:v>
                </c:pt>
                <c:pt idx="3092">
                  <c:v>2.3532252208058324E-2</c:v>
                </c:pt>
                <c:pt idx="3093">
                  <c:v>2.3537110889595425E-2</c:v>
                </c:pt>
                <c:pt idx="3094">
                  <c:v>2.3541958560979737E-2</c:v>
                </c:pt>
                <c:pt idx="3095">
                  <c:v>2.3546795222051387E-2</c:v>
                </c:pt>
                <c:pt idx="3096">
                  <c:v>2.3551620873050183E-2</c:v>
                </c:pt>
                <c:pt idx="3097">
                  <c:v>2.3556435513656382E-2</c:v>
                </c:pt>
                <c:pt idx="3098">
                  <c:v>2.3561239144189727E-2</c:v>
                </c:pt>
                <c:pt idx="3099">
                  <c:v>2.3566031764490347E-2</c:v>
                </c:pt>
                <c:pt idx="3100">
                  <c:v>2.3570813374478305E-2</c:v>
                </c:pt>
                <c:pt idx="3101">
                  <c:v>2.3575583974313474E-2</c:v>
                </c:pt>
                <c:pt idx="3102">
                  <c:v>2.3580343563835982E-2</c:v>
                </c:pt>
                <c:pt idx="3103">
                  <c:v>2.3585092143205699E-2</c:v>
                </c:pt>
                <c:pt idx="3104">
                  <c:v>2.3589829712342691E-2</c:v>
                </c:pt>
                <c:pt idx="3105">
                  <c:v>2.3594556271246958E-2</c:v>
                </c:pt>
                <c:pt idx="3106">
                  <c:v>2.3599271819838563E-2</c:v>
                </c:pt>
                <c:pt idx="3107">
                  <c:v>2.3603976358437251E-2</c:v>
                </c:pt>
                <c:pt idx="3108">
                  <c:v>2.3608669886483469E-2</c:v>
                </c:pt>
                <c:pt idx="3109">
                  <c:v>2.3613352404536769E-2</c:v>
                </c:pt>
                <c:pt idx="3110">
                  <c:v>2.361802391243728E-2</c:v>
                </c:pt>
                <c:pt idx="3111">
                  <c:v>2.3622684409865258E-2</c:v>
                </c:pt>
                <c:pt idx="3112">
                  <c:v>2.3627333897140446E-2</c:v>
                </c:pt>
                <c:pt idx="3113">
                  <c:v>2.363197237434278E-2</c:v>
                </c:pt>
                <c:pt idx="3114">
                  <c:v>2.3636599841152517E-2</c:v>
                </c:pt>
                <c:pt idx="3115">
                  <c:v>2.3641216297809464E-2</c:v>
                </c:pt>
                <c:pt idx="3116">
                  <c:v>2.364582174415375E-2</c:v>
                </c:pt>
                <c:pt idx="3117">
                  <c:v>2.3650416180425182E-2</c:v>
                </c:pt>
                <c:pt idx="3118">
                  <c:v>2.3654999606304017E-2</c:v>
                </c:pt>
                <c:pt idx="3119">
                  <c:v>2.3659572021950126E-2</c:v>
                </c:pt>
                <c:pt idx="3120">
                  <c:v>2.3664133427523382E-2</c:v>
                </c:pt>
                <c:pt idx="3121">
                  <c:v>2.366868382270404E-2</c:v>
                </c:pt>
                <c:pt idx="3122">
                  <c:v>2.3673223207811844E-2</c:v>
                </c:pt>
                <c:pt idx="3123">
                  <c:v>2.3677751582527051E-2</c:v>
                </c:pt>
                <c:pt idx="3124">
                  <c:v>2.3682268947169405E-2</c:v>
                </c:pt>
                <c:pt idx="3125">
                  <c:v>2.3686775301499097E-2</c:v>
                </c:pt>
                <c:pt idx="3126">
                  <c:v>2.3691270645436191E-2</c:v>
                </c:pt>
                <c:pt idx="3127">
                  <c:v>2.3695754979300432E-2</c:v>
                </c:pt>
                <c:pt idx="3128">
                  <c:v>2.3700228303011883E-2</c:v>
                </c:pt>
                <c:pt idx="3129">
                  <c:v>2.3704690616330737E-2</c:v>
                </c:pt>
                <c:pt idx="3130">
                  <c:v>2.3709141919496801E-2</c:v>
                </c:pt>
                <c:pt idx="3131">
                  <c:v>2.371358221243014E-2</c:v>
                </c:pt>
                <c:pt idx="3132">
                  <c:v>2.3718011495130753E-2</c:v>
                </c:pt>
                <c:pt idx="3133">
                  <c:v>2.3722429767598641E-2</c:v>
                </c:pt>
                <c:pt idx="3134">
                  <c:v>2.3726837029673931E-2</c:v>
                </c:pt>
                <c:pt idx="3135">
                  <c:v>2.3731233281676367E-2</c:v>
                </c:pt>
                <c:pt idx="3136">
                  <c:v>2.3735618523366142E-2</c:v>
                </c:pt>
                <c:pt idx="3137">
                  <c:v>2.3739992754903128E-2</c:v>
                </c:pt>
                <c:pt idx="3138">
                  <c:v>2.3744355976127451E-2</c:v>
                </c:pt>
                <c:pt idx="3139">
                  <c:v>2.3748708187198986E-2</c:v>
                </c:pt>
                <c:pt idx="3140">
                  <c:v>2.3753049388037795E-2</c:v>
                </c:pt>
                <c:pt idx="3141">
                  <c:v>2.375737957840407E-2</c:v>
                </c:pt>
                <c:pt idx="3142">
                  <c:v>2.3761698758777428E-2</c:v>
                </c:pt>
                <c:pt idx="3143">
                  <c:v>2.3766006928758188E-2</c:v>
                </c:pt>
                <c:pt idx="3144">
                  <c:v>2.3770304088586158E-2</c:v>
                </c:pt>
                <c:pt idx="3145">
                  <c:v>2.3774590238101467E-2</c:v>
                </c:pt>
                <c:pt idx="3146">
                  <c:v>2.3778865377543923E-2</c:v>
                </c:pt>
                <c:pt idx="3147">
                  <c:v>2.3783129506673717E-2</c:v>
                </c:pt>
                <c:pt idx="3148">
                  <c:v>2.3787382625410913E-2</c:v>
                </c:pt>
                <c:pt idx="3149">
                  <c:v>2.3791624734155192E-2</c:v>
                </c:pt>
                <c:pt idx="3150">
                  <c:v>2.3795855832347002E-2</c:v>
                </c:pt>
                <c:pt idx="3151">
                  <c:v>2.3800075920625829E-2</c:v>
                </c:pt>
                <c:pt idx="3152">
                  <c:v>2.3804284998352188E-2</c:v>
                </c:pt>
                <c:pt idx="3153">
                  <c:v>2.3808483066085628E-2</c:v>
                </c:pt>
                <c:pt idx="3154">
                  <c:v>2.3812670123426471E-2</c:v>
                </c:pt>
                <c:pt idx="3155">
                  <c:v>2.3816846170454653E-2</c:v>
                </c:pt>
                <c:pt idx="3156">
                  <c:v>2.3821011207489917E-2</c:v>
                </c:pt>
                <c:pt idx="3157">
                  <c:v>2.3825165234052648E-2</c:v>
                </c:pt>
                <c:pt idx="3158">
                  <c:v>2.3829308250462589E-2</c:v>
                </c:pt>
                <c:pt idx="3159">
                  <c:v>2.3833440256559868E-2</c:v>
                </c:pt>
                <c:pt idx="3160">
                  <c:v>2.3837561252584294E-2</c:v>
                </c:pt>
                <c:pt idx="3161">
                  <c:v>2.3841671238296058E-2</c:v>
                </c:pt>
                <c:pt idx="3162">
                  <c:v>2.3845770213535289E-2</c:v>
                </c:pt>
                <c:pt idx="3163">
                  <c:v>2.3849858178701666E-2</c:v>
                </c:pt>
                <c:pt idx="3164">
                  <c:v>2.3853935133715254E-2</c:v>
                </c:pt>
                <c:pt idx="3165">
                  <c:v>2.385800107841618E-2</c:v>
                </c:pt>
                <c:pt idx="3166">
                  <c:v>2.3862056012644572E-2</c:v>
                </c:pt>
                <c:pt idx="3167">
                  <c:v>2.3866099936880047E-2</c:v>
                </c:pt>
                <c:pt idx="3168">
                  <c:v>2.3870132850882797E-2</c:v>
                </c:pt>
                <c:pt idx="3169">
                  <c:v>2.3874154754492949E-2</c:v>
                </c:pt>
                <c:pt idx="3170">
                  <c:v>2.3878165647870375E-2</c:v>
                </c:pt>
                <c:pt idx="3171">
                  <c:v>2.3882165531015076E-2</c:v>
                </c:pt>
                <c:pt idx="3172">
                  <c:v>2.3886154404006987E-2</c:v>
                </c:pt>
                <c:pt idx="3173">
                  <c:v>2.3890132266606301E-2</c:v>
                </c:pt>
                <c:pt idx="3174">
                  <c:v>2.3894099118972889E-2</c:v>
                </c:pt>
                <c:pt idx="3175">
                  <c:v>2.3898054961106752E-2</c:v>
                </c:pt>
                <c:pt idx="3176">
                  <c:v>2.3901999793167761E-2</c:v>
                </c:pt>
                <c:pt idx="3177">
                  <c:v>2.3905933614756236E-2</c:v>
                </c:pt>
                <c:pt idx="3178">
                  <c:v>2.390985642603205E-2</c:v>
                </c:pt>
                <c:pt idx="3179">
                  <c:v>2.391376822723501E-2</c:v>
                </c:pt>
                <c:pt idx="3180">
                  <c:v>2.3917669018205245E-2</c:v>
                </c:pt>
                <c:pt idx="3181">
                  <c:v>2.3921558798782883E-2</c:v>
                </c:pt>
                <c:pt idx="3182">
                  <c:v>2.392543756920773E-2</c:v>
                </c:pt>
                <c:pt idx="3183">
                  <c:v>2.392930532923998E-2</c:v>
                </c:pt>
                <c:pt idx="3184">
                  <c:v>2.3933162079119441E-2</c:v>
                </c:pt>
                <c:pt idx="3185">
                  <c:v>2.393700781868624E-2</c:v>
                </c:pt>
                <c:pt idx="3186">
                  <c:v>2.3940842548180186E-2</c:v>
                </c:pt>
                <c:pt idx="3187">
                  <c:v>2.3944666267201598E-2</c:v>
                </c:pt>
                <c:pt idx="3188">
                  <c:v>2.3948478975990284E-2</c:v>
                </c:pt>
                <c:pt idx="3189">
                  <c:v>2.3952280674626181E-2</c:v>
                </c:pt>
                <c:pt idx="3190">
                  <c:v>2.3956071363029352E-2</c:v>
                </c:pt>
                <c:pt idx="3191">
                  <c:v>2.3959851040880054E-2</c:v>
                </c:pt>
                <c:pt idx="3192">
                  <c:v>2.3963619708817774E-2</c:v>
                </c:pt>
                <c:pt idx="3193">
                  <c:v>2.3967377366362896E-2</c:v>
                </c:pt>
                <c:pt idx="3194">
                  <c:v>2.3971124013675293E-2</c:v>
                </c:pt>
                <c:pt idx="3195">
                  <c:v>2.3974859650595093E-2</c:v>
                </c:pt>
                <c:pt idx="3196">
                  <c:v>2.3978584277442039E-2</c:v>
                </c:pt>
                <c:pt idx="3197">
                  <c:v>2.3982297893896387E-2</c:v>
                </c:pt>
                <c:pt idx="3198">
                  <c:v>2.3986000500197946E-2</c:v>
                </c:pt>
                <c:pt idx="3199">
                  <c:v>2.3989692096106907E-2</c:v>
                </c:pt>
                <c:pt idx="3200">
                  <c:v>2.3993372681943015E-2</c:v>
                </c:pt>
                <c:pt idx="3201">
                  <c:v>2.3997042257466461E-2</c:v>
                </c:pt>
                <c:pt idx="3202">
                  <c:v>2.4000700822517373E-2</c:v>
                </c:pt>
                <c:pt idx="3203">
                  <c:v>2.400434837733556E-2</c:v>
                </c:pt>
                <c:pt idx="3204">
                  <c:v>2.4007984922240766E-2</c:v>
                </c:pt>
                <c:pt idx="3205">
                  <c:v>2.4011610456673438E-2</c:v>
                </c:pt>
                <c:pt idx="3206">
                  <c:v>2.4015224980713512E-2</c:v>
                </c:pt>
                <c:pt idx="3207">
                  <c:v>2.4018828494680733E-2</c:v>
                </c:pt>
                <c:pt idx="3208">
                  <c:v>2.4022420998335292E-2</c:v>
                </c:pt>
                <c:pt idx="3209">
                  <c:v>2.4026002491517318E-2</c:v>
                </c:pt>
                <c:pt idx="3210">
                  <c:v>2.402957297462649E-2</c:v>
                </c:pt>
                <c:pt idx="3211">
                  <c:v>2.4033132447502936E-2</c:v>
                </c:pt>
                <c:pt idx="3212">
                  <c:v>2.4036680910146657E-2</c:v>
                </c:pt>
                <c:pt idx="3213">
                  <c:v>2.4040218362317844E-2</c:v>
                </c:pt>
                <c:pt idx="3214">
                  <c:v>2.4043744804416178E-2</c:v>
                </c:pt>
                <c:pt idx="3215">
                  <c:v>2.4047260236201851E-2</c:v>
                </c:pt>
                <c:pt idx="3216">
                  <c:v>2.4051264390569926E-2</c:v>
                </c:pt>
                <c:pt idx="3217">
                  <c:v>2.4054756228828467E-2</c:v>
                </c:pt>
                <c:pt idx="3218">
                  <c:v>2.4058237056854281E-2</c:v>
                </c:pt>
                <c:pt idx="3219">
                  <c:v>2.4061706874727307E-2</c:v>
                </c:pt>
                <c:pt idx="3220">
                  <c:v>2.406516568228767E-2</c:v>
                </c:pt>
                <c:pt idx="3221">
                  <c:v>2.4068613479615308E-2</c:v>
                </c:pt>
                <c:pt idx="3222">
                  <c:v>2.4072050266390477E-2</c:v>
                </c:pt>
                <c:pt idx="3223">
                  <c:v>2.4075476043172728E-2</c:v>
                </c:pt>
                <c:pt idx="3224">
                  <c:v>2.4078890809642317E-2</c:v>
                </c:pt>
                <c:pt idx="3225">
                  <c:v>2.4082294565799245E-2</c:v>
                </c:pt>
                <c:pt idx="3226">
                  <c:v>2.4085687311643511E-2</c:v>
                </c:pt>
                <c:pt idx="3227">
                  <c:v>2.4089069047414924E-2</c:v>
                </c:pt>
                <c:pt idx="3228">
                  <c:v>2.4092439772793739E-2</c:v>
                </c:pt>
                <c:pt idx="3229">
                  <c:v>2.4095799487939829E-2</c:v>
                </c:pt>
                <c:pt idx="3230">
                  <c:v>2.4099148192853193E-2</c:v>
                </c:pt>
                <c:pt idx="3231">
                  <c:v>2.4102485887294023E-2</c:v>
                </c:pt>
                <c:pt idx="3232">
                  <c:v>2.4105812571582064E-2</c:v>
                </c:pt>
                <c:pt idx="3233">
                  <c:v>2.4109128245637379E-2</c:v>
                </c:pt>
                <c:pt idx="3234">
                  <c:v>2.4112432909380033E-2</c:v>
                </c:pt>
                <c:pt idx="3235">
                  <c:v>2.4115726562810025E-2</c:v>
                </c:pt>
                <c:pt idx="3236">
                  <c:v>2.4119009206007291E-2</c:v>
                </c:pt>
                <c:pt idx="3237">
                  <c:v>2.412228083881196E-2</c:v>
                </c:pt>
                <c:pt idx="3238">
                  <c:v>2.4125541461623712E-2</c:v>
                </c:pt>
                <c:pt idx="3239">
                  <c:v>2.4128791074042866E-2</c:v>
                </c:pt>
                <c:pt idx="3240">
                  <c:v>2.4132029676069422E-2</c:v>
                </c:pt>
                <c:pt idx="3241">
                  <c:v>2.4135257267943189E-2</c:v>
                </c:pt>
                <c:pt idx="3242">
                  <c:v>2.4138473849504294E-2</c:v>
                </c:pt>
                <c:pt idx="3243">
                  <c:v>2.4141679420752737E-2</c:v>
                </c:pt>
                <c:pt idx="3244">
                  <c:v>2.4144873981768455E-2</c:v>
                </c:pt>
                <c:pt idx="3245">
                  <c:v>2.4148057532551448E-2</c:v>
                </c:pt>
                <c:pt idx="3246">
                  <c:v>2.4151230072941843E-2</c:v>
                </c:pt>
                <c:pt idx="3247">
                  <c:v>2.4154391603179448E-2</c:v>
                </c:pt>
                <c:pt idx="3248">
                  <c:v>2.4157542123024456E-2</c:v>
                </c:pt>
                <c:pt idx="3249">
                  <c:v>2.4160681632636738E-2</c:v>
                </c:pt>
                <c:pt idx="3250">
                  <c:v>2.416425616178941E-2</c:v>
                </c:pt>
                <c:pt idx="3251">
                  <c:v>2.416737207787456E-2</c:v>
                </c:pt>
                <c:pt idx="3252">
                  <c:v>2.4170476983647049E-2</c:v>
                </c:pt>
                <c:pt idx="3253">
                  <c:v>2.417357087942662E-2</c:v>
                </c:pt>
                <c:pt idx="3254">
                  <c:v>2.4176653764733658E-2</c:v>
                </c:pt>
                <c:pt idx="3255">
                  <c:v>2.4179725639728034E-2</c:v>
                </c:pt>
                <c:pt idx="3256">
                  <c:v>2.418278650456962E-2</c:v>
                </c:pt>
                <c:pt idx="3257">
                  <c:v>2.4185836359098545E-2</c:v>
                </c:pt>
                <c:pt idx="3258">
                  <c:v>2.4188875203314808E-2</c:v>
                </c:pt>
                <c:pt idx="3259">
                  <c:v>2.4191903037138474E-2</c:v>
                </c:pt>
                <c:pt idx="3260">
                  <c:v>2.4194919860889286E-2</c:v>
                </c:pt>
                <c:pt idx="3261">
                  <c:v>2.41979256742475E-2</c:v>
                </c:pt>
                <c:pt idx="3262">
                  <c:v>2.4200920477372989E-2</c:v>
                </c:pt>
                <c:pt idx="3263">
                  <c:v>2.4203904270265753E-2</c:v>
                </c:pt>
                <c:pt idx="3264">
                  <c:v>2.4206877052765918E-2</c:v>
                </c:pt>
                <c:pt idx="3265">
                  <c:v>2.4213939446347865E-2</c:v>
                </c:pt>
                <c:pt idx="3266">
                  <c:v>2.4212789586908201E-2</c:v>
                </c:pt>
                <c:pt idx="3267">
                  <c:v>2.4215729338630254E-2</c:v>
                </c:pt>
                <c:pt idx="3268">
                  <c:v>2.4218658080119582E-2</c:v>
                </c:pt>
                <c:pt idx="3269">
                  <c:v>2.4221575811296248E-2</c:v>
                </c:pt>
                <c:pt idx="3270">
                  <c:v>2.4224482532080316E-2</c:v>
                </c:pt>
                <c:pt idx="3271">
                  <c:v>2.4227378242711595E-2</c:v>
                </c:pt>
                <c:pt idx="3272">
                  <c:v>2.4230262942950276E-2</c:v>
                </c:pt>
                <c:pt idx="3273">
                  <c:v>2.4233136632956231E-2</c:v>
                </c:pt>
                <c:pt idx="3274">
                  <c:v>2.4235999312569589E-2</c:v>
                </c:pt>
                <c:pt idx="3275">
                  <c:v>2.4238850982110094E-2</c:v>
                </c:pt>
                <c:pt idx="3276">
                  <c:v>2.4241691641178065E-2</c:v>
                </c:pt>
                <c:pt idx="3277">
                  <c:v>2.4244521290093246E-2</c:v>
                </c:pt>
                <c:pt idx="3278">
                  <c:v>2.4247339928695766E-2</c:v>
                </c:pt>
                <c:pt idx="3279">
                  <c:v>2.4250147556905688E-2</c:v>
                </c:pt>
                <c:pt idx="3280">
                  <c:v>2.4252944174962821E-2</c:v>
                </c:pt>
                <c:pt idx="3281">
                  <c:v>2.4255729782627355E-2</c:v>
                </c:pt>
                <c:pt idx="3282">
                  <c:v>2.4258504380139101E-2</c:v>
                </c:pt>
                <c:pt idx="3283">
                  <c:v>2.4261267967258249E-2</c:v>
                </c:pt>
                <c:pt idx="3284">
                  <c:v>2.4264020544224607E-2</c:v>
                </c:pt>
                <c:pt idx="3285">
                  <c:v>2.4266762110718432E-2</c:v>
                </c:pt>
                <c:pt idx="3286">
                  <c:v>2.4269492667139403E-2</c:v>
                </c:pt>
                <c:pt idx="3287">
                  <c:v>2.427221221308784E-2</c:v>
                </c:pt>
                <c:pt idx="3288">
                  <c:v>2.4274920748723616E-2</c:v>
                </c:pt>
                <c:pt idx="3289">
                  <c:v>2.4277618274206603E-2</c:v>
                </c:pt>
                <c:pt idx="3290">
                  <c:v>2.4280304789376927E-2</c:v>
                </c:pt>
                <c:pt idx="3291">
                  <c:v>2.4282980294314527E-2</c:v>
                </c:pt>
                <c:pt idx="3292">
                  <c:v>2.4285644788699656E-2</c:v>
                </c:pt>
                <c:pt idx="3293">
                  <c:v>2.4288298273091868E-2</c:v>
                </c:pt>
                <c:pt idx="3294">
                  <c:v>2.4290940747011547E-2</c:v>
                </c:pt>
                <c:pt idx="3295">
                  <c:v>2.4293572210778436E-2</c:v>
                </c:pt>
                <c:pt idx="3296">
                  <c:v>2.4296192664072791E-2</c:v>
                </c:pt>
                <c:pt idx="3297">
                  <c:v>2.4298802107294293E-2</c:v>
                </c:pt>
                <c:pt idx="3298">
                  <c:v>2.4301400540203133E-2</c:v>
                </c:pt>
                <c:pt idx="3299">
                  <c:v>2.430398796263944E-2</c:v>
                </c:pt>
                <c:pt idx="3300">
                  <c:v>2.4306564374922957E-2</c:v>
                </c:pt>
                <c:pt idx="3301">
                  <c:v>2.4309129776893812E-2</c:v>
                </c:pt>
                <c:pt idx="3302">
                  <c:v>2.4314053860488016E-2</c:v>
                </c:pt>
                <c:pt idx="3303">
                  <c:v>2.4316594439222072E-2</c:v>
                </c:pt>
                <c:pt idx="3304">
                  <c:v>2.4319124006177972E-2</c:v>
                </c:pt>
                <c:pt idx="3305">
                  <c:v>2.4321642561462298E-2</c:v>
                </c:pt>
                <c:pt idx="3306">
                  <c:v>2.4324150104915176E-2</c:v>
                </c:pt>
                <c:pt idx="3307">
                  <c:v>2.432664663664319E-2</c:v>
                </c:pt>
                <c:pt idx="3308">
                  <c:v>2.4329132156699629E-2</c:v>
                </c:pt>
                <c:pt idx="3309">
                  <c:v>2.4331606664951266E-2</c:v>
                </c:pt>
                <c:pt idx="3310">
                  <c:v>2.4334070161398103E-2</c:v>
                </c:pt>
                <c:pt idx="3311">
                  <c:v>2.4336522646173364E-2</c:v>
                </c:pt>
                <c:pt idx="3312">
                  <c:v>2.4338964119143824E-2</c:v>
                </c:pt>
                <c:pt idx="3313">
                  <c:v>2.434139458044271E-2</c:v>
                </c:pt>
                <c:pt idx="3314">
                  <c:v>2.434381402996344E-2</c:v>
                </c:pt>
                <c:pt idx="3315">
                  <c:v>2.4345604909727925E-2</c:v>
                </c:pt>
                <c:pt idx="3316">
                  <c:v>2.4347997292899493E-2</c:v>
                </c:pt>
                <c:pt idx="3317">
                  <c:v>2.4350378665518591E-2</c:v>
                </c:pt>
                <c:pt idx="3318">
                  <c:v>2.4352749028144771E-2</c:v>
                </c:pt>
                <c:pt idx="3319">
                  <c:v>2.4355108380298418E-2</c:v>
                </c:pt>
                <c:pt idx="3320">
                  <c:v>2.4357456722139403E-2</c:v>
                </c:pt>
                <c:pt idx="3321">
                  <c:v>2.4359794053827599E-2</c:v>
                </c:pt>
                <c:pt idx="3322">
                  <c:v>2.4362120375043261E-2</c:v>
                </c:pt>
                <c:pt idx="3323">
                  <c:v>2.4364435686106134E-2</c:v>
                </c:pt>
                <c:pt idx="3324">
                  <c:v>2.4366739986776409E-2</c:v>
                </c:pt>
                <c:pt idx="3325">
                  <c:v>2.4369033277293894E-2</c:v>
                </c:pt>
                <c:pt idx="3326">
                  <c:v>2.4371315557418782E-2</c:v>
                </c:pt>
                <c:pt idx="3327">
                  <c:v>2.4373586827231009E-2</c:v>
                </c:pt>
                <c:pt idx="3328">
                  <c:v>2.4375847086730573E-2</c:v>
                </c:pt>
                <c:pt idx="3329">
                  <c:v>2.4378096336077348E-2</c:v>
                </c:pt>
                <c:pt idx="3330">
                  <c:v>2.438033457495159E-2</c:v>
                </c:pt>
                <c:pt idx="3331">
                  <c:v>2.438256180351317E-2</c:v>
                </c:pt>
                <c:pt idx="3332">
                  <c:v>2.438477802192196E-2</c:v>
                </c:pt>
                <c:pt idx="3333">
                  <c:v>2.4386983230018089E-2</c:v>
                </c:pt>
                <c:pt idx="3334">
                  <c:v>2.4389177427801556E-2</c:v>
                </c:pt>
                <c:pt idx="3335">
                  <c:v>2.4391360615192426E-2</c:v>
                </c:pt>
                <c:pt idx="3336">
                  <c:v>2.4393532792430506E-2</c:v>
                </c:pt>
                <c:pt idx="3337">
                  <c:v>2.4395693959275988E-2</c:v>
                </c:pt>
                <c:pt idx="3338">
                  <c:v>2.4397844115728873E-2</c:v>
                </c:pt>
                <c:pt idx="3339">
                  <c:v>2.4399983262028968E-2</c:v>
                </c:pt>
                <c:pt idx="3340">
                  <c:v>2.4402111398016402E-2</c:v>
                </c:pt>
                <c:pt idx="3341">
                  <c:v>2.4404228523691174E-2</c:v>
                </c:pt>
                <c:pt idx="3342">
                  <c:v>2.4406334639053284E-2</c:v>
                </c:pt>
                <c:pt idx="3343">
                  <c:v>2.4408429744022797E-2</c:v>
                </c:pt>
                <c:pt idx="3344">
                  <c:v>2.4410513838919456E-2</c:v>
                </c:pt>
                <c:pt idx="3345">
                  <c:v>2.4412586923343582E-2</c:v>
                </c:pt>
                <c:pt idx="3346">
                  <c:v>2.4414648997455046E-2</c:v>
                </c:pt>
                <c:pt idx="3347">
                  <c:v>2.4416700061333785E-2</c:v>
                </c:pt>
                <c:pt idx="3348">
                  <c:v>2.4418740114979798E-2</c:v>
                </c:pt>
                <c:pt idx="3349">
                  <c:v>2.4420769158153277E-2</c:v>
                </c:pt>
                <c:pt idx="3350">
                  <c:v>2.4422787191014095E-2</c:v>
                </c:pt>
                <c:pt idx="3351">
                  <c:v>2.4424794213722123E-2</c:v>
                </c:pt>
                <c:pt idx="3352">
                  <c:v>2.4426790226197426E-2</c:v>
                </c:pt>
                <c:pt idx="3353">
                  <c:v>2.4428775228120259E-2</c:v>
                </c:pt>
                <c:pt idx="3354">
                  <c:v>2.4430749219970238E-2</c:v>
                </c:pt>
                <c:pt idx="3355">
                  <c:v>2.443271220142762E-2</c:v>
                </c:pt>
                <c:pt idx="3356">
                  <c:v>2.4434664172652276E-2</c:v>
                </c:pt>
                <c:pt idx="3357">
                  <c:v>2.4436605133324463E-2</c:v>
                </c:pt>
                <c:pt idx="3358">
                  <c:v>2.4438535083923796E-2</c:v>
                </c:pt>
                <c:pt idx="3359">
                  <c:v>2.4440454024210467E-2</c:v>
                </c:pt>
                <c:pt idx="3360">
                  <c:v>2.4442361954104541E-2</c:v>
                </c:pt>
                <c:pt idx="3361">
                  <c:v>2.4444258873685953E-2</c:v>
                </c:pt>
                <c:pt idx="3362">
                  <c:v>2.4446144783114576E-2</c:v>
                </c:pt>
                <c:pt idx="3363">
                  <c:v>2.4448019682150601E-2</c:v>
                </c:pt>
                <c:pt idx="3364">
                  <c:v>2.4449883570794029E-2</c:v>
                </c:pt>
                <c:pt idx="3365">
                  <c:v>2.4451736449204731E-2</c:v>
                </c:pt>
                <c:pt idx="3366">
                  <c:v>2.4453578317382707E-2</c:v>
                </c:pt>
                <c:pt idx="3367">
                  <c:v>2.4455409175248022E-2</c:v>
                </c:pt>
                <c:pt idx="3368">
                  <c:v>2.4457229022560867E-2</c:v>
                </c:pt>
                <c:pt idx="3369">
                  <c:v>2.4459037859960731E-2</c:v>
                </c:pt>
                <c:pt idx="3370">
                  <c:v>2.4460835686888061E-2</c:v>
                </c:pt>
                <c:pt idx="3371">
                  <c:v>2.4462622503342857E-2</c:v>
                </c:pt>
                <c:pt idx="3372">
                  <c:v>2.4464398309804736E-2</c:v>
                </c:pt>
                <c:pt idx="3373">
                  <c:v>2.4466163105714145E-2</c:v>
                </c:pt>
                <c:pt idx="3374">
                  <c:v>2.4467916891310892E-2</c:v>
                </c:pt>
                <c:pt idx="3375">
                  <c:v>2.4469659666674914E-2</c:v>
                </c:pt>
                <c:pt idx="3376">
                  <c:v>2.4471391431806211E-2</c:v>
                </c:pt>
                <c:pt idx="3377">
                  <c:v>2.4473112186624846E-2</c:v>
                </c:pt>
                <c:pt idx="3378">
                  <c:v>2.4474821931050883E-2</c:v>
                </c:pt>
                <c:pt idx="3379">
                  <c:v>2.4476520665244195E-2</c:v>
                </c:pt>
                <c:pt idx="3380">
                  <c:v>2.4478208389044909E-2</c:v>
                </c:pt>
                <c:pt idx="3381">
                  <c:v>2.4479885102612897E-2</c:v>
                </c:pt>
                <c:pt idx="3382">
                  <c:v>2.4481550805788288E-2</c:v>
                </c:pt>
                <c:pt idx="3383">
                  <c:v>2.4483205498810889E-2</c:v>
                </c:pt>
                <c:pt idx="3384">
                  <c:v>2.4484849181360957E-2</c:v>
                </c:pt>
                <c:pt idx="3385">
                  <c:v>2.4486481853838171E-2</c:v>
                </c:pt>
                <c:pt idx="3386">
                  <c:v>2.4488103515842852E-2</c:v>
                </c:pt>
                <c:pt idx="3387">
                  <c:v>2.4489714167454935E-2</c:v>
                </c:pt>
                <c:pt idx="3388">
                  <c:v>2.4491313808834292E-2</c:v>
                </c:pt>
                <c:pt idx="3389">
                  <c:v>2.4492902439900988E-2</c:v>
                </c:pt>
                <c:pt idx="3390">
                  <c:v>2.4494480060734958E-2</c:v>
                </c:pt>
                <c:pt idx="3391">
                  <c:v>2.4496046671256266E-2</c:v>
                </c:pt>
                <c:pt idx="3392">
                  <c:v>2.4497602271384977E-2</c:v>
                </c:pt>
                <c:pt idx="3393">
                  <c:v>2.4499146861201027E-2</c:v>
                </c:pt>
                <c:pt idx="3394">
                  <c:v>2.450068044078435E-2</c:v>
                </c:pt>
                <c:pt idx="3395">
                  <c:v>2.4502203010055013E-2</c:v>
                </c:pt>
                <c:pt idx="3396">
                  <c:v>2.4503714569013013E-2</c:v>
                </c:pt>
                <c:pt idx="3397">
                  <c:v>2.450521511749848E-2</c:v>
                </c:pt>
                <c:pt idx="3398">
                  <c:v>2.4506704655911093E-2</c:v>
                </c:pt>
                <c:pt idx="3399">
                  <c:v>2.4508183184011045E-2</c:v>
                </c:pt>
                <c:pt idx="3400">
                  <c:v>2.4509650701558527E-2</c:v>
                </c:pt>
                <c:pt idx="3401">
                  <c:v>2.4511107209033156E-2</c:v>
                </c:pt>
                <c:pt idx="3402">
                  <c:v>2.4512552706115187E-2</c:v>
                </c:pt>
                <c:pt idx="3403">
                  <c:v>2.4513987192884557E-2</c:v>
                </c:pt>
                <c:pt idx="3404">
                  <c:v>2.4515410669341264E-2</c:v>
                </c:pt>
                <c:pt idx="3405">
                  <c:v>2.4516823135565247E-2</c:v>
                </c:pt>
                <c:pt idx="3406">
                  <c:v>2.4518224591396631E-2</c:v>
                </c:pt>
                <c:pt idx="3407">
                  <c:v>2.4519615036835418E-2</c:v>
                </c:pt>
                <c:pt idx="3408">
                  <c:v>2.452099447204148E-2</c:v>
                </c:pt>
                <c:pt idx="3409">
                  <c:v>2.4522362897014816E-2</c:v>
                </c:pt>
                <c:pt idx="3410">
                  <c:v>2.4523720311595554E-2</c:v>
                </c:pt>
                <c:pt idx="3411">
                  <c:v>2.4525066715943566E-2</c:v>
                </c:pt>
                <c:pt idx="3412">
                  <c:v>2.4526402109978918E-2</c:v>
                </c:pt>
                <c:pt idx="3413">
                  <c:v>2.4527726493541735E-2</c:v>
                </c:pt>
                <c:pt idx="3414">
                  <c:v>2.4529039866871827E-2</c:v>
                </c:pt>
                <c:pt idx="3415">
                  <c:v>2.4530342229969193E-2</c:v>
                </c:pt>
                <c:pt idx="3416">
                  <c:v>2.4531633582753898E-2</c:v>
                </c:pt>
                <c:pt idx="3417">
                  <c:v>2.4532913925066069E-2</c:v>
                </c:pt>
                <c:pt idx="3418">
                  <c:v>2.453418325722545E-2</c:v>
                </c:pt>
                <c:pt idx="3419">
                  <c:v>2.4535441578992234E-2</c:v>
                </c:pt>
                <c:pt idx="3420">
                  <c:v>2.4536688890526293E-2</c:v>
                </c:pt>
                <c:pt idx="3421">
                  <c:v>2.4537925191747689E-2</c:v>
                </c:pt>
                <c:pt idx="3422">
                  <c:v>2.4539150482576488E-2</c:v>
                </c:pt>
                <c:pt idx="3423">
                  <c:v>2.4540364763172562E-2</c:v>
                </c:pt>
                <c:pt idx="3424">
                  <c:v>2.4541568033376038E-2</c:v>
                </c:pt>
                <c:pt idx="3425">
                  <c:v>2.4542760293266852E-2</c:v>
                </c:pt>
                <c:pt idx="3426">
                  <c:v>2.4543941542924941E-2</c:v>
                </c:pt>
                <c:pt idx="3427">
                  <c:v>2.4545111782270368E-2</c:v>
                </c:pt>
                <c:pt idx="3428">
                  <c:v>2.4546271011223197E-2</c:v>
                </c:pt>
                <c:pt idx="3429">
                  <c:v>2.4547419229863365E-2</c:v>
                </c:pt>
                <c:pt idx="3430">
                  <c:v>2.4548556438270808E-2</c:v>
                </c:pt>
                <c:pt idx="3431">
                  <c:v>2.4549682636445525E-2</c:v>
                </c:pt>
                <c:pt idx="3432">
                  <c:v>2.4550797824147708E-2</c:v>
                </c:pt>
                <c:pt idx="3433">
                  <c:v>2.4551902001457293E-2</c:v>
                </c:pt>
                <c:pt idx="3434">
                  <c:v>2.4552995168614089E-2</c:v>
                </c:pt>
                <c:pt idx="3435">
                  <c:v>2.4554077325538159E-2</c:v>
                </c:pt>
                <c:pt idx="3436">
                  <c:v>2.4555148471989696E-2</c:v>
                </c:pt>
                <c:pt idx="3437">
                  <c:v>2.4556208608128571E-2</c:v>
                </c:pt>
                <c:pt idx="3438">
                  <c:v>2.4557257733954785E-2</c:v>
                </c:pt>
                <c:pt idx="3439">
                  <c:v>2.4558295849548273E-2</c:v>
                </c:pt>
                <c:pt idx="3440">
                  <c:v>2.4559322954669227E-2</c:v>
                </c:pt>
                <c:pt idx="3441">
                  <c:v>2.4560339049797264E-2</c:v>
                </c:pt>
                <c:pt idx="3442">
                  <c:v>2.4561344134292895E-2</c:v>
                </c:pt>
                <c:pt idx="3443">
                  <c:v>2.4562338208635737E-2</c:v>
                </c:pt>
                <c:pt idx="3444">
                  <c:v>2.4563321272665917E-2</c:v>
                </c:pt>
                <c:pt idx="3445">
                  <c:v>2.4564293326223563E-2</c:v>
                </c:pt>
                <c:pt idx="3446">
                  <c:v>2.4565254369708356E-2</c:v>
                </c:pt>
                <c:pt idx="3447">
                  <c:v>2.4566204402640679E-2</c:v>
                </c:pt>
                <c:pt idx="3448">
                  <c:v>2.4567143425500149E-2</c:v>
                </c:pt>
                <c:pt idx="3449">
                  <c:v>2.4568071437807149E-2</c:v>
                </c:pt>
                <c:pt idx="3450">
                  <c:v>2.4568988440041295E-2</c:v>
                </c:pt>
                <c:pt idx="3451">
                  <c:v>2.4569894431643036E-2</c:v>
                </c:pt>
                <c:pt idx="3452">
                  <c:v>2.4570789413251859E-2</c:v>
                </c:pt>
                <c:pt idx="3453">
                  <c:v>2.4571673384308212E-2</c:v>
                </c:pt>
                <c:pt idx="3454">
                  <c:v>2.457254634513184E-2</c:v>
                </c:pt>
                <c:pt idx="3455">
                  <c:v>2.4573408295802679E-2</c:v>
                </c:pt>
                <c:pt idx="3456">
                  <c:v>2.4574259236000984E-2</c:v>
                </c:pt>
                <c:pt idx="3457">
                  <c:v>2.4575099165886627E-2</c:v>
                </c:pt>
                <c:pt idx="3458">
                  <c:v>2.4575928085459608E-2</c:v>
                </c:pt>
                <c:pt idx="3459">
                  <c:v>2.4576745994719928E-2</c:v>
                </c:pt>
                <c:pt idx="3460">
                  <c:v>2.4577552893667587E-2</c:v>
                </c:pt>
                <c:pt idx="3461">
                  <c:v>2.4578348782222648E-2</c:v>
                </c:pt>
                <c:pt idx="3462">
                  <c:v>2.4579133660465047E-2</c:v>
                </c:pt>
                <c:pt idx="3463">
                  <c:v>2.4579907528634592E-2</c:v>
                </c:pt>
                <c:pt idx="3464">
                  <c:v>2.4580670386251668E-2</c:v>
                </c:pt>
                <c:pt idx="3465">
                  <c:v>2.4581422233636019E-2</c:v>
                </c:pt>
                <c:pt idx="3466">
                  <c:v>2.4582163070787644E-2</c:v>
                </c:pt>
                <c:pt idx="3467">
                  <c:v>2.4582892897546671E-2</c:v>
                </c:pt>
                <c:pt idx="3468">
                  <c:v>2.4583611713913101E-2</c:v>
                </c:pt>
                <c:pt idx="3469">
                  <c:v>2.4584319519966868E-2</c:v>
                </c:pt>
                <c:pt idx="3470">
                  <c:v>2.4585016315867847E-2</c:v>
                </c:pt>
                <c:pt idx="3471">
                  <c:v>2.4585702101296292E-2</c:v>
                </c:pt>
                <c:pt idx="3472">
                  <c:v>2.4586376876412075E-2</c:v>
                </c:pt>
                <c:pt idx="3473">
                  <c:v>2.4587040641295133E-2</c:v>
                </c:pt>
                <c:pt idx="3474">
                  <c:v>2.4587693395785593E-2</c:v>
                </c:pt>
                <c:pt idx="3475">
                  <c:v>2.4588335140123263E-2</c:v>
                </c:pt>
                <c:pt idx="3476">
                  <c:v>2.4588965873908464E-2</c:v>
                </c:pt>
                <c:pt idx="3477">
                  <c:v>2.4589585597540875E-2</c:v>
                </c:pt>
                <c:pt idx="3478">
                  <c:v>2.4590194310860625E-2</c:v>
                </c:pt>
                <c:pt idx="3479">
                  <c:v>2.4590792013787777E-2</c:v>
                </c:pt>
                <c:pt idx="3480">
                  <c:v>2.4591378706322331E-2</c:v>
                </c:pt>
                <c:pt idx="3481">
                  <c:v>2.4591954388704096E-2</c:v>
                </c:pt>
                <c:pt idx="3482">
                  <c:v>2.4592519060693263E-2</c:v>
                </c:pt>
                <c:pt idx="3483">
                  <c:v>2.4593072722369769E-2</c:v>
                </c:pt>
                <c:pt idx="3484">
                  <c:v>2.4593615373813549E-2</c:v>
                </c:pt>
                <c:pt idx="3485">
                  <c:v>2.4594147014704859E-2</c:v>
                </c:pt>
                <c:pt idx="3486">
                  <c:v>2.4594667645523316E-2</c:v>
                </c:pt>
                <c:pt idx="3487">
                  <c:v>2.4595177265869239E-2</c:v>
                </c:pt>
                <c:pt idx="3488">
                  <c:v>2.4595675875982437E-2</c:v>
                </c:pt>
                <c:pt idx="3489">
                  <c:v>2.4596163475862909E-2</c:v>
                </c:pt>
                <c:pt idx="3490">
                  <c:v>2.4596640065270847E-2</c:v>
                </c:pt>
                <c:pt idx="3491">
                  <c:v>2.459710564444606E-2</c:v>
                </c:pt>
                <c:pt idx="3492">
                  <c:v>2.4597560213228675E-2</c:v>
                </c:pt>
                <c:pt idx="3493">
                  <c:v>2.4598003771778565E-2</c:v>
                </c:pt>
                <c:pt idx="3494">
                  <c:v>2.4598436320015793E-2</c:v>
                </c:pt>
                <c:pt idx="3495">
                  <c:v>2.4598857857860423E-2</c:v>
                </c:pt>
                <c:pt idx="3496">
                  <c:v>2.4599268385392392E-2</c:v>
                </c:pt>
                <c:pt idx="3497">
                  <c:v>2.4599667902611699E-2</c:v>
                </c:pt>
                <c:pt idx="3498">
                  <c:v>2.4600056409438409E-2</c:v>
                </c:pt>
                <c:pt idx="3499">
                  <c:v>2.4600433906192265E-2</c:v>
                </c:pt>
                <c:pt idx="3500">
                  <c:v>2.4600800392473587E-2</c:v>
                </c:pt>
                <c:pt idx="3501">
                  <c:v>2.4601155868362312E-2</c:v>
                </c:pt>
                <c:pt idx="3502">
                  <c:v>2.4601500334098247E-2</c:v>
                </c:pt>
                <c:pt idx="3503">
                  <c:v>2.4601833789441585E-2</c:v>
                </c:pt>
                <c:pt idx="3504">
                  <c:v>2.4602156234472261E-2</c:v>
                </c:pt>
                <c:pt idx="3505">
                  <c:v>2.4602467669190276E-2</c:v>
                </c:pt>
                <c:pt idx="3506">
                  <c:v>2.4602768093675564E-2</c:v>
                </c:pt>
                <c:pt idx="3507">
                  <c:v>2.4603057507768256E-2</c:v>
                </c:pt>
                <c:pt idx="3508">
                  <c:v>2.4603335911388413E-2</c:v>
                </c:pt>
                <c:pt idx="3509">
                  <c:v>2.4603603304695909E-2</c:v>
                </c:pt>
                <c:pt idx="3510">
                  <c:v>2.4603895415271637E-2</c:v>
                </c:pt>
                <c:pt idx="3511">
                  <c:v>2.4604139215211873E-2</c:v>
                </c:pt>
                <c:pt idx="3512">
                  <c:v>2.4604372004839448E-2</c:v>
                </c:pt>
                <c:pt idx="3513">
                  <c:v>2.4604593783994488E-2</c:v>
                </c:pt>
                <c:pt idx="3514">
                  <c:v>2.4604804552836868E-2</c:v>
                </c:pt>
                <c:pt idx="3515">
                  <c:v>2.4605004311606393E-2</c:v>
                </c:pt>
                <c:pt idx="3516">
                  <c:v>2.4605193059983321E-2</c:v>
                </c:pt>
                <c:pt idx="3517">
                  <c:v>2.4605370797887716E-2</c:v>
                </c:pt>
                <c:pt idx="3518">
                  <c:v>2.4605537525639321E-2</c:v>
                </c:pt>
                <c:pt idx="3519">
                  <c:v>2.4605693242998328E-2</c:v>
                </c:pt>
                <c:pt idx="3520">
                  <c:v>2.4605837950124609E-2</c:v>
                </c:pt>
                <c:pt idx="3521">
                  <c:v>2.4605971646698421E-2</c:v>
                </c:pt>
                <c:pt idx="3522">
                  <c:v>2.4606094333119444E-2</c:v>
                </c:pt>
                <c:pt idx="3523">
                  <c:v>2.4606206009147868E-2</c:v>
                </c:pt>
                <c:pt idx="3524">
                  <c:v>2.4606306674943568E-2</c:v>
                </c:pt>
                <c:pt idx="3525">
                  <c:v>2.4606396330346669E-2</c:v>
                </c:pt>
                <c:pt idx="3526">
                  <c:v>2.4606474975517045E-2</c:v>
                </c:pt>
                <c:pt idx="3527">
                  <c:v>2.460654261037476E-2</c:v>
                </c:pt>
                <c:pt idx="3528">
                  <c:v>2.460659923475994E-2</c:v>
                </c:pt>
                <c:pt idx="3529">
                  <c:v>2.4606644848992332E-2</c:v>
                </c:pt>
                <c:pt idx="3530">
                  <c:v>2.4606679452912061E-2</c:v>
                </c:pt>
                <c:pt idx="3531">
                  <c:v>2.4606703046439193E-2</c:v>
                </c:pt>
                <c:pt idx="3532">
                  <c:v>2.4606715629653664E-2</c:v>
                </c:pt>
                <c:pt idx="3533">
                  <c:v>#N/A</c:v>
                </c:pt>
              </c:numCache>
            </c:numRef>
          </c:val>
          <c:smooth val="0"/>
        </c:ser>
        <c:dLbls>
          <c:showLegendKey val="0"/>
          <c:showVal val="0"/>
          <c:showCatName val="0"/>
          <c:showSerName val="0"/>
          <c:showPercent val="0"/>
          <c:showBubbleSize val="0"/>
        </c:dLbls>
        <c:marker val="1"/>
        <c:smooth val="0"/>
        <c:axId val="40019072"/>
        <c:axId val="40020608"/>
      </c:lineChart>
      <c:dateAx>
        <c:axId val="40019072"/>
        <c:scaling>
          <c:orientation val="minMax"/>
          <c:max val="42519"/>
          <c:min val="41729"/>
        </c:scaling>
        <c:delete val="0"/>
        <c:axPos val="b"/>
        <c:numFmt formatCode="[$-409]mmm\-yy;@" sourceLinked="0"/>
        <c:majorTickMark val="out"/>
        <c:minorTickMark val="none"/>
        <c:tickLblPos val="nextTo"/>
        <c:txPr>
          <a:bodyPr rot="-2700000"/>
          <a:lstStyle/>
          <a:p>
            <a:pPr>
              <a:defRPr/>
            </a:pPr>
            <a:endParaRPr lang="en-US"/>
          </a:p>
        </c:txPr>
        <c:crossAx val="40020608"/>
        <c:crosses val="autoZero"/>
        <c:auto val="1"/>
        <c:lblOffset val="100"/>
        <c:baseTimeUnit val="days"/>
        <c:majorUnit val="3"/>
        <c:majorTimeUnit val="months"/>
        <c:minorUnit val="1"/>
        <c:minorTimeUnit val="years"/>
      </c:dateAx>
      <c:valAx>
        <c:axId val="40020608"/>
        <c:scaling>
          <c:orientation val="minMax"/>
          <c:max val="6.0000000000000001E-3"/>
          <c:min val="0"/>
        </c:scaling>
        <c:delete val="0"/>
        <c:axPos val="l"/>
        <c:majorGridlines/>
        <c:numFmt formatCode="0.00%" sourceLinked="0"/>
        <c:majorTickMark val="out"/>
        <c:minorTickMark val="none"/>
        <c:tickLblPos val="nextTo"/>
        <c:crossAx val="4001907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Refresh"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tabSelected="1" workbookViewId="0">
      <selection activeCell="D11" sqref="D11"/>
    </sheetView>
  </sheetViews>
  <sheetFormatPr defaultColWidth="8" defaultRowHeight="11.25" x14ac:dyDescent="0.2"/>
  <cols>
    <col min="1" max="2" width="2.7109375" style="179" customWidth="1"/>
    <col min="3" max="3" width="18" style="179" bestFit="1" customWidth="1"/>
    <col min="4" max="4" width="23.85546875" style="179" bestFit="1" customWidth="1"/>
    <col min="5" max="5" width="22" style="179" bestFit="1" customWidth="1"/>
    <col min="6" max="8" width="2.7109375" style="179" customWidth="1"/>
    <col min="9" max="9" width="18.5703125" style="179" bestFit="1" customWidth="1"/>
    <col min="10" max="10" width="53.7109375" style="179" bestFit="1" customWidth="1"/>
    <col min="11" max="11" width="2.7109375" style="179" customWidth="1"/>
    <col min="12" max="16384" width="8" style="179"/>
  </cols>
  <sheetData>
    <row r="1" spans="2:11" ht="12" thickBot="1" x14ac:dyDescent="0.25">
      <c r="B1" s="179" t="str">
        <f>_xll.qlxlVersion(TRUE,Trigger)</f>
        <v>QuantLibXL 1.4.0 - MS VC++ 9.0 - Multithreaded Dynamic Runtime library - Release Configuration - Apr 29 2014 14:47:17</v>
      </c>
    </row>
    <row r="2" spans="2:11" ht="18.75" thickBot="1" x14ac:dyDescent="0.3">
      <c r="B2" s="252" t="s">
        <v>115</v>
      </c>
      <c r="C2" s="253"/>
      <c r="D2" s="253"/>
      <c r="E2" s="253"/>
      <c r="F2" s="254"/>
      <c r="H2" s="252" t="s">
        <v>127</v>
      </c>
      <c r="I2" s="253"/>
      <c r="J2" s="253"/>
      <c r="K2" s="255"/>
    </row>
    <row r="3" spans="2:11" x14ac:dyDescent="0.2">
      <c r="B3" s="58"/>
      <c r="C3" s="87"/>
      <c r="D3" s="57"/>
      <c r="E3" s="57"/>
      <c r="F3" s="56"/>
      <c r="H3" s="134"/>
      <c r="I3" s="137"/>
      <c r="J3" s="137"/>
      <c r="K3" s="136"/>
    </row>
    <row r="4" spans="2:11" x14ac:dyDescent="0.2">
      <c r="B4" s="58"/>
      <c r="C4" s="86" t="s">
        <v>114</v>
      </c>
      <c r="D4" s="73" t="s">
        <v>112</v>
      </c>
      <c r="E4" s="57"/>
      <c r="F4" s="56"/>
      <c r="H4" s="134"/>
      <c r="I4" s="133" t="s">
        <v>126</v>
      </c>
      <c r="J4" s="127" t="b">
        <v>0</v>
      </c>
      <c r="K4" s="132"/>
    </row>
    <row r="5" spans="2:11" x14ac:dyDescent="0.2">
      <c r="B5" s="58"/>
      <c r="C5" s="84" t="s">
        <v>113</v>
      </c>
      <c r="D5" s="59"/>
      <c r="E5" s="57"/>
      <c r="F5" s="56"/>
      <c r="H5" s="134"/>
      <c r="I5" s="133" t="s">
        <v>125</v>
      </c>
      <c r="J5" s="135"/>
      <c r="K5" s="132"/>
    </row>
    <row r="6" spans="2:11" x14ac:dyDescent="0.2">
      <c r="B6" s="58"/>
      <c r="C6" s="84" t="s">
        <v>111</v>
      </c>
      <c r="D6" s="59" t="s">
        <v>110</v>
      </c>
      <c r="E6" s="57"/>
      <c r="F6" s="56"/>
      <c r="H6" s="134"/>
      <c r="I6" s="133" t="s">
        <v>124</v>
      </c>
      <c r="J6" s="124" t="b">
        <v>1</v>
      </c>
      <c r="K6" s="132"/>
    </row>
    <row r="7" spans="2:11" ht="12" thickBot="1" x14ac:dyDescent="0.25">
      <c r="B7" s="58"/>
      <c r="C7" s="84" t="s">
        <v>109</v>
      </c>
      <c r="D7" s="59" t="s">
        <v>108</v>
      </c>
      <c r="E7" s="57"/>
      <c r="F7" s="56"/>
      <c r="H7" s="131"/>
      <c r="I7" s="130"/>
      <c r="J7" s="130"/>
      <c r="K7" s="129"/>
    </row>
    <row r="8" spans="2:11" ht="12" thickBot="1" x14ac:dyDescent="0.25">
      <c r="B8" s="58"/>
      <c r="C8" s="84" t="s">
        <v>107</v>
      </c>
      <c r="D8" s="85" t="s">
        <v>106</v>
      </c>
      <c r="E8" s="57"/>
      <c r="F8" s="56"/>
      <c r="H8" s="180"/>
      <c r="I8" s="180"/>
      <c r="J8" s="180"/>
      <c r="K8" s="180"/>
    </row>
    <row r="9" spans="2:11" ht="18.75" thickBot="1" x14ac:dyDescent="0.3">
      <c r="B9" s="58"/>
      <c r="C9" s="84" t="s">
        <v>105</v>
      </c>
      <c r="D9" s="59" t="str">
        <f>Currency&amp;"_YC"&amp;IndexTenor&amp;"RH"</f>
        <v>EUR_YCONRH</v>
      </c>
      <c r="E9" s="57"/>
      <c r="F9" s="56"/>
      <c r="H9" s="252" t="s">
        <v>123</v>
      </c>
      <c r="I9" s="253"/>
      <c r="J9" s="253"/>
      <c r="K9" s="255"/>
    </row>
    <row r="10" spans="2:11" ht="12.75" x14ac:dyDescent="0.2">
      <c r="B10" s="58"/>
      <c r="C10" s="83" t="s">
        <v>104</v>
      </c>
      <c r="D10" s="59" t="b">
        <v>1</v>
      </c>
      <c r="E10" s="57"/>
      <c r="F10" s="56"/>
      <c r="H10" s="126"/>
      <c r="I10" s="128"/>
      <c r="J10" s="128"/>
      <c r="K10" s="123"/>
    </row>
    <row r="11" spans="2:11" ht="12.75" x14ac:dyDescent="0.2">
      <c r="B11" s="58"/>
      <c r="C11" s="83" t="s">
        <v>103</v>
      </c>
      <c r="D11" s="82"/>
      <c r="E11" s="57"/>
      <c r="F11" s="56"/>
      <c r="H11" s="126"/>
      <c r="I11" s="125" t="s">
        <v>122</v>
      </c>
      <c r="J11" s="127" t="s">
        <v>121</v>
      </c>
      <c r="K11" s="123"/>
    </row>
    <row r="12" spans="2:11" ht="12.75" x14ac:dyDescent="0.2">
      <c r="B12" s="58"/>
      <c r="C12" s="81" t="s">
        <v>102</v>
      </c>
      <c r="D12" s="248" t="b">
        <v>1</v>
      </c>
      <c r="E12" s="57"/>
      <c r="F12" s="56"/>
      <c r="H12" s="126"/>
      <c r="I12" s="125" t="s">
        <v>120</v>
      </c>
      <c r="J12" s="124" t="s">
        <v>119</v>
      </c>
      <c r="K12" s="123"/>
    </row>
    <row r="13" spans="2:11" ht="12.75" x14ac:dyDescent="0.2">
      <c r="B13" s="58"/>
      <c r="C13" s="63"/>
      <c r="D13" s="63"/>
      <c r="E13" s="57"/>
      <c r="F13" s="56"/>
      <c r="H13" s="126"/>
      <c r="I13" s="125" t="s">
        <v>148</v>
      </c>
      <c r="J13" s="127" t="s">
        <v>145</v>
      </c>
      <c r="K13" s="123"/>
    </row>
    <row r="14" spans="2:11" ht="12.75" x14ac:dyDescent="0.2">
      <c r="B14" s="58"/>
      <c r="C14" s="78" t="s">
        <v>101</v>
      </c>
      <c r="D14" s="80" t="str">
        <f>_xll.qlPiecewiseYieldCurve(D16,NDays,Calendar,RateHelpersSelected,DayCounter,,,Accuracy,TraitsID,InterpolatorID,Permanent,,ObjectOverwrite)</f>
        <v>_EURYCON#0001</v>
      </c>
      <c r="E14" s="57"/>
      <c r="F14" s="56"/>
      <c r="H14" s="126"/>
      <c r="I14" s="125" t="s">
        <v>147</v>
      </c>
      <c r="J14" s="127" t="str">
        <f>PROPER(Currency)&amp;"YC"</f>
        <v>EurYC</v>
      </c>
      <c r="K14" s="123"/>
    </row>
    <row r="15" spans="2:11" ht="12.75" x14ac:dyDescent="0.2">
      <c r="B15" s="58"/>
      <c r="C15" s="65" t="s">
        <v>0</v>
      </c>
      <c r="D15" s="79" t="str">
        <f>_xll.ohRangeRetrieveError(YieldCurve)</f>
        <v/>
      </c>
      <c r="E15" s="57"/>
      <c r="F15" s="56"/>
      <c r="H15" s="126"/>
      <c r="I15" s="125" t="s">
        <v>146</v>
      </c>
      <c r="J15" s="127" t="str">
        <f>PROPER(Currency)&amp;"YCSTD"</f>
        <v>EurYCSTD</v>
      </c>
      <c r="K15" s="123"/>
    </row>
    <row r="16" spans="2:11" ht="13.5" thickBot="1" x14ac:dyDescent="0.25">
      <c r="B16" s="58"/>
      <c r="C16" s="78" t="s">
        <v>100</v>
      </c>
      <c r="D16" s="77" t="str">
        <f>"_"&amp;Currency&amp;"YC"&amp;IndexTenor</f>
        <v>_EURYCON</v>
      </c>
      <c r="E16" s="57"/>
      <c r="F16" s="56"/>
      <c r="H16" s="122"/>
      <c r="I16" s="121"/>
      <c r="J16" s="121"/>
      <c r="K16" s="120"/>
    </row>
    <row r="17" spans="2:6" x14ac:dyDescent="0.2">
      <c r="B17" s="58"/>
      <c r="C17" s="67" t="s">
        <v>99</v>
      </c>
      <c r="D17" s="76">
        <v>0</v>
      </c>
      <c r="E17" s="57"/>
      <c r="F17" s="56"/>
    </row>
    <row r="18" spans="2:6" x14ac:dyDescent="0.2">
      <c r="B18" s="58"/>
      <c r="C18" s="67" t="s">
        <v>98</v>
      </c>
      <c r="D18" s="75" t="s">
        <v>97</v>
      </c>
      <c r="E18" s="57"/>
      <c r="F18" s="56"/>
    </row>
    <row r="19" spans="2:6" x14ac:dyDescent="0.2">
      <c r="B19" s="58"/>
      <c r="C19" s="67" t="s">
        <v>96</v>
      </c>
      <c r="D19" s="75"/>
      <c r="E19" s="57"/>
      <c r="F19" s="56"/>
    </row>
    <row r="20" spans="2:6" x14ac:dyDescent="0.2">
      <c r="B20" s="58"/>
      <c r="C20" s="67" t="s">
        <v>95</v>
      </c>
      <c r="D20" s="74" t="str">
        <f>Currency&amp;"TOY_SYNTH"&amp;IndexTenor&amp;"_Quote"</f>
        <v>EURTOY_SYNTHON_Quote</v>
      </c>
      <c r="E20" s="73" t="str">
        <f>Currency&amp;"TOY2_SYNTH"&amp;IndexTenor&amp;"_Quote"</f>
        <v>EURTOY2_SYNTHON_Quote</v>
      </c>
      <c r="F20" s="56"/>
    </row>
    <row r="21" spans="2:6" x14ac:dyDescent="0.2">
      <c r="B21" s="58"/>
      <c r="C21" s="67" t="s">
        <v>94</v>
      </c>
      <c r="D21" s="72">
        <f>DATE(YEAR(_xll.qlCalendarAdvance(Calendar,_xll.qlSettingsEvaluationDate(Trigger),NDays&amp;"D")),12,31)</f>
        <v>42004</v>
      </c>
      <c r="E21" s="71">
        <f>DATE(YEAR(D21+1),12,31)</f>
        <v>42369</v>
      </c>
      <c r="F21" s="56"/>
    </row>
    <row r="22" spans="2:6" x14ac:dyDescent="0.2">
      <c r="B22" s="58"/>
      <c r="C22" s="67" t="s">
        <v>93</v>
      </c>
      <c r="D22" s="70"/>
      <c r="E22" s="69"/>
      <c r="F22" s="56"/>
    </row>
    <row r="23" spans="2:6" x14ac:dyDescent="0.2">
      <c r="B23" s="58"/>
      <c r="C23" s="67" t="s">
        <v>92</v>
      </c>
      <c r="D23" s="68" t="e">
        <f>NA()</f>
        <v>#N/A</v>
      </c>
      <c r="E23" s="57"/>
      <c r="F23" s="56"/>
    </row>
    <row r="24" spans="2:6" x14ac:dyDescent="0.2">
      <c r="B24" s="58"/>
      <c r="C24" s="67" t="s">
        <v>91</v>
      </c>
      <c r="D24" s="66" t="s">
        <v>90</v>
      </c>
      <c r="E24" s="57"/>
      <c r="F24" s="56"/>
    </row>
    <row r="25" spans="2:6" x14ac:dyDescent="0.2">
      <c r="B25" s="58"/>
      <c r="C25" s="65" t="s">
        <v>89</v>
      </c>
      <c r="D25" s="64" t="s">
        <v>151</v>
      </c>
      <c r="E25" s="57"/>
      <c r="F25" s="56"/>
    </row>
    <row r="26" spans="2:6" x14ac:dyDescent="0.2">
      <c r="B26" s="58"/>
      <c r="C26" s="63"/>
      <c r="D26" s="63"/>
      <c r="E26" s="57"/>
      <c r="F26" s="56"/>
    </row>
    <row r="27" spans="2:6" x14ac:dyDescent="0.2">
      <c r="B27" s="58"/>
      <c r="C27" s="62">
        <f>_xll.qlTermStructureReferenceDate(YieldCurve)</f>
        <v>41788</v>
      </c>
      <c r="D27" s="61">
        <f>MAX(_xll.ohPack(Selected!I1:I126))</f>
        <v>1</v>
      </c>
      <c r="E27" s="57"/>
      <c r="F27" s="56"/>
    </row>
    <row r="28" spans="2:6" x14ac:dyDescent="0.2">
      <c r="B28" s="58"/>
      <c r="C28" s="60">
        <f>MAX(_xll.ohPack(Selected!H2:H126))</f>
        <v>63709</v>
      </c>
      <c r="D28" s="59">
        <f>MIN(_xll.ohPack(Selected!I1:I126))</f>
        <v>0.25372729026012258</v>
      </c>
      <c r="E28" s="57"/>
      <c r="F28" s="56"/>
    </row>
    <row r="29" spans="2:6" x14ac:dyDescent="0.2">
      <c r="B29" s="58"/>
      <c r="C29" s="183" t="s">
        <v>0</v>
      </c>
      <c r="D29" s="184" t="str">
        <f>_xll.ohRangeRetrieveError(Selected!I1)</f>
        <v/>
      </c>
      <c r="E29" s="57"/>
      <c r="F29" s="56"/>
    </row>
    <row r="30" spans="2:6" ht="11.25" customHeight="1" x14ac:dyDescent="0.2">
      <c r="B30" s="58"/>
      <c r="C30" s="249" t="s">
        <v>150</v>
      </c>
      <c r="D30" s="250" t="b">
        <f>_xll.qlRelinkableHandleLinkTo(C30,YieldCurve)</f>
        <v>1</v>
      </c>
      <c r="E30" s="57"/>
      <c r="F30" s="56"/>
    </row>
    <row r="31" spans="2:6" x14ac:dyDescent="0.2">
      <c r="B31" s="58"/>
      <c r="C31" s="251" t="s">
        <v>171</v>
      </c>
      <c r="D31" s="185" t="b">
        <v>0</v>
      </c>
      <c r="E31" s="57"/>
      <c r="F31" s="56"/>
    </row>
    <row r="32" spans="2:6" ht="12" thickBot="1" x14ac:dyDescent="0.25">
      <c r="B32" s="55"/>
      <c r="C32" s="181"/>
      <c r="D32" s="182"/>
      <c r="E32" s="54"/>
      <c r="F32" s="53"/>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22"/>
  <sheetViews>
    <sheetView topLeftCell="D1" workbookViewId="0">
      <selection activeCell="M1" sqref="M1"/>
    </sheetView>
  </sheetViews>
  <sheetFormatPr defaultRowHeight="11.25" outlineLevelRow="1" outlineLevelCol="1" x14ac:dyDescent="0.2"/>
  <cols>
    <col min="1" max="1" width="5.7109375" style="1" hidden="1" customWidth="1" outlineLevel="1"/>
    <col min="2" max="2" width="4.140625" style="2" hidden="1" customWidth="1" outlineLevel="1"/>
    <col min="3" max="3" width="8.42578125" style="2" hidden="1" customWidth="1" outlineLevel="1"/>
    <col min="4" max="4" width="13.28515625" style="2" bestFit="1" customWidth="1" collapsed="1"/>
    <col min="5" max="5" width="22.7109375" style="2" bestFit="1" customWidth="1"/>
    <col min="6" max="6" width="8" style="2" bestFit="1" customWidth="1"/>
    <col min="7" max="7" width="11" style="2" bestFit="1" customWidth="1"/>
    <col min="8" max="8" width="8" style="2" bestFit="1" customWidth="1"/>
    <col min="9" max="9" width="8.8554687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1:14" ht="22.5" x14ac:dyDescent="0.2">
      <c r="B1" s="256" t="s">
        <v>88</v>
      </c>
      <c r="C1" s="257"/>
      <c r="D1" s="258"/>
      <c r="E1" s="52" t="s">
        <v>87</v>
      </c>
      <c r="F1" s="52" t="s">
        <v>86</v>
      </c>
      <c r="G1" s="52" t="s">
        <v>85</v>
      </c>
      <c r="H1" s="52" t="s">
        <v>84</v>
      </c>
      <c r="I1" s="52" t="s">
        <v>83</v>
      </c>
      <c r="J1" s="52" t="s">
        <v>82</v>
      </c>
      <c r="K1" s="52" t="s">
        <v>7</v>
      </c>
      <c r="L1" s="52" t="s">
        <v>6</v>
      </c>
    </row>
    <row r="2" spans="1:14" ht="11.25" customHeight="1" x14ac:dyDescent="0.2">
      <c r="B2" s="51"/>
      <c r="C2" s="35"/>
      <c r="D2" s="34" t="s">
        <v>81</v>
      </c>
      <c r="E2" s="34" t="str">
        <f t="shared" ref="E2:E33" si="0">RateHelperPrefix&amp;"_"&amp;$B2&amp;$C2&amp;$D2</f>
        <v>EUR_YCONRH_OND</v>
      </c>
      <c r="F2" s="33">
        <f>_xll.qlRateHelperQuoteValue($E2,Trigger)</f>
        <v>5.5000000000000005E-3</v>
      </c>
      <c r="G2" s="33"/>
      <c r="H2" s="26" t="b">
        <v>1</v>
      </c>
      <c r="I2" s="26">
        <v>70</v>
      </c>
      <c r="J2" s="26">
        <v>1</v>
      </c>
      <c r="K2" s="32">
        <f>_xll.qlRateHelperEarliestDate($E2,Trigger)</f>
        <v>41788</v>
      </c>
      <c r="L2" s="31">
        <f>_xll.qlRateHelperLatestDate($E2,Trigger)</f>
        <v>41789</v>
      </c>
    </row>
    <row r="3" spans="1:14" x14ac:dyDescent="0.2">
      <c r="B3" s="51"/>
      <c r="C3" s="35"/>
      <c r="D3" s="34" t="s">
        <v>80</v>
      </c>
      <c r="E3" s="34" t="str">
        <f t="shared" si="0"/>
        <v>EUR_YCONRH_TND</v>
      </c>
      <c r="F3" s="33">
        <f>_xll.qlRateHelperQuoteValue($E3,Trigger)</f>
        <v>3.2000000000000002E-3</v>
      </c>
      <c r="G3" s="33"/>
      <c r="H3" s="26" t="b">
        <v>1</v>
      </c>
      <c r="I3" s="26">
        <v>70</v>
      </c>
      <c r="J3" s="26">
        <v>1</v>
      </c>
      <c r="K3" s="32">
        <f>_xll.qlRateHelperEarliestDate($E3,Trigger)</f>
        <v>41789</v>
      </c>
      <c r="L3" s="31">
        <f>_xll.qlRateHelperLatestDate($E3,Trigger)</f>
        <v>41792</v>
      </c>
    </row>
    <row r="4" spans="1:14" x14ac:dyDescent="0.2">
      <c r="B4" s="50"/>
      <c r="C4" s="29"/>
      <c r="D4" s="28" t="s">
        <v>79</v>
      </c>
      <c r="E4" s="28" t="str">
        <f t="shared" si="0"/>
        <v>EUR_YCONRH_SND</v>
      </c>
      <c r="F4" s="27">
        <f>_xll.qlRateHelperQuoteValue($E4,Trigger)</f>
        <v>3.2000000000000002E-3</v>
      </c>
      <c r="G4" s="27"/>
      <c r="H4" s="25" t="b">
        <v>1</v>
      </c>
      <c r="I4" s="25">
        <v>70</v>
      </c>
      <c r="J4" s="25">
        <v>1</v>
      </c>
      <c r="K4" s="24">
        <f>_xll.qlRateHelperEarliestDate($E4,Trigger)</f>
        <v>41792</v>
      </c>
      <c r="L4" s="23">
        <f>_xll.qlRateHelperLatestDate($E4,Trigger)</f>
        <v>41793</v>
      </c>
    </row>
    <row r="5" spans="1:14" hidden="1" outlineLevel="1" x14ac:dyDescent="0.2">
      <c r="B5" s="51"/>
      <c r="C5" s="35"/>
      <c r="D5" s="34" t="s">
        <v>78</v>
      </c>
      <c r="E5" s="34" t="str">
        <f t="shared" si="0"/>
        <v>EUR_YCONRH_SWD</v>
      </c>
      <c r="F5" s="33" t="e">
        <f>_xll.qlRateHelperQuoteValue($E5,Trigger)</f>
        <v>#NUM!</v>
      </c>
      <c r="G5" s="33"/>
      <c r="H5" s="26" t="b">
        <v>0</v>
      </c>
      <c r="I5" s="26">
        <v>70</v>
      </c>
      <c r="J5" s="26">
        <v>1</v>
      </c>
      <c r="K5" s="32" t="e">
        <f>_xll.qlRateHelperEarliestDate($E5,Trigger)</f>
        <v>#NUM!</v>
      </c>
      <c r="L5" s="31" t="e">
        <f>_xll.qlRateHelperLatestDate($E5,Trigger)</f>
        <v>#NUM!</v>
      </c>
    </row>
    <row r="6" spans="1:14" hidden="1" outlineLevel="1" x14ac:dyDescent="0.2">
      <c r="B6" s="51"/>
      <c r="C6" s="35"/>
      <c r="D6" s="34" t="s">
        <v>77</v>
      </c>
      <c r="E6" s="34" t="str">
        <f t="shared" si="0"/>
        <v>EUR_YCONRH_2WD</v>
      </c>
      <c r="F6" s="33" t="e">
        <f>_xll.qlRateHelperQuoteValue($E6,Trigger)</f>
        <v>#NUM!</v>
      </c>
      <c r="G6" s="33"/>
      <c r="H6" s="26" t="b">
        <v>0</v>
      </c>
      <c r="I6" s="26">
        <v>70</v>
      </c>
      <c r="J6" s="26">
        <v>1</v>
      </c>
      <c r="K6" s="32" t="e">
        <f>_xll.qlRateHelperEarliestDate($E6,Trigger)</f>
        <v>#NUM!</v>
      </c>
      <c r="L6" s="31" t="e">
        <f>_xll.qlRateHelperLatestDate($E6,Trigger)</f>
        <v>#NUM!</v>
      </c>
    </row>
    <row r="7" spans="1:14" hidden="1" outlineLevel="1" x14ac:dyDescent="0.2">
      <c r="B7" s="51"/>
      <c r="C7" s="35"/>
      <c r="D7" s="34" t="s">
        <v>76</v>
      </c>
      <c r="E7" s="34" t="str">
        <f t="shared" si="0"/>
        <v>EUR_YCONRH_3WD</v>
      </c>
      <c r="F7" s="33" t="e">
        <f>_xll.qlRateHelperQuoteValue($E7,Trigger)</f>
        <v>#NUM!</v>
      </c>
      <c r="G7" s="33"/>
      <c r="H7" s="26" t="b">
        <v>0</v>
      </c>
      <c r="I7" s="26">
        <v>70</v>
      </c>
      <c r="J7" s="26">
        <v>1</v>
      </c>
      <c r="K7" s="32" t="e">
        <f>_xll.qlRateHelperEarliestDate($E7,Trigger)</f>
        <v>#NUM!</v>
      </c>
      <c r="L7" s="31" t="e">
        <f>_xll.qlRateHelperLatestDate($E7,Trigger)</f>
        <v>#NUM!</v>
      </c>
    </row>
    <row r="8" spans="1:14" hidden="1" outlineLevel="1" x14ac:dyDescent="0.2">
      <c r="B8" s="51"/>
      <c r="C8" s="35"/>
      <c r="D8" s="34" t="s">
        <v>75</v>
      </c>
      <c r="E8" s="34" t="str">
        <f t="shared" si="0"/>
        <v>EUR_YCONRH_1MD</v>
      </c>
      <c r="F8" s="33" t="e">
        <f>_xll.qlRateHelperQuoteValue($E8,Trigger)</f>
        <v>#NUM!</v>
      </c>
      <c r="G8" s="33"/>
      <c r="H8" s="26" t="b">
        <v>0</v>
      </c>
      <c r="I8" s="26">
        <v>70</v>
      </c>
      <c r="J8" s="26">
        <v>1</v>
      </c>
      <c r="K8" s="32" t="e">
        <f>_xll.qlRateHelperEarliestDate($E8,Trigger)</f>
        <v>#NUM!</v>
      </c>
      <c r="L8" s="31" t="e">
        <f>_xll.qlRateHelperLatestDate($E8,Trigger)</f>
        <v>#NUM!</v>
      </c>
    </row>
    <row r="9" spans="1:14" hidden="1" outlineLevel="1" x14ac:dyDescent="0.2">
      <c r="B9" s="51"/>
      <c r="C9" s="35"/>
      <c r="D9" s="34" t="s">
        <v>74</v>
      </c>
      <c r="E9" s="34" t="str">
        <f t="shared" si="0"/>
        <v>EUR_YCONRH_2MD</v>
      </c>
      <c r="F9" s="33" t="e">
        <f>_xll.qlRateHelperQuoteValue($E9,Trigger)</f>
        <v>#NUM!</v>
      </c>
      <c r="G9" s="33"/>
      <c r="H9" s="26" t="b">
        <v>0</v>
      </c>
      <c r="I9" s="26">
        <v>70</v>
      </c>
      <c r="J9" s="26">
        <v>1</v>
      </c>
      <c r="K9" s="32" t="e">
        <f>_xll.qlRateHelperEarliestDate($E9,Trigger)</f>
        <v>#NUM!</v>
      </c>
      <c r="L9" s="31" t="e">
        <f>_xll.qlRateHelperLatestDate($E9,Trigger)</f>
        <v>#NUM!</v>
      </c>
    </row>
    <row r="10" spans="1:14" hidden="1" outlineLevel="1" x14ac:dyDescent="0.2">
      <c r="B10" s="51"/>
      <c r="C10" s="35"/>
      <c r="D10" s="34" t="s">
        <v>73</v>
      </c>
      <c r="E10" s="34" t="str">
        <f t="shared" si="0"/>
        <v>EUR_YCONRH_3MD</v>
      </c>
      <c r="F10" s="33" t="e">
        <f>_xll.qlRateHelperQuoteValue($E10,Trigger)</f>
        <v>#NUM!</v>
      </c>
      <c r="G10" s="33"/>
      <c r="H10" s="26" t="b">
        <v>0</v>
      </c>
      <c r="I10" s="26">
        <v>70</v>
      </c>
      <c r="J10" s="26">
        <v>1</v>
      </c>
      <c r="K10" s="32" t="e">
        <f>_xll.qlRateHelperEarliestDate($E10,Trigger)</f>
        <v>#NUM!</v>
      </c>
      <c r="L10" s="31" t="e">
        <f>_xll.qlRateHelperLatestDate($E10,Trigger)</f>
        <v>#NUM!</v>
      </c>
    </row>
    <row r="11" spans="1:14" hidden="1" outlineLevel="1" x14ac:dyDescent="0.2">
      <c r="B11" s="51"/>
      <c r="C11" s="35"/>
      <c r="D11" s="34" t="s">
        <v>72</v>
      </c>
      <c r="E11" s="34" t="str">
        <f t="shared" si="0"/>
        <v>EUR_YCONRH_4MD</v>
      </c>
      <c r="F11" s="33" t="e">
        <f>_xll.qlRateHelperQuoteValue($E11,Trigger)</f>
        <v>#NUM!</v>
      </c>
      <c r="G11" s="33"/>
      <c r="H11" s="26" t="b">
        <v>0</v>
      </c>
      <c r="I11" s="26">
        <v>70</v>
      </c>
      <c r="J11" s="26">
        <v>1</v>
      </c>
      <c r="K11" s="32" t="e">
        <f>_xll.qlRateHelperEarliestDate($E11,Trigger)</f>
        <v>#NUM!</v>
      </c>
      <c r="L11" s="31" t="e">
        <f>_xll.qlRateHelperLatestDate($E11,Trigger)</f>
        <v>#NUM!</v>
      </c>
    </row>
    <row r="12" spans="1:14" hidden="1" outlineLevel="1" x14ac:dyDescent="0.2">
      <c r="B12" s="51"/>
      <c r="C12" s="35"/>
      <c r="D12" s="34" t="s">
        <v>71</v>
      </c>
      <c r="E12" s="34" t="str">
        <f t="shared" si="0"/>
        <v>EUR_YCONRH_5MD</v>
      </c>
      <c r="F12" s="33" t="e">
        <f>_xll.qlRateHelperQuoteValue($E12,Trigger)</f>
        <v>#NUM!</v>
      </c>
      <c r="G12" s="33"/>
      <c r="H12" s="26" t="b">
        <v>0</v>
      </c>
      <c r="I12" s="26">
        <v>70</v>
      </c>
      <c r="J12" s="26">
        <v>1</v>
      </c>
      <c r="K12" s="32" t="e">
        <f>_xll.qlRateHelperEarliestDate($E12,Trigger)</f>
        <v>#NUM!</v>
      </c>
      <c r="L12" s="31" t="e">
        <f>_xll.qlRateHelperLatestDate($E12,Trigger)</f>
        <v>#NUM!</v>
      </c>
    </row>
    <row r="13" spans="1:14" hidden="1" outlineLevel="1" x14ac:dyDescent="0.2">
      <c r="B13" s="51"/>
      <c r="C13" s="35"/>
      <c r="D13" s="34" t="s">
        <v>70</v>
      </c>
      <c r="E13" s="34" t="str">
        <f t="shared" si="0"/>
        <v>EUR_YCONRH_6MD</v>
      </c>
      <c r="F13" s="33" t="e">
        <f>_xll.qlRateHelperQuoteValue($E13,Trigger)</f>
        <v>#NUM!</v>
      </c>
      <c r="G13" s="33"/>
      <c r="H13" s="26" t="b">
        <v>0</v>
      </c>
      <c r="I13" s="26">
        <v>70</v>
      </c>
      <c r="J13" s="26">
        <v>1</v>
      </c>
      <c r="K13" s="32" t="e">
        <f>_xll.qlRateHelperEarliestDate($E13,Trigger)</f>
        <v>#NUM!</v>
      </c>
      <c r="L13" s="31" t="e">
        <f>_xll.qlRateHelperLatestDate($E13,Trigger)</f>
        <v>#NUM!</v>
      </c>
    </row>
    <row r="14" spans="1:14" hidden="1" outlineLevel="1" x14ac:dyDescent="0.2">
      <c r="B14" s="51"/>
      <c r="C14" s="35"/>
      <c r="D14" s="34" t="s">
        <v>69</v>
      </c>
      <c r="E14" s="34" t="str">
        <f t="shared" si="0"/>
        <v>EUR_YCONRH_9MD</v>
      </c>
      <c r="F14" s="33" t="e">
        <f>_xll.qlRateHelperQuoteValue($E14,Trigger)</f>
        <v>#NUM!</v>
      </c>
      <c r="G14" s="33"/>
      <c r="H14" s="26" t="b">
        <v>0</v>
      </c>
      <c r="I14" s="26">
        <v>70</v>
      </c>
      <c r="J14" s="26">
        <v>1</v>
      </c>
      <c r="K14" s="32" t="e">
        <f>_xll.qlRateHelperEarliestDate($E14,Trigger)</f>
        <v>#NUM!</v>
      </c>
      <c r="L14" s="31" t="e">
        <f>_xll.qlRateHelperLatestDate($E14,Trigger)</f>
        <v>#NUM!</v>
      </c>
    </row>
    <row r="15" spans="1:14" hidden="1" outlineLevel="1" x14ac:dyDescent="0.2">
      <c r="B15" s="50"/>
      <c r="C15" s="29"/>
      <c r="D15" s="28" t="s">
        <v>68</v>
      </c>
      <c r="E15" s="28" t="str">
        <f t="shared" si="0"/>
        <v>EUR_YCONRH_1YD</v>
      </c>
      <c r="F15" s="27" t="e">
        <f>_xll.qlRateHelperQuoteValue($E15,Trigger)</f>
        <v>#NUM!</v>
      </c>
      <c r="G15" s="27"/>
      <c r="H15" s="25" t="b">
        <v>0</v>
      </c>
      <c r="I15" s="25">
        <v>70</v>
      </c>
      <c r="J15" s="25">
        <v>1</v>
      </c>
      <c r="K15" s="24" t="e">
        <f>_xll.qlRateHelperEarliestDate($E15,Trigger)</f>
        <v>#NUM!</v>
      </c>
      <c r="L15" s="23" t="e">
        <f>_xll.qlRateHelperLatestDate($E15,Trigger)</f>
        <v>#NUM!</v>
      </c>
    </row>
    <row r="16" spans="1:14" ht="11.25" customHeight="1" collapsed="1" x14ac:dyDescent="0.2">
      <c r="A16" s="1" t="e">
        <f>_xll.qlECBNextDate(_xll.qlSettingsEvaluationDate(Trigger)+2)</f>
        <v>#NUM!</v>
      </c>
      <c r="B16" s="43" t="s">
        <v>67</v>
      </c>
      <c r="C16" s="42" t="s">
        <v>66</v>
      </c>
      <c r="D16" s="49" t="e">
        <f>_xll.qlECBcode(A16)</f>
        <v>#NUM!</v>
      </c>
      <c r="E16" s="41" t="e">
        <f t="shared" si="0"/>
        <v>#NUM!</v>
      </c>
      <c r="F16" s="40" t="e">
        <f>_xll.qlRateHelperQuoteValue($E16,Trigger)</f>
        <v>#VALUE!</v>
      </c>
      <c r="G16" s="40" t="e">
        <f>_xll.qlSwapRateHelperSpread($E16,Trigger)</f>
        <v>#VALUE!</v>
      </c>
      <c r="H16" s="26" t="b">
        <v>0</v>
      </c>
      <c r="I16" s="39">
        <v>70</v>
      </c>
      <c r="J16" s="39">
        <v>3</v>
      </c>
      <c r="K16" s="38" t="e">
        <f>_xll.qlRateHelperEarliestDate($E16,Trigger)</f>
        <v>#VALUE!</v>
      </c>
      <c r="L16" s="37" t="e">
        <f>_xll.qlRateHelperLatestDate($E16,Trigger)</f>
        <v>#VALUE!</v>
      </c>
      <c r="M16" s="48"/>
      <c r="N16" s="46"/>
    </row>
    <row r="17" spans="1:14" x14ac:dyDescent="0.2">
      <c r="A17" s="1" t="e">
        <f>_xll.qlECBNextDate(A16)</f>
        <v>#NUM!</v>
      </c>
      <c r="B17" s="36" t="s">
        <v>67</v>
      </c>
      <c r="C17" s="35" t="s">
        <v>66</v>
      </c>
      <c r="D17" s="45" t="e">
        <f>_xll.qlECBcode(A17)</f>
        <v>#NUM!</v>
      </c>
      <c r="E17" s="34" t="e">
        <f t="shared" si="0"/>
        <v>#NUM!</v>
      </c>
      <c r="F17" s="33" t="e">
        <f>_xll.qlRateHelperQuoteValue($E17,Trigger)</f>
        <v>#VALUE!</v>
      </c>
      <c r="G17" s="33" t="e">
        <f>_xll.qlSwapRateHelperSpread($E17,Trigger)</f>
        <v>#VALUE!</v>
      </c>
      <c r="H17" s="26" t="b">
        <v>0</v>
      </c>
      <c r="I17" s="26">
        <v>70</v>
      </c>
      <c r="J17" s="26">
        <v>5</v>
      </c>
      <c r="K17" s="32" t="e">
        <f>_xll.qlRateHelperEarliestDate($E17,Trigger)</f>
        <v>#VALUE!</v>
      </c>
      <c r="L17" s="31" t="e">
        <f>_xll.qlRateHelperLatestDate($E17,Trigger)</f>
        <v>#VALUE!</v>
      </c>
      <c r="M17" s="47"/>
      <c r="N17" s="46"/>
    </row>
    <row r="18" spans="1:14" x14ac:dyDescent="0.2">
      <c r="A18" s="1" t="e">
        <f>_xll.qlECBNextDate(A17)</f>
        <v>#NUM!</v>
      </c>
      <c r="B18" s="36" t="s">
        <v>67</v>
      </c>
      <c r="C18" s="35" t="s">
        <v>66</v>
      </c>
      <c r="D18" s="45" t="e">
        <f>_xll.qlECBcode(A18)</f>
        <v>#NUM!</v>
      </c>
      <c r="E18" s="34" t="e">
        <f t="shared" si="0"/>
        <v>#NUM!</v>
      </c>
      <c r="F18" s="33" t="e">
        <f>_xll.qlRateHelperQuoteValue($E18,Trigger)</f>
        <v>#VALUE!</v>
      </c>
      <c r="G18" s="33" t="e">
        <f>_xll.qlSwapRateHelperSpread($E18,Trigger)</f>
        <v>#VALUE!</v>
      </c>
      <c r="H18" s="26" t="b">
        <v>0</v>
      </c>
      <c r="I18" s="26">
        <v>70</v>
      </c>
      <c r="J18" s="26">
        <v>5</v>
      </c>
      <c r="K18" s="32" t="e">
        <f>_xll.qlRateHelperEarliestDate($E18,Trigger)</f>
        <v>#VALUE!</v>
      </c>
      <c r="L18" s="31" t="e">
        <f>_xll.qlRateHelperLatestDate($E18,Trigger)</f>
        <v>#VALUE!</v>
      </c>
    </row>
    <row r="19" spans="1:14" x14ac:dyDescent="0.2">
      <c r="A19" s="1" t="e">
        <f>_xll.qlECBNextDate(A18)</f>
        <v>#NUM!</v>
      </c>
      <c r="B19" s="36" t="s">
        <v>67</v>
      </c>
      <c r="C19" s="35" t="s">
        <v>66</v>
      </c>
      <c r="D19" s="45" t="e">
        <f>_xll.qlECBcode(A19)</f>
        <v>#NUM!</v>
      </c>
      <c r="E19" s="34" t="e">
        <f t="shared" si="0"/>
        <v>#NUM!</v>
      </c>
      <c r="F19" s="33" t="e">
        <f>_xll.qlRateHelperQuoteValue($E19,Trigger)</f>
        <v>#VALUE!</v>
      </c>
      <c r="G19" s="33" t="e">
        <f>_xll.qlSwapRateHelperSpread($E19,Trigger)</f>
        <v>#VALUE!</v>
      </c>
      <c r="H19" s="26" t="b">
        <v>0</v>
      </c>
      <c r="I19" s="26">
        <v>70</v>
      </c>
      <c r="J19" s="26">
        <v>5</v>
      </c>
      <c r="K19" s="32" t="e">
        <f>_xll.qlRateHelperEarliestDate($E19,Trigger)</f>
        <v>#VALUE!</v>
      </c>
      <c r="L19" s="31" t="e">
        <f>_xll.qlRateHelperLatestDate($E19,Trigger)</f>
        <v>#VALUE!</v>
      </c>
    </row>
    <row r="20" spans="1:14" x14ac:dyDescent="0.2">
      <c r="A20" s="1" t="e">
        <f>_xll.qlECBNextDate(A19)</f>
        <v>#NUM!</v>
      </c>
      <c r="B20" s="36" t="s">
        <v>67</v>
      </c>
      <c r="C20" s="35" t="s">
        <v>66</v>
      </c>
      <c r="D20" s="45" t="e">
        <f>_xll.qlECBcode(A20)</f>
        <v>#NUM!</v>
      </c>
      <c r="E20" s="34" t="e">
        <f t="shared" si="0"/>
        <v>#NUM!</v>
      </c>
      <c r="F20" s="33" t="e">
        <f>_xll.qlRateHelperQuoteValue($E20,Trigger)</f>
        <v>#VALUE!</v>
      </c>
      <c r="G20" s="33" t="e">
        <f>_xll.qlSwapRateHelperSpread($E20,Trigger)</f>
        <v>#VALUE!</v>
      </c>
      <c r="H20" s="26" t="b">
        <v>0</v>
      </c>
      <c r="I20" s="26">
        <v>70</v>
      </c>
      <c r="J20" s="26">
        <v>5</v>
      </c>
      <c r="K20" s="32" t="e">
        <f>_xll.qlRateHelperEarliestDate($E20,Trigger)</f>
        <v>#VALUE!</v>
      </c>
      <c r="L20" s="31" t="e">
        <f>_xll.qlRateHelperLatestDate($E20,Trigger)</f>
        <v>#VALUE!</v>
      </c>
    </row>
    <row r="21" spans="1:14" x14ac:dyDescent="0.2">
      <c r="A21" s="1" t="e">
        <f>_xll.qlECBNextDate(A20)</f>
        <v>#NUM!</v>
      </c>
      <c r="B21" s="36" t="s">
        <v>67</v>
      </c>
      <c r="C21" s="35" t="s">
        <v>66</v>
      </c>
      <c r="D21" s="45" t="e">
        <f>_xll.qlECBcode(A21)</f>
        <v>#NUM!</v>
      </c>
      <c r="E21" s="34" t="e">
        <f t="shared" si="0"/>
        <v>#NUM!</v>
      </c>
      <c r="F21" s="33" t="e">
        <f>_xll.qlRateHelperQuoteValue($E21,Trigger)</f>
        <v>#VALUE!</v>
      </c>
      <c r="G21" s="33" t="e">
        <f>_xll.qlSwapRateHelperSpread($E21,Trigger)</f>
        <v>#VALUE!</v>
      </c>
      <c r="H21" s="26" t="b">
        <v>0</v>
      </c>
      <c r="I21" s="26">
        <v>70</v>
      </c>
      <c r="J21" s="26">
        <v>5</v>
      </c>
      <c r="K21" s="32" t="e">
        <f>_xll.qlRateHelperEarliestDate($E21,Trigger)</f>
        <v>#VALUE!</v>
      </c>
      <c r="L21" s="31" t="e">
        <f>_xll.qlRateHelperLatestDate($E21,Trigger)</f>
        <v>#VALUE!</v>
      </c>
    </row>
    <row r="22" spans="1:14" x14ac:dyDescent="0.2">
      <c r="A22" s="1" t="e">
        <f>_xll.qlECBNextDate(A21)</f>
        <v>#NUM!</v>
      </c>
      <c r="B22" s="36" t="s">
        <v>67</v>
      </c>
      <c r="C22" s="35" t="s">
        <v>66</v>
      </c>
      <c r="D22" s="45" t="e">
        <f>_xll.qlECBcode(A22)</f>
        <v>#NUM!</v>
      </c>
      <c r="E22" s="34" t="e">
        <f t="shared" si="0"/>
        <v>#NUM!</v>
      </c>
      <c r="F22" s="33" t="e">
        <f>_xll.qlRateHelperQuoteValue($E22,Trigger)</f>
        <v>#VALUE!</v>
      </c>
      <c r="G22" s="33" t="e">
        <f>_xll.qlSwapRateHelperSpread($E22,Trigger)</f>
        <v>#VALUE!</v>
      </c>
      <c r="H22" s="26" t="b">
        <v>0</v>
      </c>
      <c r="I22" s="26">
        <v>70</v>
      </c>
      <c r="J22" s="26">
        <v>5</v>
      </c>
      <c r="K22" s="32" t="e">
        <f>_xll.qlRateHelperEarliestDate($E22,Trigger)</f>
        <v>#VALUE!</v>
      </c>
      <c r="L22" s="31" t="e">
        <f>_xll.qlRateHelperLatestDate($E22,Trigger)</f>
        <v>#VALUE!</v>
      </c>
    </row>
    <row r="23" spans="1:14" x14ac:dyDescent="0.2">
      <c r="A23" s="1" t="e">
        <f>_xll.qlECBNextDate(A22)</f>
        <v>#NUM!</v>
      </c>
      <c r="B23" s="36" t="s">
        <v>67</v>
      </c>
      <c r="C23" s="35" t="s">
        <v>66</v>
      </c>
      <c r="D23" s="45" t="e">
        <f>_xll.qlECBcode(A23)</f>
        <v>#NUM!</v>
      </c>
      <c r="E23" s="34" t="e">
        <f t="shared" si="0"/>
        <v>#NUM!</v>
      </c>
      <c r="F23" s="33" t="e">
        <f>_xll.qlRateHelperQuoteValue($E23,Trigger)</f>
        <v>#VALUE!</v>
      </c>
      <c r="G23" s="33" t="e">
        <f>_xll.qlSwapRateHelperSpread($E23,Trigger)</f>
        <v>#VALUE!</v>
      </c>
      <c r="H23" s="26" t="b">
        <v>0</v>
      </c>
      <c r="I23" s="26">
        <v>70</v>
      </c>
      <c r="J23" s="26">
        <v>5</v>
      </c>
      <c r="K23" s="32" t="e">
        <f>_xll.qlRateHelperEarliestDate($E23,Trigger)</f>
        <v>#VALUE!</v>
      </c>
      <c r="L23" s="31" t="e">
        <f>_xll.qlRateHelperLatestDate($E23,Trigger)</f>
        <v>#VALUE!</v>
      </c>
    </row>
    <row r="24" spans="1:14" x14ac:dyDescent="0.2">
      <c r="A24" s="1" t="e">
        <f>_xll.qlECBNextDate(A23)</f>
        <v>#NUM!</v>
      </c>
      <c r="B24" s="36" t="s">
        <v>67</v>
      </c>
      <c r="C24" s="35" t="s">
        <v>66</v>
      </c>
      <c r="D24" s="45" t="e">
        <f>_xll.qlECBcode(A24)</f>
        <v>#NUM!</v>
      </c>
      <c r="E24" s="34" t="e">
        <f t="shared" si="0"/>
        <v>#NUM!</v>
      </c>
      <c r="F24" s="33" t="e">
        <f>_xll.qlRateHelperQuoteValue($E24,Trigger)</f>
        <v>#VALUE!</v>
      </c>
      <c r="G24" s="33" t="e">
        <f>_xll.qlSwapRateHelperSpread($E24,Trigger)</f>
        <v>#VALUE!</v>
      </c>
      <c r="H24" s="26" t="b">
        <v>0</v>
      </c>
      <c r="I24" s="26">
        <v>70</v>
      </c>
      <c r="J24" s="26">
        <v>5</v>
      </c>
      <c r="K24" s="32" t="e">
        <f>_xll.qlRateHelperEarliestDate($E24,Trigger)</f>
        <v>#VALUE!</v>
      </c>
      <c r="L24" s="31" t="e">
        <f>_xll.qlRateHelperLatestDate($E24,Trigger)</f>
        <v>#VALUE!</v>
      </c>
    </row>
    <row r="25" spans="1:14" x14ac:dyDescent="0.2">
      <c r="A25" s="1" t="e">
        <f>_xll.qlECBNextDate(A24)</f>
        <v>#NUM!</v>
      </c>
      <c r="B25" s="36" t="s">
        <v>67</v>
      </c>
      <c r="C25" s="35" t="s">
        <v>66</v>
      </c>
      <c r="D25" s="45" t="e">
        <f>_xll.qlECBcode(A25)</f>
        <v>#NUM!</v>
      </c>
      <c r="E25" s="34" t="e">
        <f t="shared" si="0"/>
        <v>#NUM!</v>
      </c>
      <c r="F25" s="33" t="e">
        <f>_xll.qlRateHelperQuoteValue($E25,Trigger)</f>
        <v>#VALUE!</v>
      </c>
      <c r="G25" s="33" t="e">
        <f>_xll.qlSwapRateHelperSpread($E25,Trigger)</f>
        <v>#VALUE!</v>
      </c>
      <c r="H25" s="26" t="b">
        <v>0</v>
      </c>
      <c r="I25" s="26">
        <v>70</v>
      </c>
      <c r="J25" s="26">
        <v>5</v>
      </c>
      <c r="K25" s="32" t="e">
        <f>_xll.qlRateHelperEarliestDate($E25,Trigger)</f>
        <v>#VALUE!</v>
      </c>
      <c r="L25" s="31" t="e">
        <f>_xll.qlRateHelperLatestDate($E25,Trigger)</f>
        <v>#VALUE!</v>
      </c>
    </row>
    <row r="26" spans="1:14" ht="11.25" customHeight="1" x14ac:dyDescent="0.2">
      <c r="A26" s="1" t="e">
        <f>_xll.qlECBNextDate(A25)</f>
        <v>#NUM!</v>
      </c>
      <c r="B26" s="36" t="s">
        <v>67</v>
      </c>
      <c r="C26" s="35" t="s">
        <v>66</v>
      </c>
      <c r="D26" s="45" t="e">
        <f>_xll.qlECBcode(A26)</f>
        <v>#NUM!</v>
      </c>
      <c r="E26" s="34" t="e">
        <f t="shared" si="0"/>
        <v>#NUM!</v>
      </c>
      <c r="F26" s="33" t="e">
        <f>_xll.qlRateHelperQuoteValue($E26,Trigger)</f>
        <v>#VALUE!</v>
      </c>
      <c r="G26" s="33" t="e">
        <f>_xll.qlSwapRateHelperSpread($E26,Trigger)</f>
        <v>#VALUE!</v>
      </c>
      <c r="H26" s="26" t="b">
        <v>0</v>
      </c>
      <c r="I26" s="26">
        <v>70</v>
      </c>
      <c r="J26" s="26">
        <v>5</v>
      </c>
      <c r="K26" s="32" t="e">
        <f>_xll.qlRateHelperEarliestDate($E26,Trigger)</f>
        <v>#VALUE!</v>
      </c>
      <c r="L26" s="31" t="e">
        <f>_xll.qlRateHelperLatestDate($E26,Trigger)</f>
        <v>#VALUE!</v>
      </c>
    </row>
    <row r="27" spans="1:14" x14ac:dyDescent="0.2">
      <c r="A27" s="1" t="e">
        <f>_xll.qlECBNextDate(A26)</f>
        <v>#NUM!</v>
      </c>
      <c r="B27" s="30" t="s">
        <v>67</v>
      </c>
      <c r="C27" s="29" t="s">
        <v>66</v>
      </c>
      <c r="D27" s="44" t="e">
        <f>_xll.qlECBcode(A27)</f>
        <v>#NUM!</v>
      </c>
      <c r="E27" s="28" t="e">
        <f t="shared" si="0"/>
        <v>#NUM!</v>
      </c>
      <c r="F27" s="27" t="e">
        <f>_xll.qlRateHelperQuoteValue($E27,Trigger)</f>
        <v>#VALUE!</v>
      </c>
      <c r="G27" s="27" t="e">
        <f>_xll.qlSwapRateHelperSpread($E27,Trigger)</f>
        <v>#VALUE!</v>
      </c>
      <c r="H27" s="25" t="b">
        <v>0</v>
      </c>
      <c r="I27" s="25">
        <v>70</v>
      </c>
      <c r="J27" s="25">
        <v>5</v>
      </c>
      <c r="K27" s="24" t="e">
        <f>_xll.qlRateHelperEarliestDate($E27,Trigger)</f>
        <v>#VALUE!</v>
      </c>
      <c r="L27" s="23" t="e">
        <f>_xll.qlRateHelperLatestDate($E27,Trigger)</f>
        <v>#VALUE!</v>
      </c>
    </row>
    <row r="28" spans="1:14" hidden="1" outlineLevel="1" x14ac:dyDescent="0.2">
      <c r="B28" s="43" t="s">
        <v>62</v>
      </c>
      <c r="C28" s="42">
        <v>12</v>
      </c>
      <c r="D28" s="41"/>
      <c r="E28" s="41" t="str">
        <f t="shared" si="0"/>
        <v>EUR_YCONRH_1S12</v>
      </c>
      <c r="F28" s="40" t="e">
        <f>_xll.qlRateHelperQuoteValue($E28,Trigger)</f>
        <v>#NUM!</v>
      </c>
      <c r="G28" s="40" t="e">
        <f>_xll.qlSwapRateHelperSpread($E28,Trigger)</f>
        <v>#NUM!</v>
      </c>
      <c r="H28" s="39" t="b">
        <v>0</v>
      </c>
      <c r="I28" s="39">
        <v>40</v>
      </c>
      <c r="J28" s="39">
        <v>1</v>
      </c>
      <c r="K28" s="38" t="e">
        <f>_xll.qlRateHelperEarliestDate($E28,Trigger)</f>
        <v>#NUM!</v>
      </c>
      <c r="L28" s="37" t="e">
        <f>_xll.qlRateHelperLatestDate($E28,Trigger)</f>
        <v>#NUM!</v>
      </c>
    </row>
    <row r="29" spans="1:14" hidden="1" outlineLevel="1" x14ac:dyDescent="0.2">
      <c r="B29" s="36" t="s">
        <v>63</v>
      </c>
      <c r="C29" s="35">
        <v>12</v>
      </c>
      <c r="D29" s="34"/>
      <c r="E29" s="34" t="str">
        <f t="shared" si="0"/>
        <v>EUR_YCONRH_2S12</v>
      </c>
      <c r="F29" s="33" t="e">
        <f>_xll.qlRateHelperQuoteValue($E29,Trigger)</f>
        <v>#NUM!</v>
      </c>
      <c r="G29" s="33" t="e">
        <f>_xll.qlSwapRateHelperSpread($E29,Trigger)</f>
        <v>#NUM!</v>
      </c>
      <c r="H29" s="26" t="b">
        <v>0</v>
      </c>
      <c r="I29" s="26">
        <v>40</v>
      </c>
      <c r="J29" s="26">
        <v>1</v>
      </c>
      <c r="K29" s="32" t="e">
        <f>_xll.qlRateHelperEarliestDate($E29,Trigger)</f>
        <v>#NUM!</v>
      </c>
      <c r="L29" s="31" t="e">
        <f>_xll.qlRateHelperLatestDate($E29,Trigger)</f>
        <v>#NUM!</v>
      </c>
    </row>
    <row r="30" spans="1:14" hidden="1" outlineLevel="1" x14ac:dyDescent="0.2">
      <c r="B30" s="36" t="s">
        <v>65</v>
      </c>
      <c r="C30" s="35">
        <v>12</v>
      </c>
      <c r="D30" s="34"/>
      <c r="E30" s="34" t="str">
        <f t="shared" si="0"/>
        <v>EUR_YCONRH_3S12</v>
      </c>
      <c r="F30" s="33" t="e">
        <f>_xll.qlRateHelperQuoteValue($E30,Trigger)</f>
        <v>#NUM!</v>
      </c>
      <c r="G30" s="33" t="e">
        <f>_xll.qlSwapRateHelperSpread($E30,Trigger)</f>
        <v>#NUM!</v>
      </c>
      <c r="H30" s="26" t="b">
        <v>0</v>
      </c>
      <c r="I30" s="26">
        <v>40</v>
      </c>
      <c r="J30" s="26">
        <v>1</v>
      </c>
      <c r="K30" s="32" t="e">
        <f>_xll.qlRateHelperEarliestDate($E30,Trigger)</f>
        <v>#NUM!</v>
      </c>
      <c r="L30" s="31" t="e">
        <f>_xll.qlRateHelperLatestDate($E30,Trigger)</f>
        <v>#NUM!</v>
      </c>
    </row>
    <row r="31" spans="1:14" hidden="1" outlineLevel="1" x14ac:dyDescent="0.2">
      <c r="B31" s="36" t="s">
        <v>64</v>
      </c>
      <c r="C31" s="35">
        <v>12</v>
      </c>
      <c r="D31" s="34"/>
      <c r="E31" s="34" t="str">
        <f t="shared" si="0"/>
        <v>EUR_YCONRH_4S12</v>
      </c>
      <c r="F31" s="33" t="e">
        <f>_xll.qlRateHelperQuoteValue($E31,Trigger)</f>
        <v>#NUM!</v>
      </c>
      <c r="G31" s="33" t="e">
        <f>_xll.qlSwapRateHelperSpread($E31,Trigger)</f>
        <v>#NUM!</v>
      </c>
      <c r="H31" s="26" t="b">
        <v>0</v>
      </c>
      <c r="I31" s="26">
        <v>40</v>
      </c>
      <c r="J31" s="26">
        <v>1</v>
      </c>
      <c r="K31" s="32" t="e">
        <f>_xll.qlRateHelperEarliestDate($E31,Trigger)</f>
        <v>#NUM!</v>
      </c>
      <c r="L31" s="31" t="e">
        <f>_xll.qlRateHelperLatestDate($E31,Trigger)</f>
        <v>#NUM!</v>
      </c>
    </row>
    <row r="32" spans="1:14" hidden="1" outlineLevel="1" x14ac:dyDescent="0.2">
      <c r="B32" s="36" t="s">
        <v>62</v>
      </c>
      <c r="C32" s="35">
        <v>24</v>
      </c>
      <c r="D32" s="34"/>
      <c r="E32" s="34" t="str">
        <f t="shared" si="0"/>
        <v>EUR_YCONRH_1S24</v>
      </c>
      <c r="F32" s="33" t="e">
        <f>_xll.qlRateHelperQuoteValue($E32,Trigger)</f>
        <v>#NUM!</v>
      </c>
      <c r="G32" s="33" t="e">
        <f>_xll.qlSwapRateHelperSpread($E32,Trigger)</f>
        <v>#NUM!</v>
      </c>
      <c r="H32" s="26" t="b">
        <v>0</v>
      </c>
      <c r="I32" s="26">
        <v>40</v>
      </c>
      <c r="J32" s="26">
        <v>1</v>
      </c>
      <c r="K32" s="32" t="e">
        <f>_xll.qlRateHelperEarliestDate($E32,Trigger)</f>
        <v>#NUM!</v>
      </c>
      <c r="L32" s="31" t="e">
        <f>_xll.qlRateHelperLatestDate($E32,Trigger)</f>
        <v>#NUM!</v>
      </c>
    </row>
    <row r="33" spans="2:12" hidden="1" outlineLevel="1" x14ac:dyDescent="0.2">
      <c r="B33" s="36" t="s">
        <v>63</v>
      </c>
      <c r="C33" s="35">
        <v>24</v>
      </c>
      <c r="D33" s="34"/>
      <c r="E33" s="34" t="str">
        <f t="shared" si="0"/>
        <v>EUR_YCONRH_2S24</v>
      </c>
      <c r="F33" s="33" t="e">
        <f>_xll.qlRateHelperQuoteValue($E33,Trigger)</f>
        <v>#NUM!</v>
      </c>
      <c r="G33" s="33" t="e">
        <f>_xll.qlSwapRateHelperSpread($E33,Trigger)</f>
        <v>#NUM!</v>
      </c>
      <c r="H33" s="26" t="b">
        <v>0</v>
      </c>
      <c r="I33" s="26">
        <v>40</v>
      </c>
      <c r="J33" s="26">
        <v>1</v>
      </c>
      <c r="K33" s="32" t="e">
        <f>_xll.qlRateHelperEarliestDate($E33,Trigger)</f>
        <v>#NUM!</v>
      </c>
      <c r="L33" s="31" t="e">
        <f>_xll.qlRateHelperLatestDate($E33,Trigger)</f>
        <v>#NUM!</v>
      </c>
    </row>
    <row r="34" spans="2:12" hidden="1" outlineLevel="1" x14ac:dyDescent="0.2">
      <c r="B34" s="30" t="s">
        <v>62</v>
      </c>
      <c r="C34" s="29">
        <v>36</v>
      </c>
      <c r="D34" s="28"/>
      <c r="E34" s="28" t="str">
        <f t="shared" ref="E34:E65" si="1">RateHelperPrefix&amp;"_"&amp;$B34&amp;$C34&amp;$D34</f>
        <v>EUR_YCONRH_1S36</v>
      </c>
      <c r="F34" s="27" t="e">
        <f>_xll.qlRateHelperQuoteValue($E34,Trigger)</f>
        <v>#NUM!</v>
      </c>
      <c r="G34" s="27" t="e">
        <f>_xll.qlSwapRateHelperSpread($E34,Trigger)</f>
        <v>#NUM!</v>
      </c>
      <c r="H34" s="25" t="b">
        <v>0</v>
      </c>
      <c r="I34" s="25">
        <v>40</v>
      </c>
      <c r="J34" s="25">
        <v>1</v>
      </c>
      <c r="K34" s="24" t="e">
        <f>_xll.qlRateHelperEarliestDate($E34,Trigger)</f>
        <v>#NUM!</v>
      </c>
      <c r="L34" s="23" t="e">
        <f>_xll.qlRateHelperLatestDate($E34,Trigger)</f>
        <v>#NUM!</v>
      </c>
    </row>
    <row r="35" spans="2:12" collapsed="1" x14ac:dyDescent="0.2">
      <c r="B35" s="43" t="str">
        <f>SwapFixedFreq</f>
        <v/>
      </c>
      <c r="C35" s="42" t="str">
        <f t="shared" ref="C35:C66" si="2">IborType</f>
        <v>EON</v>
      </c>
      <c r="D35" s="176" t="s">
        <v>61</v>
      </c>
      <c r="E35" s="41" t="str">
        <f t="shared" si="1"/>
        <v>EUR_YCONRH_EONSW</v>
      </c>
      <c r="F35" s="40">
        <f>_xll.qlRateHelperQuoteValue($E35,Trigger)</f>
        <v>2.8300000000000005E-3</v>
      </c>
      <c r="G35" s="40" t="e">
        <f>_xll.qlSwapRateHelperSpread($E35,Trigger)</f>
        <v>#NUM!</v>
      </c>
      <c r="H35" s="39" t="b">
        <v>1</v>
      </c>
      <c r="I35" s="39">
        <v>50</v>
      </c>
      <c r="J35" s="39">
        <v>1</v>
      </c>
      <c r="K35" s="38">
        <f>_xll.qlRateHelperEarliestDate($E35,Trigger)</f>
        <v>41792</v>
      </c>
      <c r="L35" s="37">
        <f>_xll.qlRateHelperLatestDate($E35,Trigger)</f>
        <v>41799</v>
      </c>
    </row>
    <row r="36" spans="2:12" x14ac:dyDescent="0.2">
      <c r="B36" s="36"/>
      <c r="C36" s="35" t="str">
        <f t="shared" si="2"/>
        <v>EON</v>
      </c>
      <c r="D36" s="177" t="s">
        <v>60</v>
      </c>
      <c r="E36" s="34" t="str">
        <f t="shared" si="1"/>
        <v>EUR_YCONRH_EON2W</v>
      </c>
      <c r="F36" s="33">
        <f>_xll.qlRateHelperQuoteValue($E36,Trigger)</f>
        <v>2.4099999999999998E-3</v>
      </c>
      <c r="G36" s="33" t="e">
        <f>_xll.qlSwapRateHelperSpread($E36,Trigger)</f>
        <v>#NUM!</v>
      </c>
      <c r="H36" s="26" t="b">
        <v>1</v>
      </c>
      <c r="I36" s="26">
        <v>50</v>
      </c>
      <c r="J36" s="26">
        <v>1</v>
      </c>
      <c r="K36" s="32">
        <f>_xll.qlRateHelperEarliestDate($E36,Trigger)</f>
        <v>41792</v>
      </c>
      <c r="L36" s="31">
        <f>_xll.qlRateHelperLatestDate($E36,Trigger)</f>
        <v>41806</v>
      </c>
    </row>
    <row r="37" spans="2:12" x14ac:dyDescent="0.2">
      <c r="B37" s="36"/>
      <c r="C37" s="35" t="str">
        <f t="shared" si="2"/>
        <v>EON</v>
      </c>
      <c r="D37" s="177" t="s">
        <v>59</v>
      </c>
      <c r="E37" s="34" t="str">
        <f t="shared" si="1"/>
        <v>EUR_YCONRH_EON3W</v>
      </c>
      <c r="F37" s="33">
        <f>_xll.qlRateHelperQuoteValue($E37,Trigger)</f>
        <v>1.97E-3</v>
      </c>
      <c r="G37" s="33" t="e">
        <f>_xll.qlSwapRateHelperSpread($E37,Trigger)</f>
        <v>#NUM!</v>
      </c>
      <c r="H37" s="26" t="b">
        <v>1</v>
      </c>
      <c r="I37" s="26">
        <v>50</v>
      </c>
      <c r="J37" s="26">
        <v>1</v>
      </c>
      <c r="K37" s="32">
        <f>_xll.qlRateHelperEarliestDate($E37,Trigger)</f>
        <v>41792</v>
      </c>
      <c r="L37" s="31">
        <f>_xll.qlRateHelperLatestDate($E37,Trigger)</f>
        <v>41813</v>
      </c>
    </row>
    <row r="38" spans="2:12" x14ac:dyDescent="0.2">
      <c r="B38" s="36"/>
      <c r="C38" s="35" t="str">
        <f t="shared" si="2"/>
        <v>EON</v>
      </c>
      <c r="D38" s="177" t="s">
        <v>58</v>
      </c>
      <c r="E38" s="34" t="str">
        <f t="shared" si="1"/>
        <v>EUR_YCONRH_EON1M</v>
      </c>
      <c r="F38" s="33">
        <f>_xll.qlRateHelperQuoteValue($E38,Trigger)</f>
        <v>1.6599999999999998E-3</v>
      </c>
      <c r="G38" s="33" t="e">
        <f>_xll.qlSwapRateHelperSpread($E38,Trigger)</f>
        <v>#NUM!</v>
      </c>
      <c r="H38" s="26" t="b">
        <v>1</v>
      </c>
      <c r="I38" s="26">
        <v>50</v>
      </c>
      <c r="J38" s="26">
        <v>1</v>
      </c>
      <c r="K38" s="32">
        <f>_xll.qlRateHelperEarliestDate($E38,Trigger)</f>
        <v>41792</v>
      </c>
      <c r="L38" s="31">
        <f>_xll.qlRateHelperLatestDate($E38,Trigger)</f>
        <v>41822</v>
      </c>
    </row>
    <row r="39" spans="2:12" x14ac:dyDescent="0.2">
      <c r="B39" s="36"/>
      <c r="C39" s="35" t="str">
        <f t="shared" si="2"/>
        <v>EON</v>
      </c>
      <c r="D39" s="177" t="s">
        <v>57</v>
      </c>
      <c r="E39" s="34" t="str">
        <f t="shared" si="1"/>
        <v>EUR_YCONRH_EON2M</v>
      </c>
      <c r="F39" s="33">
        <f>_xll.qlRateHelperQuoteValue($E39,Trigger)</f>
        <v>1.33E-3</v>
      </c>
      <c r="G39" s="33" t="e">
        <f>_xll.qlSwapRateHelperSpread($E39,Trigger)</f>
        <v>#NUM!</v>
      </c>
      <c r="H39" s="26" t="b">
        <v>1</v>
      </c>
      <c r="I39" s="26">
        <v>50</v>
      </c>
      <c r="J39" s="26">
        <v>1</v>
      </c>
      <c r="K39" s="32">
        <f>_xll.qlRateHelperEarliestDate($E39,Trigger)</f>
        <v>41792</v>
      </c>
      <c r="L39" s="31">
        <f>_xll.qlRateHelperLatestDate($E39,Trigger)</f>
        <v>41855</v>
      </c>
    </row>
    <row r="40" spans="2:12" x14ac:dyDescent="0.2">
      <c r="B40" s="36"/>
      <c r="C40" s="35" t="str">
        <f t="shared" si="2"/>
        <v>EON</v>
      </c>
      <c r="D40" s="177" t="s">
        <v>56</v>
      </c>
      <c r="E40" s="34" t="str">
        <f t="shared" si="1"/>
        <v>EUR_YCONRH_EON3M</v>
      </c>
      <c r="F40" s="33">
        <f>_xll.qlRateHelperQuoteValue($E40,Trigger)</f>
        <v>1.14E-3</v>
      </c>
      <c r="G40" s="33" t="e">
        <f>_xll.qlSwapRateHelperSpread($E40,Trigger)</f>
        <v>#NUM!</v>
      </c>
      <c r="H40" s="26" t="b">
        <v>1</v>
      </c>
      <c r="I40" s="26">
        <v>50</v>
      </c>
      <c r="J40" s="26">
        <v>1</v>
      </c>
      <c r="K40" s="32">
        <f>_xll.qlRateHelperEarliestDate($E40,Trigger)</f>
        <v>41792</v>
      </c>
      <c r="L40" s="31">
        <f>_xll.qlRateHelperLatestDate($E40,Trigger)</f>
        <v>41884</v>
      </c>
    </row>
    <row r="41" spans="2:12" x14ac:dyDescent="0.2">
      <c r="B41" s="36"/>
      <c r="C41" s="35" t="str">
        <f t="shared" si="2"/>
        <v>EON</v>
      </c>
      <c r="D41" s="177" t="s">
        <v>55</v>
      </c>
      <c r="E41" s="34" t="str">
        <f t="shared" si="1"/>
        <v>EUR_YCONRH_EON4M</v>
      </c>
      <c r="F41" s="33">
        <f>_xll.qlRateHelperQuoteValue($E41,Trigger)</f>
        <v>1.0300000000000001E-3</v>
      </c>
      <c r="G41" s="33" t="e">
        <f>_xll.qlSwapRateHelperSpread($E41,Trigger)</f>
        <v>#NUM!</v>
      </c>
      <c r="H41" s="26" t="b">
        <v>1</v>
      </c>
      <c r="I41" s="26">
        <v>50</v>
      </c>
      <c r="J41" s="26">
        <v>1</v>
      </c>
      <c r="K41" s="32">
        <f>_xll.qlRateHelperEarliestDate($E41,Trigger)</f>
        <v>41792</v>
      </c>
      <c r="L41" s="31">
        <f>_xll.qlRateHelperLatestDate($E41,Trigger)</f>
        <v>41914</v>
      </c>
    </row>
    <row r="42" spans="2:12" x14ac:dyDescent="0.2">
      <c r="B42" s="36"/>
      <c r="C42" s="35" t="str">
        <f t="shared" si="2"/>
        <v>EON</v>
      </c>
      <c r="D42" s="177" t="s">
        <v>54</v>
      </c>
      <c r="E42" s="34" t="str">
        <f t="shared" si="1"/>
        <v>EUR_YCONRH_EON5M</v>
      </c>
      <c r="F42" s="33">
        <f>_xll.qlRateHelperQuoteValue($E42,Trigger)</f>
        <v>9.3999999999999997E-4</v>
      </c>
      <c r="G42" s="33" t="e">
        <f>_xll.qlSwapRateHelperSpread($E42,Trigger)</f>
        <v>#NUM!</v>
      </c>
      <c r="H42" s="26" t="b">
        <v>1</v>
      </c>
      <c r="I42" s="26">
        <v>50</v>
      </c>
      <c r="J42" s="26">
        <v>1</v>
      </c>
      <c r="K42" s="32">
        <f>_xll.qlRateHelperEarliestDate($E42,Trigger)</f>
        <v>41792</v>
      </c>
      <c r="L42" s="31">
        <f>_xll.qlRateHelperLatestDate($E42,Trigger)</f>
        <v>41946</v>
      </c>
    </row>
    <row r="43" spans="2:12" x14ac:dyDescent="0.2">
      <c r="B43" s="36"/>
      <c r="C43" s="35" t="str">
        <f t="shared" si="2"/>
        <v>EON</v>
      </c>
      <c r="D43" s="177" t="s">
        <v>53</v>
      </c>
      <c r="E43" s="34" t="str">
        <f t="shared" si="1"/>
        <v>EUR_YCONRH_EON6M</v>
      </c>
      <c r="F43" s="33">
        <f>_xll.qlRateHelperQuoteValue($E43,Trigger)</f>
        <v>8.5999999999999998E-4</v>
      </c>
      <c r="G43" s="33" t="e">
        <f>_xll.qlSwapRateHelperSpread($E43,Trigger)</f>
        <v>#NUM!</v>
      </c>
      <c r="H43" s="26" t="b">
        <v>1</v>
      </c>
      <c r="I43" s="26">
        <v>50</v>
      </c>
      <c r="J43" s="26">
        <v>1</v>
      </c>
      <c r="K43" s="32">
        <f>_xll.qlRateHelperEarliestDate($E43,Trigger)</f>
        <v>41792</v>
      </c>
      <c r="L43" s="31">
        <f>_xll.qlRateHelperLatestDate($E43,Trigger)</f>
        <v>41975</v>
      </c>
    </row>
    <row r="44" spans="2:12" x14ac:dyDescent="0.2">
      <c r="B44" s="36"/>
      <c r="C44" s="35" t="str">
        <f t="shared" si="2"/>
        <v>EON</v>
      </c>
      <c r="D44" s="177" t="s">
        <v>52</v>
      </c>
      <c r="E44" s="34" t="str">
        <f t="shared" si="1"/>
        <v>EUR_YCONRH_EON7M</v>
      </c>
      <c r="F44" s="33">
        <f>_xll.qlRateHelperQuoteValue($E44,Trigger)</f>
        <v>7.9000000000000001E-4</v>
      </c>
      <c r="G44" s="33" t="e">
        <f>_xll.qlSwapRateHelperSpread($E44,Trigger)</f>
        <v>#NUM!</v>
      </c>
      <c r="H44" s="26" t="b">
        <v>1</v>
      </c>
      <c r="I44" s="26">
        <v>50</v>
      </c>
      <c r="J44" s="26">
        <v>1</v>
      </c>
      <c r="K44" s="32">
        <f>_xll.qlRateHelperEarliestDate($E44,Trigger)</f>
        <v>41792</v>
      </c>
      <c r="L44" s="31">
        <f>_xll.qlRateHelperLatestDate($E44,Trigger)</f>
        <v>42006</v>
      </c>
    </row>
    <row r="45" spans="2:12" x14ac:dyDescent="0.2">
      <c r="B45" s="36"/>
      <c r="C45" s="35" t="str">
        <f t="shared" si="2"/>
        <v>EON</v>
      </c>
      <c r="D45" s="177" t="s">
        <v>51</v>
      </c>
      <c r="E45" s="34" t="str">
        <f t="shared" si="1"/>
        <v>EUR_YCONRH_EON8M</v>
      </c>
      <c r="F45" s="33">
        <f>_xll.qlRateHelperQuoteValue($E45,Trigger)</f>
        <v>7.400000000000001E-4</v>
      </c>
      <c r="G45" s="33" t="e">
        <f>_xll.qlSwapRateHelperSpread($E45,Trigger)</f>
        <v>#NUM!</v>
      </c>
      <c r="H45" s="26" t="b">
        <v>1</v>
      </c>
      <c r="I45" s="26">
        <v>50</v>
      </c>
      <c r="J45" s="26">
        <v>1</v>
      </c>
      <c r="K45" s="32">
        <f>_xll.qlRateHelperEarliestDate($E45,Trigger)</f>
        <v>41792</v>
      </c>
      <c r="L45" s="31">
        <f>_xll.qlRateHelperLatestDate($E45,Trigger)</f>
        <v>42037</v>
      </c>
    </row>
    <row r="46" spans="2:12" x14ac:dyDescent="0.2">
      <c r="B46" s="36"/>
      <c r="C46" s="35" t="str">
        <f t="shared" si="2"/>
        <v>EON</v>
      </c>
      <c r="D46" s="177" t="s">
        <v>50</v>
      </c>
      <c r="E46" s="34" t="str">
        <f t="shared" si="1"/>
        <v>EUR_YCONRH_EON9M</v>
      </c>
      <c r="F46" s="33">
        <f>_xll.qlRateHelperQuoteValue($E46,Trigger)</f>
        <v>7.3000000000000007E-4</v>
      </c>
      <c r="G46" s="33" t="e">
        <f>_xll.qlSwapRateHelperSpread($E46,Trigger)</f>
        <v>#NUM!</v>
      </c>
      <c r="H46" s="26" t="b">
        <v>1</v>
      </c>
      <c r="I46" s="26">
        <v>50</v>
      </c>
      <c r="J46" s="26">
        <v>1</v>
      </c>
      <c r="K46" s="32">
        <f>_xll.qlRateHelperEarliestDate($E46,Trigger)</f>
        <v>41792</v>
      </c>
      <c r="L46" s="31">
        <f>_xll.qlRateHelperLatestDate($E46,Trigger)</f>
        <v>42065</v>
      </c>
    </row>
    <row r="47" spans="2:12" x14ac:dyDescent="0.2">
      <c r="B47" s="36"/>
      <c r="C47" s="35" t="str">
        <f t="shared" si="2"/>
        <v>EON</v>
      </c>
      <c r="D47" s="177" t="s">
        <v>49</v>
      </c>
      <c r="E47" s="34" t="str">
        <f t="shared" si="1"/>
        <v>EUR_YCONRH_EON10M</v>
      </c>
      <c r="F47" s="33">
        <f>_xll.qlRateHelperQuoteValue($E47,Trigger)</f>
        <v>6.9000000000000008E-4</v>
      </c>
      <c r="G47" s="33" t="e">
        <f>_xll.qlSwapRateHelperSpread($E47,Trigger)</f>
        <v>#NUM!</v>
      </c>
      <c r="H47" s="26" t="b">
        <v>1</v>
      </c>
      <c r="I47" s="26">
        <v>50</v>
      </c>
      <c r="J47" s="26">
        <v>1</v>
      </c>
      <c r="K47" s="32">
        <f>_xll.qlRateHelperEarliestDate($E47,Trigger)</f>
        <v>41792</v>
      </c>
      <c r="L47" s="31">
        <f>_xll.qlRateHelperLatestDate($E47,Trigger)</f>
        <v>42096</v>
      </c>
    </row>
    <row r="48" spans="2:12" x14ac:dyDescent="0.2">
      <c r="B48" s="36"/>
      <c r="C48" s="35" t="str">
        <f t="shared" si="2"/>
        <v>EON</v>
      </c>
      <c r="D48" s="177" t="s">
        <v>48</v>
      </c>
      <c r="E48" s="34" t="str">
        <f t="shared" si="1"/>
        <v>EUR_YCONRH_EON11M</v>
      </c>
      <c r="F48" s="33">
        <f>_xll.qlRateHelperQuoteValue($E48,Trigger)</f>
        <v>6.6E-4</v>
      </c>
      <c r="G48" s="33" t="e">
        <f>_xll.qlSwapRateHelperSpread($E48,Trigger)</f>
        <v>#NUM!</v>
      </c>
      <c r="H48" s="26" t="b">
        <v>1</v>
      </c>
      <c r="I48" s="26">
        <v>50</v>
      </c>
      <c r="J48" s="26">
        <v>1</v>
      </c>
      <c r="K48" s="32">
        <f>_xll.qlRateHelperEarliestDate($E48,Trigger)</f>
        <v>41792</v>
      </c>
      <c r="L48" s="31">
        <f>_xll.qlRateHelperLatestDate($E48,Trigger)</f>
        <v>42128</v>
      </c>
    </row>
    <row r="49" spans="2:12" x14ac:dyDescent="0.2">
      <c r="B49" s="36"/>
      <c r="C49" s="35" t="str">
        <f t="shared" si="2"/>
        <v>EON</v>
      </c>
      <c r="D49" s="177" t="s">
        <v>47</v>
      </c>
      <c r="E49" s="34" t="str">
        <f t="shared" si="1"/>
        <v>EUR_YCONRH_EON1Y</v>
      </c>
      <c r="F49" s="33">
        <f>_xll.qlRateHelperQuoteValue($E49,Trigger)</f>
        <v>6.4000000000000005E-4</v>
      </c>
      <c r="G49" s="33" t="e">
        <f>_xll.qlSwapRateHelperSpread($E49,Trigger)</f>
        <v>#NUM!</v>
      </c>
      <c r="H49" s="26" t="b">
        <v>1</v>
      </c>
      <c r="I49" s="26">
        <v>50</v>
      </c>
      <c r="J49" s="26">
        <v>1</v>
      </c>
      <c r="K49" s="32">
        <f>_xll.qlRateHelperEarliestDate($E49,Trigger)</f>
        <v>41792</v>
      </c>
      <c r="L49" s="31">
        <f>_xll.qlRateHelperLatestDate($E49,Trigger)</f>
        <v>42157</v>
      </c>
    </row>
    <row r="50" spans="2:12" x14ac:dyDescent="0.2">
      <c r="B50" s="36" t="str">
        <f t="shared" ref="B50:B81" si="3">SwapFixedFreq</f>
        <v/>
      </c>
      <c r="C50" s="35" t="str">
        <f t="shared" si="2"/>
        <v>EON</v>
      </c>
      <c r="D50" s="177" t="s">
        <v>46</v>
      </c>
      <c r="E50" s="34" t="str">
        <f t="shared" si="1"/>
        <v>EUR_YCONRH_EON15M</v>
      </c>
      <c r="F50" s="33">
        <f>_xll.qlRateHelperQuoteValue($E50,Trigger)</f>
        <v>5.9000000000000003E-4</v>
      </c>
      <c r="G50" s="33" t="e">
        <f>_xll.qlSwapRateHelperSpread($E50,Trigger)</f>
        <v>#NUM!</v>
      </c>
      <c r="H50" s="26" t="b">
        <v>1</v>
      </c>
      <c r="I50" s="26">
        <v>50</v>
      </c>
      <c r="J50" s="26">
        <v>1</v>
      </c>
      <c r="K50" s="32">
        <f>_xll.qlRateHelperEarliestDate($E50,Trigger)</f>
        <v>41792</v>
      </c>
      <c r="L50" s="31">
        <f>_xll.qlRateHelperLatestDate($E50,Trigger)</f>
        <v>42249</v>
      </c>
    </row>
    <row r="51" spans="2:12" x14ac:dyDescent="0.2">
      <c r="B51" s="36" t="str">
        <f t="shared" si="3"/>
        <v/>
      </c>
      <c r="C51" s="35" t="str">
        <f t="shared" si="2"/>
        <v>EON</v>
      </c>
      <c r="D51" s="177" t="s">
        <v>45</v>
      </c>
      <c r="E51" s="34" t="str">
        <f t="shared" si="1"/>
        <v>EUR_YCONRH_EON18M</v>
      </c>
      <c r="F51" s="33">
        <f>_xll.qlRateHelperQuoteValue($E51,Trigger)</f>
        <v>5.9000000000000003E-4</v>
      </c>
      <c r="G51" s="33" t="e">
        <f>_xll.qlSwapRateHelperSpread($E51,Trigger)</f>
        <v>#NUM!</v>
      </c>
      <c r="H51" s="26" t="b">
        <v>1</v>
      </c>
      <c r="I51" s="26">
        <v>50</v>
      </c>
      <c r="J51" s="26">
        <v>1</v>
      </c>
      <c r="K51" s="32">
        <f>_xll.qlRateHelperEarliestDate($E51,Trigger)</f>
        <v>41792</v>
      </c>
      <c r="L51" s="31">
        <f>_xll.qlRateHelperLatestDate($E51,Trigger)</f>
        <v>42340</v>
      </c>
    </row>
    <row r="52" spans="2:12" x14ac:dyDescent="0.2">
      <c r="B52" s="36" t="str">
        <f t="shared" si="3"/>
        <v/>
      </c>
      <c r="C52" s="35" t="str">
        <f t="shared" si="2"/>
        <v>EON</v>
      </c>
      <c r="D52" s="177" t="s">
        <v>44</v>
      </c>
      <c r="E52" s="34" t="str">
        <f t="shared" si="1"/>
        <v>EUR_YCONRH_EON21M</v>
      </c>
      <c r="F52" s="33">
        <f>_xll.qlRateHelperQuoteValue($E52,Trigger)</f>
        <v>6.4000000000000005E-4</v>
      </c>
      <c r="G52" s="33" t="e">
        <f>_xll.qlSwapRateHelperSpread($E52,Trigger)</f>
        <v>#NUM!</v>
      </c>
      <c r="H52" s="26" t="b">
        <v>1</v>
      </c>
      <c r="I52" s="26">
        <v>50</v>
      </c>
      <c r="J52" s="26">
        <v>1</v>
      </c>
      <c r="K52" s="32">
        <f>_xll.qlRateHelperEarliestDate($E52,Trigger)</f>
        <v>41792</v>
      </c>
      <c r="L52" s="31">
        <f>_xll.qlRateHelperLatestDate($E52,Trigger)</f>
        <v>42431</v>
      </c>
    </row>
    <row r="53" spans="2:12" x14ac:dyDescent="0.2">
      <c r="B53" s="36" t="str">
        <f t="shared" si="3"/>
        <v/>
      </c>
      <c r="C53" s="35" t="str">
        <f t="shared" si="2"/>
        <v>EON</v>
      </c>
      <c r="D53" s="177" t="s">
        <v>43</v>
      </c>
      <c r="E53" s="34" t="str">
        <f t="shared" si="1"/>
        <v>EUR_YCONRH_EON2Y</v>
      </c>
      <c r="F53" s="33">
        <f>_xll.qlRateHelperQuoteValue($E53,Trigger)</f>
        <v>7.1999999999999994E-4</v>
      </c>
      <c r="G53" s="33" t="e">
        <f>_xll.qlSwapRateHelperSpread($E53,Trigger)</f>
        <v>#NUM!</v>
      </c>
      <c r="H53" s="26" t="b">
        <v>1</v>
      </c>
      <c r="I53" s="26">
        <v>50</v>
      </c>
      <c r="J53" s="26">
        <v>1</v>
      </c>
      <c r="K53" s="32">
        <f>_xll.qlRateHelperEarliestDate($E53,Trigger)</f>
        <v>41792</v>
      </c>
      <c r="L53" s="31">
        <f>_xll.qlRateHelperLatestDate($E53,Trigger)</f>
        <v>42523</v>
      </c>
    </row>
    <row r="54" spans="2:12" x14ac:dyDescent="0.2">
      <c r="B54" s="36" t="str">
        <f t="shared" si="3"/>
        <v/>
      </c>
      <c r="C54" s="35" t="str">
        <f t="shared" si="2"/>
        <v>EON</v>
      </c>
      <c r="D54" s="177" t="s">
        <v>42</v>
      </c>
      <c r="E54" s="34" t="str">
        <f t="shared" si="1"/>
        <v>EUR_YCONRH_EON3Y</v>
      </c>
      <c r="F54" s="33">
        <f>_xll.qlRateHelperQuoteValue($E54,Trigger)</f>
        <v>1.5100000000000001E-3</v>
      </c>
      <c r="G54" s="33" t="e">
        <f>_xll.qlSwapRateHelperSpread($E54,Trigger)</f>
        <v>#NUM!</v>
      </c>
      <c r="H54" s="26" t="b">
        <v>1</v>
      </c>
      <c r="I54" s="26">
        <v>50</v>
      </c>
      <c r="J54" s="26">
        <v>1</v>
      </c>
      <c r="K54" s="32">
        <f>_xll.qlRateHelperEarliestDate($E54,Trigger)</f>
        <v>41792</v>
      </c>
      <c r="L54" s="31">
        <f>_xll.qlRateHelperLatestDate($E54,Trigger)</f>
        <v>42888</v>
      </c>
    </row>
    <row r="55" spans="2:12" x14ac:dyDescent="0.2">
      <c r="B55" s="36" t="str">
        <f t="shared" si="3"/>
        <v/>
      </c>
      <c r="C55" s="35" t="str">
        <f t="shared" si="2"/>
        <v>EON</v>
      </c>
      <c r="D55" s="177" t="s">
        <v>41</v>
      </c>
      <c r="E55" s="34" t="str">
        <f t="shared" si="1"/>
        <v>EUR_YCONRH_EON4Y</v>
      </c>
      <c r="F55" s="33">
        <f>_xll.qlRateHelperQuoteValue($E55,Trigger)</f>
        <v>2.8800000000000002E-3</v>
      </c>
      <c r="G55" s="33" t="e">
        <f>_xll.qlSwapRateHelperSpread($E55,Trigger)</f>
        <v>#NUM!</v>
      </c>
      <c r="H55" s="26" t="b">
        <v>1</v>
      </c>
      <c r="I55" s="26">
        <v>50</v>
      </c>
      <c r="J55" s="26">
        <v>1</v>
      </c>
      <c r="K55" s="32">
        <f>_xll.qlRateHelperEarliestDate($E55,Trigger)</f>
        <v>41792</v>
      </c>
      <c r="L55" s="31">
        <f>_xll.qlRateHelperLatestDate($E55,Trigger)</f>
        <v>43255</v>
      </c>
    </row>
    <row r="56" spans="2:12" x14ac:dyDescent="0.2">
      <c r="B56" s="36" t="str">
        <f t="shared" si="3"/>
        <v/>
      </c>
      <c r="C56" s="35" t="str">
        <f t="shared" si="2"/>
        <v>EON</v>
      </c>
      <c r="D56" s="177" t="s">
        <v>40</v>
      </c>
      <c r="E56" s="34" t="str">
        <f t="shared" si="1"/>
        <v>EUR_YCONRH_EON5Y</v>
      </c>
      <c r="F56" s="33">
        <f>_xll.qlRateHelperQuoteValue($E56,Trigger)</f>
        <v>4.5299999999999993E-3</v>
      </c>
      <c r="G56" s="33" t="e">
        <f>_xll.qlSwapRateHelperSpread($E56,Trigger)</f>
        <v>#NUM!</v>
      </c>
      <c r="H56" s="26" t="b">
        <v>1</v>
      </c>
      <c r="I56" s="26">
        <v>50</v>
      </c>
      <c r="J56" s="26">
        <v>1</v>
      </c>
      <c r="K56" s="32">
        <f>_xll.qlRateHelperEarliestDate($E56,Trigger)</f>
        <v>41792</v>
      </c>
      <c r="L56" s="31">
        <f>_xll.qlRateHelperLatestDate($E56,Trigger)</f>
        <v>43619</v>
      </c>
    </row>
    <row r="57" spans="2:12" x14ac:dyDescent="0.2">
      <c r="B57" s="36" t="str">
        <f t="shared" si="3"/>
        <v/>
      </c>
      <c r="C57" s="35" t="str">
        <f t="shared" si="2"/>
        <v>EON</v>
      </c>
      <c r="D57" s="177" t="s">
        <v>39</v>
      </c>
      <c r="E57" s="34" t="str">
        <f t="shared" si="1"/>
        <v>EUR_YCONRH_EON6Y</v>
      </c>
      <c r="F57" s="33">
        <f>_xll.qlRateHelperQuoteValue($E57,Trigger)</f>
        <v>6.3200000000000001E-3</v>
      </c>
      <c r="G57" s="33" t="e">
        <f>_xll.qlSwapRateHelperSpread($E57,Trigger)</f>
        <v>#NUM!</v>
      </c>
      <c r="H57" s="26" t="b">
        <v>1</v>
      </c>
      <c r="I57" s="26">
        <v>50</v>
      </c>
      <c r="J57" s="26">
        <v>1</v>
      </c>
      <c r="K57" s="32">
        <f>_xll.qlRateHelperEarliestDate($E57,Trigger)</f>
        <v>41792</v>
      </c>
      <c r="L57" s="31">
        <f>_xll.qlRateHelperLatestDate($E57,Trigger)</f>
        <v>43984</v>
      </c>
    </row>
    <row r="58" spans="2:12" x14ac:dyDescent="0.2">
      <c r="B58" s="36" t="str">
        <f t="shared" si="3"/>
        <v/>
      </c>
      <c r="C58" s="35" t="str">
        <f t="shared" si="2"/>
        <v>EON</v>
      </c>
      <c r="D58" s="177" t="s">
        <v>38</v>
      </c>
      <c r="E58" s="34" t="str">
        <f t="shared" si="1"/>
        <v>EUR_YCONRH_EON7Y</v>
      </c>
      <c r="F58" s="33">
        <f>_xll.qlRateHelperQuoteValue($E58,Trigger)</f>
        <v>8.09E-3</v>
      </c>
      <c r="G58" s="33" t="e">
        <f>_xll.qlSwapRateHelperSpread($E58,Trigger)</f>
        <v>#NUM!</v>
      </c>
      <c r="H58" s="26" t="b">
        <v>1</v>
      </c>
      <c r="I58" s="26">
        <v>50</v>
      </c>
      <c r="J58" s="26">
        <v>1</v>
      </c>
      <c r="K58" s="32">
        <f>_xll.qlRateHelperEarliestDate($E58,Trigger)</f>
        <v>41792</v>
      </c>
      <c r="L58" s="31">
        <f>_xll.qlRateHelperLatestDate($E58,Trigger)</f>
        <v>44349</v>
      </c>
    </row>
    <row r="59" spans="2:12" x14ac:dyDescent="0.2">
      <c r="B59" s="36" t="str">
        <f t="shared" si="3"/>
        <v/>
      </c>
      <c r="C59" s="35" t="str">
        <f t="shared" si="2"/>
        <v>EON</v>
      </c>
      <c r="D59" s="177" t="s">
        <v>37</v>
      </c>
      <c r="E59" s="34" t="str">
        <f t="shared" si="1"/>
        <v>EUR_YCONRH_EON8Y</v>
      </c>
      <c r="F59" s="33">
        <f>_xll.qlRateHelperQuoteValue($E59,Trigger)</f>
        <v>9.7999999999999997E-3</v>
      </c>
      <c r="G59" s="33" t="e">
        <f>_xll.qlSwapRateHelperSpread($E59,Trigger)</f>
        <v>#NUM!</v>
      </c>
      <c r="H59" s="26" t="b">
        <v>1</v>
      </c>
      <c r="I59" s="26">
        <v>50</v>
      </c>
      <c r="J59" s="26">
        <v>1</v>
      </c>
      <c r="K59" s="32">
        <f>_xll.qlRateHelperEarliestDate($E59,Trigger)</f>
        <v>41792</v>
      </c>
      <c r="L59" s="31">
        <f>_xll.qlRateHelperLatestDate($E59,Trigger)</f>
        <v>44714</v>
      </c>
    </row>
    <row r="60" spans="2:12" x14ac:dyDescent="0.2">
      <c r="B60" s="36" t="str">
        <f t="shared" si="3"/>
        <v/>
      </c>
      <c r="C60" s="35" t="str">
        <f t="shared" si="2"/>
        <v>EON</v>
      </c>
      <c r="D60" s="177" t="s">
        <v>36</v>
      </c>
      <c r="E60" s="34" t="str">
        <f t="shared" si="1"/>
        <v>EUR_YCONRH_EON9Y</v>
      </c>
      <c r="F60" s="33">
        <f>_xll.qlRateHelperQuoteValue($E60,Trigger)</f>
        <v>1.1350000000000001E-2</v>
      </c>
      <c r="G60" s="33" t="e">
        <f>_xll.qlSwapRateHelperSpread($E60,Trigger)</f>
        <v>#NUM!</v>
      </c>
      <c r="H60" s="26" t="b">
        <v>1</v>
      </c>
      <c r="I60" s="26">
        <v>50</v>
      </c>
      <c r="J60" s="26">
        <v>1</v>
      </c>
      <c r="K60" s="32">
        <f>_xll.qlRateHelperEarliestDate($E60,Trigger)</f>
        <v>41792</v>
      </c>
      <c r="L60" s="31">
        <f>_xll.qlRateHelperLatestDate($E60,Trigger)</f>
        <v>45079</v>
      </c>
    </row>
    <row r="61" spans="2:12" x14ac:dyDescent="0.2">
      <c r="B61" s="36" t="str">
        <f t="shared" si="3"/>
        <v/>
      </c>
      <c r="C61" s="35" t="str">
        <f t="shared" si="2"/>
        <v>EON</v>
      </c>
      <c r="D61" s="177" t="s">
        <v>35</v>
      </c>
      <c r="E61" s="34" t="str">
        <f t="shared" si="1"/>
        <v>EUR_YCONRH_EON10Y</v>
      </c>
      <c r="F61" s="33">
        <f>_xll.qlRateHelperQuoteValue($E61,Trigger)</f>
        <v>1.2730000000000002E-2</v>
      </c>
      <c r="G61" s="33" t="e">
        <f>_xll.qlSwapRateHelperSpread($E61,Trigger)</f>
        <v>#NUM!</v>
      </c>
      <c r="H61" s="26" t="b">
        <v>1</v>
      </c>
      <c r="I61" s="26">
        <v>50</v>
      </c>
      <c r="J61" s="26">
        <v>1</v>
      </c>
      <c r="K61" s="32">
        <f>_xll.qlRateHelperEarliestDate($E61,Trigger)</f>
        <v>41792</v>
      </c>
      <c r="L61" s="31">
        <f>_xll.qlRateHelperLatestDate($E61,Trigger)</f>
        <v>45446</v>
      </c>
    </row>
    <row r="62" spans="2:12" x14ac:dyDescent="0.2">
      <c r="B62" s="36" t="str">
        <f t="shared" si="3"/>
        <v/>
      </c>
      <c r="C62" s="35" t="str">
        <f t="shared" si="2"/>
        <v>EON</v>
      </c>
      <c r="D62" s="177" t="s">
        <v>34</v>
      </c>
      <c r="E62" s="34" t="str">
        <f t="shared" si="1"/>
        <v>EUR_YCONRH_EON11Y</v>
      </c>
      <c r="F62" s="33">
        <f>_xll.qlRateHelperQuoteValue($E62,Trigger)</f>
        <v>1.3980000000000001E-2</v>
      </c>
      <c r="G62" s="33" t="e">
        <f>_xll.qlSwapRateHelperSpread($E62,Trigger)</f>
        <v>#NUM!</v>
      </c>
      <c r="H62" s="26" t="b">
        <f t="shared" ref="H62:H93" si="4">IF(ISERROR(F62),FALSE,IF(L62&lt;=$N$16,TRUE,IF(L62&gt;$N$17,TRUE,IF(L61&lt;$N$16,TRUE,FALSE))))</f>
        <v>1</v>
      </c>
      <c r="I62" s="26">
        <v>50</v>
      </c>
      <c r="J62" s="26">
        <v>1</v>
      </c>
      <c r="K62" s="32">
        <f>_xll.qlRateHelperEarliestDate($E62,Trigger)</f>
        <v>41792</v>
      </c>
      <c r="L62" s="31">
        <f>_xll.qlRateHelperLatestDate($E62,Trigger)</f>
        <v>45810</v>
      </c>
    </row>
    <row r="63" spans="2:12" x14ac:dyDescent="0.2">
      <c r="B63" s="36" t="str">
        <f t="shared" si="3"/>
        <v/>
      </c>
      <c r="C63" s="35" t="str">
        <f t="shared" si="2"/>
        <v>EON</v>
      </c>
      <c r="D63" s="177" t="s">
        <v>33</v>
      </c>
      <c r="E63" s="34" t="str">
        <f t="shared" si="1"/>
        <v>EUR_YCONRH_EON12Y</v>
      </c>
      <c r="F63" s="33">
        <f>_xll.qlRateHelperQuoteValue($E63,Trigger)</f>
        <v>1.5089999999999999E-2</v>
      </c>
      <c r="G63" s="33" t="e">
        <f>_xll.qlSwapRateHelperSpread($E63,Trigger)</f>
        <v>#NUM!</v>
      </c>
      <c r="H63" s="26" t="b">
        <f t="shared" si="4"/>
        <v>1</v>
      </c>
      <c r="I63" s="26">
        <v>50</v>
      </c>
      <c r="J63" s="26">
        <v>1</v>
      </c>
      <c r="K63" s="32">
        <f>_xll.qlRateHelperEarliestDate($E63,Trigger)</f>
        <v>41792</v>
      </c>
      <c r="L63" s="31">
        <f>_xll.qlRateHelperLatestDate($E63,Trigger)</f>
        <v>46175</v>
      </c>
    </row>
    <row r="64" spans="2:12" x14ac:dyDescent="0.2">
      <c r="B64" s="36" t="str">
        <f t="shared" si="3"/>
        <v/>
      </c>
      <c r="C64" s="35" t="str">
        <f t="shared" si="2"/>
        <v>EON</v>
      </c>
      <c r="D64" s="177" t="s">
        <v>32</v>
      </c>
      <c r="E64" s="34" t="str">
        <f t="shared" si="1"/>
        <v>EUR_YCONRH_EON13Y</v>
      </c>
      <c r="F64" s="33" t="e">
        <f>_xll.qlRateHelperQuoteValue($E64,Trigger)</f>
        <v>#NUM!</v>
      </c>
      <c r="G64" s="33" t="e">
        <f>_xll.qlSwapRateHelperSpread($E64,Trigger)</f>
        <v>#NUM!</v>
      </c>
      <c r="H64" s="26" t="b">
        <f t="shared" si="4"/>
        <v>0</v>
      </c>
      <c r="I64" s="26">
        <v>50</v>
      </c>
      <c r="J64" s="26">
        <v>1</v>
      </c>
      <c r="K64" s="32" t="e">
        <f>_xll.qlRateHelperEarliestDate($E64,Trigger)</f>
        <v>#NUM!</v>
      </c>
      <c r="L64" s="31" t="e">
        <f>_xll.qlRateHelperLatestDate($E64,Trigger)</f>
        <v>#NUM!</v>
      </c>
    </row>
    <row r="65" spans="2:12" x14ac:dyDescent="0.2">
      <c r="B65" s="36" t="str">
        <f t="shared" si="3"/>
        <v/>
      </c>
      <c r="C65" s="35" t="str">
        <f t="shared" si="2"/>
        <v>EON</v>
      </c>
      <c r="D65" s="177" t="s">
        <v>31</v>
      </c>
      <c r="E65" s="34" t="str">
        <f t="shared" si="1"/>
        <v>EUR_YCONRH_EON14Y</v>
      </c>
      <c r="F65" s="33" t="e">
        <f>_xll.qlRateHelperQuoteValue($E65,Trigger)</f>
        <v>#NUM!</v>
      </c>
      <c r="G65" s="33" t="e">
        <f>_xll.qlSwapRateHelperSpread($E65,Trigger)</f>
        <v>#NUM!</v>
      </c>
      <c r="H65" s="26" t="b">
        <f t="shared" si="4"/>
        <v>0</v>
      </c>
      <c r="I65" s="26">
        <v>50</v>
      </c>
      <c r="J65" s="26">
        <v>1</v>
      </c>
      <c r="K65" s="32" t="e">
        <f>_xll.qlRateHelperEarliestDate($E65,Trigger)</f>
        <v>#NUM!</v>
      </c>
      <c r="L65" s="31" t="e">
        <f>_xll.qlRateHelperLatestDate($E65,Trigger)</f>
        <v>#NUM!</v>
      </c>
    </row>
    <row r="66" spans="2:12" x14ac:dyDescent="0.2">
      <c r="B66" s="36" t="str">
        <f t="shared" si="3"/>
        <v/>
      </c>
      <c r="C66" s="35" t="str">
        <f t="shared" si="2"/>
        <v>EON</v>
      </c>
      <c r="D66" s="177" t="s">
        <v>30</v>
      </c>
      <c r="E66" s="34" t="str">
        <f t="shared" ref="E66:E97" si="5">RateHelperPrefix&amp;"_"&amp;$B66&amp;$C66&amp;$D66</f>
        <v>EUR_YCONRH_EON15Y</v>
      </c>
      <c r="F66" s="33">
        <f>_xll.qlRateHelperQuoteValue($E66,Trigger)</f>
        <v>1.7639999999999999E-2</v>
      </c>
      <c r="G66" s="33" t="e">
        <f>_xll.qlSwapRateHelperSpread($E66,Trigger)</f>
        <v>#NUM!</v>
      </c>
      <c r="H66" s="26" t="b">
        <f t="shared" si="4"/>
        <v>1</v>
      </c>
      <c r="I66" s="26">
        <v>50</v>
      </c>
      <c r="J66" s="26">
        <v>1</v>
      </c>
      <c r="K66" s="32">
        <f>_xll.qlRateHelperEarliestDate($E66,Trigger)</f>
        <v>41792</v>
      </c>
      <c r="L66" s="31">
        <f>_xll.qlRateHelperLatestDate($E66,Trigger)</f>
        <v>47273</v>
      </c>
    </row>
    <row r="67" spans="2:12" x14ac:dyDescent="0.2">
      <c r="B67" s="36" t="str">
        <f t="shared" si="3"/>
        <v/>
      </c>
      <c r="C67" s="35" t="str">
        <f t="shared" ref="C67:C85" si="6">IborType</f>
        <v>EON</v>
      </c>
      <c r="D67" s="177" t="s">
        <v>29</v>
      </c>
      <c r="E67" s="34" t="str">
        <f t="shared" si="5"/>
        <v>EUR_YCONRH_EON16Y</v>
      </c>
      <c r="F67" s="33" t="e">
        <f>_xll.qlRateHelperQuoteValue($E67,Trigger)</f>
        <v>#NUM!</v>
      </c>
      <c r="G67" s="33" t="e">
        <f>_xll.qlSwapRateHelperSpread($E67,Trigger)</f>
        <v>#NUM!</v>
      </c>
      <c r="H67" s="26" t="b">
        <f t="shared" si="4"/>
        <v>0</v>
      </c>
      <c r="I67" s="26">
        <v>50</v>
      </c>
      <c r="J67" s="26">
        <v>1</v>
      </c>
      <c r="K67" s="32" t="e">
        <f>_xll.qlRateHelperEarliestDate($E67,Trigger)</f>
        <v>#NUM!</v>
      </c>
      <c r="L67" s="31" t="e">
        <f>_xll.qlRateHelperLatestDate($E67,Trigger)</f>
        <v>#NUM!</v>
      </c>
    </row>
    <row r="68" spans="2:12" x14ac:dyDescent="0.2">
      <c r="B68" s="36" t="str">
        <f t="shared" si="3"/>
        <v/>
      </c>
      <c r="C68" s="35" t="str">
        <f t="shared" si="6"/>
        <v>EON</v>
      </c>
      <c r="D68" s="177" t="s">
        <v>28</v>
      </c>
      <c r="E68" s="34" t="str">
        <f t="shared" si="5"/>
        <v>EUR_YCONRH_EON17Y</v>
      </c>
      <c r="F68" s="33" t="e">
        <f>_xll.qlRateHelperQuoteValue($E68,Trigger)</f>
        <v>#NUM!</v>
      </c>
      <c r="G68" s="33" t="e">
        <f>_xll.qlSwapRateHelperSpread($E68,Trigger)</f>
        <v>#NUM!</v>
      </c>
      <c r="H68" s="26" t="b">
        <f t="shared" si="4"/>
        <v>0</v>
      </c>
      <c r="I68" s="26">
        <v>50</v>
      </c>
      <c r="J68" s="26">
        <v>1</v>
      </c>
      <c r="K68" s="32" t="e">
        <f>_xll.qlRateHelperEarliestDate($E68,Trigger)</f>
        <v>#NUM!</v>
      </c>
      <c r="L68" s="31" t="e">
        <f>_xll.qlRateHelperLatestDate($E68,Trigger)</f>
        <v>#NUM!</v>
      </c>
    </row>
    <row r="69" spans="2:12" x14ac:dyDescent="0.2">
      <c r="B69" s="36" t="str">
        <f t="shared" si="3"/>
        <v/>
      </c>
      <c r="C69" s="35" t="str">
        <f t="shared" si="6"/>
        <v>EON</v>
      </c>
      <c r="D69" s="177" t="s">
        <v>27</v>
      </c>
      <c r="E69" s="34" t="str">
        <f t="shared" si="5"/>
        <v>EUR_YCONRH_EON18Y</v>
      </c>
      <c r="F69" s="33" t="e">
        <f>_xll.qlRateHelperQuoteValue($E69,Trigger)</f>
        <v>#NUM!</v>
      </c>
      <c r="G69" s="33" t="e">
        <f>_xll.qlSwapRateHelperSpread($E69,Trigger)</f>
        <v>#NUM!</v>
      </c>
      <c r="H69" s="26" t="b">
        <f t="shared" si="4"/>
        <v>0</v>
      </c>
      <c r="I69" s="26">
        <v>50</v>
      </c>
      <c r="J69" s="26">
        <v>1</v>
      </c>
      <c r="K69" s="32" t="e">
        <f>_xll.qlRateHelperEarliestDate($E69,Trigger)</f>
        <v>#NUM!</v>
      </c>
      <c r="L69" s="31" t="e">
        <f>_xll.qlRateHelperLatestDate($E69,Trigger)</f>
        <v>#NUM!</v>
      </c>
    </row>
    <row r="70" spans="2:12" x14ac:dyDescent="0.2">
      <c r="B70" s="36" t="str">
        <f t="shared" si="3"/>
        <v/>
      </c>
      <c r="C70" s="35" t="str">
        <f t="shared" si="6"/>
        <v>EON</v>
      </c>
      <c r="D70" s="177" t="s">
        <v>26</v>
      </c>
      <c r="E70" s="34" t="str">
        <f t="shared" si="5"/>
        <v>EUR_YCONRH_EON19Y</v>
      </c>
      <c r="F70" s="33" t="e">
        <f>_xll.qlRateHelperQuoteValue($E70,Trigger)</f>
        <v>#NUM!</v>
      </c>
      <c r="G70" s="33" t="e">
        <f>_xll.qlSwapRateHelperSpread($E70,Trigger)</f>
        <v>#NUM!</v>
      </c>
      <c r="H70" s="26" t="b">
        <f t="shared" si="4"/>
        <v>0</v>
      </c>
      <c r="I70" s="26">
        <v>50</v>
      </c>
      <c r="J70" s="26">
        <v>1</v>
      </c>
      <c r="K70" s="32" t="e">
        <f>_xll.qlRateHelperEarliestDate($E70,Trigger)</f>
        <v>#NUM!</v>
      </c>
      <c r="L70" s="31" t="e">
        <f>_xll.qlRateHelperLatestDate($E70,Trigger)</f>
        <v>#NUM!</v>
      </c>
    </row>
    <row r="71" spans="2:12" x14ac:dyDescent="0.2">
      <c r="B71" s="36" t="str">
        <f t="shared" si="3"/>
        <v/>
      </c>
      <c r="C71" s="35" t="str">
        <f t="shared" si="6"/>
        <v>EON</v>
      </c>
      <c r="D71" s="177" t="s">
        <v>25</v>
      </c>
      <c r="E71" s="34" t="str">
        <f t="shared" si="5"/>
        <v>EUR_YCONRH_EON20Y</v>
      </c>
      <c r="F71" s="33">
        <f>_xll.qlRateHelperQuoteValue($E71,Trigger)</f>
        <v>1.976E-2</v>
      </c>
      <c r="G71" s="33" t="e">
        <f>_xll.qlSwapRateHelperSpread($E71,Trigger)</f>
        <v>#NUM!</v>
      </c>
      <c r="H71" s="26" t="b">
        <f t="shared" si="4"/>
        <v>1</v>
      </c>
      <c r="I71" s="26">
        <v>50</v>
      </c>
      <c r="J71" s="26">
        <v>1</v>
      </c>
      <c r="K71" s="32">
        <f>_xll.qlRateHelperEarliestDate($E71,Trigger)</f>
        <v>41792</v>
      </c>
      <c r="L71" s="31">
        <f>_xll.qlRateHelperLatestDate($E71,Trigger)</f>
        <v>49097</v>
      </c>
    </row>
    <row r="72" spans="2:12" x14ac:dyDescent="0.2">
      <c r="B72" s="36" t="str">
        <f t="shared" si="3"/>
        <v/>
      </c>
      <c r="C72" s="35" t="str">
        <f t="shared" si="6"/>
        <v>EON</v>
      </c>
      <c r="D72" s="177" t="s">
        <v>24</v>
      </c>
      <c r="E72" s="34" t="str">
        <f t="shared" si="5"/>
        <v>EUR_YCONRH_EON21Y</v>
      </c>
      <c r="F72" s="33" t="e">
        <f>_xll.qlRateHelperQuoteValue($E72,Trigger)</f>
        <v>#NUM!</v>
      </c>
      <c r="G72" s="33" t="e">
        <f>_xll.qlSwapRateHelperSpread($E72,Trigger)</f>
        <v>#NUM!</v>
      </c>
      <c r="H72" s="26" t="b">
        <f t="shared" si="4"/>
        <v>0</v>
      </c>
      <c r="I72" s="26">
        <v>50</v>
      </c>
      <c r="J72" s="26">
        <v>1</v>
      </c>
      <c r="K72" s="32" t="e">
        <f>_xll.qlRateHelperEarliestDate($E72,Trigger)</f>
        <v>#NUM!</v>
      </c>
      <c r="L72" s="31" t="e">
        <f>_xll.qlRateHelperLatestDate($E72,Trigger)</f>
        <v>#NUM!</v>
      </c>
    </row>
    <row r="73" spans="2:12" x14ac:dyDescent="0.2">
      <c r="B73" s="36" t="str">
        <f t="shared" si="3"/>
        <v/>
      </c>
      <c r="C73" s="35" t="str">
        <f t="shared" si="6"/>
        <v>EON</v>
      </c>
      <c r="D73" s="177" t="s">
        <v>23</v>
      </c>
      <c r="E73" s="34" t="str">
        <f t="shared" si="5"/>
        <v>EUR_YCONRH_EON22Y</v>
      </c>
      <c r="F73" s="33" t="e">
        <f>_xll.qlRateHelperQuoteValue($E73,Trigger)</f>
        <v>#NUM!</v>
      </c>
      <c r="G73" s="33" t="e">
        <f>_xll.qlSwapRateHelperSpread($E73,Trigger)</f>
        <v>#NUM!</v>
      </c>
      <c r="H73" s="26" t="b">
        <f t="shared" si="4"/>
        <v>0</v>
      </c>
      <c r="I73" s="26">
        <v>50</v>
      </c>
      <c r="J73" s="26">
        <v>1</v>
      </c>
      <c r="K73" s="32" t="e">
        <f>_xll.qlRateHelperEarliestDate($E73,Trigger)</f>
        <v>#NUM!</v>
      </c>
      <c r="L73" s="31" t="e">
        <f>_xll.qlRateHelperLatestDate($E73,Trigger)</f>
        <v>#NUM!</v>
      </c>
    </row>
    <row r="74" spans="2:12" x14ac:dyDescent="0.2">
      <c r="B74" s="36" t="str">
        <f t="shared" si="3"/>
        <v/>
      </c>
      <c r="C74" s="35" t="str">
        <f t="shared" si="6"/>
        <v>EON</v>
      </c>
      <c r="D74" s="177" t="s">
        <v>22</v>
      </c>
      <c r="E74" s="34" t="str">
        <f t="shared" si="5"/>
        <v>EUR_YCONRH_EON23Y</v>
      </c>
      <c r="F74" s="33" t="e">
        <f>_xll.qlRateHelperQuoteValue($E74,Trigger)</f>
        <v>#NUM!</v>
      </c>
      <c r="G74" s="33" t="e">
        <f>_xll.qlSwapRateHelperSpread($E74,Trigger)</f>
        <v>#NUM!</v>
      </c>
      <c r="H74" s="26" t="b">
        <f t="shared" si="4"/>
        <v>0</v>
      </c>
      <c r="I74" s="26">
        <v>50</v>
      </c>
      <c r="J74" s="26">
        <v>1</v>
      </c>
      <c r="K74" s="32" t="e">
        <f>_xll.qlRateHelperEarliestDate($E74,Trigger)</f>
        <v>#NUM!</v>
      </c>
      <c r="L74" s="31" t="e">
        <f>_xll.qlRateHelperLatestDate($E74,Trigger)</f>
        <v>#NUM!</v>
      </c>
    </row>
    <row r="75" spans="2:12" x14ac:dyDescent="0.2">
      <c r="B75" s="36" t="str">
        <f t="shared" si="3"/>
        <v/>
      </c>
      <c r="C75" s="35" t="str">
        <f t="shared" si="6"/>
        <v>EON</v>
      </c>
      <c r="D75" s="177" t="s">
        <v>21</v>
      </c>
      <c r="E75" s="34" t="str">
        <f t="shared" si="5"/>
        <v>EUR_YCONRH_EON24Y</v>
      </c>
      <c r="F75" s="33" t="e">
        <f>_xll.qlRateHelperQuoteValue($E75,Trigger)</f>
        <v>#NUM!</v>
      </c>
      <c r="G75" s="33" t="e">
        <f>_xll.qlSwapRateHelperSpread($E75,Trigger)</f>
        <v>#NUM!</v>
      </c>
      <c r="H75" s="26" t="b">
        <f t="shared" si="4"/>
        <v>0</v>
      </c>
      <c r="I75" s="26">
        <v>50</v>
      </c>
      <c r="J75" s="26">
        <v>1</v>
      </c>
      <c r="K75" s="32" t="e">
        <f>_xll.qlRateHelperEarliestDate($E75,Trigger)</f>
        <v>#NUM!</v>
      </c>
      <c r="L75" s="31" t="e">
        <f>_xll.qlRateHelperLatestDate($E75,Trigger)</f>
        <v>#NUM!</v>
      </c>
    </row>
    <row r="76" spans="2:12" x14ac:dyDescent="0.2">
      <c r="B76" s="36" t="str">
        <f t="shared" si="3"/>
        <v/>
      </c>
      <c r="C76" s="35" t="str">
        <f t="shared" si="6"/>
        <v>EON</v>
      </c>
      <c r="D76" s="177" t="s">
        <v>20</v>
      </c>
      <c r="E76" s="34" t="str">
        <f t="shared" si="5"/>
        <v>EUR_YCONRH_EON25Y</v>
      </c>
      <c r="F76" s="33">
        <f>_xll.qlRateHelperQuoteValue($E76,Trigger)</f>
        <v>2.061E-2</v>
      </c>
      <c r="G76" s="33" t="e">
        <f>_xll.qlSwapRateHelperSpread($E76,Trigger)</f>
        <v>#NUM!</v>
      </c>
      <c r="H76" s="26" t="b">
        <f t="shared" si="4"/>
        <v>1</v>
      </c>
      <c r="I76" s="26">
        <v>50</v>
      </c>
      <c r="J76" s="26">
        <v>1</v>
      </c>
      <c r="K76" s="32">
        <f>_xll.qlRateHelperEarliestDate($E76,Trigger)</f>
        <v>41792</v>
      </c>
      <c r="L76" s="31">
        <f>_xll.qlRateHelperLatestDate($E76,Trigger)</f>
        <v>50923</v>
      </c>
    </row>
    <row r="77" spans="2:12" x14ac:dyDescent="0.2">
      <c r="B77" s="36" t="str">
        <f t="shared" si="3"/>
        <v/>
      </c>
      <c r="C77" s="35" t="str">
        <f t="shared" si="6"/>
        <v>EON</v>
      </c>
      <c r="D77" s="177" t="s">
        <v>19</v>
      </c>
      <c r="E77" s="34" t="str">
        <f t="shared" si="5"/>
        <v>EUR_YCONRH_EON26Y</v>
      </c>
      <c r="F77" s="33" t="e">
        <f>_xll.qlRateHelperQuoteValue($E77,Trigger)</f>
        <v>#NUM!</v>
      </c>
      <c r="G77" s="33" t="e">
        <f>_xll.qlSwapRateHelperSpread($E77,Trigger)</f>
        <v>#NUM!</v>
      </c>
      <c r="H77" s="26" t="b">
        <f t="shared" si="4"/>
        <v>0</v>
      </c>
      <c r="I77" s="26">
        <v>50</v>
      </c>
      <c r="J77" s="26">
        <v>1</v>
      </c>
      <c r="K77" s="32" t="e">
        <f>_xll.qlRateHelperEarliestDate($E77,Trigger)</f>
        <v>#NUM!</v>
      </c>
      <c r="L77" s="31" t="e">
        <f>_xll.qlRateHelperLatestDate($E77,Trigger)</f>
        <v>#NUM!</v>
      </c>
    </row>
    <row r="78" spans="2:12" x14ac:dyDescent="0.2">
      <c r="B78" s="36" t="str">
        <f t="shared" si="3"/>
        <v/>
      </c>
      <c r="C78" s="35" t="str">
        <f t="shared" si="6"/>
        <v>EON</v>
      </c>
      <c r="D78" s="177" t="s">
        <v>18</v>
      </c>
      <c r="E78" s="34" t="str">
        <f t="shared" si="5"/>
        <v>EUR_YCONRH_EON27Y</v>
      </c>
      <c r="F78" s="33" t="e">
        <f>_xll.qlRateHelperQuoteValue($E78,Trigger)</f>
        <v>#NUM!</v>
      </c>
      <c r="G78" s="33" t="e">
        <f>_xll.qlSwapRateHelperSpread($E78,Trigger)</f>
        <v>#NUM!</v>
      </c>
      <c r="H78" s="26" t="b">
        <f t="shared" si="4"/>
        <v>0</v>
      </c>
      <c r="I78" s="26">
        <v>50</v>
      </c>
      <c r="J78" s="26">
        <v>1</v>
      </c>
      <c r="K78" s="32" t="e">
        <f>_xll.qlRateHelperEarliestDate($E78,Trigger)</f>
        <v>#NUM!</v>
      </c>
      <c r="L78" s="31" t="e">
        <f>_xll.qlRateHelperLatestDate($E78,Trigger)</f>
        <v>#NUM!</v>
      </c>
    </row>
    <row r="79" spans="2:12" x14ac:dyDescent="0.2">
      <c r="B79" s="36" t="str">
        <f t="shared" si="3"/>
        <v/>
      </c>
      <c r="C79" s="35" t="str">
        <f t="shared" si="6"/>
        <v>EON</v>
      </c>
      <c r="D79" s="177" t="s">
        <v>17</v>
      </c>
      <c r="E79" s="34" t="str">
        <f t="shared" si="5"/>
        <v>EUR_YCONRH_EON28Y</v>
      </c>
      <c r="F79" s="33" t="e">
        <f>_xll.qlRateHelperQuoteValue($E79,Trigger)</f>
        <v>#NUM!</v>
      </c>
      <c r="G79" s="33" t="e">
        <f>_xll.qlSwapRateHelperSpread($E79,Trigger)</f>
        <v>#NUM!</v>
      </c>
      <c r="H79" s="26" t="b">
        <f t="shared" si="4"/>
        <v>0</v>
      </c>
      <c r="I79" s="26">
        <v>50</v>
      </c>
      <c r="J79" s="26">
        <v>1</v>
      </c>
      <c r="K79" s="32" t="e">
        <f>_xll.qlRateHelperEarliestDate($E79,Trigger)</f>
        <v>#NUM!</v>
      </c>
      <c r="L79" s="31" t="e">
        <f>_xll.qlRateHelperLatestDate($E79,Trigger)</f>
        <v>#NUM!</v>
      </c>
    </row>
    <row r="80" spans="2:12" x14ac:dyDescent="0.2">
      <c r="B80" s="36" t="str">
        <f t="shared" si="3"/>
        <v/>
      </c>
      <c r="C80" s="35" t="str">
        <f t="shared" si="6"/>
        <v>EON</v>
      </c>
      <c r="D80" s="177" t="s">
        <v>16</v>
      </c>
      <c r="E80" s="34" t="str">
        <f t="shared" si="5"/>
        <v>EUR_YCONRH_EON29Y</v>
      </c>
      <c r="F80" s="33" t="e">
        <f>_xll.qlRateHelperQuoteValue($E80,Trigger)</f>
        <v>#NUM!</v>
      </c>
      <c r="G80" s="33" t="e">
        <f>_xll.qlSwapRateHelperSpread($E80,Trigger)</f>
        <v>#NUM!</v>
      </c>
      <c r="H80" s="26" t="b">
        <f t="shared" si="4"/>
        <v>0</v>
      </c>
      <c r="I80" s="26">
        <v>50</v>
      </c>
      <c r="J80" s="26">
        <v>1</v>
      </c>
      <c r="K80" s="32" t="e">
        <f>_xll.qlRateHelperEarliestDate($E80,Trigger)</f>
        <v>#NUM!</v>
      </c>
      <c r="L80" s="31" t="e">
        <f>_xll.qlRateHelperLatestDate($E80,Trigger)</f>
        <v>#NUM!</v>
      </c>
    </row>
    <row r="81" spans="2:12" x14ac:dyDescent="0.2">
      <c r="B81" s="36" t="str">
        <f t="shared" si="3"/>
        <v/>
      </c>
      <c r="C81" s="35" t="str">
        <f t="shared" si="6"/>
        <v>EON</v>
      </c>
      <c r="D81" s="177" t="s">
        <v>15</v>
      </c>
      <c r="E81" s="34" t="str">
        <f t="shared" si="5"/>
        <v>EUR_YCONRH_EON30Y</v>
      </c>
      <c r="F81" s="33">
        <f>_xll.qlRateHelperQuoteValue($E81,Trigger)</f>
        <v>2.0899999999999998E-2</v>
      </c>
      <c r="G81" s="33" t="e">
        <f>_xll.qlSwapRateHelperSpread($E81,Trigger)</f>
        <v>#NUM!</v>
      </c>
      <c r="H81" s="26" t="b">
        <f t="shared" si="4"/>
        <v>1</v>
      </c>
      <c r="I81" s="26">
        <v>50</v>
      </c>
      <c r="J81" s="26">
        <v>1</v>
      </c>
      <c r="K81" s="32">
        <f>_xll.qlRateHelperEarliestDate($E81,Trigger)</f>
        <v>41792</v>
      </c>
      <c r="L81" s="31">
        <f>_xll.qlRateHelperLatestDate($E81,Trigger)</f>
        <v>52750</v>
      </c>
    </row>
    <row r="82" spans="2:12" x14ac:dyDescent="0.2">
      <c r="B82" s="36" t="str">
        <f t="shared" ref="B82:B113" si="7">SwapFixedFreq</f>
        <v/>
      </c>
      <c r="C82" s="35" t="str">
        <f t="shared" si="6"/>
        <v>EON</v>
      </c>
      <c r="D82" s="177" t="s">
        <v>14</v>
      </c>
      <c r="E82" s="34" t="str">
        <f t="shared" si="5"/>
        <v>EUR_YCONRH_EON35Y</v>
      </c>
      <c r="F82" s="33" t="e">
        <f>_xll.qlRateHelperQuoteValue($E82,Trigger)</f>
        <v>#NUM!</v>
      </c>
      <c r="G82" s="33" t="e">
        <f>_xll.qlSwapRateHelperSpread($E82,Trigger)</f>
        <v>#NUM!</v>
      </c>
      <c r="H82" s="26" t="b">
        <f t="shared" si="4"/>
        <v>0</v>
      </c>
      <c r="I82" s="26">
        <v>50</v>
      </c>
      <c r="J82" s="26">
        <v>1</v>
      </c>
      <c r="K82" s="32" t="e">
        <f>_xll.qlRateHelperEarliestDate($E82,Trigger)</f>
        <v>#NUM!</v>
      </c>
      <c r="L82" s="31" t="e">
        <f>_xll.qlRateHelperLatestDate($E82,Trigger)</f>
        <v>#NUM!</v>
      </c>
    </row>
    <row r="83" spans="2:12" x14ac:dyDescent="0.2">
      <c r="B83" s="36" t="str">
        <f t="shared" si="7"/>
        <v/>
      </c>
      <c r="C83" s="35" t="str">
        <f t="shared" si="6"/>
        <v>EON</v>
      </c>
      <c r="D83" s="177" t="s">
        <v>13</v>
      </c>
      <c r="E83" s="34" t="str">
        <f t="shared" si="5"/>
        <v>EUR_YCONRH_EON40Y</v>
      </c>
      <c r="F83" s="33">
        <f>_xll.qlRateHelperQuoteValue($E83,Trigger)</f>
        <v>2.1349999999999997E-2</v>
      </c>
      <c r="G83" s="33" t="e">
        <f>_xll.qlSwapRateHelperSpread($E83,Trigger)</f>
        <v>#NUM!</v>
      </c>
      <c r="H83" s="26" t="b">
        <f t="shared" si="4"/>
        <v>1</v>
      </c>
      <c r="I83" s="26">
        <v>50</v>
      </c>
      <c r="J83" s="26">
        <v>1</v>
      </c>
      <c r="K83" s="32">
        <f>_xll.qlRateHelperEarliestDate($E83,Trigger)</f>
        <v>41792</v>
      </c>
      <c r="L83" s="31">
        <f>_xll.qlRateHelperLatestDate($E83,Trigger)</f>
        <v>56402</v>
      </c>
    </row>
    <row r="84" spans="2:12" x14ac:dyDescent="0.2">
      <c r="B84" s="36" t="str">
        <f t="shared" si="7"/>
        <v/>
      </c>
      <c r="C84" s="35" t="str">
        <f t="shared" si="6"/>
        <v>EON</v>
      </c>
      <c r="D84" s="177" t="s">
        <v>12</v>
      </c>
      <c r="E84" s="34" t="str">
        <f t="shared" si="5"/>
        <v>EUR_YCONRH_EON50Y</v>
      </c>
      <c r="F84" s="33">
        <f>_xll.qlRateHelperQuoteValue($E84,Trigger)</f>
        <v>2.1520000000000001E-2</v>
      </c>
      <c r="G84" s="33" t="e">
        <f>_xll.qlSwapRateHelperSpread($E84,Trigger)</f>
        <v>#NUM!</v>
      </c>
      <c r="H84" s="26" t="b">
        <f t="shared" si="4"/>
        <v>1</v>
      </c>
      <c r="I84" s="26">
        <v>50</v>
      </c>
      <c r="J84" s="26">
        <v>1</v>
      </c>
      <c r="K84" s="32">
        <f>_xll.qlRateHelperEarliestDate($E84,Trigger)</f>
        <v>41792</v>
      </c>
      <c r="L84" s="31">
        <f>_xll.qlRateHelperLatestDate($E84,Trigger)</f>
        <v>60055</v>
      </c>
    </row>
    <row r="85" spans="2:12" x14ac:dyDescent="0.2">
      <c r="B85" s="30" t="str">
        <f t="shared" si="7"/>
        <v/>
      </c>
      <c r="C85" s="29" t="str">
        <f t="shared" si="6"/>
        <v>EON</v>
      </c>
      <c r="D85" s="178" t="s">
        <v>11</v>
      </c>
      <c r="E85" s="28" t="str">
        <f t="shared" si="5"/>
        <v>EUR_YCONRH_EON60Y</v>
      </c>
      <c r="F85" s="27">
        <f>_xll.qlRateHelperQuoteValue($E85,Trigger)</f>
        <v>2.1760000000000002E-2</v>
      </c>
      <c r="G85" s="27" t="e">
        <f>_xll.qlSwapRateHelperSpread($E85,Trigger)</f>
        <v>#NUM!</v>
      </c>
      <c r="H85" s="25" t="b">
        <f t="shared" si="4"/>
        <v>1</v>
      </c>
      <c r="I85" s="25">
        <v>50</v>
      </c>
      <c r="J85" s="25">
        <v>1</v>
      </c>
      <c r="K85" s="24">
        <f>_xll.qlRateHelperEarliestDate($E85,Trigger)</f>
        <v>41792</v>
      </c>
      <c r="L85" s="23">
        <f>_xll.qlRateHelperLatestDate($E85,Trigger)</f>
        <v>63709</v>
      </c>
    </row>
    <row r="86" spans="2:12" x14ac:dyDescent="0.2">
      <c r="B86" s="36" t="str">
        <f t="shared" si="7"/>
        <v/>
      </c>
      <c r="C86" s="35" t="str">
        <f t="shared" ref="C86:C122" si="8">IborType&amp;"BASIS"</f>
        <v>EONBASIS</v>
      </c>
      <c r="D86" s="176" t="s">
        <v>47</v>
      </c>
      <c r="E86" s="41" t="str">
        <f t="shared" si="5"/>
        <v>EUR_YCONRH_EONBASIS1Y</v>
      </c>
      <c r="F86" s="40" t="e">
        <f>_xll.qlRateHelperQuoteValue($E86,Trigger)</f>
        <v>#NUM!</v>
      </c>
      <c r="G86" s="40" t="e">
        <f>_xll.qlSwapRateHelperSpread($E86,Trigger)</f>
        <v>#NUM!</v>
      </c>
      <c r="H86" s="39" t="b">
        <f t="shared" si="4"/>
        <v>0</v>
      </c>
      <c r="I86" s="39">
        <v>40</v>
      </c>
      <c r="J86" s="39">
        <v>1</v>
      </c>
      <c r="K86" s="38" t="e">
        <f>_xll.qlRateHelperEarliestDate($E86,Trigger)</f>
        <v>#NUM!</v>
      </c>
      <c r="L86" s="37" t="e">
        <f>_xll.qlRateHelperLatestDate($E86,Trigger)</f>
        <v>#NUM!</v>
      </c>
    </row>
    <row r="87" spans="2:12" x14ac:dyDescent="0.2">
      <c r="B87" s="36" t="str">
        <f t="shared" si="7"/>
        <v/>
      </c>
      <c r="C87" s="35" t="str">
        <f t="shared" si="8"/>
        <v>EONBASIS</v>
      </c>
      <c r="D87" s="177" t="s">
        <v>46</v>
      </c>
      <c r="E87" s="34" t="str">
        <f t="shared" si="5"/>
        <v>EUR_YCONRH_EONBASIS15M</v>
      </c>
      <c r="F87" s="33" t="e">
        <f>_xll.qlRateHelperQuoteValue($E87,Trigger)</f>
        <v>#NUM!</v>
      </c>
      <c r="G87" s="33" t="e">
        <f>_xll.qlSwapRateHelperSpread($E87,Trigger)</f>
        <v>#NUM!</v>
      </c>
      <c r="H87" s="26" t="b">
        <f t="shared" si="4"/>
        <v>0</v>
      </c>
      <c r="I87" s="26">
        <v>40</v>
      </c>
      <c r="J87" s="26">
        <v>1</v>
      </c>
      <c r="K87" s="32" t="e">
        <f>_xll.qlRateHelperEarliestDate($E87,Trigger)</f>
        <v>#NUM!</v>
      </c>
      <c r="L87" s="31" t="e">
        <f>_xll.qlRateHelperLatestDate($E87,Trigger)</f>
        <v>#NUM!</v>
      </c>
    </row>
    <row r="88" spans="2:12" x14ac:dyDescent="0.2">
      <c r="B88" s="36" t="str">
        <f t="shared" si="7"/>
        <v/>
      </c>
      <c r="C88" s="35" t="str">
        <f t="shared" si="8"/>
        <v>EONBASIS</v>
      </c>
      <c r="D88" s="177" t="s">
        <v>45</v>
      </c>
      <c r="E88" s="34" t="str">
        <f t="shared" si="5"/>
        <v>EUR_YCONRH_EONBASIS18M</v>
      </c>
      <c r="F88" s="33" t="e">
        <f>_xll.qlRateHelperQuoteValue($E88,Trigger)</f>
        <v>#NUM!</v>
      </c>
      <c r="G88" s="33" t="e">
        <f>_xll.qlSwapRateHelperSpread($E88,Trigger)</f>
        <v>#NUM!</v>
      </c>
      <c r="H88" s="26" t="b">
        <f t="shared" si="4"/>
        <v>0</v>
      </c>
      <c r="I88" s="26">
        <v>40</v>
      </c>
      <c r="J88" s="26">
        <v>1</v>
      </c>
      <c r="K88" s="32" t="e">
        <f>_xll.qlRateHelperEarliestDate($E88,Trigger)</f>
        <v>#NUM!</v>
      </c>
      <c r="L88" s="31" t="e">
        <f>_xll.qlRateHelperLatestDate($E88,Trigger)</f>
        <v>#NUM!</v>
      </c>
    </row>
    <row r="89" spans="2:12" x14ac:dyDescent="0.2">
      <c r="B89" s="36" t="str">
        <f t="shared" si="7"/>
        <v/>
      </c>
      <c r="C89" s="35" t="str">
        <f t="shared" si="8"/>
        <v>EONBASIS</v>
      </c>
      <c r="D89" s="177" t="s">
        <v>44</v>
      </c>
      <c r="E89" s="34" t="str">
        <f t="shared" si="5"/>
        <v>EUR_YCONRH_EONBASIS21M</v>
      </c>
      <c r="F89" s="33" t="e">
        <f>_xll.qlRateHelperQuoteValue($E89,Trigger)</f>
        <v>#NUM!</v>
      </c>
      <c r="G89" s="33" t="e">
        <f>_xll.qlSwapRateHelperSpread($E89,Trigger)</f>
        <v>#NUM!</v>
      </c>
      <c r="H89" s="26" t="b">
        <f t="shared" si="4"/>
        <v>0</v>
      </c>
      <c r="I89" s="26">
        <v>40</v>
      </c>
      <c r="J89" s="26">
        <v>1</v>
      </c>
      <c r="K89" s="32" t="e">
        <f>_xll.qlRateHelperEarliestDate($E89,Trigger)</f>
        <v>#NUM!</v>
      </c>
      <c r="L89" s="31" t="e">
        <f>_xll.qlRateHelperLatestDate($E89,Trigger)</f>
        <v>#NUM!</v>
      </c>
    </row>
    <row r="90" spans="2:12" x14ac:dyDescent="0.2">
      <c r="B90" s="36" t="str">
        <f t="shared" si="7"/>
        <v/>
      </c>
      <c r="C90" s="35" t="str">
        <f t="shared" si="8"/>
        <v>EONBASIS</v>
      </c>
      <c r="D90" s="177" t="s">
        <v>43</v>
      </c>
      <c r="E90" s="34" t="str">
        <f t="shared" si="5"/>
        <v>EUR_YCONRH_EONBASIS2Y</v>
      </c>
      <c r="F90" s="33" t="e">
        <f>_xll.qlRateHelperQuoteValue($E90,Trigger)</f>
        <v>#NUM!</v>
      </c>
      <c r="G90" s="33" t="e">
        <f>_xll.qlSwapRateHelperSpread($E90,Trigger)</f>
        <v>#NUM!</v>
      </c>
      <c r="H90" s="26" t="b">
        <f t="shared" si="4"/>
        <v>0</v>
      </c>
      <c r="I90" s="26">
        <v>40</v>
      </c>
      <c r="J90" s="26">
        <v>1</v>
      </c>
      <c r="K90" s="32" t="e">
        <f>_xll.qlRateHelperEarliestDate($E90,Trigger)</f>
        <v>#NUM!</v>
      </c>
      <c r="L90" s="31" t="e">
        <f>_xll.qlRateHelperLatestDate($E90,Trigger)</f>
        <v>#NUM!</v>
      </c>
    </row>
    <row r="91" spans="2:12" x14ac:dyDescent="0.2">
      <c r="B91" s="36" t="str">
        <f t="shared" si="7"/>
        <v/>
      </c>
      <c r="C91" s="35" t="str">
        <f t="shared" si="8"/>
        <v>EONBASIS</v>
      </c>
      <c r="D91" s="177" t="s">
        <v>42</v>
      </c>
      <c r="E91" s="34" t="str">
        <f t="shared" si="5"/>
        <v>EUR_YCONRH_EONBASIS3Y</v>
      </c>
      <c r="F91" s="33" t="e">
        <f>_xll.qlRateHelperQuoteValue($E91,Trigger)</f>
        <v>#NUM!</v>
      </c>
      <c r="G91" s="33" t="e">
        <f>_xll.qlSwapRateHelperSpread($E91,Trigger)</f>
        <v>#NUM!</v>
      </c>
      <c r="H91" s="26" t="b">
        <f t="shared" si="4"/>
        <v>0</v>
      </c>
      <c r="I91" s="26">
        <v>40</v>
      </c>
      <c r="J91" s="26">
        <v>1</v>
      </c>
      <c r="K91" s="32" t="e">
        <f>_xll.qlRateHelperEarliestDate($E91,Trigger)</f>
        <v>#NUM!</v>
      </c>
      <c r="L91" s="31" t="e">
        <f>_xll.qlRateHelperLatestDate($E91,Trigger)</f>
        <v>#NUM!</v>
      </c>
    </row>
    <row r="92" spans="2:12" x14ac:dyDescent="0.2">
      <c r="B92" s="36" t="str">
        <f t="shared" si="7"/>
        <v/>
      </c>
      <c r="C92" s="35" t="str">
        <f t="shared" si="8"/>
        <v>EONBASIS</v>
      </c>
      <c r="D92" s="177" t="s">
        <v>41</v>
      </c>
      <c r="E92" s="34" t="str">
        <f t="shared" si="5"/>
        <v>EUR_YCONRH_EONBASIS4Y</v>
      </c>
      <c r="F92" s="33" t="e">
        <f>_xll.qlRateHelperQuoteValue($E92,Trigger)</f>
        <v>#NUM!</v>
      </c>
      <c r="G92" s="33" t="e">
        <f>_xll.qlSwapRateHelperSpread($E92,Trigger)</f>
        <v>#NUM!</v>
      </c>
      <c r="H92" s="26" t="b">
        <f t="shared" si="4"/>
        <v>0</v>
      </c>
      <c r="I92" s="26">
        <v>40</v>
      </c>
      <c r="J92" s="26">
        <v>1</v>
      </c>
      <c r="K92" s="32" t="e">
        <f>_xll.qlRateHelperEarliestDate($E92,Trigger)</f>
        <v>#NUM!</v>
      </c>
      <c r="L92" s="31" t="e">
        <f>_xll.qlRateHelperLatestDate($E92,Trigger)</f>
        <v>#NUM!</v>
      </c>
    </row>
    <row r="93" spans="2:12" x14ac:dyDescent="0.2">
      <c r="B93" s="36" t="str">
        <f t="shared" si="7"/>
        <v/>
      </c>
      <c r="C93" s="35" t="str">
        <f t="shared" si="8"/>
        <v>EONBASIS</v>
      </c>
      <c r="D93" s="177" t="s">
        <v>40</v>
      </c>
      <c r="E93" s="34" t="str">
        <f t="shared" si="5"/>
        <v>EUR_YCONRH_EONBASIS5Y</v>
      </c>
      <c r="F93" s="33" t="e">
        <f>_xll.qlRateHelperQuoteValue($E93,Trigger)</f>
        <v>#NUM!</v>
      </c>
      <c r="G93" s="33" t="e">
        <f>_xll.qlSwapRateHelperSpread($E93,Trigger)</f>
        <v>#NUM!</v>
      </c>
      <c r="H93" s="26" t="b">
        <f t="shared" si="4"/>
        <v>0</v>
      </c>
      <c r="I93" s="26">
        <v>40</v>
      </c>
      <c r="J93" s="26">
        <v>1</v>
      </c>
      <c r="K93" s="32" t="e">
        <f>_xll.qlRateHelperEarliestDate($E93,Trigger)</f>
        <v>#NUM!</v>
      </c>
      <c r="L93" s="31" t="e">
        <f>_xll.qlRateHelperLatestDate($E93,Trigger)</f>
        <v>#NUM!</v>
      </c>
    </row>
    <row r="94" spans="2:12" x14ac:dyDescent="0.2">
      <c r="B94" s="36" t="str">
        <f t="shared" si="7"/>
        <v/>
      </c>
      <c r="C94" s="35" t="str">
        <f t="shared" si="8"/>
        <v>EONBASIS</v>
      </c>
      <c r="D94" s="177" t="s">
        <v>39</v>
      </c>
      <c r="E94" s="34" t="str">
        <f t="shared" si="5"/>
        <v>EUR_YCONRH_EONBASIS6Y</v>
      </c>
      <c r="F94" s="33" t="e">
        <f>_xll.qlRateHelperQuoteValue($E94,Trigger)</f>
        <v>#NUM!</v>
      </c>
      <c r="G94" s="33" t="e">
        <f>_xll.qlSwapRateHelperSpread($E94,Trigger)</f>
        <v>#NUM!</v>
      </c>
      <c r="H94" s="26" t="b">
        <f t="shared" ref="H94:H122" si="9">IF(ISERROR(F94),FALSE,IF(L94&lt;=$N$16,TRUE,IF(L94&gt;$N$17,TRUE,IF(L93&lt;$N$16,TRUE,FALSE))))</f>
        <v>0</v>
      </c>
      <c r="I94" s="26">
        <v>40</v>
      </c>
      <c r="J94" s="26">
        <v>1</v>
      </c>
      <c r="K94" s="32" t="e">
        <f>_xll.qlRateHelperEarliestDate($E94,Trigger)</f>
        <v>#NUM!</v>
      </c>
      <c r="L94" s="31" t="e">
        <f>_xll.qlRateHelperLatestDate($E94,Trigger)</f>
        <v>#NUM!</v>
      </c>
    </row>
    <row r="95" spans="2:12" x14ac:dyDescent="0.2">
      <c r="B95" s="36" t="str">
        <f t="shared" si="7"/>
        <v/>
      </c>
      <c r="C95" s="35" t="str">
        <f t="shared" si="8"/>
        <v>EONBASIS</v>
      </c>
      <c r="D95" s="177" t="s">
        <v>38</v>
      </c>
      <c r="E95" s="34" t="str">
        <f t="shared" si="5"/>
        <v>EUR_YCONRH_EONBASIS7Y</v>
      </c>
      <c r="F95" s="33" t="e">
        <f>_xll.qlRateHelperQuoteValue($E95,Trigger)</f>
        <v>#NUM!</v>
      </c>
      <c r="G95" s="33" t="e">
        <f>_xll.qlSwapRateHelperSpread($E95,Trigger)</f>
        <v>#NUM!</v>
      </c>
      <c r="H95" s="26" t="b">
        <f t="shared" si="9"/>
        <v>0</v>
      </c>
      <c r="I95" s="26">
        <v>40</v>
      </c>
      <c r="J95" s="26">
        <v>1</v>
      </c>
      <c r="K95" s="32" t="e">
        <f>_xll.qlRateHelperEarliestDate($E95,Trigger)</f>
        <v>#NUM!</v>
      </c>
      <c r="L95" s="31" t="e">
        <f>_xll.qlRateHelperLatestDate($E95,Trigger)</f>
        <v>#NUM!</v>
      </c>
    </row>
    <row r="96" spans="2:12" x14ac:dyDescent="0.2">
      <c r="B96" s="36" t="str">
        <f t="shared" si="7"/>
        <v/>
      </c>
      <c r="C96" s="35" t="str">
        <f t="shared" si="8"/>
        <v>EONBASIS</v>
      </c>
      <c r="D96" s="177" t="s">
        <v>37</v>
      </c>
      <c r="E96" s="34" t="str">
        <f t="shared" si="5"/>
        <v>EUR_YCONRH_EONBASIS8Y</v>
      </c>
      <c r="F96" s="33" t="e">
        <f>_xll.qlRateHelperQuoteValue($E96,Trigger)</f>
        <v>#NUM!</v>
      </c>
      <c r="G96" s="33" t="e">
        <f>_xll.qlSwapRateHelperSpread($E96,Trigger)</f>
        <v>#NUM!</v>
      </c>
      <c r="H96" s="26" t="b">
        <f t="shared" si="9"/>
        <v>0</v>
      </c>
      <c r="I96" s="26">
        <v>40</v>
      </c>
      <c r="J96" s="26">
        <v>1</v>
      </c>
      <c r="K96" s="32" t="e">
        <f>_xll.qlRateHelperEarliestDate($E96,Trigger)</f>
        <v>#NUM!</v>
      </c>
      <c r="L96" s="31" t="e">
        <f>_xll.qlRateHelperLatestDate($E96,Trigger)</f>
        <v>#NUM!</v>
      </c>
    </row>
    <row r="97" spans="2:12" x14ac:dyDescent="0.2">
      <c r="B97" s="36" t="str">
        <f t="shared" si="7"/>
        <v/>
      </c>
      <c r="C97" s="35" t="str">
        <f t="shared" si="8"/>
        <v>EONBASIS</v>
      </c>
      <c r="D97" s="177" t="s">
        <v>36</v>
      </c>
      <c r="E97" s="34" t="str">
        <f t="shared" si="5"/>
        <v>EUR_YCONRH_EONBASIS9Y</v>
      </c>
      <c r="F97" s="33" t="e">
        <f>_xll.qlRateHelperQuoteValue($E97,Trigger)</f>
        <v>#NUM!</v>
      </c>
      <c r="G97" s="33" t="e">
        <f>_xll.qlSwapRateHelperSpread($E97,Trigger)</f>
        <v>#NUM!</v>
      </c>
      <c r="H97" s="26" t="b">
        <f t="shared" si="9"/>
        <v>0</v>
      </c>
      <c r="I97" s="26">
        <v>40</v>
      </c>
      <c r="J97" s="26">
        <v>1</v>
      </c>
      <c r="K97" s="32" t="e">
        <f>_xll.qlRateHelperEarliestDate($E97,Trigger)</f>
        <v>#NUM!</v>
      </c>
      <c r="L97" s="31" t="e">
        <f>_xll.qlRateHelperLatestDate($E97,Trigger)</f>
        <v>#NUM!</v>
      </c>
    </row>
    <row r="98" spans="2:12" x14ac:dyDescent="0.2">
      <c r="B98" s="36" t="str">
        <f t="shared" si="7"/>
        <v/>
      </c>
      <c r="C98" s="35" t="str">
        <f t="shared" si="8"/>
        <v>EONBASIS</v>
      </c>
      <c r="D98" s="177" t="s">
        <v>35</v>
      </c>
      <c r="E98" s="34" t="str">
        <f t="shared" ref="E98:E122" si="10">RateHelperPrefix&amp;"_"&amp;$B98&amp;$C98&amp;$D98</f>
        <v>EUR_YCONRH_EONBASIS10Y</v>
      </c>
      <c r="F98" s="33" t="e">
        <f>_xll.qlRateHelperQuoteValue($E98,Trigger)</f>
        <v>#NUM!</v>
      </c>
      <c r="G98" s="33" t="e">
        <f>_xll.qlSwapRateHelperSpread($E98,Trigger)</f>
        <v>#NUM!</v>
      </c>
      <c r="H98" s="26" t="b">
        <f t="shared" si="9"/>
        <v>0</v>
      </c>
      <c r="I98" s="26">
        <v>40</v>
      </c>
      <c r="J98" s="26">
        <v>1</v>
      </c>
      <c r="K98" s="32" t="e">
        <f>_xll.qlRateHelperEarliestDate($E98,Trigger)</f>
        <v>#NUM!</v>
      </c>
      <c r="L98" s="31" t="e">
        <f>_xll.qlRateHelperLatestDate($E98,Trigger)</f>
        <v>#NUM!</v>
      </c>
    </row>
    <row r="99" spans="2:12" x14ac:dyDescent="0.2">
      <c r="B99" s="36" t="str">
        <f t="shared" si="7"/>
        <v/>
      </c>
      <c r="C99" s="35" t="str">
        <f t="shared" si="8"/>
        <v>EONBASIS</v>
      </c>
      <c r="D99" s="177" t="s">
        <v>34</v>
      </c>
      <c r="E99" s="34" t="str">
        <f t="shared" si="10"/>
        <v>EUR_YCONRH_EONBASIS11Y</v>
      </c>
      <c r="F99" s="33" t="e">
        <f>_xll.qlRateHelperQuoteValue($E99,Trigger)</f>
        <v>#NUM!</v>
      </c>
      <c r="G99" s="33" t="e">
        <f>_xll.qlSwapRateHelperSpread($E99,Trigger)</f>
        <v>#NUM!</v>
      </c>
      <c r="H99" s="26" t="b">
        <f t="shared" si="9"/>
        <v>0</v>
      </c>
      <c r="I99" s="26">
        <v>40</v>
      </c>
      <c r="J99" s="26">
        <v>1</v>
      </c>
      <c r="K99" s="32" t="e">
        <f>_xll.qlRateHelperEarliestDate($E99,Trigger)</f>
        <v>#NUM!</v>
      </c>
      <c r="L99" s="31" t="e">
        <f>_xll.qlRateHelperLatestDate($E99,Trigger)</f>
        <v>#NUM!</v>
      </c>
    </row>
    <row r="100" spans="2:12" x14ac:dyDescent="0.2">
      <c r="B100" s="36" t="str">
        <f t="shared" si="7"/>
        <v/>
      </c>
      <c r="C100" s="35" t="str">
        <f t="shared" si="8"/>
        <v>EONBASIS</v>
      </c>
      <c r="D100" s="177" t="s">
        <v>33</v>
      </c>
      <c r="E100" s="34" t="str">
        <f t="shared" si="10"/>
        <v>EUR_YCONRH_EONBASIS12Y</v>
      </c>
      <c r="F100" s="33" t="e">
        <f>_xll.qlRateHelperQuoteValue($E100,Trigger)</f>
        <v>#NUM!</v>
      </c>
      <c r="G100" s="33" t="e">
        <f>_xll.qlSwapRateHelperSpread($E100,Trigger)</f>
        <v>#NUM!</v>
      </c>
      <c r="H100" s="26" t="b">
        <f t="shared" si="9"/>
        <v>0</v>
      </c>
      <c r="I100" s="26">
        <v>40</v>
      </c>
      <c r="J100" s="26">
        <v>1</v>
      </c>
      <c r="K100" s="32" t="e">
        <f>_xll.qlRateHelperEarliestDate($E100,Trigger)</f>
        <v>#NUM!</v>
      </c>
      <c r="L100" s="31" t="e">
        <f>_xll.qlRateHelperLatestDate($E100,Trigger)</f>
        <v>#NUM!</v>
      </c>
    </row>
    <row r="101" spans="2:12" x14ac:dyDescent="0.2">
      <c r="B101" s="36" t="str">
        <f t="shared" si="7"/>
        <v/>
      </c>
      <c r="C101" s="35" t="str">
        <f t="shared" si="8"/>
        <v>EONBASIS</v>
      </c>
      <c r="D101" s="177" t="s">
        <v>32</v>
      </c>
      <c r="E101" s="34" t="str">
        <f t="shared" si="10"/>
        <v>EUR_YCONRH_EONBASIS13Y</v>
      </c>
      <c r="F101" s="33" t="e">
        <f>_xll.qlRateHelperQuoteValue($E101,Trigger)</f>
        <v>#NUM!</v>
      </c>
      <c r="G101" s="33" t="e">
        <f>_xll.qlSwapRateHelperSpread($E101,Trigger)</f>
        <v>#NUM!</v>
      </c>
      <c r="H101" s="26" t="b">
        <f t="shared" si="9"/>
        <v>0</v>
      </c>
      <c r="I101" s="26">
        <v>40</v>
      </c>
      <c r="J101" s="26">
        <v>1</v>
      </c>
      <c r="K101" s="32" t="e">
        <f>_xll.qlRateHelperEarliestDate($E101,Trigger)</f>
        <v>#NUM!</v>
      </c>
      <c r="L101" s="31" t="e">
        <f>_xll.qlRateHelperLatestDate($E101,Trigger)</f>
        <v>#NUM!</v>
      </c>
    </row>
    <row r="102" spans="2:12" x14ac:dyDescent="0.2">
      <c r="B102" s="36" t="str">
        <f t="shared" si="7"/>
        <v/>
      </c>
      <c r="C102" s="35" t="str">
        <f t="shared" si="8"/>
        <v>EONBASIS</v>
      </c>
      <c r="D102" s="177" t="s">
        <v>31</v>
      </c>
      <c r="E102" s="34" t="str">
        <f t="shared" si="10"/>
        <v>EUR_YCONRH_EONBASIS14Y</v>
      </c>
      <c r="F102" s="33" t="e">
        <f>_xll.qlRateHelperQuoteValue($E102,Trigger)</f>
        <v>#NUM!</v>
      </c>
      <c r="G102" s="33" t="e">
        <f>_xll.qlSwapRateHelperSpread($E102,Trigger)</f>
        <v>#NUM!</v>
      </c>
      <c r="H102" s="26" t="b">
        <f t="shared" si="9"/>
        <v>0</v>
      </c>
      <c r="I102" s="26">
        <v>40</v>
      </c>
      <c r="J102" s="26">
        <v>1</v>
      </c>
      <c r="K102" s="32" t="e">
        <f>_xll.qlRateHelperEarliestDate($E102,Trigger)</f>
        <v>#NUM!</v>
      </c>
      <c r="L102" s="31" t="e">
        <f>_xll.qlRateHelperLatestDate($E102,Trigger)</f>
        <v>#NUM!</v>
      </c>
    </row>
    <row r="103" spans="2:12" x14ac:dyDescent="0.2">
      <c r="B103" s="36" t="str">
        <f t="shared" si="7"/>
        <v/>
      </c>
      <c r="C103" s="35" t="str">
        <f t="shared" si="8"/>
        <v>EONBASIS</v>
      </c>
      <c r="D103" s="177" t="s">
        <v>30</v>
      </c>
      <c r="E103" s="34" t="str">
        <f t="shared" si="10"/>
        <v>EUR_YCONRH_EONBASIS15Y</v>
      </c>
      <c r="F103" s="33" t="e">
        <f>_xll.qlRateHelperQuoteValue($E103,Trigger)</f>
        <v>#NUM!</v>
      </c>
      <c r="G103" s="33" t="e">
        <f>_xll.qlSwapRateHelperSpread($E103,Trigger)</f>
        <v>#NUM!</v>
      </c>
      <c r="H103" s="26" t="b">
        <f t="shared" si="9"/>
        <v>0</v>
      </c>
      <c r="I103" s="26">
        <v>40</v>
      </c>
      <c r="J103" s="26">
        <v>1</v>
      </c>
      <c r="K103" s="32" t="e">
        <f>_xll.qlRateHelperEarliestDate($E103,Trigger)</f>
        <v>#NUM!</v>
      </c>
      <c r="L103" s="31" t="e">
        <f>_xll.qlRateHelperLatestDate($E103,Trigger)</f>
        <v>#NUM!</v>
      </c>
    </row>
    <row r="104" spans="2:12" x14ac:dyDescent="0.2">
      <c r="B104" s="36" t="str">
        <f t="shared" si="7"/>
        <v/>
      </c>
      <c r="C104" s="35" t="str">
        <f t="shared" si="8"/>
        <v>EONBASIS</v>
      </c>
      <c r="D104" s="177" t="s">
        <v>29</v>
      </c>
      <c r="E104" s="34" t="str">
        <f t="shared" si="10"/>
        <v>EUR_YCONRH_EONBASIS16Y</v>
      </c>
      <c r="F104" s="33" t="e">
        <f>_xll.qlRateHelperQuoteValue($E104,Trigger)</f>
        <v>#NUM!</v>
      </c>
      <c r="G104" s="33" t="e">
        <f>_xll.qlSwapRateHelperSpread($E104,Trigger)</f>
        <v>#NUM!</v>
      </c>
      <c r="H104" s="26" t="b">
        <f t="shared" si="9"/>
        <v>0</v>
      </c>
      <c r="I104" s="26">
        <v>40</v>
      </c>
      <c r="J104" s="26">
        <v>1</v>
      </c>
      <c r="K104" s="32" t="e">
        <f>_xll.qlRateHelperEarliestDate($E104,Trigger)</f>
        <v>#NUM!</v>
      </c>
      <c r="L104" s="31" t="e">
        <f>_xll.qlRateHelperLatestDate($E104,Trigger)</f>
        <v>#NUM!</v>
      </c>
    </row>
    <row r="105" spans="2:12" x14ac:dyDescent="0.2">
      <c r="B105" s="36" t="str">
        <f t="shared" si="7"/>
        <v/>
      </c>
      <c r="C105" s="35" t="str">
        <f t="shared" si="8"/>
        <v>EONBASIS</v>
      </c>
      <c r="D105" s="177" t="s">
        <v>28</v>
      </c>
      <c r="E105" s="34" t="str">
        <f t="shared" si="10"/>
        <v>EUR_YCONRH_EONBASIS17Y</v>
      </c>
      <c r="F105" s="33" t="e">
        <f>_xll.qlRateHelperQuoteValue($E105,Trigger)</f>
        <v>#NUM!</v>
      </c>
      <c r="G105" s="33" t="e">
        <f>_xll.qlSwapRateHelperSpread($E105,Trigger)</f>
        <v>#NUM!</v>
      </c>
      <c r="H105" s="26" t="b">
        <f t="shared" si="9"/>
        <v>0</v>
      </c>
      <c r="I105" s="26">
        <v>40</v>
      </c>
      <c r="J105" s="26">
        <v>1</v>
      </c>
      <c r="K105" s="32" t="e">
        <f>_xll.qlRateHelperEarliestDate($E105,Trigger)</f>
        <v>#NUM!</v>
      </c>
      <c r="L105" s="31" t="e">
        <f>_xll.qlRateHelperLatestDate($E105,Trigger)</f>
        <v>#NUM!</v>
      </c>
    </row>
    <row r="106" spans="2:12" x14ac:dyDescent="0.2">
      <c r="B106" s="36" t="str">
        <f t="shared" si="7"/>
        <v/>
      </c>
      <c r="C106" s="35" t="str">
        <f t="shared" si="8"/>
        <v>EONBASIS</v>
      </c>
      <c r="D106" s="177" t="s">
        <v>27</v>
      </c>
      <c r="E106" s="34" t="str">
        <f t="shared" si="10"/>
        <v>EUR_YCONRH_EONBASIS18Y</v>
      </c>
      <c r="F106" s="33" t="e">
        <f>_xll.qlRateHelperQuoteValue($E106,Trigger)</f>
        <v>#NUM!</v>
      </c>
      <c r="G106" s="33" t="e">
        <f>_xll.qlSwapRateHelperSpread($E106,Trigger)</f>
        <v>#NUM!</v>
      </c>
      <c r="H106" s="26" t="b">
        <f t="shared" si="9"/>
        <v>0</v>
      </c>
      <c r="I106" s="26">
        <v>40</v>
      </c>
      <c r="J106" s="26">
        <v>1</v>
      </c>
      <c r="K106" s="32" t="e">
        <f>_xll.qlRateHelperEarliestDate($E106,Trigger)</f>
        <v>#NUM!</v>
      </c>
      <c r="L106" s="31" t="e">
        <f>_xll.qlRateHelperLatestDate($E106,Trigger)</f>
        <v>#NUM!</v>
      </c>
    </row>
    <row r="107" spans="2:12" x14ac:dyDescent="0.2">
      <c r="B107" s="36" t="str">
        <f t="shared" si="7"/>
        <v/>
      </c>
      <c r="C107" s="35" t="str">
        <f t="shared" si="8"/>
        <v>EONBASIS</v>
      </c>
      <c r="D107" s="177" t="s">
        <v>26</v>
      </c>
      <c r="E107" s="34" t="str">
        <f t="shared" si="10"/>
        <v>EUR_YCONRH_EONBASIS19Y</v>
      </c>
      <c r="F107" s="33" t="e">
        <f>_xll.qlRateHelperQuoteValue($E107,Trigger)</f>
        <v>#NUM!</v>
      </c>
      <c r="G107" s="33" t="e">
        <f>_xll.qlSwapRateHelperSpread($E107,Trigger)</f>
        <v>#NUM!</v>
      </c>
      <c r="H107" s="26" t="b">
        <f t="shared" si="9"/>
        <v>0</v>
      </c>
      <c r="I107" s="26">
        <v>40</v>
      </c>
      <c r="J107" s="26">
        <v>1</v>
      </c>
      <c r="K107" s="32" t="e">
        <f>_xll.qlRateHelperEarliestDate($E107,Trigger)</f>
        <v>#NUM!</v>
      </c>
      <c r="L107" s="31" t="e">
        <f>_xll.qlRateHelperLatestDate($E107,Trigger)</f>
        <v>#NUM!</v>
      </c>
    </row>
    <row r="108" spans="2:12" x14ac:dyDescent="0.2">
      <c r="B108" s="36" t="str">
        <f t="shared" si="7"/>
        <v/>
      </c>
      <c r="C108" s="35" t="str">
        <f t="shared" si="8"/>
        <v>EONBASIS</v>
      </c>
      <c r="D108" s="177" t="s">
        <v>25</v>
      </c>
      <c r="E108" s="34" t="str">
        <f t="shared" si="10"/>
        <v>EUR_YCONRH_EONBASIS20Y</v>
      </c>
      <c r="F108" s="33" t="e">
        <f>_xll.qlRateHelperQuoteValue($E108,Trigger)</f>
        <v>#NUM!</v>
      </c>
      <c r="G108" s="33" t="e">
        <f>_xll.qlSwapRateHelperSpread($E108,Trigger)</f>
        <v>#NUM!</v>
      </c>
      <c r="H108" s="26" t="b">
        <f t="shared" si="9"/>
        <v>0</v>
      </c>
      <c r="I108" s="26">
        <v>40</v>
      </c>
      <c r="J108" s="26">
        <v>1</v>
      </c>
      <c r="K108" s="32" t="e">
        <f>_xll.qlRateHelperEarliestDate($E108,Trigger)</f>
        <v>#NUM!</v>
      </c>
      <c r="L108" s="31" t="e">
        <f>_xll.qlRateHelperLatestDate($E108,Trigger)</f>
        <v>#NUM!</v>
      </c>
    </row>
    <row r="109" spans="2:12" x14ac:dyDescent="0.2">
      <c r="B109" s="36" t="str">
        <f t="shared" si="7"/>
        <v/>
      </c>
      <c r="C109" s="35" t="str">
        <f t="shared" si="8"/>
        <v>EONBASIS</v>
      </c>
      <c r="D109" s="177" t="s">
        <v>24</v>
      </c>
      <c r="E109" s="34" t="str">
        <f t="shared" si="10"/>
        <v>EUR_YCONRH_EONBASIS21Y</v>
      </c>
      <c r="F109" s="33" t="e">
        <f>_xll.qlRateHelperQuoteValue($E109,Trigger)</f>
        <v>#NUM!</v>
      </c>
      <c r="G109" s="33" t="e">
        <f>_xll.qlSwapRateHelperSpread($E109,Trigger)</f>
        <v>#NUM!</v>
      </c>
      <c r="H109" s="26" t="b">
        <f t="shared" si="9"/>
        <v>0</v>
      </c>
      <c r="I109" s="26">
        <v>40</v>
      </c>
      <c r="J109" s="26">
        <v>1</v>
      </c>
      <c r="K109" s="32" t="e">
        <f>_xll.qlRateHelperEarliestDate($E109,Trigger)</f>
        <v>#NUM!</v>
      </c>
      <c r="L109" s="31" t="e">
        <f>_xll.qlRateHelperLatestDate($E109,Trigger)</f>
        <v>#NUM!</v>
      </c>
    </row>
    <row r="110" spans="2:12" x14ac:dyDescent="0.2">
      <c r="B110" s="36" t="str">
        <f t="shared" si="7"/>
        <v/>
      </c>
      <c r="C110" s="35" t="str">
        <f t="shared" si="8"/>
        <v>EONBASIS</v>
      </c>
      <c r="D110" s="177" t="s">
        <v>23</v>
      </c>
      <c r="E110" s="34" t="str">
        <f t="shared" si="10"/>
        <v>EUR_YCONRH_EONBASIS22Y</v>
      </c>
      <c r="F110" s="33" t="e">
        <f>_xll.qlRateHelperQuoteValue($E110,Trigger)</f>
        <v>#NUM!</v>
      </c>
      <c r="G110" s="33" t="e">
        <f>_xll.qlSwapRateHelperSpread($E110,Trigger)</f>
        <v>#NUM!</v>
      </c>
      <c r="H110" s="26" t="b">
        <f t="shared" si="9"/>
        <v>0</v>
      </c>
      <c r="I110" s="26">
        <v>40</v>
      </c>
      <c r="J110" s="26">
        <v>1</v>
      </c>
      <c r="K110" s="32" t="e">
        <f>_xll.qlRateHelperEarliestDate($E110,Trigger)</f>
        <v>#NUM!</v>
      </c>
      <c r="L110" s="31" t="e">
        <f>_xll.qlRateHelperLatestDate($E110,Trigger)</f>
        <v>#NUM!</v>
      </c>
    </row>
    <row r="111" spans="2:12" x14ac:dyDescent="0.2">
      <c r="B111" s="36" t="str">
        <f t="shared" si="7"/>
        <v/>
      </c>
      <c r="C111" s="35" t="str">
        <f t="shared" si="8"/>
        <v>EONBASIS</v>
      </c>
      <c r="D111" s="177" t="s">
        <v>22</v>
      </c>
      <c r="E111" s="34" t="str">
        <f t="shared" si="10"/>
        <v>EUR_YCONRH_EONBASIS23Y</v>
      </c>
      <c r="F111" s="33" t="e">
        <f>_xll.qlRateHelperQuoteValue($E111,Trigger)</f>
        <v>#NUM!</v>
      </c>
      <c r="G111" s="33" t="e">
        <f>_xll.qlSwapRateHelperSpread($E111,Trigger)</f>
        <v>#NUM!</v>
      </c>
      <c r="H111" s="26" t="b">
        <f t="shared" si="9"/>
        <v>0</v>
      </c>
      <c r="I111" s="26">
        <v>40</v>
      </c>
      <c r="J111" s="26">
        <v>1</v>
      </c>
      <c r="K111" s="32" t="e">
        <f>_xll.qlRateHelperEarliestDate($E111,Trigger)</f>
        <v>#NUM!</v>
      </c>
      <c r="L111" s="31" t="e">
        <f>_xll.qlRateHelperLatestDate($E111,Trigger)</f>
        <v>#NUM!</v>
      </c>
    </row>
    <row r="112" spans="2:12" x14ac:dyDescent="0.2">
      <c r="B112" s="36" t="str">
        <f t="shared" si="7"/>
        <v/>
      </c>
      <c r="C112" s="35" t="str">
        <f t="shared" si="8"/>
        <v>EONBASIS</v>
      </c>
      <c r="D112" s="177" t="s">
        <v>21</v>
      </c>
      <c r="E112" s="34" t="str">
        <f t="shared" si="10"/>
        <v>EUR_YCONRH_EONBASIS24Y</v>
      </c>
      <c r="F112" s="33" t="e">
        <f>_xll.qlRateHelperQuoteValue($E112,Trigger)</f>
        <v>#NUM!</v>
      </c>
      <c r="G112" s="33" t="e">
        <f>_xll.qlSwapRateHelperSpread($E112,Trigger)</f>
        <v>#NUM!</v>
      </c>
      <c r="H112" s="26" t="b">
        <f t="shared" si="9"/>
        <v>0</v>
      </c>
      <c r="I112" s="26">
        <v>40</v>
      </c>
      <c r="J112" s="26">
        <v>1</v>
      </c>
      <c r="K112" s="32" t="e">
        <f>_xll.qlRateHelperEarliestDate($E112,Trigger)</f>
        <v>#NUM!</v>
      </c>
      <c r="L112" s="31" t="e">
        <f>_xll.qlRateHelperLatestDate($E112,Trigger)</f>
        <v>#NUM!</v>
      </c>
    </row>
    <row r="113" spans="2:12" x14ac:dyDescent="0.2">
      <c r="B113" s="36" t="str">
        <f t="shared" si="7"/>
        <v/>
      </c>
      <c r="C113" s="35" t="str">
        <f t="shared" si="8"/>
        <v>EONBASIS</v>
      </c>
      <c r="D113" s="177" t="s">
        <v>20</v>
      </c>
      <c r="E113" s="34" t="str">
        <f t="shared" si="10"/>
        <v>EUR_YCONRH_EONBASIS25Y</v>
      </c>
      <c r="F113" s="33" t="e">
        <f>_xll.qlRateHelperQuoteValue($E113,Trigger)</f>
        <v>#NUM!</v>
      </c>
      <c r="G113" s="33" t="e">
        <f>_xll.qlSwapRateHelperSpread($E113,Trigger)</f>
        <v>#NUM!</v>
      </c>
      <c r="H113" s="26" t="b">
        <f t="shared" si="9"/>
        <v>0</v>
      </c>
      <c r="I113" s="26">
        <v>40</v>
      </c>
      <c r="J113" s="26">
        <v>1</v>
      </c>
      <c r="K113" s="32" t="e">
        <f>_xll.qlRateHelperEarliestDate($E113,Trigger)</f>
        <v>#NUM!</v>
      </c>
      <c r="L113" s="31" t="e">
        <f>_xll.qlRateHelperLatestDate($E113,Trigger)</f>
        <v>#NUM!</v>
      </c>
    </row>
    <row r="114" spans="2:12" x14ac:dyDescent="0.2">
      <c r="B114" s="36" t="str">
        <f t="shared" ref="B114:B122" si="11">SwapFixedFreq</f>
        <v/>
      </c>
      <c r="C114" s="35" t="str">
        <f t="shared" si="8"/>
        <v>EONBASIS</v>
      </c>
      <c r="D114" s="177" t="s">
        <v>19</v>
      </c>
      <c r="E114" s="34" t="str">
        <f t="shared" si="10"/>
        <v>EUR_YCONRH_EONBASIS26Y</v>
      </c>
      <c r="F114" s="33" t="e">
        <f>_xll.qlRateHelperQuoteValue($E114,Trigger)</f>
        <v>#NUM!</v>
      </c>
      <c r="G114" s="33" t="e">
        <f>_xll.qlSwapRateHelperSpread($E114,Trigger)</f>
        <v>#NUM!</v>
      </c>
      <c r="H114" s="26" t="b">
        <f t="shared" si="9"/>
        <v>0</v>
      </c>
      <c r="I114" s="26">
        <v>40</v>
      </c>
      <c r="J114" s="26">
        <v>1</v>
      </c>
      <c r="K114" s="32" t="e">
        <f>_xll.qlRateHelperEarliestDate($E114,Trigger)</f>
        <v>#NUM!</v>
      </c>
      <c r="L114" s="31" t="e">
        <f>_xll.qlRateHelperLatestDate($E114,Trigger)</f>
        <v>#NUM!</v>
      </c>
    </row>
    <row r="115" spans="2:12" x14ac:dyDescent="0.2">
      <c r="B115" s="36" t="str">
        <f t="shared" si="11"/>
        <v/>
      </c>
      <c r="C115" s="35" t="str">
        <f t="shared" si="8"/>
        <v>EONBASIS</v>
      </c>
      <c r="D115" s="177" t="s">
        <v>18</v>
      </c>
      <c r="E115" s="34" t="str">
        <f t="shared" si="10"/>
        <v>EUR_YCONRH_EONBASIS27Y</v>
      </c>
      <c r="F115" s="33" t="e">
        <f>_xll.qlRateHelperQuoteValue($E115,Trigger)</f>
        <v>#NUM!</v>
      </c>
      <c r="G115" s="33" t="e">
        <f>_xll.qlSwapRateHelperSpread($E115,Trigger)</f>
        <v>#NUM!</v>
      </c>
      <c r="H115" s="26" t="b">
        <f t="shared" si="9"/>
        <v>0</v>
      </c>
      <c r="I115" s="26">
        <v>40</v>
      </c>
      <c r="J115" s="26">
        <v>1</v>
      </c>
      <c r="K115" s="32" t="e">
        <f>_xll.qlRateHelperEarliestDate($E115,Trigger)</f>
        <v>#NUM!</v>
      </c>
      <c r="L115" s="31" t="e">
        <f>_xll.qlRateHelperLatestDate($E115,Trigger)</f>
        <v>#NUM!</v>
      </c>
    </row>
    <row r="116" spans="2:12" x14ac:dyDescent="0.2">
      <c r="B116" s="36" t="str">
        <f t="shared" si="11"/>
        <v/>
      </c>
      <c r="C116" s="35" t="str">
        <f t="shared" si="8"/>
        <v>EONBASIS</v>
      </c>
      <c r="D116" s="177" t="s">
        <v>17</v>
      </c>
      <c r="E116" s="34" t="str">
        <f t="shared" si="10"/>
        <v>EUR_YCONRH_EONBASIS28Y</v>
      </c>
      <c r="F116" s="33" t="e">
        <f>_xll.qlRateHelperQuoteValue($E116,Trigger)</f>
        <v>#NUM!</v>
      </c>
      <c r="G116" s="33" t="e">
        <f>_xll.qlSwapRateHelperSpread($E116,Trigger)</f>
        <v>#NUM!</v>
      </c>
      <c r="H116" s="26" t="b">
        <f t="shared" si="9"/>
        <v>0</v>
      </c>
      <c r="I116" s="26">
        <v>40</v>
      </c>
      <c r="J116" s="26">
        <v>1</v>
      </c>
      <c r="K116" s="32" t="e">
        <f>_xll.qlRateHelperEarliestDate($E116,Trigger)</f>
        <v>#NUM!</v>
      </c>
      <c r="L116" s="31" t="e">
        <f>_xll.qlRateHelperLatestDate($E116,Trigger)</f>
        <v>#NUM!</v>
      </c>
    </row>
    <row r="117" spans="2:12" x14ac:dyDescent="0.2">
      <c r="B117" s="36" t="str">
        <f t="shared" si="11"/>
        <v/>
      </c>
      <c r="C117" s="35" t="str">
        <f t="shared" si="8"/>
        <v>EONBASIS</v>
      </c>
      <c r="D117" s="177" t="s">
        <v>16</v>
      </c>
      <c r="E117" s="34" t="str">
        <f t="shared" si="10"/>
        <v>EUR_YCONRH_EONBASIS29Y</v>
      </c>
      <c r="F117" s="33" t="e">
        <f>_xll.qlRateHelperQuoteValue($E117,Trigger)</f>
        <v>#NUM!</v>
      </c>
      <c r="G117" s="33" t="e">
        <f>_xll.qlSwapRateHelperSpread($E117,Trigger)</f>
        <v>#NUM!</v>
      </c>
      <c r="H117" s="26" t="b">
        <f t="shared" si="9"/>
        <v>0</v>
      </c>
      <c r="I117" s="26">
        <v>40</v>
      </c>
      <c r="J117" s="26">
        <v>1</v>
      </c>
      <c r="K117" s="32" t="e">
        <f>_xll.qlRateHelperEarliestDate($E117,Trigger)</f>
        <v>#NUM!</v>
      </c>
      <c r="L117" s="31" t="e">
        <f>_xll.qlRateHelperLatestDate($E117,Trigger)</f>
        <v>#NUM!</v>
      </c>
    </row>
    <row r="118" spans="2:12" x14ac:dyDescent="0.2">
      <c r="B118" s="36" t="str">
        <f t="shared" si="11"/>
        <v/>
      </c>
      <c r="C118" s="35" t="str">
        <f t="shared" si="8"/>
        <v>EONBASIS</v>
      </c>
      <c r="D118" s="177" t="s">
        <v>15</v>
      </c>
      <c r="E118" s="34" t="str">
        <f t="shared" si="10"/>
        <v>EUR_YCONRH_EONBASIS30Y</v>
      </c>
      <c r="F118" s="33" t="e">
        <f>_xll.qlRateHelperQuoteValue($E118,Trigger)</f>
        <v>#NUM!</v>
      </c>
      <c r="G118" s="33" t="e">
        <f>_xll.qlSwapRateHelperSpread($E118,Trigger)</f>
        <v>#NUM!</v>
      </c>
      <c r="H118" s="26" t="b">
        <f t="shared" si="9"/>
        <v>0</v>
      </c>
      <c r="I118" s="26">
        <v>40</v>
      </c>
      <c r="J118" s="26">
        <v>1</v>
      </c>
      <c r="K118" s="32" t="e">
        <f>_xll.qlRateHelperEarliestDate($E118,Trigger)</f>
        <v>#NUM!</v>
      </c>
      <c r="L118" s="31" t="e">
        <f>_xll.qlRateHelperLatestDate($E118,Trigger)</f>
        <v>#NUM!</v>
      </c>
    </row>
    <row r="119" spans="2:12" x14ac:dyDescent="0.2">
      <c r="B119" s="36" t="str">
        <f t="shared" si="11"/>
        <v/>
      </c>
      <c r="C119" s="35" t="str">
        <f t="shared" si="8"/>
        <v>EONBASIS</v>
      </c>
      <c r="D119" s="177" t="s">
        <v>14</v>
      </c>
      <c r="E119" s="34" t="str">
        <f t="shared" si="10"/>
        <v>EUR_YCONRH_EONBASIS35Y</v>
      </c>
      <c r="F119" s="33" t="e">
        <f>_xll.qlRateHelperQuoteValue($E119,Trigger)</f>
        <v>#NUM!</v>
      </c>
      <c r="G119" s="33" t="e">
        <f>_xll.qlSwapRateHelperSpread($E119,Trigger)</f>
        <v>#NUM!</v>
      </c>
      <c r="H119" s="26" t="b">
        <f t="shared" si="9"/>
        <v>0</v>
      </c>
      <c r="I119" s="26">
        <v>40</v>
      </c>
      <c r="J119" s="26">
        <v>1</v>
      </c>
      <c r="K119" s="32" t="e">
        <f>_xll.qlRateHelperEarliestDate($E119,Trigger)</f>
        <v>#NUM!</v>
      </c>
      <c r="L119" s="31" t="e">
        <f>_xll.qlRateHelperLatestDate($E119,Trigger)</f>
        <v>#NUM!</v>
      </c>
    </row>
    <row r="120" spans="2:12" x14ac:dyDescent="0.2">
      <c r="B120" s="36" t="str">
        <f t="shared" si="11"/>
        <v/>
      </c>
      <c r="C120" s="35" t="str">
        <f t="shared" si="8"/>
        <v>EONBASIS</v>
      </c>
      <c r="D120" s="177" t="s">
        <v>13</v>
      </c>
      <c r="E120" s="34" t="str">
        <f t="shared" si="10"/>
        <v>EUR_YCONRH_EONBASIS40Y</v>
      </c>
      <c r="F120" s="33" t="e">
        <f>_xll.qlRateHelperQuoteValue($E120,Trigger)</f>
        <v>#NUM!</v>
      </c>
      <c r="G120" s="33" t="e">
        <f>_xll.qlSwapRateHelperSpread($E120,Trigger)</f>
        <v>#NUM!</v>
      </c>
      <c r="H120" s="26" t="b">
        <f t="shared" si="9"/>
        <v>0</v>
      </c>
      <c r="I120" s="26">
        <v>40</v>
      </c>
      <c r="J120" s="26">
        <v>1</v>
      </c>
      <c r="K120" s="32" t="e">
        <f>_xll.qlRateHelperEarliestDate($E120,Trigger)</f>
        <v>#NUM!</v>
      </c>
      <c r="L120" s="31" t="e">
        <f>_xll.qlRateHelperLatestDate($E120,Trigger)</f>
        <v>#NUM!</v>
      </c>
    </row>
    <row r="121" spans="2:12" x14ac:dyDescent="0.2">
      <c r="B121" s="36" t="str">
        <f t="shared" si="11"/>
        <v/>
      </c>
      <c r="C121" s="35" t="str">
        <f t="shared" si="8"/>
        <v>EONBASIS</v>
      </c>
      <c r="D121" s="177" t="s">
        <v>12</v>
      </c>
      <c r="E121" s="34" t="str">
        <f t="shared" si="10"/>
        <v>EUR_YCONRH_EONBASIS50Y</v>
      </c>
      <c r="F121" s="33" t="e">
        <f>_xll.qlRateHelperQuoteValue($E121,Trigger)</f>
        <v>#NUM!</v>
      </c>
      <c r="G121" s="33" t="e">
        <f>_xll.qlSwapRateHelperSpread($E121,Trigger)</f>
        <v>#NUM!</v>
      </c>
      <c r="H121" s="26" t="b">
        <f t="shared" si="9"/>
        <v>0</v>
      </c>
      <c r="I121" s="26">
        <v>40</v>
      </c>
      <c r="J121" s="26">
        <v>1</v>
      </c>
      <c r="K121" s="32" t="e">
        <f>_xll.qlRateHelperEarliestDate($E121,Trigger)</f>
        <v>#NUM!</v>
      </c>
      <c r="L121" s="31" t="e">
        <f>_xll.qlRateHelperLatestDate($E121,Trigger)</f>
        <v>#NUM!</v>
      </c>
    </row>
    <row r="122" spans="2:12" x14ac:dyDescent="0.2">
      <c r="B122" s="30" t="str">
        <f t="shared" si="11"/>
        <v/>
      </c>
      <c r="C122" s="29" t="str">
        <f t="shared" si="8"/>
        <v>EONBASIS</v>
      </c>
      <c r="D122" s="178" t="s">
        <v>11</v>
      </c>
      <c r="E122" s="28" t="str">
        <f t="shared" si="10"/>
        <v>EUR_YCONRH_EONBASIS60Y</v>
      </c>
      <c r="F122" s="27" t="e">
        <f>_xll.qlRateHelperQuoteValue($E122,Trigger)</f>
        <v>#NUM!</v>
      </c>
      <c r="G122" s="27" t="e">
        <f>_xll.qlSwapRateHelperSpread($E122,Trigger)</f>
        <v>#NUM!</v>
      </c>
      <c r="H122" s="25" t="b">
        <f t="shared" si="9"/>
        <v>0</v>
      </c>
      <c r="I122" s="25">
        <v>40</v>
      </c>
      <c r="J122" s="25">
        <v>1</v>
      </c>
      <c r="K122" s="24" t="e">
        <f>_xll.qlRateHelperEarliestDate($E122,Trigger)</f>
        <v>#NUM!</v>
      </c>
      <c r="L122" s="23" t="e">
        <f>_xll.qlRateHelperLatestDate($E122,Trigger)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workbookViewId="0">
      <selection activeCell="F1" sqref="F1"/>
    </sheetView>
  </sheetViews>
  <sheetFormatPr defaultRowHeight="11.25" x14ac:dyDescent="0.2"/>
  <cols>
    <col min="1" max="1" width="36.85546875" style="1" bestFit="1" customWidth="1"/>
    <col min="2" max="2" width="9" style="1" bestFit="1" customWidth="1"/>
    <col min="3" max="3" width="2.7109375" style="1" customWidth="1"/>
    <col min="4" max="4" width="22.42578125" style="2" bestFit="1" customWidth="1"/>
    <col min="5" max="5" width="8" style="2" bestFit="1" customWidth="1"/>
    <col min="6" max="6" width="3" style="2" bestFit="1" customWidth="1"/>
    <col min="7" max="8" width="17.28515625" style="2" bestFit="1" customWidth="1"/>
    <col min="9" max="9" width="9" style="1" bestFit="1" customWidth="1"/>
    <col min="10" max="10" width="8" style="1" bestFit="1" customWidth="1"/>
    <col min="11" max="16384" width="9.140625" style="1"/>
  </cols>
  <sheetData>
    <row r="1" spans="1:9" ht="12" thickBot="1" x14ac:dyDescent="0.25">
      <c r="A1" s="259" t="s">
        <v>10</v>
      </c>
      <c r="B1" s="260"/>
      <c r="D1" s="22" t="s">
        <v>9</v>
      </c>
      <c r="E1" s="21" t="s">
        <v>8</v>
      </c>
      <c r="F1" s="21"/>
      <c r="G1" s="21" t="s">
        <v>7</v>
      </c>
      <c r="H1" s="20" t="s">
        <v>6</v>
      </c>
      <c r="I1" s="3">
        <f t="array" ref="I1:I126">_xll.qlPiecewiseYieldCurveData(YieldCurve)</f>
        <v>1</v>
      </c>
    </row>
    <row r="2" spans="1:9" x14ac:dyDescent="0.2">
      <c r="A2" s="19" t="s">
        <v>5</v>
      </c>
      <c r="B2" s="18">
        <v>8</v>
      </c>
      <c r="C2" s="88"/>
      <c r="D2" s="11" t="str">
        <f t="array" ref="D2:D126">_xll.qlRateHelperSelection(_xll.ohFilter(RateHelpers,RateHelpersIncluded),_xll.ohFilter(RateHelpersPriority,RateHelpersIncluded),nIMMFutures,nSerialFutures,FrontFuturesRollingDays,DepoInclusionCriteria,_xll.ohFilter(MinDistance,RateHelpersIncluded),Trigger)</f>
        <v>EUR_YCONRH_OND</v>
      </c>
      <c r="E2" s="10">
        <f>_xll.qlRateHelperRate($D2)</f>
        <v>5.5000000000000005E-3</v>
      </c>
      <c r="F2" s="10" t="str">
        <f>IF(ISERROR(_xll.qlSwapRateHelperSpread($D2)),IF(ISERROR(_xll.qlFuturesRateHelperConvexityAdjustment($D2)),"--",_xll.qlFuturesRateHelperConvexityAdjustment($D2)),_xll.qlSwapRateHelperSpread($D2))</f>
        <v>--</v>
      </c>
      <c r="G2" s="9">
        <f>_xll.qlRateHelperEarliestDate($D2)</f>
        <v>41788</v>
      </c>
      <c r="H2" s="8">
        <f>_xll.qlRateHelperLatestDate($D2)</f>
        <v>41789</v>
      </c>
      <c r="I2" s="3">
        <v>0.99998472245562908</v>
      </c>
    </row>
    <row r="3" spans="1:9" x14ac:dyDescent="0.2">
      <c r="A3" s="15" t="s">
        <v>4</v>
      </c>
      <c r="B3" s="17">
        <v>1</v>
      </c>
      <c r="C3" s="88"/>
      <c r="D3" s="11" t="str">
        <v>EUR_YCONRH_TND</v>
      </c>
      <c r="E3" s="10">
        <f>_xll.qlRateHelperRate($D3)</f>
        <v>3.2000000000000002E-3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41792</v>
      </c>
      <c r="I3" s="3">
        <v>0.99995805690744477</v>
      </c>
    </row>
    <row r="4" spans="1:9" x14ac:dyDescent="0.2">
      <c r="A4" s="15" t="s">
        <v>3</v>
      </c>
      <c r="B4" s="17">
        <v>2</v>
      </c>
      <c r="C4" s="88"/>
      <c r="D4" s="11" t="str">
        <v>EUR_YCONRH_SND</v>
      </c>
      <c r="E4" s="10">
        <f>_xll.qlRateHelperRate($D4)</f>
        <v>3.2000000000000002E-3</v>
      </c>
      <c r="F4" s="10" t="str">
        <f>IF(ISERROR(_xll.qlSwapRateHelperSpread($D4)),IF(ISERROR(_xll.qlFuturesRateHelperConvexityAdjustment($D4)),"--",_xll.qlFuturesRateHelperConvexityAdjustment($D4)),_xll.qlSwapRateHelperSpread($D4))</f>
        <v>--</v>
      </c>
      <c r="G4" s="9">
        <f>_xll.qlRateHelperEarliestDate($D4)</f>
        <v>41792</v>
      </c>
      <c r="H4" s="8">
        <f>_xll.qlRateHelperLatestDate($D4)</f>
        <v>41793</v>
      </c>
      <c r="I4" s="3">
        <v>0.99994916847039872</v>
      </c>
    </row>
    <row r="5" spans="1:9" x14ac:dyDescent="0.2">
      <c r="A5" s="15" t="s">
        <v>2</v>
      </c>
      <c r="B5" s="16" t="s">
        <v>1</v>
      </c>
      <c r="C5" s="88"/>
      <c r="D5" s="11" t="str">
        <v>EUR_YCONRH_EONSW</v>
      </c>
      <c r="E5" s="10">
        <f>_xll.qlRateHelperRate($D5)</f>
        <v>2.8300000000000005E-3</v>
      </c>
      <c r="F5" s="10" t="str">
        <f>IF(ISERROR(_xll.qlSwapRateHelperSpread($D5)),IF(ISERROR(_xll.qlFuturesRateHelperConvexityAdjustment($D5)),"--",_xll.qlFuturesRateHelperConvexityAdjustment($D5)),_xll.qlSwapRateHelperSpread($D5))</f>
        <v>--</v>
      </c>
      <c r="G5" s="9">
        <f>_xll.qlRateHelperEarliestDate($D5)</f>
        <v>41792</v>
      </c>
      <c r="H5" s="8">
        <f>_xll.qlRateHelperLatestDate($D5)</f>
        <v>41799</v>
      </c>
      <c r="I5" s="3">
        <v>0.99990303446546491</v>
      </c>
    </row>
    <row r="6" spans="1:9" x14ac:dyDescent="0.2">
      <c r="A6" s="15" t="s">
        <v>0</v>
      </c>
      <c r="B6" s="14" t="str">
        <f>_xll.ohRangeRetrieveError(Selected!D2)</f>
        <v/>
      </c>
      <c r="C6" s="88"/>
      <c r="D6" s="11" t="str">
        <v>EUR_YCONRH_EON2W</v>
      </c>
      <c r="E6" s="10">
        <f>_xll.qlRateHelperRate($D6)</f>
        <v>2.4099999999999998E-3</v>
      </c>
      <c r="F6" s="10" t="str">
        <f>IF(ISERROR(_xll.qlSwapRateHelperSpread($D6)),IF(ISERROR(_xll.qlFuturesRateHelperConvexityAdjustment($D6)),"--",_xll.qlFuturesRateHelperConvexityAdjustment($D6)),_xll.qlSwapRateHelperSpread($D6))</f>
        <v>--</v>
      </c>
      <c r="G6" s="9">
        <f>_xll.qlRateHelperEarliestDate($D6)</f>
        <v>41792</v>
      </c>
      <c r="H6" s="8">
        <f>_xll.qlRateHelperLatestDate($D6)</f>
        <v>41806</v>
      </c>
      <c r="I6" s="3">
        <v>0.99986434739888586</v>
      </c>
    </row>
    <row r="7" spans="1:9" ht="12" thickBot="1" x14ac:dyDescent="0.25">
      <c r="A7" s="13" t="str">
        <f>_xll.ohGroup(RateHelperPrefix&amp;"_RateHelpersSelected",_xll.ohPack(Selected!D2:D126),TRUE,,ObjectOverwrite)</f>
        <v>EUR_YCONRH_RateHelpersSelected#0001</v>
      </c>
      <c r="B7" s="12" t="str">
        <f>_xll.ohRangeRetrieveError(RateHelpersSelected)</f>
        <v/>
      </c>
      <c r="C7" s="88"/>
      <c r="D7" s="11" t="str">
        <v>EUR_YCONRH_EON3W</v>
      </c>
      <c r="E7" s="10">
        <f>_xll.qlRateHelperRate($D7)</f>
        <v>1.97E-3</v>
      </c>
      <c r="F7" s="10" t="str">
        <f>IF(ISERROR(_xll.qlSwapRateHelperSpread($D7)),IF(ISERROR(_xll.qlFuturesRateHelperConvexityAdjustment($D7)),"--",_xll.qlFuturesRateHelperConvexityAdjustment($D7)),_xll.qlSwapRateHelperSpread($D7))</f>
        <v>--</v>
      </c>
      <c r="G7" s="9">
        <f>_xll.qlRateHelperEarliestDate($D7)</f>
        <v>41792</v>
      </c>
      <c r="H7" s="8">
        <f>_xll.qlRateHelperLatestDate($D7)</f>
        <v>41813</v>
      </c>
      <c r="I7" s="3">
        <v>0.99984315826450765</v>
      </c>
    </row>
    <row r="8" spans="1:9" x14ac:dyDescent="0.2">
      <c r="C8" s="88"/>
      <c r="D8" s="11" t="str">
        <v>EUR_YCONRH_EON1M</v>
      </c>
      <c r="E8" s="10">
        <f>_xll.qlRateHelperRate($D8)</f>
        <v>1.6599999999999998E-3</v>
      </c>
      <c r="F8" s="10" t="str">
        <f>IF(ISERROR(_xll.qlSwapRateHelperSpread($D8)),IF(ISERROR(_xll.qlFuturesRateHelperConvexityAdjustment($D8)),"--",_xll.qlFuturesRateHelperConvexityAdjustment($D8)),_xll.qlSwapRateHelperSpread($D8))</f>
        <v>--</v>
      </c>
      <c r="G8" s="9">
        <f>_xll.qlRateHelperEarliestDate($D8)</f>
        <v>41792</v>
      </c>
      <c r="H8" s="8">
        <f>_xll.qlRateHelperLatestDate($D8)</f>
        <v>41822</v>
      </c>
      <c r="I8" s="3">
        <v>0.9998197485089011</v>
      </c>
    </row>
    <row r="9" spans="1:9" x14ac:dyDescent="0.2">
      <c r="C9" s="88"/>
      <c r="D9" s="11" t="str">
        <v>EUR_YCONRH_EON2M</v>
      </c>
      <c r="E9" s="10">
        <f>_xll.qlRateHelperRate($D9)</f>
        <v>1.33E-3</v>
      </c>
      <c r="F9" s="10" t="str">
        <f>IF(ISERROR(_xll.qlSwapRateHelperSpread($D9)),IF(ISERROR(_xll.qlFuturesRateHelperConvexityAdjustment($D9)),"--",_xll.qlFuturesRateHelperConvexityAdjustment($D9)),_xll.qlSwapRateHelperSpread($D9))</f>
        <v>--</v>
      </c>
      <c r="G9" s="9">
        <f>_xll.qlRateHelperEarliestDate($D9)</f>
        <v>41792</v>
      </c>
      <c r="H9" s="8">
        <f>_xll.qlRateHelperLatestDate($D9)</f>
        <v>41855</v>
      </c>
      <c r="I9" s="3">
        <v>0.99972537082738466</v>
      </c>
    </row>
    <row r="10" spans="1:9" x14ac:dyDescent="0.2">
      <c r="C10" s="88"/>
      <c r="D10" s="11" t="str">
        <v>EUR_YCONRH_EON3M</v>
      </c>
      <c r="E10" s="10">
        <f>_xll.qlRateHelperRate($D10)</f>
        <v>1.14E-3</v>
      </c>
      <c r="F10" s="10" t="str">
        <f>IF(ISERROR(_xll.qlSwapRateHelperSpread($D10)),IF(ISERROR(_xll.qlFuturesRateHelperConvexityAdjustment($D10)),"--",_xll.qlFuturesRateHelperConvexityAdjustment($D10)),_xll.qlSwapRateHelperSpread($D10))</f>
        <v>--</v>
      </c>
      <c r="G10" s="9">
        <f>_xll.qlRateHelperEarliestDate($D10)</f>
        <v>41792</v>
      </c>
      <c r="H10" s="8">
        <f>_xll.qlRateHelperLatestDate($D10)</f>
        <v>41884</v>
      </c>
      <c r="I10" s="3">
        <v>0.99966682064036494</v>
      </c>
    </row>
    <row r="11" spans="1:9" x14ac:dyDescent="0.2">
      <c r="C11" s="88"/>
      <c r="D11" s="11" t="str">
        <v>EUR_YCONRH_EON4M</v>
      </c>
      <c r="E11" s="10">
        <f>_xll.qlRateHelperRate($D11)</f>
        <v>1.0300000000000001E-3</v>
      </c>
      <c r="F11" s="10" t="str">
        <f>IF(ISERROR(_xll.qlSwapRateHelperSpread($D11)),IF(ISERROR(_xll.qlFuturesRateHelperConvexityAdjustment($D11)),"--",_xll.qlFuturesRateHelperConvexityAdjustment($D11)),_xll.qlSwapRateHelperSpread($D11))</f>
        <v>--</v>
      </c>
      <c r="G11" s="9">
        <f>_xll.qlRateHelperEarliestDate($D11)</f>
        <v>41792</v>
      </c>
      <c r="H11" s="8">
        <f>_xll.qlRateHelperLatestDate($D11)</f>
        <v>41914</v>
      </c>
      <c r="I11" s="3">
        <v>0.9996091377845171</v>
      </c>
    </row>
    <row r="12" spans="1:9" x14ac:dyDescent="0.2">
      <c r="C12" s="88"/>
      <c r="D12" s="11" t="str">
        <v>EUR_YCONRH_EON5M</v>
      </c>
      <c r="E12" s="10">
        <f>_xll.qlRateHelperRate($D12)</f>
        <v>9.3999999999999997E-4</v>
      </c>
      <c r="F12" s="10" t="str">
        <f>IF(ISERROR(_xll.qlSwapRateHelperSpread($D12)),IF(ISERROR(_xll.qlFuturesRateHelperConvexityAdjustment($D12)),"--",_xll.qlFuturesRateHelperConvexityAdjustment($D12)),_xll.qlSwapRateHelperSpread($D12))</f>
        <v>--</v>
      </c>
      <c r="G12" s="9">
        <f>_xll.qlRateHelperEarliestDate($D12)</f>
        <v>41792</v>
      </c>
      <c r="H12" s="8">
        <f>_xll.qlRateHelperLatestDate($D12)</f>
        <v>41946</v>
      </c>
      <c r="I12" s="3">
        <v>0.99955612428369101</v>
      </c>
    </row>
    <row r="13" spans="1:9" x14ac:dyDescent="0.2">
      <c r="C13" s="88"/>
      <c r="D13" s="11" t="str">
        <v>EUR_YCONRH_EON6M</v>
      </c>
      <c r="E13" s="10">
        <f>_xll.qlRateHelperRate($D13)</f>
        <v>8.5999999999999998E-4</v>
      </c>
      <c r="F13" s="10" t="str">
        <f>IF(ISERROR(_xll.qlSwapRateHelperSpread($D13)),IF(ISERROR(_xll.qlFuturesRateHelperConvexityAdjustment($D13)),"--",_xll.qlFuturesRateHelperConvexityAdjustment($D13)),_xll.qlSwapRateHelperSpread($D13))</f>
        <v>--</v>
      </c>
      <c r="G13" s="9">
        <f>_xll.qlRateHelperEarliestDate($D13)</f>
        <v>41792</v>
      </c>
      <c r="H13" s="8">
        <f>_xll.qlRateHelperLatestDate($D13)</f>
        <v>41975</v>
      </c>
      <c r="I13" s="3">
        <v>0.99952109960006952</v>
      </c>
    </row>
    <row r="14" spans="1:9" x14ac:dyDescent="0.2">
      <c r="C14" s="88"/>
      <c r="D14" s="11" t="str">
        <v>EUR_YCONRH_EON7M</v>
      </c>
      <c r="E14" s="10">
        <f>_xll.qlRateHelperRate($D14)</f>
        <v>7.9000000000000001E-4</v>
      </c>
      <c r="F14" s="10" t="str">
        <f>IF(ISERROR(_xll.qlSwapRateHelperSpread($D14)),IF(ISERROR(_xll.qlFuturesRateHelperConvexityAdjustment($D14)),"--",_xll.qlFuturesRateHelperConvexityAdjustment($D14)),_xll.qlSwapRateHelperSpread($D14))</f>
        <v>--</v>
      </c>
      <c r="G14" s="9">
        <f>_xll.qlRateHelperEarliestDate($D14)</f>
        <v>41792</v>
      </c>
      <c r="H14" s="8">
        <f>_xll.qlRateHelperLatestDate($D14)</f>
        <v>42006</v>
      </c>
      <c r="I14" s="3">
        <v>0.99948868591510909</v>
      </c>
    </row>
    <row r="15" spans="1:9" x14ac:dyDescent="0.2">
      <c r="C15" s="88"/>
      <c r="D15" s="11" t="str">
        <v>EUR_YCONRH_EON8M</v>
      </c>
      <c r="E15" s="10">
        <f>_xll.qlRateHelperRate($D15)</f>
        <v>7.400000000000001E-4</v>
      </c>
      <c r="F15" s="10" t="str">
        <f>IF(ISERROR(_xll.qlSwapRateHelperSpread($D15)),IF(ISERROR(_xll.qlFuturesRateHelperConvexityAdjustment($D15)),"--",_xll.qlFuturesRateHelperConvexityAdjustment($D15)),_xll.qlSwapRateHelperSpread($D15))</f>
        <v>--</v>
      </c>
      <c r="G15" s="9">
        <f>_xll.qlRateHelperEarliestDate($D15)</f>
        <v>41792</v>
      </c>
      <c r="H15" s="8">
        <f>_xll.qlRateHelperLatestDate($D15)</f>
        <v>42037</v>
      </c>
      <c r="I15" s="3">
        <v>0.99945472040519612</v>
      </c>
    </row>
    <row r="16" spans="1:9" x14ac:dyDescent="0.2">
      <c r="C16" s="88"/>
      <c r="D16" s="11" t="str">
        <v>EUR_YCONRH_EON9M</v>
      </c>
      <c r="E16" s="10">
        <f>_xll.qlRateHelperRate($D16)</f>
        <v>7.3000000000000007E-4</v>
      </c>
      <c r="F16" s="10" t="str">
        <f>IF(ISERROR(_xll.qlSwapRateHelperSpread($D16)),IF(ISERROR(_xll.qlFuturesRateHelperConvexityAdjustment($D16)),"--",_xll.qlFuturesRateHelperConvexityAdjustment($D16)),_xll.qlSwapRateHelperSpread($D16))</f>
        <v>--</v>
      </c>
      <c r="G16" s="9">
        <f>_xll.qlRateHelperEarliestDate($D16)</f>
        <v>41792</v>
      </c>
      <c r="H16" s="8">
        <f>_xll.qlRateHelperLatestDate($D16)</f>
        <v>42065</v>
      </c>
      <c r="I16" s="3">
        <v>0.99940480306521451</v>
      </c>
    </row>
    <row r="17" spans="3:9" x14ac:dyDescent="0.2">
      <c r="C17" s="88"/>
      <c r="D17" s="11" t="str">
        <v>EUR_YCONRH_EON10M</v>
      </c>
      <c r="E17" s="10">
        <f>_xll.qlRateHelperRate($D17)</f>
        <v>6.9000000000000008E-4</v>
      </c>
      <c r="F17" s="10" t="str">
        <f>IF(ISERROR(_xll.qlSwapRateHelperSpread($D17)),IF(ISERROR(_xll.qlFuturesRateHelperConvexityAdjustment($D17)),"--",_xll.qlFuturesRateHelperConvexityAdjustment($D17)),_xll.qlSwapRateHelperSpread($D17))</f>
        <v>--</v>
      </c>
      <c r="G17" s="9">
        <f>_xll.qlRateHelperEarliestDate($D17)</f>
        <v>41792</v>
      </c>
      <c r="H17" s="8">
        <f>_xll.qlRateHelperLatestDate($D17)</f>
        <v>42096</v>
      </c>
      <c r="I17" s="3">
        <v>0.99937575396813261</v>
      </c>
    </row>
    <row r="18" spans="3:9" x14ac:dyDescent="0.2">
      <c r="C18" s="88"/>
      <c r="D18" s="11" t="str">
        <v>EUR_YCONRH_EON11M</v>
      </c>
      <c r="E18" s="10">
        <f>_xll.qlRateHelperRate($D18)</f>
        <v>6.6E-4</v>
      </c>
      <c r="F18" s="10" t="str">
        <f>IF(ISERROR(_xll.qlSwapRateHelperSpread($D18)),IF(ISERROR(_xll.qlFuturesRateHelperConvexityAdjustment($D18)),"--",_xll.qlFuturesRateHelperConvexityAdjustment($D18)),_xll.qlSwapRateHelperSpread($D18))</f>
        <v>--</v>
      </c>
      <c r="G18" s="9">
        <f>_xll.qlRateHelperEarliestDate($D18)</f>
        <v>41792</v>
      </c>
      <c r="H18" s="8">
        <f>_xll.qlRateHelperLatestDate($D18)</f>
        <v>42128</v>
      </c>
      <c r="I18" s="3">
        <v>0.99934246195088294</v>
      </c>
    </row>
    <row r="19" spans="3:9" x14ac:dyDescent="0.2">
      <c r="C19" s="88"/>
      <c r="D19" s="11" t="str">
        <v>EUR_YCONRH_EON1Y</v>
      </c>
      <c r="E19" s="10">
        <f>_xll.qlRateHelperRate($D19)</f>
        <v>6.4000000000000005E-4</v>
      </c>
      <c r="F19" s="10" t="str">
        <f>IF(ISERROR(_xll.qlSwapRateHelperSpread($D19)),IF(ISERROR(_xll.qlFuturesRateHelperConvexityAdjustment($D19)),"--",_xll.qlFuturesRateHelperConvexityAdjustment($D19)),_xll.qlSwapRateHelperSpread($D19))</f>
        <v>--</v>
      </c>
      <c r="G19" s="9">
        <f>_xll.qlRateHelperEarliestDate($D19)</f>
        <v>41792</v>
      </c>
      <c r="H19" s="8">
        <f>_xll.qlRateHelperLatestDate($D19)</f>
        <v>42157</v>
      </c>
      <c r="I19" s="3">
        <v>0.99930961600106194</v>
      </c>
    </row>
    <row r="20" spans="3:9" x14ac:dyDescent="0.2">
      <c r="C20" s="88"/>
      <c r="D20" s="11" t="str">
        <v>EUR_YCONRH_EON15M</v>
      </c>
      <c r="E20" s="10">
        <f>_xll.qlRateHelperRate($D20)</f>
        <v>5.9000000000000003E-4</v>
      </c>
      <c r="F20" s="10" t="str">
        <f>IF(ISERROR(_xll.qlSwapRateHelperSpread($D20)),IF(ISERROR(_xll.qlFuturesRateHelperConvexityAdjustment($D20)),"--",_xll.qlFuturesRateHelperConvexityAdjustment($D20)),_xll.qlSwapRateHelperSpread($D20))</f>
        <v>--</v>
      </c>
      <c r="G20" s="9">
        <f>_xll.qlRateHelperEarliestDate($D20)</f>
        <v>41792</v>
      </c>
      <c r="H20" s="8">
        <f>_xll.qlRateHelperLatestDate($D20)</f>
        <v>42249</v>
      </c>
      <c r="I20" s="3">
        <v>0.99920961684131149</v>
      </c>
    </row>
    <row r="21" spans="3:9" x14ac:dyDescent="0.2">
      <c r="C21" s="88"/>
      <c r="D21" s="11" t="str">
        <v>EUR_YCONRH_EON18M</v>
      </c>
      <c r="E21" s="10">
        <f>_xll.qlRateHelperRate($D21)</f>
        <v>5.9000000000000003E-4</v>
      </c>
      <c r="F21" s="10" t="str">
        <f>IF(ISERROR(_xll.qlSwapRateHelperSpread($D21)),IF(ISERROR(_xll.qlFuturesRateHelperConvexityAdjustment($D21)),"--",_xll.qlFuturesRateHelperConvexityAdjustment($D21)),_xll.qlSwapRateHelperSpread($D21))</f>
        <v>--</v>
      </c>
      <c r="G21" s="9">
        <f>_xll.qlRateHelperEarliestDate($D21)</f>
        <v>41792</v>
      </c>
      <c r="H21" s="8">
        <f>_xll.qlRateHelperLatestDate($D21)</f>
        <v>42340</v>
      </c>
      <c r="I21" s="3">
        <v>0.99906064050977339</v>
      </c>
    </row>
    <row r="22" spans="3:9" x14ac:dyDescent="0.2">
      <c r="C22" s="88"/>
      <c r="D22" s="11" t="str">
        <v>EUR_YCONRH_EON21M</v>
      </c>
      <c r="E22" s="10">
        <f>_xll.qlRateHelperRate($D22)</f>
        <v>6.4000000000000005E-4</v>
      </c>
      <c r="F22" s="10" t="str">
        <f>IF(ISERROR(_xll.qlSwapRateHelperSpread($D22)),IF(ISERROR(_xll.qlFuturesRateHelperConvexityAdjustment($D22)),"--",_xll.qlFuturesRateHelperConvexityAdjustment($D22)),_xll.qlSwapRateHelperSpread($D22))</f>
        <v>--</v>
      </c>
      <c r="G22" s="9">
        <f>_xll.qlRateHelperEarliestDate($D22)</f>
        <v>41792</v>
      </c>
      <c r="H22" s="8">
        <f>_xll.qlRateHelperLatestDate($D22)</f>
        <v>42431</v>
      </c>
      <c r="I22" s="3">
        <v>0.99882307818164529</v>
      </c>
    </row>
    <row r="23" spans="3:9" x14ac:dyDescent="0.2">
      <c r="C23" s="88"/>
      <c r="D23" s="11" t="str">
        <v>EUR_YCONRH_EON2Y</v>
      </c>
      <c r="E23" s="10">
        <f>_xll.qlRateHelperRate($D23)</f>
        <v>7.1999999999999994E-4</v>
      </c>
      <c r="F23" s="10" t="str">
        <f>IF(ISERROR(_xll.qlSwapRateHelperSpread($D23)),IF(ISERROR(_xll.qlFuturesRateHelperConvexityAdjustment($D23)),"--",_xll.qlFuturesRateHelperConvexityAdjustment($D23)),_xll.qlSwapRateHelperSpread($D23))</f>
        <v>--</v>
      </c>
      <c r="G23" s="9">
        <f>_xll.qlRateHelperEarliestDate($D23)</f>
        <v>41792</v>
      </c>
      <c r="H23" s="8">
        <f>_xll.qlRateHelperLatestDate($D23)</f>
        <v>42523</v>
      </c>
      <c r="I23" s="3">
        <v>0.99849766060020595</v>
      </c>
    </row>
    <row r="24" spans="3:9" x14ac:dyDescent="0.2">
      <c r="C24" s="88"/>
      <c r="D24" s="11" t="str">
        <v>EUR_YCONRH_EON3Y</v>
      </c>
      <c r="E24" s="10">
        <f>_xll.qlRateHelperRate($D24)</f>
        <v>1.5100000000000001E-3</v>
      </c>
      <c r="F24" s="10" t="str">
        <f>IF(ISERROR(_xll.qlSwapRateHelperSpread($D24)),IF(ISERROR(_xll.qlFuturesRateHelperConvexityAdjustment($D24)),"--",_xll.qlFuturesRateHelperConvexityAdjustment($D24)),_xll.qlSwapRateHelperSpread($D24))</f>
        <v>--</v>
      </c>
      <c r="G24" s="9">
        <f>_xll.qlRateHelperEarliestDate($D24)</f>
        <v>41792</v>
      </c>
      <c r="H24" s="8">
        <f>_xll.qlRateHelperLatestDate($D24)</f>
        <v>42888</v>
      </c>
      <c r="I24" s="3">
        <v>0.99537139536155639</v>
      </c>
    </row>
    <row r="25" spans="3:9" x14ac:dyDescent="0.2">
      <c r="C25" s="88"/>
      <c r="D25" s="11" t="str">
        <v>EUR_YCONRH_EON4Y</v>
      </c>
      <c r="E25" s="10">
        <f>_xll.qlRateHelperRate($D25)</f>
        <v>2.8800000000000002E-3</v>
      </c>
      <c r="F25" s="10" t="str">
        <f>IF(ISERROR(_xll.qlSwapRateHelperSpread($D25)),IF(ISERROR(_xll.qlFuturesRateHelperConvexityAdjustment($D25)),"--",_xll.qlFuturesRateHelperConvexityAdjustment($D25)),_xll.qlSwapRateHelperSpread($D25))</f>
        <v>--</v>
      </c>
      <c r="G25" s="9">
        <f>_xll.qlRateHelperEarliestDate($D25)</f>
        <v>41792</v>
      </c>
      <c r="H25" s="8">
        <f>_xll.qlRateHelperLatestDate($D25)</f>
        <v>43255</v>
      </c>
      <c r="I25" s="3">
        <v>0.98830831399414165</v>
      </c>
    </row>
    <row r="26" spans="3:9" x14ac:dyDescent="0.2">
      <c r="C26" s="88"/>
      <c r="D26" s="11" t="str">
        <v>EUR_YCONRH_EON5Y</v>
      </c>
      <c r="E26" s="10">
        <f>_xll.qlRateHelperRate($D26)</f>
        <v>4.5299999999999993E-3</v>
      </c>
      <c r="F26" s="10" t="str">
        <f>IF(ISERROR(_xll.qlSwapRateHelperSpread($D26)),IF(ISERROR(_xll.qlFuturesRateHelperConvexityAdjustment($D26)),"--",_xll.qlFuturesRateHelperConvexityAdjustment($D26)),_xll.qlSwapRateHelperSpread($D26))</f>
        <v>--</v>
      </c>
      <c r="G26" s="9">
        <f>_xll.qlRateHelperEarliestDate($D26)</f>
        <v>41792</v>
      </c>
      <c r="H26" s="8">
        <f>_xll.qlRateHelperLatestDate($D26)</f>
        <v>43619</v>
      </c>
      <c r="I26" s="3">
        <v>0.97715827151377155</v>
      </c>
    </row>
    <row r="27" spans="3:9" x14ac:dyDescent="0.2">
      <c r="C27" s="88"/>
      <c r="D27" s="11" t="str">
        <v>EUR_YCONRH_EON6Y</v>
      </c>
      <c r="E27" s="10">
        <f>_xll.qlRateHelperRate($D27)</f>
        <v>6.3200000000000001E-3</v>
      </c>
      <c r="F27" s="10" t="str">
        <f>IF(ISERROR(_xll.qlSwapRateHelperSpread($D27)),IF(ISERROR(_xll.qlFuturesRateHelperConvexityAdjustment($D27)),"--",_xll.qlFuturesRateHelperConvexityAdjustment($D27)),_xll.qlSwapRateHelperSpread($D27))</f>
        <v>--</v>
      </c>
      <c r="G27" s="9">
        <f>_xll.qlRateHelperEarliestDate($D27)</f>
        <v>41792</v>
      </c>
      <c r="H27" s="8">
        <f>_xll.qlRateHelperLatestDate($D27)</f>
        <v>43984</v>
      </c>
      <c r="I27" s="3">
        <v>0.96198489933039799</v>
      </c>
    </row>
    <row r="28" spans="3:9" x14ac:dyDescent="0.2">
      <c r="C28" s="88"/>
      <c r="D28" s="11" t="str">
        <v>EUR_YCONRH_EON7Y</v>
      </c>
      <c r="E28" s="10">
        <f>_xll.qlRateHelperRate($D28)</f>
        <v>8.09E-3</v>
      </c>
      <c r="F28" s="10" t="str">
        <f>IF(ISERROR(_xll.qlSwapRateHelperSpread($D28)),IF(ISERROR(_xll.qlFuturesRateHelperConvexityAdjustment($D28)),"--",_xll.qlFuturesRateHelperConvexityAdjustment($D28)),_xll.qlSwapRateHelperSpread($D28))</f>
        <v>--</v>
      </c>
      <c r="G28" s="9">
        <f>_xll.qlRateHelperEarliestDate($D28)</f>
        <v>41792</v>
      </c>
      <c r="H28" s="8">
        <f>_xll.qlRateHelperLatestDate($D28)</f>
        <v>44349</v>
      </c>
      <c r="I28" s="3">
        <v>0.94361018039668709</v>
      </c>
    </row>
    <row r="29" spans="3:9" x14ac:dyDescent="0.2">
      <c r="C29" s="88"/>
      <c r="D29" s="11" t="str">
        <v>EUR_YCONRH_EON8Y</v>
      </c>
      <c r="E29" s="10">
        <f>_xll.qlRateHelperRate($D29)</f>
        <v>9.7999999999999997E-3</v>
      </c>
      <c r="F29" s="10" t="str">
        <f>IF(ISERROR(_xll.qlSwapRateHelperSpread($D29)),IF(ISERROR(_xll.qlFuturesRateHelperConvexityAdjustment($D29)),"--",_xll.qlFuturesRateHelperConvexityAdjustment($D29)),_xll.qlSwapRateHelperSpread($D29))</f>
        <v>--</v>
      </c>
      <c r="G29" s="9">
        <f>_xll.qlRateHelperEarliestDate($D29)</f>
        <v>41792</v>
      </c>
      <c r="H29" s="8">
        <f>_xll.qlRateHelperLatestDate($D29)</f>
        <v>44714</v>
      </c>
      <c r="I29" s="3">
        <v>0.92253341886740947</v>
      </c>
    </row>
    <row r="30" spans="3:9" x14ac:dyDescent="0.2">
      <c r="C30" s="88"/>
      <c r="D30" s="11" t="str">
        <v>EUR_YCONRH_EON9Y</v>
      </c>
      <c r="E30" s="10">
        <f>_xll.qlRateHelperRate($D30)</f>
        <v>1.1350000000000001E-2</v>
      </c>
      <c r="F30" s="10" t="str">
        <f>IF(ISERROR(_xll.qlSwapRateHelperSpread($D30)),IF(ISERROR(_xll.qlFuturesRateHelperConvexityAdjustment($D30)),"--",_xll.qlFuturesRateHelperConvexityAdjustment($D30)),_xll.qlSwapRateHelperSpread($D30))</f>
        <v>--</v>
      </c>
      <c r="G30" s="9">
        <f>_xll.qlRateHelperEarliestDate($D30)</f>
        <v>41792</v>
      </c>
      <c r="H30" s="8">
        <f>_xll.qlRateHelperLatestDate($D30)</f>
        <v>45079</v>
      </c>
      <c r="I30" s="3">
        <v>0.89993159745167817</v>
      </c>
    </row>
    <row r="31" spans="3:9" x14ac:dyDescent="0.2">
      <c r="C31" s="88"/>
      <c r="D31" s="11" t="str">
        <v>EUR_YCONRH_EON10Y</v>
      </c>
      <c r="E31" s="10">
        <f>_xll.qlRateHelperRate($D31)</f>
        <v>1.2730000000000002E-2</v>
      </c>
      <c r="F31" s="10" t="str">
        <f>IF(ISERROR(_xll.qlSwapRateHelperSpread($D31)),IF(ISERROR(_xll.qlFuturesRateHelperConvexityAdjustment($D31)),"--",_xll.qlFuturesRateHelperConvexityAdjustment($D31)),_xll.qlSwapRateHelperSpread($D31))</f>
        <v>--</v>
      </c>
      <c r="G31" s="9">
        <f>_xll.qlRateHelperEarliestDate($D31)</f>
        <v>41792</v>
      </c>
      <c r="H31" s="8">
        <f>_xll.qlRateHelperLatestDate($D31)</f>
        <v>45446</v>
      </c>
      <c r="I31" s="3">
        <v>0.87639633229972136</v>
      </c>
    </row>
    <row r="32" spans="3:9" x14ac:dyDescent="0.2">
      <c r="C32" s="88"/>
      <c r="D32" s="11" t="str">
        <v>EUR_YCONRH_EON11Y</v>
      </c>
      <c r="E32" s="10">
        <f>_xll.qlRateHelperRate($D32)</f>
        <v>1.3980000000000001E-2</v>
      </c>
      <c r="F32" s="10" t="str">
        <f>IF(ISERROR(_xll.qlSwapRateHelperSpread($D32)),IF(ISERROR(_xll.qlFuturesRateHelperConvexityAdjustment($D32)),"--",_xll.qlFuturesRateHelperConvexityAdjustment($D32)),_xll.qlSwapRateHelperSpread($D32))</f>
        <v>--</v>
      </c>
      <c r="G32" s="9">
        <f>_xll.qlRateHelperEarliestDate($D32)</f>
        <v>41792</v>
      </c>
      <c r="H32" s="8">
        <f>_xll.qlRateHelperLatestDate($D32)</f>
        <v>45810</v>
      </c>
      <c r="I32" s="3">
        <v>0.85221703384288028</v>
      </c>
    </row>
    <row r="33" spans="3:9" x14ac:dyDescent="0.2">
      <c r="C33" s="88"/>
      <c r="D33" s="11" t="str">
        <v>EUR_YCONRH_EON12Y</v>
      </c>
      <c r="E33" s="10">
        <f>_xll.qlRateHelperRate($D33)</f>
        <v>1.5089999999999999E-2</v>
      </c>
      <c r="F33" s="10" t="str">
        <f>IF(ISERROR(_xll.qlSwapRateHelperSpread($D33)),IF(ISERROR(_xll.qlFuturesRateHelperConvexityAdjustment($D33)),"--",_xll.qlFuturesRateHelperConvexityAdjustment($D33)),_xll.qlSwapRateHelperSpread($D33))</f>
        <v>--</v>
      </c>
      <c r="G33" s="9">
        <f>_xll.qlRateHelperEarliestDate($D33)</f>
        <v>41792</v>
      </c>
      <c r="H33" s="8">
        <f>_xll.qlRateHelperLatestDate($D33)</f>
        <v>46175</v>
      </c>
      <c r="I33" s="3">
        <v>0.82782120393320624</v>
      </c>
    </row>
    <row r="34" spans="3:9" x14ac:dyDescent="0.2">
      <c r="C34" s="88"/>
      <c r="D34" s="11" t="str">
        <v>EUR_YCONRH_EON15Y</v>
      </c>
      <c r="E34" s="10">
        <f>_xll.qlRateHelperRate($D34)</f>
        <v>1.7639999999999999E-2</v>
      </c>
      <c r="F34" s="10" t="str">
        <f>IF(ISERROR(_xll.qlSwapRateHelperSpread($D34)),IF(ISERROR(_xll.qlFuturesRateHelperConvexityAdjustment($D34)),"--",_xll.qlFuturesRateHelperConvexityAdjustment($D34)),_xll.qlSwapRateHelperSpread($D34))</f>
        <v>--</v>
      </c>
      <c r="G34" s="9">
        <f>_xll.qlRateHelperEarliestDate($D34)</f>
        <v>41792</v>
      </c>
      <c r="H34" s="8">
        <f>_xll.qlRateHelperLatestDate($D34)</f>
        <v>47273</v>
      </c>
      <c r="I34" s="3">
        <v>0.75676697353364886</v>
      </c>
    </row>
    <row r="35" spans="3:9" x14ac:dyDescent="0.2">
      <c r="C35" s="88"/>
      <c r="D35" s="11" t="str">
        <v>EUR_YCONRH_EON20Y</v>
      </c>
      <c r="E35" s="10">
        <f>_xll.qlRateHelperRate($D35)</f>
        <v>1.976E-2</v>
      </c>
      <c r="F35" s="10" t="str">
        <f>IF(ISERROR(_xll.qlSwapRateHelperSpread($D35)),IF(ISERROR(_xll.qlFuturesRateHelperConvexityAdjustment($D35)),"--",_xll.qlFuturesRateHelperConvexityAdjustment($D35)),_xll.qlSwapRateHelperSpread($D35))</f>
        <v>--</v>
      </c>
      <c r="G35" s="9">
        <f>_xll.qlRateHelperEarliestDate($D35)</f>
        <v>41792</v>
      </c>
      <c r="H35" s="8">
        <f>_xll.qlRateHelperLatestDate($D35)</f>
        <v>49097</v>
      </c>
      <c r="I35" s="3">
        <v>0.6579043847365893</v>
      </c>
    </row>
    <row r="36" spans="3:9" x14ac:dyDescent="0.2">
      <c r="C36" s="88"/>
      <c r="D36" s="11" t="str">
        <v>EUR_YCONRH_EON25Y</v>
      </c>
      <c r="E36" s="10">
        <f>_xll.qlRateHelperRate($D36)</f>
        <v>2.061E-2</v>
      </c>
      <c r="F36" s="10" t="str">
        <f>IF(ISERROR(_xll.qlSwapRateHelperSpread($D36)),IF(ISERROR(_xll.qlFuturesRateHelperConvexityAdjustment($D36)),"--",_xll.qlFuturesRateHelperConvexityAdjustment($D36)),_xll.qlSwapRateHelperSpread($D36))</f>
        <v>--</v>
      </c>
      <c r="G36" s="9">
        <f>_xll.qlRateHelperEarliestDate($D36)</f>
        <v>41792</v>
      </c>
      <c r="H36" s="8">
        <f>_xll.qlRateHelperLatestDate($D36)</f>
        <v>50923</v>
      </c>
      <c r="I36" s="3">
        <v>0.57948743655420087</v>
      </c>
    </row>
    <row r="37" spans="3:9" x14ac:dyDescent="0.2">
      <c r="C37" s="88"/>
      <c r="D37" s="11" t="str">
        <v>EUR_YCONRH_EON30Y</v>
      </c>
      <c r="E37" s="10">
        <f>_xll.qlRateHelperRate($D37)</f>
        <v>2.0899999999999998E-2</v>
      </c>
      <c r="F37" s="10" t="str">
        <f>IF(ISERROR(_xll.qlSwapRateHelperSpread($D37)),IF(ISERROR(_xll.qlFuturesRateHelperConvexityAdjustment($D37)),"--",_xll.qlFuturesRateHelperConvexityAdjustment($D37)),_xll.qlSwapRateHelperSpread($D37))</f>
        <v>--</v>
      </c>
      <c r="G37" s="9">
        <f>_xll.qlRateHelperEarliestDate($D37)</f>
        <v>41792</v>
      </c>
      <c r="H37" s="8">
        <f>_xll.qlRateHelperLatestDate($D37)</f>
        <v>52750</v>
      </c>
      <c r="I37" s="3">
        <v>0.51621460802905361</v>
      </c>
    </row>
    <row r="38" spans="3:9" x14ac:dyDescent="0.2">
      <c r="D38" s="11" t="str">
        <v>EUR_YCONRH_EON40Y</v>
      </c>
      <c r="E38" s="10">
        <f>_xll.qlRateHelperRate($D38)</f>
        <v>2.1349999999999997E-2</v>
      </c>
      <c r="F38" s="10" t="str">
        <f>IF(ISERROR(_xll.qlSwapRateHelperSpread($D38)),IF(ISERROR(_xll.qlFuturesRateHelperConvexityAdjustment($D38)),"--",_xll.qlFuturesRateHelperConvexityAdjustment($D38)),_xll.qlSwapRateHelperSpread($D38))</f>
        <v>--</v>
      </c>
      <c r="G38" s="9">
        <f>_xll.qlRateHelperEarliestDate($D38)</f>
        <v>41792</v>
      </c>
      <c r="H38" s="8">
        <f>_xll.qlRateHelperLatestDate($D38)</f>
        <v>56402</v>
      </c>
      <c r="I38" s="3">
        <v>0.40740002511291201</v>
      </c>
    </row>
    <row r="39" spans="3:9" x14ac:dyDescent="0.2">
      <c r="D39" s="11" t="str">
        <v>EUR_YCONRH_EON50Y</v>
      </c>
      <c r="E39" s="10">
        <f>_xll.qlRateHelperRate($D39)</f>
        <v>2.1520000000000001E-2</v>
      </c>
      <c r="F39" s="10" t="str">
        <f>IF(ISERROR(_xll.qlSwapRateHelperSpread($D39)),IF(ISERROR(_xll.qlFuturesRateHelperConvexityAdjustment($D39)),"--",_xll.qlFuturesRateHelperConvexityAdjustment($D39)),_xll.qlSwapRateHelperSpread($D39))</f>
        <v>--</v>
      </c>
      <c r="G39" s="9">
        <f>_xll.qlRateHelperEarliestDate($D39)</f>
        <v>41792</v>
      </c>
      <c r="H39" s="8">
        <f>_xll.qlRateHelperLatestDate($D39)</f>
        <v>60055</v>
      </c>
      <c r="I39" s="3">
        <v>0.32406198168757444</v>
      </c>
    </row>
    <row r="40" spans="3:9" x14ac:dyDescent="0.2">
      <c r="D40" s="11" t="str">
        <v>EUR_YCONRH_EON60Y</v>
      </c>
      <c r="E40" s="10">
        <f>_xll.qlRateHelperRate($D40)</f>
        <v>2.1760000000000002E-2</v>
      </c>
      <c r="F40" s="10" t="str">
        <f>IF(ISERROR(_xll.qlSwapRateHelperSpread($D40)),IF(ISERROR(_xll.qlFuturesRateHelperConvexityAdjustment($D40)),"--",_xll.qlFuturesRateHelperConvexityAdjustment($D40)),_xll.qlSwapRateHelperSpread($D40))</f>
        <v>--</v>
      </c>
      <c r="G40" s="9">
        <f>_xll.qlRateHelperEarliestDate($D40)</f>
        <v>41792</v>
      </c>
      <c r="H40" s="8">
        <f>_xll.qlRateHelperLatestDate($D40)</f>
        <v>63709</v>
      </c>
      <c r="I40" s="3">
        <v>0.25372729026012258</v>
      </c>
    </row>
    <row r="41" spans="3: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3: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3: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3: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3: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3: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3: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3: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4"/>
  <sheetViews>
    <sheetView workbookViewId="0">
      <selection activeCell="F2" sqref="F2"/>
    </sheetView>
  </sheetViews>
  <sheetFormatPr defaultRowHeight="12.75" x14ac:dyDescent="0.2"/>
  <cols>
    <col min="1" max="1" width="3" style="89" customWidth="1"/>
    <col min="2" max="2" width="4.140625" style="89" bestFit="1" customWidth="1"/>
    <col min="3" max="3" width="10" style="89" bestFit="1" customWidth="1"/>
    <col min="4" max="4" width="13.140625" style="89" bestFit="1" customWidth="1"/>
    <col min="5" max="5" width="22" style="89" bestFit="1" customWidth="1"/>
    <col min="6" max="6" width="20.28515625" style="89" bestFit="1" customWidth="1"/>
    <col min="7" max="7" width="54" style="89" customWidth="1"/>
    <col min="8" max="8" width="4.7109375" style="89" customWidth="1"/>
    <col min="9" max="16384" width="9.140625" style="89"/>
  </cols>
  <sheetData>
    <row r="1" spans="1:8" x14ac:dyDescent="0.2">
      <c r="A1" s="118" t="s">
        <v>128</v>
      </c>
      <c r="B1" s="117"/>
      <c r="C1" s="117"/>
      <c r="D1" s="116" t="s">
        <v>110</v>
      </c>
      <c r="E1" s="115" t="str">
        <f>Currency&amp;"_YC"&amp;$D$1&amp;"RH"</f>
        <v>EUR_YCONRH</v>
      </c>
      <c r="F1" s="114"/>
      <c r="G1" s="114"/>
      <c r="H1" s="103"/>
    </row>
    <row r="2" spans="1:8" ht="23.25" customHeight="1" x14ac:dyDescent="0.2">
      <c r="A2" s="109"/>
      <c r="B2" s="113"/>
      <c r="C2" s="113" t="s">
        <v>118</v>
      </c>
      <c r="D2" s="113" t="s">
        <v>117</v>
      </c>
      <c r="E2" s="112" t="str">
        <f>$E$1&amp;"_Deposits.xml"</f>
        <v>EUR_YCONRH_Deposits.xml</v>
      </c>
      <c r="F2" s="111" t="str">
        <f>IF(Serialize,_xll.ohObjectSave(F3,SerializationPath&amp;E2,FileOverwrite,Serialize),"---")</f>
        <v>---</v>
      </c>
      <c r="G2" s="110" t="str">
        <f>_xll.ohRangeRetrieveError(F2)</f>
        <v/>
      </c>
      <c r="H2" s="103"/>
    </row>
    <row r="3" spans="1:8" x14ac:dyDescent="0.2">
      <c r="A3" s="109"/>
      <c r="B3" s="108" t="s">
        <v>110</v>
      </c>
      <c r="C3" s="107" t="s">
        <v>116</v>
      </c>
      <c r="D3" s="106" t="str">
        <f>Currency&amp;$B3&amp;"D"&amp;QuoteSuffix</f>
        <v>EUROND_Quote</v>
      </c>
      <c r="E3" s="106" t="str">
        <f>$E$1&amp;"_"&amp;$B3&amp;"D"</f>
        <v>EUR_YCONRH_OND</v>
      </c>
      <c r="F3" s="105" t="str">
        <f>_xll.qlDepositRateHelper(E3,D3,C3,Permanent,Trigger,ObjectOverwrite)</f>
        <v>EUR_YCONRH_OND#0001</v>
      </c>
      <c r="G3" s="104" t="str">
        <f>_xll.ohRangeRetrieveError(F3)</f>
        <v/>
      </c>
      <c r="H3" s="103"/>
    </row>
    <row r="4" spans="1:8" ht="13.5" thickBot="1" x14ac:dyDescent="0.25">
      <c r="A4" s="102"/>
      <c r="B4" s="101"/>
      <c r="C4" s="101"/>
      <c r="D4" s="101"/>
      <c r="E4" s="101"/>
      <c r="F4" s="101"/>
      <c r="G4" s="101"/>
      <c r="H4" s="10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7"/>
  <sheetViews>
    <sheetView workbookViewId="0">
      <selection activeCell="H2" sqref="H2"/>
    </sheetView>
  </sheetViews>
  <sheetFormatPr defaultRowHeight="11.25" x14ac:dyDescent="0.2"/>
  <cols>
    <col min="1" max="1" width="3.7109375" style="114" customWidth="1"/>
    <col min="2" max="2" width="3" style="114" bestFit="1" customWidth="1"/>
    <col min="3" max="3" width="5" style="114" customWidth="1"/>
    <col min="4" max="4" width="3.5703125" style="114" bestFit="1" customWidth="1"/>
    <col min="5" max="5" width="7.85546875" style="114" bestFit="1" customWidth="1"/>
    <col min="6" max="6" width="14.7109375" style="114" bestFit="1" customWidth="1"/>
    <col min="7" max="7" width="19.5703125" style="114" bestFit="1" customWidth="1"/>
    <col min="8" max="8" width="19.85546875" style="138" bestFit="1" customWidth="1"/>
    <col min="9" max="9" width="38.28515625" style="114" customWidth="1"/>
    <col min="10" max="10" width="3" style="114" customWidth="1"/>
    <col min="11" max="16384" width="9.140625" style="114"/>
  </cols>
  <sheetData>
    <row r="1" spans="1:10" x14ac:dyDescent="0.2">
      <c r="A1" s="157" t="s">
        <v>134</v>
      </c>
      <c r="B1" s="156"/>
      <c r="C1" s="156"/>
      <c r="D1" s="156"/>
      <c r="E1" s="155" t="s">
        <v>110</v>
      </c>
      <c r="G1" s="154" t="str">
        <f>Currency&amp;"_YC"&amp;$E$1&amp;"RH"</f>
        <v>EUR_YCONRH</v>
      </c>
      <c r="H1" s="153"/>
      <c r="I1" s="152"/>
      <c r="J1" s="151"/>
    </row>
    <row r="2" spans="1:10" ht="23.25" customHeight="1" x14ac:dyDescent="0.2">
      <c r="A2" s="109"/>
      <c r="B2" s="150"/>
      <c r="C2" s="150"/>
      <c r="D2" s="149"/>
      <c r="E2" s="113" t="s">
        <v>118</v>
      </c>
      <c r="F2" s="113" t="s">
        <v>117</v>
      </c>
      <c r="G2" s="112" t="str">
        <f>$G$1&amp;"_FRAs.xml"</f>
        <v>EUR_YCONRH_FRAs.xml</v>
      </c>
      <c r="H2" s="148" t="str">
        <f>IF(Serialize,_xll.ohObjectSave(H3:H4,SerializationPath&amp;G2,FileOverwrite,Serialize),"---")</f>
        <v>---</v>
      </c>
      <c r="I2" s="147" t="str">
        <f>_xll.ohRangeRetrieveError(H2)</f>
        <v/>
      </c>
      <c r="J2" s="103"/>
    </row>
    <row r="3" spans="1:10" x14ac:dyDescent="0.2">
      <c r="A3" s="109"/>
      <c r="B3" s="146" t="s">
        <v>133</v>
      </c>
      <c r="C3" s="146" t="s">
        <v>132</v>
      </c>
      <c r="D3" s="145" t="s">
        <v>129</v>
      </c>
      <c r="E3" s="144" t="s">
        <v>116</v>
      </c>
      <c r="F3" s="144" t="str">
        <f>Currency&amp;C3&amp;D3&amp;"_Quote"</f>
        <v>EURTND_Quote</v>
      </c>
      <c r="G3" s="144" t="str">
        <f>$G$1&amp;"_"&amp;$C3&amp;$D3</f>
        <v>EUR_YCONRH_TND</v>
      </c>
      <c r="H3" s="144" t="str">
        <f>_xll.qlFraRateHelper(G3,F3,B3,E3,Permanent,Trigger,ObjectOverwrite)</f>
        <v>EUR_YCONRH_TND#0001</v>
      </c>
      <c r="I3" s="143" t="str">
        <f>_xll.ohRangeRetrieveError(H3)</f>
        <v/>
      </c>
      <c r="J3" s="103"/>
    </row>
    <row r="4" spans="1:10" x14ac:dyDescent="0.2">
      <c r="A4" s="109"/>
      <c r="B4" s="142" t="s">
        <v>131</v>
      </c>
      <c r="C4" s="142" t="s">
        <v>130</v>
      </c>
      <c r="D4" s="119" t="s">
        <v>129</v>
      </c>
      <c r="E4" s="141" t="s">
        <v>116</v>
      </c>
      <c r="F4" s="141" t="str">
        <f>Currency&amp;C4&amp;D4&amp;"_Quote"</f>
        <v>EURSND_Quote</v>
      </c>
      <c r="G4" s="141" t="str">
        <f>$G$1&amp;"_"&amp;$C4&amp;$D4</f>
        <v>EUR_YCONRH_SND</v>
      </c>
      <c r="H4" s="141" t="str">
        <f>_xll.qlFraRateHelper(G4,F4,B4,E4,Permanent,Trigger,ObjectOverwrite)</f>
        <v>EUR_YCONRH_SND#0001</v>
      </c>
      <c r="I4" s="140" t="str">
        <f>_xll.ohRangeRetrieveError(H4)</f>
        <v/>
      </c>
      <c r="J4" s="103"/>
    </row>
    <row r="5" spans="1:10" ht="12" thickBot="1" x14ac:dyDescent="0.25">
      <c r="A5" s="102"/>
      <c r="B5" s="101"/>
      <c r="C5" s="101"/>
      <c r="D5" s="101"/>
      <c r="E5" s="101"/>
      <c r="F5" s="101"/>
      <c r="G5" s="101"/>
      <c r="H5" s="139"/>
      <c r="I5" s="139"/>
      <c r="J5" s="100"/>
    </row>
    <row r="7" spans="1:10" x14ac:dyDescent="0.2">
      <c r="H7" s="11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2"/>
  <sheetViews>
    <sheetView topLeftCell="G1" workbookViewId="0">
      <selection activeCell="L2" sqref="L2"/>
    </sheetView>
  </sheetViews>
  <sheetFormatPr defaultRowHeight="11.25" x14ac:dyDescent="0.2"/>
  <cols>
    <col min="1" max="1" width="1.7109375" style="90" customWidth="1"/>
    <col min="2" max="2" width="17.28515625" style="90" bestFit="1" customWidth="1"/>
    <col min="3" max="3" width="7.140625" style="90" customWidth="1"/>
    <col min="4" max="6" width="7" style="90" bestFit="1" customWidth="1"/>
    <col min="7" max="7" width="19.28515625" style="90" bestFit="1" customWidth="1"/>
    <col min="8" max="8" width="11" style="90" bestFit="1" customWidth="1"/>
    <col min="9" max="9" width="8" style="90" bestFit="1" customWidth="1"/>
    <col min="10" max="10" width="21.42578125" style="90" bestFit="1" customWidth="1"/>
    <col min="11" max="11" width="23.42578125" style="90" bestFit="1" customWidth="1"/>
    <col min="12" max="12" width="28.5703125" style="91" bestFit="1" customWidth="1"/>
    <col min="13" max="13" width="21" style="90" customWidth="1"/>
    <col min="14" max="14" width="3.7109375" style="90" customWidth="1"/>
    <col min="15" max="15" width="4.28515625" style="90" customWidth="1"/>
    <col min="16" max="17" width="17.28515625" style="90" bestFit="1" customWidth="1"/>
    <col min="18" max="16384" width="9.140625" style="90"/>
  </cols>
  <sheetData>
    <row r="1" spans="1:17" x14ac:dyDescent="0.2">
      <c r="A1" s="157" t="s">
        <v>149</v>
      </c>
      <c r="B1" s="174"/>
      <c r="C1" s="174"/>
      <c r="D1" s="174"/>
      <c r="E1" s="174"/>
      <c r="F1" s="174"/>
      <c r="G1" s="174"/>
      <c r="H1" s="174"/>
      <c r="I1" s="174"/>
      <c r="J1" s="174"/>
      <c r="K1" s="175"/>
      <c r="L1" s="174"/>
      <c r="M1" s="174"/>
      <c r="N1" s="173"/>
    </row>
    <row r="2" spans="1:17" x14ac:dyDescent="0.2">
      <c r="A2" s="95"/>
      <c r="B2" s="98"/>
      <c r="C2" s="98"/>
      <c r="D2" s="98"/>
      <c r="E2" s="98"/>
      <c r="F2" s="98"/>
      <c r="G2" s="98"/>
      <c r="H2" s="98"/>
      <c r="I2" s="98"/>
      <c r="J2" s="92" t="s">
        <v>110</v>
      </c>
      <c r="K2" s="92" t="str">
        <f>Currency&amp;"_YC"&amp;$J$2&amp;"RH"</f>
        <v>EUR_YCONRH</v>
      </c>
      <c r="L2" s="117" t="e">
        <f>NA()</f>
        <v>#N/A</v>
      </c>
      <c r="M2" s="98"/>
      <c r="N2" s="160"/>
    </row>
    <row r="3" spans="1:17" ht="36" customHeight="1" x14ac:dyDescent="0.2">
      <c r="A3" s="95"/>
      <c r="B3" s="97" t="s">
        <v>140</v>
      </c>
      <c r="C3" s="97" t="s">
        <v>144</v>
      </c>
      <c r="D3" s="97"/>
      <c r="E3" s="97"/>
      <c r="F3" s="97" t="s">
        <v>139</v>
      </c>
      <c r="G3" s="97" t="s">
        <v>138</v>
      </c>
      <c r="H3" s="97" t="s">
        <v>137</v>
      </c>
      <c r="I3" s="97" t="s">
        <v>136</v>
      </c>
      <c r="J3" s="97" t="s">
        <v>117</v>
      </c>
      <c r="K3" s="172" t="str">
        <f>K2&amp;"_Swaps.xml"</f>
        <v>EUR_YCONRH_Swaps.xml</v>
      </c>
      <c r="L3" s="171" t="str">
        <f>IF(Serialize,_xll.ohObjectSave(_xll.ohPack(L4:L41),SerializationPath&amp;K3,FileOverwrite,Serialize),"---")</f>
        <v>---</v>
      </c>
      <c r="M3" s="96" t="str">
        <f>_xll.ohRangeRetrieveError(L3)</f>
        <v/>
      </c>
      <c r="N3" s="160"/>
    </row>
    <row r="4" spans="1:17" x14ac:dyDescent="0.2">
      <c r="A4" s="99"/>
      <c r="B4" s="98"/>
      <c r="C4" s="98"/>
      <c r="D4" s="98"/>
      <c r="E4" s="98"/>
      <c r="F4" s="98"/>
      <c r="G4" s="98"/>
      <c r="H4" s="98"/>
      <c r="I4" s="98"/>
      <c r="J4" s="98"/>
      <c r="K4" s="170" t="str">
        <f>$K$2&amp;"_"&amp;$D6&amp;"_"&amp;FamilyName&amp;$J$2</f>
        <v>EUR_YCONRH_EON_iborON</v>
      </c>
      <c r="L4" s="169" t="str">
        <f>_xll.qlEonia(K4,,Permanent,Trigger,ObjectOverwrite)</f>
        <v>EUR_YCONRH_EON_iborON#0001</v>
      </c>
      <c r="M4" s="168" t="str">
        <f>_xll.ohRangeRetrieveError(L4)</f>
        <v/>
      </c>
      <c r="N4" s="160"/>
    </row>
    <row r="5" spans="1:17" x14ac:dyDescent="0.2">
      <c r="A5" s="99"/>
      <c r="B5" s="98"/>
      <c r="C5" s="98"/>
      <c r="D5" s="98"/>
      <c r="E5" s="98"/>
      <c r="F5" s="98"/>
      <c r="G5" s="98"/>
      <c r="H5" s="98"/>
      <c r="I5" s="98"/>
      <c r="J5" s="98"/>
      <c r="K5" s="98"/>
      <c r="L5" s="98"/>
      <c r="M5" s="98"/>
      <c r="N5" s="160"/>
    </row>
    <row r="6" spans="1:17" x14ac:dyDescent="0.2">
      <c r="A6" s="95"/>
      <c r="B6" s="167"/>
      <c r="C6" s="166" t="s">
        <v>143</v>
      </c>
      <c r="D6" s="167" t="s">
        <v>108</v>
      </c>
      <c r="E6" s="166" t="s">
        <v>61</v>
      </c>
      <c r="F6" s="165" t="s">
        <v>142</v>
      </c>
      <c r="G6" s="165" t="s">
        <v>141</v>
      </c>
      <c r="H6" s="165" t="str">
        <f t="shared" ref="H6:H41" si="0">MoneyMarketDayCounter</f>
        <v>Actual/360</v>
      </c>
      <c r="I6" s="164">
        <v>0</v>
      </c>
      <c r="J6" s="163" t="str">
        <f t="shared" ref="J6:J41" si="1">Currency&amp;$D6&amp;$E6&amp;QuoteSuffix</f>
        <v>EUREONSW_Quote</v>
      </c>
      <c r="K6" s="163" t="str">
        <f t="shared" ref="K6:K41" si="2">$K$2&amp;"_"&amp;$D6&amp;$E6</f>
        <v>EUR_YCONRH_EONSW</v>
      </c>
      <c r="L6" s="162" t="str">
        <f>_xll.qlOISRateHelper(K6,2,C6,J6,$L$4,,Permanent,Trigger,ObjectOverwrite)</f>
        <v>EUR_YCONRH_EONSW#0001</v>
      </c>
      <c r="M6" s="96" t="str">
        <f>_xll.ohRangeRetrieveError(L6)</f>
        <v/>
      </c>
      <c r="N6" s="160"/>
      <c r="P6" s="161"/>
      <c r="Q6" s="161"/>
    </row>
    <row r="7" spans="1:17" x14ac:dyDescent="0.2">
      <c r="A7" s="95"/>
      <c r="B7" s="167"/>
      <c r="C7" s="166" t="s">
        <v>60</v>
      </c>
      <c r="D7" s="167" t="s">
        <v>108</v>
      </c>
      <c r="E7" s="166" t="str">
        <f t="shared" ref="E7:E41" si="3">C7</f>
        <v>2W</v>
      </c>
      <c r="F7" s="165" t="s">
        <v>142</v>
      </c>
      <c r="G7" s="165" t="s">
        <v>141</v>
      </c>
      <c r="H7" s="165" t="str">
        <f t="shared" si="0"/>
        <v>Actual/360</v>
      </c>
      <c r="I7" s="164">
        <v>0</v>
      </c>
      <c r="J7" s="163" t="str">
        <f t="shared" si="1"/>
        <v>EUREON2W_Quote</v>
      </c>
      <c r="K7" s="163" t="str">
        <f t="shared" si="2"/>
        <v>EUR_YCONRH_EON2W</v>
      </c>
      <c r="L7" s="162" t="str">
        <f>_xll.qlOISRateHelper(K7,2,C7,J7,$L$4,,Permanent,Trigger,ObjectOverwrite)</f>
        <v>EUR_YCONRH_EON2W#0001</v>
      </c>
      <c r="M7" s="96" t="str">
        <f>_xll.ohRangeRetrieveError(L7)</f>
        <v/>
      </c>
      <c r="N7" s="160"/>
      <c r="P7" s="161"/>
      <c r="Q7" s="161"/>
    </row>
    <row r="8" spans="1:17" x14ac:dyDescent="0.2">
      <c r="A8" s="95"/>
      <c r="B8" s="167"/>
      <c r="C8" s="166" t="s">
        <v>59</v>
      </c>
      <c r="D8" s="167" t="s">
        <v>108</v>
      </c>
      <c r="E8" s="166" t="str">
        <f t="shared" si="3"/>
        <v>3W</v>
      </c>
      <c r="F8" s="165" t="s">
        <v>142</v>
      </c>
      <c r="G8" s="165" t="s">
        <v>141</v>
      </c>
      <c r="H8" s="165" t="str">
        <f t="shared" si="0"/>
        <v>Actual/360</v>
      </c>
      <c r="I8" s="164">
        <v>0</v>
      </c>
      <c r="J8" s="163" t="str">
        <f t="shared" si="1"/>
        <v>EUREON3W_Quote</v>
      </c>
      <c r="K8" s="163" t="str">
        <f t="shared" si="2"/>
        <v>EUR_YCONRH_EON3W</v>
      </c>
      <c r="L8" s="162" t="str">
        <f>_xll.qlOISRateHelper(K8,2,C8,J8,$L$4,,Permanent,Trigger,ObjectOverwrite)</f>
        <v>EUR_YCONRH_EON3W#0001</v>
      </c>
      <c r="M8" s="96" t="str">
        <f>_xll.ohRangeRetrieveError(L8)</f>
        <v/>
      </c>
      <c r="N8" s="160"/>
      <c r="P8" s="161"/>
      <c r="Q8" s="161"/>
    </row>
    <row r="9" spans="1:17" x14ac:dyDescent="0.2">
      <c r="A9" s="95"/>
      <c r="B9" s="167"/>
      <c r="C9" s="166" t="s">
        <v>58</v>
      </c>
      <c r="D9" s="167" t="s">
        <v>108</v>
      </c>
      <c r="E9" s="166" t="str">
        <f t="shared" si="3"/>
        <v>1M</v>
      </c>
      <c r="F9" s="165" t="s">
        <v>142</v>
      </c>
      <c r="G9" s="165" t="s">
        <v>135</v>
      </c>
      <c r="H9" s="165" t="str">
        <f t="shared" si="0"/>
        <v>Actual/360</v>
      </c>
      <c r="I9" s="164">
        <v>0</v>
      </c>
      <c r="J9" s="163" t="str">
        <f t="shared" si="1"/>
        <v>EUREON1M_Quote</v>
      </c>
      <c r="K9" s="163" t="str">
        <f t="shared" si="2"/>
        <v>EUR_YCONRH_EON1M</v>
      </c>
      <c r="L9" s="162" t="str">
        <f>_xll.qlOISRateHelper(K9,2,C9,J9,$L$4,,Permanent,Trigger,ObjectOverwrite)</f>
        <v>EUR_YCONRH_EON1M#0001</v>
      </c>
      <c r="M9" s="96" t="str">
        <f>_xll.ohRangeRetrieveError(L9)</f>
        <v/>
      </c>
      <c r="N9" s="160"/>
      <c r="P9" s="161"/>
      <c r="Q9" s="161"/>
    </row>
    <row r="10" spans="1:17" x14ac:dyDescent="0.2">
      <c r="A10" s="95"/>
      <c r="B10" s="167"/>
      <c r="C10" s="166" t="s">
        <v>57</v>
      </c>
      <c r="D10" s="167" t="s">
        <v>108</v>
      </c>
      <c r="E10" s="166" t="str">
        <f t="shared" si="3"/>
        <v>2M</v>
      </c>
      <c r="F10" s="165" t="s">
        <v>142</v>
      </c>
      <c r="G10" s="165" t="s">
        <v>135</v>
      </c>
      <c r="H10" s="165" t="str">
        <f t="shared" si="0"/>
        <v>Actual/360</v>
      </c>
      <c r="I10" s="164">
        <v>0</v>
      </c>
      <c r="J10" s="163" t="str">
        <f t="shared" si="1"/>
        <v>EUREON2M_Quote</v>
      </c>
      <c r="K10" s="163" t="str">
        <f t="shared" si="2"/>
        <v>EUR_YCONRH_EON2M</v>
      </c>
      <c r="L10" s="162" t="str">
        <f>_xll.qlOISRateHelper(K10,2,C10,J10,$L$4,,Permanent,Trigger,ObjectOverwrite)</f>
        <v>EUR_YCONRH_EON2M#0001</v>
      </c>
      <c r="M10" s="96" t="str">
        <f>_xll.ohRangeRetrieveError(L10)</f>
        <v/>
      </c>
      <c r="N10" s="160"/>
      <c r="P10" s="161"/>
      <c r="Q10" s="161"/>
    </row>
    <row r="11" spans="1:17" x14ac:dyDescent="0.2">
      <c r="A11" s="95"/>
      <c r="B11" s="167"/>
      <c r="C11" s="166" t="s">
        <v>56</v>
      </c>
      <c r="D11" s="167" t="s">
        <v>108</v>
      </c>
      <c r="E11" s="166" t="str">
        <f t="shared" si="3"/>
        <v>3M</v>
      </c>
      <c r="F11" s="165" t="s">
        <v>142</v>
      </c>
      <c r="G11" s="165" t="s">
        <v>135</v>
      </c>
      <c r="H11" s="165" t="str">
        <f t="shared" si="0"/>
        <v>Actual/360</v>
      </c>
      <c r="I11" s="164">
        <v>0</v>
      </c>
      <c r="J11" s="163" t="str">
        <f t="shared" si="1"/>
        <v>EUREON3M_Quote</v>
      </c>
      <c r="K11" s="163" t="str">
        <f t="shared" si="2"/>
        <v>EUR_YCONRH_EON3M</v>
      </c>
      <c r="L11" s="162" t="str">
        <f>_xll.qlOISRateHelper(K11,2,C11,J11,$L$4,,Permanent,Trigger,ObjectOverwrite)</f>
        <v>EUR_YCONRH_EON3M#0001</v>
      </c>
      <c r="M11" s="96" t="str">
        <f>_xll.ohRangeRetrieveError(L11)</f>
        <v/>
      </c>
      <c r="N11" s="160"/>
      <c r="P11" s="161"/>
      <c r="Q11" s="161"/>
    </row>
    <row r="12" spans="1:17" x14ac:dyDescent="0.2">
      <c r="A12" s="95"/>
      <c r="B12" s="167"/>
      <c r="C12" s="166" t="s">
        <v>55</v>
      </c>
      <c r="D12" s="167" t="s">
        <v>108</v>
      </c>
      <c r="E12" s="166" t="str">
        <f t="shared" si="3"/>
        <v>4M</v>
      </c>
      <c r="F12" s="165" t="s">
        <v>142</v>
      </c>
      <c r="G12" s="165" t="s">
        <v>135</v>
      </c>
      <c r="H12" s="165" t="str">
        <f t="shared" si="0"/>
        <v>Actual/360</v>
      </c>
      <c r="I12" s="164">
        <v>0</v>
      </c>
      <c r="J12" s="163" t="str">
        <f t="shared" si="1"/>
        <v>EUREON4M_Quote</v>
      </c>
      <c r="K12" s="163" t="str">
        <f t="shared" si="2"/>
        <v>EUR_YCONRH_EON4M</v>
      </c>
      <c r="L12" s="162" t="str">
        <f>_xll.qlOISRateHelper(K12,2,C12,J12,$L$4,,Permanent,Trigger,ObjectOverwrite)</f>
        <v>EUR_YCONRH_EON4M#0001</v>
      </c>
      <c r="M12" s="96" t="str">
        <f>_xll.ohRangeRetrieveError(L12)</f>
        <v/>
      </c>
      <c r="N12" s="160"/>
      <c r="P12" s="161"/>
      <c r="Q12" s="161"/>
    </row>
    <row r="13" spans="1:17" x14ac:dyDescent="0.2">
      <c r="A13" s="95"/>
      <c r="B13" s="167"/>
      <c r="C13" s="166" t="s">
        <v>54</v>
      </c>
      <c r="D13" s="167" t="s">
        <v>108</v>
      </c>
      <c r="E13" s="166" t="str">
        <f t="shared" si="3"/>
        <v>5M</v>
      </c>
      <c r="F13" s="165" t="s">
        <v>142</v>
      </c>
      <c r="G13" s="165" t="s">
        <v>135</v>
      </c>
      <c r="H13" s="165" t="str">
        <f t="shared" si="0"/>
        <v>Actual/360</v>
      </c>
      <c r="I13" s="164">
        <v>0</v>
      </c>
      <c r="J13" s="163" t="str">
        <f t="shared" si="1"/>
        <v>EUREON5M_Quote</v>
      </c>
      <c r="K13" s="163" t="str">
        <f t="shared" si="2"/>
        <v>EUR_YCONRH_EON5M</v>
      </c>
      <c r="L13" s="162" t="str">
        <f>_xll.qlOISRateHelper(K13,2,C13,J13,$L$4,,Permanent,Trigger,ObjectOverwrite)</f>
        <v>EUR_YCONRH_EON5M#0001</v>
      </c>
      <c r="M13" s="96" t="str">
        <f>_xll.ohRangeRetrieveError(L13)</f>
        <v/>
      </c>
      <c r="N13" s="160"/>
      <c r="P13" s="161"/>
      <c r="Q13" s="161"/>
    </row>
    <row r="14" spans="1:17" x14ac:dyDescent="0.2">
      <c r="A14" s="95"/>
      <c r="B14" s="167"/>
      <c r="C14" s="166" t="s">
        <v>53</v>
      </c>
      <c r="D14" s="167" t="s">
        <v>108</v>
      </c>
      <c r="E14" s="166" t="str">
        <f t="shared" si="3"/>
        <v>6M</v>
      </c>
      <c r="F14" s="165" t="s">
        <v>142</v>
      </c>
      <c r="G14" s="165" t="s">
        <v>135</v>
      </c>
      <c r="H14" s="165" t="str">
        <f t="shared" si="0"/>
        <v>Actual/360</v>
      </c>
      <c r="I14" s="164">
        <v>0</v>
      </c>
      <c r="J14" s="163" t="str">
        <f t="shared" si="1"/>
        <v>EUREON6M_Quote</v>
      </c>
      <c r="K14" s="163" t="str">
        <f t="shared" si="2"/>
        <v>EUR_YCONRH_EON6M</v>
      </c>
      <c r="L14" s="162" t="str">
        <f>_xll.qlOISRateHelper(K14,2,C14,J14,$L$4,,Permanent,Trigger,ObjectOverwrite)</f>
        <v>EUR_YCONRH_EON6M#0001</v>
      </c>
      <c r="M14" s="96" t="str">
        <f>_xll.ohRangeRetrieveError(L14)</f>
        <v/>
      </c>
      <c r="N14" s="160"/>
      <c r="P14" s="161"/>
      <c r="Q14" s="161"/>
    </row>
    <row r="15" spans="1:17" x14ac:dyDescent="0.2">
      <c r="A15" s="95"/>
      <c r="B15" s="167"/>
      <c r="C15" s="166" t="s">
        <v>52</v>
      </c>
      <c r="D15" s="167" t="s">
        <v>108</v>
      </c>
      <c r="E15" s="166" t="str">
        <f t="shared" si="3"/>
        <v>7M</v>
      </c>
      <c r="F15" s="165" t="s">
        <v>142</v>
      </c>
      <c r="G15" s="165" t="s">
        <v>135</v>
      </c>
      <c r="H15" s="165" t="str">
        <f t="shared" si="0"/>
        <v>Actual/360</v>
      </c>
      <c r="I15" s="164">
        <v>0</v>
      </c>
      <c r="J15" s="163" t="str">
        <f t="shared" si="1"/>
        <v>EUREON7M_Quote</v>
      </c>
      <c r="K15" s="163" t="str">
        <f t="shared" si="2"/>
        <v>EUR_YCONRH_EON7M</v>
      </c>
      <c r="L15" s="162" t="str">
        <f>_xll.qlOISRateHelper(K15,2,C15,J15,$L$4,,Permanent,Trigger,ObjectOverwrite)</f>
        <v>EUR_YCONRH_EON7M#0001</v>
      </c>
      <c r="M15" s="96" t="str">
        <f>_xll.ohRangeRetrieveError(L15)</f>
        <v/>
      </c>
      <c r="N15" s="160"/>
      <c r="P15" s="161"/>
      <c r="Q15" s="161"/>
    </row>
    <row r="16" spans="1:17" x14ac:dyDescent="0.2">
      <c r="A16" s="95"/>
      <c r="B16" s="167"/>
      <c r="C16" s="166" t="s">
        <v>51</v>
      </c>
      <c r="D16" s="167" t="s">
        <v>108</v>
      </c>
      <c r="E16" s="166" t="str">
        <f t="shared" si="3"/>
        <v>8M</v>
      </c>
      <c r="F16" s="165" t="s">
        <v>142</v>
      </c>
      <c r="G16" s="165" t="s">
        <v>135</v>
      </c>
      <c r="H16" s="165" t="str">
        <f t="shared" si="0"/>
        <v>Actual/360</v>
      </c>
      <c r="I16" s="164">
        <v>0</v>
      </c>
      <c r="J16" s="163" t="str">
        <f t="shared" si="1"/>
        <v>EUREON8M_Quote</v>
      </c>
      <c r="K16" s="163" t="str">
        <f t="shared" si="2"/>
        <v>EUR_YCONRH_EON8M</v>
      </c>
      <c r="L16" s="162" t="str">
        <f>_xll.qlOISRateHelper(K16,2,C16,J16,$L$4,,Permanent,Trigger,ObjectOverwrite)</f>
        <v>EUR_YCONRH_EON8M#0001</v>
      </c>
      <c r="M16" s="96" t="str">
        <f>_xll.ohRangeRetrieveError(L16)</f>
        <v/>
      </c>
      <c r="N16" s="160"/>
      <c r="P16" s="161"/>
      <c r="Q16" s="161"/>
    </row>
    <row r="17" spans="1:17" x14ac:dyDescent="0.2">
      <c r="A17" s="95"/>
      <c r="B17" s="167"/>
      <c r="C17" s="166" t="s">
        <v>50</v>
      </c>
      <c r="D17" s="167" t="s">
        <v>108</v>
      </c>
      <c r="E17" s="166" t="str">
        <f t="shared" si="3"/>
        <v>9M</v>
      </c>
      <c r="F17" s="165" t="s">
        <v>142</v>
      </c>
      <c r="G17" s="165" t="s">
        <v>135</v>
      </c>
      <c r="H17" s="165" t="str">
        <f t="shared" si="0"/>
        <v>Actual/360</v>
      </c>
      <c r="I17" s="164">
        <v>0</v>
      </c>
      <c r="J17" s="163" t="str">
        <f t="shared" si="1"/>
        <v>EUREON9M_Quote</v>
      </c>
      <c r="K17" s="163" t="str">
        <f t="shared" si="2"/>
        <v>EUR_YCONRH_EON9M</v>
      </c>
      <c r="L17" s="162" t="str">
        <f>_xll.qlOISRateHelper(K17,2,C17,J17,$L$4,,Permanent,Trigger,ObjectOverwrite)</f>
        <v>EUR_YCONRH_EON9M#0001</v>
      </c>
      <c r="M17" s="96" t="str">
        <f>_xll.ohRangeRetrieveError(L17)</f>
        <v/>
      </c>
      <c r="N17" s="160"/>
      <c r="P17" s="161"/>
      <c r="Q17" s="161"/>
    </row>
    <row r="18" spans="1:17" x14ac:dyDescent="0.2">
      <c r="A18" s="95"/>
      <c r="B18" s="167"/>
      <c r="C18" s="166" t="s">
        <v>49</v>
      </c>
      <c r="D18" s="167" t="s">
        <v>108</v>
      </c>
      <c r="E18" s="166" t="str">
        <f t="shared" si="3"/>
        <v>10M</v>
      </c>
      <c r="F18" s="165" t="s">
        <v>142</v>
      </c>
      <c r="G18" s="165" t="s">
        <v>135</v>
      </c>
      <c r="H18" s="165" t="str">
        <f t="shared" si="0"/>
        <v>Actual/360</v>
      </c>
      <c r="I18" s="164">
        <v>0</v>
      </c>
      <c r="J18" s="163" t="str">
        <f t="shared" si="1"/>
        <v>EUREON10M_Quote</v>
      </c>
      <c r="K18" s="163" t="str">
        <f t="shared" si="2"/>
        <v>EUR_YCONRH_EON10M</v>
      </c>
      <c r="L18" s="162" t="str">
        <f>_xll.qlOISRateHelper(K18,2,C18,J18,$L$4,,Permanent,Trigger,ObjectOverwrite)</f>
        <v>EUR_YCONRH_EON10M#0001</v>
      </c>
      <c r="M18" s="96" t="str">
        <f>_xll.ohRangeRetrieveError(L18)</f>
        <v/>
      </c>
      <c r="N18" s="160"/>
      <c r="P18" s="161"/>
      <c r="Q18" s="161"/>
    </row>
    <row r="19" spans="1:17" x14ac:dyDescent="0.2">
      <c r="A19" s="95"/>
      <c r="B19" s="167"/>
      <c r="C19" s="166" t="s">
        <v>48</v>
      </c>
      <c r="D19" s="167" t="s">
        <v>108</v>
      </c>
      <c r="E19" s="166" t="str">
        <f t="shared" si="3"/>
        <v>11M</v>
      </c>
      <c r="F19" s="165" t="s">
        <v>142</v>
      </c>
      <c r="G19" s="165" t="s">
        <v>135</v>
      </c>
      <c r="H19" s="165" t="str">
        <f t="shared" si="0"/>
        <v>Actual/360</v>
      </c>
      <c r="I19" s="164">
        <v>0</v>
      </c>
      <c r="J19" s="163" t="str">
        <f t="shared" si="1"/>
        <v>EUREON11M_Quote</v>
      </c>
      <c r="K19" s="163" t="str">
        <f t="shared" si="2"/>
        <v>EUR_YCONRH_EON11M</v>
      </c>
      <c r="L19" s="162" t="str">
        <f>_xll.qlOISRateHelper(K19,2,C19,J19,$L$4,,Permanent,Trigger,ObjectOverwrite)</f>
        <v>EUR_YCONRH_EON11M#0001</v>
      </c>
      <c r="M19" s="96" t="str">
        <f>_xll.ohRangeRetrieveError(L19)</f>
        <v/>
      </c>
      <c r="N19" s="160"/>
      <c r="P19" s="161"/>
      <c r="Q19" s="161"/>
    </row>
    <row r="20" spans="1:17" x14ac:dyDescent="0.2">
      <c r="A20" s="95"/>
      <c r="B20" s="167"/>
      <c r="C20" s="166" t="s">
        <v>47</v>
      </c>
      <c r="D20" s="167" t="s">
        <v>108</v>
      </c>
      <c r="E20" s="166" t="str">
        <f t="shared" si="3"/>
        <v>1Y</v>
      </c>
      <c r="F20" s="165" t="s">
        <v>142</v>
      </c>
      <c r="G20" s="165" t="s">
        <v>135</v>
      </c>
      <c r="H20" s="165" t="str">
        <f t="shared" si="0"/>
        <v>Actual/360</v>
      </c>
      <c r="I20" s="164">
        <v>0</v>
      </c>
      <c r="J20" s="163" t="str">
        <f t="shared" si="1"/>
        <v>EUREON1Y_Quote</v>
      </c>
      <c r="K20" s="163" t="str">
        <f t="shared" si="2"/>
        <v>EUR_YCONRH_EON1Y</v>
      </c>
      <c r="L20" s="162" t="str">
        <f>_xll.qlOISRateHelper(K20,2,C20,J20,$L$4,,Permanent,Trigger,ObjectOverwrite)</f>
        <v>EUR_YCONRH_EON1Y#0001</v>
      </c>
      <c r="M20" s="96" t="str">
        <f>_xll.ohRangeRetrieveError(L20)</f>
        <v/>
      </c>
      <c r="N20" s="160"/>
      <c r="P20" s="161"/>
      <c r="Q20" s="161"/>
    </row>
    <row r="21" spans="1:17" x14ac:dyDescent="0.2">
      <c r="A21" s="95"/>
      <c r="B21" s="167"/>
      <c r="C21" s="166" t="s">
        <v>46</v>
      </c>
      <c r="D21" s="167" t="s">
        <v>108</v>
      </c>
      <c r="E21" s="166" t="str">
        <f t="shared" si="3"/>
        <v>15M</v>
      </c>
      <c r="F21" s="165" t="s">
        <v>142</v>
      </c>
      <c r="G21" s="165" t="s">
        <v>135</v>
      </c>
      <c r="H21" s="165" t="str">
        <f t="shared" si="0"/>
        <v>Actual/360</v>
      </c>
      <c r="I21" s="164">
        <v>0</v>
      </c>
      <c r="J21" s="163" t="str">
        <f t="shared" si="1"/>
        <v>EUREON15M_Quote</v>
      </c>
      <c r="K21" s="163" t="str">
        <f t="shared" si="2"/>
        <v>EUR_YCONRH_EON15M</v>
      </c>
      <c r="L21" s="162" t="str">
        <f>_xll.qlOISRateHelper(K21,2,C21,J21,$L$4,,Permanent,Trigger,ObjectOverwrite)</f>
        <v>EUR_YCONRH_EON15M#0001</v>
      </c>
      <c r="M21" s="96" t="str">
        <f>_xll.ohRangeRetrieveError(L21)</f>
        <v/>
      </c>
      <c r="N21" s="160"/>
      <c r="P21" s="161"/>
      <c r="Q21" s="161"/>
    </row>
    <row r="22" spans="1:17" x14ac:dyDescent="0.2">
      <c r="A22" s="95"/>
      <c r="B22" s="167"/>
      <c r="C22" s="166" t="s">
        <v>45</v>
      </c>
      <c r="D22" s="167" t="s">
        <v>108</v>
      </c>
      <c r="E22" s="166" t="str">
        <f t="shared" si="3"/>
        <v>18M</v>
      </c>
      <c r="F22" s="165" t="s">
        <v>142</v>
      </c>
      <c r="G22" s="165" t="s">
        <v>135</v>
      </c>
      <c r="H22" s="165" t="str">
        <f t="shared" si="0"/>
        <v>Actual/360</v>
      </c>
      <c r="I22" s="164">
        <v>0</v>
      </c>
      <c r="J22" s="163" t="str">
        <f t="shared" si="1"/>
        <v>EUREON18M_Quote</v>
      </c>
      <c r="K22" s="163" t="str">
        <f t="shared" si="2"/>
        <v>EUR_YCONRH_EON18M</v>
      </c>
      <c r="L22" s="162" t="str">
        <f>_xll.qlOISRateHelper(K22,2,C22,J22,$L$4,,Permanent,Trigger,ObjectOverwrite)</f>
        <v>EUR_YCONRH_EON18M#0001</v>
      </c>
      <c r="M22" s="96" t="str">
        <f>_xll.ohRangeRetrieveError(L22)</f>
        <v/>
      </c>
      <c r="N22" s="160"/>
      <c r="P22" s="161"/>
      <c r="Q22" s="161"/>
    </row>
    <row r="23" spans="1:17" x14ac:dyDescent="0.2">
      <c r="A23" s="95"/>
      <c r="B23" s="167"/>
      <c r="C23" s="166" t="s">
        <v>44</v>
      </c>
      <c r="D23" s="167" t="s">
        <v>108</v>
      </c>
      <c r="E23" s="166" t="str">
        <f t="shared" si="3"/>
        <v>21M</v>
      </c>
      <c r="F23" s="165" t="s">
        <v>142</v>
      </c>
      <c r="G23" s="165" t="s">
        <v>135</v>
      </c>
      <c r="H23" s="165" t="str">
        <f t="shared" si="0"/>
        <v>Actual/360</v>
      </c>
      <c r="I23" s="164">
        <v>0</v>
      </c>
      <c r="J23" s="163" t="str">
        <f t="shared" si="1"/>
        <v>EUREON21M_Quote</v>
      </c>
      <c r="K23" s="163" t="str">
        <f t="shared" si="2"/>
        <v>EUR_YCONRH_EON21M</v>
      </c>
      <c r="L23" s="162" t="str">
        <f>_xll.qlOISRateHelper(K23,2,C23,J23,$L$4,,Permanent,Trigger,ObjectOverwrite)</f>
        <v>EUR_YCONRH_EON21M#0001</v>
      </c>
      <c r="M23" s="96" t="str">
        <f>_xll.ohRangeRetrieveError(L23)</f>
        <v/>
      </c>
      <c r="N23" s="160"/>
      <c r="P23" s="161"/>
      <c r="Q23" s="161"/>
    </row>
    <row r="24" spans="1:17" x14ac:dyDescent="0.2">
      <c r="A24" s="95"/>
      <c r="B24" s="167"/>
      <c r="C24" s="166" t="s">
        <v>43</v>
      </c>
      <c r="D24" s="167" t="s">
        <v>108</v>
      </c>
      <c r="E24" s="166" t="str">
        <f t="shared" si="3"/>
        <v>2Y</v>
      </c>
      <c r="F24" s="165" t="s">
        <v>142</v>
      </c>
      <c r="G24" s="165" t="s">
        <v>135</v>
      </c>
      <c r="H24" s="165" t="str">
        <f t="shared" si="0"/>
        <v>Actual/360</v>
      </c>
      <c r="I24" s="164">
        <v>0</v>
      </c>
      <c r="J24" s="163" t="str">
        <f t="shared" si="1"/>
        <v>EUREON2Y_Quote</v>
      </c>
      <c r="K24" s="163" t="str">
        <f t="shared" si="2"/>
        <v>EUR_YCONRH_EON2Y</v>
      </c>
      <c r="L24" s="162" t="str">
        <f>_xll.qlOISRateHelper(K24,2,C24,J24,$L$4,,Permanent,Trigger,ObjectOverwrite)</f>
        <v>EUR_YCONRH_EON2Y#0001</v>
      </c>
      <c r="M24" s="96" t="str">
        <f>_xll.ohRangeRetrieveError(L24)</f>
        <v/>
      </c>
      <c r="N24" s="160"/>
      <c r="P24" s="161"/>
      <c r="Q24" s="161"/>
    </row>
    <row r="25" spans="1:17" x14ac:dyDescent="0.2">
      <c r="A25" s="95"/>
      <c r="B25" s="167"/>
      <c r="C25" s="166" t="s">
        <v>42</v>
      </c>
      <c r="D25" s="167" t="s">
        <v>108</v>
      </c>
      <c r="E25" s="166" t="str">
        <f t="shared" si="3"/>
        <v>3Y</v>
      </c>
      <c r="F25" s="165" t="s">
        <v>142</v>
      </c>
      <c r="G25" s="165" t="s">
        <v>135</v>
      </c>
      <c r="H25" s="165" t="str">
        <f t="shared" si="0"/>
        <v>Actual/360</v>
      </c>
      <c r="I25" s="164">
        <v>0</v>
      </c>
      <c r="J25" s="163" t="str">
        <f t="shared" si="1"/>
        <v>EUREON3Y_Quote</v>
      </c>
      <c r="K25" s="163" t="str">
        <f t="shared" si="2"/>
        <v>EUR_YCONRH_EON3Y</v>
      </c>
      <c r="L25" s="162" t="str">
        <f>_xll.qlOISRateHelper(K25,2,C25,J25,$L$4,,Permanent,Trigger,ObjectOverwrite)</f>
        <v>EUR_YCONRH_EON3Y#0001</v>
      </c>
      <c r="M25" s="96" t="str">
        <f>_xll.ohRangeRetrieveError(L25)</f>
        <v/>
      </c>
      <c r="N25" s="160"/>
      <c r="P25" s="161"/>
      <c r="Q25" s="161"/>
    </row>
    <row r="26" spans="1:17" x14ac:dyDescent="0.2">
      <c r="A26" s="95"/>
      <c r="B26" s="167"/>
      <c r="C26" s="166" t="s">
        <v>41</v>
      </c>
      <c r="D26" s="167" t="s">
        <v>108</v>
      </c>
      <c r="E26" s="166" t="str">
        <f t="shared" si="3"/>
        <v>4Y</v>
      </c>
      <c r="F26" s="165" t="s">
        <v>142</v>
      </c>
      <c r="G26" s="165" t="s">
        <v>135</v>
      </c>
      <c r="H26" s="165" t="str">
        <f t="shared" si="0"/>
        <v>Actual/360</v>
      </c>
      <c r="I26" s="164">
        <v>0</v>
      </c>
      <c r="J26" s="163" t="str">
        <f t="shared" si="1"/>
        <v>EUREON4Y_Quote</v>
      </c>
      <c r="K26" s="163" t="str">
        <f t="shared" si="2"/>
        <v>EUR_YCONRH_EON4Y</v>
      </c>
      <c r="L26" s="162" t="str">
        <f>_xll.qlOISRateHelper(K26,2,C26,J26,$L$4,,Permanent,Trigger,ObjectOverwrite)</f>
        <v>EUR_YCONRH_EON4Y#0001</v>
      </c>
      <c r="M26" s="96" t="str">
        <f>_xll.ohRangeRetrieveError(L26)</f>
        <v/>
      </c>
      <c r="N26" s="160"/>
      <c r="P26" s="161"/>
      <c r="Q26" s="161"/>
    </row>
    <row r="27" spans="1:17" x14ac:dyDescent="0.2">
      <c r="A27" s="95"/>
      <c r="B27" s="167"/>
      <c r="C27" s="166" t="s">
        <v>40</v>
      </c>
      <c r="D27" s="167" t="s">
        <v>108</v>
      </c>
      <c r="E27" s="166" t="str">
        <f t="shared" si="3"/>
        <v>5Y</v>
      </c>
      <c r="F27" s="165" t="s">
        <v>142</v>
      </c>
      <c r="G27" s="165" t="s">
        <v>135</v>
      </c>
      <c r="H27" s="165" t="str">
        <f t="shared" si="0"/>
        <v>Actual/360</v>
      </c>
      <c r="I27" s="164">
        <v>0</v>
      </c>
      <c r="J27" s="163" t="str">
        <f t="shared" si="1"/>
        <v>EUREON5Y_Quote</v>
      </c>
      <c r="K27" s="163" t="str">
        <f t="shared" si="2"/>
        <v>EUR_YCONRH_EON5Y</v>
      </c>
      <c r="L27" s="162" t="str">
        <f>_xll.qlOISRateHelper(K27,2,C27,J27,$L$4,,Permanent,Trigger,ObjectOverwrite)</f>
        <v>EUR_YCONRH_EON5Y#0001</v>
      </c>
      <c r="M27" s="96" t="str">
        <f>_xll.ohRangeRetrieveError(L27)</f>
        <v/>
      </c>
      <c r="N27" s="160"/>
      <c r="P27" s="161"/>
      <c r="Q27" s="161"/>
    </row>
    <row r="28" spans="1:17" x14ac:dyDescent="0.2">
      <c r="A28" s="95"/>
      <c r="B28" s="167"/>
      <c r="C28" s="166" t="s">
        <v>39</v>
      </c>
      <c r="D28" s="167" t="s">
        <v>108</v>
      </c>
      <c r="E28" s="166" t="str">
        <f t="shared" si="3"/>
        <v>6Y</v>
      </c>
      <c r="F28" s="165" t="s">
        <v>142</v>
      </c>
      <c r="G28" s="165" t="s">
        <v>135</v>
      </c>
      <c r="H28" s="165" t="str">
        <f t="shared" si="0"/>
        <v>Actual/360</v>
      </c>
      <c r="I28" s="164">
        <v>0</v>
      </c>
      <c r="J28" s="163" t="str">
        <f t="shared" si="1"/>
        <v>EUREON6Y_Quote</v>
      </c>
      <c r="K28" s="163" t="str">
        <f t="shared" si="2"/>
        <v>EUR_YCONRH_EON6Y</v>
      </c>
      <c r="L28" s="162" t="str">
        <f>_xll.qlOISRateHelper(K28,2,C28,J28,$L$4,,Permanent,Trigger,ObjectOverwrite)</f>
        <v>EUR_YCONRH_EON6Y#0001</v>
      </c>
      <c r="M28" s="96" t="str">
        <f>_xll.ohRangeRetrieveError(L28)</f>
        <v/>
      </c>
      <c r="N28" s="160"/>
      <c r="P28" s="161"/>
      <c r="Q28" s="161"/>
    </row>
    <row r="29" spans="1:17" x14ac:dyDescent="0.2">
      <c r="A29" s="95"/>
      <c r="B29" s="167"/>
      <c r="C29" s="166" t="s">
        <v>38</v>
      </c>
      <c r="D29" s="167" t="s">
        <v>108</v>
      </c>
      <c r="E29" s="166" t="str">
        <f t="shared" si="3"/>
        <v>7Y</v>
      </c>
      <c r="F29" s="165" t="s">
        <v>142</v>
      </c>
      <c r="G29" s="165" t="s">
        <v>135</v>
      </c>
      <c r="H29" s="165" t="str">
        <f t="shared" si="0"/>
        <v>Actual/360</v>
      </c>
      <c r="I29" s="164">
        <v>0</v>
      </c>
      <c r="J29" s="163" t="str">
        <f t="shared" si="1"/>
        <v>EUREON7Y_Quote</v>
      </c>
      <c r="K29" s="163" t="str">
        <f t="shared" si="2"/>
        <v>EUR_YCONRH_EON7Y</v>
      </c>
      <c r="L29" s="162" t="str">
        <f>_xll.qlOISRateHelper(K29,2,C29,J29,$L$4,,Permanent,Trigger,ObjectOverwrite)</f>
        <v>EUR_YCONRH_EON7Y#0001</v>
      </c>
      <c r="M29" s="96" t="str">
        <f>_xll.ohRangeRetrieveError(L29)</f>
        <v/>
      </c>
      <c r="N29" s="160"/>
      <c r="P29" s="161"/>
      <c r="Q29" s="161"/>
    </row>
    <row r="30" spans="1:17" x14ac:dyDescent="0.2">
      <c r="A30" s="95"/>
      <c r="B30" s="167"/>
      <c r="C30" s="166" t="s">
        <v>37</v>
      </c>
      <c r="D30" s="167" t="s">
        <v>108</v>
      </c>
      <c r="E30" s="166" t="str">
        <f t="shared" si="3"/>
        <v>8Y</v>
      </c>
      <c r="F30" s="165" t="s">
        <v>142</v>
      </c>
      <c r="G30" s="165" t="s">
        <v>135</v>
      </c>
      <c r="H30" s="165" t="str">
        <f t="shared" si="0"/>
        <v>Actual/360</v>
      </c>
      <c r="I30" s="164">
        <v>0</v>
      </c>
      <c r="J30" s="163" t="str">
        <f t="shared" si="1"/>
        <v>EUREON8Y_Quote</v>
      </c>
      <c r="K30" s="163" t="str">
        <f t="shared" si="2"/>
        <v>EUR_YCONRH_EON8Y</v>
      </c>
      <c r="L30" s="162" t="str">
        <f>_xll.qlOISRateHelper(K30,2,C30,J30,$L$4,,Permanent,Trigger,ObjectOverwrite)</f>
        <v>EUR_YCONRH_EON8Y#0001</v>
      </c>
      <c r="M30" s="96" t="str">
        <f>_xll.ohRangeRetrieveError(L30)</f>
        <v/>
      </c>
      <c r="N30" s="160"/>
      <c r="P30" s="161"/>
      <c r="Q30" s="161"/>
    </row>
    <row r="31" spans="1:17" x14ac:dyDescent="0.2">
      <c r="A31" s="95"/>
      <c r="B31" s="167"/>
      <c r="C31" s="166" t="s">
        <v>36</v>
      </c>
      <c r="D31" s="167" t="s">
        <v>108</v>
      </c>
      <c r="E31" s="166" t="str">
        <f t="shared" si="3"/>
        <v>9Y</v>
      </c>
      <c r="F31" s="165" t="s">
        <v>142</v>
      </c>
      <c r="G31" s="165" t="s">
        <v>135</v>
      </c>
      <c r="H31" s="165" t="str">
        <f t="shared" si="0"/>
        <v>Actual/360</v>
      </c>
      <c r="I31" s="164">
        <v>0</v>
      </c>
      <c r="J31" s="163" t="str">
        <f t="shared" si="1"/>
        <v>EUREON9Y_Quote</v>
      </c>
      <c r="K31" s="163" t="str">
        <f t="shared" si="2"/>
        <v>EUR_YCONRH_EON9Y</v>
      </c>
      <c r="L31" s="162" t="str">
        <f>_xll.qlOISRateHelper(K31,2,C31,J31,$L$4,,Permanent,Trigger,ObjectOverwrite)</f>
        <v>EUR_YCONRH_EON9Y#0001</v>
      </c>
      <c r="M31" s="96" t="str">
        <f>_xll.ohRangeRetrieveError(L31)</f>
        <v/>
      </c>
      <c r="N31" s="160"/>
      <c r="P31" s="161"/>
      <c r="Q31" s="161"/>
    </row>
    <row r="32" spans="1:17" x14ac:dyDescent="0.2">
      <c r="A32" s="95"/>
      <c r="B32" s="167"/>
      <c r="C32" s="166" t="s">
        <v>35</v>
      </c>
      <c r="D32" s="167" t="s">
        <v>108</v>
      </c>
      <c r="E32" s="166" t="str">
        <f t="shared" si="3"/>
        <v>10Y</v>
      </c>
      <c r="F32" s="165" t="s">
        <v>142</v>
      </c>
      <c r="G32" s="165" t="s">
        <v>135</v>
      </c>
      <c r="H32" s="165" t="str">
        <f t="shared" si="0"/>
        <v>Actual/360</v>
      </c>
      <c r="I32" s="164">
        <v>0</v>
      </c>
      <c r="J32" s="163" t="str">
        <f t="shared" si="1"/>
        <v>EUREON10Y_Quote</v>
      </c>
      <c r="K32" s="163" t="str">
        <f t="shared" si="2"/>
        <v>EUR_YCONRH_EON10Y</v>
      </c>
      <c r="L32" s="162" t="str">
        <f>_xll.qlOISRateHelper(K32,2,C32,J32,$L$4,,Permanent,Trigger,ObjectOverwrite)</f>
        <v>EUR_YCONRH_EON10Y#0001</v>
      </c>
      <c r="M32" s="96" t="str">
        <f>_xll.ohRangeRetrieveError(L32)</f>
        <v/>
      </c>
      <c r="N32" s="160"/>
      <c r="P32" s="161"/>
      <c r="Q32" s="161"/>
    </row>
    <row r="33" spans="1:17" x14ac:dyDescent="0.2">
      <c r="A33" s="95"/>
      <c r="B33" s="167"/>
      <c r="C33" s="166" t="s">
        <v>34</v>
      </c>
      <c r="D33" s="167" t="s">
        <v>108</v>
      </c>
      <c r="E33" s="166" t="str">
        <f t="shared" si="3"/>
        <v>11Y</v>
      </c>
      <c r="F33" s="165" t="s">
        <v>142</v>
      </c>
      <c r="G33" s="165" t="s">
        <v>135</v>
      </c>
      <c r="H33" s="165" t="str">
        <f t="shared" si="0"/>
        <v>Actual/360</v>
      </c>
      <c r="I33" s="164">
        <v>0</v>
      </c>
      <c r="J33" s="163" t="str">
        <f t="shared" si="1"/>
        <v>EUREON11Y_Quote</v>
      </c>
      <c r="K33" s="163" t="str">
        <f t="shared" si="2"/>
        <v>EUR_YCONRH_EON11Y</v>
      </c>
      <c r="L33" s="162" t="str">
        <f>_xll.qlOISRateHelper(K33,2,C33,J33,$L$4,,Permanent,Trigger,ObjectOverwrite)</f>
        <v>EUR_YCONRH_EON11Y#0001</v>
      </c>
      <c r="M33" s="96" t="str">
        <f>_xll.ohRangeRetrieveError(L33)</f>
        <v/>
      </c>
      <c r="N33" s="160"/>
      <c r="P33" s="161"/>
      <c r="Q33" s="161"/>
    </row>
    <row r="34" spans="1:17" x14ac:dyDescent="0.2">
      <c r="A34" s="95"/>
      <c r="B34" s="167"/>
      <c r="C34" s="166" t="s">
        <v>33</v>
      </c>
      <c r="D34" s="167" t="s">
        <v>108</v>
      </c>
      <c r="E34" s="166" t="str">
        <f t="shared" si="3"/>
        <v>12Y</v>
      </c>
      <c r="F34" s="165" t="s">
        <v>142</v>
      </c>
      <c r="G34" s="165" t="s">
        <v>135</v>
      </c>
      <c r="H34" s="165" t="str">
        <f t="shared" si="0"/>
        <v>Actual/360</v>
      </c>
      <c r="I34" s="164">
        <v>0</v>
      </c>
      <c r="J34" s="163" t="str">
        <f t="shared" si="1"/>
        <v>EUREON12Y_Quote</v>
      </c>
      <c r="K34" s="163" t="str">
        <f t="shared" si="2"/>
        <v>EUR_YCONRH_EON12Y</v>
      </c>
      <c r="L34" s="162" t="str">
        <f>_xll.qlOISRateHelper(K34,2,C34,J34,$L$4,,Permanent,Trigger,ObjectOverwrite)</f>
        <v>EUR_YCONRH_EON12Y#0001</v>
      </c>
      <c r="M34" s="96" t="str">
        <f>_xll.ohRangeRetrieveError(L34)</f>
        <v/>
      </c>
      <c r="N34" s="160"/>
      <c r="P34" s="161"/>
      <c r="Q34" s="161"/>
    </row>
    <row r="35" spans="1:17" x14ac:dyDescent="0.2">
      <c r="A35" s="95"/>
      <c r="B35" s="167"/>
      <c r="C35" s="166" t="s">
        <v>30</v>
      </c>
      <c r="D35" s="167" t="s">
        <v>108</v>
      </c>
      <c r="E35" s="166" t="str">
        <f t="shared" si="3"/>
        <v>15Y</v>
      </c>
      <c r="F35" s="165" t="s">
        <v>142</v>
      </c>
      <c r="G35" s="165" t="s">
        <v>135</v>
      </c>
      <c r="H35" s="165" t="str">
        <f t="shared" si="0"/>
        <v>Actual/360</v>
      </c>
      <c r="I35" s="164">
        <v>0</v>
      </c>
      <c r="J35" s="163" t="str">
        <f t="shared" si="1"/>
        <v>EUREON15Y_Quote</v>
      </c>
      <c r="K35" s="163" t="str">
        <f t="shared" si="2"/>
        <v>EUR_YCONRH_EON15Y</v>
      </c>
      <c r="L35" s="162" t="str">
        <f>_xll.qlOISRateHelper(K35,2,C35,J35,$L$4,,Permanent,Trigger,ObjectOverwrite)</f>
        <v>EUR_YCONRH_EON15Y#0001</v>
      </c>
      <c r="M35" s="96" t="str">
        <f>_xll.ohRangeRetrieveError(L35)</f>
        <v/>
      </c>
      <c r="N35" s="160"/>
      <c r="P35" s="161"/>
      <c r="Q35" s="161"/>
    </row>
    <row r="36" spans="1:17" x14ac:dyDescent="0.2">
      <c r="A36" s="95"/>
      <c r="B36" s="167"/>
      <c r="C36" s="166" t="s">
        <v>25</v>
      </c>
      <c r="D36" s="167" t="s">
        <v>108</v>
      </c>
      <c r="E36" s="166" t="str">
        <f t="shared" si="3"/>
        <v>20Y</v>
      </c>
      <c r="F36" s="165" t="s">
        <v>142</v>
      </c>
      <c r="G36" s="165" t="s">
        <v>135</v>
      </c>
      <c r="H36" s="165" t="str">
        <f t="shared" si="0"/>
        <v>Actual/360</v>
      </c>
      <c r="I36" s="164">
        <v>0</v>
      </c>
      <c r="J36" s="163" t="str">
        <f t="shared" si="1"/>
        <v>EUREON20Y_Quote</v>
      </c>
      <c r="K36" s="163" t="str">
        <f t="shared" si="2"/>
        <v>EUR_YCONRH_EON20Y</v>
      </c>
      <c r="L36" s="162" t="str">
        <f>_xll.qlOISRateHelper(K36,2,C36,J36,$L$4,,Permanent,Trigger,ObjectOverwrite)</f>
        <v>EUR_YCONRH_EON20Y#0001</v>
      </c>
      <c r="M36" s="96" t="str">
        <f>_xll.ohRangeRetrieveError(L36)</f>
        <v/>
      </c>
      <c r="N36" s="160"/>
      <c r="P36" s="161"/>
      <c r="Q36" s="161"/>
    </row>
    <row r="37" spans="1:17" x14ac:dyDescent="0.2">
      <c r="A37" s="95"/>
      <c r="B37" s="167"/>
      <c r="C37" s="166" t="s">
        <v>20</v>
      </c>
      <c r="D37" s="167" t="s">
        <v>108</v>
      </c>
      <c r="E37" s="166" t="str">
        <f t="shared" si="3"/>
        <v>25Y</v>
      </c>
      <c r="F37" s="165" t="s">
        <v>142</v>
      </c>
      <c r="G37" s="165" t="s">
        <v>135</v>
      </c>
      <c r="H37" s="165" t="str">
        <f t="shared" si="0"/>
        <v>Actual/360</v>
      </c>
      <c r="I37" s="164">
        <v>0</v>
      </c>
      <c r="J37" s="163" t="str">
        <f t="shared" si="1"/>
        <v>EUREON25Y_Quote</v>
      </c>
      <c r="K37" s="163" t="str">
        <f t="shared" si="2"/>
        <v>EUR_YCONRH_EON25Y</v>
      </c>
      <c r="L37" s="162" t="str">
        <f>_xll.qlOISRateHelper(K37,2,C37,J37,$L$4,,Permanent,Trigger,ObjectOverwrite)</f>
        <v>EUR_YCONRH_EON25Y#0001</v>
      </c>
      <c r="M37" s="96" t="str">
        <f>_xll.ohRangeRetrieveError(L37)</f>
        <v/>
      </c>
      <c r="N37" s="160"/>
      <c r="P37" s="161"/>
      <c r="Q37" s="161"/>
    </row>
    <row r="38" spans="1:17" x14ac:dyDescent="0.2">
      <c r="A38" s="95"/>
      <c r="B38" s="167"/>
      <c r="C38" s="166" t="s">
        <v>15</v>
      </c>
      <c r="D38" s="167" t="s">
        <v>108</v>
      </c>
      <c r="E38" s="166" t="str">
        <f t="shared" ref="E38:E40" si="4">C38</f>
        <v>30Y</v>
      </c>
      <c r="F38" s="165" t="s">
        <v>142</v>
      </c>
      <c r="G38" s="165" t="s">
        <v>135</v>
      </c>
      <c r="H38" s="165" t="str">
        <f t="shared" si="0"/>
        <v>Actual/360</v>
      </c>
      <c r="I38" s="164">
        <v>0</v>
      </c>
      <c r="J38" s="163" t="str">
        <f t="shared" si="1"/>
        <v>EUREON30Y_Quote</v>
      </c>
      <c r="K38" s="163" t="str">
        <f t="shared" si="2"/>
        <v>EUR_YCONRH_EON30Y</v>
      </c>
      <c r="L38" s="162" t="str">
        <f>_xll.qlOISRateHelper(K38,2,C38,J38,$L$4,,Permanent,Trigger,ObjectOverwrite)</f>
        <v>EUR_YCONRH_EON30Y#0001</v>
      </c>
      <c r="M38" s="96" t="str">
        <f>_xll.ohRangeRetrieveError(L38)</f>
        <v/>
      </c>
      <c r="N38" s="160"/>
      <c r="P38" s="161"/>
      <c r="Q38" s="161"/>
    </row>
    <row r="39" spans="1:17" x14ac:dyDescent="0.2">
      <c r="A39" s="95"/>
      <c r="B39" s="167"/>
      <c r="C39" s="166" t="s">
        <v>13</v>
      </c>
      <c r="D39" s="167" t="s">
        <v>108</v>
      </c>
      <c r="E39" s="166" t="str">
        <f t="shared" si="4"/>
        <v>40Y</v>
      </c>
      <c r="F39" s="165" t="s">
        <v>142</v>
      </c>
      <c r="G39" s="165" t="s">
        <v>135</v>
      </c>
      <c r="H39" s="165" t="str">
        <f t="shared" si="0"/>
        <v>Actual/360</v>
      </c>
      <c r="I39" s="164">
        <v>0</v>
      </c>
      <c r="J39" s="163" t="str">
        <f t="shared" si="1"/>
        <v>EUREON40Y_Quote</v>
      </c>
      <c r="K39" s="163" t="str">
        <f t="shared" si="2"/>
        <v>EUR_YCONRH_EON40Y</v>
      </c>
      <c r="L39" s="162" t="str">
        <f>_xll.qlOISRateHelper(K39,2,C39,J39,$L$4,,Permanent,Trigger,ObjectOverwrite)</f>
        <v>EUR_YCONRH_EON40Y#0001</v>
      </c>
      <c r="M39" s="96" t="str">
        <f>_xll.ohRangeRetrieveError(L39)</f>
        <v/>
      </c>
      <c r="N39" s="160"/>
      <c r="P39" s="161"/>
      <c r="Q39" s="161"/>
    </row>
    <row r="40" spans="1:17" x14ac:dyDescent="0.2">
      <c r="A40" s="95"/>
      <c r="B40" s="167"/>
      <c r="C40" s="166" t="s">
        <v>12</v>
      </c>
      <c r="D40" s="167" t="s">
        <v>108</v>
      </c>
      <c r="E40" s="166" t="str">
        <f t="shared" si="4"/>
        <v>50Y</v>
      </c>
      <c r="F40" s="165" t="s">
        <v>142</v>
      </c>
      <c r="G40" s="165" t="s">
        <v>135</v>
      </c>
      <c r="H40" s="165" t="str">
        <f t="shared" si="0"/>
        <v>Actual/360</v>
      </c>
      <c r="I40" s="164">
        <v>0</v>
      </c>
      <c r="J40" s="163" t="str">
        <f t="shared" si="1"/>
        <v>EUREON50Y_Quote</v>
      </c>
      <c r="K40" s="163" t="str">
        <f t="shared" si="2"/>
        <v>EUR_YCONRH_EON50Y</v>
      </c>
      <c r="L40" s="162" t="str">
        <f>_xll.qlOISRateHelper(K40,2,C40,J40,$L$4,,Permanent,Trigger,ObjectOverwrite)</f>
        <v>EUR_YCONRH_EON50Y#0001</v>
      </c>
      <c r="M40" s="96" t="str">
        <f>_xll.ohRangeRetrieveError(L40)</f>
        <v/>
      </c>
      <c r="N40" s="160"/>
      <c r="P40" s="161"/>
      <c r="Q40" s="161"/>
    </row>
    <row r="41" spans="1:17" x14ac:dyDescent="0.2">
      <c r="A41" s="95"/>
      <c r="B41" s="167"/>
      <c r="C41" s="166" t="s">
        <v>11</v>
      </c>
      <c r="D41" s="167" t="s">
        <v>108</v>
      </c>
      <c r="E41" s="166" t="str">
        <f t="shared" si="3"/>
        <v>60Y</v>
      </c>
      <c r="F41" s="165" t="s">
        <v>142</v>
      </c>
      <c r="G41" s="165" t="s">
        <v>135</v>
      </c>
      <c r="H41" s="165" t="str">
        <f t="shared" si="0"/>
        <v>Actual/360</v>
      </c>
      <c r="I41" s="164">
        <v>0</v>
      </c>
      <c r="J41" s="163" t="str">
        <f t="shared" si="1"/>
        <v>EUREON60Y_Quote</v>
      </c>
      <c r="K41" s="163" t="str">
        <f t="shared" si="2"/>
        <v>EUR_YCONRH_EON60Y</v>
      </c>
      <c r="L41" s="162" t="str">
        <f>_xll.qlOISRateHelper(K41,2,C41,J41,$L$4,,Permanent,Trigger,ObjectOverwrite)</f>
        <v>EUR_YCONRH_EON60Y#0001</v>
      </c>
      <c r="M41" s="96" t="str">
        <f>_xll.ohRangeRetrieveError(L41)</f>
        <v/>
      </c>
      <c r="N41" s="160"/>
      <c r="P41" s="161"/>
      <c r="Q41" s="161"/>
    </row>
    <row r="42" spans="1:17" ht="12" thickBot="1" x14ac:dyDescent="0.25">
      <c r="A42" s="94"/>
      <c r="B42" s="93"/>
      <c r="C42" s="93"/>
      <c r="D42" s="93"/>
      <c r="E42" s="93"/>
      <c r="F42" s="93"/>
      <c r="G42" s="93"/>
      <c r="H42" s="93"/>
      <c r="I42" s="93"/>
      <c r="J42" s="93"/>
      <c r="K42" s="93"/>
      <c r="L42" s="159"/>
      <c r="M42" s="159"/>
      <c r="N42" s="158"/>
      <c r="P42" s="161"/>
      <c r="Q42" s="161"/>
    </row>
  </sheetData>
  <dataValidations count="2">
    <dataValidation type="list" allowBlank="1" showInputMessage="1" showErrorMessage="1" sqref="WVO983013:WVO983081 G65509:G65577 JC65509:JC65577 SY65509:SY65577 ACU65509:ACU65577 AMQ65509:AMQ65577 AWM65509:AWM65577 BGI65509:BGI65577 BQE65509:BQE65577 CAA65509:CAA65577 CJW65509:CJW65577 CTS65509:CTS65577 DDO65509:DDO65577 DNK65509:DNK65577 DXG65509:DXG65577 EHC65509:EHC65577 EQY65509:EQY65577 FAU65509:FAU65577 FKQ65509:FKQ65577 FUM65509:FUM65577 GEI65509:GEI65577 GOE65509:GOE65577 GYA65509:GYA65577 HHW65509:HHW65577 HRS65509:HRS65577 IBO65509:IBO65577 ILK65509:ILK65577 IVG65509:IVG65577 JFC65509:JFC65577 JOY65509:JOY65577 JYU65509:JYU65577 KIQ65509:KIQ65577 KSM65509:KSM65577 LCI65509:LCI65577 LME65509:LME65577 LWA65509:LWA65577 MFW65509:MFW65577 MPS65509:MPS65577 MZO65509:MZO65577 NJK65509:NJK65577 NTG65509:NTG65577 ODC65509:ODC65577 OMY65509:OMY65577 OWU65509:OWU65577 PGQ65509:PGQ65577 PQM65509:PQM65577 QAI65509:QAI65577 QKE65509:QKE65577 QUA65509:QUA65577 RDW65509:RDW65577 RNS65509:RNS65577 RXO65509:RXO65577 SHK65509:SHK65577 SRG65509:SRG65577 TBC65509:TBC65577 TKY65509:TKY65577 TUU65509:TUU65577 UEQ65509:UEQ65577 UOM65509:UOM65577 UYI65509:UYI65577 VIE65509:VIE65577 VSA65509:VSA65577 WBW65509:WBW65577 WLS65509:WLS65577 WVO65509:WVO65577 G131045:G131113 JC131045:JC131113 SY131045:SY131113 ACU131045:ACU131113 AMQ131045:AMQ131113 AWM131045:AWM131113 BGI131045:BGI131113 BQE131045:BQE131113 CAA131045:CAA131113 CJW131045:CJW131113 CTS131045:CTS131113 DDO131045:DDO131113 DNK131045:DNK131113 DXG131045:DXG131113 EHC131045:EHC131113 EQY131045:EQY131113 FAU131045:FAU131113 FKQ131045:FKQ131113 FUM131045:FUM131113 GEI131045:GEI131113 GOE131045:GOE131113 GYA131045:GYA131113 HHW131045:HHW131113 HRS131045:HRS131113 IBO131045:IBO131113 ILK131045:ILK131113 IVG131045:IVG131113 JFC131045:JFC131113 JOY131045:JOY131113 JYU131045:JYU131113 KIQ131045:KIQ131113 KSM131045:KSM131113 LCI131045:LCI131113 LME131045:LME131113 LWA131045:LWA131113 MFW131045:MFW131113 MPS131045:MPS131113 MZO131045:MZO131113 NJK131045:NJK131113 NTG131045:NTG131113 ODC131045:ODC131113 OMY131045:OMY131113 OWU131045:OWU131113 PGQ131045:PGQ131113 PQM131045:PQM131113 QAI131045:QAI131113 QKE131045:QKE131113 QUA131045:QUA131113 RDW131045:RDW131113 RNS131045:RNS131113 RXO131045:RXO131113 SHK131045:SHK131113 SRG131045:SRG131113 TBC131045:TBC131113 TKY131045:TKY131113 TUU131045:TUU131113 UEQ131045:UEQ131113 UOM131045:UOM131113 UYI131045:UYI131113 VIE131045:VIE131113 VSA131045:VSA131113 WBW131045:WBW131113 WLS131045:WLS131113 WVO131045:WVO131113 G196581:G196649 JC196581:JC196649 SY196581:SY196649 ACU196581:ACU196649 AMQ196581:AMQ196649 AWM196581:AWM196649 BGI196581:BGI196649 BQE196581:BQE196649 CAA196581:CAA196649 CJW196581:CJW196649 CTS196581:CTS196649 DDO196581:DDO196649 DNK196581:DNK196649 DXG196581:DXG196649 EHC196581:EHC196649 EQY196581:EQY196649 FAU196581:FAU196649 FKQ196581:FKQ196649 FUM196581:FUM196649 GEI196581:GEI196649 GOE196581:GOE196649 GYA196581:GYA196649 HHW196581:HHW196649 HRS196581:HRS196649 IBO196581:IBO196649 ILK196581:ILK196649 IVG196581:IVG196649 JFC196581:JFC196649 JOY196581:JOY196649 JYU196581:JYU196649 KIQ196581:KIQ196649 KSM196581:KSM196649 LCI196581:LCI196649 LME196581:LME196649 LWA196581:LWA196649 MFW196581:MFW196649 MPS196581:MPS196649 MZO196581:MZO196649 NJK196581:NJK196649 NTG196581:NTG196649 ODC196581:ODC196649 OMY196581:OMY196649 OWU196581:OWU196649 PGQ196581:PGQ196649 PQM196581:PQM196649 QAI196581:QAI196649 QKE196581:QKE196649 QUA196581:QUA196649 RDW196581:RDW196649 RNS196581:RNS196649 RXO196581:RXO196649 SHK196581:SHK196649 SRG196581:SRG196649 TBC196581:TBC196649 TKY196581:TKY196649 TUU196581:TUU196649 UEQ196581:UEQ196649 UOM196581:UOM196649 UYI196581:UYI196649 VIE196581:VIE196649 VSA196581:VSA196649 WBW196581:WBW196649 WLS196581:WLS196649 WVO196581:WVO196649 G262117:G262185 JC262117:JC262185 SY262117:SY262185 ACU262117:ACU262185 AMQ262117:AMQ262185 AWM262117:AWM262185 BGI262117:BGI262185 BQE262117:BQE262185 CAA262117:CAA262185 CJW262117:CJW262185 CTS262117:CTS262185 DDO262117:DDO262185 DNK262117:DNK262185 DXG262117:DXG262185 EHC262117:EHC262185 EQY262117:EQY262185 FAU262117:FAU262185 FKQ262117:FKQ262185 FUM262117:FUM262185 GEI262117:GEI262185 GOE262117:GOE262185 GYA262117:GYA262185 HHW262117:HHW262185 HRS262117:HRS262185 IBO262117:IBO262185 ILK262117:ILK262185 IVG262117:IVG262185 JFC262117:JFC262185 JOY262117:JOY262185 JYU262117:JYU262185 KIQ262117:KIQ262185 KSM262117:KSM262185 LCI262117:LCI262185 LME262117:LME262185 LWA262117:LWA262185 MFW262117:MFW262185 MPS262117:MPS262185 MZO262117:MZO262185 NJK262117:NJK262185 NTG262117:NTG262185 ODC262117:ODC262185 OMY262117:OMY262185 OWU262117:OWU262185 PGQ262117:PGQ262185 PQM262117:PQM262185 QAI262117:QAI262185 QKE262117:QKE262185 QUA262117:QUA262185 RDW262117:RDW262185 RNS262117:RNS262185 RXO262117:RXO262185 SHK262117:SHK262185 SRG262117:SRG262185 TBC262117:TBC262185 TKY262117:TKY262185 TUU262117:TUU262185 UEQ262117:UEQ262185 UOM262117:UOM262185 UYI262117:UYI262185 VIE262117:VIE262185 VSA262117:VSA262185 WBW262117:WBW262185 WLS262117:WLS262185 WVO262117:WVO262185 G327653:G327721 JC327653:JC327721 SY327653:SY327721 ACU327653:ACU327721 AMQ327653:AMQ327721 AWM327653:AWM327721 BGI327653:BGI327721 BQE327653:BQE327721 CAA327653:CAA327721 CJW327653:CJW327721 CTS327653:CTS327721 DDO327653:DDO327721 DNK327653:DNK327721 DXG327653:DXG327721 EHC327653:EHC327721 EQY327653:EQY327721 FAU327653:FAU327721 FKQ327653:FKQ327721 FUM327653:FUM327721 GEI327653:GEI327721 GOE327653:GOE327721 GYA327653:GYA327721 HHW327653:HHW327721 HRS327653:HRS327721 IBO327653:IBO327721 ILK327653:ILK327721 IVG327653:IVG327721 JFC327653:JFC327721 JOY327653:JOY327721 JYU327653:JYU327721 KIQ327653:KIQ327721 KSM327653:KSM327721 LCI327653:LCI327721 LME327653:LME327721 LWA327653:LWA327721 MFW327653:MFW327721 MPS327653:MPS327721 MZO327653:MZO327721 NJK327653:NJK327721 NTG327653:NTG327721 ODC327653:ODC327721 OMY327653:OMY327721 OWU327653:OWU327721 PGQ327653:PGQ327721 PQM327653:PQM327721 QAI327653:QAI327721 QKE327653:QKE327721 QUA327653:QUA327721 RDW327653:RDW327721 RNS327653:RNS327721 RXO327653:RXO327721 SHK327653:SHK327721 SRG327653:SRG327721 TBC327653:TBC327721 TKY327653:TKY327721 TUU327653:TUU327721 UEQ327653:UEQ327721 UOM327653:UOM327721 UYI327653:UYI327721 VIE327653:VIE327721 VSA327653:VSA327721 WBW327653:WBW327721 WLS327653:WLS327721 WVO327653:WVO327721 G393189:G393257 JC393189:JC393257 SY393189:SY393257 ACU393189:ACU393257 AMQ393189:AMQ393257 AWM393189:AWM393257 BGI393189:BGI393257 BQE393189:BQE393257 CAA393189:CAA393257 CJW393189:CJW393257 CTS393189:CTS393257 DDO393189:DDO393257 DNK393189:DNK393257 DXG393189:DXG393257 EHC393189:EHC393257 EQY393189:EQY393257 FAU393189:FAU393257 FKQ393189:FKQ393257 FUM393189:FUM393257 GEI393189:GEI393257 GOE393189:GOE393257 GYA393189:GYA393257 HHW393189:HHW393257 HRS393189:HRS393257 IBO393189:IBO393257 ILK393189:ILK393257 IVG393189:IVG393257 JFC393189:JFC393257 JOY393189:JOY393257 JYU393189:JYU393257 KIQ393189:KIQ393257 KSM393189:KSM393257 LCI393189:LCI393257 LME393189:LME393257 LWA393189:LWA393257 MFW393189:MFW393257 MPS393189:MPS393257 MZO393189:MZO393257 NJK393189:NJK393257 NTG393189:NTG393257 ODC393189:ODC393257 OMY393189:OMY393257 OWU393189:OWU393257 PGQ393189:PGQ393257 PQM393189:PQM393257 QAI393189:QAI393257 QKE393189:QKE393257 QUA393189:QUA393257 RDW393189:RDW393257 RNS393189:RNS393257 RXO393189:RXO393257 SHK393189:SHK393257 SRG393189:SRG393257 TBC393189:TBC393257 TKY393189:TKY393257 TUU393189:TUU393257 UEQ393189:UEQ393257 UOM393189:UOM393257 UYI393189:UYI393257 VIE393189:VIE393257 VSA393189:VSA393257 WBW393189:WBW393257 WLS393189:WLS393257 WVO393189:WVO393257 G458725:G458793 JC458725:JC458793 SY458725:SY458793 ACU458725:ACU458793 AMQ458725:AMQ458793 AWM458725:AWM458793 BGI458725:BGI458793 BQE458725:BQE458793 CAA458725:CAA458793 CJW458725:CJW458793 CTS458725:CTS458793 DDO458725:DDO458793 DNK458725:DNK458793 DXG458725:DXG458793 EHC458725:EHC458793 EQY458725:EQY458793 FAU458725:FAU458793 FKQ458725:FKQ458793 FUM458725:FUM458793 GEI458725:GEI458793 GOE458725:GOE458793 GYA458725:GYA458793 HHW458725:HHW458793 HRS458725:HRS458793 IBO458725:IBO458793 ILK458725:ILK458793 IVG458725:IVG458793 JFC458725:JFC458793 JOY458725:JOY458793 JYU458725:JYU458793 KIQ458725:KIQ458793 KSM458725:KSM458793 LCI458725:LCI458793 LME458725:LME458793 LWA458725:LWA458793 MFW458725:MFW458793 MPS458725:MPS458793 MZO458725:MZO458793 NJK458725:NJK458793 NTG458725:NTG458793 ODC458725:ODC458793 OMY458725:OMY458793 OWU458725:OWU458793 PGQ458725:PGQ458793 PQM458725:PQM458793 QAI458725:QAI458793 QKE458725:QKE458793 QUA458725:QUA458793 RDW458725:RDW458793 RNS458725:RNS458793 RXO458725:RXO458793 SHK458725:SHK458793 SRG458725:SRG458793 TBC458725:TBC458793 TKY458725:TKY458793 TUU458725:TUU458793 UEQ458725:UEQ458793 UOM458725:UOM458793 UYI458725:UYI458793 VIE458725:VIE458793 VSA458725:VSA458793 WBW458725:WBW458793 WLS458725:WLS458793 WVO458725:WVO458793 G524261:G524329 JC524261:JC524329 SY524261:SY524329 ACU524261:ACU524329 AMQ524261:AMQ524329 AWM524261:AWM524329 BGI524261:BGI524329 BQE524261:BQE524329 CAA524261:CAA524329 CJW524261:CJW524329 CTS524261:CTS524329 DDO524261:DDO524329 DNK524261:DNK524329 DXG524261:DXG524329 EHC524261:EHC524329 EQY524261:EQY524329 FAU524261:FAU524329 FKQ524261:FKQ524329 FUM524261:FUM524329 GEI524261:GEI524329 GOE524261:GOE524329 GYA524261:GYA524329 HHW524261:HHW524329 HRS524261:HRS524329 IBO524261:IBO524329 ILK524261:ILK524329 IVG524261:IVG524329 JFC524261:JFC524329 JOY524261:JOY524329 JYU524261:JYU524329 KIQ524261:KIQ524329 KSM524261:KSM524329 LCI524261:LCI524329 LME524261:LME524329 LWA524261:LWA524329 MFW524261:MFW524329 MPS524261:MPS524329 MZO524261:MZO524329 NJK524261:NJK524329 NTG524261:NTG524329 ODC524261:ODC524329 OMY524261:OMY524329 OWU524261:OWU524329 PGQ524261:PGQ524329 PQM524261:PQM524329 QAI524261:QAI524329 QKE524261:QKE524329 QUA524261:QUA524329 RDW524261:RDW524329 RNS524261:RNS524329 RXO524261:RXO524329 SHK524261:SHK524329 SRG524261:SRG524329 TBC524261:TBC524329 TKY524261:TKY524329 TUU524261:TUU524329 UEQ524261:UEQ524329 UOM524261:UOM524329 UYI524261:UYI524329 VIE524261:VIE524329 VSA524261:VSA524329 WBW524261:WBW524329 WLS524261:WLS524329 WVO524261:WVO524329 G589797:G589865 JC589797:JC589865 SY589797:SY589865 ACU589797:ACU589865 AMQ589797:AMQ589865 AWM589797:AWM589865 BGI589797:BGI589865 BQE589797:BQE589865 CAA589797:CAA589865 CJW589797:CJW589865 CTS589797:CTS589865 DDO589797:DDO589865 DNK589797:DNK589865 DXG589797:DXG589865 EHC589797:EHC589865 EQY589797:EQY589865 FAU589797:FAU589865 FKQ589797:FKQ589865 FUM589797:FUM589865 GEI589797:GEI589865 GOE589797:GOE589865 GYA589797:GYA589865 HHW589797:HHW589865 HRS589797:HRS589865 IBO589797:IBO589865 ILK589797:ILK589865 IVG589797:IVG589865 JFC589797:JFC589865 JOY589797:JOY589865 JYU589797:JYU589865 KIQ589797:KIQ589865 KSM589797:KSM589865 LCI589797:LCI589865 LME589797:LME589865 LWA589797:LWA589865 MFW589797:MFW589865 MPS589797:MPS589865 MZO589797:MZO589865 NJK589797:NJK589865 NTG589797:NTG589865 ODC589797:ODC589865 OMY589797:OMY589865 OWU589797:OWU589865 PGQ589797:PGQ589865 PQM589797:PQM589865 QAI589797:QAI589865 QKE589797:QKE589865 QUA589797:QUA589865 RDW589797:RDW589865 RNS589797:RNS589865 RXO589797:RXO589865 SHK589797:SHK589865 SRG589797:SRG589865 TBC589797:TBC589865 TKY589797:TKY589865 TUU589797:TUU589865 UEQ589797:UEQ589865 UOM589797:UOM589865 UYI589797:UYI589865 VIE589797:VIE589865 VSA589797:VSA589865 WBW589797:WBW589865 WLS589797:WLS589865 WVO589797:WVO589865 G655333:G655401 JC655333:JC655401 SY655333:SY655401 ACU655333:ACU655401 AMQ655333:AMQ655401 AWM655333:AWM655401 BGI655333:BGI655401 BQE655333:BQE655401 CAA655333:CAA655401 CJW655333:CJW655401 CTS655333:CTS655401 DDO655333:DDO655401 DNK655333:DNK655401 DXG655333:DXG655401 EHC655333:EHC655401 EQY655333:EQY655401 FAU655333:FAU655401 FKQ655333:FKQ655401 FUM655333:FUM655401 GEI655333:GEI655401 GOE655333:GOE655401 GYA655333:GYA655401 HHW655333:HHW655401 HRS655333:HRS655401 IBO655333:IBO655401 ILK655333:ILK655401 IVG655333:IVG655401 JFC655333:JFC655401 JOY655333:JOY655401 JYU655333:JYU655401 KIQ655333:KIQ655401 KSM655333:KSM655401 LCI655333:LCI655401 LME655333:LME655401 LWA655333:LWA655401 MFW655333:MFW655401 MPS655333:MPS655401 MZO655333:MZO655401 NJK655333:NJK655401 NTG655333:NTG655401 ODC655333:ODC655401 OMY655333:OMY655401 OWU655333:OWU655401 PGQ655333:PGQ655401 PQM655333:PQM655401 QAI655333:QAI655401 QKE655333:QKE655401 QUA655333:QUA655401 RDW655333:RDW655401 RNS655333:RNS655401 RXO655333:RXO655401 SHK655333:SHK655401 SRG655333:SRG655401 TBC655333:TBC655401 TKY655333:TKY655401 TUU655333:TUU655401 UEQ655333:UEQ655401 UOM655333:UOM655401 UYI655333:UYI655401 VIE655333:VIE655401 VSA655333:VSA655401 WBW655333:WBW655401 WLS655333:WLS655401 WVO655333:WVO655401 G720869:G720937 JC720869:JC720937 SY720869:SY720937 ACU720869:ACU720937 AMQ720869:AMQ720937 AWM720869:AWM720937 BGI720869:BGI720937 BQE720869:BQE720937 CAA720869:CAA720937 CJW720869:CJW720937 CTS720869:CTS720937 DDO720869:DDO720937 DNK720869:DNK720937 DXG720869:DXG720937 EHC720869:EHC720937 EQY720869:EQY720937 FAU720869:FAU720937 FKQ720869:FKQ720937 FUM720869:FUM720937 GEI720869:GEI720937 GOE720869:GOE720937 GYA720869:GYA720937 HHW720869:HHW720937 HRS720869:HRS720937 IBO720869:IBO720937 ILK720869:ILK720937 IVG720869:IVG720937 JFC720869:JFC720937 JOY720869:JOY720937 JYU720869:JYU720937 KIQ720869:KIQ720937 KSM720869:KSM720937 LCI720869:LCI720937 LME720869:LME720937 LWA720869:LWA720937 MFW720869:MFW720937 MPS720869:MPS720937 MZO720869:MZO720937 NJK720869:NJK720937 NTG720869:NTG720937 ODC720869:ODC720937 OMY720869:OMY720937 OWU720869:OWU720937 PGQ720869:PGQ720937 PQM720869:PQM720937 QAI720869:QAI720937 QKE720869:QKE720937 QUA720869:QUA720937 RDW720869:RDW720937 RNS720869:RNS720937 RXO720869:RXO720937 SHK720869:SHK720937 SRG720869:SRG720937 TBC720869:TBC720937 TKY720869:TKY720937 TUU720869:TUU720937 UEQ720869:UEQ720937 UOM720869:UOM720937 UYI720869:UYI720937 VIE720869:VIE720937 VSA720869:VSA720937 WBW720869:WBW720937 WLS720869:WLS720937 WVO720869:WVO720937 G786405:G786473 JC786405:JC786473 SY786405:SY786473 ACU786405:ACU786473 AMQ786405:AMQ786473 AWM786405:AWM786473 BGI786405:BGI786473 BQE786405:BQE786473 CAA786405:CAA786473 CJW786405:CJW786473 CTS786405:CTS786473 DDO786405:DDO786473 DNK786405:DNK786473 DXG786405:DXG786473 EHC786405:EHC786473 EQY786405:EQY786473 FAU786405:FAU786473 FKQ786405:FKQ786473 FUM786405:FUM786473 GEI786405:GEI786473 GOE786405:GOE786473 GYA786405:GYA786473 HHW786405:HHW786473 HRS786405:HRS786473 IBO786405:IBO786473 ILK786405:ILK786473 IVG786405:IVG786473 JFC786405:JFC786473 JOY786405:JOY786473 JYU786405:JYU786473 KIQ786405:KIQ786473 KSM786405:KSM786473 LCI786405:LCI786473 LME786405:LME786473 LWA786405:LWA786473 MFW786405:MFW786473 MPS786405:MPS786473 MZO786405:MZO786473 NJK786405:NJK786473 NTG786405:NTG786473 ODC786405:ODC786473 OMY786405:OMY786473 OWU786405:OWU786473 PGQ786405:PGQ786473 PQM786405:PQM786473 QAI786405:QAI786473 QKE786405:QKE786473 QUA786405:QUA786473 RDW786405:RDW786473 RNS786405:RNS786473 RXO786405:RXO786473 SHK786405:SHK786473 SRG786405:SRG786473 TBC786405:TBC786473 TKY786405:TKY786473 TUU786405:TUU786473 UEQ786405:UEQ786473 UOM786405:UOM786473 UYI786405:UYI786473 VIE786405:VIE786473 VSA786405:VSA786473 WBW786405:WBW786473 WLS786405:WLS786473 WVO786405:WVO786473 G851941:G852009 JC851941:JC852009 SY851941:SY852009 ACU851941:ACU852009 AMQ851941:AMQ852009 AWM851941:AWM852009 BGI851941:BGI852009 BQE851941:BQE852009 CAA851941:CAA852009 CJW851941:CJW852009 CTS851941:CTS852009 DDO851941:DDO852009 DNK851941:DNK852009 DXG851941:DXG852009 EHC851941:EHC852009 EQY851941:EQY852009 FAU851941:FAU852009 FKQ851941:FKQ852009 FUM851941:FUM852009 GEI851941:GEI852009 GOE851941:GOE852009 GYA851941:GYA852009 HHW851941:HHW852009 HRS851941:HRS852009 IBO851941:IBO852009 ILK851941:ILK852009 IVG851941:IVG852009 JFC851941:JFC852009 JOY851941:JOY852009 JYU851941:JYU852009 KIQ851941:KIQ852009 KSM851941:KSM852009 LCI851941:LCI852009 LME851941:LME852009 LWA851941:LWA852009 MFW851941:MFW852009 MPS851941:MPS852009 MZO851941:MZO852009 NJK851941:NJK852009 NTG851941:NTG852009 ODC851941:ODC852009 OMY851941:OMY852009 OWU851941:OWU852009 PGQ851941:PGQ852009 PQM851941:PQM852009 QAI851941:QAI852009 QKE851941:QKE852009 QUA851941:QUA852009 RDW851941:RDW852009 RNS851941:RNS852009 RXO851941:RXO852009 SHK851941:SHK852009 SRG851941:SRG852009 TBC851941:TBC852009 TKY851941:TKY852009 TUU851941:TUU852009 UEQ851941:UEQ852009 UOM851941:UOM852009 UYI851941:UYI852009 VIE851941:VIE852009 VSA851941:VSA852009 WBW851941:WBW852009 WLS851941:WLS852009 WVO851941:WVO852009 G917477:G917545 JC917477:JC917545 SY917477:SY917545 ACU917477:ACU917545 AMQ917477:AMQ917545 AWM917477:AWM917545 BGI917477:BGI917545 BQE917477:BQE917545 CAA917477:CAA917545 CJW917477:CJW917545 CTS917477:CTS917545 DDO917477:DDO917545 DNK917477:DNK917545 DXG917477:DXG917545 EHC917477:EHC917545 EQY917477:EQY917545 FAU917477:FAU917545 FKQ917477:FKQ917545 FUM917477:FUM917545 GEI917477:GEI917545 GOE917477:GOE917545 GYA917477:GYA917545 HHW917477:HHW917545 HRS917477:HRS917545 IBO917477:IBO917545 ILK917477:ILK917545 IVG917477:IVG917545 JFC917477:JFC917545 JOY917477:JOY917545 JYU917477:JYU917545 KIQ917477:KIQ917545 KSM917477:KSM917545 LCI917477:LCI917545 LME917477:LME917545 LWA917477:LWA917545 MFW917477:MFW917545 MPS917477:MPS917545 MZO917477:MZO917545 NJK917477:NJK917545 NTG917477:NTG917545 ODC917477:ODC917545 OMY917477:OMY917545 OWU917477:OWU917545 PGQ917477:PGQ917545 PQM917477:PQM917545 QAI917477:QAI917545 QKE917477:QKE917545 QUA917477:QUA917545 RDW917477:RDW917545 RNS917477:RNS917545 RXO917477:RXO917545 SHK917477:SHK917545 SRG917477:SRG917545 TBC917477:TBC917545 TKY917477:TKY917545 TUU917477:TUU917545 UEQ917477:UEQ917545 UOM917477:UOM917545 UYI917477:UYI917545 VIE917477:VIE917545 VSA917477:VSA917545 WBW917477:WBW917545 WLS917477:WLS917545 WVO917477:WVO917545 G983013:G983081 JC983013:JC983081 SY983013:SY983081 ACU983013:ACU983081 AMQ983013:AMQ983081 AWM983013:AWM983081 BGI983013:BGI983081 BQE983013:BQE983081 CAA983013:CAA983081 CJW983013:CJW983081 CTS983013:CTS983081 DDO983013:DDO983081 DNK983013:DNK983081 DXG983013:DXG983081 EHC983013:EHC983081 EQY983013:EQY983081 FAU983013:FAU983081 FKQ983013:FKQ983081 FUM983013:FUM983081 GEI983013:GEI983081 GOE983013:GOE983081 GYA983013:GYA983081 HHW983013:HHW983081 HRS983013:HRS983081 IBO983013:IBO983081 ILK983013:ILK983081 IVG983013:IVG983081 JFC983013:JFC983081 JOY983013:JOY983081 JYU983013:JYU983081 KIQ983013:KIQ983081 KSM983013:KSM983081 LCI983013:LCI983081 LME983013:LME983081 LWA983013:LWA983081 MFW983013:MFW983081 MPS983013:MPS983081 MZO983013:MZO983081 NJK983013:NJK983081 NTG983013:NTG983081 ODC983013:ODC983081 OMY983013:OMY983081 OWU983013:OWU983081 PGQ983013:PGQ983081 PQM983013:PQM983081 QAI983013:QAI983081 QKE983013:QKE983081 QUA983013:QUA983081 RDW983013:RDW983081 RNS983013:RNS983081 RXO983013:RXO983081 SHK983013:SHK983081 SRG983013:SRG983081 TBC983013:TBC983081 TKY983013:TKY983081 TUU983013:TUU983081 UEQ983013:UEQ983081 UOM983013:UOM983081 UYI983013:UYI983081 VIE983013:VIE983081 VSA983013:VSA983081 WBW983013:WBW983081 WLS983013:WLS983081 G6:G41 JC6:JC41 SY6:SY41 ACU6:ACU41 AMQ6:AMQ41 AWM6:AWM41 BGI6:BGI41 BQE6:BQE41 CAA6:CAA41 CJW6:CJW41 CTS6:CTS41 DDO6:DDO41 DNK6:DNK41 DXG6:DXG41 EHC6:EHC41 EQY6:EQY41 FAU6:FAU41 FKQ6:FKQ41 FUM6:FUM41 GEI6:GEI41 GOE6:GOE41 GYA6:GYA41 HHW6:HHW41 HRS6:HRS41 IBO6:IBO41 ILK6:ILK41 IVG6:IVG41 JFC6:JFC41 JOY6:JOY41 JYU6:JYU41 KIQ6:KIQ41 KSM6:KSM41 LCI6:LCI41 LME6:LME41 LWA6:LWA41 MFW6:MFW41 MPS6:MPS41 MZO6:MZO41 NJK6:NJK41 NTG6:NTG41 ODC6:ODC41 OMY6:OMY41 OWU6:OWU41 PGQ6:PGQ41 PQM6:PQM41 QAI6:QAI41 QKE6:QKE41 QUA6:QUA41 RDW6:RDW41 RNS6:RNS41 RXO6:RXO41 SHK6:SHK41 SRG6:SRG41 TBC6:TBC41 TKY6:TKY41 TUU6:TUU41 UEQ6:UEQ41 UOM6:UOM41 UYI6:UYI41 VIE6:VIE41 VSA6:VSA41 WBW6:WBW41 WLS6:WLS41 WVO6:WVO41">
      <formula1>"Following,Modified Following,Preceding,Modified Preceding,Month End Reference,Unadjusted Month End,Unadjusted"</formula1>
    </dataValidation>
    <dataValidation type="list" allowBlank="1" showInputMessage="1" showErrorMessage="1" sqref="WVN983013:WVN983081 F65509:F65577 JB65509:JB65577 SX65509:SX65577 ACT65509:ACT65577 AMP65509:AMP65577 AWL65509:AWL65577 BGH65509:BGH65577 BQD65509:BQD65577 BZZ65509:BZZ65577 CJV65509:CJV65577 CTR65509:CTR65577 DDN65509:DDN65577 DNJ65509:DNJ65577 DXF65509:DXF65577 EHB65509:EHB65577 EQX65509:EQX65577 FAT65509:FAT65577 FKP65509:FKP65577 FUL65509:FUL65577 GEH65509:GEH65577 GOD65509:GOD65577 GXZ65509:GXZ65577 HHV65509:HHV65577 HRR65509:HRR65577 IBN65509:IBN65577 ILJ65509:ILJ65577 IVF65509:IVF65577 JFB65509:JFB65577 JOX65509:JOX65577 JYT65509:JYT65577 KIP65509:KIP65577 KSL65509:KSL65577 LCH65509:LCH65577 LMD65509:LMD65577 LVZ65509:LVZ65577 MFV65509:MFV65577 MPR65509:MPR65577 MZN65509:MZN65577 NJJ65509:NJJ65577 NTF65509:NTF65577 ODB65509:ODB65577 OMX65509:OMX65577 OWT65509:OWT65577 PGP65509:PGP65577 PQL65509:PQL65577 QAH65509:QAH65577 QKD65509:QKD65577 QTZ65509:QTZ65577 RDV65509:RDV65577 RNR65509:RNR65577 RXN65509:RXN65577 SHJ65509:SHJ65577 SRF65509:SRF65577 TBB65509:TBB65577 TKX65509:TKX65577 TUT65509:TUT65577 UEP65509:UEP65577 UOL65509:UOL65577 UYH65509:UYH65577 VID65509:VID65577 VRZ65509:VRZ65577 WBV65509:WBV65577 WLR65509:WLR65577 WVN65509:WVN65577 F131045:F131113 JB131045:JB131113 SX131045:SX131113 ACT131045:ACT131113 AMP131045:AMP131113 AWL131045:AWL131113 BGH131045:BGH131113 BQD131045:BQD131113 BZZ131045:BZZ131113 CJV131045:CJV131113 CTR131045:CTR131113 DDN131045:DDN131113 DNJ131045:DNJ131113 DXF131045:DXF131113 EHB131045:EHB131113 EQX131045:EQX131113 FAT131045:FAT131113 FKP131045:FKP131113 FUL131045:FUL131113 GEH131045:GEH131113 GOD131045:GOD131113 GXZ131045:GXZ131113 HHV131045:HHV131113 HRR131045:HRR131113 IBN131045:IBN131113 ILJ131045:ILJ131113 IVF131045:IVF131113 JFB131045:JFB131113 JOX131045:JOX131113 JYT131045:JYT131113 KIP131045:KIP131113 KSL131045:KSL131113 LCH131045:LCH131113 LMD131045:LMD131113 LVZ131045:LVZ131113 MFV131045:MFV131113 MPR131045:MPR131113 MZN131045:MZN131113 NJJ131045:NJJ131113 NTF131045:NTF131113 ODB131045:ODB131113 OMX131045:OMX131113 OWT131045:OWT131113 PGP131045:PGP131113 PQL131045:PQL131113 QAH131045:QAH131113 QKD131045:QKD131113 QTZ131045:QTZ131113 RDV131045:RDV131113 RNR131045:RNR131113 RXN131045:RXN131113 SHJ131045:SHJ131113 SRF131045:SRF131113 TBB131045:TBB131113 TKX131045:TKX131113 TUT131045:TUT131113 UEP131045:UEP131113 UOL131045:UOL131113 UYH131045:UYH131113 VID131045:VID131113 VRZ131045:VRZ131113 WBV131045:WBV131113 WLR131045:WLR131113 WVN131045:WVN131113 F196581:F196649 JB196581:JB196649 SX196581:SX196649 ACT196581:ACT196649 AMP196581:AMP196649 AWL196581:AWL196649 BGH196581:BGH196649 BQD196581:BQD196649 BZZ196581:BZZ196649 CJV196581:CJV196649 CTR196581:CTR196649 DDN196581:DDN196649 DNJ196581:DNJ196649 DXF196581:DXF196649 EHB196581:EHB196649 EQX196581:EQX196649 FAT196581:FAT196649 FKP196581:FKP196649 FUL196581:FUL196649 GEH196581:GEH196649 GOD196581:GOD196649 GXZ196581:GXZ196649 HHV196581:HHV196649 HRR196581:HRR196649 IBN196581:IBN196649 ILJ196581:ILJ196649 IVF196581:IVF196649 JFB196581:JFB196649 JOX196581:JOX196649 JYT196581:JYT196649 KIP196581:KIP196649 KSL196581:KSL196649 LCH196581:LCH196649 LMD196581:LMD196649 LVZ196581:LVZ196649 MFV196581:MFV196649 MPR196581:MPR196649 MZN196581:MZN196649 NJJ196581:NJJ196649 NTF196581:NTF196649 ODB196581:ODB196649 OMX196581:OMX196649 OWT196581:OWT196649 PGP196581:PGP196649 PQL196581:PQL196649 QAH196581:QAH196649 QKD196581:QKD196649 QTZ196581:QTZ196649 RDV196581:RDV196649 RNR196581:RNR196649 RXN196581:RXN196649 SHJ196581:SHJ196649 SRF196581:SRF196649 TBB196581:TBB196649 TKX196581:TKX196649 TUT196581:TUT196649 UEP196581:UEP196649 UOL196581:UOL196649 UYH196581:UYH196649 VID196581:VID196649 VRZ196581:VRZ196649 WBV196581:WBV196649 WLR196581:WLR196649 WVN196581:WVN196649 F262117:F262185 JB262117:JB262185 SX262117:SX262185 ACT262117:ACT262185 AMP262117:AMP262185 AWL262117:AWL262185 BGH262117:BGH262185 BQD262117:BQD262185 BZZ262117:BZZ262185 CJV262117:CJV262185 CTR262117:CTR262185 DDN262117:DDN262185 DNJ262117:DNJ262185 DXF262117:DXF262185 EHB262117:EHB262185 EQX262117:EQX262185 FAT262117:FAT262185 FKP262117:FKP262185 FUL262117:FUL262185 GEH262117:GEH262185 GOD262117:GOD262185 GXZ262117:GXZ262185 HHV262117:HHV262185 HRR262117:HRR262185 IBN262117:IBN262185 ILJ262117:ILJ262185 IVF262117:IVF262185 JFB262117:JFB262185 JOX262117:JOX262185 JYT262117:JYT262185 KIP262117:KIP262185 KSL262117:KSL262185 LCH262117:LCH262185 LMD262117:LMD262185 LVZ262117:LVZ262185 MFV262117:MFV262185 MPR262117:MPR262185 MZN262117:MZN262185 NJJ262117:NJJ262185 NTF262117:NTF262185 ODB262117:ODB262185 OMX262117:OMX262185 OWT262117:OWT262185 PGP262117:PGP262185 PQL262117:PQL262185 QAH262117:QAH262185 QKD262117:QKD262185 QTZ262117:QTZ262185 RDV262117:RDV262185 RNR262117:RNR262185 RXN262117:RXN262185 SHJ262117:SHJ262185 SRF262117:SRF262185 TBB262117:TBB262185 TKX262117:TKX262185 TUT262117:TUT262185 UEP262117:UEP262185 UOL262117:UOL262185 UYH262117:UYH262185 VID262117:VID262185 VRZ262117:VRZ262185 WBV262117:WBV262185 WLR262117:WLR262185 WVN262117:WVN262185 F327653:F327721 JB327653:JB327721 SX327653:SX327721 ACT327653:ACT327721 AMP327653:AMP327721 AWL327653:AWL327721 BGH327653:BGH327721 BQD327653:BQD327721 BZZ327653:BZZ327721 CJV327653:CJV327721 CTR327653:CTR327721 DDN327653:DDN327721 DNJ327653:DNJ327721 DXF327653:DXF327721 EHB327653:EHB327721 EQX327653:EQX327721 FAT327653:FAT327721 FKP327653:FKP327721 FUL327653:FUL327721 GEH327653:GEH327721 GOD327653:GOD327721 GXZ327653:GXZ327721 HHV327653:HHV327721 HRR327653:HRR327721 IBN327653:IBN327721 ILJ327653:ILJ327721 IVF327653:IVF327721 JFB327653:JFB327721 JOX327653:JOX327721 JYT327653:JYT327721 KIP327653:KIP327721 KSL327653:KSL327721 LCH327653:LCH327721 LMD327653:LMD327721 LVZ327653:LVZ327721 MFV327653:MFV327721 MPR327653:MPR327721 MZN327653:MZN327721 NJJ327653:NJJ327721 NTF327653:NTF327721 ODB327653:ODB327721 OMX327653:OMX327721 OWT327653:OWT327721 PGP327653:PGP327721 PQL327653:PQL327721 QAH327653:QAH327721 QKD327653:QKD327721 QTZ327653:QTZ327721 RDV327653:RDV327721 RNR327653:RNR327721 RXN327653:RXN327721 SHJ327653:SHJ327721 SRF327653:SRF327721 TBB327653:TBB327721 TKX327653:TKX327721 TUT327653:TUT327721 UEP327653:UEP327721 UOL327653:UOL327721 UYH327653:UYH327721 VID327653:VID327721 VRZ327653:VRZ327721 WBV327653:WBV327721 WLR327653:WLR327721 WVN327653:WVN327721 F393189:F393257 JB393189:JB393257 SX393189:SX393257 ACT393189:ACT393257 AMP393189:AMP393257 AWL393189:AWL393257 BGH393189:BGH393257 BQD393189:BQD393257 BZZ393189:BZZ393257 CJV393189:CJV393257 CTR393189:CTR393257 DDN393189:DDN393257 DNJ393189:DNJ393257 DXF393189:DXF393257 EHB393189:EHB393257 EQX393189:EQX393257 FAT393189:FAT393257 FKP393189:FKP393257 FUL393189:FUL393257 GEH393189:GEH393257 GOD393189:GOD393257 GXZ393189:GXZ393257 HHV393189:HHV393257 HRR393189:HRR393257 IBN393189:IBN393257 ILJ393189:ILJ393257 IVF393189:IVF393257 JFB393189:JFB393257 JOX393189:JOX393257 JYT393189:JYT393257 KIP393189:KIP393257 KSL393189:KSL393257 LCH393189:LCH393257 LMD393189:LMD393257 LVZ393189:LVZ393257 MFV393189:MFV393257 MPR393189:MPR393257 MZN393189:MZN393257 NJJ393189:NJJ393257 NTF393189:NTF393257 ODB393189:ODB393257 OMX393189:OMX393257 OWT393189:OWT393257 PGP393189:PGP393257 PQL393189:PQL393257 QAH393189:QAH393257 QKD393189:QKD393257 QTZ393189:QTZ393257 RDV393189:RDV393257 RNR393189:RNR393257 RXN393189:RXN393257 SHJ393189:SHJ393257 SRF393189:SRF393257 TBB393189:TBB393257 TKX393189:TKX393257 TUT393189:TUT393257 UEP393189:UEP393257 UOL393189:UOL393257 UYH393189:UYH393257 VID393189:VID393257 VRZ393189:VRZ393257 WBV393189:WBV393257 WLR393189:WLR393257 WVN393189:WVN393257 F458725:F458793 JB458725:JB458793 SX458725:SX458793 ACT458725:ACT458793 AMP458725:AMP458793 AWL458725:AWL458793 BGH458725:BGH458793 BQD458725:BQD458793 BZZ458725:BZZ458793 CJV458725:CJV458793 CTR458725:CTR458793 DDN458725:DDN458793 DNJ458725:DNJ458793 DXF458725:DXF458793 EHB458725:EHB458793 EQX458725:EQX458793 FAT458725:FAT458793 FKP458725:FKP458793 FUL458725:FUL458793 GEH458725:GEH458793 GOD458725:GOD458793 GXZ458725:GXZ458793 HHV458725:HHV458793 HRR458725:HRR458793 IBN458725:IBN458793 ILJ458725:ILJ458793 IVF458725:IVF458793 JFB458725:JFB458793 JOX458725:JOX458793 JYT458725:JYT458793 KIP458725:KIP458793 KSL458725:KSL458793 LCH458725:LCH458793 LMD458725:LMD458793 LVZ458725:LVZ458793 MFV458725:MFV458793 MPR458725:MPR458793 MZN458725:MZN458793 NJJ458725:NJJ458793 NTF458725:NTF458793 ODB458725:ODB458793 OMX458725:OMX458793 OWT458725:OWT458793 PGP458725:PGP458793 PQL458725:PQL458793 QAH458725:QAH458793 QKD458725:QKD458793 QTZ458725:QTZ458793 RDV458725:RDV458793 RNR458725:RNR458793 RXN458725:RXN458793 SHJ458725:SHJ458793 SRF458725:SRF458793 TBB458725:TBB458793 TKX458725:TKX458793 TUT458725:TUT458793 UEP458725:UEP458793 UOL458725:UOL458793 UYH458725:UYH458793 VID458725:VID458793 VRZ458725:VRZ458793 WBV458725:WBV458793 WLR458725:WLR458793 WVN458725:WVN458793 F524261:F524329 JB524261:JB524329 SX524261:SX524329 ACT524261:ACT524329 AMP524261:AMP524329 AWL524261:AWL524329 BGH524261:BGH524329 BQD524261:BQD524329 BZZ524261:BZZ524329 CJV524261:CJV524329 CTR524261:CTR524329 DDN524261:DDN524329 DNJ524261:DNJ524329 DXF524261:DXF524329 EHB524261:EHB524329 EQX524261:EQX524329 FAT524261:FAT524329 FKP524261:FKP524329 FUL524261:FUL524329 GEH524261:GEH524329 GOD524261:GOD524329 GXZ524261:GXZ524329 HHV524261:HHV524329 HRR524261:HRR524329 IBN524261:IBN524329 ILJ524261:ILJ524329 IVF524261:IVF524329 JFB524261:JFB524329 JOX524261:JOX524329 JYT524261:JYT524329 KIP524261:KIP524329 KSL524261:KSL524329 LCH524261:LCH524329 LMD524261:LMD524329 LVZ524261:LVZ524329 MFV524261:MFV524329 MPR524261:MPR524329 MZN524261:MZN524329 NJJ524261:NJJ524329 NTF524261:NTF524329 ODB524261:ODB524329 OMX524261:OMX524329 OWT524261:OWT524329 PGP524261:PGP524329 PQL524261:PQL524329 QAH524261:QAH524329 QKD524261:QKD524329 QTZ524261:QTZ524329 RDV524261:RDV524329 RNR524261:RNR524329 RXN524261:RXN524329 SHJ524261:SHJ524329 SRF524261:SRF524329 TBB524261:TBB524329 TKX524261:TKX524329 TUT524261:TUT524329 UEP524261:UEP524329 UOL524261:UOL524329 UYH524261:UYH524329 VID524261:VID524329 VRZ524261:VRZ524329 WBV524261:WBV524329 WLR524261:WLR524329 WVN524261:WVN524329 F589797:F589865 JB589797:JB589865 SX589797:SX589865 ACT589797:ACT589865 AMP589797:AMP589865 AWL589797:AWL589865 BGH589797:BGH589865 BQD589797:BQD589865 BZZ589797:BZZ589865 CJV589797:CJV589865 CTR589797:CTR589865 DDN589797:DDN589865 DNJ589797:DNJ589865 DXF589797:DXF589865 EHB589797:EHB589865 EQX589797:EQX589865 FAT589797:FAT589865 FKP589797:FKP589865 FUL589797:FUL589865 GEH589797:GEH589865 GOD589797:GOD589865 GXZ589797:GXZ589865 HHV589797:HHV589865 HRR589797:HRR589865 IBN589797:IBN589865 ILJ589797:ILJ589865 IVF589797:IVF589865 JFB589797:JFB589865 JOX589797:JOX589865 JYT589797:JYT589865 KIP589797:KIP589865 KSL589797:KSL589865 LCH589797:LCH589865 LMD589797:LMD589865 LVZ589797:LVZ589865 MFV589797:MFV589865 MPR589797:MPR589865 MZN589797:MZN589865 NJJ589797:NJJ589865 NTF589797:NTF589865 ODB589797:ODB589865 OMX589797:OMX589865 OWT589797:OWT589865 PGP589797:PGP589865 PQL589797:PQL589865 QAH589797:QAH589865 QKD589797:QKD589865 QTZ589797:QTZ589865 RDV589797:RDV589865 RNR589797:RNR589865 RXN589797:RXN589865 SHJ589797:SHJ589865 SRF589797:SRF589865 TBB589797:TBB589865 TKX589797:TKX589865 TUT589797:TUT589865 UEP589797:UEP589865 UOL589797:UOL589865 UYH589797:UYH589865 VID589797:VID589865 VRZ589797:VRZ589865 WBV589797:WBV589865 WLR589797:WLR589865 WVN589797:WVN589865 F655333:F655401 JB655333:JB655401 SX655333:SX655401 ACT655333:ACT655401 AMP655333:AMP655401 AWL655333:AWL655401 BGH655333:BGH655401 BQD655333:BQD655401 BZZ655333:BZZ655401 CJV655333:CJV655401 CTR655333:CTR655401 DDN655333:DDN655401 DNJ655333:DNJ655401 DXF655333:DXF655401 EHB655333:EHB655401 EQX655333:EQX655401 FAT655333:FAT655401 FKP655333:FKP655401 FUL655333:FUL655401 GEH655333:GEH655401 GOD655333:GOD655401 GXZ655333:GXZ655401 HHV655333:HHV655401 HRR655333:HRR655401 IBN655333:IBN655401 ILJ655333:ILJ655401 IVF655333:IVF655401 JFB655333:JFB655401 JOX655333:JOX655401 JYT655333:JYT655401 KIP655333:KIP655401 KSL655333:KSL655401 LCH655333:LCH655401 LMD655333:LMD655401 LVZ655333:LVZ655401 MFV655333:MFV655401 MPR655333:MPR655401 MZN655333:MZN655401 NJJ655333:NJJ655401 NTF655333:NTF655401 ODB655333:ODB655401 OMX655333:OMX655401 OWT655333:OWT655401 PGP655333:PGP655401 PQL655333:PQL655401 QAH655333:QAH655401 QKD655333:QKD655401 QTZ655333:QTZ655401 RDV655333:RDV655401 RNR655333:RNR655401 RXN655333:RXN655401 SHJ655333:SHJ655401 SRF655333:SRF655401 TBB655333:TBB655401 TKX655333:TKX655401 TUT655333:TUT655401 UEP655333:UEP655401 UOL655333:UOL655401 UYH655333:UYH655401 VID655333:VID655401 VRZ655333:VRZ655401 WBV655333:WBV655401 WLR655333:WLR655401 WVN655333:WVN655401 F720869:F720937 JB720869:JB720937 SX720869:SX720937 ACT720869:ACT720937 AMP720869:AMP720937 AWL720869:AWL720937 BGH720869:BGH720937 BQD720869:BQD720937 BZZ720869:BZZ720937 CJV720869:CJV720937 CTR720869:CTR720937 DDN720869:DDN720937 DNJ720869:DNJ720937 DXF720869:DXF720937 EHB720869:EHB720937 EQX720869:EQX720937 FAT720869:FAT720937 FKP720869:FKP720937 FUL720869:FUL720937 GEH720869:GEH720937 GOD720869:GOD720937 GXZ720869:GXZ720937 HHV720869:HHV720937 HRR720869:HRR720937 IBN720869:IBN720937 ILJ720869:ILJ720937 IVF720869:IVF720937 JFB720869:JFB720937 JOX720869:JOX720937 JYT720869:JYT720937 KIP720869:KIP720937 KSL720869:KSL720937 LCH720869:LCH720937 LMD720869:LMD720937 LVZ720869:LVZ720937 MFV720869:MFV720937 MPR720869:MPR720937 MZN720869:MZN720937 NJJ720869:NJJ720937 NTF720869:NTF720937 ODB720869:ODB720937 OMX720869:OMX720937 OWT720869:OWT720937 PGP720869:PGP720937 PQL720869:PQL720937 QAH720869:QAH720937 QKD720869:QKD720937 QTZ720869:QTZ720937 RDV720869:RDV720937 RNR720869:RNR720937 RXN720869:RXN720937 SHJ720869:SHJ720937 SRF720869:SRF720937 TBB720869:TBB720937 TKX720869:TKX720937 TUT720869:TUT720937 UEP720869:UEP720937 UOL720869:UOL720937 UYH720869:UYH720937 VID720869:VID720937 VRZ720869:VRZ720937 WBV720869:WBV720937 WLR720869:WLR720937 WVN720869:WVN720937 F786405:F786473 JB786405:JB786473 SX786405:SX786473 ACT786405:ACT786473 AMP786405:AMP786473 AWL786405:AWL786473 BGH786405:BGH786473 BQD786405:BQD786473 BZZ786405:BZZ786473 CJV786405:CJV786473 CTR786405:CTR786473 DDN786405:DDN786473 DNJ786405:DNJ786473 DXF786405:DXF786473 EHB786405:EHB786473 EQX786405:EQX786473 FAT786405:FAT786473 FKP786405:FKP786473 FUL786405:FUL786473 GEH786405:GEH786473 GOD786405:GOD786473 GXZ786405:GXZ786473 HHV786405:HHV786473 HRR786405:HRR786473 IBN786405:IBN786473 ILJ786405:ILJ786473 IVF786405:IVF786473 JFB786405:JFB786473 JOX786405:JOX786473 JYT786405:JYT786473 KIP786405:KIP786473 KSL786405:KSL786473 LCH786405:LCH786473 LMD786405:LMD786473 LVZ786405:LVZ786473 MFV786405:MFV786473 MPR786405:MPR786473 MZN786405:MZN786473 NJJ786405:NJJ786473 NTF786405:NTF786473 ODB786405:ODB786473 OMX786405:OMX786473 OWT786405:OWT786473 PGP786405:PGP786473 PQL786405:PQL786473 QAH786405:QAH786473 QKD786405:QKD786473 QTZ786405:QTZ786473 RDV786405:RDV786473 RNR786405:RNR786473 RXN786405:RXN786473 SHJ786405:SHJ786473 SRF786405:SRF786473 TBB786405:TBB786473 TKX786405:TKX786473 TUT786405:TUT786473 UEP786405:UEP786473 UOL786405:UOL786473 UYH786405:UYH786473 VID786405:VID786473 VRZ786405:VRZ786473 WBV786405:WBV786473 WLR786405:WLR786473 WVN786405:WVN786473 F851941:F852009 JB851941:JB852009 SX851941:SX852009 ACT851941:ACT852009 AMP851941:AMP852009 AWL851941:AWL852009 BGH851941:BGH852009 BQD851941:BQD852009 BZZ851941:BZZ852009 CJV851941:CJV852009 CTR851941:CTR852009 DDN851941:DDN852009 DNJ851941:DNJ852009 DXF851941:DXF852009 EHB851941:EHB852009 EQX851941:EQX852009 FAT851941:FAT852009 FKP851941:FKP852009 FUL851941:FUL852009 GEH851941:GEH852009 GOD851941:GOD852009 GXZ851941:GXZ852009 HHV851941:HHV852009 HRR851941:HRR852009 IBN851941:IBN852009 ILJ851941:ILJ852009 IVF851941:IVF852009 JFB851941:JFB852009 JOX851941:JOX852009 JYT851941:JYT852009 KIP851941:KIP852009 KSL851941:KSL852009 LCH851941:LCH852009 LMD851941:LMD852009 LVZ851941:LVZ852009 MFV851941:MFV852009 MPR851941:MPR852009 MZN851941:MZN852009 NJJ851941:NJJ852009 NTF851941:NTF852009 ODB851941:ODB852009 OMX851941:OMX852009 OWT851941:OWT852009 PGP851941:PGP852009 PQL851941:PQL852009 QAH851941:QAH852009 QKD851941:QKD852009 QTZ851941:QTZ852009 RDV851941:RDV852009 RNR851941:RNR852009 RXN851941:RXN852009 SHJ851941:SHJ852009 SRF851941:SRF852009 TBB851941:TBB852009 TKX851941:TKX852009 TUT851941:TUT852009 UEP851941:UEP852009 UOL851941:UOL852009 UYH851941:UYH852009 VID851941:VID852009 VRZ851941:VRZ852009 WBV851941:WBV852009 WLR851941:WLR852009 WVN851941:WVN852009 F917477:F917545 JB917477:JB917545 SX917477:SX917545 ACT917477:ACT917545 AMP917477:AMP917545 AWL917477:AWL917545 BGH917477:BGH917545 BQD917477:BQD917545 BZZ917477:BZZ917545 CJV917477:CJV917545 CTR917477:CTR917545 DDN917477:DDN917545 DNJ917477:DNJ917545 DXF917477:DXF917545 EHB917477:EHB917545 EQX917477:EQX917545 FAT917477:FAT917545 FKP917477:FKP917545 FUL917477:FUL917545 GEH917477:GEH917545 GOD917477:GOD917545 GXZ917477:GXZ917545 HHV917477:HHV917545 HRR917477:HRR917545 IBN917477:IBN917545 ILJ917477:ILJ917545 IVF917477:IVF917545 JFB917477:JFB917545 JOX917477:JOX917545 JYT917477:JYT917545 KIP917477:KIP917545 KSL917477:KSL917545 LCH917477:LCH917545 LMD917477:LMD917545 LVZ917477:LVZ917545 MFV917477:MFV917545 MPR917477:MPR917545 MZN917477:MZN917545 NJJ917477:NJJ917545 NTF917477:NTF917545 ODB917477:ODB917545 OMX917477:OMX917545 OWT917477:OWT917545 PGP917477:PGP917545 PQL917477:PQL917545 QAH917477:QAH917545 QKD917477:QKD917545 QTZ917477:QTZ917545 RDV917477:RDV917545 RNR917477:RNR917545 RXN917477:RXN917545 SHJ917477:SHJ917545 SRF917477:SRF917545 TBB917477:TBB917545 TKX917477:TKX917545 TUT917477:TUT917545 UEP917477:UEP917545 UOL917477:UOL917545 UYH917477:UYH917545 VID917477:VID917545 VRZ917477:VRZ917545 WBV917477:WBV917545 WLR917477:WLR917545 WVN917477:WVN917545 F983013:F983081 JB983013:JB983081 SX983013:SX983081 ACT983013:ACT983081 AMP983013:AMP983081 AWL983013:AWL983081 BGH983013:BGH983081 BQD983013:BQD983081 BZZ983013:BZZ983081 CJV983013:CJV983081 CTR983013:CTR983081 DDN983013:DDN983081 DNJ983013:DNJ983081 DXF983013:DXF983081 EHB983013:EHB983081 EQX983013:EQX983081 FAT983013:FAT983081 FKP983013:FKP983081 FUL983013:FUL983081 GEH983013:GEH983081 GOD983013:GOD983081 GXZ983013:GXZ983081 HHV983013:HHV983081 HRR983013:HRR983081 IBN983013:IBN983081 ILJ983013:ILJ983081 IVF983013:IVF983081 JFB983013:JFB983081 JOX983013:JOX983081 JYT983013:JYT983081 KIP983013:KIP983081 KSL983013:KSL983081 LCH983013:LCH983081 LMD983013:LMD983081 LVZ983013:LVZ983081 MFV983013:MFV983081 MPR983013:MPR983081 MZN983013:MZN983081 NJJ983013:NJJ983081 NTF983013:NTF983081 ODB983013:ODB983081 OMX983013:OMX983081 OWT983013:OWT983081 PGP983013:PGP983081 PQL983013:PQL983081 QAH983013:QAH983081 QKD983013:QKD983081 QTZ983013:QTZ983081 RDV983013:RDV983081 RNR983013:RNR983081 RXN983013:RXN983081 SHJ983013:SHJ983081 SRF983013:SRF983081 TBB983013:TBB983081 TKX983013:TKX983081 TUT983013:TUT983081 UEP983013:UEP983081 UOL983013:UOL983081 UYH983013:UYH983081 VID983013:VID983081 VRZ983013:VRZ983081 WBV983013:WBV983081 WLR983013:WLR983081 F6:F41 JB6:JB41 SX6:SX41 ACT6:ACT41 AMP6:AMP41 AWL6:AWL41 BGH6:BGH41 BQD6:BQD41 BZZ6:BZZ41 CJV6:CJV41 CTR6:CTR41 DDN6:DDN41 DNJ6:DNJ41 DXF6:DXF41 EHB6:EHB41 EQX6:EQX41 FAT6:FAT41 FKP6:FKP41 FUL6:FUL41 GEH6:GEH41 GOD6:GOD41 GXZ6:GXZ41 HHV6:HHV41 HRR6:HRR41 IBN6:IBN41 ILJ6:ILJ41 IVF6:IVF41 JFB6:JFB41 JOX6:JOX41 JYT6:JYT41 KIP6:KIP41 KSL6:KSL41 LCH6:LCH41 LMD6:LMD41 LVZ6:LVZ41 MFV6:MFV41 MPR6:MPR41 MZN6:MZN41 NJJ6:NJJ41 NTF6:NTF41 ODB6:ODB41 OMX6:OMX41 OWT6:OWT41 PGP6:PGP41 PQL6:PQL41 QAH6:QAH41 QKD6:QKD41 QTZ6:QTZ41 RDV6:RDV41 RNR6:RNR41 RXN6:RXN41 SHJ6:SHJ41 SRF6:SRF41 TBB6:TBB41 TKX6:TKX41 TUT6:TUT41 UEP6:UEP41 UOL6:UOL41 UYH6:UYH41 VID6:VID41 VRZ6:VRZ41 WBV6:WBV41 WLR6:WLR41 WVN6:WVN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5377"/>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86" bestFit="1" customWidth="1"/>
    <col min="3" max="3" width="17.28515625" style="186" bestFit="1" customWidth="1"/>
    <col min="4" max="4" width="7" style="1" bestFit="1" customWidth="1"/>
    <col min="5" max="5" width="17.28515625" style="1" bestFit="1" customWidth="1"/>
    <col min="6" max="6" width="20.28515625" style="186" bestFit="1" customWidth="1"/>
    <col min="7" max="8" width="6" style="186" bestFit="1" customWidth="1"/>
    <col min="9" max="9" width="11" style="186" bestFit="1" customWidth="1"/>
    <col min="10" max="10" width="15.140625" style="186" bestFit="1" customWidth="1"/>
    <col min="11" max="11" width="11.7109375" style="186" customWidth="1"/>
    <col min="12" max="12" width="19.28515625" style="1" bestFit="1" customWidth="1"/>
    <col min="13" max="13" width="17.28515625" style="1" bestFit="1" customWidth="1"/>
    <col min="14" max="14" width="12" style="1" bestFit="1" customWidth="1"/>
    <col min="15" max="15" width="6" style="1" hidden="1" customWidth="1" outlineLevel="1"/>
    <col min="16" max="16" width="15.140625" style="1" hidden="1" customWidth="1" outlineLevel="1"/>
    <col min="17" max="17" width="8" style="1" hidden="1" customWidth="1" outlineLevel="1"/>
    <col min="18" max="18" width="16.140625" style="188" bestFit="1" customWidth="1" collapsed="1"/>
    <col min="19" max="19" width="10" style="1" bestFit="1" customWidth="1"/>
    <col min="20" max="20" width="3.7109375" style="1" customWidth="1"/>
    <col min="21" max="21" width="19.28515625" style="1" customWidth="1"/>
    <col min="22" max="23" width="17.28515625" style="1" bestFit="1" customWidth="1"/>
    <col min="24" max="25" width="15.140625" style="1" bestFit="1" customWidth="1"/>
    <col min="26" max="26" width="22.42578125" style="1" bestFit="1" customWidth="1"/>
    <col min="27" max="27" width="13.140625" style="1" bestFit="1" customWidth="1"/>
    <col min="28" max="28" width="17.28515625" style="1" bestFit="1" customWidth="1"/>
    <col min="29" max="29" width="10" style="1" bestFit="1" customWidth="1"/>
    <col min="30" max="30" width="13.140625" style="1" bestFit="1" customWidth="1"/>
    <col min="31" max="32" width="9.140625" style="1"/>
    <col min="33" max="33" width="19.28515625" style="1" bestFit="1" customWidth="1"/>
    <col min="34" max="34" width="17.28515625" style="1" bestFit="1" customWidth="1"/>
    <col min="35" max="36" width="15.140625" style="1" bestFit="1" customWidth="1"/>
    <col min="37" max="257" width="9.140625" style="1"/>
    <col min="258" max="258" width="17.28515625" style="1" bestFit="1" customWidth="1"/>
    <col min="259" max="259" width="9" style="1" bestFit="1" customWidth="1"/>
    <col min="260" max="260" width="6" style="1" bestFit="1" customWidth="1"/>
    <col min="261" max="261" width="9" style="1" bestFit="1" customWidth="1"/>
    <col min="262" max="262" width="6" style="1" bestFit="1" customWidth="1"/>
    <col min="263" max="263" width="15.140625" style="1" bestFit="1" customWidth="1"/>
    <col min="264" max="264" width="9" style="1" bestFit="1" customWidth="1"/>
    <col min="265" max="265" width="5" style="1" bestFit="1" customWidth="1"/>
    <col min="266" max="266" width="9" style="1" bestFit="1" customWidth="1"/>
    <col min="267" max="267" width="7" style="1" bestFit="1" customWidth="1"/>
    <col min="268" max="269" width="17.28515625" style="1" bestFit="1" customWidth="1"/>
    <col min="270" max="270" width="8" style="1" bestFit="1" customWidth="1"/>
    <col min="271" max="271" width="6.28515625" style="1" customWidth="1"/>
    <col min="272" max="272" width="6" style="1" bestFit="1" customWidth="1"/>
    <col min="273" max="273" width="3" style="1" customWidth="1"/>
    <col min="274" max="274" width="11" style="1" bestFit="1" customWidth="1"/>
    <col min="275" max="275" width="22.42578125" style="1" bestFit="1" customWidth="1"/>
    <col min="276" max="276" width="17.28515625" style="1" bestFit="1" customWidth="1"/>
    <col min="277" max="278" width="8" style="1" bestFit="1" customWidth="1"/>
    <col min="279" max="279" width="17.28515625" style="1" bestFit="1" customWidth="1"/>
    <col min="280" max="281" width="15.140625" style="1" bestFit="1" customWidth="1"/>
    <col min="282" max="282" width="8" style="1" bestFit="1" customWidth="1"/>
    <col min="283" max="513" width="9.140625" style="1"/>
    <col min="514" max="514" width="17.28515625" style="1" bestFit="1" customWidth="1"/>
    <col min="515" max="515" width="9" style="1" bestFit="1" customWidth="1"/>
    <col min="516" max="516" width="6" style="1" bestFit="1" customWidth="1"/>
    <col min="517" max="517" width="9" style="1" bestFit="1" customWidth="1"/>
    <col min="518" max="518" width="6" style="1" bestFit="1" customWidth="1"/>
    <col min="519" max="519" width="15.140625" style="1" bestFit="1" customWidth="1"/>
    <col min="520" max="520" width="9" style="1" bestFit="1" customWidth="1"/>
    <col min="521" max="521" width="5" style="1" bestFit="1" customWidth="1"/>
    <col min="522" max="522" width="9" style="1" bestFit="1" customWidth="1"/>
    <col min="523" max="523" width="7" style="1" bestFit="1" customWidth="1"/>
    <col min="524" max="525" width="17.28515625" style="1" bestFit="1" customWidth="1"/>
    <col min="526" max="526" width="8" style="1" bestFit="1" customWidth="1"/>
    <col min="527" max="527" width="6.28515625" style="1" customWidth="1"/>
    <col min="528" max="528" width="6" style="1" bestFit="1" customWidth="1"/>
    <col min="529" max="529" width="3" style="1" customWidth="1"/>
    <col min="530" max="530" width="11" style="1" bestFit="1" customWidth="1"/>
    <col min="531" max="531" width="22.42578125" style="1" bestFit="1" customWidth="1"/>
    <col min="532" max="532" width="17.28515625" style="1" bestFit="1" customWidth="1"/>
    <col min="533" max="534" width="8" style="1" bestFit="1" customWidth="1"/>
    <col min="535" max="535" width="17.28515625" style="1" bestFit="1" customWidth="1"/>
    <col min="536" max="537" width="15.140625" style="1" bestFit="1" customWidth="1"/>
    <col min="538" max="538" width="8" style="1" bestFit="1" customWidth="1"/>
    <col min="539" max="769" width="9.140625" style="1"/>
    <col min="770" max="770" width="17.28515625" style="1" bestFit="1" customWidth="1"/>
    <col min="771" max="771" width="9" style="1" bestFit="1" customWidth="1"/>
    <col min="772" max="772" width="6" style="1" bestFit="1" customWidth="1"/>
    <col min="773" max="773" width="9" style="1" bestFit="1" customWidth="1"/>
    <col min="774" max="774" width="6" style="1" bestFit="1" customWidth="1"/>
    <col min="775" max="775" width="15.140625" style="1" bestFit="1" customWidth="1"/>
    <col min="776" max="776" width="9" style="1" bestFit="1" customWidth="1"/>
    <col min="777" max="777" width="5" style="1" bestFit="1" customWidth="1"/>
    <col min="778" max="778" width="9" style="1" bestFit="1" customWidth="1"/>
    <col min="779" max="779" width="7" style="1" bestFit="1" customWidth="1"/>
    <col min="780" max="781" width="17.28515625" style="1" bestFit="1" customWidth="1"/>
    <col min="782" max="782" width="8" style="1" bestFit="1" customWidth="1"/>
    <col min="783" max="783" width="6.28515625" style="1" customWidth="1"/>
    <col min="784" max="784" width="6" style="1" bestFit="1" customWidth="1"/>
    <col min="785" max="785" width="3" style="1" customWidth="1"/>
    <col min="786" max="786" width="11" style="1" bestFit="1" customWidth="1"/>
    <col min="787" max="787" width="22.42578125" style="1" bestFit="1" customWidth="1"/>
    <col min="788" max="788" width="17.28515625" style="1" bestFit="1" customWidth="1"/>
    <col min="789" max="790" width="8" style="1" bestFit="1" customWidth="1"/>
    <col min="791" max="791" width="17.28515625" style="1" bestFit="1" customWidth="1"/>
    <col min="792" max="793" width="15.140625" style="1" bestFit="1" customWidth="1"/>
    <col min="794" max="794" width="8" style="1" bestFit="1" customWidth="1"/>
    <col min="795" max="1025" width="9.140625" style="1"/>
    <col min="1026" max="1026" width="17.28515625" style="1" bestFit="1" customWidth="1"/>
    <col min="1027" max="1027" width="9" style="1" bestFit="1" customWidth="1"/>
    <col min="1028" max="1028" width="6" style="1" bestFit="1" customWidth="1"/>
    <col min="1029" max="1029" width="9" style="1" bestFit="1" customWidth="1"/>
    <col min="1030" max="1030" width="6" style="1" bestFit="1" customWidth="1"/>
    <col min="1031" max="1031" width="15.140625" style="1" bestFit="1" customWidth="1"/>
    <col min="1032" max="1032" width="9" style="1" bestFit="1" customWidth="1"/>
    <col min="1033" max="1033" width="5" style="1" bestFit="1" customWidth="1"/>
    <col min="1034" max="1034" width="9" style="1" bestFit="1" customWidth="1"/>
    <col min="1035" max="1035" width="7" style="1" bestFit="1" customWidth="1"/>
    <col min="1036" max="1037" width="17.28515625" style="1" bestFit="1" customWidth="1"/>
    <col min="1038" max="1038" width="8" style="1" bestFit="1" customWidth="1"/>
    <col min="1039" max="1039" width="6.28515625" style="1" customWidth="1"/>
    <col min="1040" max="1040" width="6" style="1" bestFit="1" customWidth="1"/>
    <col min="1041" max="1041" width="3" style="1" customWidth="1"/>
    <col min="1042" max="1042" width="11" style="1" bestFit="1" customWidth="1"/>
    <col min="1043" max="1043" width="22.42578125" style="1" bestFit="1" customWidth="1"/>
    <col min="1044" max="1044" width="17.28515625" style="1" bestFit="1" customWidth="1"/>
    <col min="1045" max="1046" width="8" style="1" bestFit="1" customWidth="1"/>
    <col min="1047" max="1047" width="17.28515625" style="1" bestFit="1" customWidth="1"/>
    <col min="1048" max="1049" width="15.140625" style="1" bestFit="1" customWidth="1"/>
    <col min="1050" max="1050" width="8" style="1" bestFit="1" customWidth="1"/>
    <col min="1051" max="1281" width="9.140625" style="1"/>
    <col min="1282" max="1282" width="17.28515625" style="1" bestFit="1" customWidth="1"/>
    <col min="1283" max="1283" width="9" style="1" bestFit="1" customWidth="1"/>
    <col min="1284" max="1284" width="6" style="1" bestFit="1" customWidth="1"/>
    <col min="1285" max="1285" width="9" style="1" bestFit="1" customWidth="1"/>
    <col min="1286" max="1286" width="6" style="1" bestFit="1" customWidth="1"/>
    <col min="1287" max="1287" width="15.140625" style="1" bestFit="1" customWidth="1"/>
    <col min="1288" max="1288" width="9" style="1" bestFit="1" customWidth="1"/>
    <col min="1289" max="1289" width="5" style="1" bestFit="1" customWidth="1"/>
    <col min="1290" max="1290" width="9" style="1" bestFit="1" customWidth="1"/>
    <col min="1291" max="1291" width="7" style="1" bestFit="1" customWidth="1"/>
    <col min="1292" max="1293" width="17.28515625" style="1" bestFit="1" customWidth="1"/>
    <col min="1294" max="1294" width="8" style="1" bestFit="1" customWidth="1"/>
    <col min="1295" max="1295" width="6.28515625" style="1" customWidth="1"/>
    <col min="1296" max="1296" width="6" style="1" bestFit="1" customWidth="1"/>
    <col min="1297" max="1297" width="3" style="1" customWidth="1"/>
    <col min="1298" max="1298" width="11" style="1" bestFit="1" customWidth="1"/>
    <col min="1299" max="1299" width="22.42578125" style="1" bestFit="1" customWidth="1"/>
    <col min="1300" max="1300" width="17.28515625" style="1" bestFit="1" customWidth="1"/>
    <col min="1301" max="1302" width="8" style="1" bestFit="1" customWidth="1"/>
    <col min="1303" max="1303" width="17.28515625" style="1" bestFit="1" customWidth="1"/>
    <col min="1304" max="1305" width="15.140625" style="1" bestFit="1" customWidth="1"/>
    <col min="1306" max="1306" width="8" style="1" bestFit="1" customWidth="1"/>
    <col min="1307" max="1537" width="9.140625" style="1"/>
    <col min="1538" max="1538" width="17.28515625" style="1" bestFit="1" customWidth="1"/>
    <col min="1539" max="1539" width="9" style="1" bestFit="1" customWidth="1"/>
    <col min="1540" max="1540" width="6" style="1" bestFit="1" customWidth="1"/>
    <col min="1541" max="1541" width="9" style="1" bestFit="1" customWidth="1"/>
    <col min="1542" max="1542" width="6" style="1" bestFit="1" customWidth="1"/>
    <col min="1543" max="1543" width="15.140625" style="1" bestFit="1" customWidth="1"/>
    <col min="1544" max="1544" width="9" style="1" bestFit="1" customWidth="1"/>
    <col min="1545" max="1545" width="5" style="1" bestFit="1" customWidth="1"/>
    <col min="1546" max="1546" width="9" style="1" bestFit="1" customWidth="1"/>
    <col min="1547" max="1547" width="7" style="1" bestFit="1" customWidth="1"/>
    <col min="1548" max="1549" width="17.28515625" style="1" bestFit="1" customWidth="1"/>
    <col min="1550" max="1550" width="8" style="1" bestFit="1" customWidth="1"/>
    <col min="1551" max="1551" width="6.28515625" style="1" customWidth="1"/>
    <col min="1552" max="1552" width="6" style="1" bestFit="1" customWidth="1"/>
    <col min="1553" max="1553" width="3" style="1" customWidth="1"/>
    <col min="1554" max="1554" width="11" style="1" bestFit="1" customWidth="1"/>
    <col min="1555" max="1555" width="22.42578125" style="1" bestFit="1" customWidth="1"/>
    <col min="1556" max="1556" width="17.28515625" style="1" bestFit="1" customWidth="1"/>
    <col min="1557" max="1558" width="8" style="1" bestFit="1" customWidth="1"/>
    <col min="1559" max="1559" width="17.28515625" style="1" bestFit="1" customWidth="1"/>
    <col min="1560" max="1561" width="15.140625" style="1" bestFit="1" customWidth="1"/>
    <col min="1562" max="1562" width="8" style="1" bestFit="1" customWidth="1"/>
    <col min="1563" max="1793" width="9.140625" style="1"/>
    <col min="1794" max="1794" width="17.28515625" style="1" bestFit="1" customWidth="1"/>
    <col min="1795" max="1795" width="9" style="1" bestFit="1" customWidth="1"/>
    <col min="1796" max="1796" width="6" style="1" bestFit="1" customWidth="1"/>
    <col min="1797" max="1797" width="9" style="1" bestFit="1" customWidth="1"/>
    <col min="1798" max="1798" width="6" style="1" bestFit="1" customWidth="1"/>
    <col min="1799" max="1799" width="15.140625" style="1" bestFit="1" customWidth="1"/>
    <col min="1800" max="1800" width="9" style="1" bestFit="1" customWidth="1"/>
    <col min="1801" max="1801" width="5" style="1" bestFit="1" customWidth="1"/>
    <col min="1802" max="1802" width="9" style="1" bestFit="1" customWidth="1"/>
    <col min="1803" max="1803" width="7" style="1" bestFit="1" customWidth="1"/>
    <col min="1804" max="1805" width="17.28515625" style="1" bestFit="1" customWidth="1"/>
    <col min="1806" max="1806" width="8" style="1" bestFit="1" customWidth="1"/>
    <col min="1807" max="1807" width="6.28515625" style="1" customWidth="1"/>
    <col min="1808" max="1808" width="6" style="1" bestFit="1" customWidth="1"/>
    <col min="1809" max="1809" width="3" style="1" customWidth="1"/>
    <col min="1810" max="1810" width="11" style="1" bestFit="1" customWidth="1"/>
    <col min="1811" max="1811" width="22.42578125" style="1" bestFit="1" customWidth="1"/>
    <col min="1812" max="1812" width="17.28515625" style="1" bestFit="1" customWidth="1"/>
    <col min="1813" max="1814" width="8" style="1" bestFit="1" customWidth="1"/>
    <col min="1815" max="1815" width="17.28515625" style="1" bestFit="1" customWidth="1"/>
    <col min="1816" max="1817" width="15.140625" style="1" bestFit="1" customWidth="1"/>
    <col min="1818" max="1818" width="8" style="1" bestFit="1" customWidth="1"/>
    <col min="1819" max="2049" width="9.140625" style="1"/>
    <col min="2050" max="2050" width="17.28515625" style="1" bestFit="1" customWidth="1"/>
    <col min="2051" max="2051" width="9" style="1" bestFit="1" customWidth="1"/>
    <col min="2052" max="2052" width="6" style="1" bestFit="1" customWidth="1"/>
    <col min="2053" max="2053" width="9" style="1" bestFit="1" customWidth="1"/>
    <col min="2054" max="2054" width="6" style="1" bestFit="1" customWidth="1"/>
    <col min="2055" max="2055" width="15.140625" style="1" bestFit="1" customWidth="1"/>
    <col min="2056" max="2056" width="9" style="1" bestFit="1" customWidth="1"/>
    <col min="2057" max="2057" width="5" style="1" bestFit="1" customWidth="1"/>
    <col min="2058" max="2058" width="9" style="1" bestFit="1" customWidth="1"/>
    <col min="2059" max="2059" width="7" style="1" bestFit="1" customWidth="1"/>
    <col min="2060" max="2061" width="17.28515625" style="1" bestFit="1" customWidth="1"/>
    <col min="2062" max="2062" width="8" style="1" bestFit="1" customWidth="1"/>
    <col min="2063" max="2063" width="6.28515625" style="1" customWidth="1"/>
    <col min="2064" max="2064" width="6" style="1" bestFit="1" customWidth="1"/>
    <col min="2065" max="2065" width="3" style="1" customWidth="1"/>
    <col min="2066" max="2066" width="11" style="1" bestFit="1" customWidth="1"/>
    <col min="2067" max="2067" width="22.42578125" style="1" bestFit="1" customWidth="1"/>
    <col min="2068" max="2068" width="17.28515625" style="1" bestFit="1" customWidth="1"/>
    <col min="2069" max="2070" width="8" style="1" bestFit="1" customWidth="1"/>
    <col min="2071" max="2071" width="17.28515625" style="1" bestFit="1" customWidth="1"/>
    <col min="2072" max="2073" width="15.140625" style="1" bestFit="1" customWidth="1"/>
    <col min="2074" max="2074" width="8" style="1" bestFit="1" customWidth="1"/>
    <col min="2075" max="2305" width="9.140625" style="1"/>
    <col min="2306" max="2306" width="17.28515625" style="1" bestFit="1" customWidth="1"/>
    <col min="2307" max="2307" width="9" style="1" bestFit="1" customWidth="1"/>
    <col min="2308" max="2308" width="6" style="1" bestFit="1" customWidth="1"/>
    <col min="2309" max="2309" width="9" style="1" bestFit="1" customWidth="1"/>
    <col min="2310" max="2310" width="6" style="1" bestFit="1" customWidth="1"/>
    <col min="2311" max="2311" width="15.140625" style="1" bestFit="1" customWidth="1"/>
    <col min="2312" max="2312" width="9" style="1" bestFit="1" customWidth="1"/>
    <col min="2313" max="2313" width="5" style="1" bestFit="1" customWidth="1"/>
    <col min="2314" max="2314" width="9" style="1" bestFit="1" customWidth="1"/>
    <col min="2315" max="2315" width="7" style="1" bestFit="1" customWidth="1"/>
    <col min="2316" max="2317" width="17.28515625" style="1" bestFit="1" customWidth="1"/>
    <col min="2318" max="2318" width="8" style="1" bestFit="1" customWidth="1"/>
    <col min="2319" max="2319" width="6.28515625" style="1" customWidth="1"/>
    <col min="2320" max="2320" width="6" style="1" bestFit="1" customWidth="1"/>
    <col min="2321" max="2321" width="3" style="1" customWidth="1"/>
    <col min="2322" max="2322" width="11" style="1" bestFit="1" customWidth="1"/>
    <col min="2323" max="2323" width="22.42578125" style="1" bestFit="1" customWidth="1"/>
    <col min="2324" max="2324" width="17.28515625" style="1" bestFit="1" customWidth="1"/>
    <col min="2325" max="2326" width="8" style="1" bestFit="1" customWidth="1"/>
    <col min="2327" max="2327" width="17.28515625" style="1" bestFit="1" customWidth="1"/>
    <col min="2328" max="2329" width="15.140625" style="1" bestFit="1" customWidth="1"/>
    <col min="2330" max="2330" width="8" style="1" bestFit="1" customWidth="1"/>
    <col min="2331" max="2561" width="9.140625" style="1"/>
    <col min="2562" max="2562" width="17.28515625" style="1" bestFit="1" customWidth="1"/>
    <col min="2563" max="2563" width="9" style="1" bestFit="1" customWidth="1"/>
    <col min="2564" max="2564" width="6" style="1" bestFit="1" customWidth="1"/>
    <col min="2565" max="2565" width="9" style="1" bestFit="1" customWidth="1"/>
    <col min="2566" max="2566" width="6" style="1" bestFit="1" customWidth="1"/>
    <col min="2567" max="2567" width="15.140625" style="1" bestFit="1" customWidth="1"/>
    <col min="2568" max="2568" width="9" style="1" bestFit="1" customWidth="1"/>
    <col min="2569" max="2569" width="5" style="1" bestFit="1" customWidth="1"/>
    <col min="2570" max="2570" width="9" style="1" bestFit="1" customWidth="1"/>
    <col min="2571" max="2571" width="7" style="1" bestFit="1" customWidth="1"/>
    <col min="2572" max="2573" width="17.28515625" style="1" bestFit="1" customWidth="1"/>
    <col min="2574" max="2574" width="8" style="1" bestFit="1" customWidth="1"/>
    <col min="2575" max="2575" width="6.28515625" style="1" customWidth="1"/>
    <col min="2576" max="2576" width="6" style="1" bestFit="1" customWidth="1"/>
    <col min="2577" max="2577" width="3" style="1" customWidth="1"/>
    <col min="2578" max="2578" width="11" style="1" bestFit="1" customWidth="1"/>
    <col min="2579" max="2579" width="22.42578125" style="1" bestFit="1" customWidth="1"/>
    <col min="2580" max="2580" width="17.28515625" style="1" bestFit="1" customWidth="1"/>
    <col min="2581" max="2582" width="8" style="1" bestFit="1" customWidth="1"/>
    <col min="2583" max="2583" width="17.28515625" style="1" bestFit="1" customWidth="1"/>
    <col min="2584" max="2585" width="15.140625" style="1" bestFit="1" customWidth="1"/>
    <col min="2586" max="2586" width="8" style="1" bestFit="1" customWidth="1"/>
    <col min="2587" max="2817" width="9.140625" style="1"/>
    <col min="2818" max="2818" width="17.28515625" style="1" bestFit="1" customWidth="1"/>
    <col min="2819" max="2819" width="9" style="1" bestFit="1" customWidth="1"/>
    <col min="2820" max="2820" width="6" style="1" bestFit="1" customWidth="1"/>
    <col min="2821" max="2821" width="9" style="1" bestFit="1" customWidth="1"/>
    <col min="2822" max="2822" width="6" style="1" bestFit="1" customWidth="1"/>
    <col min="2823" max="2823" width="15.140625" style="1" bestFit="1" customWidth="1"/>
    <col min="2824" max="2824" width="9" style="1" bestFit="1" customWidth="1"/>
    <col min="2825" max="2825" width="5" style="1" bestFit="1" customWidth="1"/>
    <col min="2826" max="2826" width="9" style="1" bestFit="1" customWidth="1"/>
    <col min="2827" max="2827" width="7" style="1" bestFit="1" customWidth="1"/>
    <col min="2828" max="2829" width="17.28515625" style="1" bestFit="1" customWidth="1"/>
    <col min="2830" max="2830" width="8" style="1" bestFit="1" customWidth="1"/>
    <col min="2831" max="2831" width="6.28515625" style="1" customWidth="1"/>
    <col min="2832" max="2832" width="6" style="1" bestFit="1" customWidth="1"/>
    <col min="2833" max="2833" width="3" style="1" customWidth="1"/>
    <col min="2834" max="2834" width="11" style="1" bestFit="1" customWidth="1"/>
    <col min="2835" max="2835" width="22.42578125" style="1" bestFit="1" customWidth="1"/>
    <col min="2836" max="2836" width="17.28515625" style="1" bestFit="1" customWidth="1"/>
    <col min="2837" max="2838" width="8" style="1" bestFit="1" customWidth="1"/>
    <col min="2839" max="2839" width="17.28515625" style="1" bestFit="1" customWidth="1"/>
    <col min="2840" max="2841" width="15.140625" style="1" bestFit="1" customWidth="1"/>
    <col min="2842" max="2842" width="8" style="1" bestFit="1" customWidth="1"/>
    <col min="2843" max="3073" width="9.140625" style="1"/>
    <col min="3074" max="3074" width="17.28515625" style="1" bestFit="1" customWidth="1"/>
    <col min="3075" max="3075" width="9" style="1" bestFit="1" customWidth="1"/>
    <col min="3076" max="3076" width="6" style="1" bestFit="1" customWidth="1"/>
    <col min="3077" max="3077" width="9" style="1" bestFit="1" customWidth="1"/>
    <col min="3078" max="3078" width="6" style="1" bestFit="1" customWidth="1"/>
    <col min="3079" max="3079" width="15.140625" style="1" bestFit="1" customWidth="1"/>
    <col min="3080" max="3080" width="9" style="1" bestFit="1" customWidth="1"/>
    <col min="3081" max="3081" width="5" style="1" bestFit="1" customWidth="1"/>
    <col min="3082" max="3082" width="9" style="1" bestFit="1" customWidth="1"/>
    <col min="3083" max="3083" width="7" style="1" bestFit="1" customWidth="1"/>
    <col min="3084" max="3085" width="17.28515625" style="1" bestFit="1" customWidth="1"/>
    <col min="3086" max="3086" width="8" style="1" bestFit="1" customWidth="1"/>
    <col min="3087" max="3087" width="6.28515625" style="1" customWidth="1"/>
    <col min="3088" max="3088" width="6" style="1" bestFit="1" customWidth="1"/>
    <col min="3089" max="3089" width="3" style="1" customWidth="1"/>
    <col min="3090" max="3090" width="11" style="1" bestFit="1" customWidth="1"/>
    <col min="3091" max="3091" width="22.42578125" style="1" bestFit="1" customWidth="1"/>
    <col min="3092" max="3092" width="17.28515625" style="1" bestFit="1" customWidth="1"/>
    <col min="3093" max="3094" width="8" style="1" bestFit="1" customWidth="1"/>
    <col min="3095" max="3095" width="17.28515625" style="1" bestFit="1" customWidth="1"/>
    <col min="3096" max="3097" width="15.140625" style="1" bestFit="1" customWidth="1"/>
    <col min="3098" max="3098" width="8" style="1" bestFit="1" customWidth="1"/>
    <col min="3099" max="3329" width="9.140625" style="1"/>
    <col min="3330" max="3330" width="17.28515625" style="1" bestFit="1" customWidth="1"/>
    <col min="3331" max="3331" width="9" style="1" bestFit="1" customWidth="1"/>
    <col min="3332" max="3332" width="6" style="1" bestFit="1" customWidth="1"/>
    <col min="3333" max="3333" width="9" style="1" bestFit="1" customWidth="1"/>
    <col min="3334" max="3334" width="6" style="1" bestFit="1" customWidth="1"/>
    <col min="3335" max="3335" width="15.140625" style="1" bestFit="1" customWidth="1"/>
    <col min="3336" max="3336" width="9" style="1" bestFit="1" customWidth="1"/>
    <col min="3337" max="3337" width="5" style="1" bestFit="1" customWidth="1"/>
    <col min="3338" max="3338" width="9" style="1" bestFit="1" customWidth="1"/>
    <col min="3339" max="3339" width="7" style="1" bestFit="1" customWidth="1"/>
    <col min="3340" max="3341" width="17.28515625" style="1" bestFit="1" customWidth="1"/>
    <col min="3342" max="3342" width="8" style="1" bestFit="1" customWidth="1"/>
    <col min="3343" max="3343" width="6.28515625" style="1" customWidth="1"/>
    <col min="3344" max="3344" width="6" style="1" bestFit="1" customWidth="1"/>
    <col min="3345" max="3345" width="3" style="1" customWidth="1"/>
    <col min="3346" max="3346" width="11" style="1" bestFit="1" customWidth="1"/>
    <col min="3347" max="3347" width="22.42578125" style="1" bestFit="1" customWidth="1"/>
    <col min="3348" max="3348" width="17.28515625" style="1" bestFit="1" customWidth="1"/>
    <col min="3349" max="3350" width="8" style="1" bestFit="1" customWidth="1"/>
    <col min="3351" max="3351" width="17.28515625" style="1" bestFit="1" customWidth="1"/>
    <col min="3352" max="3353" width="15.140625" style="1" bestFit="1" customWidth="1"/>
    <col min="3354" max="3354" width="8" style="1" bestFit="1" customWidth="1"/>
    <col min="3355" max="3585" width="9.140625" style="1"/>
    <col min="3586" max="3586" width="17.28515625" style="1" bestFit="1" customWidth="1"/>
    <col min="3587" max="3587" width="9" style="1" bestFit="1" customWidth="1"/>
    <col min="3588" max="3588" width="6" style="1" bestFit="1" customWidth="1"/>
    <col min="3589" max="3589" width="9" style="1" bestFit="1" customWidth="1"/>
    <col min="3590" max="3590" width="6" style="1" bestFit="1" customWidth="1"/>
    <col min="3591" max="3591" width="15.140625" style="1" bestFit="1" customWidth="1"/>
    <col min="3592" max="3592" width="9" style="1" bestFit="1" customWidth="1"/>
    <col min="3593" max="3593" width="5" style="1" bestFit="1" customWidth="1"/>
    <col min="3594" max="3594" width="9" style="1" bestFit="1" customWidth="1"/>
    <col min="3595" max="3595" width="7" style="1" bestFit="1" customWidth="1"/>
    <col min="3596" max="3597" width="17.28515625" style="1" bestFit="1" customWidth="1"/>
    <col min="3598" max="3598" width="8" style="1" bestFit="1" customWidth="1"/>
    <col min="3599" max="3599" width="6.28515625" style="1" customWidth="1"/>
    <col min="3600" max="3600" width="6" style="1" bestFit="1" customWidth="1"/>
    <col min="3601" max="3601" width="3" style="1" customWidth="1"/>
    <col min="3602" max="3602" width="11" style="1" bestFit="1" customWidth="1"/>
    <col min="3603" max="3603" width="22.42578125" style="1" bestFit="1" customWidth="1"/>
    <col min="3604" max="3604" width="17.28515625" style="1" bestFit="1" customWidth="1"/>
    <col min="3605" max="3606" width="8" style="1" bestFit="1" customWidth="1"/>
    <col min="3607" max="3607" width="17.28515625" style="1" bestFit="1" customWidth="1"/>
    <col min="3608" max="3609" width="15.140625" style="1" bestFit="1" customWidth="1"/>
    <col min="3610" max="3610" width="8" style="1" bestFit="1" customWidth="1"/>
    <col min="3611" max="3841" width="9.140625" style="1"/>
    <col min="3842" max="3842" width="17.28515625" style="1" bestFit="1" customWidth="1"/>
    <col min="3843" max="3843" width="9" style="1" bestFit="1" customWidth="1"/>
    <col min="3844" max="3844" width="6" style="1" bestFit="1" customWidth="1"/>
    <col min="3845" max="3845" width="9" style="1" bestFit="1" customWidth="1"/>
    <col min="3846" max="3846" width="6" style="1" bestFit="1" customWidth="1"/>
    <col min="3847" max="3847" width="15.140625" style="1" bestFit="1" customWidth="1"/>
    <col min="3848" max="3848" width="9" style="1" bestFit="1" customWidth="1"/>
    <col min="3849" max="3849" width="5" style="1" bestFit="1" customWidth="1"/>
    <col min="3850" max="3850" width="9" style="1" bestFit="1" customWidth="1"/>
    <col min="3851" max="3851" width="7" style="1" bestFit="1" customWidth="1"/>
    <col min="3852" max="3853" width="17.28515625" style="1" bestFit="1" customWidth="1"/>
    <col min="3854" max="3854" width="8" style="1" bestFit="1" customWidth="1"/>
    <col min="3855" max="3855" width="6.28515625" style="1" customWidth="1"/>
    <col min="3856" max="3856" width="6" style="1" bestFit="1" customWidth="1"/>
    <col min="3857" max="3857" width="3" style="1" customWidth="1"/>
    <col min="3858" max="3858" width="11" style="1" bestFit="1" customWidth="1"/>
    <col min="3859" max="3859" width="22.42578125" style="1" bestFit="1" customWidth="1"/>
    <col min="3860" max="3860" width="17.28515625" style="1" bestFit="1" customWidth="1"/>
    <col min="3861" max="3862" width="8" style="1" bestFit="1" customWidth="1"/>
    <col min="3863" max="3863" width="17.28515625" style="1" bestFit="1" customWidth="1"/>
    <col min="3864" max="3865" width="15.140625" style="1" bestFit="1" customWidth="1"/>
    <col min="3866" max="3866" width="8" style="1" bestFit="1" customWidth="1"/>
    <col min="3867" max="4097" width="9.140625" style="1"/>
    <col min="4098" max="4098" width="17.28515625" style="1" bestFit="1" customWidth="1"/>
    <col min="4099" max="4099" width="9" style="1" bestFit="1" customWidth="1"/>
    <col min="4100" max="4100" width="6" style="1" bestFit="1" customWidth="1"/>
    <col min="4101" max="4101" width="9" style="1" bestFit="1" customWidth="1"/>
    <col min="4102" max="4102" width="6" style="1" bestFit="1" customWidth="1"/>
    <col min="4103" max="4103" width="15.140625" style="1" bestFit="1" customWidth="1"/>
    <col min="4104" max="4104" width="9" style="1" bestFit="1" customWidth="1"/>
    <col min="4105" max="4105" width="5" style="1" bestFit="1" customWidth="1"/>
    <col min="4106" max="4106" width="9" style="1" bestFit="1" customWidth="1"/>
    <col min="4107" max="4107" width="7" style="1" bestFit="1" customWidth="1"/>
    <col min="4108" max="4109" width="17.28515625" style="1" bestFit="1" customWidth="1"/>
    <col min="4110" max="4110" width="8" style="1" bestFit="1" customWidth="1"/>
    <col min="4111" max="4111" width="6.28515625" style="1" customWidth="1"/>
    <col min="4112" max="4112" width="6" style="1" bestFit="1" customWidth="1"/>
    <col min="4113" max="4113" width="3" style="1" customWidth="1"/>
    <col min="4114" max="4114" width="11" style="1" bestFit="1" customWidth="1"/>
    <col min="4115" max="4115" width="22.42578125" style="1" bestFit="1" customWidth="1"/>
    <col min="4116" max="4116" width="17.28515625" style="1" bestFit="1" customWidth="1"/>
    <col min="4117" max="4118" width="8" style="1" bestFit="1" customWidth="1"/>
    <col min="4119" max="4119" width="17.28515625" style="1" bestFit="1" customWidth="1"/>
    <col min="4120" max="4121" width="15.140625" style="1" bestFit="1" customWidth="1"/>
    <col min="4122" max="4122" width="8" style="1" bestFit="1" customWidth="1"/>
    <col min="4123" max="4353" width="9.140625" style="1"/>
    <col min="4354" max="4354" width="17.28515625" style="1" bestFit="1" customWidth="1"/>
    <col min="4355" max="4355" width="9" style="1" bestFit="1" customWidth="1"/>
    <col min="4356" max="4356" width="6" style="1" bestFit="1" customWidth="1"/>
    <col min="4357" max="4357" width="9" style="1" bestFit="1" customWidth="1"/>
    <col min="4358" max="4358" width="6" style="1" bestFit="1" customWidth="1"/>
    <col min="4359" max="4359" width="15.140625" style="1" bestFit="1" customWidth="1"/>
    <col min="4360" max="4360" width="9" style="1" bestFit="1" customWidth="1"/>
    <col min="4361" max="4361" width="5" style="1" bestFit="1" customWidth="1"/>
    <col min="4362" max="4362" width="9" style="1" bestFit="1" customWidth="1"/>
    <col min="4363" max="4363" width="7" style="1" bestFit="1" customWidth="1"/>
    <col min="4364" max="4365" width="17.28515625" style="1" bestFit="1" customWidth="1"/>
    <col min="4366" max="4366" width="8" style="1" bestFit="1" customWidth="1"/>
    <col min="4367" max="4367" width="6.28515625" style="1" customWidth="1"/>
    <col min="4368" max="4368" width="6" style="1" bestFit="1" customWidth="1"/>
    <col min="4369" max="4369" width="3" style="1" customWidth="1"/>
    <col min="4370" max="4370" width="11" style="1" bestFit="1" customWidth="1"/>
    <col min="4371" max="4371" width="22.42578125" style="1" bestFit="1" customWidth="1"/>
    <col min="4372" max="4372" width="17.28515625" style="1" bestFit="1" customWidth="1"/>
    <col min="4373" max="4374" width="8" style="1" bestFit="1" customWidth="1"/>
    <col min="4375" max="4375" width="17.28515625" style="1" bestFit="1" customWidth="1"/>
    <col min="4376" max="4377" width="15.140625" style="1" bestFit="1" customWidth="1"/>
    <col min="4378" max="4378" width="8" style="1" bestFit="1" customWidth="1"/>
    <col min="4379" max="4609" width="9.140625" style="1"/>
    <col min="4610" max="4610" width="17.28515625" style="1" bestFit="1" customWidth="1"/>
    <col min="4611" max="4611" width="9" style="1" bestFit="1" customWidth="1"/>
    <col min="4612" max="4612" width="6" style="1" bestFit="1" customWidth="1"/>
    <col min="4613" max="4613" width="9" style="1" bestFit="1" customWidth="1"/>
    <col min="4614" max="4614" width="6" style="1" bestFit="1" customWidth="1"/>
    <col min="4615" max="4615" width="15.140625" style="1" bestFit="1" customWidth="1"/>
    <col min="4616" max="4616" width="9" style="1" bestFit="1" customWidth="1"/>
    <col min="4617" max="4617" width="5" style="1" bestFit="1" customWidth="1"/>
    <col min="4618" max="4618" width="9" style="1" bestFit="1" customWidth="1"/>
    <col min="4619" max="4619" width="7" style="1" bestFit="1" customWidth="1"/>
    <col min="4620" max="4621" width="17.28515625" style="1" bestFit="1" customWidth="1"/>
    <col min="4622" max="4622" width="8" style="1" bestFit="1" customWidth="1"/>
    <col min="4623" max="4623" width="6.28515625" style="1" customWidth="1"/>
    <col min="4624" max="4624" width="6" style="1" bestFit="1" customWidth="1"/>
    <col min="4625" max="4625" width="3" style="1" customWidth="1"/>
    <col min="4626" max="4626" width="11" style="1" bestFit="1" customWidth="1"/>
    <col min="4627" max="4627" width="22.42578125" style="1" bestFit="1" customWidth="1"/>
    <col min="4628" max="4628" width="17.28515625" style="1" bestFit="1" customWidth="1"/>
    <col min="4629" max="4630" width="8" style="1" bestFit="1" customWidth="1"/>
    <col min="4631" max="4631" width="17.28515625" style="1" bestFit="1" customWidth="1"/>
    <col min="4632" max="4633" width="15.140625" style="1" bestFit="1" customWidth="1"/>
    <col min="4634" max="4634" width="8" style="1" bestFit="1" customWidth="1"/>
    <col min="4635" max="4865" width="9.140625" style="1"/>
    <col min="4866" max="4866" width="17.28515625" style="1" bestFit="1" customWidth="1"/>
    <col min="4867" max="4867" width="9" style="1" bestFit="1" customWidth="1"/>
    <col min="4868" max="4868" width="6" style="1" bestFit="1" customWidth="1"/>
    <col min="4869" max="4869" width="9" style="1" bestFit="1" customWidth="1"/>
    <col min="4870" max="4870" width="6" style="1" bestFit="1" customWidth="1"/>
    <col min="4871" max="4871" width="15.140625" style="1" bestFit="1" customWidth="1"/>
    <col min="4872" max="4872" width="9" style="1" bestFit="1" customWidth="1"/>
    <col min="4873" max="4873" width="5" style="1" bestFit="1" customWidth="1"/>
    <col min="4874" max="4874" width="9" style="1" bestFit="1" customWidth="1"/>
    <col min="4875" max="4875" width="7" style="1" bestFit="1" customWidth="1"/>
    <col min="4876" max="4877" width="17.28515625" style="1" bestFit="1" customWidth="1"/>
    <col min="4878" max="4878" width="8" style="1" bestFit="1" customWidth="1"/>
    <col min="4879" max="4879" width="6.28515625" style="1" customWidth="1"/>
    <col min="4880" max="4880" width="6" style="1" bestFit="1" customWidth="1"/>
    <col min="4881" max="4881" width="3" style="1" customWidth="1"/>
    <col min="4882" max="4882" width="11" style="1" bestFit="1" customWidth="1"/>
    <col min="4883" max="4883" width="22.42578125" style="1" bestFit="1" customWidth="1"/>
    <col min="4884" max="4884" width="17.28515625" style="1" bestFit="1" customWidth="1"/>
    <col min="4885" max="4886" width="8" style="1" bestFit="1" customWidth="1"/>
    <col min="4887" max="4887" width="17.28515625" style="1" bestFit="1" customWidth="1"/>
    <col min="4888" max="4889" width="15.140625" style="1" bestFit="1" customWidth="1"/>
    <col min="4890" max="4890" width="8" style="1" bestFit="1" customWidth="1"/>
    <col min="4891" max="5121" width="9.140625" style="1"/>
    <col min="5122" max="5122" width="17.28515625" style="1" bestFit="1" customWidth="1"/>
    <col min="5123" max="5123" width="9" style="1" bestFit="1" customWidth="1"/>
    <col min="5124" max="5124" width="6" style="1" bestFit="1" customWidth="1"/>
    <col min="5125" max="5125" width="9" style="1" bestFit="1" customWidth="1"/>
    <col min="5126" max="5126" width="6" style="1" bestFit="1" customWidth="1"/>
    <col min="5127" max="5127" width="15.140625" style="1" bestFit="1" customWidth="1"/>
    <col min="5128" max="5128" width="9" style="1" bestFit="1" customWidth="1"/>
    <col min="5129" max="5129" width="5" style="1" bestFit="1" customWidth="1"/>
    <col min="5130" max="5130" width="9" style="1" bestFit="1" customWidth="1"/>
    <col min="5131" max="5131" width="7" style="1" bestFit="1" customWidth="1"/>
    <col min="5132" max="5133" width="17.28515625" style="1" bestFit="1" customWidth="1"/>
    <col min="5134" max="5134" width="8" style="1" bestFit="1" customWidth="1"/>
    <col min="5135" max="5135" width="6.28515625" style="1" customWidth="1"/>
    <col min="5136" max="5136" width="6" style="1" bestFit="1" customWidth="1"/>
    <col min="5137" max="5137" width="3" style="1" customWidth="1"/>
    <col min="5138" max="5138" width="11" style="1" bestFit="1" customWidth="1"/>
    <col min="5139" max="5139" width="22.42578125" style="1" bestFit="1" customWidth="1"/>
    <col min="5140" max="5140" width="17.28515625" style="1" bestFit="1" customWidth="1"/>
    <col min="5141" max="5142" width="8" style="1" bestFit="1" customWidth="1"/>
    <col min="5143" max="5143" width="17.28515625" style="1" bestFit="1" customWidth="1"/>
    <col min="5144" max="5145" width="15.140625" style="1" bestFit="1" customWidth="1"/>
    <col min="5146" max="5146" width="8" style="1" bestFit="1" customWidth="1"/>
    <col min="5147" max="5377" width="9.140625" style="1"/>
    <col min="5378" max="5378" width="17.28515625" style="1" bestFit="1" customWidth="1"/>
    <col min="5379" max="5379" width="9" style="1" bestFit="1" customWidth="1"/>
    <col min="5380" max="5380" width="6" style="1" bestFit="1" customWidth="1"/>
    <col min="5381" max="5381" width="9" style="1" bestFit="1" customWidth="1"/>
    <col min="5382" max="5382" width="6" style="1" bestFit="1" customWidth="1"/>
    <col min="5383" max="5383" width="15.140625" style="1" bestFit="1" customWidth="1"/>
    <col min="5384" max="5384" width="9" style="1" bestFit="1" customWidth="1"/>
    <col min="5385" max="5385" width="5" style="1" bestFit="1" customWidth="1"/>
    <col min="5386" max="5386" width="9" style="1" bestFit="1" customWidth="1"/>
    <col min="5387" max="5387" width="7" style="1" bestFit="1" customWidth="1"/>
    <col min="5388" max="5389" width="17.28515625" style="1" bestFit="1" customWidth="1"/>
    <col min="5390" max="5390" width="8" style="1" bestFit="1" customWidth="1"/>
    <col min="5391" max="5391" width="6.28515625" style="1" customWidth="1"/>
    <col min="5392" max="5392" width="6" style="1" bestFit="1" customWidth="1"/>
    <col min="5393" max="5393" width="3" style="1" customWidth="1"/>
    <col min="5394" max="5394" width="11" style="1" bestFit="1" customWidth="1"/>
    <col min="5395" max="5395" width="22.42578125" style="1" bestFit="1" customWidth="1"/>
    <col min="5396" max="5396" width="17.28515625" style="1" bestFit="1" customWidth="1"/>
    <col min="5397" max="5398" width="8" style="1" bestFit="1" customWidth="1"/>
    <col min="5399" max="5399" width="17.28515625" style="1" bestFit="1" customWidth="1"/>
    <col min="5400" max="5401" width="15.140625" style="1" bestFit="1" customWidth="1"/>
    <col min="5402" max="5402" width="8" style="1" bestFit="1" customWidth="1"/>
    <col min="5403" max="5633" width="9.140625" style="1"/>
    <col min="5634" max="5634" width="17.28515625" style="1" bestFit="1" customWidth="1"/>
    <col min="5635" max="5635" width="9" style="1" bestFit="1" customWidth="1"/>
    <col min="5636" max="5636" width="6" style="1" bestFit="1" customWidth="1"/>
    <col min="5637" max="5637" width="9" style="1" bestFit="1" customWidth="1"/>
    <col min="5638" max="5638" width="6" style="1" bestFit="1" customWidth="1"/>
    <col min="5639" max="5639" width="15.140625" style="1" bestFit="1" customWidth="1"/>
    <col min="5640" max="5640" width="9" style="1" bestFit="1" customWidth="1"/>
    <col min="5641" max="5641" width="5" style="1" bestFit="1" customWidth="1"/>
    <col min="5642" max="5642" width="9" style="1" bestFit="1" customWidth="1"/>
    <col min="5643" max="5643" width="7" style="1" bestFit="1" customWidth="1"/>
    <col min="5644" max="5645" width="17.28515625" style="1" bestFit="1" customWidth="1"/>
    <col min="5646" max="5646" width="8" style="1" bestFit="1" customWidth="1"/>
    <col min="5647" max="5647" width="6.28515625" style="1" customWidth="1"/>
    <col min="5648" max="5648" width="6" style="1" bestFit="1" customWidth="1"/>
    <col min="5649" max="5649" width="3" style="1" customWidth="1"/>
    <col min="5650" max="5650" width="11" style="1" bestFit="1" customWidth="1"/>
    <col min="5651" max="5651" width="22.42578125" style="1" bestFit="1" customWidth="1"/>
    <col min="5652" max="5652" width="17.28515625" style="1" bestFit="1" customWidth="1"/>
    <col min="5653" max="5654" width="8" style="1" bestFit="1" customWidth="1"/>
    <col min="5655" max="5655" width="17.28515625" style="1" bestFit="1" customWidth="1"/>
    <col min="5656" max="5657" width="15.140625" style="1" bestFit="1" customWidth="1"/>
    <col min="5658" max="5658" width="8" style="1" bestFit="1" customWidth="1"/>
    <col min="5659" max="5889" width="9.140625" style="1"/>
    <col min="5890" max="5890" width="17.28515625" style="1" bestFit="1" customWidth="1"/>
    <col min="5891" max="5891" width="9" style="1" bestFit="1" customWidth="1"/>
    <col min="5892" max="5892" width="6" style="1" bestFit="1" customWidth="1"/>
    <col min="5893" max="5893" width="9" style="1" bestFit="1" customWidth="1"/>
    <col min="5894" max="5894" width="6" style="1" bestFit="1" customWidth="1"/>
    <col min="5895" max="5895" width="15.140625" style="1" bestFit="1" customWidth="1"/>
    <col min="5896" max="5896" width="9" style="1" bestFit="1" customWidth="1"/>
    <col min="5897" max="5897" width="5" style="1" bestFit="1" customWidth="1"/>
    <col min="5898" max="5898" width="9" style="1" bestFit="1" customWidth="1"/>
    <col min="5899" max="5899" width="7" style="1" bestFit="1" customWidth="1"/>
    <col min="5900" max="5901" width="17.28515625" style="1" bestFit="1" customWidth="1"/>
    <col min="5902" max="5902" width="8" style="1" bestFit="1" customWidth="1"/>
    <col min="5903" max="5903" width="6.28515625" style="1" customWidth="1"/>
    <col min="5904" max="5904" width="6" style="1" bestFit="1" customWidth="1"/>
    <col min="5905" max="5905" width="3" style="1" customWidth="1"/>
    <col min="5906" max="5906" width="11" style="1" bestFit="1" customWidth="1"/>
    <col min="5907" max="5907" width="22.42578125" style="1" bestFit="1" customWidth="1"/>
    <col min="5908" max="5908" width="17.28515625" style="1" bestFit="1" customWidth="1"/>
    <col min="5909" max="5910" width="8" style="1" bestFit="1" customWidth="1"/>
    <col min="5911" max="5911" width="17.28515625" style="1" bestFit="1" customWidth="1"/>
    <col min="5912" max="5913" width="15.140625" style="1" bestFit="1" customWidth="1"/>
    <col min="5914" max="5914" width="8" style="1" bestFit="1" customWidth="1"/>
    <col min="5915" max="6145" width="9.140625" style="1"/>
    <col min="6146" max="6146" width="17.28515625" style="1" bestFit="1" customWidth="1"/>
    <col min="6147" max="6147" width="9" style="1" bestFit="1" customWidth="1"/>
    <col min="6148" max="6148" width="6" style="1" bestFit="1" customWidth="1"/>
    <col min="6149" max="6149" width="9" style="1" bestFit="1" customWidth="1"/>
    <col min="6150" max="6150" width="6" style="1" bestFit="1" customWidth="1"/>
    <col min="6151" max="6151" width="15.140625" style="1" bestFit="1" customWidth="1"/>
    <col min="6152" max="6152" width="9" style="1" bestFit="1" customWidth="1"/>
    <col min="6153" max="6153" width="5" style="1" bestFit="1" customWidth="1"/>
    <col min="6154" max="6154" width="9" style="1" bestFit="1" customWidth="1"/>
    <col min="6155" max="6155" width="7" style="1" bestFit="1" customWidth="1"/>
    <col min="6156" max="6157" width="17.28515625" style="1" bestFit="1" customWidth="1"/>
    <col min="6158" max="6158" width="8" style="1" bestFit="1" customWidth="1"/>
    <col min="6159" max="6159" width="6.28515625" style="1" customWidth="1"/>
    <col min="6160" max="6160" width="6" style="1" bestFit="1" customWidth="1"/>
    <col min="6161" max="6161" width="3" style="1" customWidth="1"/>
    <col min="6162" max="6162" width="11" style="1" bestFit="1" customWidth="1"/>
    <col min="6163" max="6163" width="22.42578125" style="1" bestFit="1" customWidth="1"/>
    <col min="6164" max="6164" width="17.28515625" style="1" bestFit="1" customWidth="1"/>
    <col min="6165" max="6166" width="8" style="1" bestFit="1" customWidth="1"/>
    <col min="6167" max="6167" width="17.28515625" style="1" bestFit="1" customWidth="1"/>
    <col min="6168" max="6169" width="15.140625" style="1" bestFit="1" customWidth="1"/>
    <col min="6170" max="6170" width="8" style="1" bestFit="1" customWidth="1"/>
    <col min="6171" max="6401" width="9.140625" style="1"/>
    <col min="6402" max="6402" width="17.28515625" style="1" bestFit="1" customWidth="1"/>
    <col min="6403" max="6403" width="9" style="1" bestFit="1" customWidth="1"/>
    <col min="6404" max="6404" width="6" style="1" bestFit="1" customWidth="1"/>
    <col min="6405" max="6405" width="9" style="1" bestFit="1" customWidth="1"/>
    <col min="6406" max="6406" width="6" style="1" bestFit="1" customWidth="1"/>
    <col min="6407" max="6407" width="15.140625" style="1" bestFit="1" customWidth="1"/>
    <col min="6408" max="6408" width="9" style="1" bestFit="1" customWidth="1"/>
    <col min="6409" max="6409" width="5" style="1" bestFit="1" customWidth="1"/>
    <col min="6410" max="6410" width="9" style="1" bestFit="1" customWidth="1"/>
    <col min="6411" max="6411" width="7" style="1" bestFit="1" customWidth="1"/>
    <col min="6412" max="6413" width="17.28515625" style="1" bestFit="1" customWidth="1"/>
    <col min="6414" max="6414" width="8" style="1" bestFit="1" customWidth="1"/>
    <col min="6415" max="6415" width="6.28515625" style="1" customWidth="1"/>
    <col min="6416" max="6416" width="6" style="1" bestFit="1" customWidth="1"/>
    <col min="6417" max="6417" width="3" style="1" customWidth="1"/>
    <col min="6418" max="6418" width="11" style="1" bestFit="1" customWidth="1"/>
    <col min="6419" max="6419" width="22.42578125" style="1" bestFit="1" customWidth="1"/>
    <col min="6420" max="6420" width="17.28515625" style="1" bestFit="1" customWidth="1"/>
    <col min="6421" max="6422" width="8" style="1" bestFit="1" customWidth="1"/>
    <col min="6423" max="6423" width="17.28515625" style="1" bestFit="1" customWidth="1"/>
    <col min="6424" max="6425" width="15.140625" style="1" bestFit="1" customWidth="1"/>
    <col min="6426" max="6426" width="8" style="1" bestFit="1" customWidth="1"/>
    <col min="6427" max="6657" width="9.140625" style="1"/>
    <col min="6658" max="6658" width="17.28515625" style="1" bestFit="1" customWidth="1"/>
    <col min="6659" max="6659" width="9" style="1" bestFit="1" customWidth="1"/>
    <col min="6660" max="6660" width="6" style="1" bestFit="1" customWidth="1"/>
    <col min="6661" max="6661" width="9" style="1" bestFit="1" customWidth="1"/>
    <col min="6662" max="6662" width="6" style="1" bestFit="1" customWidth="1"/>
    <col min="6663" max="6663" width="15.140625" style="1" bestFit="1" customWidth="1"/>
    <col min="6664" max="6664" width="9" style="1" bestFit="1" customWidth="1"/>
    <col min="6665" max="6665" width="5" style="1" bestFit="1" customWidth="1"/>
    <col min="6666" max="6666" width="9" style="1" bestFit="1" customWidth="1"/>
    <col min="6667" max="6667" width="7" style="1" bestFit="1" customWidth="1"/>
    <col min="6668" max="6669" width="17.28515625" style="1" bestFit="1" customWidth="1"/>
    <col min="6670" max="6670" width="8" style="1" bestFit="1" customWidth="1"/>
    <col min="6671" max="6671" width="6.28515625" style="1" customWidth="1"/>
    <col min="6672" max="6672" width="6" style="1" bestFit="1" customWidth="1"/>
    <col min="6673" max="6673" width="3" style="1" customWidth="1"/>
    <col min="6674" max="6674" width="11" style="1" bestFit="1" customWidth="1"/>
    <col min="6675" max="6675" width="22.42578125" style="1" bestFit="1" customWidth="1"/>
    <col min="6676" max="6676" width="17.28515625" style="1" bestFit="1" customWidth="1"/>
    <col min="6677" max="6678" width="8" style="1" bestFit="1" customWidth="1"/>
    <col min="6679" max="6679" width="17.28515625" style="1" bestFit="1" customWidth="1"/>
    <col min="6680" max="6681" width="15.140625" style="1" bestFit="1" customWidth="1"/>
    <col min="6682" max="6682" width="8" style="1" bestFit="1" customWidth="1"/>
    <col min="6683" max="6913" width="9.140625" style="1"/>
    <col min="6914" max="6914" width="17.28515625" style="1" bestFit="1" customWidth="1"/>
    <col min="6915" max="6915" width="9" style="1" bestFit="1" customWidth="1"/>
    <col min="6916" max="6916" width="6" style="1" bestFit="1" customWidth="1"/>
    <col min="6917" max="6917" width="9" style="1" bestFit="1" customWidth="1"/>
    <col min="6918" max="6918" width="6" style="1" bestFit="1" customWidth="1"/>
    <col min="6919" max="6919" width="15.140625" style="1" bestFit="1" customWidth="1"/>
    <col min="6920" max="6920" width="9" style="1" bestFit="1" customWidth="1"/>
    <col min="6921" max="6921" width="5" style="1" bestFit="1" customWidth="1"/>
    <col min="6922" max="6922" width="9" style="1" bestFit="1" customWidth="1"/>
    <col min="6923" max="6923" width="7" style="1" bestFit="1" customWidth="1"/>
    <col min="6924" max="6925" width="17.28515625" style="1" bestFit="1" customWidth="1"/>
    <col min="6926" max="6926" width="8" style="1" bestFit="1" customWidth="1"/>
    <col min="6927" max="6927" width="6.28515625" style="1" customWidth="1"/>
    <col min="6928" max="6928" width="6" style="1" bestFit="1" customWidth="1"/>
    <col min="6929" max="6929" width="3" style="1" customWidth="1"/>
    <col min="6930" max="6930" width="11" style="1" bestFit="1" customWidth="1"/>
    <col min="6931" max="6931" width="22.42578125" style="1" bestFit="1" customWidth="1"/>
    <col min="6932" max="6932" width="17.28515625" style="1" bestFit="1" customWidth="1"/>
    <col min="6933" max="6934" width="8" style="1" bestFit="1" customWidth="1"/>
    <col min="6935" max="6935" width="17.28515625" style="1" bestFit="1" customWidth="1"/>
    <col min="6936" max="6937" width="15.140625" style="1" bestFit="1" customWidth="1"/>
    <col min="6938" max="6938" width="8" style="1" bestFit="1" customWidth="1"/>
    <col min="6939" max="7169" width="9.140625" style="1"/>
    <col min="7170" max="7170" width="17.28515625" style="1" bestFit="1" customWidth="1"/>
    <col min="7171" max="7171" width="9" style="1" bestFit="1" customWidth="1"/>
    <col min="7172" max="7172" width="6" style="1" bestFit="1" customWidth="1"/>
    <col min="7173" max="7173" width="9" style="1" bestFit="1" customWidth="1"/>
    <col min="7174" max="7174" width="6" style="1" bestFit="1" customWidth="1"/>
    <col min="7175" max="7175" width="15.140625" style="1" bestFit="1" customWidth="1"/>
    <col min="7176" max="7176" width="9" style="1" bestFit="1" customWidth="1"/>
    <col min="7177" max="7177" width="5" style="1" bestFit="1" customWidth="1"/>
    <col min="7178" max="7178" width="9" style="1" bestFit="1" customWidth="1"/>
    <col min="7179" max="7179" width="7" style="1" bestFit="1" customWidth="1"/>
    <col min="7180" max="7181" width="17.28515625" style="1" bestFit="1" customWidth="1"/>
    <col min="7182" max="7182" width="8" style="1" bestFit="1" customWidth="1"/>
    <col min="7183" max="7183" width="6.28515625" style="1" customWidth="1"/>
    <col min="7184" max="7184" width="6" style="1" bestFit="1" customWidth="1"/>
    <col min="7185" max="7185" width="3" style="1" customWidth="1"/>
    <col min="7186" max="7186" width="11" style="1" bestFit="1" customWidth="1"/>
    <col min="7187" max="7187" width="22.42578125" style="1" bestFit="1" customWidth="1"/>
    <col min="7188" max="7188" width="17.28515625" style="1" bestFit="1" customWidth="1"/>
    <col min="7189" max="7190" width="8" style="1" bestFit="1" customWidth="1"/>
    <col min="7191" max="7191" width="17.28515625" style="1" bestFit="1" customWidth="1"/>
    <col min="7192" max="7193" width="15.140625" style="1" bestFit="1" customWidth="1"/>
    <col min="7194" max="7194" width="8" style="1" bestFit="1" customWidth="1"/>
    <col min="7195" max="7425" width="9.140625" style="1"/>
    <col min="7426" max="7426" width="17.28515625" style="1" bestFit="1" customWidth="1"/>
    <col min="7427" max="7427" width="9" style="1" bestFit="1" customWidth="1"/>
    <col min="7428" max="7428" width="6" style="1" bestFit="1" customWidth="1"/>
    <col min="7429" max="7429" width="9" style="1" bestFit="1" customWidth="1"/>
    <col min="7430" max="7430" width="6" style="1" bestFit="1" customWidth="1"/>
    <col min="7431" max="7431" width="15.140625" style="1" bestFit="1" customWidth="1"/>
    <col min="7432" max="7432" width="9" style="1" bestFit="1" customWidth="1"/>
    <col min="7433" max="7433" width="5" style="1" bestFit="1" customWidth="1"/>
    <col min="7434" max="7434" width="9" style="1" bestFit="1" customWidth="1"/>
    <col min="7435" max="7435" width="7" style="1" bestFit="1" customWidth="1"/>
    <col min="7436" max="7437" width="17.28515625" style="1" bestFit="1" customWidth="1"/>
    <col min="7438" max="7438" width="8" style="1" bestFit="1" customWidth="1"/>
    <col min="7439" max="7439" width="6.28515625" style="1" customWidth="1"/>
    <col min="7440" max="7440" width="6" style="1" bestFit="1" customWidth="1"/>
    <col min="7441" max="7441" width="3" style="1" customWidth="1"/>
    <col min="7442" max="7442" width="11" style="1" bestFit="1" customWidth="1"/>
    <col min="7443" max="7443" width="22.42578125" style="1" bestFit="1" customWidth="1"/>
    <col min="7444" max="7444" width="17.28515625" style="1" bestFit="1" customWidth="1"/>
    <col min="7445" max="7446" width="8" style="1" bestFit="1" customWidth="1"/>
    <col min="7447" max="7447" width="17.28515625" style="1" bestFit="1" customWidth="1"/>
    <col min="7448" max="7449" width="15.140625" style="1" bestFit="1" customWidth="1"/>
    <col min="7450" max="7450" width="8" style="1" bestFit="1" customWidth="1"/>
    <col min="7451" max="7681" width="9.140625" style="1"/>
    <col min="7682" max="7682" width="17.28515625" style="1" bestFit="1" customWidth="1"/>
    <col min="7683" max="7683" width="9" style="1" bestFit="1" customWidth="1"/>
    <col min="7684" max="7684" width="6" style="1" bestFit="1" customWidth="1"/>
    <col min="7685" max="7685" width="9" style="1" bestFit="1" customWidth="1"/>
    <col min="7686" max="7686" width="6" style="1" bestFit="1" customWidth="1"/>
    <col min="7687" max="7687" width="15.140625" style="1" bestFit="1" customWidth="1"/>
    <col min="7688" max="7688" width="9" style="1" bestFit="1" customWidth="1"/>
    <col min="7689" max="7689" width="5" style="1" bestFit="1" customWidth="1"/>
    <col min="7690" max="7690" width="9" style="1" bestFit="1" customWidth="1"/>
    <col min="7691" max="7691" width="7" style="1" bestFit="1" customWidth="1"/>
    <col min="7692" max="7693" width="17.28515625" style="1" bestFit="1" customWidth="1"/>
    <col min="7694" max="7694" width="8" style="1" bestFit="1" customWidth="1"/>
    <col min="7695" max="7695" width="6.28515625" style="1" customWidth="1"/>
    <col min="7696" max="7696" width="6" style="1" bestFit="1" customWidth="1"/>
    <col min="7697" max="7697" width="3" style="1" customWidth="1"/>
    <col min="7698" max="7698" width="11" style="1" bestFit="1" customWidth="1"/>
    <col min="7699" max="7699" width="22.42578125" style="1" bestFit="1" customWidth="1"/>
    <col min="7700" max="7700" width="17.28515625" style="1" bestFit="1" customWidth="1"/>
    <col min="7701" max="7702" width="8" style="1" bestFit="1" customWidth="1"/>
    <col min="7703" max="7703" width="17.28515625" style="1" bestFit="1" customWidth="1"/>
    <col min="7704" max="7705" width="15.140625" style="1" bestFit="1" customWidth="1"/>
    <col min="7706" max="7706" width="8" style="1" bestFit="1" customWidth="1"/>
    <col min="7707" max="7937" width="9.140625" style="1"/>
    <col min="7938" max="7938" width="17.28515625" style="1" bestFit="1" customWidth="1"/>
    <col min="7939" max="7939" width="9" style="1" bestFit="1" customWidth="1"/>
    <col min="7940" max="7940" width="6" style="1" bestFit="1" customWidth="1"/>
    <col min="7941" max="7941" width="9" style="1" bestFit="1" customWidth="1"/>
    <col min="7942" max="7942" width="6" style="1" bestFit="1" customWidth="1"/>
    <col min="7943" max="7943" width="15.140625" style="1" bestFit="1" customWidth="1"/>
    <col min="7944" max="7944" width="9" style="1" bestFit="1" customWidth="1"/>
    <col min="7945" max="7945" width="5" style="1" bestFit="1" customWidth="1"/>
    <col min="7946" max="7946" width="9" style="1" bestFit="1" customWidth="1"/>
    <col min="7947" max="7947" width="7" style="1" bestFit="1" customWidth="1"/>
    <col min="7948" max="7949" width="17.28515625" style="1" bestFit="1" customWidth="1"/>
    <col min="7950" max="7950" width="8" style="1" bestFit="1" customWidth="1"/>
    <col min="7951" max="7951" width="6.28515625" style="1" customWidth="1"/>
    <col min="7952" max="7952" width="6" style="1" bestFit="1" customWidth="1"/>
    <col min="7953" max="7953" width="3" style="1" customWidth="1"/>
    <col min="7954" max="7954" width="11" style="1" bestFit="1" customWidth="1"/>
    <col min="7955" max="7955" width="22.42578125" style="1" bestFit="1" customWidth="1"/>
    <col min="7956" max="7956" width="17.28515625" style="1" bestFit="1" customWidth="1"/>
    <col min="7957" max="7958" width="8" style="1" bestFit="1" customWidth="1"/>
    <col min="7959" max="7959" width="17.28515625" style="1" bestFit="1" customWidth="1"/>
    <col min="7960" max="7961" width="15.140625" style="1" bestFit="1" customWidth="1"/>
    <col min="7962" max="7962" width="8" style="1" bestFit="1" customWidth="1"/>
    <col min="7963" max="8193" width="9.140625" style="1"/>
    <col min="8194" max="8194" width="17.28515625" style="1" bestFit="1" customWidth="1"/>
    <col min="8195" max="8195" width="9" style="1" bestFit="1" customWidth="1"/>
    <col min="8196" max="8196" width="6" style="1" bestFit="1" customWidth="1"/>
    <col min="8197" max="8197" width="9" style="1" bestFit="1" customWidth="1"/>
    <col min="8198" max="8198" width="6" style="1" bestFit="1" customWidth="1"/>
    <col min="8199" max="8199" width="15.140625" style="1" bestFit="1" customWidth="1"/>
    <col min="8200" max="8200" width="9" style="1" bestFit="1" customWidth="1"/>
    <col min="8201" max="8201" width="5" style="1" bestFit="1" customWidth="1"/>
    <col min="8202" max="8202" width="9" style="1" bestFit="1" customWidth="1"/>
    <col min="8203" max="8203" width="7" style="1" bestFit="1" customWidth="1"/>
    <col min="8204" max="8205" width="17.28515625" style="1" bestFit="1" customWidth="1"/>
    <col min="8206" max="8206" width="8" style="1" bestFit="1" customWidth="1"/>
    <col min="8207" max="8207" width="6.28515625" style="1" customWidth="1"/>
    <col min="8208" max="8208" width="6" style="1" bestFit="1" customWidth="1"/>
    <col min="8209" max="8209" width="3" style="1" customWidth="1"/>
    <col min="8210" max="8210" width="11" style="1" bestFit="1" customWidth="1"/>
    <col min="8211" max="8211" width="22.42578125" style="1" bestFit="1" customWidth="1"/>
    <col min="8212" max="8212" width="17.28515625" style="1" bestFit="1" customWidth="1"/>
    <col min="8213" max="8214" width="8" style="1" bestFit="1" customWidth="1"/>
    <col min="8215" max="8215" width="17.28515625" style="1" bestFit="1" customWidth="1"/>
    <col min="8216" max="8217" width="15.140625" style="1" bestFit="1" customWidth="1"/>
    <col min="8218" max="8218" width="8" style="1" bestFit="1" customWidth="1"/>
    <col min="8219" max="8449" width="9.140625" style="1"/>
    <col min="8450" max="8450" width="17.28515625" style="1" bestFit="1" customWidth="1"/>
    <col min="8451" max="8451" width="9" style="1" bestFit="1" customWidth="1"/>
    <col min="8452" max="8452" width="6" style="1" bestFit="1" customWidth="1"/>
    <col min="8453" max="8453" width="9" style="1" bestFit="1" customWidth="1"/>
    <col min="8454" max="8454" width="6" style="1" bestFit="1" customWidth="1"/>
    <col min="8455" max="8455" width="15.140625" style="1" bestFit="1" customWidth="1"/>
    <col min="8456" max="8456" width="9" style="1" bestFit="1" customWidth="1"/>
    <col min="8457" max="8457" width="5" style="1" bestFit="1" customWidth="1"/>
    <col min="8458" max="8458" width="9" style="1" bestFit="1" customWidth="1"/>
    <col min="8459" max="8459" width="7" style="1" bestFit="1" customWidth="1"/>
    <col min="8460" max="8461" width="17.28515625" style="1" bestFit="1" customWidth="1"/>
    <col min="8462" max="8462" width="8" style="1" bestFit="1" customWidth="1"/>
    <col min="8463" max="8463" width="6.28515625" style="1" customWidth="1"/>
    <col min="8464" max="8464" width="6" style="1" bestFit="1" customWidth="1"/>
    <col min="8465" max="8465" width="3" style="1" customWidth="1"/>
    <col min="8466" max="8466" width="11" style="1" bestFit="1" customWidth="1"/>
    <col min="8467" max="8467" width="22.42578125" style="1" bestFit="1" customWidth="1"/>
    <col min="8468" max="8468" width="17.28515625" style="1" bestFit="1" customWidth="1"/>
    <col min="8469" max="8470" width="8" style="1" bestFit="1" customWidth="1"/>
    <col min="8471" max="8471" width="17.28515625" style="1" bestFit="1" customWidth="1"/>
    <col min="8472" max="8473" width="15.140625" style="1" bestFit="1" customWidth="1"/>
    <col min="8474" max="8474" width="8" style="1" bestFit="1" customWidth="1"/>
    <col min="8475" max="8705" width="9.140625" style="1"/>
    <col min="8706" max="8706" width="17.28515625" style="1" bestFit="1" customWidth="1"/>
    <col min="8707" max="8707" width="9" style="1" bestFit="1" customWidth="1"/>
    <col min="8708" max="8708" width="6" style="1" bestFit="1" customWidth="1"/>
    <col min="8709" max="8709" width="9" style="1" bestFit="1" customWidth="1"/>
    <col min="8710" max="8710" width="6" style="1" bestFit="1" customWidth="1"/>
    <col min="8711" max="8711" width="15.140625" style="1" bestFit="1" customWidth="1"/>
    <col min="8712" max="8712" width="9" style="1" bestFit="1" customWidth="1"/>
    <col min="8713" max="8713" width="5" style="1" bestFit="1" customWidth="1"/>
    <col min="8714" max="8714" width="9" style="1" bestFit="1" customWidth="1"/>
    <col min="8715" max="8715" width="7" style="1" bestFit="1" customWidth="1"/>
    <col min="8716" max="8717" width="17.28515625" style="1" bestFit="1" customWidth="1"/>
    <col min="8718" max="8718" width="8" style="1" bestFit="1" customWidth="1"/>
    <col min="8719" max="8719" width="6.28515625" style="1" customWidth="1"/>
    <col min="8720" max="8720" width="6" style="1" bestFit="1" customWidth="1"/>
    <col min="8721" max="8721" width="3" style="1" customWidth="1"/>
    <col min="8722" max="8722" width="11" style="1" bestFit="1" customWidth="1"/>
    <col min="8723" max="8723" width="22.42578125" style="1" bestFit="1" customWidth="1"/>
    <col min="8724" max="8724" width="17.28515625" style="1" bestFit="1" customWidth="1"/>
    <col min="8725" max="8726" width="8" style="1" bestFit="1" customWidth="1"/>
    <col min="8727" max="8727" width="17.28515625" style="1" bestFit="1" customWidth="1"/>
    <col min="8728" max="8729" width="15.140625" style="1" bestFit="1" customWidth="1"/>
    <col min="8730" max="8730" width="8" style="1" bestFit="1" customWidth="1"/>
    <col min="8731" max="8961" width="9.140625" style="1"/>
    <col min="8962" max="8962" width="17.28515625" style="1" bestFit="1" customWidth="1"/>
    <col min="8963" max="8963" width="9" style="1" bestFit="1" customWidth="1"/>
    <col min="8964" max="8964" width="6" style="1" bestFit="1" customWidth="1"/>
    <col min="8965" max="8965" width="9" style="1" bestFit="1" customWidth="1"/>
    <col min="8966" max="8966" width="6" style="1" bestFit="1" customWidth="1"/>
    <col min="8967" max="8967" width="15.140625" style="1" bestFit="1" customWidth="1"/>
    <col min="8968" max="8968" width="9" style="1" bestFit="1" customWidth="1"/>
    <col min="8969" max="8969" width="5" style="1" bestFit="1" customWidth="1"/>
    <col min="8970" max="8970" width="9" style="1" bestFit="1" customWidth="1"/>
    <col min="8971" max="8971" width="7" style="1" bestFit="1" customWidth="1"/>
    <col min="8972" max="8973" width="17.28515625" style="1" bestFit="1" customWidth="1"/>
    <col min="8974" max="8974" width="8" style="1" bestFit="1" customWidth="1"/>
    <col min="8975" max="8975" width="6.28515625" style="1" customWidth="1"/>
    <col min="8976" max="8976" width="6" style="1" bestFit="1" customWidth="1"/>
    <col min="8977" max="8977" width="3" style="1" customWidth="1"/>
    <col min="8978" max="8978" width="11" style="1" bestFit="1" customWidth="1"/>
    <col min="8979" max="8979" width="22.42578125" style="1" bestFit="1" customWidth="1"/>
    <col min="8980" max="8980" width="17.28515625" style="1" bestFit="1" customWidth="1"/>
    <col min="8981" max="8982" width="8" style="1" bestFit="1" customWidth="1"/>
    <col min="8983" max="8983" width="17.28515625" style="1" bestFit="1" customWidth="1"/>
    <col min="8984" max="8985" width="15.140625" style="1" bestFit="1" customWidth="1"/>
    <col min="8986" max="8986" width="8" style="1" bestFit="1" customWidth="1"/>
    <col min="8987" max="9217" width="9.140625" style="1"/>
    <col min="9218" max="9218" width="17.28515625" style="1" bestFit="1" customWidth="1"/>
    <col min="9219" max="9219" width="9" style="1" bestFit="1" customWidth="1"/>
    <col min="9220" max="9220" width="6" style="1" bestFit="1" customWidth="1"/>
    <col min="9221" max="9221" width="9" style="1" bestFit="1" customWidth="1"/>
    <col min="9222" max="9222" width="6" style="1" bestFit="1" customWidth="1"/>
    <col min="9223" max="9223" width="15.140625" style="1" bestFit="1" customWidth="1"/>
    <col min="9224" max="9224" width="9" style="1" bestFit="1" customWidth="1"/>
    <col min="9225" max="9225" width="5" style="1" bestFit="1" customWidth="1"/>
    <col min="9226" max="9226" width="9" style="1" bestFit="1" customWidth="1"/>
    <col min="9227" max="9227" width="7" style="1" bestFit="1" customWidth="1"/>
    <col min="9228" max="9229" width="17.28515625" style="1" bestFit="1" customWidth="1"/>
    <col min="9230" max="9230" width="8" style="1" bestFit="1" customWidth="1"/>
    <col min="9231" max="9231" width="6.28515625" style="1" customWidth="1"/>
    <col min="9232" max="9232" width="6" style="1" bestFit="1" customWidth="1"/>
    <col min="9233" max="9233" width="3" style="1" customWidth="1"/>
    <col min="9234" max="9234" width="11" style="1" bestFit="1" customWidth="1"/>
    <col min="9235" max="9235" width="22.42578125" style="1" bestFit="1" customWidth="1"/>
    <col min="9236" max="9236" width="17.28515625" style="1" bestFit="1" customWidth="1"/>
    <col min="9237" max="9238" width="8" style="1" bestFit="1" customWidth="1"/>
    <col min="9239" max="9239" width="17.28515625" style="1" bestFit="1" customWidth="1"/>
    <col min="9240" max="9241" width="15.140625" style="1" bestFit="1" customWidth="1"/>
    <col min="9242" max="9242" width="8" style="1" bestFit="1" customWidth="1"/>
    <col min="9243" max="9473" width="9.140625" style="1"/>
    <col min="9474" max="9474" width="17.28515625" style="1" bestFit="1" customWidth="1"/>
    <col min="9475" max="9475" width="9" style="1" bestFit="1" customWidth="1"/>
    <col min="9476" max="9476" width="6" style="1" bestFit="1" customWidth="1"/>
    <col min="9477" max="9477" width="9" style="1" bestFit="1" customWidth="1"/>
    <col min="9478" max="9478" width="6" style="1" bestFit="1" customWidth="1"/>
    <col min="9479" max="9479" width="15.140625" style="1" bestFit="1" customWidth="1"/>
    <col min="9480" max="9480" width="9" style="1" bestFit="1" customWidth="1"/>
    <col min="9481" max="9481" width="5" style="1" bestFit="1" customWidth="1"/>
    <col min="9482" max="9482" width="9" style="1" bestFit="1" customWidth="1"/>
    <col min="9483" max="9483" width="7" style="1" bestFit="1" customWidth="1"/>
    <col min="9484" max="9485" width="17.28515625" style="1" bestFit="1" customWidth="1"/>
    <col min="9486" max="9486" width="8" style="1" bestFit="1" customWidth="1"/>
    <col min="9487" max="9487" width="6.28515625" style="1" customWidth="1"/>
    <col min="9488" max="9488" width="6" style="1" bestFit="1" customWidth="1"/>
    <col min="9489" max="9489" width="3" style="1" customWidth="1"/>
    <col min="9490" max="9490" width="11" style="1" bestFit="1" customWidth="1"/>
    <col min="9491" max="9491" width="22.42578125" style="1" bestFit="1" customWidth="1"/>
    <col min="9492" max="9492" width="17.28515625" style="1" bestFit="1" customWidth="1"/>
    <col min="9493" max="9494" width="8" style="1" bestFit="1" customWidth="1"/>
    <col min="9495" max="9495" width="17.28515625" style="1" bestFit="1" customWidth="1"/>
    <col min="9496" max="9497" width="15.140625" style="1" bestFit="1" customWidth="1"/>
    <col min="9498" max="9498" width="8" style="1" bestFit="1" customWidth="1"/>
    <col min="9499" max="9729" width="9.140625" style="1"/>
    <col min="9730" max="9730" width="17.28515625" style="1" bestFit="1" customWidth="1"/>
    <col min="9731" max="9731" width="9" style="1" bestFit="1" customWidth="1"/>
    <col min="9732" max="9732" width="6" style="1" bestFit="1" customWidth="1"/>
    <col min="9733" max="9733" width="9" style="1" bestFit="1" customWidth="1"/>
    <col min="9734" max="9734" width="6" style="1" bestFit="1" customWidth="1"/>
    <col min="9735" max="9735" width="15.140625" style="1" bestFit="1" customWidth="1"/>
    <col min="9736" max="9736" width="9" style="1" bestFit="1" customWidth="1"/>
    <col min="9737" max="9737" width="5" style="1" bestFit="1" customWidth="1"/>
    <col min="9738" max="9738" width="9" style="1" bestFit="1" customWidth="1"/>
    <col min="9739" max="9739" width="7" style="1" bestFit="1" customWidth="1"/>
    <col min="9740" max="9741" width="17.28515625" style="1" bestFit="1" customWidth="1"/>
    <col min="9742" max="9742" width="8" style="1" bestFit="1" customWidth="1"/>
    <col min="9743" max="9743" width="6.28515625" style="1" customWidth="1"/>
    <col min="9744" max="9744" width="6" style="1" bestFit="1" customWidth="1"/>
    <col min="9745" max="9745" width="3" style="1" customWidth="1"/>
    <col min="9746" max="9746" width="11" style="1" bestFit="1" customWidth="1"/>
    <col min="9747" max="9747" width="22.42578125" style="1" bestFit="1" customWidth="1"/>
    <col min="9748" max="9748" width="17.28515625" style="1" bestFit="1" customWidth="1"/>
    <col min="9749" max="9750" width="8" style="1" bestFit="1" customWidth="1"/>
    <col min="9751" max="9751" width="17.28515625" style="1" bestFit="1" customWidth="1"/>
    <col min="9752" max="9753" width="15.140625" style="1" bestFit="1" customWidth="1"/>
    <col min="9754" max="9754" width="8" style="1" bestFit="1" customWidth="1"/>
    <col min="9755" max="9985" width="9.140625" style="1"/>
    <col min="9986" max="9986" width="17.28515625" style="1" bestFit="1" customWidth="1"/>
    <col min="9987" max="9987" width="9" style="1" bestFit="1" customWidth="1"/>
    <col min="9988" max="9988" width="6" style="1" bestFit="1" customWidth="1"/>
    <col min="9989" max="9989" width="9" style="1" bestFit="1" customWidth="1"/>
    <col min="9990" max="9990" width="6" style="1" bestFit="1" customWidth="1"/>
    <col min="9991" max="9991" width="15.140625" style="1" bestFit="1" customWidth="1"/>
    <col min="9992" max="9992" width="9" style="1" bestFit="1" customWidth="1"/>
    <col min="9993" max="9993" width="5" style="1" bestFit="1" customWidth="1"/>
    <col min="9994" max="9994" width="9" style="1" bestFit="1" customWidth="1"/>
    <col min="9995" max="9995" width="7" style="1" bestFit="1" customWidth="1"/>
    <col min="9996" max="9997" width="17.28515625" style="1" bestFit="1" customWidth="1"/>
    <col min="9998" max="9998" width="8" style="1" bestFit="1" customWidth="1"/>
    <col min="9999" max="9999" width="6.28515625" style="1" customWidth="1"/>
    <col min="10000" max="10000" width="6" style="1" bestFit="1" customWidth="1"/>
    <col min="10001" max="10001" width="3" style="1" customWidth="1"/>
    <col min="10002" max="10002" width="11" style="1" bestFit="1" customWidth="1"/>
    <col min="10003" max="10003" width="22.42578125" style="1" bestFit="1" customWidth="1"/>
    <col min="10004" max="10004" width="17.28515625" style="1" bestFit="1" customWidth="1"/>
    <col min="10005" max="10006" width="8" style="1" bestFit="1" customWidth="1"/>
    <col min="10007" max="10007" width="17.28515625" style="1" bestFit="1" customWidth="1"/>
    <col min="10008" max="10009" width="15.140625" style="1" bestFit="1" customWidth="1"/>
    <col min="10010" max="10010" width="8" style="1" bestFit="1" customWidth="1"/>
    <col min="10011" max="10241" width="9.140625" style="1"/>
    <col min="10242" max="10242" width="17.28515625" style="1" bestFit="1" customWidth="1"/>
    <col min="10243" max="10243" width="9" style="1" bestFit="1" customWidth="1"/>
    <col min="10244" max="10244" width="6" style="1" bestFit="1" customWidth="1"/>
    <col min="10245" max="10245" width="9" style="1" bestFit="1" customWidth="1"/>
    <col min="10246" max="10246" width="6" style="1" bestFit="1" customWidth="1"/>
    <col min="10247" max="10247" width="15.140625" style="1" bestFit="1" customWidth="1"/>
    <col min="10248" max="10248" width="9" style="1" bestFit="1" customWidth="1"/>
    <col min="10249" max="10249" width="5" style="1" bestFit="1" customWidth="1"/>
    <col min="10250" max="10250" width="9" style="1" bestFit="1" customWidth="1"/>
    <col min="10251" max="10251" width="7" style="1" bestFit="1" customWidth="1"/>
    <col min="10252" max="10253" width="17.28515625" style="1" bestFit="1" customWidth="1"/>
    <col min="10254" max="10254" width="8" style="1" bestFit="1" customWidth="1"/>
    <col min="10255" max="10255" width="6.28515625" style="1" customWidth="1"/>
    <col min="10256" max="10256" width="6" style="1" bestFit="1" customWidth="1"/>
    <col min="10257" max="10257" width="3" style="1" customWidth="1"/>
    <col min="10258" max="10258" width="11" style="1" bestFit="1" customWidth="1"/>
    <col min="10259" max="10259" width="22.42578125" style="1" bestFit="1" customWidth="1"/>
    <col min="10260" max="10260" width="17.28515625" style="1" bestFit="1" customWidth="1"/>
    <col min="10261" max="10262" width="8" style="1" bestFit="1" customWidth="1"/>
    <col min="10263" max="10263" width="17.28515625" style="1" bestFit="1" customWidth="1"/>
    <col min="10264" max="10265" width="15.140625" style="1" bestFit="1" customWidth="1"/>
    <col min="10266" max="10266" width="8" style="1" bestFit="1" customWidth="1"/>
    <col min="10267" max="10497" width="9.140625" style="1"/>
    <col min="10498" max="10498" width="17.28515625" style="1" bestFit="1" customWidth="1"/>
    <col min="10499" max="10499" width="9" style="1" bestFit="1" customWidth="1"/>
    <col min="10500" max="10500" width="6" style="1" bestFit="1" customWidth="1"/>
    <col min="10501" max="10501" width="9" style="1" bestFit="1" customWidth="1"/>
    <col min="10502" max="10502" width="6" style="1" bestFit="1" customWidth="1"/>
    <col min="10503" max="10503" width="15.140625" style="1" bestFit="1" customWidth="1"/>
    <col min="10504" max="10504" width="9" style="1" bestFit="1" customWidth="1"/>
    <col min="10505" max="10505" width="5" style="1" bestFit="1" customWidth="1"/>
    <col min="10506" max="10506" width="9" style="1" bestFit="1" customWidth="1"/>
    <col min="10507" max="10507" width="7" style="1" bestFit="1" customWidth="1"/>
    <col min="10508" max="10509" width="17.28515625" style="1" bestFit="1" customWidth="1"/>
    <col min="10510" max="10510" width="8" style="1" bestFit="1" customWidth="1"/>
    <col min="10511" max="10511" width="6.28515625" style="1" customWidth="1"/>
    <col min="10512" max="10512" width="6" style="1" bestFit="1" customWidth="1"/>
    <col min="10513" max="10513" width="3" style="1" customWidth="1"/>
    <col min="10514" max="10514" width="11" style="1" bestFit="1" customWidth="1"/>
    <col min="10515" max="10515" width="22.42578125" style="1" bestFit="1" customWidth="1"/>
    <col min="10516" max="10516" width="17.28515625" style="1" bestFit="1" customWidth="1"/>
    <col min="10517" max="10518" width="8" style="1" bestFit="1" customWidth="1"/>
    <col min="10519" max="10519" width="17.28515625" style="1" bestFit="1" customWidth="1"/>
    <col min="10520" max="10521" width="15.140625" style="1" bestFit="1" customWidth="1"/>
    <col min="10522" max="10522" width="8" style="1" bestFit="1" customWidth="1"/>
    <col min="10523" max="10753" width="9.140625" style="1"/>
    <col min="10754" max="10754" width="17.28515625" style="1" bestFit="1" customWidth="1"/>
    <col min="10755" max="10755" width="9" style="1" bestFit="1" customWidth="1"/>
    <col min="10756" max="10756" width="6" style="1" bestFit="1" customWidth="1"/>
    <col min="10757" max="10757" width="9" style="1" bestFit="1" customWidth="1"/>
    <col min="10758" max="10758" width="6" style="1" bestFit="1" customWidth="1"/>
    <col min="10759" max="10759" width="15.140625" style="1" bestFit="1" customWidth="1"/>
    <col min="10760" max="10760" width="9" style="1" bestFit="1" customWidth="1"/>
    <col min="10761" max="10761" width="5" style="1" bestFit="1" customWidth="1"/>
    <col min="10762" max="10762" width="9" style="1" bestFit="1" customWidth="1"/>
    <col min="10763" max="10763" width="7" style="1" bestFit="1" customWidth="1"/>
    <col min="10764" max="10765" width="17.28515625" style="1" bestFit="1" customWidth="1"/>
    <col min="10766" max="10766" width="8" style="1" bestFit="1" customWidth="1"/>
    <col min="10767" max="10767" width="6.28515625" style="1" customWidth="1"/>
    <col min="10768" max="10768" width="6" style="1" bestFit="1" customWidth="1"/>
    <col min="10769" max="10769" width="3" style="1" customWidth="1"/>
    <col min="10770" max="10770" width="11" style="1" bestFit="1" customWidth="1"/>
    <col min="10771" max="10771" width="22.42578125" style="1" bestFit="1" customWidth="1"/>
    <col min="10772" max="10772" width="17.28515625" style="1" bestFit="1" customWidth="1"/>
    <col min="10773" max="10774" width="8" style="1" bestFit="1" customWidth="1"/>
    <col min="10775" max="10775" width="17.28515625" style="1" bestFit="1" customWidth="1"/>
    <col min="10776" max="10777" width="15.140625" style="1" bestFit="1" customWidth="1"/>
    <col min="10778" max="10778" width="8" style="1" bestFit="1" customWidth="1"/>
    <col min="10779" max="11009" width="9.140625" style="1"/>
    <col min="11010" max="11010" width="17.28515625" style="1" bestFit="1" customWidth="1"/>
    <col min="11011" max="11011" width="9" style="1" bestFit="1" customWidth="1"/>
    <col min="11012" max="11012" width="6" style="1" bestFit="1" customWidth="1"/>
    <col min="11013" max="11013" width="9" style="1" bestFit="1" customWidth="1"/>
    <col min="11014" max="11014" width="6" style="1" bestFit="1" customWidth="1"/>
    <col min="11015" max="11015" width="15.140625" style="1" bestFit="1" customWidth="1"/>
    <col min="11016" max="11016" width="9" style="1" bestFit="1" customWidth="1"/>
    <col min="11017" max="11017" width="5" style="1" bestFit="1" customWidth="1"/>
    <col min="11018" max="11018" width="9" style="1" bestFit="1" customWidth="1"/>
    <col min="11019" max="11019" width="7" style="1" bestFit="1" customWidth="1"/>
    <col min="11020" max="11021" width="17.28515625" style="1" bestFit="1" customWidth="1"/>
    <col min="11022" max="11022" width="8" style="1" bestFit="1" customWidth="1"/>
    <col min="11023" max="11023" width="6.28515625" style="1" customWidth="1"/>
    <col min="11024" max="11024" width="6" style="1" bestFit="1" customWidth="1"/>
    <col min="11025" max="11025" width="3" style="1" customWidth="1"/>
    <col min="11026" max="11026" width="11" style="1" bestFit="1" customWidth="1"/>
    <col min="11027" max="11027" width="22.42578125" style="1" bestFit="1" customWidth="1"/>
    <col min="11028" max="11028" width="17.28515625" style="1" bestFit="1" customWidth="1"/>
    <col min="11029" max="11030" width="8" style="1" bestFit="1" customWidth="1"/>
    <col min="11031" max="11031" width="17.28515625" style="1" bestFit="1" customWidth="1"/>
    <col min="11032" max="11033" width="15.140625" style="1" bestFit="1" customWidth="1"/>
    <col min="11034" max="11034" width="8" style="1" bestFit="1" customWidth="1"/>
    <col min="11035" max="11265" width="9.140625" style="1"/>
    <col min="11266" max="11266" width="17.28515625" style="1" bestFit="1" customWidth="1"/>
    <col min="11267" max="11267" width="9" style="1" bestFit="1" customWidth="1"/>
    <col min="11268" max="11268" width="6" style="1" bestFit="1" customWidth="1"/>
    <col min="11269" max="11269" width="9" style="1" bestFit="1" customWidth="1"/>
    <col min="11270" max="11270" width="6" style="1" bestFit="1" customWidth="1"/>
    <col min="11271" max="11271" width="15.140625" style="1" bestFit="1" customWidth="1"/>
    <col min="11272" max="11272" width="9" style="1" bestFit="1" customWidth="1"/>
    <col min="11273" max="11273" width="5" style="1" bestFit="1" customWidth="1"/>
    <col min="11274" max="11274" width="9" style="1" bestFit="1" customWidth="1"/>
    <col min="11275" max="11275" width="7" style="1" bestFit="1" customWidth="1"/>
    <col min="11276" max="11277" width="17.28515625" style="1" bestFit="1" customWidth="1"/>
    <col min="11278" max="11278" width="8" style="1" bestFit="1" customWidth="1"/>
    <col min="11279" max="11279" width="6.28515625" style="1" customWidth="1"/>
    <col min="11280" max="11280" width="6" style="1" bestFit="1" customWidth="1"/>
    <col min="11281" max="11281" width="3" style="1" customWidth="1"/>
    <col min="11282" max="11282" width="11" style="1" bestFit="1" customWidth="1"/>
    <col min="11283" max="11283" width="22.42578125" style="1" bestFit="1" customWidth="1"/>
    <col min="11284" max="11284" width="17.28515625" style="1" bestFit="1" customWidth="1"/>
    <col min="11285" max="11286" width="8" style="1" bestFit="1" customWidth="1"/>
    <col min="11287" max="11287" width="17.28515625" style="1" bestFit="1" customWidth="1"/>
    <col min="11288" max="11289" width="15.140625" style="1" bestFit="1" customWidth="1"/>
    <col min="11290" max="11290" width="8" style="1" bestFit="1" customWidth="1"/>
    <col min="11291" max="11521" width="9.140625" style="1"/>
    <col min="11522" max="11522" width="17.28515625" style="1" bestFit="1" customWidth="1"/>
    <col min="11523" max="11523" width="9" style="1" bestFit="1" customWidth="1"/>
    <col min="11524" max="11524" width="6" style="1" bestFit="1" customWidth="1"/>
    <col min="11525" max="11525" width="9" style="1" bestFit="1" customWidth="1"/>
    <col min="11526" max="11526" width="6" style="1" bestFit="1" customWidth="1"/>
    <col min="11527" max="11527" width="15.140625" style="1" bestFit="1" customWidth="1"/>
    <col min="11528" max="11528" width="9" style="1" bestFit="1" customWidth="1"/>
    <col min="11529" max="11529" width="5" style="1" bestFit="1" customWidth="1"/>
    <col min="11530" max="11530" width="9" style="1" bestFit="1" customWidth="1"/>
    <col min="11531" max="11531" width="7" style="1" bestFit="1" customWidth="1"/>
    <col min="11532" max="11533" width="17.28515625" style="1" bestFit="1" customWidth="1"/>
    <col min="11534" max="11534" width="8" style="1" bestFit="1" customWidth="1"/>
    <col min="11535" max="11535" width="6.28515625" style="1" customWidth="1"/>
    <col min="11536" max="11536" width="6" style="1" bestFit="1" customWidth="1"/>
    <col min="11537" max="11537" width="3" style="1" customWidth="1"/>
    <col min="11538" max="11538" width="11" style="1" bestFit="1" customWidth="1"/>
    <col min="11539" max="11539" width="22.42578125" style="1" bestFit="1" customWidth="1"/>
    <col min="11540" max="11540" width="17.28515625" style="1" bestFit="1" customWidth="1"/>
    <col min="11541" max="11542" width="8" style="1" bestFit="1" customWidth="1"/>
    <col min="11543" max="11543" width="17.28515625" style="1" bestFit="1" customWidth="1"/>
    <col min="11544" max="11545" width="15.140625" style="1" bestFit="1" customWidth="1"/>
    <col min="11546" max="11546" width="8" style="1" bestFit="1" customWidth="1"/>
    <col min="11547" max="11777" width="9.140625" style="1"/>
    <col min="11778" max="11778" width="17.28515625" style="1" bestFit="1" customWidth="1"/>
    <col min="11779" max="11779" width="9" style="1" bestFit="1" customWidth="1"/>
    <col min="11780" max="11780" width="6" style="1" bestFit="1" customWidth="1"/>
    <col min="11781" max="11781" width="9" style="1" bestFit="1" customWidth="1"/>
    <col min="11782" max="11782" width="6" style="1" bestFit="1" customWidth="1"/>
    <col min="11783" max="11783" width="15.140625" style="1" bestFit="1" customWidth="1"/>
    <col min="11784" max="11784" width="9" style="1" bestFit="1" customWidth="1"/>
    <col min="11785" max="11785" width="5" style="1" bestFit="1" customWidth="1"/>
    <col min="11786" max="11786" width="9" style="1" bestFit="1" customWidth="1"/>
    <col min="11787" max="11787" width="7" style="1" bestFit="1" customWidth="1"/>
    <col min="11788" max="11789" width="17.28515625" style="1" bestFit="1" customWidth="1"/>
    <col min="11790" max="11790" width="8" style="1" bestFit="1" customWidth="1"/>
    <col min="11791" max="11791" width="6.28515625" style="1" customWidth="1"/>
    <col min="11792" max="11792" width="6" style="1" bestFit="1" customWidth="1"/>
    <col min="11793" max="11793" width="3" style="1" customWidth="1"/>
    <col min="11794" max="11794" width="11" style="1" bestFit="1" customWidth="1"/>
    <col min="11795" max="11795" width="22.42578125" style="1" bestFit="1" customWidth="1"/>
    <col min="11796" max="11796" width="17.28515625" style="1" bestFit="1" customWidth="1"/>
    <col min="11797" max="11798" width="8" style="1" bestFit="1" customWidth="1"/>
    <col min="11799" max="11799" width="17.28515625" style="1" bestFit="1" customWidth="1"/>
    <col min="11800" max="11801" width="15.140625" style="1" bestFit="1" customWidth="1"/>
    <col min="11802" max="11802" width="8" style="1" bestFit="1" customWidth="1"/>
    <col min="11803" max="12033" width="9.140625" style="1"/>
    <col min="12034" max="12034" width="17.28515625" style="1" bestFit="1" customWidth="1"/>
    <col min="12035" max="12035" width="9" style="1" bestFit="1" customWidth="1"/>
    <col min="12036" max="12036" width="6" style="1" bestFit="1" customWidth="1"/>
    <col min="12037" max="12037" width="9" style="1" bestFit="1" customWidth="1"/>
    <col min="12038" max="12038" width="6" style="1" bestFit="1" customWidth="1"/>
    <col min="12039" max="12039" width="15.140625" style="1" bestFit="1" customWidth="1"/>
    <col min="12040" max="12040" width="9" style="1" bestFit="1" customWidth="1"/>
    <col min="12041" max="12041" width="5" style="1" bestFit="1" customWidth="1"/>
    <col min="12042" max="12042" width="9" style="1" bestFit="1" customWidth="1"/>
    <col min="12043" max="12043" width="7" style="1" bestFit="1" customWidth="1"/>
    <col min="12044" max="12045" width="17.28515625" style="1" bestFit="1" customWidth="1"/>
    <col min="12046" max="12046" width="8" style="1" bestFit="1" customWidth="1"/>
    <col min="12047" max="12047" width="6.28515625" style="1" customWidth="1"/>
    <col min="12048" max="12048" width="6" style="1" bestFit="1" customWidth="1"/>
    <col min="12049" max="12049" width="3" style="1" customWidth="1"/>
    <col min="12050" max="12050" width="11" style="1" bestFit="1" customWidth="1"/>
    <col min="12051" max="12051" width="22.42578125" style="1" bestFit="1" customWidth="1"/>
    <col min="12052" max="12052" width="17.28515625" style="1" bestFit="1" customWidth="1"/>
    <col min="12053" max="12054" width="8" style="1" bestFit="1" customWidth="1"/>
    <col min="12055" max="12055" width="17.28515625" style="1" bestFit="1" customWidth="1"/>
    <col min="12056" max="12057" width="15.140625" style="1" bestFit="1" customWidth="1"/>
    <col min="12058" max="12058" width="8" style="1" bestFit="1" customWidth="1"/>
    <col min="12059" max="12289" width="9.140625" style="1"/>
    <col min="12290" max="12290" width="17.28515625" style="1" bestFit="1" customWidth="1"/>
    <col min="12291" max="12291" width="9" style="1" bestFit="1" customWidth="1"/>
    <col min="12292" max="12292" width="6" style="1" bestFit="1" customWidth="1"/>
    <col min="12293" max="12293" width="9" style="1" bestFit="1" customWidth="1"/>
    <col min="12294" max="12294" width="6" style="1" bestFit="1" customWidth="1"/>
    <col min="12295" max="12295" width="15.140625" style="1" bestFit="1" customWidth="1"/>
    <col min="12296" max="12296" width="9" style="1" bestFit="1" customWidth="1"/>
    <col min="12297" max="12297" width="5" style="1" bestFit="1" customWidth="1"/>
    <col min="12298" max="12298" width="9" style="1" bestFit="1" customWidth="1"/>
    <col min="12299" max="12299" width="7" style="1" bestFit="1" customWidth="1"/>
    <col min="12300" max="12301" width="17.28515625" style="1" bestFit="1" customWidth="1"/>
    <col min="12302" max="12302" width="8" style="1" bestFit="1" customWidth="1"/>
    <col min="12303" max="12303" width="6.28515625" style="1" customWidth="1"/>
    <col min="12304" max="12304" width="6" style="1" bestFit="1" customWidth="1"/>
    <col min="12305" max="12305" width="3" style="1" customWidth="1"/>
    <col min="12306" max="12306" width="11" style="1" bestFit="1" customWidth="1"/>
    <col min="12307" max="12307" width="22.42578125" style="1" bestFit="1" customWidth="1"/>
    <col min="12308" max="12308" width="17.28515625" style="1" bestFit="1" customWidth="1"/>
    <col min="12309" max="12310" width="8" style="1" bestFit="1" customWidth="1"/>
    <col min="12311" max="12311" width="17.28515625" style="1" bestFit="1" customWidth="1"/>
    <col min="12312" max="12313" width="15.140625" style="1" bestFit="1" customWidth="1"/>
    <col min="12314" max="12314" width="8" style="1" bestFit="1" customWidth="1"/>
    <col min="12315" max="12545" width="9.140625" style="1"/>
    <col min="12546" max="12546" width="17.28515625" style="1" bestFit="1" customWidth="1"/>
    <col min="12547" max="12547" width="9" style="1" bestFit="1" customWidth="1"/>
    <col min="12548" max="12548" width="6" style="1" bestFit="1" customWidth="1"/>
    <col min="12549" max="12549" width="9" style="1" bestFit="1" customWidth="1"/>
    <col min="12550" max="12550" width="6" style="1" bestFit="1" customWidth="1"/>
    <col min="12551" max="12551" width="15.140625" style="1" bestFit="1" customWidth="1"/>
    <col min="12552" max="12552" width="9" style="1" bestFit="1" customWidth="1"/>
    <col min="12553" max="12553" width="5" style="1" bestFit="1" customWidth="1"/>
    <col min="12554" max="12554" width="9" style="1" bestFit="1" customWidth="1"/>
    <col min="12555" max="12555" width="7" style="1" bestFit="1" customWidth="1"/>
    <col min="12556" max="12557" width="17.28515625" style="1" bestFit="1" customWidth="1"/>
    <col min="12558" max="12558" width="8" style="1" bestFit="1" customWidth="1"/>
    <col min="12559" max="12559" width="6.28515625" style="1" customWidth="1"/>
    <col min="12560" max="12560" width="6" style="1" bestFit="1" customWidth="1"/>
    <col min="12561" max="12561" width="3" style="1" customWidth="1"/>
    <col min="12562" max="12562" width="11" style="1" bestFit="1" customWidth="1"/>
    <col min="12563" max="12563" width="22.42578125" style="1" bestFit="1" customWidth="1"/>
    <col min="12564" max="12564" width="17.28515625" style="1" bestFit="1" customWidth="1"/>
    <col min="12565" max="12566" width="8" style="1" bestFit="1" customWidth="1"/>
    <col min="12567" max="12567" width="17.28515625" style="1" bestFit="1" customWidth="1"/>
    <col min="12568" max="12569" width="15.140625" style="1" bestFit="1" customWidth="1"/>
    <col min="12570" max="12570" width="8" style="1" bestFit="1" customWidth="1"/>
    <col min="12571" max="12801" width="9.140625" style="1"/>
    <col min="12802" max="12802" width="17.28515625" style="1" bestFit="1" customWidth="1"/>
    <col min="12803" max="12803" width="9" style="1" bestFit="1" customWidth="1"/>
    <col min="12804" max="12804" width="6" style="1" bestFit="1" customWidth="1"/>
    <col min="12805" max="12805" width="9" style="1" bestFit="1" customWidth="1"/>
    <col min="12806" max="12806" width="6" style="1" bestFit="1" customWidth="1"/>
    <col min="12807" max="12807" width="15.140625" style="1" bestFit="1" customWidth="1"/>
    <col min="12808" max="12808" width="9" style="1" bestFit="1" customWidth="1"/>
    <col min="12809" max="12809" width="5" style="1" bestFit="1" customWidth="1"/>
    <col min="12810" max="12810" width="9" style="1" bestFit="1" customWidth="1"/>
    <col min="12811" max="12811" width="7" style="1" bestFit="1" customWidth="1"/>
    <col min="12812" max="12813" width="17.28515625" style="1" bestFit="1" customWidth="1"/>
    <col min="12814" max="12814" width="8" style="1" bestFit="1" customWidth="1"/>
    <col min="12815" max="12815" width="6.28515625" style="1" customWidth="1"/>
    <col min="12816" max="12816" width="6" style="1" bestFit="1" customWidth="1"/>
    <col min="12817" max="12817" width="3" style="1" customWidth="1"/>
    <col min="12818" max="12818" width="11" style="1" bestFit="1" customWidth="1"/>
    <col min="12819" max="12819" width="22.42578125" style="1" bestFit="1" customWidth="1"/>
    <col min="12820" max="12820" width="17.28515625" style="1" bestFit="1" customWidth="1"/>
    <col min="12821" max="12822" width="8" style="1" bestFit="1" customWidth="1"/>
    <col min="12823" max="12823" width="17.28515625" style="1" bestFit="1" customWidth="1"/>
    <col min="12824" max="12825" width="15.140625" style="1" bestFit="1" customWidth="1"/>
    <col min="12826" max="12826" width="8" style="1" bestFit="1" customWidth="1"/>
    <col min="12827" max="13057" width="9.140625" style="1"/>
    <col min="13058" max="13058" width="17.28515625" style="1" bestFit="1" customWidth="1"/>
    <col min="13059" max="13059" width="9" style="1" bestFit="1" customWidth="1"/>
    <col min="13060" max="13060" width="6" style="1" bestFit="1" customWidth="1"/>
    <col min="13061" max="13061" width="9" style="1" bestFit="1" customWidth="1"/>
    <col min="13062" max="13062" width="6" style="1" bestFit="1" customWidth="1"/>
    <col min="13063" max="13063" width="15.140625" style="1" bestFit="1" customWidth="1"/>
    <col min="13064" max="13064" width="9" style="1" bestFit="1" customWidth="1"/>
    <col min="13065" max="13065" width="5" style="1" bestFit="1" customWidth="1"/>
    <col min="13066" max="13066" width="9" style="1" bestFit="1" customWidth="1"/>
    <col min="13067" max="13067" width="7" style="1" bestFit="1" customWidth="1"/>
    <col min="13068" max="13069" width="17.28515625" style="1" bestFit="1" customWidth="1"/>
    <col min="13070" max="13070" width="8" style="1" bestFit="1" customWidth="1"/>
    <col min="13071" max="13071" width="6.28515625" style="1" customWidth="1"/>
    <col min="13072" max="13072" width="6" style="1" bestFit="1" customWidth="1"/>
    <col min="13073" max="13073" width="3" style="1" customWidth="1"/>
    <col min="13074" max="13074" width="11" style="1" bestFit="1" customWidth="1"/>
    <col min="13075" max="13075" width="22.42578125" style="1" bestFit="1" customWidth="1"/>
    <col min="13076" max="13076" width="17.28515625" style="1" bestFit="1" customWidth="1"/>
    <col min="13077" max="13078" width="8" style="1" bestFit="1" customWidth="1"/>
    <col min="13079" max="13079" width="17.28515625" style="1" bestFit="1" customWidth="1"/>
    <col min="13080" max="13081" width="15.140625" style="1" bestFit="1" customWidth="1"/>
    <col min="13082" max="13082" width="8" style="1" bestFit="1" customWidth="1"/>
    <col min="13083" max="13313" width="9.140625" style="1"/>
    <col min="13314" max="13314" width="17.28515625" style="1" bestFit="1" customWidth="1"/>
    <col min="13315" max="13315" width="9" style="1" bestFit="1" customWidth="1"/>
    <col min="13316" max="13316" width="6" style="1" bestFit="1" customWidth="1"/>
    <col min="13317" max="13317" width="9" style="1" bestFit="1" customWidth="1"/>
    <col min="13318" max="13318" width="6" style="1" bestFit="1" customWidth="1"/>
    <col min="13319" max="13319" width="15.140625" style="1" bestFit="1" customWidth="1"/>
    <col min="13320" max="13320" width="9" style="1" bestFit="1" customWidth="1"/>
    <col min="13321" max="13321" width="5" style="1" bestFit="1" customWidth="1"/>
    <col min="13322" max="13322" width="9" style="1" bestFit="1" customWidth="1"/>
    <col min="13323" max="13323" width="7" style="1" bestFit="1" customWidth="1"/>
    <col min="13324" max="13325" width="17.28515625" style="1" bestFit="1" customWidth="1"/>
    <col min="13326" max="13326" width="8" style="1" bestFit="1" customWidth="1"/>
    <col min="13327" max="13327" width="6.28515625" style="1" customWidth="1"/>
    <col min="13328" max="13328" width="6" style="1" bestFit="1" customWidth="1"/>
    <col min="13329" max="13329" width="3" style="1" customWidth="1"/>
    <col min="13330" max="13330" width="11" style="1" bestFit="1" customWidth="1"/>
    <col min="13331" max="13331" width="22.42578125" style="1" bestFit="1" customWidth="1"/>
    <col min="13332" max="13332" width="17.28515625" style="1" bestFit="1" customWidth="1"/>
    <col min="13333" max="13334" width="8" style="1" bestFit="1" customWidth="1"/>
    <col min="13335" max="13335" width="17.28515625" style="1" bestFit="1" customWidth="1"/>
    <col min="13336" max="13337" width="15.140625" style="1" bestFit="1" customWidth="1"/>
    <col min="13338" max="13338" width="8" style="1" bestFit="1" customWidth="1"/>
    <col min="13339" max="13569" width="9.140625" style="1"/>
    <col min="13570" max="13570" width="17.28515625" style="1" bestFit="1" customWidth="1"/>
    <col min="13571" max="13571" width="9" style="1" bestFit="1" customWidth="1"/>
    <col min="13572" max="13572" width="6" style="1" bestFit="1" customWidth="1"/>
    <col min="13573" max="13573" width="9" style="1" bestFit="1" customWidth="1"/>
    <col min="13574" max="13574" width="6" style="1" bestFit="1" customWidth="1"/>
    <col min="13575" max="13575" width="15.140625" style="1" bestFit="1" customWidth="1"/>
    <col min="13576" max="13576" width="9" style="1" bestFit="1" customWidth="1"/>
    <col min="13577" max="13577" width="5" style="1" bestFit="1" customWidth="1"/>
    <col min="13578" max="13578" width="9" style="1" bestFit="1" customWidth="1"/>
    <col min="13579" max="13579" width="7" style="1" bestFit="1" customWidth="1"/>
    <col min="13580" max="13581" width="17.28515625" style="1" bestFit="1" customWidth="1"/>
    <col min="13582" max="13582" width="8" style="1" bestFit="1" customWidth="1"/>
    <col min="13583" max="13583" width="6.28515625" style="1" customWidth="1"/>
    <col min="13584" max="13584" width="6" style="1" bestFit="1" customWidth="1"/>
    <col min="13585" max="13585" width="3" style="1" customWidth="1"/>
    <col min="13586" max="13586" width="11" style="1" bestFit="1" customWidth="1"/>
    <col min="13587" max="13587" width="22.42578125" style="1" bestFit="1" customWidth="1"/>
    <col min="13588" max="13588" width="17.28515625" style="1" bestFit="1" customWidth="1"/>
    <col min="13589" max="13590" width="8" style="1" bestFit="1" customWidth="1"/>
    <col min="13591" max="13591" width="17.28515625" style="1" bestFit="1" customWidth="1"/>
    <col min="13592" max="13593" width="15.140625" style="1" bestFit="1" customWidth="1"/>
    <col min="13594" max="13594" width="8" style="1" bestFit="1" customWidth="1"/>
    <col min="13595" max="13825" width="9.140625" style="1"/>
    <col min="13826" max="13826" width="17.28515625" style="1" bestFit="1" customWidth="1"/>
    <col min="13827" max="13827" width="9" style="1" bestFit="1" customWidth="1"/>
    <col min="13828" max="13828" width="6" style="1" bestFit="1" customWidth="1"/>
    <col min="13829" max="13829" width="9" style="1" bestFit="1" customWidth="1"/>
    <col min="13830" max="13830" width="6" style="1" bestFit="1" customWidth="1"/>
    <col min="13831" max="13831" width="15.140625" style="1" bestFit="1" customWidth="1"/>
    <col min="13832" max="13832" width="9" style="1" bestFit="1" customWidth="1"/>
    <col min="13833" max="13833" width="5" style="1" bestFit="1" customWidth="1"/>
    <col min="13834" max="13834" width="9" style="1" bestFit="1" customWidth="1"/>
    <col min="13835" max="13835" width="7" style="1" bestFit="1" customWidth="1"/>
    <col min="13836" max="13837" width="17.28515625" style="1" bestFit="1" customWidth="1"/>
    <col min="13838" max="13838" width="8" style="1" bestFit="1" customWidth="1"/>
    <col min="13839" max="13839" width="6.28515625" style="1" customWidth="1"/>
    <col min="13840" max="13840" width="6" style="1" bestFit="1" customWidth="1"/>
    <col min="13841" max="13841" width="3" style="1" customWidth="1"/>
    <col min="13842" max="13842" width="11" style="1" bestFit="1" customWidth="1"/>
    <col min="13843" max="13843" width="22.42578125" style="1" bestFit="1" customWidth="1"/>
    <col min="13844" max="13844" width="17.28515625" style="1" bestFit="1" customWidth="1"/>
    <col min="13845" max="13846" width="8" style="1" bestFit="1" customWidth="1"/>
    <col min="13847" max="13847" width="17.28515625" style="1" bestFit="1" customWidth="1"/>
    <col min="13848" max="13849" width="15.140625" style="1" bestFit="1" customWidth="1"/>
    <col min="13850" max="13850" width="8" style="1" bestFit="1" customWidth="1"/>
    <col min="13851" max="14081" width="9.140625" style="1"/>
    <col min="14082" max="14082" width="17.28515625" style="1" bestFit="1" customWidth="1"/>
    <col min="14083" max="14083" width="9" style="1" bestFit="1" customWidth="1"/>
    <col min="14084" max="14084" width="6" style="1" bestFit="1" customWidth="1"/>
    <col min="14085" max="14085" width="9" style="1" bestFit="1" customWidth="1"/>
    <col min="14086" max="14086" width="6" style="1" bestFit="1" customWidth="1"/>
    <col min="14087" max="14087" width="15.140625" style="1" bestFit="1" customWidth="1"/>
    <col min="14088" max="14088" width="9" style="1" bestFit="1" customWidth="1"/>
    <col min="14089" max="14089" width="5" style="1" bestFit="1" customWidth="1"/>
    <col min="14090" max="14090" width="9" style="1" bestFit="1" customWidth="1"/>
    <col min="14091" max="14091" width="7" style="1" bestFit="1" customWidth="1"/>
    <col min="14092" max="14093" width="17.28515625" style="1" bestFit="1" customWidth="1"/>
    <col min="14094" max="14094" width="8" style="1" bestFit="1" customWidth="1"/>
    <col min="14095" max="14095" width="6.28515625" style="1" customWidth="1"/>
    <col min="14096" max="14096" width="6" style="1" bestFit="1" customWidth="1"/>
    <col min="14097" max="14097" width="3" style="1" customWidth="1"/>
    <col min="14098" max="14098" width="11" style="1" bestFit="1" customWidth="1"/>
    <col min="14099" max="14099" width="22.42578125" style="1" bestFit="1" customWidth="1"/>
    <col min="14100" max="14100" width="17.28515625" style="1" bestFit="1" customWidth="1"/>
    <col min="14101" max="14102" width="8" style="1" bestFit="1" customWidth="1"/>
    <col min="14103" max="14103" width="17.28515625" style="1" bestFit="1" customWidth="1"/>
    <col min="14104" max="14105" width="15.140625" style="1" bestFit="1" customWidth="1"/>
    <col min="14106" max="14106" width="8" style="1" bestFit="1" customWidth="1"/>
    <col min="14107" max="14337" width="9.140625" style="1"/>
    <col min="14338" max="14338" width="17.28515625" style="1" bestFit="1" customWidth="1"/>
    <col min="14339" max="14339" width="9" style="1" bestFit="1" customWidth="1"/>
    <col min="14340" max="14340" width="6" style="1" bestFit="1" customWidth="1"/>
    <col min="14341" max="14341" width="9" style="1" bestFit="1" customWidth="1"/>
    <col min="14342" max="14342" width="6" style="1" bestFit="1" customWidth="1"/>
    <col min="14343" max="14343" width="15.140625" style="1" bestFit="1" customWidth="1"/>
    <col min="14344" max="14344" width="9" style="1" bestFit="1" customWidth="1"/>
    <col min="14345" max="14345" width="5" style="1" bestFit="1" customWidth="1"/>
    <col min="14346" max="14346" width="9" style="1" bestFit="1" customWidth="1"/>
    <col min="14347" max="14347" width="7" style="1" bestFit="1" customWidth="1"/>
    <col min="14348" max="14349" width="17.28515625" style="1" bestFit="1" customWidth="1"/>
    <col min="14350" max="14350" width="8" style="1" bestFit="1" customWidth="1"/>
    <col min="14351" max="14351" width="6.28515625" style="1" customWidth="1"/>
    <col min="14352" max="14352" width="6" style="1" bestFit="1" customWidth="1"/>
    <col min="14353" max="14353" width="3" style="1" customWidth="1"/>
    <col min="14354" max="14354" width="11" style="1" bestFit="1" customWidth="1"/>
    <col min="14355" max="14355" width="22.42578125" style="1" bestFit="1" customWidth="1"/>
    <col min="14356" max="14356" width="17.28515625" style="1" bestFit="1" customWidth="1"/>
    <col min="14357" max="14358" width="8" style="1" bestFit="1" customWidth="1"/>
    <col min="14359" max="14359" width="17.28515625" style="1" bestFit="1" customWidth="1"/>
    <col min="14360" max="14361" width="15.140625" style="1" bestFit="1" customWidth="1"/>
    <col min="14362" max="14362" width="8" style="1" bestFit="1" customWidth="1"/>
    <col min="14363" max="14593" width="9.140625" style="1"/>
    <col min="14594" max="14594" width="17.28515625" style="1" bestFit="1" customWidth="1"/>
    <col min="14595" max="14595" width="9" style="1" bestFit="1" customWidth="1"/>
    <col min="14596" max="14596" width="6" style="1" bestFit="1" customWidth="1"/>
    <col min="14597" max="14597" width="9" style="1" bestFit="1" customWidth="1"/>
    <col min="14598" max="14598" width="6" style="1" bestFit="1" customWidth="1"/>
    <col min="14599" max="14599" width="15.140625" style="1" bestFit="1" customWidth="1"/>
    <col min="14600" max="14600" width="9" style="1" bestFit="1" customWidth="1"/>
    <col min="14601" max="14601" width="5" style="1" bestFit="1" customWidth="1"/>
    <col min="14602" max="14602" width="9" style="1" bestFit="1" customWidth="1"/>
    <col min="14603" max="14603" width="7" style="1" bestFit="1" customWidth="1"/>
    <col min="14604" max="14605" width="17.28515625" style="1" bestFit="1" customWidth="1"/>
    <col min="14606" max="14606" width="8" style="1" bestFit="1" customWidth="1"/>
    <col min="14607" max="14607" width="6.28515625" style="1" customWidth="1"/>
    <col min="14608" max="14608" width="6" style="1" bestFit="1" customWidth="1"/>
    <col min="14609" max="14609" width="3" style="1" customWidth="1"/>
    <col min="14610" max="14610" width="11" style="1" bestFit="1" customWidth="1"/>
    <col min="14611" max="14611" width="22.42578125" style="1" bestFit="1" customWidth="1"/>
    <col min="14612" max="14612" width="17.28515625" style="1" bestFit="1" customWidth="1"/>
    <col min="14613" max="14614" width="8" style="1" bestFit="1" customWidth="1"/>
    <col min="14615" max="14615" width="17.28515625" style="1" bestFit="1" customWidth="1"/>
    <col min="14616" max="14617" width="15.140625" style="1" bestFit="1" customWidth="1"/>
    <col min="14618" max="14618" width="8" style="1" bestFit="1" customWidth="1"/>
    <col min="14619" max="14849" width="9.140625" style="1"/>
    <col min="14850" max="14850" width="17.28515625" style="1" bestFit="1" customWidth="1"/>
    <col min="14851" max="14851" width="9" style="1" bestFit="1" customWidth="1"/>
    <col min="14852" max="14852" width="6" style="1" bestFit="1" customWidth="1"/>
    <col min="14853" max="14853" width="9" style="1" bestFit="1" customWidth="1"/>
    <col min="14854" max="14854" width="6" style="1" bestFit="1" customWidth="1"/>
    <col min="14855" max="14855" width="15.140625" style="1" bestFit="1" customWidth="1"/>
    <col min="14856" max="14856" width="9" style="1" bestFit="1" customWidth="1"/>
    <col min="14857" max="14857" width="5" style="1" bestFit="1" customWidth="1"/>
    <col min="14858" max="14858" width="9" style="1" bestFit="1" customWidth="1"/>
    <col min="14859" max="14859" width="7" style="1" bestFit="1" customWidth="1"/>
    <col min="14860" max="14861" width="17.28515625" style="1" bestFit="1" customWidth="1"/>
    <col min="14862" max="14862" width="8" style="1" bestFit="1" customWidth="1"/>
    <col min="14863" max="14863" width="6.28515625" style="1" customWidth="1"/>
    <col min="14864" max="14864" width="6" style="1" bestFit="1" customWidth="1"/>
    <col min="14865" max="14865" width="3" style="1" customWidth="1"/>
    <col min="14866" max="14866" width="11" style="1" bestFit="1" customWidth="1"/>
    <col min="14867" max="14867" width="22.42578125" style="1" bestFit="1" customWidth="1"/>
    <col min="14868" max="14868" width="17.28515625" style="1" bestFit="1" customWidth="1"/>
    <col min="14869" max="14870" width="8" style="1" bestFit="1" customWidth="1"/>
    <col min="14871" max="14871" width="17.28515625" style="1" bestFit="1" customWidth="1"/>
    <col min="14872" max="14873" width="15.140625" style="1" bestFit="1" customWidth="1"/>
    <col min="14874" max="14874" width="8" style="1" bestFit="1" customWidth="1"/>
    <col min="14875" max="15105" width="9.140625" style="1"/>
    <col min="15106" max="15106" width="17.28515625" style="1" bestFit="1" customWidth="1"/>
    <col min="15107" max="15107" width="9" style="1" bestFit="1" customWidth="1"/>
    <col min="15108" max="15108" width="6" style="1" bestFit="1" customWidth="1"/>
    <col min="15109" max="15109" width="9" style="1" bestFit="1" customWidth="1"/>
    <col min="15110" max="15110" width="6" style="1" bestFit="1" customWidth="1"/>
    <col min="15111" max="15111" width="15.140625" style="1" bestFit="1" customWidth="1"/>
    <col min="15112" max="15112" width="9" style="1" bestFit="1" customWidth="1"/>
    <col min="15113" max="15113" width="5" style="1" bestFit="1" customWidth="1"/>
    <col min="15114" max="15114" width="9" style="1" bestFit="1" customWidth="1"/>
    <col min="15115" max="15115" width="7" style="1" bestFit="1" customWidth="1"/>
    <col min="15116" max="15117" width="17.28515625" style="1" bestFit="1" customWidth="1"/>
    <col min="15118" max="15118" width="8" style="1" bestFit="1" customWidth="1"/>
    <col min="15119" max="15119" width="6.28515625" style="1" customWidth="1"/>
    <col min="15120" max="15120" width="6" style="1" bestFit="1" customWidth="1"/>
    <col min="15121" max="15121" width="3" style="1" customWidth="1"/>
    <col min="15122" max="15122" width="11" style="1" bestFit="1" customWidth="1"/>
    <col min="15123" max="15123" width="22.42578125" style="1" bestFit="1" customWidth="1"/>
    <col min="15124" max="15124" width="17.28515625" style="1" bestFit="1" customWidth="1"/>
    <col min="15125" max="15126" width="8" style="1" bestFit="1" customWidth="1"/>
    <col min="15127" max="15127" width="17.28515625" style="1" bestFit="1" customWidth="1"/>
    <col min="15128" max="15129" width="15.140625" style="1" bestFit="1" customWidth="1"/>
    <col min="15130" max="15130" width="8" style="1" bestFit="1" customWidth="1"/>
    <col min="15131" max="15361" width="9.140625" style="1"/>
    <col min="15362" max="15362" width="17.28515625" style="1" bestFit="1" customWidth="1"/>
    <col min="15363" max="15363" width="9" style="1" bestFit="1" customWidth="1"/>
    <col min="15364" max="15364" width="6" style="1" bestFit="1" customWidth="1"/>
    <col min="15365" max="15365" width="9" style="1" bestFit="1" customWidth="1"/>
    <col min="15366" max="15366" width="6" style="1" bestFit="1" customWidth="1"/>
    <col min="15367" max="15367" width="15.140625" style="1" bestFit="1" customWidth="1"/>
    <col min="15368" max="15368" width="9" style="1" bestFit="1" customWidth="1"/>
    <col min="15369" max="15369" width="5" style="1" bestFit="1" customWidth="1"/>
    <col min="15370" max="15370" width="9" style="1" bestFit="1" customWidth="1"/>
    <col min="15371" max="15371" width="7" style="1" bestFit="1" customWidth="1"/>
    <col min="15372" max="15373" width="17.28515625" style="1" bestFit="1" customWidth="1"/>
    <col min="15374" max="15374" width="8" style="1" bestFit="1" customWidth="1"/>
    <col min="15375" max="15375" width="6.28515625" style="1" customWidth="1"/>
    <col min="15376" max="15376" width="6" style="1" bestFit="1" customWidth="1"/>
    <col min="15377" max="15377" width="3" style="1" customWidth="1"/>
    <col min="15378" max="15378" width="11" style="1" bestFit="1" customWidth="1"/>
    <col min="15379" max="15379" width="22.42578125" style="1" bestFit="1" customWidth="1"/>
    <col min="15380" max="15380" width="17.28515625" style="1" bestFit="1" customWidth="1"/>
    <col min="15381" max="15382" width="8" style="1" bestFit="1" customWidth="1"/>
    <col min="15383" max="15383" width="17.28515625" style="1" bestFit="1" customWidth="1"/>
    <col min="15384" max="15385" width="15.140625" style="1" bestFit="1" customWidth="1"/>
    <col min="15386" max="15386" width="8" style="1" bestFit="1" customWidth="1"/>
    <col min="15387" max="15617" width="9.140625" style="1"/>
    <col min="15618" max="15618" width="17.28515625" style="1" bestFit="1" customWidth="1"/>
    <col min="15619" max="15619" width="9" style="1" bestFit="1" customWidth="1"/>
    <col min="15620" max="15620" width="6" style="1" bestFit="1" customWidth="1"/>
    <col min="15621" max="15621" width="9" style="1" bestFit="1" customWidth="1"/>
    <col min="15622" max="15622" width="6" style="1" bestFit="1" customWidth="1"/>
    <col min="15623" max="15623" width="15.140625" style="1" bestFit="1" customWidth="1"/>
    <col min="15624" max="15624" width="9" style="1" bestFit="1" customWidth="1"/>
    <col min="15625" max="15625" width="5" style="1" bestFit="1" customWidth="1"/>
    <col min="15626" max="15626" width="9" style="1" bestFit="1" customWidth="1"/>
    <col min="15627" max="15627" width="7" style="1" bestFit="1" customWidth="1"/>
    <col min="15628" max="15629" width="17.28515625" style="1" bestFit="1" customWidth="1"/>
    <col min="15630" max="15630" width="8" style="1" bestFit="1" customWidth="1"/>
    <col min="15631" max="15631" width="6.28515625" style="1" customWidth="1"/>
    <col min="15632" max="15632" width="6" style="1" bestFit="1" customWidth="1"/>
    <col min="15633" max="15633" width="3" style="1" customWidth="1"/>
    <col min="15634" max="15634" width="11" style="1" bestFit="1" customWidth="1"/>
    <col min="15635" max="15635" width="22.42578125" style="1" bestFit="1" customWidth="1"/>
    <col min="15636" max="15636" width="17.28515625" style="1" bestFit="1" customWidth="1"/>
    <col min="15637" max="15638" width="8" style="1" bestFit="1" customWidth="1"/>
    <col min="15639" max="15639" width="17.28515625" style="1" bestFit="1" customWidth="1"/>
    <col min="15640" max="15641" width="15.140625" style="1" bestFit="1" customWidth="1"/>
    <col min="15642" max="15642" width="8" style="1" bestFit="1" customWidth="1"/>
    <col min="15643" max="15873" width="9.140625" style="1"/>
    <col min="15874" max="15874" width="17.28515625" style="1" bestFit="1" customWidth="1"/>
    <col min="15875" max="15875" width="9" style="1" bestFit="1" customWidth="1"/>
    <col min="15876" max="15876" width="6" style="1" bestFit="1" customWidth="1"/>
    <col min="15877" max="15877" width="9" style="1" bestFit="1" customWidth="1"/>
    <col min="15878" max="15878" width="6" style="1" bestFit="1" customWidth="1"/>
    <col min="15879" max="15879" width="15.140625" style="1" bestFit="1" customWidth="1"/>
    <col min="15880" max="15880" width="9" style="1" bestFit="1" customWidth="1"/>
    <col min="15881" max="15881" width="5" style="1" bestFit="1" customWidth="1"/>
    <col min="15882" max="15882" width="9" style="1" bestFit="1" customWidth="1"/>
    <col min="15883" max="15883" width="7" style="1" bestFit="1" customWidth="1"/>
    <col min="15884" max="15885" width="17.28515625" style="1" bestFit="1" customWidth="1"/>
    <col min="15886" max="15886" width="8" style="1" bestFit="1" customWidth="1"/>
    <col min="15887" max="15887" width="6.28515625" style="1" customWidth="1"/>
    <col min="15888" max="15888" width="6" style="1" bestFit="1" customWidth="1"/>
    <col min="15889" max="15889" width="3" style="1" customWidth="1"/>
    <col min="15890" max="15890" width="11" style="1" bestFit="1" customWidth="1"/>
    <col min="15891" max="15891" width="22.42578125" style="1" bestFit="1" customWidth="1"/>
    <col min="15892" max="15892" width="17.28515625" style="1" bestFit="1" customWidth="1"/>
    <col min="15893" max="15894" width="8" style="1" bestFit="1" customWidth="1"/>
    <col min="15895" max="15895" width="17.28515625" style="1" bestFit="1" customWidth="1"/>
    <col min="15896" max="15897" width="15.140625" style="1" bestFit="1" customWidth="1"/>
    <col min="15898" max="15898" width="8" style="1" bestFit="1" customWidth="1"/>
    <col min="15899" max="16129" width="9.140625" style="1"/>
    <col min="16130" max="16130" width="17.28515625" style="1" bestFit="1" customWidth="1"/>
    <col min="16131" max="16131" width="9" style="1" bestFit="1" customWidth="1"/>
    <col min="16132" max="16132" width="6" style="1" bestFit="1" customWidth="1"/>
    <col min="16133" max="16133" width="9" style="1" bestFit="1" customWidth="1"/>
    <col min="16134" max="16134" width="6" style="1" bestFit="1" customWidth="1"/>
    <col min="16135" max="16135" width="15.140625" style="1" bestFit="1" customWidth="1"/>
    <col min="16136" max="16136" width="9" style="1" bestFit="1" customWidth="1"/>
    <col min="16137" max="16137" width="5" style="1" bestFit="1" customWidth="1"/>
    <col min="16138" max="16138" width="9" style="1" bestFit="1" customWidth="1"/>
    <col min="16139" max="16139" width="7" style="1" bestFit="1" customWidth="1"/>
    <col min="16140" max="16141" width="17.28515625" style="1" bestFit="1" customWidth="1"/>
    <col min="16142" max="16142" width="8" style="1" bestFit="1" customWidth="1"/>
    <col min="16143" max="16143" width="6.28515625" style="1" customWidth="1"/>
    <col min="16144" max="16144" width="6" style="1" bestFit="1" customWidth="1"/>
    <col min="16145" max="16145" width="3" style="1" customWidth="1"/>
    <col min="16146" max="16146" width="11" style="1" bestFit="1" customWidth="1"/>
    <col min="16147" max="16147" width="22.42578125" style="1" bestFit="1" customWidth="1"/>
    <col min="16148" max="16148" width="17.28515625" style="1" bestFit="1" customWidth="1"/>
    <col min="16149" max="16150" width="8" style="1" bestFit="1" customWidth="1"/>
    <col min="16151" max="16151" width="17.28515625" style="1" bestFit="1" customWidth="1"/>
    <col min="16152" max="16153" width="15.140625" style="1" bestFit="1" customWidth="1"/>
    <col min="16154" max="16154" width="8" style="1" bestFit="1" customWidth="1"/>
    <col min="16155" max="16384" width="9.140625" style="1"/>
  </cols>
  <sheetData>
    <row r="1" spans="1:28" s="186" customFormat="1" ht="11.25" hidden="1" customHeight="1" outlineLevel="1" thickBot="1" x14ac:dyDescent="0.25">
      <c r="A1" s="190"/>
      <c r="B1" s="190" t="s">
        <v>167</v>
      </c>
      <c r="C1" s="191"/>
      <c r="D1" s="191"/>
      <c r="E1" s="191"/>
      <c r="F1" s="192"/>
      <c r="G1" s="193" t="s">
        <v>168</v>
      </c>
      <c r="H1" s="191"/>
      <c r="I1" s="194"/>
    </row>
    <row r="2" spans="1:28" ht="11.25" hidden="1" customHeight="1" outlineLevel="1" x14ac:dyDescent="0.2">
      <c r="A2" s="237"/>
      <c r="B2" s="237" t="s">
        <v>153</v>
      </c>
      <c r="C2" s="238" t="s">
        <v>154</v>
      </c>
      <c r="D2" s="238" t="s">
        <v>113</v>
      </c>
      <c r="E2" s="238" t="s">
        <v>155</v>
      </c>
      <c r="F2" s="239" t="s">
        <v>169</v>
      </c>
      <c r="G2" s="237" t="s">
        <v>154</v>
      </c>
      <c r="H2" s="238" t="s">
        <v>155</v>
      </c>
      <c r="I2" s="239" t="s">
        <v>156</v>
      </c>
    </row>
    <row r="3" spans="1:28" ht="11.25" hidden="1" customHeight="1" outlineLevel="1" x14ac:dyDescent="0.2">
      <c r="A3" s="235"/>
      <c r="B3" s="235" t="str">
        <f>_xll.qlPeriodEquivalent(D3&amp;"M")</f>
        <v>1Y</v>
      </c>
      <c r="C3" s="244">
        <f>_xll.qlDateEndOfMonth(EDATE(_xll.qlIMMNextDate(_xll.qlSettingsEvaluationDate(Trigger)-1,TRUE),-3))</f>
        <v>41729</v>
      </c>
      <c r="D3" s="245">
        <v>12</v>
      </c>
      <c r="E3" s="244">
        <f t="shared" ref="E3:E9" si="0">EDATE($W$11,$D3)</f>
        <v>42153</v>
      </c>
      <c r="F3" s="195">
        <v>1</v>
      </c>
      <c r="G3" s="240">
        <v>0</v>
      </c>
      <c r="H3" s="241">
        <v>6.0000000000000001E-3</v>
      </c>
      <c r="I3" s="196">
        <v>1E-3</v>
      </c>
    </row>
    <row r="4" spans="1:28" ht="11.25" hidden="1" customHeight="1" outlineLevel="1" x14ac:dyDescent="0.25">
      <c r="A4" s="235"/>
      <c r="B4" s="235" t="str">
        <f>_xll.qlPeriodEquivalent(D4&amp;"M")</f>
        <v>2Y</v>
      </c>
      <c r="C4" s="244">
        <f>C3</f>
        <v>41729</v>
      </c>
      <c r="D4" s="245">
        <v>24</v>
      </c>
      <c r="E4" s="244">
        <f t="shared" si="0"/>
        <v>42519</v>
      </c>
      <c r="F4" s="195">
        <v>3</v>
      </c>
      <c r="G4" s="240">
        <v>0</v>
      </c>
      <c r="H4" s="241">
        <v>6.0000000000000001E-3</v>
      </c>
      <c r="I4" s="196">
        <v>1E-3</v>
      </c>
      <c r="J4"/>
      <c r="K4"/>
      <c r="S4"/>
      <c r="T4"/>
      <c r="U4"/>
      <c r="V4"/>
      <c r="W4"/>
      <c r="X4"/>
      <c r="Y4"/>
      <c r="Z4"/>
      <c r="AA4"/>
      <c r="AB4"/>
    </row>
    <row r="5" spans="1:28" ht="11.25" hidden="1" customHeight="1" outlineLevel="1" x14ac:dyDescent="0.2">
      <c r="A5" s="235"/>
      <c r="B5" s="235" t="str">
        <f>_xll.qlPeriodEquivalent(D5&amp;"M")</f>
        <v>5Y</v>
      </c>
      <c r="C5" s="244">
        <f>C4</f>
        <v>41729</v>
      </c>
      <c r="D5" s="245">
        <v>60</v>
      </c>
      <c r="E5" s="244">
        <f t="shared" si="0"/>
        <v>43614</v>
      </c>
      <c r="F5" s="195">
        <v>3</v>
      </c>
      <c r="G5" s="240">
        <v>0</v>
      </c>
      <c r="H5" s="241">
        <v>2.5000000000000001E-2</v>
      </c>
      <c r="I5" s="196">
        <v>5.0000000000000001E-3</v>
      </c>
    </row>
    <row r="6" spans="1:28" ht="11.25" hidden="1" customHeight="1" outlineLevel="1" x14ac:dyDescent="0.2">
      <c r="A6" s="235" t="s">
        <v>170</v>
      </c>
      <c r="B6" s="235" t="str">
        <f>_xll.qlPeriodEquivalent(D6&amp;"M")</f>
        <v>10Y</v>
      </c>
      <c r="C6" s="244">
        <f t="shared" ref="C6:C9" si="1">C5</f>
        <v>41729</v>
      </c>
      <c r="D6" s="245">
        <v>120</v>
      </c>
      <c r="E6" s="244">
        <f t="shared" si="0"/>
        <v>45441</v>
      </c>
      <c r="F6" s="195">
        <v>6</v>
      </c>
      <c r="G6" s="240">
        <v>0</v>
      </c>
      <c r="H6" s="241">
        <v>3.5000000000000003E-2</v>
      </c>
      <c r="I6" s="196">
        <v>5.0000000000000001E-3</v>
      </c>
    </row>
    <row r="7" spans="1:28" ht="11.25" hidden="1" customHeight="1" outlineLevel="1" x14ac:dyDescent="0.2">
      <c r="A7" s="235"/>
      <c r="B7" s="235" t="str">
        <f>_xll.qlPeriodEquivalent(D7&amp;"M")</f>
        <v>20Y</v>
      </c>
      <c r="C7" s="244">
        <f t="shared" si="1"/>
        <v>41729</v>
      </c>
      <c r="D7" s="245">
        <v>240</v>
      </c>
      <c r="E7" s="244">
        <f t="shared" si="0"/>
        <v>49093</v>
      </c>
      <c r="F7" s="195">
        <v>12</v>
      </c>
      <c r="G7" s="240">
        <v>0</v>
      </c>
      <c r="H7" s="241">
        <v>3.5000000000000003E-2</v>
      </c>
      <c r="I7" s="196">
        <v>5.0000000000000001E-3</v>
      </c>
    </row>
    <row r="8" spans="1:28" ht="11.25" hidden="1" customHeight="1" outlineLevel="1" x14ac:dyDescent="0.2">
      <c r="A8" s="235"/>
      <c r="B8" s="235" t="str">
        <f>_xll.qlPeriodEquivalent(D8&amp;"M")</f>
        <v>30Y</v>
      </c>
      <c r="C8" s="244">
        <f t="shared" si="1"/>
        <v>41729</v>
      </c>
      <c r="D8" s="245">
        <v>360</v>
      </c>
      <c r="E8" s="244">
        <f t="shared" si="0"/>
        <v>52746</v>
      </c>
      <c r="F8" s="195">
        <v>36</v>
      </c>
      <c r="G8" s="240">
        <v>0</v>
      </c>
      <c r="H8" s="241">
        <v>3.5000000000000003E-2</v>
      </c>
      <c r="I8" s="196">
        <v>5.0000000000000001E-3</v>
      </c>
      <c r="T8" s="186"/>
      <c r="X8" s="199" t="s">
        <v>157</v>
      </c>
      <c r="AB8" s="197"/>
    </row>
    <row r="9" spans="1:28" ht="11.25" hidden="1" customHeight="1" outlineLevel="1" thickBot="1" x14ac:dyDescent="0.25">
      <c r="A9" s="236"/>
      <c r="B9" s="236" t="str">
        <f>_xll.qlPeriodEquivalent(D9&amp;"M")</f>
        <v>60Y</v>
      </c>
      <c r="C9" s="246">
        <f t="shared" si="1"/>
        <v>41729</v>
      </c>
      <c r="D9" s="247">
        <v>720</v>
      </c>
      <c r="E9" s="246">
        <f t="shared" si="0"/>
        <v>63703</v>
      </c>
      <c r="F9" s="233">
        <v>36</v>
      </c>
      <c r="G9" s="242">
        <v>0</v>
      </c>
      <c r="H9" s="243">
        <v>3.5000000000000003E-2</v>
      </c>
      <c r="I9" s="234">
        <v>5.0000000000000001E-3</v>
      </c>
      <c r="T9" s="202"/>
      <c r="X9" s="203" t="str">
        <f>_xll.qlEonia(,YieldCurve)</f>
        <v>obj_00677#0001</v>
      </c>
      <c r="Z9" s="198"/>
    </row>
    <row r="10" spans="1:28" ht="12" collapsed="1" thickBot="1" x14ac:dyDescent="0.25">
      <c r="J10" s="218"/>
      <c r="L10" s="200" t="s">
        <v>161</v>
      </c>
      <c r="M10" s="201" t="s">
        <v>158</v>
      </c>
      <c r="N10" s="201" t="s">
        <v>86</v>
      </c>
      <c r="O10" s="214" t="s">
        <v>162</v>
      </c>
      <c r="P10" s="201" t="s">
        <v>163</v>
      </c>
      <c r="Q10" s="201"/>
      <c r="R10" s="215" t="s">
        <v>164</v>
      </c>
      <c r="S10" s="199" t="s">
        <v>165</v>
      </c>
      <c r="U10" s="204" t="s">
        <v>159</v>
      </c>
      <c r="V10" s="205" t="s">
        <v>160</v>
      </c>
      <c r="W10" s="205" t="s">
        <v>158</v>
      </c>
      <c r="X10" s="206" t="s">
        <v>170</v>
      </c>
    </row>
    <row r="11" spans="1:28" ht="12" thickBot="1" x14ac:dyDescent="0.25">
      <c r="J11" s="187" t="s">
        <v>152</v>
      </c>
      <c r="L11" s="209" t="str">
        <f>RateHelpers!E35</f>
        <v>EUR_YCONRH_EONSW</v>
      </c>
      <c r="M11" s="207">
        <f>_xll.qlRateHelperLatestDate(L11,Trigger)</f>
        <v>41799</v>
      </c>
      <c r="N11" s="216">
        <f>_xll.qlRateHelperQuoteValue(L11,_xll.ohTrigger(RecalcTrigger,YieldCurve))</f>
        <v>2.8300000000000005E-3</v>
      </c>
      <c r="O11" s="217" t="s">
        <v>143</v>
      </c>
      <c r="P11" s="218" t="str">
        <f>_xll.qlMakeOIS(,O11,IborIndex,,"0D",,,,_xll.ohTrigger(RecalcTrigger,YieldCurve))</f>
        <v>obj_0067b#0003</v>
      </c>
      <c r="Q11" s="219">
        <f>_xll.qlOvernightIndexedSwapFairRate(P11,_xll.ohTrigger(RecalcTrigger,YieldCurve))</f>
        <v>2.8299999999996978E-3</v>
      </c>
      <c r="R11" s="220">
        <f t="shared" ref="R11:R46" si="2">Q11-N11</f>
        <v>-3.0270924655795284E-16</v>
      </c>
      <c r="S11" s="223">
        <f t="array" ref="S11">MAX(ABS(R16:R46))</f>
        <v>4.1640302317347277E-14</v>
      </c>
      <c r="U11" s="209" t="s">
        <v>133</v>
      </c>
      <c r="V11" s="210">
        <f>_xll.qlSettingsEvaluationDate(Trigger)</f>
        <v>41788</v>
      </c>
      <c r="W11" s="210">
        <f>_xll.qlCalendarAdvance(Calendar,V11,NDays&amp;"D")</f>
        <v>41788</v>
      </c>
      <c r="X11" s="208">
        <f t="array" ref="X11:X3544">IFERROR(_xll.qlIndexFixing(IborIndex,V11:V3544,TRUE,RecalcTrigger),NA())</f>
        <v>5.4999999999960636E-3</v>
      </c>
    </row>
    <row r="12" spans="1:28" ht="12" thickBot="1" x14ac:dyDescent="0.25">
      <c r="J12" s="189"/>
      <c r="L12" s="209" t="str">
        <f>RateHelpers!E36</f>
        <v>EUR_YCONRH_EON2W</v>
      </c>
      <c r="M12" s="207">
        <f>_xll.qlRateHelperLatestDate(L12,Trigger)</f>
        <v>41806</v>
      </c>
      <c r="N12" s="216">
        <f>_xll.qlRateHelperQuoteValue(L12,_xll.ohTrigger(RecalcTrigger,YieldCurve))</f>
        <v>2.4099999999999998E-3</v>
      </c>
      <c r="O12" s="221" t="s">
        <v>60</v>
      </c>
      <c r="P12" s="218" t="str">
        <f>_xll.qlMakeOIS(,O12,IborIndex,,"0D",,,,_xll.ohTrigger(RecalcTrigger,YieldCurve))</f>
        <v>obj_00694#0003</v>
      </c>
      <c r="Q12" s="219">
        <f>_xll.qlOvernightIndexedSwapFairRate(P12,_xll.ohTrigger(RecalcTrigger,YieldCurve))</f>
        <v>2.4099999999980882E-3</v>
      </c>
      <c r="R12" s="220">
        <f t="shared" si="2"/>
        <v>-1.9116652705264414E-15</v>
      </c>
      <c r="U12" s="209" t="str">
        <f>U11</f>
        <v>1D</v>
      </c>
      <c r="V12" s="207">
        <f>_xll.qlCalendarAdvance(Calendar,V11,U12,"f",FALSE)</f>
        <v>41789</v>
      </c>
      <c r="W12" s="210">
        <f>_xll.qlCalendarAdvance(Calendar,V12,NDays&amp;"D")</f>
        <v>41789</v>
      </c>
      <c r="X12" s="208">
        <v>3.2000000000209639E-3</v>
      </c>
    </row>
    <row r="13" spans="1:28" x14ac:dyDescent="0.2">
      <c r="L13" s="209" t="str">
        <f>RateHelpers!E37</f>
        <v>EUR_YCONRH_EON3W</v>
      </c>
      <c r="M13" s="207">
        <f>_xll.qlRateHelperLatestDate(L13,Trigger)</f>
        <v>41813</v>
      </c>
      <c r="N13" s="216">
        <f>_xll.qlRateHelperQuoteValue(L13,_xll.ohTrigger(RecalcTrigger,YieldCurve))</f>
        <v>1.97E-3</v>
      </c>
      <c r="O13" s="221" t="s">
        <v>59</v>
      </c>
      <c r="P13" s="218" t="str">
        <f>_xll.qlMakeOIS(,O13,IborIndex,,"0D",,,,_xll.ohTrigger(RecalcTrigger,YieldCurve))</f>
        <v>obj_00681#0003</v>
      </c>
      <c r="Q13" s="219">
        <f>_xll.qlOvernightIndexedSwapFairRate(P13,_xll.ohTrigger(RecalcTrigger,YieldCurve))</f>
        <v>1.969999999997489E-3</v>
      </c>
      <c r="R13" s="220">
        <f t="shared" si="2"/>
        <v>-2.5110122314764283E-15</v>
      </c>
      <c r="U13" s="209" t="str">
        <f t="shared" ref="U13:U76" si="3">U12</f>
        <v>1D</v>
      </c>
      <c r="V13" s="207">
        <f>_xll.qlCalendarAdvance(Calendar,V12,U13,"f",FALSE)</f>
        <v>41792</v>
      </c>
      <c r="W13" s="210">
        <f>_xll.qlCalendarAdvance(Calendar,V13,NDays&amp;"D")</f>
        <v>41792</v>
      </c>
      <c r="X13" s="208">
        <v>3.19999999746301E-3</v>
      </c>
    </row>
    <row r="14" spans="1:28" x14ac:dyDescent="0.2">
      <c r="D14" s="186"/>
      <c r="E14" s="186"/>
      <c r="L14" s="209" t="str">
        <f>RateHelpers!E38</f>
        <v>EUR_YCONRH_EON1M</v>
      </c>
      <c r="M14" s="207">
        <f>_xll.qlRateHelperLatestDate(L14,Trigger)</f>
        <v>41822</v>
      </c>
      <c r="N14" s="216">
        <f>_xll.qlRateHelperQuoteValue(L14,_xll.ohTrigger(RecalcTrigger,YieldCurve))</f>
        <v>1.6599999999999998E-3</v>
      </c>
      <c r="O14" s="221" t="s">
        <v>58</v>
      </c>
      <c r="P14" s="218" t="str">
        <f>_xll.qlMakeOIS(,O14,IborIndex,,"0D",,,,_xll.ohTrigger(RecalcTrigger,YieldCurve))</f>
        <v>obj_00689#0003</v>
      </c>
      <c r="Q14" s="219">
        <f>_xll.qlOvernightIndexedSwapFairRate(P14,_xll.ohTrigger(RecalcTrigger,YieldCurve))</f>
        <v>1.6600000000002173E-3</v>
      </c>
      <c r="R14" s="220">
        <f t="shared" si="2"/>
        <v>2.1749095580059219E-16</v>
      </c>
      <c r="U14" s="209" t="str">
        <f t="shared" si="3"/>
        <v>1D</v>
      </c>
      <c r="V14" s="207">
        <f>_xll.qlCalendarAdvance(Calendar,V13,U14,"f",FALSE)</f>
        <v>41793</v>
      </c>
      <c r="W14" s="210">
        <f>_xll.qlCalendarAdvance(Calendar,V14,NDays&amp;"D")</f>
        <v>41793</v>
      </c>
      <c r="X14" s="208">
        <v>3.1636537827850475E-3</v>
      </c>
    </row>
    <row r="15" spans="1:28" x14ac:dyDescent="0.2">
      <c r="L15" s="209" t="str">
        <f>RateHelpers!E39</f>
        <v>EUR_YCONRH_EON2M</v>
      </c>
      <c r="M15" s="207">
        <f>_xll.qlRateHelperLatestDate(L15,Trigger)</f>
        <v>41855</v>
      </c>
      <c r="N15" s="216">
        <f>_xll.qlRateHelperQuoteValue(L15,_xll.ohTrigger(RecalcTrigger,YieldCurve))</f>
        <v>1.33E-3</v>
      </c>
      <c r="O15" s="221" t="s">
        <v>57</v>
      </c>
      <c r="P15" s="218" t="str">
        <f>_xll.qlMakeOIS(,O15,IborIndex,,"0D",,,,_xll.ohTrigger(RecalcTrigger,YieldCurve))</f>
        <v>obj_00691#0003</v>
      </c>
      <c r="Q15" s="219">
        <f>_xll.qlOvernightIndexedSwapFairRate(P15,_xll.ohTrigger(RecalcTrigger,YieldCurve))</f>
        <v>1.3300000000006562E-3</v>
      </c>
      <c r="R15" s="220">
        <f t="shared" si="2"/>
        <v>6.5615915478822728E-16</v>
      </c>
      <c r="U15" s="209" t="str">
        <f t="shared" si="3"/>
        <v>1D</v>
      </c>
      <c r="V15" s="207">
        <f>_xll.qlCalendarAdvance(Calendar,V14,U15,"f",FALSE)</f>
        <v>41794</v>
      </c>
      <c r="W15" s="210">
        <f>_xll.qlCalendarAdvance(Calendar,V15,NDays&amp;"D")</f>
        <v>41794</v>
      </c>
      <c r="X15" s="211">
        <v>2.9792798041405888E-3</v>
      </c>
      <c r="Y15" s="232"/>
    </row>
    <row r="16" spans="1:28" x14ac:dyDescent="0.2">
      <c r="L16" s="209" t="str">
        <f>RateHelpers!E40</f>
        <v>EUR_YCONRH_EON3M</v>
      </c>
      <c r="M16" s="207">
        <f>_xll.qlRateHelperLatestDate(L16,Trigger)</f>
        <v>41884</v>
      </c>
      <c r="N16" s="216">
        <f>_xll.qlRateHelperQuoteValue(L16,_xll.ohTrigger(RecalcTrigger,YieldCurve))</f>
        <v>1.14E-3</v>
      </c>
      <c r="O16" s="221" t="s">
        <v>56</v>
      </c>
      <c r="P16" s="218" t="str">
        <f>_xll.qlMakeOIS(,O16,IborIndex,,"0D",,,,_xll.ohTrigger(RecalcTrigger,YieldCurve))</f>
        <v>obj_00692#0003</v>
      </c>
      <c r="Q16" s="219">
        <f>_xll.qlOvernightIndexedSwapFairRate(P16,_xll.ohTrigger(RecalcTrigger,YieldCurve))</f>
        <v>1.1399999999994748E-3</v>
      </c>
      <c r="R16" s="220">
        <f t="shared" si="2"/>
        <v>-5.2518753235197835E-16</v>
      </c>
      <c r="U16" s="209" t="str">
        <f t="shared" si="3"/>
        <v>1D</v>
      </c>
      <c r="V16" s="207">
        <f>_xll.qlCalendarAdvance(Calendar,V15,U16,"f",FALSE)</f>
        <v>41795</v>
      </c>
      <c r="W16" s="210">
        <f>_xll.qlCalendarAdvance(Calendar,V16,NDays&amp;"D")</f>
        <v>41795</v>
      </c>
      <c r="X16" s="211">
        <v>2.8145668725265693E-3</v>
      </c>
      <c r="Y16" s="232"/>
    </row>
    <row r="17" spans="12:25" x14ac:dyDescent="0.2">
      <c r="L17" s="209" t="str">
        <f>RateHelpers!E41</f>
        <v>EUR_YCONRH_EON4M</v>
      </c>
      <c r="M17" s="207">
        <f>_xll.qlRateHelperLatestDate(L17,Trigger)</f>
        <v>41914</v>
      </c>
      <c r="N17" s="216">
        <f>_xll.qlRateHelperQuoteValue(L17,_xll.ohTrigger(RecalcTrigger,YieldCurve))</f>
        <v>1.0300000000000001E-3</v>
      </c>
      <c r="O17" s="221" t="s">
        <v>55</v>
      </c>
      <c r="P17" s="218" t="str">
        <f>_xll.qlMakeOIS(,O17,IborIndex,,"0D",,,,_xll.ohTrigger(RecalcTrigger,YieldCurve))</f>
        <v>obj_00697#0003</v>
      </c>
      <c r="Q17" s="219">
        <f>_xll.qlOvernightIndexedSwapFairRate(P17,_xll.ohTrigger(RecalcTrigger,YieldCurve))</f>
        <v>1.0299999999996059E-3</v>
      </c>
      <c r="R17" s="220">
        <f t="shared" si="2"/>
        <v>-3.9421590991572941E-16</v>
      </c>
      <c r="U17" s="209" t="str">
        <f t="shared" si="3"/>
        <v>1D</v>
      </c>
      <c r="V17" s="207">
        <f>_xll.qlCalendarAdvance(Calendar,V16,U17,"f",FALSE)</f>
        <v>41796</v>
      </c>
      <c r="W17" s="210">
        <f>_xll.qlCalendarAdvance(Calendar,V17,NDays&amp;"D")</f>
        <v>41796</v>
      </c>
      <c r="X17" s="211">
        <v>2.5506957635634819E-3</v>
      </c>
      <c r="Y17" s="232"/>
    </row>
    <row r="18" spans="12:25" x14ac:dyDescent="0.2">
      <c r="L18" s="209" t="str">
        <f>RateHelpers!E42</f>
        <v>EUR_YCONRH_EON5M</v>
      </c>
      <c r="M18" s="207">
        <f>_xll.qlRateHelperLatestDate(L18,Trigger)</f>
        <v>41946</v>
      </c>
      <c r="N18" s="216">
        <f>_xll.qlRateHelperQuoteValue(L18,_xll.ohTrigger(RecalcTrigger,YieldCurve))</f>
        <v>9.3999999999999997E-4</v>
      </c>
      <c r="O18" s="221" t="s">
        <v>54</v>
      </c>
      <c r="P18" s="218" t="str">
        <f>_xll.qlMakeOIS(,O18,IborIndex,,"0D",,,,_xll.ohTrigger(RecalcTrigger,YieldCurve))</f>
        <v>obj_00679#0003</v>
      </c>
      <c r="Q18" s="219">
        <f>_xll.qlOvernightIndexedSwapFairRate(P18,_xll.ohTrigger(RecalcTrigger,YieldCurve))</f>
        <v>9.4000000000024066E-4</v>
      </c>
      <c r="R18" s="220">
        <f t="shared" si="2"/>
        <v>2.4069288229178198E-16</v>
      </c>
      <c r="U18" s="209" t="str">
        <f t="shared" si="3"/>
        <v>1D</v>
      </c>
      <c r="V18" s="207">
        <f>_xll.qlCalendarAdvance(Calendar,V17,U18,"f",FALSE)</f>
        <v>41799</v>
      </c>
      <c r="W18" s="210">
        <f>_xll.qlCalendarAdvance(Calendar,V18,NDays&amp;"D")</f>
        <v>41799</v>
      </c>
      <c r="X18" s="211">
        <v>2.3469874033033022E-3</v>
      </c>
      <c r="Y18" s="232"/>
    </row>
    <row r="19" spans="12:25" x14ac:dyDescent="0.2">
      <c r="L19" s="209" t="str">
        <f>RateHelpers!E43</f>
        <v>EUR_YCONRH_EON6M</v>
      </c>
      <c r="M19" s="207">
        <f>_xll.qlRateHelperLatestDate(L19,Trigger)</f>
        <v>41975</v>
      </c>
      <c r="N19" s="216">
        <f>_xll.qlRateHelperQuoteValue(L19,_xll.ohTrigger(RecalcTrigger,YieldCurve))</f>
        <v>8.5999999999999998E-4</v>
      </c>
      <c r="O19" s="221" t="s">
        <v>53</v>
      </c>
      <c r="P19" s="218" t="str">
        <f>_xll.qlMakeOIS(,O19,IborIndex,,"0D",,,,_xll.ohTrigger(RecalcTrigger,YieldCurve))</f>
        <v>obj_00680#0003</v>
      </c>
      <c r="Q19" s="219">
        <f>_xll.qlOvernightIndexedSwapFairRate(P19,_xll.ohTrigger(RecalcTrigger,YieldCurve))</f>
        <v>8.6000000000008661E-4</v>
      </c>
      <c r="R19" s="220">
        <f t="shared" si="2"/>
        <v>8.6627753581591804E-17</v>
      </c>
      <c r="U19" s="209" t="str">
        <f t="shared" si="3"/>
        <v>1D</v>
      </c>
      <c r="V19" s="207">
        <f>_xll.qlCalendarAdvance(Calendar,V18,U19,"f",FALSE)</f>
        <v>41800</v>
      </c>
      <c r="W19" s="210">
        <f>_xll.qlCalendarAdvance(Calendar,V19,NDays&amp;"D")</f>
        <v>41800</v>
      </c>
      <c r="X19" s="211">
        <v>2.2485530510341079E-3</v>
      </c>
      <c r="Y19" s="232"/>
    </row>
    <row r="20" spans="12:25" x14ac:dyDescent="0.2">
      <c r="L20" s="209" t="str">
        <f>RateHelpers!E44</f>
        <v>EUR_YCONRH_EON7M</v>
      </c>
      <c r="M20" s="207">
        <f>_xll.qlRateHelperLatestDate(L20,Trigger)</f>
        <v>42006</v>
      </c>
      <c r="N20" s="216">
        <f>_xll.qlRateHelperQuoteValue(L20,_xll.ohTrigger(RecalcTrigger,YieldCurve))</f>
        <v>7.9000000000000001E-4</v>
      </c>
      <c r="O20" s="221" t="s">
        <v>52</v>
      </c>
      <c r="P20" s="218" t="str">
        <f>_xll.qlMakeOIS(,O20,IborIndex,,"0D",,,,_xll.ohTrigger(RecalcTrigger,YieldCurve))</f>
        <v>obj_00678#0003</v>
      </c>
      <c r="Q20" s="219">
        <f>_xll.qlOvernightIndexedSwapFairRate(P20,_xll.ohTrigger(RecalcTrigger,YieldCurve))</f>
        <v>7.9000000000035715E-4</v>
      </c>
      <c r="R20" s="220">
        <f t="shared" si="2"/>
        <v>3.5713619561672516E-16</v>
      </c>
      <c r="U20" s="209" t="str">
        <f t="shared" si="3"/>
        <v>1D</v>
      </c>
      <c r="V20" s="207">
        <f>_xll.qlCalendarAdvance(Calendar,V19,U20,"f",FALSE)</f>
        <v>41801</v>
      </c>
      <c r="W20" s="210">
        <f>_xll.qlCalendarAdvance(Calendar,V20,NDays&amp;"D")</f>
        <v>41801</v>
      </c>
      <c r="X20" s="211">
        <v>2.137753336910464E-3</v>
      </c>
      <c r="Y20" s="232"/>
    </row>
    <row r="21" spans="12:25" x14ac:dyDescent="0.2">
      <c r="L21" s="209" t="str">
        <f>RateHelpers!E45</f>
        <v>EUR_YCONRH_EON8M</v>
      </c>
      <c r="M21" s="207">
        <f>_xll.qlRateHelperLatestDate(L21,Trigger)</f>
        <v>42037</v>
      </c>
      <c r="N21" s="216">
        <f>_xll.qlRateHelperQuoteValue(L21,_xll.ohTrigger(RecalcTrigger,YieldCurve))</f>
        <v>7.400000000000001E-4</v>
      </c>
      <c r="O21" s="221" t="s">
        <v>51</v>
      </c>
      <c r="P21" s="218" t="str">
        <f>_xll.qlMakeOIS(,O21,IborIndex,,"0D",,,,_xll.ohTrigger(RecalcTrigger,YieldCurve))</f>
        <v>obj_0067f#0003</v>
      </c>
      <c r="Q21" s="219">
        <f>_xll.qlOvernightIndexedSwapFairRate(P21,_xll.ohTrigger(RecalcTrigger,YieldCurve))</f>
        <v>7.4000000000011687E-4</v>
      </c>
      <c r="R21" s="220">
        <f t="shared" si="2"/>
        <v>1.1676857397668883E-16</v>
      </c>
      <c r="U21" s="209" t="str">
        <f t="shared" si="3"/>
        <v>1D</v>
      </c>
      <c r="V21" s="207">
        <f>_xll.qlCalendarAdvance(Calendar,V20,U21,"f",FALSE)</f>
        <v>41802</v>
      </c>
      <c r="W21" s="210">
        <f>_xll.qlCalendarAdvance(Calendar,V21,NDays&amp;"D")</f>
        <v>41802</v>
      </c>
      <c r="X21" s="211">
        <v>2.0145882722033548E-3</v>
      </c>
      <c r="Y21" s="232"/>
    </row>
    <row r="22" spans="12:25" x14ac:dyDescent="0.2">
      <c r="L22" s="209" t="str">
        <f>RateHelpers!E46</f>
        <v>EUR_YCONRH_EON9M</v>
      </c>
      <c r="M22" s="207">
        <f>_xll.qlRateHelperLatestDate(L22,Trigger)</f>
        <v>42065</v>
      </c>
      <c r="N22" s="216">
        <f>_xll.qlRateHelperQuoteValue(L22,_xll.ohTrigger(RecalcTrigger,YieldCurve))</f>
        <v>7.3000000000000007E-4</v>
      </c>
      <c r="O22" s="221" t="s">
        <v>50</v>
      </c>
      <c r="P22" s="218" t="str">
        <f>_xll.qlMakeOIS(,O22,IborIndex,,"0D",,,,_xll.ohTrigger(RecalcTrigger,YieldCurve))</f>
        <v>obj_00687#0003</v>
      </c>
      <c r="Q22" s="219">
        <f>_xll.qlOvernightIndexedSwapFairRate(P22,_xll.ohTrigger(RecalcTrigger,YieldCurve))</f>
        <v>7.3000000000014156E-4</v>
      </c>
      <c r="R22" s="220">
        <f t="shared" si="2"/>
        <v>1.4148838350935833E-16</v>
      </c>
      <c r="U22" s="209" t="str">
        <f t="shared" si="3"/>
        <v>1D</v>
      </c>
      <c r="V22" s="207">
        <f>_xll.qlCalendarAdvance(Calendar,V21,U22,"f",FALSE)</f>
        <v>41803</v>
      </c>
      <c r="W22" s="210">
        <f>_xll.qlCalendarAdvance(Calendar,V22,NDays&amp;"D")</f>
        <v>41803</v>
      </c>
      <c r="X22" s="211">
        <v>1.7270486371678828E-3</v>
      </c>
      <c r="Y22" s="232"/>
    </row>
    <row r="23" spans="12:25" x14ac:dyDescent="0.2">
      <c r="L23" s="209" t="str">
        <f>RateHelpers!E47</f>
        <v>EUR_YCONRH_EON10M</v>
      </c>
      <c r="M23" s="207">
        <f>_xll.qlRateHelperLatestDate(L23,Trigger)</f>
        <v>42096</v>
      </c>
      <c r="N23" s="216">
        <f>_xll.qlRateHelperQuoteValue(L23,_xll.ohTrigger(RecalcTrigger,YieldCurve))</f>
        <v>6.9000000000000008E-4</v>
      </c>
      <c r="O23" s="221" t="s">
        <v>49</v>
      </c>
      <c r="P23" s="218" t="str">
        <f>_xll.qlMakeOIS(,O23,IborIndex,,"0D",,,,_xll.ohTrigger(RecalcTrigger,YieldCurve))</f>
        <v>obj_00684#0003</v>
      </c>
      <c r="Q23" s="219">
        <f>_xll.qlOvernightIndexedSwapFairRate(P23,_xll.ohTrigger(RecalcTrigger,YieldCurve))</f>
        <v>6.89999999999945E-4</v>
      </c>
      <c r="R23" s="220">
        <f t="shared" si="2"/>
        <v>-5.5077470362263625E-17</v>
      </c>
      <c r="U23" s="209" t="str">
        <f t="shared" si="3"/>
        <v>1D</v>
      </c>
      <c r="V23" s="207">
        <f>_xll.qlCalendarAdvance(Calendar,V22,U23,"f",FALSE)</f>
        <v>41806</v>
      </c>
      <c r="W23" s="210">
        <f>_xll.qlCalendarAdvance(Calendar,V23,NDays&amp;"D")</f>
        <v>41806</v>
      </c>
      <c r="X23" s="211">
        <v>1.4045689613784162E-3</v>
      </c>
      <c r="Y23" s="232"/>
    </row>
    <row r="24" spans="12:25" x14ac:dyDescent="0.2">
      <c r="L24" s="209" t="str">
        <f>RateHelpers!E48</f>
        <v>EUR_YCONRH_EON11M</v>
      </c>
      <c r="M24" s="207">
        <f>_xll.qlRateHelperLatestDate(L24,Trigger)</f>
        <v>42128</v>
      </c>
      <c r="N24" s="216">
        <f>_xll.qlRateHelperQuoteValue(L24,_xll.ohTrigger(RecalcTrigger,YieldCurve))</f>
        <v>6.6E-4</v>
      </c>
      <c r="O24" s="221" t="s">
        <v>48</v>
      </c>
      <c r="P24" s="218" t="str">
        <f>_xll.qlMakeOIS(,O24,IborIndex,,"0D",,,,_xll.ohTrigger(RecalcTrigger,YieldCurve))</f>
        <v>obj_0068e#0003</v>
      </c>
      <c r="Q24" s="219">
        <f>_xll.qlOvernightIndexedSwapFairRate(P24,_xll.ohTrigger(RecalcTrigger,YieldCurve))</f>
        <v>6.6000000000018409E-4</v>
      </c>
      <c r="R24" s="220">
        <f t="shared" si="2"/>
        <v>1.8409752888803865E-16</v>
      </c>
      <c r="U24" s="209" t="str">
        <f t="shared" si="3"/>
        <v>1D</v>
      </c>
      <c r="V24" s="207">
        <f>_xll.qlCalendarAdvance(Calendar,V23,U24,"f",FALSE)</f>
        <v>41807</v>
      </c>
      <c r="W24" s="210">
        <f>_xll.qlCalendarAdvance(Calendar,V24,NDays&amp;"D")</f>
        <v>41807</v>
      </c>
      <c r="X24" s="211">
        <v>1.2573424179418424E-3</v>
      </c>
      <c r="Y24" s="232"/>
    </row>
    <row r="25" spans="12:25" x14ac:dyDescent="0.2">
      <c r="L25" s="209" t="str">
        <f>RateHelpers!E49</f>
        <v>EUR_YCONRH_EON1Y</v>
      </c>
      <c r="M25" s="207">
        <f>_xll.qlRateHelperLatestDate(L25,Trigger)</f>
        <v>42157</v>
      </c>
      <c r="N25" s="216">
        <f>_xll.qlRateHelperQuoteValue(L25,_xll.ohTrigger(RecalcTrigger,YieldCurve))</f>
        <v>6.4000000000000005E-4</v>
      </c>
      <c r="O25" s="221" t="s">
        <v>47</v>
      </c>
      <c r="P25" s="218" t="str">
        <f>_xll.qlMakeOIS(,O25,IborIndex,,"0D",,,,_xll.ohTrigger(RecalcTrigger,YieldCurve))</f>
        <v>obj_0068d#0003</v>
      </c>
      <c r="Q25" s="219">
        <f>_xll.qlOvernightIndexedSwapFairRate(P25,_xll.ohTrigger(RecalcTrigger,YieldCurve))</f>
        <v>6.3999999999981281E-4</v>
      </c>
      <c r="R25" s="220">
        <f t="shared" si="2"/>
        <v>-1.8724171518824662E-16</v>
      </c>
      <c r="U25" s="209" t="str">
        <f t="shared" si="3"/>
        <v>1D</v>
      </c>
      <c r="V25" s="207">
        <f>_xll.qlCalendarAdvance(Calendar,V24,U25,"f",FALSE)</f>
        <v>41808</v>
      </c>
      <c r="W25" s="210">
        <f>_xll.qlCalendarAdvance(Calendar,V25,NDays&amp;"D")</f>
        <v>41808</v>
      </c>
      <c r="X25" s="211">
        <v>1.1355156298442637E-3</v>
      </c>
      <c r="Y25" s="232"/>
    </row>
    <row r="26" spans="12:25" x14ac:dyDescent="0.2">
      <c r="L26" s="209" t="str">
        <f>RateHelpers!E50</f>
        <v>EUR_YCONRH_EON15M</v>
      </c>
      <c r="M26" s="207">
        <f>_xll.qlRateHelperLatestDate(L26,Trigger)</f>
        <v>42249</v>
      </c>
      <c r="N26" s="216">
        <f>_xll.qlRateHelperQuoteValue(L26,_xll.ohTrigger(RecalcTrigger,YieldCurve))</f>
        <v>5.9000000000000003E-4</v>
      </c>
      <c r="O26" s="221" t="s">
        <v>46</v>
      </c>
      <c r="P26" s="218" t="str">
        <f>_xll.qlMakeOIS(,O26,IborIndex,,"0D",,,,_xll.ohTrigger(RecalcTrigger,YieldCurve))</f>
        <v>obj_00688#0003</v>
      </c>
      <c r="Q26" s="219">
        <f>_xll.qlOvernightIndexedSwapFairRate(P26,_xll.ohTrigger(RecalcTrigger,YieldCurve))</f>
        <v>5.8999999999982862E-4</v>
      </c>
      <c r="R26" s="220">
        <f t="shared" si="2"/>
        <v>-1.7141236346995825E-16</v>
      </c>
      <c r="U26" s="209" t="str">
        <f t="shared" si="3"/>
        <v>1D</v>
      </c>
      <c r="V26" s="207">
        <f>_xll.qlCalendarAdvance(Calendar,V25,U26,"f",FALSE)</f>
        <v>41809</v>
      </c>
      <c r="W26" s="210">
        <f>_xll.qlCalendarAdvance(Calendar,V26,NDays&amp;"D")</f>
        <v>41809</v>
      </c>
      <c r="X26" s="211">
        <v>1.0390885714262055E-3</v>
      </c>
      <c r="Y26" s="232"/>
    </row>
    <row r="27" spans="12:25" x14ac:dyDescent="0.2">
      <c r="L27" s="209" t="str">
        <f>RateHelpers!E51</f>
        <v>EUR_YCONRH_EON18M</v>
      </c>
      <c r="M27" s="207">
        <f>_xll.qlRateHelperLatestDate(L27,Trigger)</f>
        <v>42340</v>
      </c>
      <c r="N27" s="216">
        <f>_xll.qlRateHelperQuoteValue(L27,_xll.ohTrigger(RecalcTrigger,YieldCurve))</f>
        <v>5.9000000000000003E-4</v>
      </c>
      <c r="O27" s="221" t="s">
        <v>45</v>
      </c>
      <c r="P27" s="218" t="str">
        <f>_xll.qlMakeOIS(,O27,IborIndex,,"0D",,,,_xll.ohTrigger(RecalcTrigger,YieldCurve))</f>
        <v>obj_0068a#0003</v>
      </c>
      <c r="Q27" s="219">
        <f>_xll.qlOvernightIndexedSwapFairRate(P27,_xll.ohTrigger(RecalcTrigger,YieldCurve))</f>
        <v>5.9000000000009002E-4</v>
      </c>
      <c r="R27" s="220">
        <f t="shared" si="2"/>
        <v>8.9988780316296868E-17</v>
      </c>
      <c r="U27" s="209" t="str">
        <f t="shared" si="3"/>
        <v>1D</v>
      </c>
      <c r="V27" s="207">
        <f>_xll.qlCalendarAdvance(Calendar,V26,U27,"f",FALSE)</f>
        <v>41810</v>
      </c>
      <c r="W27" s="210">
        <f>_xll.qlCalendarAdvance(Calendar,V27,NDays&amp;"D")</f>
        <v>41810</v>
      </c>
      <c r="X27" s="211">
        <v>9.3090253457717154E-4</v>
      </c>
      <c r="Y27" s="232"/>
    </row>
    <row r="28" spans="12:25" x14ac:dyDescent="0.2">
      <c r="L28" s="209" t="str">
        <f>RateHelpers!E52</f>
        <v>EUR_YCONRH_EON21M</v>
      </c>
      <c r="M28" s="207">
        <f>_xll.qlRateHelperLatestDate(L28,Trigger)</f>
        <v>42431</v>
      </c>
      <c r="N28" s="216">
        <f>_xll.qlRateHelperQuoteValue(L28,_xll.ohTrigger(RecalcTrigger,YieldCurve))</f>
        <v>6.4000000000000005E-4</v>
      </c>
      <c r="O28" s="221" t="s">
        <v>44</v>
      </c>
      <c r="P28" s="218" t="str">
        <f>_xll.qlMakeOIS(,O28,IborIndex,,"0D",,,,_xll.ohTrigger(RecalcTrigger,YieldCurve))</f>
        <v>obj_0067c#0003</v>
      </c>
      <c r="Q28" s="219">
        <f>_xll.qlOvernightIndexedSwapFairRate(P28,_xll.ohTrigger(RecalcTrigger,YieldCurve))</f>
        <v>6.4000000000001447E-4</v>
      </c>
      <c r="R28" s="220">
        <f t="shared" si="2"/>
        <v>1.4419888894057209E-17</v>
      </c>
      <c r="U28" s="209" t="str">
        <f t="shared" si="3"/>
        <v>1D</v>
      </c>
      <c r="V28" s="207">
        <f>_xll.qlCalendarAdvance(Calendar,V27,U28,"f",FALSE)</f>
        <v>41813</v>
      </c>
      <c r="W28" s="210">
        <f>_xll.qlCalendarAdvance(Calendar,V28,NDays&amp;"D")</f>
        <v>41813</v>
      </c>
      <c r="X28" s="211">
        <v>9.0330104356439733E-4</v>
      </c>
      <c r="Y28" s="232"/>
    </row>
    <row r="29" spans="12:25" x14ac:dyDescent="0.2">
      <c r="L29" s="209" t="str">
        <f>RateHelpers!E53</f>
        <v>EUR_YCONRH_EON2Y</v>
      </c>
      <c r="M29" s="207">
        <f>_xll.qlRateHelperLatestDate(L29,Trigger)</f>
        <v>42523</v>
      </c>
      <c r="N29" s="216">
        <f>_xll.qlRateHelperQuoteValue(L29,_xll.ohTrigger(RecalcTrigger,YieldCurve))</f>
        <v>7.1999999999999994E-4</v>
      </c>
      <c r="O29" s="221" t="s">
        <v>43</v>
      </c>
      <c r="P29" s="218" t="str">
        <f>_xll.qlMakeOIS(,O29,IborIndex,,"0D",,,,_xll.ohTrigger(RecalcTrigger,YieldCurve))</f>
        <v>obj_0069b#0003</v>
      </c>
      <c r="Q29" s="219">
        <f>_xll.qlOvernightIndexedSwapFairRate(P29,_xll.ohTrigger(RecalcTrigger,YieldCurve))</f>
        <v>7.1999999999932838E-4</v>
      </c>
      <c r="R29" s="220">
        <f t="shared" si="2"/>
        <v>-6.7155482563752145E-16</v>
      </c>
      <c r="U29" s="209" t="str">
        <f t="shared" si="3"/>
        <v>1D</v>
      </c>
      <c r="V29" s="207">
        <f>_xll.qlCalendarAdvance(Calendar,V28,U29,"f",FALSE)</f>
        <v>41814</v>
      </c>
      <c r="W29" s="210">
        <f>_xll.qlCalendarAdvance(Calendar,V29,NDays&amp;"D")</f>
        <v>41814</v>
      </c>
      <c r="X29" s="211">
        <v>9.0941485901829822E-4</v>
      </c>
      <c r="Y29" s="232"/>
    </row>
    <row r="30" spans="12:25" x14ac:dyDescent="0.2">
      <c r="L30" s="209" t="str">
        <f>RateHelpers!E54</f>
        <v>EUR_YCONRH_EON3Y</v>
      </c>
      <c r="M30" s="207">
        <f>_xll.qlRateHelperLatestDate(L30,Trigger)</f>
        <v>42888</v>
      </c>
      <c r="N30" s="216">
        <f>_xll.qlRateHelperQuoteValue(L30,_xll.ohTrigger(RecalcTrigger,YieldCurve))</f>
        <v>1.5100000000000001E-3</v>
      </c>
      <c r="O30" s="224" t="s">
        <v>42</v>
      </c>
      <c r="P30" s="218" t="str">
        <f>_xll.qlMakeOIS(,O30,IborIndex,,"0D",,,,_xll.ohTrigger(RecalcTrigger,YieldCurve))</f>
        <v>obj_0068c#0003</v>
      </c>
      <c r="Q30" s="219">
        <f>_xll.qlOvernightIndexedSwapFairRate(P30,_xll.ohTrigger(RecalcTrigger,YieldCurve))</f>
        <v>1.5100000000000757E-3</v>
      </c>
      <c r="R30" s="220">
        <f t="shared" si="2"/>
        <v>7.5677311639488209E-17</v>
      </c>
      <c r="U30" s="209" t="str">
        <f t="shared" si="3"/>
        <v>1D</v>
      </c>
      <c r="V30" s="207">
        <f>_xll.qlCalendarAdvance(Calendar,V29,U30,"f",FALSE)</f>
        <v>41815</v>
      </c>
      <c r="W30" s="210">
        <f>_xll.qlCalendarAdvance(Calendar,V30,NDays&amp;"D")</f>
        <v>41815</v>
      </c>
      <c r="X30" s="211">
        <v>9.1647078038548102E-4</v>
      </c>
      <c r="Y30" s="232"/>
    </row>
    <row r="31" spans="12:25" x14ac:dyDescent="0.2">
      <c r="L31" s="209" t="str">
        <f>RateHelpers!E55</f>
        <v>EUR_YCONRH_EON4Y</v>
      </c>
      <c r="M31" s="207">
        <f>_xll.qlRateHelperLatestDate(L31,Trigger)</f>
        <v>43255</v>
      </c>
      <c r="N31" s="216">
        <f>_xll.qlRateHelperQuoteValue(L31,_xll.ohTrigger(RecalcTrigger,YieldCurve))</f>
        <v>2.8800000000000002E-3</v>
      </c>
      <c r="O31" s="224" t="s">
        <v>41</v>
      </c>
      <c r="P31" s="218" t="str">
        <f>_xll.qlMakeOIS(,O31,IborIndex,,"0D",,,,_xll.ohTrigger(RecalcTrigger,YieldCurve))</f>
        <v>obj_0068b#0003</v>
      </c>
      <c r="Q31" s="219">
        <f>_xll.qlOvernightIndexedSwapFairRate(P31,_xll.ohTrigger(RecalcTrigger,YieldCurve))</f>
        <v>2.8799999999999429E-3</v>
      </c>
      <c r="R31" s="220">
        <f t="shared" si="2"/>
        <v>-5.7245874707234634E-17</v>
      </c>
      <c r="S31" s="222"/>
      <c r="U31" s="209" t="str">
        <f t="shared" si="3"/>
        <v>1D</v>
      </c>
      <c r="V31" s="207">
        <f>_xll.qlCalendarAdvance(Calendar,V30,U31,"f",FALSE)</f>
        <v>41816</v>
      </c>
      <c r="W31" s="210">
        <f>_xll.qlCalendarAdvance(Calendar,V31,NDays&amp;"D")</f>
        <v>41816</v>
      </c>
      <c r="X31" s="211">
        <v>9.2446880790575392E-4</v>
      </c>
      <c r="Y31" s="232"/>
    </row>
    <row r="32" spans="12:25" x14ac:dyDescent="0.2">
      <c r="L32" s="209" t="str">
        <f>RateHelpers!E56</f>
        <v>EUR_YCONRH_EON5Y</v>
      </c>
      <c r="M32" s="207">
        <f>_xll.qlRateHelperLatestDate(L32,Trigger)</f>
        <v>43619</v>
      </c>
      <c r="N32" s="216">
        <f>_xll.qlRateHelperQuoteValue(L32,_xll.ohTrigger(RecalcTrigger,YieldCurve))</f>
        <v>4.5299999999999993E-3</v>
      </c>
      <c r="O32" s="224" t="s">
        <v>40</v>
      </c>
      <c r="P32" s="218" t="str">
        <f>_xll.qlMakeOIS(,O32,IborIndex,,"0D",,,,_xll.ohTrigger(RecalcTrigger,YieldCurve))</f>
        <v>obj_0068f#0003</v>
      </c>
      <c r="Q32" s="219">
        <f>_xll.qlOvernightIndexedSwapFairRate(P32,_xll.ohTrigger(RecalcTrigger,YieldCurve))</f>
        <v>4.5299999999999386E-3</v>
      </c>
      <c r="R32" s="220">
        <f t="shared" si="2"/>
        <v>-6.0715321659188248E-17</v>
      </c>
      <c r="S32" s="222"/>
      <c r="U32" s="209" t="str">
        <f t="shared" si="3"/>
        <v>1D</v>
      </c>
      <c r="V32" s="207">
        <f>_xll.qlCalendarAdvance(Calendar,V31,U32,"f",FALSE)</f>
        <v>41817</v>
      </c>
      <c r="W32" s="210">
        <f>_xll.qlCalendarAdvance(Calendar,V32,NDays&amp;"D")</f>
        <v>41817</v>
      </c>
      <c r="X32" s="211">
        <v>9.4360768979839804E-4</v>
      </c>
      <c r="Y32" s="232"/>
    </row>
    <row r="33" spans="12:25" x14ac:dyDescent="0.2">
      <c r="L33" s="209" t="str">
        <f>RateHelpers!E57</f>
        <v>EUR_YCONRH_EON6Y</v>
      </c>
      <c r="M33" s="207">
        <f>_xll.qlRateHelperLatestDate(L33,Trigger)</f>
        <v>43984</v>
      </c>
      <c r="N33" s="216">
        <f>_xll.qlRateHelperQuoteValue(L33,_xll.ohTrigger(RecalcTrigger,YieldCurve))</f>
        <v>6.3200000000000001E-3</v>
      </c>
      <c r="O33" s="224" t="s">
        <v>39</v>
      </c>
      <c r="P33" s="218" t="str">
        <f>_xll.qlMakeOIS(,O33,IborIndex,,"0D",,,,_xll.ohTrigger(RecalcTrigger,YieldCurve))</f>
        <v>obj_0067a#0003</v>
      </c>
      <c r="Q33" s="219">
        <f>_xll.qlOvernightIndexedSwapFairRate(P33,_xll.ohTrigger(RecalcTrigger,YieldCurve))</f>
        <v>6.32000000000002E-3</v>
      </c>
      <c r="R33" s="220">
        <f t="shared" si="2"/>
        <v>1.9949319973733282E-17</v>
      </c>
      <c r="S33" s="222"/>
      <c r="U33" s="209" t="str">
        <f t="shared" si="3"/>
        <v>1D</v>
      </c>
      <c r="V33" s="207">
        <f>_xll.qlCalendarAdvance(Calendar,V32,U33,"f",FALSE)</f>
        <v>41820</v>
      </c>
      <c r="W33" s="210">
        <f>_xll.qlCalendarAdvance(Calendar,V33,NDays&amp;"D")</f>
        <v>41820</v>
      </c>
      <c r="X33" s="211">
        <v>9.658819794378104E-4</v>
      </c>
      <c r="Y33" s="232"/>
    </row>
    <row r="34" spans="12:25" x14ac:dyDescent="0.2">
      <c r="L34" s="209" t="str">
        <f>RateHelpers!E58</f>
        <v>EUR_YCONRH_EON7Y</v>
      </c>
      <c r="M34" s="207">
        <f>_xll.qlRateHelperLatestDate(L34,Trigger)</f>
        <v>44349</v>
      </c>
      <c r="N34" s="216">
        <f>_xll.qlRateHelperQuoteValue(L34,_xll.ohTrigger(RecalcTrigger,YieldCurve))</f>
        <v>8.09E-3</v>
      </c>
      <c r="O34" s="224" t="s">
        <v>38</v>
      </c>
      <c r="P34" s="218" t="str">
        <f>_xll.qlMakeOIS(,O34,IborIndex,,"0D",,,,_xll.ohTrigger(RecalcTrigger,YieldCurve))</f>
        <v>obj_00686#0003</v>
      </c>
      <c r="Q34" s="219">
        <f>_xll.qlOvernightIndexedSwapFairRate(P34,_xll.ohTrigger(RecalcTrigger,YieldCurve))</f>
        <v>8.0900000000000433E-3</v>
      </c>
      <c r="R34" s="220">
        <f t="shared" si="2"/>
        <v>4.3368086899420177E-17</v>
      </c>
      <c r="U34" s="209" t="str">
        <f t="shared" si="3"/>
        <v>1D</v>
      </c>
      <c r="V34" s="207">
        <f>_xll.qlCalendarAdvance(Calendar,V33,U34,"f",FALSE)</f>
        <v>41821</v>
      </c>
      <c r="W34" s="210">
        <f>_xll.qlCalendarAdvance(Calendar,V34,NDays&amp;"D")</f>
        <v>41821</v>
      </c>
      <c r="X34" s="211">
        <v>9.7859053828308618E-4</v>
      </c>
      <c r="Y34" s="232"/>
    </row>
    <row r="35" spans="12:25" x14ac:dyDescent="0.2">
      <c r="L35" s="209" t="str">
        <f>RateHelpers!E59</f>
        <v>EUR_YCONRH_EON8Y</v>
      </c>
      <c r="M35" s="207">
        <f>_xll.qlRateHelperLatestDate(L35,Trigger)</f>
        <v>44714</v>
      </c>
      <c r="N35" s="216">
        <f>_xll.qlRateHelperQuoteValue(L35,_xll.ohTrigger(RecalcTrigger,YieldCurve))</f>
        <v>9.7999999999999997E-3</v>
      </c>
      <c r="O35" s="221" t="s">
        <v>37</v>
      </c>
      <c r="P35" s="218" t="str">
        <f>_xll.qlMakeOIS(,O35,IborIndex,,"0D",,,,_xll.ohTrigger(RecalcTrigger,YieldCurve))</f>
        <v>obj_00695#0003</v>
      </c>
      <c r="Q35" s="219">
        <f>_xll.qlOvernightIndexedSwapFairRate(P35,_xll.ohTrigger(RecalcTrigger,YieldCurve))</f>
        <v>9.8000000000000032E-3</v>
      </c>
      <c r="R35" s="220">
        <f t="shared" si="2"/>
        <v>0</v>
      </c>
      <c r="U35" s="209" t="str">
        <f t="shared" si="3"/>
        <v>1D</v>
      </c>
      <c r="V35" s="207">
        <f>_xll.qlCalendarAdvance(Calendar,V34,U35,"f",FALSE)</f>
        <v>41822</v>
      </c>
      <c r="W35" s="210">
        <f>_xll.qlCalendarAdvance(Calendar,V35,NDays&amp;"D")</f>
        <v>41822</v>
      </c>
      <c r="X35" s="211">
        <v>9.9191826808286976E-4</v>
      </c>
      <c r="Y35" s="232"/>
    </row>
    <row r="36" spans="12:25" x14ac:dyDescent="0.2">
      <c r="L36" s="209" t="str">
        <f>RateHelpers!E60</f>
        <v>EUR_YCONRH_EON9Y</v>
      </c>
      <c r="M36" s="207">
        <f>_xll.qlRateHelperLatestDate(L36,Trigger)</f>
        <v>45079</v>
      </c>
      <c r="N36" s="216">
        <f>_xll.qlRateHelperQuoteValue(L36,_xll.ohTrigger(RecalcTrigger,YieldCurve))</f>
        <v>1.1350000000000001E-2</v>
      </c>
      <c r="O36" s="221" t="s">
        <v>36</v>
      </c>
      <c r="P36" s="218" t="str">
        <f>_xll.qlMakeOIS(,O36,IborIndex,,"0D",,,,_xll.ohTrigger(RecalcTrigger,YieldCurve))</f>
        <v>obj_00682#0003</v>
      </c>
      <c r="Q36" s="219">
        <f>_xll.qlOvernightIndexedSwapFairRate(P36,_xll.ohTrigger(RecalcTrigger,YieldCurve))</f>
        <v>1.1350000000000051E-2</v>
      </c>
      <c r="R36" s="220">
        <f t="shared" si="2"/>
        <v>5.0306980803327406E-17</v>
      </c>
      <c r="S36" s="222"/>
      <c r="U36" s="209" t="str">
        <f t="shared" si="3"/>
        <v>1D</v>
      </c>
      <c r="V36" s="207">
        <f>_xll.qlCalendarAdvance(Calendar,V35,U36,"f",FALSE)</f>
        <v>41823</v>
      </c>
      <c r="W36" s="210">
        <f>_xll.qlCalendarAdvance(Calendar,V36,NDays&amp;"D")</f>
        <v>41823</v>
      </c>
      <c r="X36" s="211">
        <v>1.0045734273234075E-3</v>
      </c>
      <c r="Y36" s="232"/>
    </row>
    <row r="37" spans="12:25" x14ac:dyDescent="0.2">
      <c r="L37" s="209" t="str">
        <f>RateHelpers!E61</f>
        <v>EUR_YCONRH_EON10Y</v>
      </c>
      <c r="M37" s="207">
        <f>_xll.qlRateHelperLatestDate(L37,Trigger)</f>
        <v>45446</v>
      </c>
      <c r="N37" s="216">
        <f>_xll.qlRateHelperQuoteValue(L37,_xll.ohTrigger(RecalcTrigger,YieldCurve))</f>
        <v>1.2730000000000002E-2</v>
      </c>
      <c r="O37" s="221" t="s">
        <v>35</v>
      </c>
      <c r="P37" s="218" t="str">
        <f>_xll.qlMakeOIS(,O37,IborIndex,,"0D",,,,_xll.ohTrigger(RecalcTrigger,YieldCurve))</f>
        <v>obj_00696#0003</v>
      </c>
      <c r="Q37" s="219">
        <f>_xll.qlOvernightIndexedSwapFairRate(P37,_xll.ohTrigger(RecalcTrigger,YieldCurve))</f>
        <v>1.2729999999999983E-2</v>
      </c>
      <c r="R37" s="220">
        <f t="shared" si="2"/>
        <v>-1.9081958235744878E-17</v>
      </c>
      <c r="S37" s="222"/>
      <c r="U37" s="209" t="str">
        <f t="shared" si="3"/>
        <v>1D</v>
      </c>
      <c r="V37" s="207">
        <f>_xll.qlCalendarAdvance(Calendar,V36,U37,"f",FALSE)</f>
        <v>41824</v>
      </c>
      <c r="W37" s="210">
        <f>_xll.qlCalendarAdvance(Calendar,V37,NDays&amp;"D")</f>
        <v>41824</v>
      </c>
      <c r="X37" s="211">
        <v>1.0265683190180397E-3</v>
      </c>
      <c r="Y37" s="232"/>
    </row>
    <row r="38" spans="12:25" x14ac:dyDescent="0.2">
      <c r="L38" s="209" t="str">
        <f>RateHelpers!E62</f>
        <v>EUR_YCONRH_EON11Y</v>
      </c>
      <c r="M38" s="207">
        <f>_xll.qlRateHelperLatestDate(L38,Trigger)</f>
        <v>45810</v>
      </c>
      <c r="N38" s="216">
        <f>_xll.qlRateHelperQuoteValue(L38,_xll.ohTrigger(RecalcTrigger,YieldCurve))</f>
        <v>1.3980000000000001E-2</v>
      </c>
      <c r="O38" s="221" t="s">
        <v>34</v>
      </c>
      <c r="P38" s="218" t="str">
        <f>_xll.qlMakeOIS(,O38,IborIndex,,"0D",,,,_xll.ohTrigger(RecalcTrigger,YieldCurve))</f>
        <v>obj_00698#0003</v>
      </c>
      <c r="Q38" s="219">
        <f>_xll.qlOvernightIndexedSwapFairRate(P38,_xll.ohTrigger(RecalcTrigger,YieldCurve))</f>
        <v>1.3980000000000057E-2</v>
      </c>
      <c r="R38" s="220">
        <f t="shared" si="2"/>
        <v>5.5511151231257827E-17</v>
      </c>
      <c r="S38" s="222"/>
      <c r="U38" s="209" t="str">
        <f t="shared" si="3"/>
        <v>1D</v>
      </c>
      <c r="V38" s="207">
        <f>_xll.qlCalendarAdvance(Calendar,V37,U38,"f",FALSE)</f>
        <v>41827</v>
      </c>
      <c r="W38" s="210">
        <f>_xll.qlCalendarAdvance(Calendar,V38,NDays&amp;"D")</f>
        <v>41827</v>
      </c>
      <c r="X38" s="211">
        <v>1.0452390017512414E-3</v>
      </c>
      <c r="Y38" s="232"/>
    </row>
    <row r="39" spans="12:25" x14ac:dyDescent="0.2">
      <c r="L39" s="209" t="str">
        <f>RateHelpers!E63</f>
        <v>EUR_YCONRH_EON12Y</v>
      </c>
      <c r="M39" s="207">
        <f>_xll.qlRateHelperLatestDate(L39,Trigger)</f>
        <v>46175</v>
      </c>
      <c r="N39" s="216">
        <f>_xll.qlRateHelperQuoteValue(L39,_xll.ohTrigger(RecalcTrigger,YieldCurve))</f>
        <v>1.5089999999999999E-2</v>
      </c>
      <c r="O39" s="221" t="s">
        <v>33</v>
      </c>
      <c r="P39" s="218" t="str">
        <f>_xll.qlMakeOIS(,O39,IborIndex,,"0D",,,,_xll.ohTrigger(RecalcTrigger,YieldCurve))</f>
        <v>obj_00683#0003</v>
      </c>
      <c r="Q39" s="219">
        <f>_xll.qlOvernightIndexedSwapFairRate(P39,_xll.ohTrigger(RecalcTrigger,YieldCurve))</f>
        <v>1.5090000000000011E-2</v>
      </c>
      <c r="R39" s="220">
        <f t="shared" si="2"/>
        <v>0</v>
      </c>
      <c r="S39" s="222"/>
      <c r="U39" s="209" t="str">
        <f t="shared" si="3"/>
        <v>1D</v>
      </c>
      <c r="V39" s="207">
        <f>_xll.qlCalendarAdvance(Calendar,V38,U39,"f",FALSE)</f>
        <v>41828</v>
      </c>
      <c r="W39" s="210">
        <f>_xll.qlCalendarAdvance(Calendar,V39,NDays&amp;"D")</f>
        <v>41828</v>
      </c>
      <c r="X39" s="211">
        <v>1.0529166293249403E-3</v>
      </c>
      <c r="Y39" s="232"/>
    </row>
    <row r="40" spans="12:25" x14ac:dyDescent="0.2">
      <c r="L40" s="209" t="str">
        <f>RateHelpers!E66</f>
        <v>EUR_YCONRH_EON15Y</v>
      </c>
      <c r="M40" s="207">
        <f>_xll.qlRateHelperLatestDate(L40,Trigger)</f>
        <v>47273</v>
      </c>
      <c r="N40" s="216">
        <f>_xll.qlRateHelperQuoteValue(L40,_xll.ohTrigger(RecalcTrigger,YieldCurve))</f>
        <v>1.7639999999999999E-2</v>
      </c>
      <c r="O40" s="221" t="s">
        <v>30</v>
      </c>
      <c r="P40" s="218" t="str">
        <f>_xll.qlMakeOIS(,O40,IborIndex,,"0D",,,,_xll.ohTrigger(RecalcTrigger,YieldCurve))</f>
        <v>obj_00690#0003</v>
      </c>
      <c r="Q40" s="219">
        <f>_xll.qlOvernightIndexedSwapFairRate(P40,_xll.ohTrigger(RecalcTrigger,YieldCurve))</f>
        <v>1.7639999999958359E-2</v>
      </c>
      <c r="R40" s="220">
        <f t="shared" si="2"/>
        <v>-4.1640302317347277E-14</v>
      </c>
      <c r="S40" s="222"/>
      <c r="U40" s="209" t="str">
        <f t="shared" si="3"/>
        <v>1D</v>
      </c>
      <c r="V40" s="207">
        <f>_xll.qlCalendarAdvance(Calendar,V39,U40,"f",FALSE)</f>
        <v>41829</v>
      </c>
      <c r="W40" s="210">
        <f>_xll.qlCalendarAdvance(Calendar,V40,NDays&amp;"D")</f>
        <v>41829</v>
      </c>
      <c r="X40" s="211">
        <v>1.0595987503414506E-3</v>
      </c>
      <c r="Y40" s="232"/>
    </row>
    <row r="41" spans="12:25" x14ac:dyDescent="0.2">
      <c r="L41" s="209" t="str">
        <f>RateHelpers!E71</f>
        <v>EUR_YCONRH_EON20Y</v>
      </c>
      <c r="M41" s="207">
        <f>_xll.qlRateHelperLatestDate(L41,Trigger)</f>
        <v>49097</v>
      </c>
      <c r="N41" s="216">
        <f>_xll.qlRateHelperQuoteValue(L41,_xll.ohTrigger(RecalcTrigger,YieldCurve))</f>
        <v>1.976E-2</v>
      </c>
      <c r="O41" s="221" t="s">
        <v>25</v>
      </c>
      <c r="P41" s="218" t="str">
        <f>_xll.qlMakeOIS(,O41,IborIndex,,"0D",,,,_xll.ohTrigger(RecalcTrigger,YieldCurve))</f>
        <v>obj_0067d#0003</v>
      </c>
      <c r="Q41" s="219">
        <f>_xll.qlOvernightIndexedSwapFairRate(P41,_xll.ohTrigger(RecalcTrigger,YieldCurve))</f>
        <v>1.9759999999987846E-2</v>
      </c>
      <c r="R41" s="220">
        <f t="shared" si="2"/>
        <v>-1.2153472672693511E-14</v>
      </c>
      <c r="S41" s="222"/>
      <c r="U41" s="209" t="str">
        <f t="shared" si="3"/>
        <v>1D</v>
      </c>
      <c r="V41" s="207">
        <f>_xll.qlCalendarAdvance(Calendar,V40,U41,"f",FALSE)</f>
        <v>41830</v>
      </c>
      <c r="W41" s="210">
        <f>_xll.qlCalendarAdvance(Calendar,V41,NDays&amp;"D")</f>
        <v>41830</v>
      </c>
      <c r="X41" s="211">
        <v>1.065285364720836E-3</v>
      </c>
      <c r="Y41" s="232"/>
    </row>
    <row r="42" spans="12:25" x14ac:dyDescent="0.2">
      <c r="L42" s="209" t="str">
        <f>RateHelpers!E76</f>
        <v>EUR_YCONRH_EON25Y</v>
      </c>
      <c r="M42" s="207">
        <f>_xll.qlRateHelperLatestDate(L42,Trigger)</f>
        <v>50923</v>
      </c>
      <c r="N42" s="216">
        <f>_xll.qlRateHelperQuoteValue(L42,_xll.ohTrigger(RecalcTrigger,YieldCurve))</f>
        <v>2.061E-2</v>
      </c>
      <c r="O42" s="221" t="s">
        <v>20</v>
      </c>
      <c r="P42" s="218" t="str">
        <f>_xll.qlMakeOIS(,O42,IborIndex,,"0D",,,,_xll.ohTrigger(RecalcTrigger,YieldCurve))</f>
        <v>obj_00699#0003</v>
      </c>
      <c r="Q42" s="219">
        <f>_xll.qlOvernightIndexedSwapFairRate(P42,_xll.ohTrigger(RecalcTrigger,YieldCurve))</f>
        <v>2.0610000000001568E-2</v>
      </c>
      <c r="R42" s="220">
        <f t="shared" si="2"/>
        <v>1.5681900222830336E-15</v>
      </c>
      <c r="S42" s="222"/>
      <c r="U42" s="209" t="str">
        <f t="shared" si="3"/>
        <v>1D</v>
      </c>
      <c r="V42" s="207">
        <f>_xll.qlCalendarAdvance(Calendar,V41,U42,"f",FALSE)</f>
        <v>41831</v>
      </c>
      <c r="W42" s="210">
        <f>_xll.qlCalendarAdvance(Calendar,V42,NDays&amp;"D")</f>
        <v>41831</v>
      </c>
      <c r="X42" s="211">
        <v>1.0733434381560158E-3</v>
      </c>
      <c r="Y42" s="232"/>
    </row>
    <row r="43" spans="12:25" x14ac:dyDescent="0.2">
      <c r="L43" s="209" t="str">
        <f>RateHelpers!E81</f>
        <v>EUR_YCONRH_EON30Y</v>
      </c>
      <c r="M43" s="207">
        <f>_xll.qlRateHelperLatestDate(L43,Trigger)</f>
        <v>52750</v>
      </c>
      <c r="N43" s="216">
        <f>_xll.qlRateHelperQuoteValue(L43,_xll.ohTrigger(RecalcTrigger,YieldCurve))</f>
        <v>2.0899999999999998E-2</v>
      </c>
      <c r="O43" s="221" t="s">
        <v>15</v>
      </c>
      <c r="P43" s="218" t="str">
        <f>_xll.qlMakeOIS(,O43,IborIndex,,"0D",,,,_xll.ohTrigger(RecalcTrigger,YieldCurve))</f>
        <v>obj_0067e#0003</v>
      </c>
      <c r="Q43" s="219">
        <f>_xll.qlOvernightIndexedSwapFairRate(P43,_xll.ohTrigger(RecalcTrigger,YieldCurve))</f>
        <v>2.0900000000030731E-2</v>
      </c>
      <c r="R43" s="220">
        <f t="shared" si="2"/>
        <v>3.0732361100405114E-14</v>
      </c>
      <c r="S43" s="222"/>
      <c r="U43" s="209" t="str">
        <f t="shared" si="3"/>
        <v>1D</v>
      </c>
      <c r="V43" s="207">
        <f>_xll.qlCalendarAdvance(Calendar,V42,U43,"f",FALSE)</f>
        <v>41834</v>
      </c>
      <c r="W43" s="210">
        <f>_xll.qlCalendarAdvance(Calendar,V43,NDays&amp;"D")</f>
        <v>41834</v>
      </c>
      <c r="X43" s="211">
        <v>1.0780767554674497E-3</v>
      </c>
      <c r="Y43" s="232"/>
    </row>
    <row r="44" spans="12:25" x14ac:dyDescent="0.2">
      <c r="L44" s="209" t="str">
        <f>RateHelpers!E83</f>
        <v>EUR_YCONRH_EON40Y</v>
      </c>
      <c r="M44" s="207">
        <f>_xll.qlRateHelperLatestDate(L44,Trigger)</f>
        <v>56402</v>
      </c>
      <c r="N44" s="216">
        <f>_xll.qlRateHelperQuoteValue(L44,_xll.ohTrigger(RecalcTrigger,YieldCurve))</f>
        <v>2.1349999999999997E-2</v>
      </c>
      <c r="O44" s="221" t="s">
        <v>13</v>
      </c>
      <c r="P44" s="218" t="str">
        <f>_xll.qlMakeOIS(,O44,IborIndex,,"0D",,,,_xll.ohTrigger(RecalcTrigger,YieldCurve))</f>
        <v>obj_00693#0003</v>
      </c>
      <c r="Q44" s="219">
        <f>_xll.qlOvernightIndexedSwapFairRate(P44,_xll.ohTrigger(RecalcTrigger,YieldCurve))</f>
        <v>2.1349999999993367E-2</v>
      </c>
      <c r="R44" s="220">
        <f t="shared" si="2"/>
        <v>-6.6301131251833567E-15</v>
      </c>
      <c r="S44" s="222"/>
      <c r="U44" s="209" t="str">
        <f t="shared" si="3"/>
        <v>1D</v>
      </c>
      <c r="V44" s="207">
        <f>_xll.qlCalendarAdvance(Calendar,V43,U44,"f",FALSE)</f>
        <v>41835</v>
      </c>
      <c r="W44" s="210">
        <f>_xll.qlCalendarAdvance(Calendar,V44,NDays&amp;"D")</f>
        <v>41835</v>
      </c>
      <c r="X44" s="211">
        <v>1.078785836261531E-3</v>
      </c>
      <c r="Y44" s="232"/>
    </row>
    <row r="45" spans="12:25" x14ac:dyDescent="0.2">
      <c r="L45" s="209" t="str">
        <f>RateHelpers!E84</f>
        <v>EUR_YCONRH_EON50Y</v>
      </c>
      <c r="M45" s="207">
        <f>_xll.qlRateHelperLatestDate(L45,Trigger)</f>
        <v>60055</v>
      </c>
      <c r="N45" s="216">
        <f>_xll.qlRateHelperQuoteValue(L45,_xll.ohTrigger(RecalcTrigger,YieldCurve))</f>
        <v>2.1520000000000001E-2</v>
      </c>
      <c r="O45" s="221" t="s">
        <v>12</v>
      </c>
      <c r="P45" s="218" t="str">
        <f>_xll.qlMakeOIS(,O45,IborIndex,,"0D",,,,_xll.ohTrigger(RecalcTrigger,YieldCurve))</f>
        <v>obj_0069a#0003</v>
      </c>
      <c r="Q45" s="219">
        <f>_xll.qlOvernightIndexedSwapFairRate(P45,_xll.ohTrigger(RecalcTrigger,YieldCurve))</f>
        <v>2.1519999999982765E-2</v>
      </c>
      <c r="R45" s="220">
        <f t="shared" si="2"/>
        <v>-1.7236212457305555E-14</v>
      </c>
      <c r="S45" s="222"/>
      <c r="U45" s="209" t="str">
        <f t="shared" si="3"/>
        <v>1D</v>
      </c>
      <c r="V45" s="207">
        <f>_xll.qlCalendarAdvance(Calendar,V44,U45,"f",FALSE)</f>
        <v>41836</v>
      </c>
      <c r="W45" s="210">
        <f>_xll.qlCalendarAdvance(Calendar,V45,NDays&amp;"D")</f>
        <v>41836</v>
      </c>
      <c r="X45" s="211">
        <v>1.0784994103385515E-3</v>
      </c>
      <c r="Y45" s="232"/>
    </row>
    <row r="46" spans="12:25" ht="12" thickBot="1" x14ac:dyDescent="0.25">
      <c r="L46" s="225" t="str">
        <f>RateHelpers!E85</f>
        <v>EUR_YCONRH_EON60Y</v>
      </c>
      <c r="M46" s="213">
        <f>_xll.qlRateHelperLatestDate(L46,Trigger)</f>
        <v>63709</v>
      </c>
      <c r="N46" s="226">
        <f>_xll.qlRateHelperQuoteValue(L46,_xll.ohTrigger(RecalcTrigger,YieldCurve))</f>
        <v>2.1760000000000002E-2</v>
      </c>
      <c r="O46" s="227" t="s">
        <v>11</v>
      </c>
      <c r="P46" s="228" t="str">
        <f>_xll.qlMakeOIS(,O46,IborIndex,,"0D",,,,_xll.ohTrigger(RecalcTrigger,YieldCurve))</f>
        <v>obj_00685#0003</v>
      </c>
      <c r="Q46" s="229">
        <f>_xll.qlOvernightIndexedSwapFairRate(P46,_xll.ohTrigger(RecalcTrigger,YieldCurve))</f>
        <v>2.1759999999996515E-2</v>
      </c>
      <c r="R46" s="230">
        <f t="shared" si="2"/>
        <v>-3.4867941867133823E-15</v>
      </c>
      <c r="S46" s="222"/>
      <c r="U46" s="209" t="str">
        <f t="shared" si="3"/>
        <v>1D</v>
      </c>
      <c r="V46" s="207">
        <f>_xll.qlCalendarAdvance(Calendar,V45,U46,"f",FALSE)</f>
        <v>41837</v>
      </c>
      <c r="W46" s="210">
        <f>_xll.qlCalendarAdvance(Calendar,V46,NDays&amp;"D")</f>
        <v>41837</v>
      </c>
      <c r="X46" s="211">
        <v>1.077217477618575E-3</v>
      </c>
      <c r="Y46" s="232"/>
    </row>
    <row r="47" spans="12:25" x14ac:dyDescent="0.2">
      <c r="M47" s="207"/>
      <c r="N47" s="216"/>
      <c r="S47" s="222"/>
      <c r="U47" s="209" t="str">
        <f t="shared" si="3"/>
        <v>1D</v>
      </c>
      <c r="V47" s="207">
        <f>_xll.qlCalendarAdvance(Calendar,V46,U47,"f",FALSE)</f>
        <v>41838</v>
      </c>
      <c r="W47" s="210">
        <f>_xll.qlCalendarAdvance(Calendar,V47,NDays&amp;"D")</f>
        <v>41838</v>
      </c>
      <c r="X47" s="211">
        <v>1.0713384445715235E-3</v>
      </c>
      <c r="Y47" s="232"/>
    </row>
    <row r="48" spans="12:25" x14ac:dyDescent="0.2">
      <c r="M48" s="207"/>
      <c r="N48" s="216"/>
      <c r="S48" s="222"/>
      <c r="U48" s="209" t="str">
        <f t="shared" si="3"/>
        <v>1D</v>
      </c>
      <c r="V48" s="207">
        <f>_xll.qlCalendarAdvance(Calendar,V47,U48,"f",FALSE)</f>
        <v>41841</v>
      </c>
      <c r="W48" s="210">
        <f>_xll.qlCalendarAdvance(Calendar,V48,NDays&amp;"D")</f>
        <v>41841</v>
      </c>
      <c r="X48" s="211">
        <v>1.0621346794081887E-3</v>
      </c>
      <c r="Y48" s="232"/>
    </row>
    <row r="49" spans="13:25" x14ac:dyDescent="0.2">
      <c r="M49" s="207"/>
      <c r="N49" s="216"/>
      <c r="S49" s="222"/>
      <c r="U49" s="209" t="str">
        <f t="shared" si="3"/>
        <v>1D</v>
      </c>
      <c r="V49" s="207">
        <f>_xll.qlCalendarAdvance(Calendar,V48,U49,"f",FALSE)</f>
        <v>41842</v>
      </c>
      <c r="W49" s="210">
        <f>_xll.qlCalendarAdvance(Calendar,V49,NDays&amp;"D")</f>
        <v>41842</v>
      </c>
      <c r="X49" s="211">
        <v>1.0558752131828442E-3</v>
      </c>
      <c r="Y49" s="232"/>
    </row>
    <row r="50" spans="13:25" x14ac:dyDescent="0.2">
      <c r="S50" s="222"/>
      <c r="U50" s="209" t="str">
        <f t="shared" si="3"/>
        <v>1D</v>
      </c>
      <c r="V50" s="207">
        <f>_xll.qlCalendarAdvance(Calendar,V49,U50,"f",FALSE)</f>
        <v>41843</v>
      </c>
      <c r="W50" s="210">
        <f>_xll.qlCalendarAdvance(Calendar,V50,NDays&amp;"D")</f>
        <v>41843</v>
      </c>
      <c r="X50" s="211">
        <v>1.0486202404003109E-3</v>
      </c>
      <c r="Y50" s="232"/>
    </row>
    <row r="51" spans="13:25" x14ac:dyDescent="0.2">
      <c r="S51" s="222"/>
      <c r="U51" s="209" t="str">
        <f t="shared" si="3"/>
        <v>1D</v>
      </c>
      <c r="V51" s="207">
        <f>_xll.qlCalendarAdvance(Calendar,V50,U51,"f",FALSE)</f>
        <v>41844</v>
      </c>
      <c r="W51" s="210">
        <f>_xll.qlCalendarAdvance(Calendar,V51,NDays&amp;"D")</f>
        <v>41844</v>
      </c>
      <c r="X51" s="211">
        <v>1.0403697610605889E-3</v>
      </c>
      <c r="Y51" s="232"/>
    </row>
    <row r="52" spans="13:25" x14ac:dyDescent="0.2">
      <c r="S52" s="222"/>
      <c r="U52" s="209" t="str">
        <f t="shared" si="3"/>
        <v>1D</v>
      </c>
      <c r="V52" s="207">
        <f>_xll.qlCalendarAdvance(Calendar,V51,U52,"f",FALSE)</f>
        <v>41845</v>
      </c>
      <c r="W52" s="210">
        <f>_xll.qlCalendarAdvance(Calendar,V52,NDays&amp;"D")</f>
        <v>41845</v>
      </c>
      <c r="X52" s="211">
        <v>1.0205533407159351E-3</v>
      </c>
      <c r="Y52" s="232"/>
    </row>
    <row r="53" spans="13:25" x14ac:dyDescent="0.2">
      <c r="S53" s="222"/>
      <c r="U53" s="209" t="str">
        <f t="shared" si="3"/>
        <v>1D</v>
      </c>
      <c r="V53" s="207">
        <f>_xll.qlCalendarAdvance(Calendar,V52,U53,"f",FALSE)</f>
        <v>41848</v>
      </c>
      <c r="W53" s="210">
        <f>_xll.qlCalendarAdvance(Calendar,V53,NDays&amp;"D")</f>
        <v>41848</v>
      </c>
      <c r="X53" s="211">
        <v>9.9741278004827905E-4</v>
      </c>
      <c r="Y53" s="232"/>
    </row>
    <row r="54" spans="13:25" x14ac:dyDescent="0.2">
      <c r="S54" s="222"/>
      <c r="U54" s="209" t="str">
        <f t="shared" si="3"/>
        <v>1D</v>
      </c>
      <c r="V54" s="207">
        <f>_xll.qlCalendarAdvance(Calendar,V53,U54,"f",FALSE)</f>
        <v>41849</v>
      </c>
      <c r="W54" s="210">
        <f>_xll.qlCalendarAdvance(Calendar,V54,NDays&amp;"D")</f>
        <v>41849</v>
      </c>
      <c r="X54" s="211">
        <v>9.8418476928152643E-4</v>
      </c>
      <c r="Y54" s="232"/>
    </row>
    <row r="55" spans="13:25" x14ac:dyDescent="0.2">
      <c r="S55" s="222"/>
      <c r="U55" s="209" t="str">
        <f t="shared" si="3"/>
        <v>1D</v>
      </c>
      <c r="V55" s="207">
        <f>_xll.qlCalendarAdvance(Calendar,V54,U55,"f",FALSE)</f>
        <v>41850</v>
      </c>
      <c r="W55" s="210">
        <f>_xll.qlCalendarAdvance(Calendar,V55,NDays&amp;"D")</f>
        <v>41850</v>
      </c>
      <c r="X55" s="211">
        <v>9.6996125259707355E-4</v>
      </c>
      <c r="Y55" s="232"/>
    </row>
    <row r="56" spans="13:25" x14ac:dyDescent="0.2">
      <c r="S56" s="222"/>
      <c r="U56" s="209" t="str">
        <f t="shared" si="3"/>
        <v>1D</v>
      </c>
      <c r="V56" s="207">
        <f>_xll.qlCalendarAdvance(Calendar,V55,U56,"f",FALSE)</f>
        <v>41851</v>
      </c>
      <c r="W56" s="210">
        <f>_xll.qlCalendarAdvance(Calendar,V56,NDays&amp;"D")</f>
        <v>41851</v>
      </c>
      <c r="X56" s="211">
        <v>9.5474223007485648E-4</v>
      </c>
      <c r="Y56" s="232"/>
    </row>
    <row r="57" spans="13:25" x14ac:dyDescent="0.2">
      <c r="S57" s="222"/>
      <c r="U57" s="209" t="str">
        <f t="shared" si="3"/>
        <v>1D</v>
      </c>
      <c r="V57" s="207">
        <f>_xll.qlCalendarAdvance(Calendar,V56,U57,"f",FALSE)</f>
        <v>41852</v>
      </c>
      <c r="W57" s="210">
        <f>_xll.qlCalendarAdvance(Calendar,V57,NDays&amp;"D")</f>
        <v>41852</v>
      </c>
      <c r="X57" s="211">
        <v>9.2098818851304998E-4</v>
      </c>
      <c r="Y57" s="232"/>
    </row>
    <row r="58" spans="13:25" x14ac:dyDescent="0.2">
      <c r="S58" s="222"/>
      <c r="U58" s="209" t="str">
        <f t="shared" si="3"/>
        <v>1D</v>
      </c>
      <c r="V58" s="207">
        <f>_xll.qlCalendarAdvance(Calendar,V57,U58,"f",FALSE)</f>
        <v>41855</v>
      </c>
      <c r="W58" s="210">
        <f>_xll.qlCalendarAdvance(Calendar,V58,NDays&amp;"D")</f>
        <v>41855</v>
      </c>
      <c r="X58" s="211">
        <v>8.8420992551796473E-4</v>
      </c>
      <c r="Y58" s="232"/>
    </row>
    <row r="59" spans="13:25" x14ac:dyDescent="0.2">
      <c r="S59" s="222"/>
      <c r="U59" s="209" t="str">
        <f t="shared" si="3"/>
        <v>1D</v>
      </c>
      <c r="V59" s="207">
        <f>_xll.qlCalendarAdvance(Calendar,V58,U59,"f",FALSE)</f>
        <v>41856</v>
      </c>
      <c r="W59" s="210">
        <f>_xll.qlCalendarAdvance(Calendar,V59,NDays&amp;"D")</f>
        <v>41856</v>
      </c>
      <c r="X59" s="211">
        <v>8.6580642647327011E-4</v>
      </c>
      <c r="Y59" s="232"/>
    </row>
    <row r="60" spans="13:25" x14ac:dyDescent="0.2">
      <c r="S60" s="222"/>
      <c r="U60" s="209" t="str">
        <f t="shared" si="3"/>
        <v>1D</v>
      </c>
      <c r="V60" s="207">
        <f>_xll.qlCalendarAdvance(Calendar,V59,U60,"f",FALSE)</f>
        <v>41857</v>
      </c>
      <c r="W60" s="210">
        <f>_xll.qlCalendarAdvance(Calendar,V60,NDays&amp;"D")</f>
        <v>41857</v>
      </c>
      <c r="X60" s="211">
        <v>8.482004729781778E-4</v>
      </c>
      <c r="Y60" s="232"/>
    </row>
    <row r="61" spans="13:25" x14ac:dyDescent="0.2">
      <c r="S61" s="222"/>
      <c r="U61" s="209" t="str">
        <f t="shared" si="3"/>
        <v>1D</v>
      </c>
      <c r="V61" s="207">
        <f>_xll.qlCalendarAdvance(Calendar,V60,U61,"f",FALSE)</f>
        <v>41858</v>
      </c>
      <c r="W61" s="210">
        <f>_xll.qlCalendarAdvance(Calendar,V61,NDays&amp;"D")</f>
        <v>41858</v>
      </c>
      <c r="X61" s="211">
        <v>8.3139206487281569E-4</v>
      </c>
      <c r="Y61" s="232"/>
    </row>
    <row r="62" spans="13:25" x14ac:dyDescent="0.2">
      <c r="S62" s="222"/>
      <c r="U62" s="209" t="str">
        <f t="shared" si="3"/>
        <v>1D</v>
      </c>
      <c r="V62" s="207">
        <f>_xll.qlCalendarAdvance(Calendar,V61,U62,"f",FALSE)</f>
        <v>41859</v>
      </c>
      <c r="W62" s="210">
        <f>_xll.qlCalendarAdvance(Calendar,V62,NDays&amp;"D")</f>
        <v>41859</v>
      </c>
      <c r="X62" s="211">
        <v>8.0043551237807264E-4</v>
      </c>
      <c r="Y62" s="232"/>
    </row>
    <row r="63" spans="13:25" x14ac:dyDescent="0.2">
      <c r="S63" s="222"/>
      <c r="U63" s="209" t="str">
        <f t="shared" si="3"/>
        <v>1D</v>
      </c>
      <c r="V63" s="207">
        <f>_xll.qlCalendarAdvance(Calendar,V62,U63,"f",FALSE)</f>
        <v>41862</v>
      </c>
      <c r="W63" s="210">
        <f>_xll.qlCalendarAdvance(Calendar,V63,NDays&amp;"D")</f>
        <v>41862</v>
      </c>
      <c r="X63" s="211">
        <v>7.7213388451013998E-4</v>
      </c>
      <c r="Y63" s="232"/>
    </row>
    <row r="64" spans="13:25" x14ac:dyDescent="0.2">
      <c r="S64" s="222"/>
      <c r="U64" s="209" t="str">
        <f t="shared" si="3"/>
        <v>1D</v>
      </c>
      <c r="V64" s="207">
        <f>_xll.qlCalendarAdvance(Calendar,V63,U64,"f",FALSE)</f>
        <v>41863</v>
      </c>
      <c r="W64" s="210">
        <f>_xll.qlCalendarAdvance(Calendar,V64,NDays&amp;"D")</f>
        <v>41863</v>
      </c>
      <c r="X64" s="211">
        <v>7.5931320199451591E-4</v>
      </c>
      <c r="Y64" s="232"/>
    </row>
    <row r="65" spans="19:25" x14ac:dyDescent="0.2">
      <c r="S65" s="222"/>
      <c r="U65" s="209" t="str">
        <f t="shared" si="3"/>
        <v>1D</v>
      </c>
      <c r="V65" s="207">
        <f>_xll.qlCalendarAdvance(Calendar,V64,U65,"f",FALSE)</f>
        <v>41864</v>
      </c>
      <c r="W65" s="210">
        <f>_xll.qlCalendarAdvance(Calendar,V65,NDays&amp;"D")</f>
        <v>41864</v>
      </c>
      <c r="X65" s="211">
        <v>7.4729006430906963E-4</v>
      </c>
      <c r="Y65" s="232"/>
    </row>
    <row r="66" spans="19:25" x14ac:dyDescent="0.2">
      <c r="S66" s="222"/>
      <c r="U66" s="209" t="str">
        <f t="shared" si="3"/>
        <v>1D</v>
      </c>
      <c r="V66" s="207">
        <f>_xll.qlCalendarAdvance(Calendar,V65,U66,"f",FALSE)</f>
        <v>41865</v>
      </c>
      <c r="W66" s="210">
        <f>_xll.qlCalendarAdvance(Calendar,V66,NDays&amp;"D")</f>
        <v>41865</v>
      </c>
      <c r="X66" s="211">
        <v>7.360644713738651E-4</v>
      </c>
      <c r="Y66" s="232"/>
    </row>
    <row r="67" spans="19:25" x14ac:dyDescent="0.2">
      <c r="U67" s="209" t="str">
        <f t="shared" si="3"/>
        <v>1D</v>
      </c>
      <c r="V67" s="207">
        <f>_xll.qlCalendarAdvance(Calendar,V66,U67,"f",FALSE)</f>
        <v>41866</v>
      </c>
      <c r="W67" s="210">
        <f>_xll.qlCalendarAdvance(Calendar,V67,NDays&amp;"D")</f>
        <v>41866</v>
      </c>
      <c r="X67" s="211">
        <v>7.1627319259803812E-4</v>
      </c>
      <c r="Y67" s="232"/>
    </row>
    <row r="68" spans="19:25" x14ac:dyDescent="0.2">
      <c r="U68" s="209" t="str">
        <f t="shared" si="3"/>
        <v>1D</v>
      </c>
      <c r="V68" s="207">
        <f>_xll.qlCalendarAdvance(Calendar,V67,U68,"f",FALSE)</f>
        <v>41869</v>
      </c>
      <c r="W68" s="210">
        <f>_xll.qlCalendarAdvance(Calendar,V68,NDays&amp;"D")</f>
        <v>41869</v>
      </c>
      <c r="X68" s="211">
        <v>6.9913754553674323E-4</v>
      </c>
      <c r="Y68" s="232"/>
    </row>
    <row r="69" spans="19:25" x14ac:dyDescent="0.2">
      <c r="U69" s="209" t="str">
        <f t="shared" si="3"/>
        <v>1D</v>
      </c>
      <c r="V69" s="207">
        <f>_xll.qlCalendarAdvance(Calendar,V68,U69,"f",FALSE)</f>
        <v>41870</v>
      </c>
      <c r="W69" s="210">
        <f>_xll.qlCalendarAdvance(Calendar,V69,NDays&amp;"D")</f>
        <v>41870</v>
      </c>
      <c r="X69" s="211">
        <v>6.9189967539351471E-4</v>
      </c>
      <c r="Y69" s="232"/>
    </row>
    <row r="70" spans="19:25" x14ac:dyDescent="0.2">
      <c r="U70" s="209" t="str">
        <f t="shared" si="3"/>
        <v>1D</v>
      </c>
      <c r="V70" s="207">
        <f>_xll.qlCalendarAdvance(Calendar,V69,U70,"f",FALSE)</f>
        <v>41871</v>
      </c>
      <c r="W70" s="210">
        <f>_xll.qlCalendarAdvance(Calendar,V70,NDays&amp;"D")</f>
        <v>41871</v>
      </c>
      <c r="X70" s="211">
        <v>6.8545934944097553E-4</v>
      </c>
      <c r="Y70" s="232"/>
    </row>
    <row r="71" spans="19:25" x14ac:dyDescent="0.2">
      <c r="U71" s="209" t="str">
        <f t="shared" si="3"/>
        <v>1D</v>
      </c>
      <c r="V71" s="207">
        <f>_xll.qlCalendarAdvance(Calendar,V70,U71,"f",FALSE)</f>
        <v>41872</v>
      </c>
      <c r="W71" s="210">
        <f>_xll.qlCalendarAdvance(Calendar,V71,NDays&amp;"D")</f>
        <v>41872</v>
      </c>
      <c r="X71" s="211">
        <v>6.7981656799886991E-4</v>
      </c>
      <c r="Y71" s="232"/>
    </row>
    <row r="72" spans="19:25" x14ac:dyDescent="0.2">
      <c r="U72" s="209" t="str">
        <f t="shared" si="3"/>
        <v>1D</v>
      </c>
      <c r="V72" s="207">
        <f>_xll.qlCalendarAdvance(Calendar,V71,U72,"f",FALSE)</f>
        <v>41873</v>
      </c>
      <c r="W72" s="210">
        <f>_xll.qlCalendarAdvance(Calendar,V72,NDays&amp;"D")</f>
        <v>41873</v>
      </c>
      <c r="X72" s="211">
        <v>6.7119073733579171E-4</v>
      </c>
      <c r="Y72" s="232"/>
    </row>
    <row r="73" spans="19:25" x14ac:dyDescent="0.2">
      <c r="U73" s="209" t="str">
        <f t="shared" si="3"/>
        <v>1D</v>
      </c>
      <c r="V73" s="207">
        <f>_xll.qlCalendarAdvance(Calendar,V72,U73,"f",FALSE)</f>
        <v>41876</v>
      </c>
      <c r="W73" s="210">
        <f>_xll.qlCalendarAdvance(Calendar,V73,NDays&amp;"D")</f>
        <v>41876</v>
      </c>
      <c r="X73" s="211">
        <v>6.6522088469689322E-4</v>
      </c>
      <c r="Y73" s="232"/>
    </row>
    <row r="74" spans="19:25" x14ac:dyDescent="0.2">
      <c r="U74" s="209" t="str">
        <f t="shared" si="3"/>
        <v>1D</v>
      </c>
      <c r="V74" s="207">
        <f>_xll.qlCalendarAdvance(Calendar,V73,U74,"f",FALSE)</f>
        <v>41877</v>
      </c>
      <c r="W74" s="210">
        <f>_xll.qlCalendarAdvance(Calendar,V74,NDays&amp;"D")</f>
        <v>41877</v>
      </c>
      <c r="X74" s="211">
        <v>6.6356582452797852E-4</v>
      </c>
      <c r="Y74" s="232"/>
    </row>
    <row r="75" spans="19:25" x14ac:dyDescent="0.2">
      <c r="U75" s="209" t="str">
        <f t="shared" si="3"/>
        <v>1D</v>
      </c>
      <c r="V75" s="207">
        <f>_xll.qlCalendarAdvance(Calendar,V74,U75,"f",FALSE)</f>
        <v>41878</v>
      </c>
      <c r="W75" s="210">
        <f>_xll.qlCalendarAdvance(Calendar,V75,NDays&amp;"D")</f>
        <v>41878</v>
      </c>
      <c r="X75" s="211">
        <v>6.627083084698171E-4</v>
      </c>
      <c r="Y75" s="232"/>
    </row>
    <row r="76" spans="19:25" x14ac:dyDescent="0.2">
      <c r="U76" s="209" t="str">
        <f t="shared" si="3"/>
        <v>1D</v>
      </c>
      <c r="V76" s="207">
        <f>_xll.qlCalendarAdvance(Calendar,V75,U76,"f",FALSE)</f>
        <v>41879</v>
      </c>
      <c r="W76" s="210">
        <f>_xll.qlCalendarAdvance(Calendar,V76,NDays&amp;"D")</f>
        <v>41879</v>
      </c>
      <c r="X76" s="211">
        <v>6.6264833660234501E-4</v>
      </c>
      <c r="Y76" s="232"/>
    </row>
    <row r="77" spans="19:25" x14ac:dyDescent="0.2">
      <c r="U77" s="209" t="str">
        <f t="shared" ref="U77:U140" si="4">U76</f>
        <v>1D</v>
      </c>
      <c r="V77" s="207">
        <f>_xll.qlCalendarAdvance(Calendar,V76,U77,"f",FALSE)</f>
        <v>41880</v>
      </c>
      <c r="W77" s="210">
        <f>_xll.qlCalendarAdvance(Calendar,V77,NDays&amp;"D")</f>
        <v>41880</v>
      </c>
      <c r="X77" s="211">
        <v>6.6518810257321093E-4</v>
      </c>
      <c r="Y77" s="232"/>
    </row>
    <row r="78" spans="19:25" x14ac:dyDescent="0.2">
      <c r="U78" s="209" t="str">
        <f t="shared" si="4"/>
        <v>1D</v>
      </c>
      <c r="V78" s="207">
        <f>_xll.qlCalendarAdvance(Calendar,V77,U78,"f",FALSE)</f>
        <v>41883</v>
      </c>
      <c r="W78" s="210">
        <f>_xll.qlCalendarAdvance(Calendar,V78,NDays&amp;"D")</f>
        <v>41883</v>
      </c>
      <c r="X78" s="211">
        <v>6.7038389103935003E-4</v>
      </c>
      <c r="Y78" s="232"/>
    </row>
    <row r="79" spans="19:25" x14ac:dyDescent="0.2">
      <c r="U79" s="209" t="str">
        <f t="shared" si="4"/>
        <v>1D</v>
      </c>
      <c r="V79" s="207">
        <f>_xll.qlCalendarAdvance(Calendar,V78,U79,"f",FALSE)</f>
        <v>41884</v>
      </c>
      <c r="W79" s="210">
        <f>_xll.qlCalendarAdvance(Calendar,V79,NDays&amp;"D")</f>
        <v>41884</v>
      </c>
      <c r="X79" s="211">
        <v>6.7413573235697299E-4</v>
      </c>
      <c r="Y79" s="232"/>
    </row>
    <row r="80" spans="19:25" x14ac:dyDescent="0.2">
      <c r="U80" s="209" t="str">
        <f t="shared" si="4"/>
        <v>1D</v>
      </c>
      <c r="V80" s="207">
        <f>_xll.qlCalendarAdvance(Calendar,V79,U80,"f",FALSE)</f>
        <v>41885</v>
      </c>
      <c r="W80" s="210">
        <f>_xll.qlCalendarAdvance(Calendar,V80,NDays&amp;"D")</f>
        <v>41885</v>
      </c>
      <c r="X80" s="211">
        <v>6.7780557854391077E-4</v>
      </c>
      <c r="Y80" s="232"/>
    </row>
    <row r="81" spans="21:25" x14ac:dyDescent="0.2">
      <c r="U81" s="209" t="str">
        <f t="shared" si="4"/>
        <v>1D</v>
      </c>
      <c r="V81" s="207">
        <f>_xll.qlCalendarAdvance(Calendar,V80,U81,"f",FALSE)</f>
        <v>41886</v>
      </c>
      <c r="W81" s="210">
        <f>_xll.qlCalendarAdvance(Calendar,V81,NDays&amp;"D")</f>
        <v>41886</v>
      </c>
      <c r="X81" s="211">
        <v>6.8121752159200355E-4</v>
      </c>
      <c r="Y81" s="232"/>
    </row>
    <row r="82" spans="21:25" x14ac:dyDescent="0.2">
      <c r="U82" s="209" t="str">
        <f t="shared" si="4"/>
        <v>1D</v>
      </c>
      <c r="V82" s="207">
        <f>_xll.qlCalendarAdvance(Calendar,V81,U82,"f",FALSE)</f>
        <v>41887</v>
      </c>
      <c r="W82" s="210">
        <f>_xll.qlCalendarAdvance(Calendar,V82,NDays&amp;"D")</f>
        <v>41887</v>
      </c>
      <c r="X82" s="211">
        <v>6.8718304246928597E-4</v>
      </c>
      <c r="Y82" s="232"/>
    </row>
    <row r="83" spans="21:25" x14ac:dyDescent="0.2">
      <c r="U83" s="209" t="str">
        <f t="shared" si="4"/>
        <v>1D</v>
      </c>
      <c r="V83" s="207">
        <f>_xll.qlCalendarAdvance(Calendar,V82,U83,"f",FALSE)</f>
        <v>41890</v>
      </c>
      <c r="W83" s="210">
        <f>_xll.qlCalendarAdvance(Calendar,V83,NDays&amp;"D")</f>
        <v>41890</v>
      </c>
      <c r="X83" s="211">
        <v>6.9228626303541319E-4</v>
      </c>
      <c r="Y83" s="232"/>
    </row>
    <row r="84" spans="21:25" x14ac:dyDescent="0.2">
      <c r="U84" s="209" t="str">
        <f t="shared" si="4"/>
        <v>1D</v>
      </c>
      <c r="V84" s="207">
        <f>_xll.qlCalendarAdvance(Calendar,V83,U84,"f",FALSE)</f>
        <v>41891</v>
      </c>
      <c r="W84" s="210">
        <f>_xll.qlCalendarAdvance(Calendar,V84,NDays&amp;"D")</f>
        <v>41891</v>
      </c>
      <c r="X84" s="211">
        <v>6.9440869062908916E-4</v>
      </c>
      <c r="Y84" s="232"/>
    </row>
    <row r="85" spans="21:25" x14ac:dyDescent="0.2">
      <c r="U85" s="209" t="str">
        <f t="shared" si="4"/>
        <v>1D</v>
      </c>
      <c r="V85" s="207">
        <f>_xll.qlCalendarAdvance(Calendar,V84,U85,"f",FALSE)</f>
        <v>41892</v>
      </c>
      <c r="W85" s="210">
        <f>_xll.qlCalendarAdvance(Calendar,V85,NDays&amp;"D")</f>
        <v>41892</v>
      </c>
      <c r="X85" s="211">
        <v>6.9627321516385621E-4</v>
      </c>
      <c r="Y85" s="232"/>
    </row>
    <row r="86" spans="21:25" x14ac:dyDescent="0.2">
      <c r="U86" s="209" t="str">
        <f t="shared" si="4"/>
        <v>1D</v>
      </c>
      <c r="V86" s="207">
        <f>_xll.qlCalendarAdvance(Calendar,V85,U86,"f",FALSE)</f>
        <v>41893</v>
      </c>
      <c r="W86" s="210">
        <f>_xll.qlCalendarAdvance(Calendar,V86,NDays&amp;"D")</f>
        <v>41893</v>
      </c>
      <c r="X86" s="211">
        <v>6.9787983663971431E-4</v>
      </c>
      <c r="Y86" s="232"/>
    </row>
    <row r="87" spans="21:25" x14ac:dyDescent="0.2">
      <c r="U87" s="209" t="str">
        <f t="shared" si="4"/>
        <v>1D</v>
      </c>
      <c r="V87" s="207">
        <f>_xll.qlCalendarAdvance(Calendar,V86,U87,"f",FALSE)</f>
        <v>41894</v>
      </c>
      <c r="W87" s="210">
        <f>_xll.qlCalendarAdvance(Calendar,V87,NDays&amp;"D")</f>
        <v>41894</v>
      </c>
      <c r="X87" s="211">
        <v>7.0023476454572631E-4</v>
      </c>
      <c r="Y87" s="232"/>
    </row>
    <row r="88" spans="21:25" x14ac:dyDescent="0.2">
      <c r="U88" s="209" t="str">
        <f t="shared" si="4"/>
        <v>1D</v>
      </c>
      <c r="V88" s="207">
        <f>_xll.qlCalendarAdvance(Calendar,V87,U88,"f",FALSE)</f>
        <v>41897</v>
      </c>
      <c r="W88" s="210">
        <f>_xll.qlCalendarAdvance(Calendar,V88,NDays&amp;"D")</f>
        <v>41897</v>
      </c>
      <c r="X88" s="211">
        <v>7.017272913145689E-4</v>
      </c>
      <c r="Y88" s="232"/>
    </row>
    <row r="89" spans="21:25" x14ac:dyDescent="0.2">
      <c r="U89" s="209" t="str">
        <f t="shared" si="4"/>
        <v>1D</v>
      </c>
      <c r="V89" s="207">
        <f>_xll.qlCalendarAdvance(Calendar,V88,U89,"f",FALSE)</f>
        <v>41898</v>
      </c>
      <c r="W89" s="210">
        <f>_xll.qlCalendarAdvance(Calendar,V89,NDays&amp;"D")</f>
        <v>41898</v>
      </c>
      <c r="X89" s="211">
        <v>7.0204439725607415E-4</v>
      </c>
      <c r="Y89" s="232"/>
    </row>
    <row r="90" spans="21:25" x14ac:dyDescent="0.2">
      <c r="U90" s="209" t="str">
        <f t="shared" si="4"/>
        <v>1D</v>
      </c>
      <c r="V90" s="207">
        <f>_xll.qlCalendarAdvance(Calendar,V89,U90,"f",FALSE)</f>
        <v>41899</v>
      </c>
      <c r="W90" s="210">
        <f>_xll.qlCalendarAdvance(Calendar,V90,NDays&amp;"D")</f>
        <v>41899</v>
      </c>
      <c r="X90" s="211">
        <v>7.0210359997879834E-4</v>
      </c>
      <c r="Y90" s="232"/>
    </row>
    <row r="91" spans="21:25" x14ac:dyDescent="0.2">
      <c r="U91" s="209" t="str">
        <f t="shared" si="4"/>
        <v>1D</v>
      </c>
      <c r="V91" s="207">
        <f>_xll.qlCalendarAdvance(Calendar,V90,U91,"f",FALSE)</f>
        <v>41900</v>
      </c>
      <c r="W91" s="210">
        <f>_xll.qlCalendarAdvance(Calendar,V91,NDays&amp;"D")</f>
        <v>41900</v>
      </c>
      <c r="X91" s="211">
        <v>7.0190489972254966E-4</v>
      </c>
      <c r="Y91" s="232"/>
    </row>
    <row r="92" spans="21:25" x14ac:dyDescent="0.2">
      <c r="U92" s="209" t="str">
        <f t="shared" si="4"/>
        <v>1D</v>
      </c>
      <c r="V92" s="207">
        <f>_xll.qlCalendarAdvance(Calendar,V91,U92,"f",FALSE)</f>
        <v>41901</v>
      </c>
      <c r="W92" s="210">
        <f>_xll.qlCalendarAdvance(Calendar,V92,NDays&amp;"D")</f>
        <v>41901</v>
      </c>
      <c r="X92" s="211">
        <v>7.0064918557655176E-4</v>
      </c>
      <c r="Y92" s="232"/>
    </row>
    <row r="93" spans="21:25" x14ac:dyDescent="0.2">
      <c r="U93" s="209" t="str">
        <f t="shared" si="4"/>
        <v>1D</v>
      </c>
      <c r="V93" s="207">
        <f>_xll.qlCalendarAdvance(Calendar,V92,U93,"f",FALSE)</f>
        <v>41904</v>
      </c>
      <c r="W93" s="210">
        <f>_xll.qlCalendarAdvance(Calendar,V93,NDays&amp;"D")</f>
        <v>41904</v>
      </c>
      <c r="X93" s="211">
        <v>6.9853106714923285E-4</v>
      </c>
      <c r="Y93" s="232"/>
    </row>
    <row r="94" spans="21:25" x14ac:dyDescent="0.2">
      <c r="U94" s="209" t="str">
        <f t="shared" si="4"/>
        <v>1D</v>
      </c>
      <c r="V94" s="207">
        <f>_xll.qlCalendarAdvance(Calendar,V93,U94,"f",FALSE)</f>
        <v>41905</v>
      </c>
      <c r="W94" s="210">
        <f>_xll.qlCalendarAdvance(Calendar,V94,NDays&amp;"D")</f>
        <v>41905</v>
      </c>
      <c r="X94" s="211">
        <v>6.9704285127869525E-4</v>
      </c>
      <c r="Y94" s="232"/>
    </row>
    <row r="95" spans="21:25" x14ac:dyDescent="0.2">
      <c r="U95" s="209" t="str">
        <f t="shared" si="4"/>
        <v>1D</v>
      </c>
      <c r="V95" s="207">
        <f>_xll.qlCalendarAdvance(Calendar,V94,U95,"f",FALSE)</f>
        <v>41906</v>
      </c>
      <c r="W95" s="210">
        <f>_xll.qlCalendarAdvance(Calendar,V95,NDays&amp;"D")</f>
        <v>41906</v>
      </c>
      <c r="X95" s="211">
        <v>6.9529673226931266E-4</v>
      </c>
      <c r="Y95" s="232"/>
    </row>
    <row r="96" spans="21:25" x14ac:dyDescent="0.2">
      <c r="U96" s="209" t="str">
        <f t="shared" si="4"/>
        <v>1D</v>
      </c>
      <c r="V96" s="207">
        <f>_xll.qlCalendarAdvance(Calendar,V95,U96,"f",FALSE)</f>
        <v>41907</v>
      </c>
      <c r="W96" s="210">
        <f>_xll.qlCalendarAdvance(Calendar,V96,NDays&amp;"D")</f>
        <v>41907</v>
      </c>
      <c r="X96" s="211">
        <v>6.9329271020102112E-4</v>
      </c>
      <c r="Y96" s="232"/>
    </row>
    <row r="97" spans="21:25" x14ac:dyDescent="0.2">
      <c r="U97" s="209" t="str">
        <f t="shared" si="4"/>
        <v>1D</v>
      </c>
      <c r="V97" s="207">
        <f>_xll.qlCalendarAdvance(Calendar,V96,U97,"f",FALSE)</f>
        <v>41908</v>
      </c>
      <c r="W97" s="210">
        <f>_xll.qlCalendarAdvance(Calendar,V97,NDays&amp;"D")</f>
        <v>41908</v>
      </c>
      <c r="X97" s="211">
        <v>6.8842630542853556E-4</v>
      </c>
      <c r="Y97" s="232"/>
    </row>
    <row r="98" spans="21:25" x14ac:dyDescent="0.2">
      <c r="U98" s="209" t="str">
        <f t="shared" si="4"/>
        <v>1D</v>
      </c>
      <c r="V98" s="207">
        <f>_xll.qlCalendarAdvance(Calendar,V97,U98,"f",FALSE)</f>
        <v>41911</v>
      </c>
      <c r="W98" s="210">
        <f>_xll.qlCalendarAdvance(Calendar,V98,NDays&amp;"D")</f>
        <v>41911</v>
      </c>
      <c r="X98" s="211">
        <v>6.8269759085914927E-4</v>
      </c>
      <c r="Y98" s="232"/>
    </row>
    <row r="99" spans="21:25" x14ac:dyDescent="0.2">
      <c r="U99" s="209" t="str">
        <f t="shared" si="4"/>
        <v>1D</v>
      </c>
      <c r="V99" s="207">
        <f>_xll.qlCalendarAdvance(Calendar,V98,U99,"f",FALSE)</f>
        <v>41912</v>
      </c>
      <c r="W99" s="210">
        <f>_xll.qlCalendarAdvance(Calendar,V99,NDays&amp;"D")</f>
        <v>41912</v>
      </c>
      <c r="X99" s="211">
        <v>6.7940405325650488E-4</v>
      </c>
      <c r="Y99" s="232"/>
    </row>
    <row r="100" spans="21:25" x14ac:dyDescent="0.2">
      <c r="U100" s="209" t="str">
        <f t="shared" si="4"/>
        <v>1D</v>
      </c>
      <c r="V100" s="207">
        <f>_xll.qlCalendarAdvance(Calendar,V99,U100,"f",FALSE)</f>
        <v>41913</v>
      </c>
      <c r="W100" s="210">
        <f>_xll.qlCalendarAdvance(Calendar,V100,NDays&amp;"D")</f>
        <v>41913</v>
      </c>
      <c r="X100" s="211">
        <v>6.7585261267488761E-4</v>
      </c>
      <c r="Y100" s="232"/>
    </row>
    <row r="101" spans="21:25" x14ac:dyDescent="0.2">
      <c r="U101" s="209" t="str">
        <f t="shared" si="4"/>
        <v>1D</v>
      </c>
      <c r="V101" s="207">
        <f>_xll.qlCalendarAdvance(Calendar,V100,U101,"f",FALSE)</f>
        <v>41914</v>
      </c>
      <c r="W101" s="210">
        <f>_xll.qlCalendarAdvance(Calendar,V101,NDays&amp;"D")</f>
        <v>41914</v>
      </c>
      <c r="X101" s="211">
        <v>6.7207024697424345E-4</v>
      </c>
      <c r="Y101" s="232"/>
    </row>
    <row r="102" spans="21:25" x14ac:dyDescent="0.2">
      <c r="U102" s="209" t="str">
        <f t="shared" si="4"/>
        <v>1D</v>
      </c>
      <c r="V102" s="207">
        <f>_xll.qlCalendarAdvance(Calendar,V101,U102,"f",FALSE)</f>
        <v>41915</v>
      </c>
      <c r="W102" s="210">
        <f>_xll.qlCalendarAdvance(Calendar,V102,NDays&amp;"D")</f>
        <v>41915</v>
      </c>
      <c r="X102" s="211">
        <v>6.6413266720743991E-4</v>
      </c>
      <c r="Y102" s="232"/>
    </row>
    <row r="103" spans="21:25" x14ac:dyDescent="0.2">
      <c r="U103" s="209" t="str">
        <f t="shared" si="4"/>
        <v>1D</v>
      </c>
      <c r="V103" s="207">
        <f>_xll.qlCalendarAdvance(Calendar,V102,U103,"f",FALSE)</f>
        <v>41918</v>
      </c>
      <c r="W103" s="210">
        <f>_xll.qlCalendarAdvance(Calendar,V103,NDays&amp;"D")</f>
        <v>41918</v>
      </c>
      <c r="X103" s="211">
        <v>6.5587251933507673E-4</v>
      </c>
      <c r="Y103" s="232"/>
    </row>
    <row r="104" spans="21:25" x14ac:dyDescent="0.2">
      <c r="U104" s="209" t="str">
        <f t="shared" si="4"/>
        <v>1D</v>
      </c>
      <c r="V104" s="207">
        <f>_xll.qlCalendarAdvance(Calendar,V103,U104,"f",FALSE)</f>
        <v>41919</v>
      </c>
      <c r="W104" s="210">
        <f>_xll.qlCalendarAdvance(Calendar,V104,NDays&amp;"D")</f>
        <v>41919</v>
      </c>
      <c r="X104" s="211">
        <v>6.5158299923595564E-4</v>
      </c>
      <c r="Y104" s="232"/>
    </row>
    <row r="105" spans="21:25" x14ac:dyDescent="0.2">
      <c r="U105" s="209" t="str">
        <f t="shared" si="4"/>
        <v>1D</v>
      </c>
      <c r="V105" s="207">
        <f>_xll.qlCalendarAdvance(Calendar,V104,U105,"f",FALSE)</f>
        <v>41920</v>
      </c>
      <c r="W105" s="210">
        <f>_xll.qlCalendarAdvance(Calendar,V105,NDays&amp;"D")</f>
        <v>41920</v>
      </c>
      <c r="X105" s="211">
        <v>6.4719744379715394E-4</v>
      </c>
      <c r="Y105" s="232"/>
    </row>
    <row r="106" spans="21:25" x14ac:dyDescent="0.2">
      <c r="U106" s="209" t="str">
        <f t="shared" si="4"/>
        <v>1D</v>
      </c>
      <c r="V106" s="207">
        <f>_xll.qlCalendarAdvance(Calendar,V105,U106,"f",FALSE)</f>
        <v>41921</v>
      </c>
      <c r="W106" s="210">
        <f>_xll.qlCalendarAdvance(Calendar,V106,NDays&amp;"D")</f>
        <v>41921</v>
      </c>
      <c r="X106" s="211">
        <v>6.4271585309860768E-4</v>
      </c>
      <c r="Y106" s="232"/>
    </row>
    <row r="107" spans="21:25" x14ac:dyDescent="0.2">
      <c r="U107" s="209" t="str">
        <f t="shared" si="4"/>
        <v>1D</v>
      </c>
      <c r="V107" s="207">
        <f>_xll.qlCalendarAdvance(Calendar,V106,U107,"f",FALSE)</f>
        <v>41922</v>
      </c>
      <c r="W107" s="210">
        <f>_xll.qlCalendarAdvance(Calendar,V107,NDays&amp;"D")</f>
        <v>41922</v>
      </c>
      <c r="X107" s="211">
        <v>6.334336686375508E-4</v>
      </c>
      <c r="Y107" s="232"/>
    </row>
    <row r="108" spans="21:25" x14ac:dyDescent="0.2">
      <c r="U108" s="209" t="str">
        <f t="shared" si="4"/>
        <v>1D</v>
      </c>
      <c r="V108" s="207">
        <f>_xll.qlCalendarAdvance(Calendar,V107,U108,"f",FALSE)</f>
        <v>41925</v>
      </c>
      <c r="W108" s="210">
        <f>_xll.qlCalendarAdvance(Calendar,V108,NDays&amp;"D")</f>
        <v>41925</v>
      </c>
      <c r="X108" s="211">
        <v>6.2382913754710501E-4</v>
      </c>
      <c r="Y108" s="232"/>
    </row>
    <row r="109" spans="21:25" x14ac:dyDescent="0.2">
      <c r="U109" s="209" t="str">
        <f t="shared" si="4"/>
        <v>1D</v>
      </c>
      <c r="V109" s="207">
        <f>_xll.qlCalendarAdvance(Calendar,V108,U109,"f",FALSE)</f>
        <v>41926</v>
      </c>
      <c r="W109" s="210">
        <f>_xll.qlCalendarAdvance(Calendar,V109,NDays&amp;"D")</f>
        <v>41926</v>
      </c>
      <c r="X109" s="211">
        <v>6.1886737046989992E-4</v>
      </c>
      <c r="Y109" s="232"/>
    </row>
    <row r="110" spans="21:25" x14ac:dyDescent="0.2">
      <c r="U110" s="209" t="str">
        <f t="shared" si="4"/>
        <v>1D</v>
      </c>
      <c r="V110" s="207">
        <f>_xll.qlCalendarAdvance(Calendar,V109,U110,"f",FALSE)</f>
        <v>41927</v>
      </c>
      <c r="W110" s="210">
        <f>_xll.qlCalendarAdvance(Calendar,V110,NDays&amp;"D")</f>
        <v>41927</v>
      </c>
      <c r="X110" s="211">
        <v>6.1380956813295029E-4</v>
      </c>
      <c r="Y110" s="232"/>
    </row>
    <row r="111" spans="21:25" x14ac:dyDescent="0.2">
      <c r="U111" s="209" t="str">
        <f t="shared" si="4"/>
        <v>1D</v>
      </c>
      <c r="V111" s="207">
        <f>_xll.qlCalendarAdvance(Calendar,V110,U111,"f",FALSE)</f>
        <v>41928</v>
      </c>
      <c r="W111" s="210">
        <f>_xll.qlCalendarAdvance(Calendar,V111,NDays&amp;"D")</f>
        <v>41928</v>
      </c>
      <c r="X111" s="211">
        <v>6.0865573061619216E-4</v>
      </c>
      <c r="Y111" s="232"/>
    </row>
    <row r="112" spans="21:25" x14ac:dyDescent="0.2">
      <c r="U112" s="209" t="str">
        <f t="shared" si="4"/>
        <v>1D</v>
      </c>
      <c r="V112" s="207">
        <f>_xll.qlCalendarAdvance(Calendar,V111,U112,"f",FALSE)</f>
        <v>41929</v>
      </c>
      <c r="W112" s="210">
        <f>_xll.qlCalendarAdvance(Calendar,V112,NDays&amp;"D")</f>
        <v>41929</v>
      </c>
      <c r="X112" s="211">
        <v>5.9802893133564794E-4</v>
      </c>
      <c r="Y112" s="232"/>
    </row>
    <row r="113" spans="21:25" x14ac:dyDescent="0.2">
      <c r="U113" s="209" t="str">
        <f t="shared" si="4"/>
        <v>1D</v>
      </c>
      <c r="V113" s="207">
        <f>_xll.qlCalendarAdvance(Calendar,V112,U113,"f",FALSE)</f>
        <v>41932</v>
      </c>
      <c r="W113" s="210">
        <f>_xll.qlCalendarAdvance(Calendar,V113,NDays&amp;"D")</f>
        <v>41932</v>
      </c>
      <c r="X113" s="211">
        <v>5.8708002779184199E-4</v>
      </c>
      <c r="Y113" s="232"/>
    </row>
    <row r="114" spans="21:25" x14ac:dyDescent="0.2">
      <c r="U114" s="209" t="str">
        <f t="shared" si="4"/>
        <v>1D</v>
      </c>
      <c r="V114" s="207">
        <f>_xll.qlCalendarAdvance(Calendar,V113,U114,"f",FALSE)</f>
        <v>41933</v>
      </c>
      <c r="W114" s="210">
        <f>_xll.qlCalendarAdvance(Calendar,V114,NDays&amp;"D")</f>
        <v>41933</v>
      </c>
      <c r="X114" s="211">
        <v>5.8144601397636109E-4</v>
      </c>
      <c r="Y114" s="232"/>
    </row>
    <row r="115" spans="21:25" x14ac:dyDescent="0.2">
      <c r="U115" s="209" t="str">
        <f t="shared" si="4"/>
        <v>1D</v>
      </c>
      <c r="V115" s="207">
        <f>_xll.qlCalendarAdvance(Calendar,V114,U115,"f",FALSE)</f>
        <v>41934</v>
      </c>
      <c r="W115" s="210">
        <f>_xll.qlCalendarAdvance(Calendar,V115,NDays&amp;"D")</f>
        <v>41934</v>
      </c>
      <c r="X115" s="211">
        <v>5.7571596498107169E-4</v>
      </c>
      <c r="Y115" s="232"/>
    </row>
    <row r="116" spans="21:25" x14ac:dyDescent="0.2">
      <c r="U116" s="209" t="str">
        <f t="shared" si="4"/>
        <v>1D</v>
      </c>
      <c r="V116" s="207">
        <f>_xll.qlCalendarAdvance(Calendar,V115,U116,"f",FALSE)</f>
        <v>41935</v>
      </c>
      <c r="W116" s="210">
        <f>_xll.qlCalendarAdvance(Calendar,V116,NDays&amp;"D")</f>
        <v>41935</v>
      </c>
      <c r="X116" s="211">
        <v>5.6988988072603775E-4</v>
      </c>
      <c r="Y116" s="232"/>
    </row>
    <row r="117" spans="21:25" x14ac:dyDescent="0.2">
      <c r="U117" s="209" t="str">
        <f t="shared" si="4"/>
        <v>1D</v>
      </c>
      <c r="V117" s="207">
        <f>_xll.qlCalendarAdvance(Calendar,V116,U117,"f",FALSE)</f>
        <v>41936</v>
      </c>
      <c r="W117" s="210">
        <f>_xll.qlCalendarAdvance(Calendar,V117,NDays&amp;"D")</f>
        <v>41936</v>
      </c>
      <c r="X117" s="211">
        <v>5.579184594850517E-4</v>
      </c>
      <c r="Y117" s="232"/>
    </row>
    <row r="118" spans="21:25" x14ac:dyDescent="0.2">
      <c r="U118" s="209" t="str">
        <f t="shared" si="4"/>
        <v>1D</v>
      </c>
      <c r="V118" s="207">
        <f>_xll.qlCalendarAdvance(Calendar,V117,U118,"f",FALSE)</f>
        <v>41939</v>
      </c>
      <c r="W118" s="210">
        <f>_xll.qlCalendarAdvance(Calendar,V118,NDays&amp;"D")</f>
        <v>41939</v>
      </c>
      <c r="X118" s="211">
        <v>5.4562519158807277E-4</v>
      </c>
      <c r="Y118" s="232"/>
    </row>
    <row r="119" spans="21:25" x14ac:dyDescent="0.2">
      <c r="U119" s="209" t="str">
        <f t="shared" si="4"/>
        <v>1D</v>
      </c>
      <c r="V119" s="207">
        <f>_xll.qlCalendarAdvance(Calendar,V118,U119,"f",FALSE)</f>
        <v>41940</v>
      </c>
      <c r="W119" s="210">
        <f>_xll.qlCalendarAdvance(Calendar,V119,NDays&amp;"D")</f>
        <v>41940</v>
      </c>
      <c r="X119" s="211">
        <v>5.3931893127412422E-4</v>
      </c>
      <c r="Y119" s="232"/>
    </row>
    <row r="120" spans="21:25" x14ac:dyDescent="0.2">
      <c r="U120" s="209" t="str">
        <f t="shared" si="4"/>
        <v>1D</v>
      </c>
      <c r="V120" s="207">
        <f>_xll.qlCalendarAdvance(Calendar,V119,U120,"f",FALSE)</f>
        <v>41941</v>
      </c>
      <c r="W120" s="210">
        <f>_xll.qlCalendarAdvance(Calendar,V120,NDays&amp;"D")</f>
        <v>41941</v>
      </c>
      <c r="X120" s="211">
        <v>5.3291663578036719E-4</v>
      </c>
      <c r="Y120" s="232"/>
    </row>
    <row r="121" spans="21:25" x14ac:dyDescent="0.2">
      <c r="U121" s="209" t="str">
        <f t="shared" si="4"/>
        <v>1D</v>
      </c>
      <c r="V121" s="207">
        <f>_xll.qlCalendarAdvance(Calendar,V120,U121,"f",FALSE)</f>
        <v>41942</v>
      </c>
      <c r="W121" s="210">
        <f>_xll.qlCalendarAdvance(Calendar,V121,NDays&amp;"D")</f>
        <v>41942</v>
      </c>
      <c r="X121" s="211">
        <v>5.2641830518673771E-4</v>
      </c>
      <c r="Y121" s="232"/>
    </row>
    <row r="122" spans="21:25" x14ac:dyDescent="0.2">
      <c r="U122" s="209" t="str">
        <f t="shared" si="4"/>
        <v>1D</v>
      </c>
      <c r="V122" s="207">
        <f>_xll.qlCalendarAdvance(Calendar,V121,U122,"f",FALSE)</f>
        <v>41943</v>
      </c>
      <c r="W122" s="210">
        <f>_xll.qlCalendarAdvance(Calendar,V122,NDays&amp;"D")</f>
        <v>41943</v>
      </c>
      <c r="X122" s="211">
        <v>5.1310225774869878E-4</v>
      </c>
      <c r="Y122" s="232"/>
    </row>
    <row r="123" spans="21:25" x14ac:dyDescent="0.2">
      <c r="U123" s="209" t="str">
        <f t="shared" si="4"/>
        <v>1D</v>
      </c>
      <c r="V123" s="207">
        <f>_xll.qlCalendarAdvance(Calendar,V122,U123,"f",FALSE)</f>
        <v>41946</v>
      </c>
      <c r="W123" s="210">
        <f>_xll.qlCalendarAdvance(Calendar,V123,NDays&amp;"D")</f>
        <v>41946</v>
      </c>
      <c r="X123" s="211">
        <v>4.9951852478358205E-4</v>
      </c>
      <c r="Y123" s="232"/>
    </row>
    <row r="124" spans="21:25" x14ac:dyDescent="0.2">
      <c r="U124" s="209" t="str">
        <f t="shared" si="4"/>
        <v>1D</v>
      </c>
      <c r="V124" s="207">
        <f>_xll.qlCalendarAdvance(Calendar,V123,U124,"f",FALSE)</f>
        <v>41947</v>
      </c>
      <c r="W124" s="210">
        <f>_xll.qlCalendarAdvance(Calendar,V124,NDays&amp;"D")</f>
        <v>41947</v>
      </c>
      <c r="X124" s="211">
        <v>4.9286338362541926E-4</v>
      </c>
      <c r="Y124" s="232"/>
    </row>
    <row r="125" spans="21:25" x14ac:dyDescent="0.2">
      <c r="U125" s="209" t="str">
        <f t="shared" si="4"/>
        <v>1D</v>
      </c>
      <c r="V125" s="207">
        <f>_xll.qlCalendarAdvance(Calendar,V124,U125,"f",FALSE)</f>
        <v>41948</v>
      </c>
      <c r="W125" s="210">
        <f>_xll.qlCalendarAdvance(Calendar,V125,NDays&amp;"D")</f>
        <v>41948</v>
      </c>
      <c r="X125" s="211">
        <v>4.8643557246208502E-4</v>
      </c>
      <c r="Y125" s="232"/>
    </row>
    <row r="126" spans="21:25" x14ac:dyDescent="0.2">
      <c r="U126" s="209" t="str">
        <f t="shared" si="4"/>
        <v>1D</v>
      </c>
      <c r="V126" s="207">
        <f>_xll.qlCalendarAdvance(Calendar,V125,U126,"f",FALSE)</f>
        <v>41949</v>
      </c>
      <c r="W126" s="210">
        <f>_xll.qlCalendarAdvance(Calendar,V126,NDays&amp;"D")</f>
        <v>41949</v>
      </c>
      <c r="X126" s="211">
        <v>4.8023509161332356E-4</v>
      </c>
      <c r="Y126" s="232"/>
    </row>
    <row r="127" spans="21:25" x14ac:dyDescent="0.2">
      <c r="U127" s="209" t="str">
        <f t="shared" si="4"/>
        <v>1D</v>
      </c>
      <c r="V127" s="207">
        <f>_xll.qlCalendarAdvance(Calendar,V126,U127,"f",FALSE)</f>
        <v>41950</v>
      </c>
      <c r="W127" s="210">
        <f>_xll.qlCalendarAdvance(Calendar,V127,NDays&amp;"D")</f>
        <v>41950</v>
      </c>
      <c r="X127" s="211">
        <v>4.6859250674380348E-4</v>
      </c>
      <c r="Y127" s="232"/>
    </row>
    <row r="128" spans="21:25" x14ac:dyDescent="0.2">
      <c r="U128" s="209" t="str">
        <f t="shared" si="4"/>
        <v>1D</v>
      </c>
      <c r="V128" s="207">
        <f>_xll.qlCalendarAdvance(Calendar,V127,U128,"f",FALSE)</f>
        <v>41953</v>
      </c>
      <c r="W128" s="210">
        <f>_xll.qlCalendarAdvance(Calendar,V128,NDays&amp;"D")</f>
        <v>41953</v>
      </c>
      <c r="X128" s="211">
        <v>4.5770646912579593E-4</v>
      </c>
      <c r="Y128" s="232"/>
    </row>
    <row r="129" spans="21:25" x14ac:dyDescent="0.2">
      <c r="U129" s="209" t="str">
        <f t="shared" si="4"/>
        <v>1D</v>
      </c>
      <c r="V129" s="207">
        <f>_xll.qlCalendarAdvance(Calendar,V128,U129,"f",FALSE)</f>
        <v>41954</v>
      </c>
      <c r="W129" s="210">
        <f>_xll.qlCalendarAdvance(Calendar,V129,NDays&amp;"D")</f>
        <v>41954</v>
      </c>
      <c r="X129" s="211">
        <v>4.5264263873079358E-4</v>
      </c>
      <c r="Y129" s="232"/>
    </row>
    <row r="130" spans="21:25" x14ac:dyDescent="0.2">
      <c r="U130" s="209" t="str">
        <f t="shared" si="4"/>
        <v>1D</v>
      </c>
      <c r="V130" s="207">
        <f>_xll.qlCalendarAdvance(Calendar,V129,U130,"f",FALSE)</f>
        <v>41955</v>
      </c>
      <c r="W130" s="210">
        <f>_xll.qlCalendarAdvance(Calendar,V130,NDays&amp;"D")</f>
        <v>41955</v>
      </c>
      <c r="X130" s="211">
        <v>4.4780613849049189E-4</v>
      </c>
      <c r="Y130" s="232"/>
    </row>
    <row r="131" spans="21:25" x14ac:dyDescent="0.2">
      <c r="U131" s="209" t="str">
        <f t="shared" si="4"/>
        <v>1D</v>
      </c>
      <c r="V131" s="207">
        <f>_xll.qlCalendarAdvance(Calendar,V130,U131,"f",FALSE)</f>
        <v>41956</v>
      </c>
      <c r="W131" s="210">
        <f>_xll.qlCalendarAdvance(Calendar,V131,NDays&amp;"D")</f>
        <v>41956</v>
      </c>
      <c r="X131" s="211">
        <v>4.4319696824501875E-4</v>
      </c>
      <c r="Y131" s="232"/>
    </row>
    <row r="132" spans="21:25" x14ac:dyDescent="0.2">
      <c r="U132" s="209" t="str">
        <f t="shared" si="4"/>
        <v>1D</v>
      </c>
      <c r="V132" s="207">
        <f>_xll.qlCalendarAdvance(Calendar,V131,U132,"f",FALSE)</f>
        <v>41957</v>
      </c>
      <c r="W132" s="210">
        <f>_xll.qlCalendarAdvance(Calendar,V132,NDays&amp;"D")</f>
        <v>41957</v>
      </c>
      <c r="X132" s="211">
        <v>4.3473691968998196E-4</v>
      </c>
      <c r="Y132" s="232"/>
    </row>
    <row r="133" spans="21:25" x14ac:dyDescent="0.2">
      <c r="U133" s="209" t="str">
        <f t="shared" si="4"/>
        <v>1D</v>
      </c>
      <c r="V133" s="207">
        <f>_xll.qlCalendarAdvance(Calendar,V132,U133,"f",FALSE)</f>
        <v>41960</v>
      </c>
      <c r="W133" s="210">
        <f>_xll.qlCalendarAdvance(Calendar,V133,NDays&amp;"D")</f>
        <v>41960</v>
      </c>
      <c r="X133" s="211">
        <v>4.2703358801077229E-4</v>
      </c>
      <c r="Y133" s="232"/>
    </row>
    <row r="134" spans="21:25" x14ac:dyDescent="0.2">
      <c r="U134" s="209" t="str">
        <f t="shared" si="4"/>
        <v>1D</v>
      </c>
      <c r="V134" s="207">
        <f>_xll.qlCalendarAdvance(Calendar,V133,U134,"f",FALSE)</f>
        <v>41961</v>
      </c>
      <c r="W134" s="210">
        <f>_xll.qlCalendarAdvance(Calendar,V134,NDays&amp;"D")</f>
        <v>41961</v>
      </c>
      <c r="X134" s="211">
        <v>4.2356106805918614E-4</v>
      </c>
      <c r="Y134" s="232"/>
    </row>
    <row r="135" spans="21:25" x14ac:dyDescent="0.2">
      <c r="U135" s="209" t="str">
        <f t="shared" si="4"/>
        <v>1D</v>
      </c>
      <c r="V135" s="207">
        <f>_xll.qlCalendarAdvance(Calendar,V134,U135,"f",FALSE)</f>
        <v>41962</v>
      </c>
      <c r="W135" s="210">
        <f>_xll.qlCalendarAdvance(Calendar,V135,NDays&amp;"D")</f>
        <v>41962</v>
      </c>
      <c r="X135" s="211">
        <v>4.2031587802249248E-4</v>
      </c>
      <c r="Y135" s="232"/>
    </row>
    <row r="136" spans="21:25" x14ac:dyDescent="0.2">
      <c r="U136" s="209" t="str">
        <f t="shared" si="4"/>
        <v>1D</v>
      </c>
      <c r="V136" s="207">
        <f>_xll.qlCalendarAdvance(Calendar,V135,U136,"f",FALSE)</f>
        <v>41963</v>
      </c>
      <c r="W136" s="210">
        <f>_xll.qlCalendarAdvance(Calendar,V136,NDays&amp;"D")</f>
        <v>41963</v>
      </c>
      <c r="X136" s="211">
        <v>4.1729801814049949E-4</v>
      </c>
      <c r="Y136" s="232"/>
    </row>
    <row r="137" spans="21:25" x14ac:dyDescent="0.2">
      <c r="U137" s="209" t="str">
        <f t="shared" si="4"/>
        <v>1D</v>
      </c>
      <c r="V137" s="207">
        <f>_xll.qlCalendarAdvance(Calendar,V136,U137,"f",FALSE)</f>
        <v>41964</v>
      </c>
      <c r="W137" s="210">
        <f>_xll.qlCalendarAdvance(Calendar,V137,NDays&amp;"D")</f>
        <v>41964</v>
      </c>
      <c r="X137" s="211">
        <v>4.1202053654210147E-4</v>
      </c>
      <c r="Y137" s="232"/>
    </row>
    <row r="138" spans="21:25" x14ac:dyDescent="0.2">
      <c r="U138" s="209" t="str">
        <f t="shared" si="4"/>
        <v>1D</v>
      </c>
      <c r="V138" s="207">
        <f>_xll.qlCalendarAdvance(Calendar,V137,U138,"f",FALSE)</f>
        <v>41967</v>
      </c>
      <c r="W138" s="210">
        <f>_xll.qlCalendarAdvance(Calendar,V138,NDays&amp;"D")</f>
        <v>41967</v>
      </c>
      <c r="X138" s="211">
        <v>4.0749987856081304E-4</v>
      </c>
      <c r="Y138" s="232"/>
    </row>
    <row r="139" spans="21:25" x14ac:dyDescent="0.2">
      <c r="U139" s="209" t="str">
        <f t="shared" si="4"/>
        <v>1D</v>
      </c>
      <c r="V139" s="207">
        <f>_xll.qlCalendarAdvance(Calendar,V138,U139,"f",FALSE)</f>
        <v>41968</v>
      </c>
      <c r="W139" s="210">
        <f>_xll.qlCalendarAdvance(Calendar,V139,NDays&amp;"D")</f>
        <v>41968</v>
      </c>
      <c r="X139" s="211">
        <v>4.0561866865296281E-4</v>
      </c>
      <c r="Y139" s="232"/>
    </row>
    <row r="140" spans="21:25" x14ac:dyDescent="0.2">
      <c r="U140" s="209" t="str">
        <f t="shared" si="4"/>
        <v>1D</v>
      </c>
      <c r="V140" s="207">
        <f>_xll.qlCalendarAdvance(Calendar,V139,U140,"f",FALSE)</f>
        <v>41969</v>
      </c>
      <c r="W140" s="210">
        <f>_xll.qlCalendarAdvance(Calendar,V140,NDays&amp;"D")</f>
        <v>41969</v>
      </c>
      <c r="X140" s="211">
        <v>4.0396478873994113E-4</v>
      </c>
      <c r="Y140" s="232"/>
    </row>
    <row r="141" spans="21:25" x14ac:dyDescent="0.2">
      <c r="U141" s="209" t="str">
        <f t="shared" ref="U141:U204" si="5">U140</f>
        <v>1D</v>
      </c>
      <c r="V141" s="207">
        <f>_xll.qlCalendarAdvance(Calendar,V140,U141,"f",FALSE)</f>
        <v>41970</v>
      </c>
      <c r="W141" s="210">
        <f>_xll.qlCalendarAdvance(Calendar,V141,NDays&amp;"D")</f>
        <v>41970</v>
      </c>
      <c r="X141" s="211">
        <v>4.02538238821748E-4</v>
      </c>
      <c r="Y141" s="232"/>
    </row>
    <row r="142" spans="21:25" x14ac:dyDescent="0.2">
      <c r="U142" s="209" t="str">
        <f t="shared" si="5"/>
        <v>1D</v>
      </c>
      <c r="V142" s="207">
        <f>_xll.qlCalendarAdvance(Calendar,V141,U142,"f",FALSE)</f>
        <v>41971</v>
      </c>
      <c r="W142" s="210">
        <f>_xll.qlCalendarAdvance(Calendar,V142,NDays&amp;"D")</f>
        <v>41971</v>
      </c>
      <c r="X142" s="211">
        <v>4.0044335101185879E-4</v>
      </c>
      <c r="Y142" s="232"/>
    </row>
    <row r="143" spans="21:25" x14ac:dyDescent="0.2">
      <c r="U143" s="209" t="str">
        <f t="shared" si="5"/>
        <v>1D</v>
      </c>
      <c r="V143" s="207">
        <f>_xll.qlCalendarAdvance(Calendar,V142,U143,"f",FALSE)</f>
        <v>41974</v>
      </c>
      <c r="W143" s="210">
        <f>_xll.qlCalendarAdvance(Calendar,V143,NDays&amp;"D")</f>
        <v>41974</v>
      </c>
      <c r="X143" s="211">
        <v>3.9910533901732492E-4</v>
      </c>
      <c r="Y143" s="232"/>
    </row>
    <row r="144" spans="21:25" x14ac:dyDescent="0.2">
      <c r="U144" s="209" t="str">
        <f t="shared" si="5"/>
        <v>1D</v>
      </c>
      <c r="V144" s="207">
        <f>_xll.qlCalendarAdvance(Calendar,V143,U144,"f",FALSE)</f>
        <v>41975</v>
      </c>
      <c r="W144" s="210">
        <f>_xll.qlCalendarAdvance(Calendar,V144,NDays&amp;"D")</f>
        <v>41975</v>
      </c>
      <c r="X144" s="211">
        <v>3.9875900181840507E-4</v>
      </c>
      <c r="Y144" s="232"/>
    </row>
    <row r="145" spans="21:25" x14ac:dyDescent="0.2">
      <c r="U145" s="209" t="str">
        <f t="shared" si="5"/>
        <v>1D</v>
      </c>
      <c r="V145" s="207">
        <f>_xll.qlCalendarAdvance(Calendar,V144,U145,"f",FALSE)</f>
        <v>41976</v>
      </c>
      <c r="W145" s="210">
        <f>_xll.qlCalendarAdvance(Calendar,V145,NDays&amp;"D")</f>
        <v>41976</v>
      </c>
      <c r="X145" s="211">
        <v>3.9835780897945483E-4</v>
      </c>
      <c r="Y145" s="232"/>
    </row>
    <row r="146" spans="21:25" x14ac:dyDescent="0.2">
      <c r="U146" s="209" t="str">
        <f t="shared" si="5"/>
        <v>1D</v>
      </c>
      <c r="V146" s="207">
        <f>_xll.qlCalendarAdvance(Calendar,V145,U146,"f",FALSE)</f>
        <v>41977</v>
      </c>
      <c r="W146" s="210">
        <f>_xll.qlCalendarAdvance(Calendar,V146,NDays&amp;"D")</f>
        <v>41977</v>
      </c>
      <c r="X146" s="211">
        <v>3.9784532324560473E-4</v>
      </c>
      <c r="Y146" s="232"/>
    </row>
    <row r="147" spans="21:25" x14ac:dyDescent="0.2">
      <c r="U147" s="209" t="str">
        <f t="shared" si="5"/>
        <v>1D</v>
      </c>
      <c r="V147" s="207">
        <f>_xll.qlCalendarAdvance(Calendar,V146,U147,"f",FALSE)</f>
        <v>41978</v>
      </c>
      <c r="W147" s="210">
        <f>_xll.qlCalendarAdvance(Calendar,V147,NDays&amp;"D")</f>
        <v>41978</v>
      </c>
      <c r="X147" s="211">
        <v>3.9644981207231922E-4</v>
      </c>
      <c r="Y147" s="232"/>
    </row>
    <row r="148" spans="21:25" x14ac:dyDescent="0.2">
      <c r="U148" s="209" t="str">
        <f t="shared" si="5"/>
        <v>1D</v>
      </c>
      <c r="V148" s="207">
        <f>_xll.qlCalendarAdvance(Calendar,V147,U148,"f",FALSE)</f>
        <v>41981</v>
      </c>
      <c r="W148" s="210">
        <f>_xll.qlCalendarAdvance(Calendar,V148,NDays&amp;"D")</f>
        <v>41981</v>
      </c>
      <c r="X148" s="211">
        <v>3.9468245152107784E-4</v>
      </c>
      <c r="Y148" s="232"/>
    </row>
    <row r="149" spans="21:25" x14ac:dyDescent="0.2">
      <c r="U149" s="209" t="str">
        <f t="shared" si="5"/>
        <v>1D</v>
      </c>
      <c r="V149" s="207">
        <f>_xll.qlCalendarAdvance(Calendar,V148,U149,"f",FALSE)</f>
        <v>41982</v>
      </c>
      <c r="W149" s="210">
        <f>_xll.qlCalendarAdvance(Calendar,V149,NDays&amp;"D")</f>
        <v>41982</v>
      </c>
      <c r="X149" s="211">
        <v>3.9361350139266449E-4</v>
      </c>
      <c r="Y149" s="232"/>
    </row>
    <row r="150" spans="21:25" x14ac:dyDescent="0.2">
      <c r="U150" s="209" t="str">
        <f t="shared" si="5"/>
        <v>1D</v>
      </c>
      <c r="V150" s="207">
        <f>_xll.qlCalendarAdvance(Calendar,V149,U150,"f",FALSE)</f>
        <v>41983</v>
      </c>
      <c r="W150" s="210">
        <f>_xll.qlCalendarAdvance(Calendar,V150,NDays&amp;"D")</f>
        <v>41983</v>
      </c>
      <c r="X150" s="211">
        <v>3.9243325844928734E-4</v>
      </c>
      <c r="Y150" s="232"/>
    </row>
    <row r="151" spans="21:25" x14ac:dyDescent="0.2">
      <c r="U151" s="209" t="str">
        <f t="shared" si="5"/>
        <v>1D</v>
      </c>
      <c r="V151" s="207">
        <f>_xll.qlCalendarAdvance(Calendar,V150,U151,"f",FALSE)</f>
        <v>41984</v>
      </c>
      <c r="W151" s="210">
        <f>_xll.qlCalendarAdvance(Calendar,V151,NDays&amp;"D")</f>
        <v>41984</v>
      </c>
      <c r="X151" s="211">
        <v>3.9114172261101032E-4</v>
      </c>
      <c r="Y151" s="232"/>
    </row>
    <row r="152" spans="21:25" x14ac:dyDescent="0.2">
      <c r="U152" s="209" t="str">
        <f t="shared" si="5"/>
        <v>1D</v>
      </c>
      <c r="V152" s="207">
        <f>_xll.qlCalendarAdvance(Calendar,V151,U152,"f",FALSE)</f>
        <v>41985</v>
      </c>
      <c r="W152" s="210">
        <f>_xll.qlCalendarAdvance(Calendar,V152,NDays&amp;"D")</f>
        <v>41985</v>
      </c>
      <c r="X152" s="211">
        <v>3.8818809329654869E-4</v>
      </c>
      <c r="Y152" s="232"/>
    </row>
    <row r="153" spans="21:25" x14ac:dyDescent="0.2">
      <c r="U153" s="209" t="str">
        <f t="shared" si="5"/>
        <v>1D</v>
      </c>
      <c r="V153" s="207">
        <f>_xll.qlCalendarAdvance(Calendar,V152,U153,"f",FALSE)</f>
        <v>41988</v>
      </c>
      <c r="W153" s="210">
        <f>_xll.qlCalendarAdvance(Calendar,V153,NDays&amp;"D")</f>
        <v>41988</v>
      </c>
      <c r="X153" s="211">
        <v>3.8486265062864788E-4</v>
      </c>
      <c r="Y153" s="232"/>
    </row>
    <row r="154" spans="21:25" x14ac:dyDescent="0.2">
      <c r="U154" s="209" t="str">
        <f t="shared" si="5"/>
        <v>1D</v>
      </c>
      <c r="V154" s="207">
        <f>_xll.qlCalendarAdvance(Calendar,V153,U154,"f",FALSE)</f>
        <v>41989</v>
      </c>
      <c r="W154" s="210">
        <f>_xll.qlCalendarAdvance(Calendar,V154,NDays&amp;"D")</f>
        <v>41989</v>
      </c>
      <c r="X154" s="211">
        <v>3.8301465039580762E-4</v>
      </c>
      <c r="Y154" s="232"/>
    </row>
    <row r="155" spans="21:25" x14ac:dyDescent="0.2">
      <c r="U155" s="209" t="str">
        <f t="shared" si="5"/>
        <v>1D</v>
      </c>
      <c r="V155" s="207">
        <f>_xll.qlCalendarAdvance(Calendar,V154,U155,"f",FALSE)</f>
        <v>41990</v>
      </c>
      <c r="W155" s="210">
        <f>_xll.qlCalendarAdvance(Calendar,V155,NDays&amp;"D")</f>
        <v>41990</v>
      </c>
      <c r="X155" s="211">
        <v>3.8105535742793961E-4</v>
      </c>
      <c r="Y155" s="232"/>
    </row>
    <row r="156" spans="21:25" x14ac:dyDescent="0.2">
      <c r="U156" s="209" t="str">
        <f t="shared" si="5"/>
        <v>1D</v>
      </c>
      <c r="V156" s="207">
        <f>_xll.qlCalendarAdvance(Calendar,V155,U156,"f",FALSE)</f>
        <v>41991</v>
      </c>
      <c r="W156" s="210">
        <f>_xll.qlCalendarAdvance(Calendar,V156,NDays&amp;"D")</f>
        <v>41991</v>
      </c>
      <c r="X156" s="211">
        <v>3.7898477156517174E-4</v>
      </c>
      <c r="Y156" s="232"/>
    </row>
    <row r="157" spans="21:25" x14ac:dyDescent="0.2">
      <c r="U157" s="209" t="str">
        <f t="shared" si="5"/>
        <v>1D</v>
      </c>
      <c r="V157" s="207">
        <f>_xll.qlCalendarAdvance(Calendar,V156,U157,"f",FALSE)</f>
        <v>41992</v>
      </c>
      <c r="W157" s="210">
        <f>_xll.qlCalendarAdvance(Calendar,V157,NDays&amp;"D")</f>
        <v>41992</v>
      </c>
      <c r="X157" s="211">
        <v>3.7447301315829407E-4</v>
      </c>
      <c r="Y157" s="232"/>
    </row>
    <row r="158" spans="21:25" x14ac:dyDescent="0.2">
      <c r="U158" s="209" t="str">
        <f t="shared" si="5"/>
        <v>1D</v>
      </c>
      <c r="V158" s="207">
        <f>_xll.qlCalendarAdvance(Calendar,V157,U158,"f",FALSE)</f>
        <v>41995</v>
      </c>
      <c r="W158" s="210">
        <f>_xll.qlCalendarAdvance(Calendar,V158,NDays&amp;"D")</f>
        <v>41995</v>
      </c>
      <c r="X158" s="211">
        <v>3.6958949956478193E-4</v>
      </c>
      <c r="Y158" s="232"/>
    </row>
    <row r="159" spans="21:25" x14ac:dyDescent="0.2">
      <c r="U159" s="209" t="str">
        <f t="shared" si="5"/>
        <v>1D</v>
      </c>
      <c r="V159" s="207">
        <f>_xll.qlCalendarAdvance(Calendar,V158,U159,"f",FALSE)</f>
        <v>41996</v>
      </c>
      <c r="W159" s="210">
        <f>_xll.qlCalendarAdvance(Calendar,V159,NDays&amp;"D")</f>
        <v>41996</v>
      </c>
      <c r="X159" s="211">
        <v>3.6696244946732293E-4</v>
      </c>
      <c r="Y159" s="232"/>
    </row>
    <row r="160" spans="21:25" x14ac:dyDescent="0.2">
      <c r="U160" s="209" t="str">
        <f t="shared" si="5"/>
        <v>1D</v>
      </c>
      <c r="V160" s="207">
        <f>_xll.qlCalendarAdvance(Calendar,V159,U160,"f",FALSE)</f>
        <v>41997</v>
      </c>
      <c r="W160" s="210">
        <f>_xll.qlCalendarAdvance(Calendar,V160,NDays&amp;"D")</f>
        <v>41997</v>
      </c>
      <c r="X160" s="211">
        <v>3.5830296238792414E-4</v>
      </c>
      <c r="Y160" s="232"/>
    </row>
    <row r="161" spans="21:25" x14ac:dyDescent="0.2">
      <c r="U161" s="209" t="str">
        <f t="shared" si="5"/>
        <v>1D</v>
      </c>
      <c r="V161" s="207">
        <f>_xll.qlCalendarAdvance(Calendar,V160,U161,"f",FALSE)</f>
        <v>42002</v>
      </c>
      <c r="W161" s="210">
        <f>_xll.qlCalendarAdvance(Calendar,V161,NDays&amp;"D")</f>
        <v>42002</v>
      </c>
      <c r="X161" s="211">
        <v>3.488629990489045E-4</v>
      </c>
      <c r="Y161" s="232"/>
    </row>
    <row r="162" spans="21:25" x14ac:dyDescent="0.2">
      <c r="U162" s="209" t="str">
        <f t="shared" si="5"/>
        <v>1D</v>
      </c>
      <c r="V162" s="207">
        <f>_xll.qlCalendarAdvance(Calendar,V161,U162,"f",FALSE)</f>
        <v>42003</v>
      </c>
      <c r="W162" s="210">
        <f>_xll.qlCalendarAdvance(Calendar,V162,NDays&amp;"D")</f>
        <v>42003</v>
      </c>
      <c r="X162" s="211">
        <v>3.4545689908682675E-4</v>
      </c>
      <c r="Y162" s="232"/>
    </row>
    <row r="163" spans="21:25" x14ac:dyDescent="0.2">
      <c r="U163" s="209" t="str">
        <f t="shared" si="5"/>
        <v>1D</v>
      </c>
      <c r="V163" s="207">
        <f>_xll.qlCalendarAdvance(Calendar,V162,U163,"f",FALSE)</f>
        <v>42004</v>
      </c>
      <c r="W163" s="210">
        <f>_xll.qlCalendarAdvance(Calendar,V163,NDays&amp;"D")</f>
        <v>42004</v>
      </c>
      <c r="X163" s="211">
        <v>3.4012532418525865E-4</v>
      </c>
      <c r="Y163" s="232"/>
    </row>
    <row r="164" spans="21:25" x14ac:dyDescent="0.2">
      <c r="U164" s="209" t="str">
        <f t="shared" si="5"/>
        <v>1D</v>
      </c>
      <c r="V164" s="207">
        <f>_xll.qlCalendarAdvance(Calendar,V163,U164,"f",FALSE)</f>
        <v>42006</v>
      </c>
      <c r="W164" s="210">
        <f>_xll.qlCalendarAdvance(Calendar,V164,NDays&amp;"D")</f>
        <v>42006</v>
      </c>
      <c r="X164" s="211">
        <v>3.3193755901272937E-4</v>
      </c>
      <c r="Y164" s="232"/>
    </row>
    <row r="165" spans="21:25" x14ac:dyDescent="0.2">
      <c r="U165" s="209" t="str">
        <f t="shared" si="5"/>
        <v>1D</v>
      </c>
      <c r="V165" s="207">
        <f>_xll.qlCalendarAdvance(Calendar,V164,U165,"f",FALSE)</f>
        <v>42009</v>
      </c>
      <c r="W165" s="210">
        <f>_xll.qlCalendarAdvance(Calendar,V165,NDays&amp;"D")</f>
        <v>42009</v>
      </c>
      <c r="X165" s="211">
        <v>3.2784168819688375E-4</v>
      </c>
      <c r="Y165" s="232"/>
    </row>
    <row r="166" spans="21:25" x14ac:dyDescent="0.2">
      <c r="U166" s="209" t="str">
        <f t="shared" si="5"/>
        <v>1D</v>
      </c>
      <c r="V166" s="207">
        <f>_xll.qlCalendarAdvance(Calendar,V165,U166,"f",FALSE)</f>
        <v>42010</v>
      </c>
      <c r="W166" s="210">
        <f>_xll.qlCalendarAdvance(Calendar,V166,NDays&amp;"D")</f>
        <v>42010</v>
      </c>
      <c r="X166" s="211">
        <v>3.2700261714424528E-4</v>
      </c>
      <c r="Y166" s="232"/>
    </row>
    <row r="167" spans="21:25" x14ac:dyDescent="0.2">
      <c r="U167" s="209" t="str">
        <f t="shared" si="5"/>
        <v>1D</v>
      </c>
      <c r="V167" s="207">
        <f>_xll.qlCalendarAdvance(Calendar,V166,U167,"f",FALSE)</f>
        <v>42011</v>
      </c>
      <c r="W167" s="210">
        <f>_xll.qlCalendarAdvance(Calendar,V167,NDays&amp;"D")</f>
        <v>42011</v>
      </c>
      <c r="X167" s="211">
        <v>3.2688877301012553E-4</v>
      </c>
      <c r="Y167" s="232"/>
    </row>
    <row r="168" spans="21:25" x14ac:dyDescent="0.2">
      <c r="U168" s="209" t="str">
        <f t="shared" si="5"/>
        <v>1D</v>
      </c>
      <c r="V168" s="207">
        <f>_xll.qlCalendarAdvance(Calendar,V167,U168,"f",FALSE)</f>
        <v>42012</v>
      </c>
      <c r="W168" s="210">
        <f>_xll.qlCalendarAdvance(Calendar,V168,NDays&amp;"D")</f>
        <v>42012</v>
      </c>
      <c r="X168" s="211">
        <v>3.275001556346524E-4</v>
      </c>
      <c r="Y168" s="232"/>
    </row>
    <row r="169" spans="21:25" x14ac:dyDescent="0.2">
      <c r="U169" s="209" t="str">
        <f t="shared" si="5"/>
        <v>1D</v>
      </c>
      <c r="V169" s="207">
        <f>_xll.qlCalendarAdvance(Calendar,V168,U169,"f",FALSE)</f>
        <v>42013</v>
      </c>
      <c r="W169" s="210">
        <f>_xll.qlCalendarAdvance(Calendar,V169,NDays&amp;"D")</f>
        <v>42013</v>
      </c>
      <c r="X169" s="211">
        <v>3.3114064831529788E-4</v>
      </c>
      <c r="Y169" s="232"/>
    </row>
    <row r="170" spans="21:25" x14ac:dyDescent="0.2">
      <c r="U170" s="209" t="str">
        <f t="shared" si="5"/>
        <v>1D</v>
      </c>
      <c r="V170" s="207">
        <f>_xll.qlCalendarAdvance(Calendar,V169,U170,"f",FALSE)</f>
        <v>42016</v>
      </c>
      <c r="W170" s="210">
        <f>_xll.qlCalendarAdvance(Calendar,V170,NDays&amp;"D")</f>
        <v>42016</v>
      </c>
      <c r="X170" s="211">
        <v>3.3719795475839476E-4</v>
      </c>
      <c r="Y170" s="232"/>
    </row>
    <row r="171" spans="21:25" x14ac:dyDescent="0.2">
      <c r="U171" s="209" t="str">
        <f t="shared" si="5"/>
        <v>1D</v>
      </c>
      <c r="V171" s="207">
        <f>_xll.qlCalendarAdvance(Calendar,V170,U171,"f",FALSE)</f>
        <v>42017</v>
      </c>
      <c r="W171" s="210">
        <f>_xll.qlCalendarAdvance(Calendar,V171,NDays&amp;"D")</f>
        <v>42017</v>
      </c>
      <c r="X171" s="211">
        <v>3.4143547165577104E-4</v>
      </c>
      <c r="Y171" s="232"/>
    </row>
    <row r="172" spans="21:25" x14ac:dyDescent="0.2">
      <c r="U172" s="209" t="str">
        <f t="shared" si="5"/>
        <v>1D</v>
      </c>
      <c r="V172" s="207">
        <f>_xll.qlCalendarAdvance(Calendar,V171,U172,"f",FALSE)</f>
        <v>42018</v>
      </c>
      <c r="W172" s="210">
        <f>_xll.qlCalendarAdvance(Calendar,V172,NDays&amp;"D")</f>
        <v>42018</v>
      </c>
      <c r="X172" s="211">
        <v>3.4639821555160211E-4</v>
      </c>
      <c r="Y172" s="232"/>
    </row>
    <row r="173" spans="21:25" x14ac:dyDescent="0.2">
      <c r="U173" s="209" t="str">
        <f t="shared" si="5"/>
        <v>1D</v>
      </c>
      <c r="V173" s="207">
        <f>_xll.qlCalendarAdvance(Calendar,V172,U173,"f",FALSE)</f>
        <v>42019</v>
      </c>
      <c r="W173" s="210">
        <f>_xll.qlCalendarAdvance(Calendar,V173,NDays&amp;"D")</f>
        <v>42019</v>
      </c>
      <c r="X173" s="211">
        <v>3.520861863659519E-4</v>
      </c>
      <c r="Y173" s="232"/>
    </row>
    <row r="174" spans="21:25" x14ac:dyDescent="0.2">
      <c r="U174" s="209" t="str">
        <f t="shared" si="5"/>
        <v>1D</v>
      </c>
      <c r="V174" s="207">
        <f>_xll.qlCalendarAdvance(Calendar,V173,U174,"f",FALSE)</f>
        <v>42020</v>
      </c>
      <c r="W174" s="210">
        <f>_xll.qlCalendarAdvance(Calendar,V174,NDays&amp;"D")</f>
        <v>42020</v>
      </c>
      <c r="X174" s="211">
        <v>3.6587992318537488E-4</v>
      </c>
      <c r="Y174" s="232"/>
    </row>
    <row r="175" spans="21:25" x14ac:dyDescent="0.2">
      <c r="U175" s="209" t="str">
        <f t="shared" si="5"/>
        <v>1D</v>
      </c>
      <c r="V175" s="207">
        <f>_xll.qlCalendarAdvance(Calendar,V174,U175,"f",FALSE)</f>
        <v>42023</v>
      </c>
      <c r="W175" s="210">
        <f>_xll.qlCalendarAdvance(Calendar,V175,NDays&amp;"D")</f>
        <v>42023</v>
      </c>
      <c r="X175" s="211">
        <v>3.8209033992764319E-4</v>
      </c>
      <c r="Y175" s="232"/>
    </row>
    <row r="176" spans="21:25" x14ac:dyDescent="0.2">
      <c r="U176" s="209" t="str">
        <f t="shared" si="5"/>
        <v>1D</v>
      </c>
      <c r="V176" s="207">
        <f>_xll.qlCalendarAdvance(Calendar,V175,U176,"f",FALSE)</f>
        <v>42024</v>
      </c>
      <c r="W176" s="210">
        <f>_xll.qlCalendarAdvance(Calendar,V176,NDays&amp;"D")</f>
        <v>42024</v>
      </c>
      <c r="X176" s="211">
        <v>3.914044461339472E-4</v>
      </c>
      <c r="Y176" s="232"/>
    </row>
    <row r="177" spans="21:25" x14ac:dyDescent="0.2">
      <c r="U177" s="209" t="str">
        <f t="shared" si="5"/>
        <v>1D</v>
      </c>
      <c r="V177" s="207">
        <f>_xll.qlCalendarAdvance(Calendar,V176,U177,"f",FALSE)</f>
        <v>42025</v>
      </c>
      <c r="W177" s="210">
        <f>_xll.qlCalendarAdvance(Calendar,V177,NDays&amp;"D")</f>
        <v>42025</v>
      </c>
      <c r="X177" s="211">
        <v>4.0144377957851418E-4</v>
      </c>
      <c r="Y177" s="232"/>
    </row>
    <row r="178" spans="21:25" x14ac:dyDescent="0.2">
      <c r="U178" s="209" t="str">
        <f t="shared" si="5"/>
        <v>1D</v>
      </c>
      <c r="V178" s="207">
        <f>_xll.qlCalendarAdvance(Calendar,V177,U178,"f",FALSE)</f>
        <v>42026</v>
      </c>
      <c r="W178" s="210">
        <f>_xll.qlCalendarAdvance(Calendar,V178,NDays&amp;"D")</f>
        <v>42026</v>
      </c>
      <c r="X178" s="211">
        <v>4.1220834026134412E-4</v>
      </c>
      <c r="Y178" s="232"/>
    </row>
    <row r="179" spans="21:25" x14ac:dyDescent="0.2">
      <c r="U179" s="209" t="str">
        <f t="shared" si="5"/>
        <v>1D</v>
      </c>
      <c r="V179" s="207">
        <f>_xll.qlCalendarAdvance(Calendar,V178,U179,"f",FALSE)</f>
        <v>42027</v>
      </c>
      <c r="W179" s="210">
        <f>_xll.qlCalendarAdvance(Calendar,V179,NDays&amp;"D")</f>
        <v>42027</v>
      </c>
      <c r="X179" s="211">
        <v>4.3615541447827866E-4</v>
      </c>
      <c r="Y179" s="232"/>
    </row>
    <row r="180" spans="21:25" x14ac:dyDescent="0.2">
      <c r="U180" s="209" t="str">
        <f t="shared" si="5"/>
        <v>1D</v>
      </c>
      <c r="V180" s="207">
        <f>_xll.qlCalendarAdvance(Calendar,V179,U180,"f",FALSE)</f>
        <v>42030</v>
      </c>
      <c r="W180" s="210">
        <f>_xll.qlCalendarAdvance(Calendar,V180,NDays&amp;"D")</f>
        <v>42030</v>
      </c>
      <c r="X180" s="211">
        <v>4.6251885713388674E-4</v>
      </c>
      <c r="Y180" s="232"/>
    </row>
    <row r="181" spans="21:25" x14ac:dyDescent="0.2">
      <c r="U181" s="209" t="str">
        <f t="shared" si="5"/>
        <v>1D</v>
      </c>
      <c r="V181" s="207">
        <f>_xll.qlCalendarAdvance(Calendar,V180,U181,"f",FALSE)</f>
        <v>42031</v>
      </c>
      <c r="W181" s="210">
        <f>_xll.qlCalendarAdvance(Calendar,V181,NDays&amp;"D")</f>
        <v>42031</v>
      </c>
      <c r="X181" s="211">
        <v>4.769095552870084E-4</v>
      </c>
      <c r="Y181" s="232"/>
    </row>
    <row r="182" spans="21:25" x14ac:dyDescent="0.2">
      <c r="U182" s="209" t="str">
        <f t="shared" si="5"/>
        <v>1D</v>
      </c>
      <c r="V182" s="207">
        <f>_xll.qlCalendarAdvance(Calendar,V181,U182,"f",FALSE)</f>
        <v>42032</v>
      </c>
      <c r="W182" s="210">
        <f>_xll.qlCalendarAdvance(Calendar,V182,NDays&amp;"D")</f>
        <v>42032</v>
      </c>
      <c r="X182" s="211">
        <v>4.9202548123794543E-4</v>
      </c>
      <c r="Y182" s="232"/>
    </row>
    <row r="183" spans="21:25" x14ac:dyDescent="0.2">
      <c r="U183" s="209" t="str">
        <f t="shared" si="5"/>
        <v>1D</v>
      </c>
      <c r="V183" s="207">
        <f>_xll.qlCalendarAdvance(Calendar,V182,U183,"f",FALSE)</f>
        <v>42033</v>
      </c>
      <c r="W183" s="210">
        <f>_xll.qlCalendarAdvance(Calendar,V183,NDays&amp;"D")</f>
        <v>42033</v>
      </c>
      <c r="X183" s="211">
        <v>5.0786663498669782E-4</v>
      </c>
      <c r="Y183" s="232"/>
    </row>
    <row r="184" spans="21:25" x14ac:dyDescent="0.2">
      <c r="U184" s="209" t="str">
        <f t="shared" si="5"/>
        <v>1D</v>
      </c>
      <c r="V184" s="207">
        <f>_xll.qlCalendarAdvance(Calendar,V183,U184,"f",FALSE)</f>
        <v>42034</v>
      </c>
      <c r="W184" s="210">
        <f>_xll.qlCalendarAdvance(Calendar,V184,NDays&amp;"D")</f>
        <v>42034</v>
      </c>
      <c r="X184" s="211">
        <v>5.4196718462407034E-4</v>
      </c>
      <c r="Y184" s="232"/>
    </row>
    <row r="185" spans="21:25" x14ac:dyDescent="0.2">
      <c r="U185" s="209" t="str">
        <f t="shared" si="5"/>
        <v>1D</v>
      </c>
      <c r="V185" s="207">
        <f>_xll.qlCalendarAdvance(Calendar,V184,U185,"f",FALSE)</f>
        <v>42037</v>
      </c>
      <c r="W185" s="210">
        <f>_xll.qlCalendarAdvance(Calendar,V185,NDays&amp;"D")</f>
        <v>42037</v>
      </c>
      <c r="X185" s="211">
        <v>5.7812130762613378E-4</v>
      </c>
      <c r="Y185" s="232"/>
    </row>
    <row r="186" spans="21:25" x14ac:dyDescent="0.2">
      <c r="U186" s="209" t="str">
        <f t="shared" si="5"/>
        <v>1D</v>
      </c>
      <c r="V186" s="207">
        <f>_xll.qlCalendarAdvance(Calendar,V185,U186,"f",FALSE)</f>
        <v>42038</v>
      </c>
      <c r="W186" s="210">
        <f>_xll.qlCalendarAdvance(Calendar,V186,NDays&amp;"D")</f>
        <v>42038</v>
      </c>
      <c r="X186" s="211">
        <v>5.9541526661099908E-4</v>
      </c>
      <c r="Y186" s="232"/>
    </row>
    <row r="187" spans="21:25" x14ac:dyDescent="0.2">
      <c r="U187" s="209" t="str">
        <f t="shared" si="5"/>
        <v>1D</v>
      </c>
      <c r="V187" s="207">
        <f>_xll.qlCalendarAdvance(Calendar,V186,U187,"f",FALSE)</f>
        <v>42039</v>
      </c>
      <c r="W187" s="210">
        <f>_xll.qlCalendarAdvance(Calendar,V187,NDays&amp;"D")</f>
        <v>42039</v>
      </c>
      <c r="X187" s="211">
        <v>6.1126111844167497E-4</v>
      </c>
      <c r="Y187" s="232"/>
    </row>
    <row r="188" spans="21:25" x14ac:dyDescent="0.2">
      <c r="U188" s="209" t="str">
        <f t="shared" si="5"/>
        <v>1D</v>
      </c>
      <c r="V188" s="207">
        <f>_xll.qlCalendarAdvance(Calendar,V187,U188,"f",FALSE)</f>
        <v>42040</v>
      </c>
      <c r="W188" s="210">
        <f>_xll.qlCalendarAdvance(Calendar,V188,NDays&amp;"D")</f>
        <v>42040</v>
      </c>
      <c r="X188" s="211">
        <v>6.2565886287835326E-4</v>
      </c>
      <c r="Y188" s="232"/>
    </row>
    <row r="189" spans="21:25" x14ac:dyDescent="0.2">
      <c r="U189" s="209" t="str">
        <f t="shared" si="5"/>
        <v>1D</v>
      </c>
      <c r="V189" s="207">
        <f>_xll.qlCalendarAdvance(Calendar,V188,U189,"f",FALSE)</f>
        <v>42041</v>
      </c>
      <c r="W189" s="210">
        <f>_xll.qlCalendarAdvance(Calendar,V189,NDays&amp;"D")</f>
        <v>42041</v>
      </c>
      <c r="X189" s="211">
        <v>6.4962849824823365E-4</v>
      </c>
      <c r="Y189" s="232"/>
    </row>
    <row r="190" spans="21:25" x14ac:dyDescent="0.2">
      <c r="U190" s="209" t="str">
        <f t="shared" si="5"/>
        <v>1D</v>
      </c>
      <c r="V190" s="207">
        <f>_xll.qlCalendarAdvance(Calendar,V189,U190,"f",FALSE)</f>
        <v>42044</v>
      </c>
      <c r="W190" s="210">
        <f>_xll.qlCalendarAdvance(Calendar,V190,NDays&amp;"D")</f>
        <v>42044</v>
      </c>
      <c r="X190" s="211">
        <v>6.6876876308796795E-4</v>
      </c>
      <c r="Y190" s="232"/>
    </row>
    <row r="191" spans="21:25" x14ac:dyDescent="0.2">
      <c r="U191" s="209" t="str">
        <f t="shared" si="5"/>
        <v>1D</v>
      </c>
      <c r="V191" s="207">
        <f>_xll.qlCalendarAdvance(Calendar,V190,U191,"f",FALSE)</f>
        <v>42045</v>
      </c>
      <c r="W191" s="210">
        <f>_xll.qlCalendarAdvance(Calendar,V191,NDays&amp;"D")</f>
        <v>42045</v>
      </c>
      <c r="X191" s="211">
        <v>6.7592596815657657E-4</v>
      </c>
      <c r="Y191" s="232"/>
    </row>
    <row r="192" spans="21:25" x14ac:dyDescent="0.2">
      <c r="U192" s="209" t="str">
        <f t="shared" si="5"/>
        <v>1D</v>
      </c>
      <c r="V192" s="207">
        <f>_xll.qlCalendarAdvance(Calendar,V191,U192,"f",FALSE)</f>
        <v>42046</v>
      </c>
      <c r="W192" s="210">
        <f>_xll.qlCalendarAdvance(Calendar,V192,NDays&amp;"D")</f>
        <v>42046</v>
      </c>
      <c r="X192" s="211">
        <v>6.8163506503182703E-4</v>
      </c>
      <c r="Y192" s="232"/>
    </row>
    <row r="193" spans="21:25" x14ac:dyDescent="0.2">
      <c r="U193" s="209" t="str">
        <f t="shared" si="5"/>
        <v>1D</v>
      </c>
      <c r="V193" s="207">
        <f>_xll.qlCalendarAdvance(Calendar,V192,U193,"f",FALSE)</f>
        <v>42047</v>
      </c>
      <c r="W193" s="210">
        <f>_xll.qlCalendarAdvance(Calendar,V193,NDays&amp;"D")</f>
        <v>42047</v>
      </c>
      <c r="X193" s="211">
        <v>6.8589605371371931E-4</v>
      </c>
      <c r="Y193" s="232"/>
    </row>
    <row r="194" spans="21:25" x14ac:dyDescent="0.2">
      <c r="U194" s="209" t="str">
        <f t="shared" si="5"/>
        <v>1D</v>
      </c>
      <c r="V194" s="207">
        <f>_xll.qlCalendarAdvance(Calendar,V193,U194,"f",FALSE)</f>
        <v>42048</v>
      </c>
      <c r="W194" s="210">
        <f>_xll.qlCalendarAdvance(Calendar,V194,NDays&amp;"D")</f>
        <v>42048</v>
      </c>
      <c r="X194" s="211">
        <v>6.8959232415011229E-4</v>
      </c>
      <c r="Y194" s="232"/>
    </row>
    <row r="195" spans="21:25" x14ac:dyDescent="0.2">
      <c r="U195" s="209" t="str">
        <f t="shared" si="5"/>
        <v>1D</v>
      </c>
      <c r="V195" s="207">
        <f>_xll.qlCalendarAdvance(Calendar,V194,U195,"f",FALSE)</f>
        <v>42051</v>
      </c>
      <c r="W195" s="210">
        <f>_xll.qlCalendarAdvance(Calendar,V195,NDays&amp;"D")</f>
        <v>42051</v>
      </c>
      <c r="X195" s="211">
        <v>6.8845892482904958E-4</v>
      </c>
      <c r="Y195" s="232"/>
    </row>
    <row r="196" spans="21:25" x14ac:dyDescent="0.2">
      <c r="U196" s="209" t="str">
        <f t="shared" si="5"/>
        <v>1D</v>
      </c>
      <c r="V196" s="207">
        <f>_xll.qlCalendarAdvance(Calendar,V195,U196,"f",FALSE)</f>
        <v>42052</v>
      </c>
      <c r="W196" s="210">
        <f>_xll.qlCalendarAdvance(Calendar,V196,NDays&amp;"D")</f>
        <v>42052</v>
      </c>
      <c r="X196" s="211">
        <v>6.8547937182472651E-4</v>
      </c>
      <c r="Y196" s="232"/>
    </row>
    <row r="197" spans="21:25" x14ac:dyDescent="0.2">
      <c r="U197" s="209" t="str">
        <f t="shared" si="5"/>
        <v>1D</v>
      </c>
      <c r="V197" s="207">
        <f>_xll.qlCalendarAdvance(Calendar,V196,U197,"f",FALSE)</f>
        <v>42053</v>
      </c>
      <c r="W197" s="210">
        <f>_xll.qlCalendarAdvance(Calendar,V197,NDays&amp;"D")</f>
        <v>42053</v>
      </c>
      <c r="X197" s="211">
        <v>6.8105171038723711E-4</v>
      </c>
      <c r="Y197" s="232"/>
    </row>
    <row r="198" spans="21:25" x14ac:dyDescent="0.2">
      <c r="U198" s="209" t="str">
        <f t="shared" si="5"/>
        <v>1D</v>
      </c>
      <c r="V198" s="207">
        <f>_xll.qlCalendarAdvance(Calendar,V197,U198,"f",FALSE)</f>
        <v>42054</v>
      </c>
      <c r="W198" s="210">
        <f>_xll.qlCalendarAdvance(Calendar,V198,NDays&amp;"D")</f>
        <v>42054</v>
      </c>
      <c r="X198" s="211">
        <v>6.7517594075638954E-4</v>
      </c>
      <c r="Y198" s="232"/>
    </row>
    <row r="199" spans="21:25" x14ac:dyDescent="0.2">
      <c r="U199" s="209" t="str">
        <f t="shared" si="5"/>
        <v>1D</v>
      </c>
      <c r="V199" s="207">
        <f>_xll.qlCalendarAdvance(Calendar,V198,U199,"f",FALSE)</f>
        <v>42055</v>
      </c>
      <c r="W199" s="210">
        <f>_xll.qlCalendarAdvance(Calendar,V199,NDays&amp;"D")</f>
        <v>42055</v>
      </c>
      <c r="X199" s="211">
        <v>6.5859857908634467E-4</v>
      </c>
      <c r="Y199" s="232"/>
    </row>
    <row r="200" spans="21:25" x14ac:dyDescent="0.2">
      <c r="U200" s="209" t="str">
        <f t="shared" si="5"/>
        <v>1D</v>
      </c>
      <c r="V200" s="207">
        <f>_xll.qlCalendarAdvance(Calendar,V199,U200,"f",FALSE)</f>
        <v>42058</v>
      </c>
      <c r="W200" s="210">
        <f>_xll.qlCalendarAdvance(Calendar,V200,NDays&amp;"D")</f>
        <v>42058</v>
      </c>
      <c r="X200" s="211">
        <v>6.3719178125865028E-4</v>
      </c>
      <c r="Y200" s="232"/>
    </row>
    <row r="201" spans="21:25" x14ac:dyDescent="0.2">
      <c r="U201" s="209" t="str">
        <f t="shared" si="5"/>
        <v>1D</v>
      </c>
      <c r="V201" s="207">
        <f>_xll.qlCalendarAdvance(Calendar,V200,U201,"f",FALSE)</f>
        <v>42059</v>
      </c>
      <c r="W201" s="210">
        <f>_xll.qlCalendarAdvance(Calendar,V201,NDays&amp;"D")</f>
        <v>42059</v>
      </c>
      <c r="X201" s="211">
        <v>6.2407547186005274E-4</v>
      </c>
      <c r="Y201" s="232"/>
    </row>
    <row r="202" spans="21:25" x14ac:dyDescent="0.2">
      <c r="U202" s="209" t="str">
        <f t="shared" si="5"/>
        <v>1D</v>
      </c>
      <c r="V202" s="207">
        <f>_xll.qlCalendarAdvance(Calendar,V201,U202,"f",FALSE)</f>
        <v>42060</v>
      </c>
      <c r="W202" s="210">
        <f>_xll.qlCalendarAdvance(Calendar,V202,NDays&amp;"D")</f>
        <v>42060</v>
      </c>
      <c r="X202" s="211">
        <v>6.0951105466777733E-4</v>
      </c>
      <c r="Y202" s="232"/>
    </row>
    <row r="203" spans="21:25" x14ac:dyDescent="0.2">
      <c r="U203" s="209" t="str">
        <f t="shared" si="5"/>
        <v>1D</v>
      </c>
      <c r="V203" s="207">
        <f>_xll.qlCalendarAdvance(Calendar,V202,U203,"f",FALSE)</f>
        <v>42061</v>
      </c>
      <c r="W203" s="210">
        <f>_xll.qlCalendarAdvance(Calendar,V203,NDays&amp;"D")</f>
        <v>42061</v>
      </c>
      <c r="X203" s="211">
        <v>5.9349853024137644E-4</v>
      </c>
      <c r="Y203" s="232"/>
    </row>
    <row r="204" spans="21:25" x14ac:dyDescent="0.2">
      <c r="U204" s="209" t="str">
        <f t="shared" si="5"/>
        <v>1D</v>
      </c>
      <c r="V204" s="207">
        <f>_xll.qlCalendarAdvance(Calendar,V203,U204,"f",FALSE)</f>
        <v>42062</v>
      </c>
      <c r="W204" s="210">
        <f>_xll.qlCalendarAdvance(Calendar,V204,NDays&amp;"D")</f>
        <v>42062</v>
      </c>
      <c r="X204" s="211">
        <v>5.566473180795839E-4</v>
      </c>
      <c r="Y204" s="232"/>
    </row>
    <row r="205" spans="21:25" x14ac:dyDescent="0.2">
      <c r="U205" s="209" t="str">
        <f t="shared" ref="U205:U268" si="6">U204</f>
        <v>1D</v>
      </c>
      <c r="V205" s="207">
        <f>_xll.qlCalendarAdvance(Calendar,V204,U205,"f",FALSE)</f>
        <v>42065</v>
      </c>
      <c r="W205" s="210">
        <f>_xll.qlCalendarAdvance(Calendar,V205,NDays&amp;"D")</f>
        <v>42065</v>
      </c>
      <c r="X205" s="211">
        <v>5.1536419348074958E-4</v>
      </c>
      <c r="Y205" s="232"/>
    </row>
    <row r="206" spans="21:25" x14ac:dyDescent="0.2">
      <c r="U206" s="209" t="str">
        <f t="shared" si="6"/>
        <v>1D</v>
      </c>
      <c r="V206" s="207">
        <f>_xll.qlCalendarAdvance(Calendar,V205,U206,"f",FALSE)</f>
        <v>42066</v>
      </c>
      <c r="W206" s="210">
        <f>_xll.qlCalendarAdvance(Calendar,V206,NDays&amp;"D")</f>
        <v>42066</v>
      </c>
      <c r="X206" s="211">
        <v>4.9449212005114873E-4</v>
      </c>
      <c r="Y206" s="232"/>
    </row>
    <row r="207" spans="21:25" x14ac:dyDescent="0.2">
      <c r="U207" s="209" t="str">
        <f t="shared" si="6"/>
        <v>1D</v>
      </c>
      <c r="V207" s="207">
        <f>_xll.qlCalendarAdvance(Calendar,V206,U207,"f",FALSE)</f>
        <v>42067</v>
      </c>
      <c r="W207" s="210">
        <f>_xll.qlCalendarAdvance(Calendar,V207,NDays&amp;"D")</f>
        <v>42067</v>
      </c>
      <c r="X207" s="211">
        <v>4.7455292495612866E-4</v>
      </c>
      <c r="Y207" s="232"/>
    </row>
    <row r="208" spans="21:25" x14ac:dyDescent="0.2">
      <c r="U208" s="209" t="str">
        <f t="shared" si="6"/>
        <v>1D</v>
      </c>
      <c r="V208" s="207">
        <f>_xll.qlCalendarAdvance(Calendar,V207,U208,"f",FALSE)</f>
        <v>42068</v>
      </c>
      <c r="W208" s="210">
        <f>_xll.qlCalendarAdvance(Calendar,V208,NDays&amp;"D")</f>
        <v>42068</v>
      </c>
      <c r="X208" s="211">
        <v>4.555466079558812E-4</v>
      </c>
      <c r="Y208" s="232"/>
    </row>
    <row r="209" spans="21:25" x14ac:dyDescent="0.2">
      <c r="U209" s="209" t="str">
        <f t="shared" si="6"/>
        <v>1D</v>
      </c>
      <c r="V209" s="207">
        <f>_xll.qlCalendarAdvance(Calendar,V208,U209,"f",FALSE)</f>
        <v>42069</v>
      </c>
      <c r="W209" s="210">
        <f>_xll.qlCalendarAdvance(Calendar,V209,NDays&amp;"D")</f>
        <v>42069</v>
      </c>
      <c r="X209" s="211">
        <v>4.2064405843866837E-4</v>
      </c>
      <c r="Y209" s="232"/>
    </row>
    <row r="210" spans="21:25" x14ac:dyDescent="0.2">
      <c r="U210" s="209" t="str">
        <f t="shared" si="6"/>
        <v>1D</v>
      </c>
      <c r="V210" s="207">
        <f>_xll.qlCalendarAdvance(Calendar,V209,U210,"f",FALSE)</f>
        <v>42072</v>
      </c>
      <c r="W210" s="210">
        <f>_xll.qlCalendarAdvance(Calendar,V210,NDays&amp;"D")</f>
        <v>42072</v>
      </c>
      <c r="X210" s="211">
        <v>3.8885011890421595E-4</v>
      </c>
      <c r="Y210" s="232"/>
    </row>
    <row r="211" spans="21:25" x14ac:dyDescent="0.2">
      <c r="U211" s="209" t="str">
        <f t="shared" si="6"/>
        <v>1D</v>
      </c>
      <c r="V211" s="207">
        <f>_xll.qlCalendarAdvance(Calendar,V210,U211,"f",FALSE)</f>
        <v>42073</v>
      </c>
      <c r="W211" s="210">
        <f>_xll.qlCalendarAdvance(Calendar,V211,NDays&amp;"D")</f>
        <v>42073</v>
      </c>
      <c r="X211" s="211">
        <v>3.7450819069917429E-4</v>
      </c>
      <c r="Y211" s="232"/>
    </row>
    <row r="212" spans="21:25" x14ac:dyDescent="0.2">
      <c r="U212" s="209" t="str">
        <f t="shared" si="6"/>
        <v>1D</v>
      </c>
      <c r="V212" s="207">
        <f>_xll.qlCalendarAdvance(Calendar,V211,U212,"f",FALSE)</f>
        <v>42074</v>
      </c>
      <c r="W212" s="210">
        <f>_xll.qlCalendarAdvance(Calendar,V212,NDays&amp;"D")</f>
        <v>42074</v>
      </c>
      <c r="X212" s="211">
        <v>3.6109913986948072E-4</v>
      </c>
      <c r="Y212" s="232"/>
    </row>
    <row r="213" spans="21:25" x14ac:dyDescent="0.2">
      <c r="U213" s="209" t="str">
        <f t="shared" si="6"/>
        <v>1D</v>
      </c>
      <c r="V213" s="207">
        <f>_xll.qlCalendarAdvance(Calendar,V212,U213,"f",FALSE)</f>
        <v>42075</v>
      </c>
      <c r="W213" s="210">
        <f>_xll.qlCalendarAdvance(Calendar,V213,NDays&amp;"D")</f>
        <v>42075</v>
      </c>
      <c r="X213" s="211">
        <v>3.4862296633519918E-4</v>
      </c>
      <c r="Y213" s="232"/>
    </row>
    <row r="214" spans="21:25" x14ac:dyDescent="0.2">
      <c r="U214" s="209" t="str">
        <f t="shared" si="6"/>
        <v>1D</v>
      </c>
      <c r="V214" s="207">
        <f>_xll.qlCalendarAdvance(Calendar,V213,U214,"f",FALSE)</f>
        <v>42076</v>
      </c>
      <c r="W214" s="210">
        <f>_xll.qlCalendarAdvance(Calendar,V214,NDays&amp;"D")</f>
        <v>42076</v>
      </c>
      <c r="X214" s="211">
        <v>3.2678050628121014E-4</v>
      </c>
      <c r="Y214" s="232"/>
    </row>
    <row r="215" spans="21:25" x14ac:dyDescent="0.2">
      <c r="U215" s="209" t="str">
        <f t="shared" si="6"/>
        <v>1D</v>
      </c>
      <c r="V215" s="207">
        <f>_xll.qlCalendarAdvance(Calendar,V214,U215,"f",FALSE)</f>
        <v>42079</v>
      </c>
      <c r="W215" s="210">
        <f>_xll.qlCalendarAdvance(Calendar,V215,NDays&amp;"D")</f>
        <v>42079</v>
      </c>
      <c r="X215" s="211">
        <v>3.0804704315379183E-4</v>
      </c>
      <c r="Y215" s="232"/>
    </row>
    <row r="216" spans="21:25" x14ac:dyDescent="0.2">
      <c r="U216" s="209" t="str">
        <f t="shared" si="6"/>
        <v>1D</v>
      </c>
      <c r="V216" s="207">
        <f>_xll.qlCalendarAdvance(Calendar,V215,U216,"f",FALSE)</f>
        <v>42080</v>
      </c>
      <c r="W216" s="210">
        <f>_xll.qlCalendarAdvance(Calendar,V216,NDays&amp;"D")</f>
        <v>42080</v>
      </c>
      <c r="X216" s="211">
        <v>3.002352548175935E-4</v>
      </c>
      <c r="Y216" s="232"/>
    </row>
    <row r="217" spans="21:25" x14ac:dyDescent="0.2">
      <c r="U217" s="209" t="str">
        <f t="shared" si="6"/>
        <v>1D</v>
      </c>
      <c r="V217" s="207">
        <f>_xll.qlCalendarAdvance(Calendar,V216,U217,"f",FALSE)</f>
        <v>42081</v>
      </c>
      <c r="W217" s="210">
        <f>_xll.qlCalendarAdvance(Calendar,V217,NDays&amp;"D")</f>
        <v>42081</v>
      </c>
      <c r="X217" s="211">
        <v>2.9335634313731873E-4</v>
      </c>
      <c r="Y217" s="232"/>
    </row>
    <row r="218" spans="21:25" x14ac:dyDescent="0.2">
      <c r="U218" s="209" t="str">
        <f t="shared" si="6"/>
        <v>1D</v>
      </c>
      <c r="V218" s="207">
        <f>_xll.qlCalendarAdvance(Calendar,V217,U218,"f",FALSE)</f>
        <v>42082</v>
      </c>
      <c r="W218" s="210">
        <f>_xll.qlCalendarAdvance(Calendar,V218,NDays&amp;"D")</f>
        <v>42082</v>
      </c>
      <c r="X218" s="211">
        <v>2.8741030827283964E-4</v>
      </c>
      <c r="Y218" s="232"/>
    </row>
    <row r="219" spans="21:25" x14ac:dyDescent="0.2">
      <c r="U219" s="209" t="str">
        <f t="shared" si="6"/>
        <v>1D</v>
      </c>
      <c r="V219" s="207">
        <f>_xll.qlCalendarAdvance(Calendar,V218,U219,"f",FALSE)</f>
        <v>42083</v>
      </c>
      <c r="W219" s="210">
        <f>_xll.qlCalendarAdvance(Calendar,V219,NDays&amp;"D")</f>
        <v>42083</v>
      </c>
      <c r="X219" s="211">
        <v>2.7862804314437994E-4</v>
      </c>
      <c r="Y219" s="232"/>
    </row>
    <row r="220" spans="21:25" x14ac:dyDescent="0.2">
      <c r="U220" s="209" t="str">
        <f t="shared" si="6"/>
        <v>1D</v>
      </c>
      <c r="V220" s="207">
        <f>_xll.qlCalendarAdvance(Calendar,V219,U220,"f",FALSE)</f>
        <v>42086</v>
      </c>
      <c r="W220" s="210">
        <f>_xll.qlCalendarAdvance(Calendar,V220,NDays&amp;"D")</f>
        <v>42086</v>
      </c>
      <c r="X220" s="211">
        <v>2.7295493553403105E-4</v>
      </c>
      <c r="Y220" s="232"/>
    </row>
    <row r="221" spans="21:25" x14ac:dyDescent="0.2">
      <c r="U221" s="209" t="str">
        <f t="shared" si="6"/>
        <v>1D</v>
      </c>
      <c r="V221" s="207">
        <f>_xll.qlCalendarAdvance(Calendar,V220,U221,"f",FALSE)</f>
        <v>42087</v>
      </c>
      <c r="W221" s="210">
        <f>_xll.qlCalendarAdvance(Calendar,V221,NDays&amp;"D")</f>
        <v>42087</v>
      </c>
      <c r="X221" s="211">
        <v>2.7167328394916979E-4</v>
      </c>
      <c r="Y221" s="232"/>
    </row>
    <row r="222" spans="21:25" x14ac:dyDescent="0.2">
      <c r="U222" s="209" t="str">
        <f t="shared" si="6"/>
        <v>1D</v>
      </c>
      <c r="V222" s="207">
        <f>_xll.qlCalendarAdvance(Calendar,V221,U222,"f",FALSE)</f>
        <v>42088</v>
      </c>
      <c r="W222" s="210">
        <f>_xll.qlCalendarAdvance(Calendar,V222,NDays&amp;"D")</f>
        <v>42088</v>
      </c>
      <c r="X222" s="211">
        <v>2.7132450886035997E-4</v>
      </c>
      <c r="Y222" s="232"/>
    </row>
    <row r="223" spans="21:25" x14ac:dyDescent="0.2">
      <c r="U223" s="209" t="str">
        <f t="shared" si="6"/>
        <v>1D</v>
      </c>
      <c r="V223" s="207">
        <f>_xll.qlCalendarAdvance(Calendar,V222,U223,"f",FALSE)</f>
        <v>42089</v>
      </c>
      <c r="W223" s="210">
        <f>_xll.qlCalendarAdvance(Calendar,V223,NDays&amp;"D")</f>
        <v>42089</v>
      </c>
      <c r="X223" s="211">
        <v>2.7190861042747372E-4</v>
      </c>
      <c r="Y223" s="232"/>
    </row>
    <row r="224" spans="21:25" x14ac:dyDescent="0.2">
      <c r="U224" s="209" t="str">
        <f t="shared" si="6"/>
        <v>1D</v>
      </c>
      <c r="V224" s="207">
        <f>_xll.qlCalendarAdvance(Calendar,V223,U224,"f",FALSE)</f>
        <v>42090</v>
      </c>
      <c r="W224" s="210">
        <f>_xll.qlCalendarAdvance(Calendar,V224,NDays&amp;"D")</f>
        <v>42090</v>
      </c>
      <c r="X224" s="211">
        <v>2.7618661403217004E-4</v>
      </c>
      <c r="Y224" s="232"/>
    </row>
    <row r="225" spans="21:25" x14ac:dyDescent="0.2">
      <c r="U225" s="209" t="str">
        <f t="shared" si="6"/>
        <v>1D</v>
      </c>
      <c r="V225" s="207">
        <f>_xll.qlCalendarAdvance(Calendar,V224,U225,"f",FALSE)</f>
        <v>42093</v>
      </c>
      <c r="W225" s="210">
        <f>_xll.qlCalendarAdvance(Calendar,V225,NDays&amp;"D")</f>
        <v>42093</v>
      </c>
      <c r="X225" s="211">
        <v>2.835737826156759E-4</v>
      </c>
      <c r="Y225" s="232"/>
    </row>
    <row r="226" spans="21:25" x14ac:dyDescent="0.2">
      <c r="U226" s="209" t="str">
        <f t="shared" si="6"/>
        <v>1D</v>
      </c>
      <c r="V226" s="207">
        <f>_xll.qlCalendarAdvance(Calendar,V225,U226,"f",FALSE)</f>
        <v>42094</v>
      </c>
      <c r="W226" s="210">
        <f>_xll.qlCalendarAdvance(Calendar,V226,NDays&amp;"D")</f>
        <v>42094</v>
      </c>
      <c r="X226" s="211">
        <v>2.8882226730253535E-4</v>
      </c>
      <c r="Y226" s="232"/>
    </row>
    <row r="227" spans="21:25" x14ac:dyDescent="0.2">
      <c r="U227" s="209" t="str">
        <f t="shared" si="6"/>
        <v>1D</v>
      </c>
      <c r="V227" s="207">
        <f>_xll.qlCalendarAdvance(Calendar,V226,U227,"f",FALSE)</f>
        <v>42095</v>
      </c>
      <c r="W227" s="210">
        <f>_xll.qlCalendarAdvance(Calendar,V227,NDays&amp;"D")</f>
        <v>42095</v>
      </c>
      <c r="X227" s="211">
        <v>2.9500362872525443E-4</v>
      </c>
      <c r="Y227" s="232"/>
    </row>
    <row r="228" spans="21:25" x14ac:dyDescent="0.2">
      <c r="U228" s="209" t="str">
        <f t="shared" si="6"/>
        <v>1D</v>
      </c>
      <c r="V228" s="207">
        <f>_xll.qlCalendarAdvance(Calendar,V227,U228,"f",FALSE)</f>
        <v>42096</v>
      </c>
      <c r="W228" s="210">
        <f>_xll.qlCalendarAdvance(Calendar,V228,NDays&amp;"D")</f>
        <v>42096</v>
      </c>
      <c r="X228" s="211">
        <v>3.1527692643784633E-4</v>
      </c>
      <c r="Y228" s="232"/>
    </row>
    <row r="229" spans="21:25" x14ac:dyDescent="0.2">
      <c r="U229" s="209" t="str">
        <f t="shared" si="6"/>
        <v>1D</v>
      </c>
      <c r="V229" s="207">
        <f>_xll.qlCalendarAdvance(Calendar,V228,U229,"f",FALSE)</f>
        <v>42101</v>
      </c>
      <c r="W229" s="210">
        <f>_xll.qlCalendarAdvance(Calendar,V229,NDays&amp;"D")</f>
        <v>42101</v>
      </c>
      <c r="X229" s="211">
        <v>3.3420483668500367E-4</v>
      </c>
      <c r="Y229" s="232"/>
    </row>
    <row r="230" spans="21:25" x14ac:dyDescent="0.2">
      <c r="U230" s="209" t="str">
        <f t="shared" si="6"/>
        <v>1D</v>
      </c>
      <c r="V230" s="207">
        <f>_xll.qlCalendarAdvance(Calendar,V229,U230,"f",FALSE)</f>
        <v>42102</v>
      </c>
      <c r="W230" s="210">
        <f>_xll.qlCalendarAdvance(Calendar,V230,NDays&amp;"D")</f>
        <v>42102</v>
      </c>
      <c r="X230" s="211">
        <v>3.4000220998642305E-4</v>
      </c>
      <c r="Y230" s="232"/>
    </row>
    <row r="231" spans="21:25" x14ac:dyDescent="0.2">
      <c r="U231" s="209" t="str">
        <f t="shared" si="6"/>
        <v>1D</v>
      </c>
      <c r="V231" s="207">
        <f>_xll.qlCalendarAdvance(Calendar,V230,U231,"f",FALSE)</f>
        <v>42103</v>
      </c>
      <c r="W231" s="210">
        <f>_xll.qlCalendarAdvance(Calendar,V231,NDays&amp;"D")</f>
        <v>42103</v>
      </c>
      <c r="X231" s="211">
        <v>3.4558010581164922E-4</v>
      </c>
      <c r="Y231" s="232"/>
    </row>
    <row r="232" spans="21:25" x14ac:dyDescent="0.2">
      <c r="U232" s="209" t="str">
        <f t="shared" si="6"/>
        <v>1D</v>
      </c>
      <c r="V232" s="207">
        <f>_xll.qlCalendarAdvance(Calendar,V231,U232,"f",FALSE)</f>
        <v>42104</v>
      </c>
      <c r="W232" s="210">
        <f>_xll.qlCalendarAdvance(Calendar,V232,NDays&amp;"D")</f>
        <v>42104</v>
      </c>
      <c r="X232" s="211">
        <v>3.5600465759344502E-4</v>
      </c>
      <c r="Y232" s="232"/>
    </row>
    <row r="233" spans="21:25" x14ac:dyDescent="0.2">
      <c r="U233" s="209" t="str">
        <f t="shared" si="6"/>
        <v>1D</v>
      </c>
      <c r="V233" s="207">
        <f>_xll.qlCalendarAdvance(Calendar,V232,U233,"f",FALSE)</f>
        <v>42107</v>
      </c>
      <c r="W233" s="210">
        <f>_xll.qlCalendarAdvance(Calendar,V233,NDays&amp;"D")</f>
        <v>42107</v>
      </c>
      <c r="X233" s="211">
        <v>3.6569691347132505E-4</v>
      </c>
      <c r="Y233" s="232"/>
    </row>
    <row r="234" spans="21:25" x14ac:dyDescent="0.2">
      <c r="U234" s="209" t="str">
        <f t="shared" si="6"/>
        <v>1D</v>
      </c>
      <c r="V234" s="207">
        <f>_xll.qlCalendarAdvance(Calendar,V233,U234,"f",FALSE)</f>
        <v>42108</v>
      </c>
      <c r="W234" s="210">
        <f>_xll.qlCalendarAdvance(Calendar,V234,NDays&amp;"D")</f>
        <v>42108</v>
      </c>
      <c r="X234" s="211">
        <v>3.7017742159584088E-4</v>
      </c>
      <c r="Y234" s="232"/>
    </row>
    <row r="235" spans="21:25" x14ac:dyDescent="0.2">
      <c r="U235" s="209" t="str">
        <f t="shared" si="6"/>
        <v>1D</v>
      </c>
      <c r="V235" s="207">
        <f>_xll.qlCalendarAdvance(Calendar,V234,U235,"f",FALSE)</f>
        <v>42109</v>
      </c>
      <c r="W235" s="210">
        <f>_xll.qlCalendarAdvance(Calendar,V235,NDays&amp;"D")</f>
        <v>42109</v>
      </c>
      <c r="X235" s="211">
        <v>3.7443845200435533E-4</v>
      </c>
      <c r="Y235" s="232"/>
    </row>
    <row r="236" spans="21:25" x14ac:dyDescent="0.2">
      <c r="U236" s="209" t="str">
        <f t="shared" si="6"/>
        <v>1D</v>
      </c>
      <c r="V236" s="207">
        <f>_xll.qlCalendarAdvance(Calendar,V235,U236,"f",FALSE)</f>
        <v>42110</v>
      </c>
      <c r="W236" s="210">
        <f>_xll.qlCalendarAdvance(Calendar,V236,NDays&amp;"D")</f>
        <v>42110</v>
      </c>
      <c r="X236" s="211">
        <v>3.7848000493667655E-4</v>
      </c>
      <c r="Y236" s="232"/>
    </row>
    <row r="237" spans="21:25" x14ac:dyDescent="0.2">
      <c r="U237" s="209" t="str">
        <f t="shared" si="6"/>
        <v>1D</v>
      </c>
      <c r="V237" s="207">
        <f>_xll.qlCalendarAdvance(Calendar,V236,U237,"f",FALSE)</f>
        <v>42111</v>
      </c>
      <c r="W237" s="210">
        <f>_xll.qlCalendarAdvance(Calendar,V237,NDays&amp;"D")</f>
        <v>42111</v>
      </c>
      <c r="X237" s="211">
        <v>3.8583193224361878E-4</v>
      </c>
      <c r="Y237" s="232"/>
    </row>
    <row r="238" spans="21:25" x14ac:dyDescent="0.2">
      <c r="U238" s="209" t="str">
        <f t="shared" si="6"/>
        <v>1D</v>
      </c>
      <c r="V238" s="207">
        <f>_xll.qlCalendarAdvance(Calendar,V237,U238,"f",FALSE)</f>
        <v>42114</v>
      </c>
      <c r="W238" s="210">
        <f>_xll.qlCalendarAdvance(Calendar,V238,NDays&amp;"D")</f>
        <v>42114</v>
      </c>
      <c r="X238" s="211">
        <v>3.9245144054511627E-4</v>
      </c>
      <c r="Y238" s="232"/>
    </row>
    <row r="239" spans="21:25" x14ac:dyDescent="0.2">
      <c r="U239" s="209" t="str">
        <f t="shared" si="6"/>
        <v>1D</v>
      </c>
      <c r="V239" s="207">
        <f>_xll.qlCalendarAdvance(Calendar,V238,U239,"f",FALSE)</f>
        <v>42115</v>
      </c>
      <c r="W239" s="210">
        <f>_xll.qlCalendarAdvance(Calendar,V239,NDays&amp;"D")</f>
        <v>42115</v>
      </c>
      <c r="X239" s="211">
        <v>3.9539560545698293E-4</v>
      </c>
      <c r="Y239" s="232"/>
    </row>
    <row r="240" spans="21:25" x14ac:dyDescent="0.2">
      <c r="U240" s="209" t="str">
        <f t="shared" si="6"/>
        <v>1D</v>
      </c>
      <c r="V240" s="207">
        <f>_xll.qlCalendarAdvance(Calendar,V239,U240,"f",FALSE)</f>
        <v>42116</v>
      </c>
      <c r="W240" s="210">
        <f>_xll.qlCalendarAdvance(Calendar,V240,NDays&amp;"D")</f>
        <v>42116</v>
      </c>
      <c r="X240" s="211">
        <v>3.9812029265284821E-4</v>
      </c>
      <c r="Y240" s="232"/>
    </row>
    <row r="241" spans="21:25" x14ac:dyDescent="0.2">
      <c r="U241" s="209" t="str">
        <f t="shared" si="6"/>
        <v>1D</v>
      </c>
      <c r="V241" s="207">
        <f>_xll.qlCalendarAdvance(Calendar,V240,U241,"f",FALSE)</f>
        <v>42117</v>
      </c>
      <c r="W241" s="210">
        <f>_xll.qlCalendarAdvance(Calendar,V241,NDays&amp;"D")</f>
        <v>42117</v>
      </c>
      <c r="X241" s="211">
        <v>4.0062550237252026E-4</v>
      </c>
      <c r="Y241" s="232"/>
    </row>
    <row r="242" spans="21:25" x14ac:dyDescent="0.2">
      <c r="U242" s="209" t="str">
        <f t="shared" si="6"/>
        <v>1D</v>
      </c>
      <c r="V242" s="207">
        <f>_xll.qlCalendarAdvance(Calendar,V241,U242,"f",FALSE)</f>
        <v>42118</v>
      </c>
      <c r="W242" s="210">
        <f>_xll.qlCalendarAdvance(Calendar,V242,NDays&amp;"D")</f>
        <v>42118</v>
      </c>
      <c r="X242" s="211">
        <v>4.049047849274956E-4</v>
      </c>
      <c r="Y242" s="232"/>
    </row>
    <row r="243" spans="21:25" x14ac:dyDescent="0.2">
      <c r="U243" s="209" t="str">
        <f t="shared" si="6"/>
        <v>1D</v>
      </c>
      <c r="V243" s="207">
        <f>_xll.qlCalendarAdvance(Calendar,V242,U243,"f",FALSE)</f>
        <v>42121</v>
      </c>
      <c r="W243" s="210">
        <f>_xll.qlCalendarAdvance(Calendar,V243,NDays&amp;"D")</f>
        <v>42121</v>
      </c>
      <c r="X243" s="211">
        <v>4.0845156457081089E-4</v>
      </c>
      <c r="Y243" s="232"/>
    </row>
    <row r="244" spans="21:25" x14ac:dyDescent="0.2">
      <c r="U244" s="209" t="str">
        <f t="shared" si="6"/>
        <v>1D</v>
      </c>
      <c r="V244" s="207">
        <f>_xll.qlCalendarAdvance(Calendar,V243,U244,"f",FALSE)</f>
        <v>42122</v>
      </c>
      <c r="W244" s="210">
        <f>_xll.qlCalendarAdvance(Calendar,V244,NDays&amp;"D")</f>
        <v>42122</v>
      </c>
      <c r="X244" s="211">
        <v>4.0985938611015627E-4</v>
      </c>
      <c r="Y244" s="232"/>
    </row>
    <row r="245" spans="21:25" x14ac:dyDescent="0.2">
      <c r="U245" s="209" t="str">
        <f t="shared" si="6"/>
        <v>1D</v>
      </c>
      <c r="V245" s="207">
        <f>_xll.qlCalendarAdvance(Calendar,V244,U245,"f",FALSE)</f>
        <v>42123</v>
      </c>
      <c r="W245" s="210">
        <f>_xll.qlCalendarAdvance(Calendar,V245,NDays&amp;"D")</f>
        <v>42123</v>
      </c>
      <c r="X245" s="211">
        <v>4.1104772985356419E-4</v>
      </c>
      <c r="Y245" s="232"/>
    </row>
    <row r="246" spans="21:25" x14ac:dyDescent="0.2">
      <c r="U246" s="209" t="str">
        <f t="shared" si="6"/>
        <v>1D</v>
      </c>
      <c r="V246" s="207">
        <f>_xll.qlCalendarAdvance(Calendar,V245,U246,"f",FALSE)</f>
        <v>42124</v>
      </c>
      <c r="W246" s="210">
        <f>_xll.qlCalendarAdvance(Calendar,V246,NDays&amp;"D")</f>
        <v>42124</v>
      </c>
      <c r="X246" s="211">
        <v>4.1292191158337488E-4</v>
      </c>
      <c r="Y246" s="232"/>
    </row>
    <row r="247" spans="21:25" x14ac:dyDescent="0.2">
      <c r="U247" s="209" t="str">
        <f t="shared" si="6"/>
        <v>1D</v>
      </c>
      <c r="V247" s="207">
        <f>_xll.qlCalendarAdvance(Calendar,V246,U247,"f",FALSE)</f>
        <v>42128</v>
      </c>
      <c r="W247" s="210">
        <f>_xll.qlCalendarAdvance(Calendar,V247,NDays&amp;"D")</f>
        <v>42128</v>
      </c>
      <c r="X247" s="211">
        <v>4.1372555317664705E-4</v>
      </c>
      <c r="Y247" s="232"/>
    </row>
    <row r="248" spans="21:25" x14ac:dyDescent="0.2">
      <c r="U248" s="209" t="str">
        <f t="shared" si="6"/>
        <v>1D</v>
      </c>
      <c r="V248" s="207">
        <f>_xll.qlCalendarAdvance(Calendar,V247,U248,"f",FALSE)</f>
        <v>42129</v>
      </c>
      <c r="W248" s="210">
        <f>_xll.qlCalendarAdvance(Calendar,V248,NDays&amp;"D")</f>
        <v>42129</v>
      </c>
      <c r="X248" s="211">
        <v>4.1376664526637796E-4</v>
      </c>
      <c r="Y248" s="232"/>
    </row>
    <row r="249" spans="21:25" x14ac:dyDescent="0.2">
      <c r="U249" s="209" t="str">
        <f t="shared" si="6"/>
        <v>1D</v>
      </c>
      <c r="V249" s="207">
        <f>_xll.qlCalendarAdvance(Calendar,V248,U249,"f",FALSE)</f>
        <v>42130</v>
      </c>
      <c r="W249" s="210">
        <f>_xll.qlCalendarAdvance(Calendar,V249,NDays&amp;"D")</f>
        <v>42130</v>
      </c>
      <c r="X249" s="211">
        <v>4.1375787396269459E-4</v>
      </c>
      <c r="Y249" s="232"/>
    </row>
    <row r="250" spans="21:25" x14ac:dyDescent="0.2">
      <c r="U250" s="209" t="str">
        <f t="shared" si="6"/>
        <v>1D</v>
      </c>
      <c r="V250" s="207">
        <f>_xll.qlCalendarAdvance(Calendar,V249,U250,"f",FALSE)</f>
        <v>42131</v>
      </c>
      <c r="W250" s="210">
        <f>_xll.qlCalendarAdvance(Calendar,V250,NDays&amp;"D")</f>
        <v>42131</v>
      </c>
      <c r="X250" s="211">
        <v>4.1369923902578876E-4</v>
      </c>
      <c r="Y250" s="232"/>
    </row>
    <row r="251" spans="21:25" x14ac:dyDescent="0.2">
      <c r="U251" s="209" t="str">
        <f t="shared" si="6"/>
        <v>1D</v>
      </c>
      <c r="V251" s="207">
        <f>_xll.qlCalendarAdvance(Calendar,V250,U251,"f",FALSE)</f>
        <v>42132</v>
      </c>
      <c r="W251" s="210">
        <f>_xll.qlCalendarAdvance(Calendar,V251,NDays&amp;"D")</f>
        <v>42132</v>
      </c>
      <c r="X251" s="211">
        <v>4.1341623252755255E-4</v>
      </c>
      <c r="Y251" s="232"/>
    </row>
    <row r="252" spans="21:25" x14ac:dyDescent="0.2">
      <c r="U252" s="209" t="str">
        <f t="shared" si="6"/>
        <v>1D</v>
      </c>
      <c r="V252" s="207">
        <f>_xll.qlCalendarAdvance(Calendar,V251,U252,"f",FALSE)</f>
        <v>42135</v>
      </c>
      <c r="W252" s="210">
        <f>_xll.qlCalendarAdvance(Calendar,V252,NDays&amp;"D")</f>
        <v>42135</v>
      </c>
      <c r="X252" s="211">
        <v>4.1296606486440623E-4</v>
      </c>
      <c r="Y252" s="232"/>
    </row>
    <row r="253" spans="21:25" x14ac:dyDescent="0.2">
      <c r="U253" s="209" t="str">
        <f t="shared" si="6"/>
        <v>1D</v>
      </c>
      <c r="V253" s="207">
        <f>_xll.qlCalendarAdvance(Calendar,V252,U253,"f",FALSE)</f>
        <v>42136</v>
      </c>
      <c r="W253" s="210">
        <f>_xll.qlCalendarAdvance(Calendar,V253,NDays&amp;"D")</f>
        <v>42136</v>
      </c>
      <c r="X253" s="211">
        <v>4.1265811264068475E-4</v>
      </c>
      <c r="Y253" s="232"/>
    </row>
    <row r="254" spans="21:25" x14ac:dyDescent="0.2">
      <c r="U254" s="209" t="str">
        <f t="shared" si="6"/>
        <v>1D</v>
      </c>
      <c r="V254" s="207">
        <f>_xll.qlCalendarAdvance(Calendar,V253,U254,"f",FALSE)</f>
        <v>42137</v>
      </c>
      <c r="W254" s="210">
        <f>_xll.qlCalendarAdvance(Calendar,V254,NDays&amp;"D")</f>
        <v>42137</v>
      </c>
      <c r="X254" s="211">
        <v>4.1230029694361292E-4</v>
      </c>
      <c r="Y254" s="232"/>
    </row>
    <row r="255" spans="21:25" x14ac:dyDescent="0.2">
      <c r="U255" s="209" t="str">
        <f t="shared" si="6"/>
        <v>1D</v>
      </c>
      <c r="V255" s="207">
        <f>_xll.qlCalendarAdvance(Calendar,V254,U255,"f",FALSE)</f>
        <v>42138</v>
      </c>
      <c r="W255" s="210">
        <f>_xll.qlCalendarAdvance(Calendar,V255,NDays&amp;"D")</f>
        <v>42138</v>
      </c>
      <c r="X255" s="211">
        <v>4.1189261777319075E-4</v>
      </c>
      <c r="Y255" s="232"/>
    </row>
    <row r="256" spans="21:25" x14ac:dyDescent="0.2">
      <c r="U256" s="209" t="str">
        <f t="shared" si="6"/>
        <v>1D</v>
      </c>
      <c r="V256" s="207">
        <f>_xll.qlCalendarAdvance(Calendar,V255,U256,"f",FALSE)</f>
        <v>42139</v>
      </c>
      <c r="W256" s="210">
        <f>_xll.qlCalendarAdvance(Calendar,V256,NDays&amp;"D")</f>
        <v>42139</v>
      </c>
      <c r="X256" s="211">
        <v>4.1091151683936289E-4</v>
      </c>
      <c r="Y256" s="232"/>
    </row>
    <row r="257" spans="21:25" x14ac:dyDescent="0.2">
      <c r="U257" s="209" t="str">
        <f t="shared" si="6"/>
        <v>1D</v>
      </c>
      <c r="V257" s="207">
        <f>_xll.qlCalendarAdvance(Calendar,V256,U257,"f",FALSE)</f>
        <v>42142</v>
      </c>
      <c r="W257" s="210">
        <f>_xll.qlCalendarAdvance(Calendar,V257,NDays&amp;"D")</f>
        <v>42142</v>
      </c>
      <c r="X257" s="211">
        <v>4.0976326627806259E-4</v>
      </c>
      <c r="Y257" s="232"/>
    </row>
    <row r="258" spans="21:25" x14ac:dyDescent="0.2">
      <c r="U258" s="209" t="str">
        <f t="shared" si="6"/>
        <v>1D</v>
      </c>
      <c r="V258" s="207">
        <f>_xll.qlCalendarAdvance(Calendar,V257,U258,"f",FALSE)</f>
        <v>42143</v>
      </c>
      <c r="W258" s="210">
        <f>_xll.qlCalendarAdvance(Calendar,V258,NDays&amp;"D")</f>
        <v>42143</v>
      </c>
      <c r="X258" s="211">
        <v>4.0910626974088871E-4</v>
      </c>
      <c r="Y258" s="232"/>
    </row>
    <row r="259" spans="21:25" x14ac:dyDescent="0.2">
      <c r="U259" s="209" t="str">
        <f t="shared" si="6"/>
        <v>1D</v>
      </c>
      <c r="V259" s="207">
        <f>_xll.qlCalendarAdvance(Calendar,V258,U259,"f",FALSE)</f>
        <v>42144</v>
      </c>
      <c r="W259" s="210">
        <f>_xll.qlCalendarAdvance(Calendar,V259,NDays&amp;"D")</f>
        <v>42144</v>
      </c>
      <c r="X259" s="211">
        <v>4.0839940973036448E-4</v>
      </c>
      <c r="Y259" s="232"/>
    </row>
    <row r="260" spans="21:25" x14ac:dyDescent="0.2">
      <c r="U260" s="209" t="str">
        <f t="shared" si="6"/>
        <v>1D</v>
      </c>
      <c r="V260" s="207">
        <f>_xll.qlCalendarAdvance(Calendar,V259,U260,"f",FALSE)</f>
        <v>42145</v>
      </c>
      <c r="W260" s="210">
        <f>_xll.qlCalendarAdvance(Calendar,V260,NDays&amp;"D")</f>
        <v>42145</v>
      </c>
      <c r="X260" s="211">
        <v>4.0764268624648992E-4</v>
      </c>
      <c r="Y260" s="232"/>
    </row>
    <row r="261" spans="21:25" x14ac:dyDescent="0.2">
      <c r="U261" s="209" t="str">
        <f t="shared" si="6"/>
        <v>1D</v>
      </c>
      <c r="V261" s="207">
        <f>_xll.qlCalendarAdvance(Calendar,V260,U261,"f",FALSE)</f>
        <v>42146</v>
      </c>
      <c r="W261" s="210">
        <f>_xll.qlCalendarAdvance(Calendar,V261,NDays&amp;"D")</f>
        <v>42146</v>
      </c>
      <c r="X261" s="211">
        <v>4.0596348549470918E-4</v>
      </c>
      <c r="Y261" s="232"/>
    </row>
    <row r="262" spans="21:25" x14ac:dyDescent="0.2">
      <c r="U262" s="209" t="str">
        <f t="shared" si="6"/>
        <v>1D</v>
      </c>
      <c r="V262" s="207">
        <f>_xll.qlCalendarAdvance(Calendar,V261,U262,"f",FALSE)</f>
        <v>42149</v>
      </c>
      <c r="W262" s="210">
        <f>_xll.qlCalendarAdvance(Calendar,V262,NDays&amp;"D")</f>
        <v>42149</v>
      </c>
      <c r="X262" s="211">
        <v>4.0411715757748823E-4</v>
      </c>
      <c r="Y262" s="232"/>
    </row>
    <row r="263" spans="21:25" x14ac:dyDescent="0.2">
      <c r="U263" s="209" t="str">
        <f t="shared" si="6"/>
        <v>1D</v>
      </c>
      <c r="V263" s="207">
        <f>_xll.qlCalendarAdvance(Calendar,V262,U263,"f",FALSE)</f>
        <v>42150</v>
      </c>
      <c r="W263" s="210">
        <f>_xll.qlCalendarAdvance(Calendar,V263,NDays&amp;"D")</f>
        <v>42150</v>
      </c>
      <c r="X263" s="211">
        <v>4.0311111672686195E-4</v>
      </c>
      <c r="Y263" s="232"/>
    </row>
    <row r="264" spans="21:25" x14ac:dyDescent="0.2">
      <c r="U264" s="209" t="str">
        <f t="shared" si="6"/>
        <v>1D</v>
      </c>
      <c r="V264" s="207">
        <f>_xll.qlCalendarAdvance(Calendar,V263,U264,"f",FALSE)</f>
        <v>42151</v>
      </c>
      <c r="W264" s="210">
        <f>_xll.qlCalendarAdvance(Calendar,V264,NDays&amp;"D")</f>
        <v>42151</v>
      </c>
      <c r="X264" s="211">
        <v>4.0205521240288533E-4</v>
      </c>
      <c r="Y264" s="232"/>
    </row>
    <row r="265" spans="21:25" x14ac:dyDescent="0.2">
      <c r="U265" s="209" t="str">
        <f t="shared" si="6"/>
        <v>1D</v>
      </c>
      <c r="V265" s="207">
        <f>_xll.qlCalendarAdvance(Calendar,V264,U265,"f",FALSE)</f>
        <v>42152</v>
      </c>
      <c r="W265" s="210">
        <f>_xll.qlCalendarAdvance(Calendar,V265,NDays&amp;"D")</f>
        <v>42152</v>
      </c>
      <c r="X265" s="211">
        <v>4.0094944460555837E-4</v>
      </c>
      <c r="Y265" s="232"/>
    </row>
    <row r="266" spans="21:25" x14ac:dyDescent="0.2">
      <c r="U266" s="209" t="str">
        <f t="shared" si="6"/>
        <v>1D</v>
      </c>
      <c r="V266" s="207">
        <f>_xll.qlCalendarAdvance(Calendar,V265,U266,"f",FALSE)</f>
        <v>42153</v>
      </c>
      <c r="W266" s="210">
        <f>_xll.qlCalendarAdvance(Calendar,V266,NDays&amp;"D")</f>
        <v>42153</v>
      </c>
      <c r="X266" s="211">
        <v>3.9857213876004494E-4</v>
      </c>
      <c r="Y266" s="232"/>
    </row>
    <row r="267" spans="21:25" x14ac:dyDescent="0.2">
      <c r="U267" s="209" t="str">
        <f t="shared" si="6"/>
        <v>1D</v>
      </c>
      <c r="V267" s="207">
        <f>_xll.qlCalendarAdvance(Calendar,V266,U267,"f",FALSE)</f>
        <v>42156</v>
      </c>
      <c r="W267" s="210">
        <f>_xll.qlCalendarAdvance(Calendar,V267,NDays&amp;"D")</f>
        <v>42156</v>
      </c>
      <c r="X267" s="211">
        <v>3.9602773884261921E-4</v>
      </c>
      <c r="Y267" s="232"/>
    </row>
    <row r="268" spans="21:25" x14ac:dyDescent="0.2">
      <c r="U268" s="209" t="str">
        <f t="shared" si="6"/>
        <v>1D</v>
      </c>
      <c r="V268" s="207">
        <f>_xll.qlCalendarAdvance(Calendar,V267,U268,"f",FALSE)</f>
        <v>42157</v>
      </c>
      <c r="W268" s="210">
        <f>_xll.qlCalendarAdvance(Calendar,V268,NDays&amp;"D")</f>
        <v>42157</v>
      </c>
      <c r="X268" s="211">
        <v>3.9468788373575592E-4</v>
      </c>
      <c r="Y268" s="232"/>
    </row>
    <row r="269" spans="21:25" x14ac:dyDescent="0.2">
      <c r="U269" s="209" t="str">
        <f t="shared" ref="U269:U332" si="7">U268</f>
        <v>1D</v>
      </c>
      <c r="V269" s="207">
        <f>_xll.qlCalendarAdvance(Calendar,V268,U269,"f",FALSE)</f>
        <v>42158</v>
      </c>
      <c r="W269" s="210">
        <f>_xll.qlCalendarAdvance(Calendar,V269,NDays&amp;"D")</f>
        <v>42158</v>
      </c>
      <c r="X269" s="211">
        <v>3.9337431560149128E-4</v>
      </c>
      <c r="Y269" s="232"/>
    </row>
    <row r="270" spans="21:25" x14ac:dyDescent="0.2">
      <c r="U270" s="209" t="str">
        <f t="shared" si="7"/>
        <v>1D</v>
      </c>
      <c r="V270" s="207">
        <f>_xll.qlCalendarAdvance(Calendar,V269,U270,"f",FALSE)</f>
        <v>42159</v>
      </c>
      <c r="W270" s="210">
        <f>_xll.qlCalendarAdvance(Calendar,V270,NDays&amp;"D")</f>
        <v>42159</v>
      </c>
      <c r="X270" s="211">
        <v>3.9210226441710461E-4</v>
      </c>
      <c r="Y270" s="232"/>
    </row>
    <row r="271" spans="21:25" x14ac:dyDescent="0.2">
      <c r="U271" s="209" t="str">
        <f t="shared" si="7"/>
        <v>1D</v>
      </c>
      <c r="V271" s="207">
        <f>_xll.qlCalendarAdvance(Calendar,V270,U271,"f",FALSE)</f>
        <v>42160</v>
      </c>
      <c r="W271" s="210">
        <f>_xll.qlCalendarAdvance(Calendar,V271,NDays&amp;"D")</f>
        <v>42160</v>
      </c>
      <c r="X271" s="211">
        <v>3.8969697383706148E-4</v>
      </c>
      <c r="Y271" s="232"/>
    </row>
    <row r="272" spans="21:25" x14ac:dyDescent="0.2">
      <c r="U272" s="209" t="str">
        <f t="shared" si="7"/>
        <v>1D</v>
      </c>
      <c r="V272" s="207">
        <f>_xll.qlCalendarAdvance(Calendar,V271,U272,"f",FALSE)</f>
        <v>42163</v>
      </c>
      <c r="W272" s="210">
        <f>_xll.qlCalendarAdvance(Calendar,V272,NDays&amp;"D")</f>
        <v>42163</v>
      </c>
      <c r="X272" s="211">
        <v>3.874292294980819E-4</v>
      </c>
      <c r="Y272" s="232"/>
    </row>
    <row r="273" spans="21:25" x14ac:dyDescent="0.2">
      <c r="U273" s="209" t="str">
        <f t="shared" si="7"/>
        <v>1D</v>
      </c>
      <c r="V273" s="207">
        <f>_xll.qlCalendarAdvance(Calendar,V272,U273,"f",FALSE)</f>
        <v>42164</v>
      </c>
      <c r="W273" s="210">
        <f>_xll.qlCalendarAdvance(Calendar,V273,NDays&amp;"D")</f>
        <v>42164</v>
      </c>
      <c r="X273" s="211">
        <v>3.8636476322295721E-4</v>
      </c>
      <c r="Y273" s="232"/>
    </row>
    <row r="274" spans="21:25" x14ac:dyDescent="0.2">
      <c r="U274" s="209" t="str">
        <f t="shared" si="7"/>
        <v>1D</v>
      </c>
      <c r="V274" s="207">
        <f>_xll.qlCalendarAdvance(Calendar,V273,U274,"f",FALSE)</f>
        <v>42165</v>
      </c>
      <c r="W274" s="210">
        <f>_xll.qlCalendarAdvance(Calendar,V274,NDays&amp;"D")</f>
        <v>42165</v>
      </c>
      <c r="X274" s="211">
        <v>3.8534181389771049E-4</v>
      </c>
      <c r="Y274" s="232"/>
    </row>
    <row r="275" spans="21:25" x14ac:dyDescent="0.2">
      <c r="U275" s="209" t="str">
        <f t="shared" si="7"/>
        <v>1D</v>
      </c>
      <c r="V275" s="207">
        <f>_xll.qlCalendarAdvance(Calendar,V274,U275,"f",FALSE)</f>
        <v>42166</v>
      </c>
      <c r="W275" s="210">
        <f>_xll.qlCalendarAdvance(Calendar,V275,NDays&amp;"D")</f>
        <v>42166</v>
      </c>
      <c r="X275" s="211">
        <v>3.8436038152234175E-4</v>
      </c>
      <c r="Y275" s="232"/>
    </row>
    <row r="276" spans="21:25" x14ac:dyDescent="0.2">
      <c r="U276" s="209" t="str">
        <f t="shared" si="7"/>
        <v>1D</v>
      </c>
      <c r="V276" s="207">
        <f>_xll.qlCalendarAdvance(Calendar,V275,U276,"f",FALSE)</f>
        <v>42167</v>
      </c>
      <c r="W276" s="210">
        <f>_xll.qlCalendarAdvance(Calendar,V276,NDays&amp;"D")</f>
        <v>42167</v>
      </c>
      <c r="X276" s="211">
        <v>3.8253631323925674E-4</v>
      </c>
      <c r="Y276" s="232"/>
    </row>
    <row r="277" spans="21:25" x14ac:dyDescent="0.2">
      <c r="U277" s="209" t="str">
        <f t="shared" si="7"/>
        <v>1D</v>
      </c>
      <c r="V277" s="207">
        <f>_xll.qlCalendarAdvance(Calendar,V276,U277,"f",FALSE)</f>
        <v>42170</v>
      </c>
      <c r="W277" s="210">
        <f>_xll.qlCalendarAdvance(Calendar,V277,NDays&amp;"D")</f>
        <v>42170</v>
      </c>
      <c r="X277" s="211">
        <v>3.8084982191932681E-4</v>
      </c>
      <c r="Y277" s="232"/>
    </row>
    <row r="278" spans="21:25" x14ac:dyDescent="0.2">
      <c r="U278" s="209" t="str">
        <f t="shared" si="7"/>
        <v>1D</v>
      </c>
      <c r="V278" s="207">
        <f>_xll.qlCalendarAdvance(Calendar,V277,U278,"f",FALSE)</f>
        <v>42171</v>
      </c>
      <c r="W278" s="210">
        <f>_xll.qlCalendarAdvance(Calendar,V278,NDays&amp;"D")</f>
        <v>42171</v>
      </c>
      <c r="X278" s="211">
        <v>3.8007597445322006E-4</v>
      </c>
      <c r="Y278" s="232"/>
    </row>
    <row r="279" spans="21:25" x14ac:dyDescent="0.2">
      <c r="U279" s="209" t="str">
        <f t="shared" si="7"/>
        <v>1D</v>
      </c>
      <c r="V279" s="207">
        <f>_xll.qlCalendarAdvance(Calendar,V278,U279,"f",FALSE)</f>
        <v>42172</v>
      </c>
      <c r="W279" s="210">
        <f>_xll.qlCalendarAdvance(Calendar,V279,NDays&amp;"D")</f>
        <v>42172</v>
      </c>
      <c r="X279" s="211">
        <v>3.7934364393699127E-4</v>
      </c>
      <c r="Y279" s="232"/>
    </row>
    <row r="280" spans="21:25" x14ac:dyDescent="0.2">
      <c r="U280" s="209" t="str">
        <f t="shared" si="7"/>
        <v>1D</v>
      </c>
      <c r="V280" s="207">
        <f>_xll.qlCalendarAdvance(Calendar,V279,U280,"f",FALSE)</f>
        <v>42173</v>
      </c>
      <c r="W280" s="210">
        <f>_xll.qlCalendarAdvance(Calendar,V280,NDays&amp;"D")</f>
        <v>42173</v>
      </c>
      <c r="X280" s="211">
        <v>3.7865283037064046E-4</v>
      </c>
      <c r="Y280" s="232"/>
    </row>
    <row r="281" spans="21:25" x14ac:dyDescent="0.2">
      <c r="U281" s="209" t="str">
        <f t="shared" si="7"/>
        <v>1D</v>
      </c>
      <c r="V281" s="207">
        <f>_xll.qlCalendarAdvance(Calendar,V280,U281,"f",FALSE)</f>
        <v>42174</v>
      </c>
      <c r="W281" s="210">
        <f>_xll.qlCalendarAdvance(Calendar,V281,NDays&amp;"D")</f>
        <v>42174</v>
      </c>
      <c r="X281" s="211">
        <v>3.774099889142235E-4</v>
      </c>
      <c r="Y281" s="232"/>
    </row>
    <row r="282" spans="21:25" x14ac:dyDescent="0.2">
      <c r="U282" s="209" t="str">
        <f t="shared" si="7"/>
        <v>1D</v>
      </c>
      <c r="V282" s="207">
        <f>_xll.qlCalendarAdvance(Calendar,V281,U282,"f",FALSE)</f>
        <v>42177</v>
      </c>
      <c r="W282" s="210">
        <f>_xll.qlCalendarAdvance(Calendar,V282,NDays&amp;"D")</f>
        <v>42177</v>
      </c>
      <c r="X282" s="211">
        <v>3.7630474600369723E-4</v>
      </c>
      <c r="Y282" s="232"/>
    </row>
    <row r="283" spans="21:25" x14ac:dyDescent="0.2">
      <c r="U283" s="209" t="str">
        <f t="shared" si="7"/>
        <v>1D</v>
      </c>
      <c r="V283" s="207">
        <f>_xll.qlCalendarAdvance(Calendar,V282,U283,"f",FALSE)</f>
        <v>42178</v>
      </c>
      <c r="W283" s="210">
        <f>_xll.qlCalendarAdvance(Calendar,V283,NDays&amp;"D")</f>
        <v>42178</v>
      </c>
      <c r="X283" s="211">
        <v>3.758215173466084E-4</v>
      </c>
      <c r="Y283" s="232"/>
    </row>
    <row r="284" spans="21:25" x14ac:dyDescent="0.2">
      <c r="U284" s="209" t="str">
        <f t="shared" si="7"/>
        <v>1D</v>
      </c>
      <c r="V284" s="207">
        <f>_xll.qlCalendarAdvance(Calendar,V283,U284,"f",FALSE)</f>
        <v>42179</v>
      </c>
      <c r="W284" s="210">
        <f>_xll.qlCalendarAdvance(Calendar,V284,NDays&amp;"D")</f>
        <v>42179</v>
      </c>
      <c r="X284" s="211">
        <v>3.7537980563939755E-4</v>
      </c>
      <c r="Y284" s="232"/>
    </row>
    <row r="285" spans="21:25" x14ac:dyDescent="0.2">
      <c r="U285" s="209" t="str">
        <f t="shared" si="7"/>
        <v>1D</v>
      </c>
      <c r="V285" s="207">
        <f>_xll.qlCalendarAdvance(Calendar,V284,U285,"f",FALSE)</f>
        <v>42180</v>
      </c>
      <c r="W285" s="210">
        <f>_xll.qlCalendarAdvance(Calendar,V285,NDays&amp;"D")</f>
        <v>42180</v>
      </c>
      <c r="X285" s="211">
        <v>3.7497961088206466E-4</v>
      </c>
      <c r="Y285" s="232"/>
    </row>
    <row r="286" spans="21:25" x14ac:dyDescent="0.2">
      <c r="U286" s="209" t="str">
        <f t="shared" si="7"/>
        <v>1D</v>
      </c>
      <c r="V286" s="207">
        <f>_xll.qlCalendarAdvance(Calendar,V285,U286,"f",FALSE)</f>
        <v>42181</v>
      </c>
      <c r="W286" s="210">
        <f>_xll.qlCalendarAdvance(Calendar,V286,NDays&amp;"D")</f>
        <v>42181</v>
      </c>
      <c r="X286" s="211">
        <v>3.7431800056886289E-4</v>
      </c>
      <c r="Y286" s="232"/>
    </row>
    <row r="287" spans="21:25" x14ac:dyDescent="0.2">
      <c r="U287" s="209" t="str">
        <f t="shared" si="7"/>
        <v>1D</v>
      </c>
      <c r="V287" s="207">
        <f>_xll.qlCalendarAdvance(Calendar,V286,U287,"f",FALSE)</f>
        <v>42184</v>
      </c>
      <c r="W287" s="210">
        <f>_xll.qlCalendarAdvance(Calendar,V287,NDays&amp;"D")</f>
        <v>42184</v>
      </c>
      <c r="X287" s="211">
        <v>3.7379400167125709E-4</v>
      </c>
      <c r="Y287" s="232"/>
    </row>
    <row r="288" spans="21:25" x14ac:dyDescent="0.2">
      <c r="U288" s="209" t="str">
        <f t="shared" si="7"/>
        <v>1D</v>
      </c>
      <c r="V288" s="207">
        <f>_xll.qlCalendarAdvance(Calendar,V287,U288,"f",FALSE)</f>
        <v>42185</v>
      </c>
      <c r="W288" s="210">
        <f>_xll.qlCalendarAdvance(Calendar,V288,NDays&amp;"D")</f>
        <v>42185</v>
      </c>
      <c r="X288" s="211">
        <v>3.7360139182318619E-4</v>
      </c>
      <c r="Y288" s="232"/>
    </row>
    <row r="289" spans="21:25" x14ac:dyDescent="0.2">
      <c r="U289" s="209" t="str">
        <f t="shared" si="7"/>
        <v>1D</v>
      </c>
      <c r="V289" s="207">
        <f>_xll.qlCalendarAdvance(Calendar,V288,U289,"f",FALSE)</f>
        <v>42186</v>
      </c>
      <c r="W289" s="210">
        <f>_xll.qlCalendarAdvance(Calendar,V289,NDays&amp;"D")</f>
        <v>42186</v>
      </c>
      <c r="X289" s="211">
        <v>3.7345029892499326E-4</v>
      </c>
      <c r="Y289" s="232"/>
    </row>
    <row r="290" spans="21:25" x14ac:dyDescent="0.2">
      <c r="U290" s="209" t="str">
        <f t="shared" si="7"/>
        <v>1D</v>
      </c>
      <c r="V290" s="207">
        <f>_xll.qlCalendarAdvance(Calendar,V289,U290,"f",FALSE)</f>
        <v>42187</v>
      </c>
      <c r="W290" s="210">
        <f>_xll.qlCalendarAdvance(Calendar,V290,NDays&amp;"D")</f>
        <v>42187</v>
      </c>
      <c r="X290" s="211">
        <v>3.7334072297667831E-4</v>
      </c>
      <c r="Y290" s="232"/>
    </row>
    <row r="291" spans="21:25" x14ac:dyDescent="0.2">
      <c r="U291" s="209" t="str">
        <f t="shared" si="7"/>
        <v>1D</v>
      </c>
      <c r="V291" s="207">
        <f>_xll.qlCalendarAdvance(Calendar,V290,U291,"f",FALSE)</f>
        <v>42188</v>
      </c>
      <c r="W291" s="210">
        <f>_xll.qlCalendarAdvance(Calendar,V291,NDays&amp;"D")</f>
        <v>42188</v>
      </c>
      <c r="X291" s="211">
        <v>3.7326034801665742E-4</v>
      </c>
      <c r="Y291" s="232"/>
    </row>
    <row r="292" spans="21:25" x14ac:dyDescent="0.2">
      <c r="U292" s="209" t="str">
        <f t="shared" si="7"/>
        <v>1D</v>
      </c>
      <c r="V292" s="207">
        <f>_xll.qlCalendarAdvance(Calendar,V291,U292,"f",FALSE)</f>
        <v>42191</v>
      </c>
      <c r="W292" s="210">
        <f>_xll.qlCalendarAdvance(Calendar,V292,NDays&amp;"D")</f>
        <v>42191</v>
      </c>
      <c r="X292" s="211">
        <v>3.7331758900194245E-4</v>
      </c>
      <c r="Y292" s="232"/>
    </row>
    <row r="293" spans="21:25" x14ac:dyDescent="0.2">
      <c r="U293" s="209" t="str">
        <f t="shared" si="7"/>
        <v>1D</v>
      </c>
      <c r="V293" s="207">
        <f>_xll.qlCalendarAdvance(Calendar,V292,U293,"f",FALSE)</f>
        <v>42192</v>
      </c>
      <c r="W293" s="210">
        <f>_xll.qlCalendarAdvance(Calendar,V293,NDays&amp;"D")</f>
        <v>42192</v>
      </c>
      <c r="X293" s="211">
        <v>3.7341559788295342E-4</v>
      </c>
      <c r="Y293" s="232"/>
    </row>
    <row r="294" spans="21:25" x14ac:dyDescent="0.2">
      <c r="U294" s="209" t="str">
        <f t="shared" si="7"/>
        <v>1D</v>
      </c>
      <c r="V294" s="207">
        <f>_xll.qlCalendarAdvance(Calendar,V293,U294,"f",FALSE)</f>
        <v>42193</v>
      </c>
      <c r="W294" s="210">
        <f>_xll.qlCalendarAdvance(Calendar,V294,NDays&amp;"D")</f>
        <v>42193</v>
      </c>
      <c r="X294" s="211">
        <v>3.7355512371384236E-4</v>
      </c>
      <c r="Y294" s="232"/>
    </row>
    <row r="295" spans="21:25" x14ac:dyDescent="0.2">
      <c r="U295" s="209" t="str">
        <f t="shared" si="7"/>
        <v>1D</v>
      </c>
      <c r="V295" s="207">
        <f>_xll.qlCalendarAdvance(Calendar,V294,U295,"f",FALSE)</f>
        <v>42194</v>
      </c>
      <c r="W295" s="210">
        <f>_xll.qlCalendarAdvance(Calendar,V295,NDays&amp;"D")</f>
        <v>42194</v>
      </c>
      <c r="X295" s="211">
        <v>3.7373616665448139E-4</v>
      </c>
      <c r="Y295" s="232"/>
    </row>
    <row r="296" spans="21:25" x14ac:dyDescent="0.2">
      <c r="U296" s="209" t="str">
        <f t="shared" si="7"/>
        <v>1D</v>
      </c>
      <c r="V296" s="207">
        <f>_xll.qlCalendarAdvance(Calendar,V295,U296,"f",FALSE)</f>
        <v>42195</v>
      </c>
      <c r="W296" s="210">
        <f>_xll.qlCalendarAdvance(Calendar,V296,NDays&amp;"D")</f>
        <v>42195</v>
      </c>
      <c r="X296" s="211">
        <v>3.742370312576071E-4</v>
      </c>
      <c r="Y296" s="232"/>
    </row>
    <row r="297" spans="21:25" x14ac:dyDescent="0.2">
      <c r="U297" s="209" t="str">
        <f t="shared" si="7"/>
        <v>1D</v>
      </c>
      <c r="V297" s="207">
        <f>_xll.qlCalendarAdvance(Calendar,V296,U297,"f",FALSE)</f>
        <v>42198</v>
      </c>
      <c r="W297" s="210">
        <f>_xll.qlCalendarAdvance(Calendar,V297,NDays&amp;"D")</f>
        <v>42198</v>
      </c>
      <c r="X297" s="211">
        <v>3.7487550775594514E-4</v>
      </c>
      <c r="Y297" s="232"/>
    </row>
    <row r="298" spans="21:25" x14ac:dyDescent="0.2">
      <c r="U298" s="209" t="str">
        <f t="shared" si="7"/>
        <v>1D</v>
      </c>
      <c r="V298" s="207">
        <f>_xll.qlCalendarAdvance(Calendar,V297,U298,"f",FALSE)</f>
        <v>42199</v>
      </c>
      <c r="W298" s="210">
        <f>_xll.qlCalendarAdvance(Calendar,V298,NDays&amp;"D")</f>
        <v>42199</v>
      </c>
      <c r="X298" s="211">
        <v>3.7526413544597403E-4</v>
      </c>
      <c r="Y298" s="232"/>
    </row>
    <row r="299" spans="21:25" x14ac:dyDescent="0.2">
      <c r="U299" s="209" t="str">
        <f t="shared" si="7"/>
        <v>1D</v>
      </c>
      <c r="V299" s="207">
        <f>_xll.qlCalendarAdvance(Calendar,V298,U299,"f",FALSE)</f>
        <v>42200</v>
      </c>
      <c r="W299" s="210">
        <f>_xll.qlCalendarAdvance(Calendar,V299,NDays&amp;"D")</f>
        <v>42200</v>
      </c>
      <c r="X299" s="211">
        <v>3.7569428016581696E-4</v>
      </c>
      <c r="Y299" s="232"/>
    </row>
    <row r="300" spans="21:25" x14ac:dyDescent="0.2">
      <c r="U300" s="209" t="str">
        <f t="shared" si="7"/>
        <v>1D</v>
      </c>
      <c r="V300" s="207">
        <f>_xll.qlCalendarAdvance(Calendar,V299,U300,"f",FALSE)</f>
        <v>42201</v>
      </c>
      <c r="W300" s="210">
        <f>_xll.qlCalendarAdvance(Calendar,V300,NDays&amp;"D")</f>
        <v>42201</v>
      </c>
      <c r="X300" s="211">
        <v>3.7616594175560181E-4</v>
      </c>
      <c r="Y300" s="232"/>
    </row>
    <row r="301" spans="21:25" x14ac:dyDescent="0.2">
      <c r="U301" s="209" t="str">
        <f t="shared" si="7"/>
        <v>1D</v>
      </c>
      <c r="V301" s="207">
        <f>_xll.qlCalendarAdvance(Calendar,V300,U301,"f",FALSE)</f>
        <v>42202</v>
      </c>
      <c r="W301" s="210">
        <f>_xll.qlCalendarAdvance(Calendar,V301,NDays&amp;"D")</f>
        <v>42202</v>
      </c>
      <c r="X301" s="211">
        <v>3.7724805034500264E-4</v>
      </c>
      <c r="Y301" s="232"/>
    </row>
    <row r="302" spans="21:25" x14ac:dyDescent="0.2">
      <c r="U302" s="209" t="str">
        <f t="shared" si="7"/>
        <v>1D</v>
      </c>
      <c r="V302" s="207">
        <f>_xll.qlCalendarAdvance(Calendar,V301,U302,"f",FALSE)</f>
        <v>42205</v>
      </c>
      <c r="W302" s="210">
        <f>_xll.qlCalendarAdvance(Calendar,V302,NDays&amp;"D")</f>
        <v>42205</v>
      </c>
      <c r="X302" s="211">
        <v>3.7846775809313726E-4</v>
      </c>
      <c r="Y302" s="232"/>
    </row>
    <row r="303" spans="21:25" x14ac:dyDescent="0.2">
      <c r="U303" s="209" t="str">
        <f t="shared" si="7"/>
        <v>1D</v>
      </c>
      <c r="V303" s="207">
        <f>_xll.qlCalendarAdvance(Calendar,V302,U303,"f",FALSE)</f>
        <v>42206</v>
      </c>
      <c r="W303" s="210">
        <f>_xll.qlCalendarAdvance(Calendar,V303,NDays&amp;"D")</f>
        <v>42206</v>
      </c>
      <c r="X303" s="211">
        <v>3.7914700467212015E-4</v>
      </c>
      <c r="Y303" s="232"/>
    </row>
    <row r="304" spans="21:25" x14ac:dyDescent="0.2">
      <c r="U304" s="209" t="str">
        <f t="shared" si="7"/>
        <v>1D</v>
      </c>
      <c r="V304" s="207">
        <f>_xll.qlCalendarAdvance(Calendar,V303,U304,"f",FALSE)</f>
        <v>42207</v>
      </c>
      <c r="W304" s="210">
        <f>_xll.qlCalendarAdvance(Calendar,V304,NDays&amp;"D")</f>
        <v>42207</v>
      </c>
      <c r="X304" s="211">
        <v>3.79867768200981E-4</v>
      </c>
      <c r="Y304" s="232"/>
    </row>
    <row r="305" spans="21:25" x14ac:dyDescent="0.2">
      <c r="U305" s="209" t="str">
        <f t="shared" si="7"/>
        <v>1D</v>
      </c>
      <c r="V305" s="207">
        <f>_xll.qlCalendarAdvance(Calendar,V304,U305,"f",FALSE)</f>
        <v>42208</v>
      </c>
      <c r="W305" s="210">
        <f>_xll.qlCalendarAdvance(Calendar,V305,NDays&amp;"D")</f>
        <v>42208</v>
      </c>
      <c r="X305" s="211">
        <v>3.8063004859978378E-4</v>
      </c>
      <c r="Y305" s="232"/>
    </row>
    <row r="306" spans="21:25" x14ac:dyDescent="0.2">
      <c r="U306" s="209" t="str">
        <f t="shared" si="7"/>
        <v>1D</v>
      </c>
      <c r="V306" s="207">
        <f>_xll.qlCalendarAdvance(Calendar,V305,U306,"f",FALSE)</f>
        <v>42209</v>
      </c>
      <c r="W306" s="210">
        <f>_xll.qlCalendarAdvance(Calendar,V306,NDays&amp;"D")</f>
        <v>42209</v>
      </c>
      <c r="X306" s="211">
        <v>3.8229340538542544E-4</v>
      </c>
      <c r="Y306" s="232"/>
    </row>
    <row r="307" spans="21:25" x14ac:dyDescent="0.2">
      <c r="U307" s="209" t="str">
        <f t="shared" si="7"/>
        <v>1D</v>
      </c>
      <c r="V307" s="207">
        <f>_xll.qlCalendarAdvance(Calendar,V306,U307,"f",FALSE)</f>
        <v>42212</v>
      </c>
      <c r="W307" s="210">
        <f>_xll.qlCalendarAdvance(Calendar,V307,NDays&amp;"D")</f>
        <v>42212</v>
      </c>
      <c r="X307" s="211">
        <v>3.8409434017339095E-4</v>
      </c>
      <c r="Y307" s="232"/>
    </row>
    <row r="308" spans="21:25" x14ac:dyDescent="0.2">
      <c r="U308" s="209" t="str">
        <f t="shared" si="7"/>
        <v>1D</v>
      </c>
      <c r="V308" s="207">
        <f>_xll.qlCalendarAdvance(Calendar,V307,U308,"f",FALSE)</f>
        <v>42213</v>
      </c>
      <c r="W308" s="210">
        <f>_xll.qlCalendarAdvance(Calendar,V308,NDays&amp;"D")</f>
        <v>42213</v>
      </c>
      <c r="X308" s="211">
        <v>3.850642054814557E-4</v>
      </c>
      <c r="Y308" s="232"/>
    </row>
    <row r="309" spans="21:25" x14ac:dyDescent="0.2">
      <c r="U309" s="209" t="str">
        <f t="shared" si="7"/>
        <v>1D</v>
      </c>
      <c r="V309" s="207">
        <f>_xll.qlCalendarAdvance(Calendar,V308,U309,"f",FALSE)</f>
        <v>42214</v>
      </c>
      <c r="W309" s="210">
        <f>_xll.qlCalendarAdvance(Calendar,V309,NDays&amp;"D")</f>
        <v>42214</v>
      </c>
      <c r="X309" s="211">
        <v>3.8607558781933449E-4</v>
      </c>
      <c r="Y309" s="232"/>
    </row>
    <row r="310" spans="21:25" x14ac:dyDescent="0.2">
      <c r="U310" s="209" t="str">
        <f t="shared" si="7"/>
        <v>1D</v>
      </c>
      <c r="V310" s="207">
        <f>_xll.qlCalendarAdvance(Calendar,V309,U310,"f",FALSE)</f>
        <v>42215</v>
      </c>
      <c r="W310" s="210">
        <f>_xll.qlCalendarAdvance(Calendar,V310,NDays&amp;"D")</f>
        <v>42215</v>
      </c>
      <c r="X310" s="211">
        <v>3.8712848702715519E-4</v>
      </c>
      <c r="Y310" s="232"/>
    </row>
    <row r="311" spans="21:25" x14ac:dyDescent="0.2">
      <c r="U311" s="209" t="str">
        <f t="shared" si="7"/>
        <v>1D</v>
      </c>
      <c r="V311" s="207">
        <f>_xll.qlCalendarAdvance(Calendar,V310,U311,"f",FALSE)</f>
        <v>42216</v>
      </c>
      <c r="W311" s="210">
        <f>_xll.qlCalendarAdvance(Calendar,V311,NDays&amp;"D")</f>
        <v>42216</v>
      </c>
      <c r="X311" s="211">
        <v>3.8937309669861975E-4</v>
      </c>
      <c r="Y311" s="232"/>
    </row>
    <row r="312" spans="21:25" x14ac:dyDescent="0.2">
      <c r="U312" s="209" t="str">
        <f t="shared" si="7"/>
        <v>1D</v>
      </c>
      <c r="V312" s="207">
        <f>_xll.qlCalendarAdvance(Calendar,V311,U312,"f",FALSE)</f>
        <v>42219</v>
      </c>
      <c r="W312" s="210">
        <f>_xll.qlCalendarAdvance(Calendar,V312,NDays&amp;"D")</f>
        <v>42219</v>
      </c>
      <c r="X312" s="211">
        <v>3.9175525391677013E-4</v>
      </c>
      <c r="Y312" s="232"/>
    </row>
    <row r="313" spans="21:25" x14ac:dyDescent="0.2">
      <c r="U313" s="209" t="str">
        <f t="shared" si="7"/>
        <v>1D</v>
      </c>
      <c r="V313" s="207">
        <f>_xll.qlCalendarAdvance(Calendar,V312,U313,"f",FALSE)</f>
        <v>42220</v>
      </c>
      <c r="W313" s="210">
        <f>_xll.qlCalendarAdvance(Calendar,V313,NDays&amp;"D")</f>
        <v>42220</v>
      </c>
      <c r="X313" s="211">
        <v>3.9301573811378887E-4</v>
      </c>
      <c r="Y313" s="232"/>
    </row>
    <row r="314" spans="21:25" x14ac:dyDescent="0.2">
      <c r="U314" s="209" t="str">
        <f t="shared" si="7"/>
        <v>1D</v>
      </c>
      <c r="V314" s="207">
        <f>_xll.qlCalendarAdvance(Calendar,V313,U314,"f",FALSE)</f>
        <v>42221</v>
      </c>
      <c r="W314" s="210">
        <f>_xll.qlCalendarAdvance(Calendar,V314,NDays&amp;"D")</f>
        <v>42221</v>
      </c>
      <c r="X314" s="211">
        <v>3.9431773918074953E-4</v>
      </c>
      <c r="Y314" s="232"/>
    </row>
    <row r="315" spans="21:25" x14ac:dyDescent="0.2">
      <c r="U315" s="209" t="str">
        <f t="shared" si="7"/>
        <v>1D</v>
      </c>
      <c r="V315" s="207">
        <f>_xll.qlCalendarAdvance(Calendar,V314,U315,"f",FALSE)</f>
        <v>42222</v>
      </c>
      <c r="W315" s="210">
        <f>_xll.qlCalendarAdvance(Calendar,V315,NDays&amp;"D")</f>
        <v>42222</v>
      </c>
      <c r="X315" s="211">
        <v>3.9566125727752421E-4</v>
      </c>
      <c r="Y315" s="232"/>
    </row>
    <row r="316" spans="21:25" x14ac:dyDescent="0.2">
      <c r="U316" s="209" t="str">
        <f t="shared" si="7"/>
        <v>1D</v>
      </c>
      <c r="V316" s="207">
        <f>_xll.qlCalendarAdvance(Calendar,V315,U316,"f",FALSE)</f>
        <v>42223</v>
      </c>
      <c r="W316" s="210">
        <f>_xll.qlCalendarAdvance(Calendar,V316,NDays&amp;"D")</f>
        <v>42223</v>
      </c>
      <c r="X316" s="211">
        <v>3.9848712455103907E-4</v>
      </c>
      <c r="Y316" s="232"/>
    </row>
    <row r="317" spans="21:25" x14ac:dyDescent="0.2">
      <c r="U317" s="209" t="str">
        <f t="shared" si="7"/>
        <v>1D</v>
      </c>
      <c r="V317" s="207">
        <f>_xll.qlCalendarAdvance(Calendar,V316,U317,"f",FALSE)</f>
        <v>42226</v>
      </c>
      <c r="W317" s="210">
        <f>_xll.qlCalendarAdvance(Calendar,V317,NDays&amp;"D")</f>
        <v>42226</v>
      </c>
      <c r="X317" s="211">
        <v>4.0145049956308299E-4</v>
      </c>
      <c r="Y317" s="232"/>
    </row>
    <row r="318" spans="21:25" x14ac:dyDescent="0.2">
      <c r="U318" s="209" t="str">
        <f t="shared" si="7"/>
        <v>1D</v>
      </c>
      <c r="V318" s="207">
        <f>_xll.qlCalendarAdvance(Calendar,V317,U318,"f",FALSE)</f>
        <v>42227</v>
      </c>
      <c r="W318" s="210">
        <f>_xll.qlCalendarAdvance(Calendar,V318,NDays&amp;"D")</f>
        <v>42227</v>
      </c>
      <c r="X318" s="211">
        <v>4.0300160256911965E-4</v>
      </c>
      <c r="Y318" s="232"/>
    </row>
    <row r="319" spans="21:25" x14ac:dyDescent="0.2">
      <c r="U319" s="209" t="str">
        <f t="shared" si="7"/>
        <v>1D</v>
      </c>
      <c r="V319" s="207">
        <f>_xll.qlCalendarAdvance(Calendar,V318,U319,"f",FALSE)</f>
        <v>42228</v>
      </c>
      <c r="W319" s="210">
        <f>_xll.qlCalendarAdvance(Calendar,V319,NDays&amp;"D")</f>
        <v>42228</v>
      </c>
      <c r="X319" s="211">
        <v>4.0459422260497035E-4</v>
      </c>
      <c r="Y319" s="232"/>
    </row>
    <row r="320" spans="21:25" x14ac:dyDescent="0.2">
      <c r="U320" s="209" t="str">
        <f t="shared" si="7"/>
        <v>1D</v>
      </c>
      <c r="V320" s="207">
        <f>_xll.qlCalendarAdvance(Calendar,V319,U320,"f",FALSE)</f>
        <v>42229</v>
      </c>
      <c r="W320" s="210">
        <f>_xll.qlCalendarAdvance(Calendar,V320,NDays&amp;"D")</f>
        <v>42229</v>
      </c>
      <c r="X320" s="211">
        <v>4.0622835951076297E-4</v>
      </c>
      <c r="Y320" s="232"/>
    </row>
    <row r="321" spans="21:25" x14ac:dyDescent="0.2">
      <c r="U321" s="209" t="str">
        <f t="shared" si="7"/>
        <v>1D</v>
      </c>
      <c r="V321" s="207">
        <f>_xll.qlCalendarAdvance(Calendar,V320,U321,"f",FALSE)</f>
        <v>42230</v>
      </c>
      <c r="W321" s="210">
        <f>_xll.qlCalendarAdvance(Calendar,V321,NDays&amp;"D")</f>
        <v>42230</v>
      </c>
      <c r="X321" s="211">
        <v>4.0963548950223583E-4</v>
      </c>
      <c r="Y321" s="232"/>
    </row>
    <row r="322" spans="21:25" x14ac:dyDescent="0.2">
      <c r="U322" s="209" t="str">
        <f t="shared" si="7"/>
        <v>1D</v>
      </c>
      <c r="V322" s="207">
        <f>_xll.qlCalendarAdvance(Calendar,V321,U322,"f",FALSE)</f>
        <v>42233</v>
      </c>
      <c r="W322" s="210">
        <f>_xll.qlCalendarAdvance(Calendar,V322,NDays&amp;"D")</f>
        <v>42233</v>
      </c>
      <c r="X322" s="211">
        <v>4.1318007719226557E-4</v>
      </c>
      <c r="Y322" s="232"/>
    </row>
    <row r="323" spans="21:25" x14ac:dyDescent="0.2">
      <c r="U323" s="209" t="str">
        <f t="shared" si="7"/>
        <v>1D</v>
      </c>
      <c r="V323" s="207">
        <f>_xll.qlCalendarAdvance(Calendar,V322,U323,"f",FALSE)</f>
        <v>42234</v>
      </c>
      <c r="W323" s="210">
        <f>_xll.qlCalendarAdvance(Calendar,V323,NDays&amp;"D")</f>
        <v>42234</v>
      </c>
      <c r="X323" s="211">
        <v>4.1502179908725623E-4</v>
      </c>
      <c r="Y323" s="232"/>
    </row>
    <row r="324" spans="21:25" x14ac:dyDescent="0.2">
      <c r="U324" s="209" t="str">
        <f t="shared" si="7"/>
        <v>1D</v>
      </c>
      <c r="V324" s="207">
        <f>_xll.qlCalendarAdvance(Calendar,V323,U324,"f",FALSE)</f>
        <v>42235</v>
      </c>
      <c r="W324" s="210">
        <f>_xll.qlCalendarAdvance(Calendar,V324,NDays&amp;"D")</f>
        <v>42235</v>
      </c>
      <c r="X324" s="211">
        <v>4.1690503793212486E-4</v>
      </c>
      <c r="Y324" s="232"/>
    </row>
    <row r="325" spans="21:25" x14ac:dyDescent="0.2">
      <c r="U325" s="209" t="str">
        <f t="shared" si="7"/>
        <v>1D</v>
      </c>
      <c r="V325" s="207">
        <f>_xll.qlCalendarAdvance(Calendar,V324,U325,"f",FALSE)</f>
        <v>42236</v>
      </c>
      <c r="W325" s="210">
        <f>_xll.qlCalendarAdvance(Calendar,V325,NDays&amp;"D")</f>
        <v>42236</v>
      </c>
      <c r="X325" s="211">
        <v>4.1882979380680752E-4</v>
      </c>
      <c r="Y325" s="232"/>
    </row>
    <row r="326" spans="21:25" x14ac:dyDescent="0.2">
      <c r="U326" s="209" t="str">
        <f t="shared" si="7"/>
        <v>1D</v>
      </c>
      <c r="V326" s="207">
        <f>_xll.qlCalendarAdvance(Calendar,V325,U326,"f",FALSE)</f>
        <v>42237</v>
      </c>
      <c r="W326" s="210">
        <f>_xll.qlCalendarAdvance(Calendar,V326,NDays&amp;"D")</f>
        <v>42237</v>
      </c>
      <c r="X326" s="211">
        <v>4.2281819205847171E-4</v>
      </c>
      <c r="Y326" s="232"/>
    </row>
    <row r="327" spans="21:25" x14ac:dyDescent="0.2">
      <c r="U327" s="209" t="str">
        <f t="shared" si="7"/>
        <v>1D</v>
      </c>
      <c r="V327" s="207">
        <f>_xll.qlCalendarAdvance(Calendar,V326,U327,"f",FALSE)</f>
        <v>42240</v>
      </c>
      <c r="W327" s="210">
        <f>_xll.qlCalendarAdvance(Calendar,V327,NDays&amp;"D")</f>
        <v>42240</v>
      </c>
      <c r="X327" s="211">
        <v>4.2694398704412606E-4</v>
      </c>
      <c r="Y327" s="232"/>
    </row>
    <row r="328" spans="21:25" x14ac:dyDescent="0.2">
      <c r="U328" s="209" t="str">
        <f t="shared" si="7"/>
        <v>1D</v>
      </c>
      <c r="V328" s="207">
        <f>_xll.qlCalendarAdvance(Calendar,V327,U328,"f",FALSE)</f>
        <v>42241</v>
      </c>
      <c r="W328" s="210">
        <f>_xll.qlCalendarAdvance(Calendar,V328,NDays&amp;"D")</f>
        <v>42241</v>
      </c>
      <c r="X328" s="211">
        <v>4.2907632790800676E-4</v>
      </c>
      <c r="Y328" s="232"/>
    </row>
    <row r="329" spans="21:25" x14ac:dyDescent="0.2">
      <c r="U329" s="209" t="str">
        <f t="shared" si="7"/>
        <v>1D</v>
      </c>
      <c r="V329" s="207">
        <f>_xll.qlCalendarAdvance(Calendar,V328,U329,"f",FALSE)</f>
        <v>42242</v>
      </c>
      <c r="W329" s="210">
        <f>_xll.qlCalendarAdvance(Calendar,V329,NDays&amp;"D")</f>
        <v>42242</v>
      </c>
      <c r="X329" s="211">
        <v>4.3125018564182938E-4</v>
      </c>
      <c r="Y329" s="232"/>
    </row>
    <row r="330" spans="21:25" x14ac:dyDescent="0.2">
      <c r="U330" s="209" t="str">
        <f t="shared" si="7"/>
        <v>1D</v>
      </c>
      <c r="V330" s="207">
        <f>_xll.qlCalendarAdvance(Calendar,V329,U330,"f",FALSE)</f>
        <v>42243</v>
      </c>
      <c r="W330" s="210">
        <f>_xll.qlCalendarAdvance(Calendar,V330,NDays&amp;"D")</f>
        <v>42243</v>
      </c>
      <c r="X330" s="211">
        <v>4.3346556040546602E-4</v>
      </c>
      <c r="Y330" s="232"/>
    </row>
    <row r="331" spans="21:25" x14ac:dyDescent="0.2">
      <c r="U331" s="209" t="str">
        <f t="shared" si="7"/>
        <v>1D</v>
      </c>
      <c r="V331" s="207">
        <f>_xll.qlCalendarAdvance(Calendar,V330,U331,"f",FALSE)</f>
        <v>42244</v>
      </c>
      <c r="W331" s="210">
        <f>_xll.qlCalendarAdvance(Calendar,V331,NDays&amp;"D")</f>
        <v>42244</v>
      </c>
      <c r="X331" s="211">
        <v>4.3803523291252588E-4</v>
      </c>
      <c r="Y331" s="232"/>
    </row>
    <row r="332" spans="21:25" x14ac:dyDescent="0.2">
      <c r="U332" s="209" t="str">
        <f t="shared" si="7"/>
        <v>1D</v>
      </c>
      <c r="V332" s="207">
        <f>_xll.qlCalendarAdvance(Calendar,V331,U332,"f",FALSE)</f>
        <v>42247</v>
      </c>
      <c r="W332" s="210">
        <f>_xll.qlCalendarAdvance(Calendar,V332,NDays&amp;"D")</f>
        <v>42247</v>
      </c>
      <c r="X332" s="211">
        <v>4.4274222943840869E-4</v>
      </c>
      <c r="Y332" s="232"/>
    </row>
    <row r="333" spans="21:25" x14ac:dyDescent="0.2">
      <c r="U333" s="209" t="str">
        <f t="shared" ref="U333:U396" si="8">U332</f>
        <v>1D</v>
      </c>
      <c r="V333" s="207">
        <f>_xll.qlCalendarAdvance(Calendar,V332,U333,"f",FALSE)</f>
        <v>42248</v>
      </c>
      <c r="W333" s="210">
        <f>_xll.qlCalendarAdvance(Calendar,V333,NDays&amp;"D")</f>
        <v>42248</v>
      </c>
      <c r="X333" s="211">
        <v>4.4516518919124337E-4</v>
      </c>
      <c r="Y333" s="232"/>
    </row>
    <row r="334" spans="21:25" x14ac:dyDescent="0.2">
      <c r="U334" s="209" t="str">
        <f t="shared" si="8"/>
        <v>1D</v>
      </c>
      <c r="V334" s="207">
        <f>_xll.qlCalendarAdvance(Calendar,V333,U334,"f",FALSE)</f>
        <v>42249</v>
      </c>
      <c r="W334" s="210">
        <f>_xll.qlCalendarAdvance(Calendar,V334,NDays&amp;"D")</f>
        <v>42249</v>
      </c>
      <c r="X334" s="211">
        <v>4.4762653136132258E-4</v>
      </c>
      <c r="Y334" s="232"/>
    </row>
    <row r="335" spans="21:25" x14ac:dyDescent="0.2">
      <c r="U335" s="209" t="str">
        <f t="shared" si="8"/>
        <v>1D</v>
      </c>
      <c r="V335" s="207">
        <f>_xll.qlCalendarAdvance(Calendar,V334,U335,"f",FALSE)</f>
        <v>42250</v>
      </c>
      <c r="W335" s="210">
        <f>_xll.qlCalendarAdvance(Calendar,V335,NDays&amp;"D")</f>
        <v>42250</v>
      </c>
      <c r="X335" s="211">
        <v>4.5011371789804855E-4</v>
      </c>
      <c r="Y335" s="232"/>
    </row>
    <row r="336" spans="21:25" x14ac:dyDescent="0.2">
      <c r="U336" s="209" t="str">
        <f t="shared" si="8"/>
        <v>1D</v>
      </c>
      <c r="V336" s="207">
        <f>_xll.qlCalendarAdvance(Calendar,V335,U336,"f",FALSE)</f>
        <v>42251</v>
      </c>
      <c r="W336" s="210">
        <f>_xll.qlCalendarAdvance(Calendar,V336,NDays&amp;"D")</f>
        <v>42251</v>
      </c>
      <c r="X336" s="211">
        <v>4.551643659578275E-4</v>
      </c>
      <c r="Y336" s="232"/>
    </row>
    <row r="337" spans="21:25" x14ac:dyDescent="0.2">
      <c r="U337" s="209" t="str">
        <f t="shared" si="8"/>
        <v>1D</v>
      </c>
      <c r="V337" s="207">
        <f>_xll.qlCalendarAdvance(Calendar,V336,U337,"f",FALSE)</f>
        <v>42254</v>
      </c>
      <c r="W337" s="210">
        <f>_xll.qlCalendarAdvance(Calendar,V337,NDays&amp;"D")</f>
        <v>42254</v>
      </c>
      <c r="X337" s="211">
        <v>4.6028956246502162E-4</v>
      </c>
      <c r="Y337" s="232"/>
    </row>
    <row r="338" spans="21:25" x14ac:dyDescent="0.2">
      <c r="U338" s="209" t="str">
        <f t="shared" si="8"/>
        <v>1D</v>
      </c>
      <c r="V338" s="207">
        <f>_xll.qlCalendarAdvance(Calendar,V337,U338,"f",FALSE)</f>
        <v>42255</v>
      </c>
      <c r="W338" s="210">
        <f>_xll.qlCalendarAdvance(Calendar,V338,NDays&amp;"D")</f>
        <v>42255</v>
      </c>
      <c r="X338" s="211">
        <v>4.6289029825175021E-4</v>
      </c>
      <c r="Y338" s="232"/>
    </row>
    <row r="339" spans="21:25" x14ac:dyDescent="0.2">
      <c r="U339" s="209" t="str">
        <f t="shared" si="8"/>
        <v>1D</v>
      </c>
      <c r="V339" s="207">
        <f>_xll.qlCalendarAdvance(Calendar,V338,U339,"f",FALSE)</f>
        <v>42256</v>
      </c>
      <c r="W339" s="210">
        <f>_xll.qlCalendarAdvance(Calendar,V339,NDays&amp;"D")</f>
        <v>42256</v>
      </c>
      <c r="X339" s="211">
        <v>4.6551374379255606E-4</v>
      </c>
      <c r="Y339" s="232"/>
    </row>
    <row r="340" spans="21:25" x14ac:dyDescent="0.2">
      <c r="U340" s="209" t="str">
        <f t="shared" si="8"/>
        <v>1D</v>
      </c>
      <c r="V340" s="207">
        <f>_xll.qlCalendarAdvance(Calendar,V339,U340,"f",FALSE)</f>
        <v>42257</v>
      </c>
      <c r="W340" s="210">
        <f>_xll.qlCalendarAdvance(Calendar,V340,NDays&amp;"D")</f>
        <v>42257</v>
      </c>
      <c r="X340" s="211">
        <v>4.6815989924731127E-4</v>
      </c>
      <c r="Y340" s="232"/>
    </row>
    <row r="341" spans="21:25" x14ac:dyDescent="0.2">
      <c r="U341" s="209" t="str">
        <f t="shared" si="8"/>
        <v>1D</v>
      </c>
      <c r="V341" s="207">
        <f>_xll.qlCalendarAdvance(Calendar,V340,U341,"f",FALSE)</f>
        <v>42258</v>
      </c>
      <c r="W341" s="210">
        <f>_xll.qlCalendarAdvance(Calendar,V341,NDays&amp;"D")</f>
        <v>42258</v>
      </c>
      <c r="X341" s="211">
        <v>4.7352853235871351E-4</v>
      </c>
      <c r="Y341" s="232"/>
    </row>
    <row r="342" spans="21:25" x14ac:dyDescent="0.2">
      <c r="U342" s="209" t="str">
        <f t="shared" si="8"/>
        <v>1D</v>
      </c>
      <c r="V342" s="207">
        <f>_xll.qlCalendarAdvance(Calendar,V341,U342,"f",FALSE)</f>
        <v>42261</v>
      </c>
      <c r="W342" s="210">
        <f>_xll.qlCalendarAdvance(Calendar,V342,NDays&amp;"D")</f>
        <v>42261</v>
      </c>
      <c r="X342" s="211">
        <v>4.7897161924659315E-4</v>
      </c>
      <c r="Y342" s="232"/>
    </row>
    <row r="343" spans="21:25" x14ac:dyDescent="0.2">
      <c r="U343" s="209" t="str">
        <f t="shared" si="8"/>
        <v>1D</v>
      </c>
      <c r="V343" s="207">
        <f>_xll.qlCalendarAdvance(Calendar,V342,U343,"f",FALSE)</f>
        <v>42262</v>
      </c>
      <c r="W343" s="210">
        <f>_xll.qlCalendarAdvance(Calendar,V343,NDays&amp;"D")</f>
        <v>42262</v>
      </c>
      <c r="X343" s="211">
        <v>4.8173132387141493E-4</v>
      </c>
      <c r="Y343" s="232"/>
    </row>
    <row r="344" spans="21:25" x14ac:dyDescent="0.2">
      <c r="U344" s="209" t="str">
        <f t="shared" si="8"/>
        <v>1D</v>
      </c>
      <c r="V344" s="207">
        <f>_xll.qlCalendarAdvance(Calendar,V343,U344,"f",FALSE)</f>
        <v>42263</v>
      </c>
      <c r="W344" s="210">
        <f>_xll.qlCalendarAdvance(Calendar,V344,NDays&amp;"D")</f>
        <v>42263</v>
      </c>
      <c r="X344" s="211">
        <v>4.8451373825031396E-4</v>
      </c>
      <c r="Y344" s="232"/>
    </row>
    <row r="345" spans="21:25" x14ac:dyDescent="0.2">
      <c r="U345" s="209" t="str">
        <f t="shared" si="8"/>
        <v>1D</v>
      </c>
      <c r="V345" s="207">
        <f>_xll.qlCalendarAdvance(Calendar,V344,U345,"f",FALSE)</f>
        <v>42264</v>
      </c>
      <c r="W345" s="210">
        <f>_xll.qlCalendarAdvance(Calendar,V345,NDays&amp;"D")</f>
        <v>42264</v>
      </c>
      <c r="X345" s="211">
        <v>4.8731886262309843E-4</v>
      </c>
      <c r="Y345" s="232"/>
    </row>
    <row r="346" spans="21:25" x14ac:dyDescent="0.2">
      <c r="U346" s="209" t="str">
        <f t="shared" si="8"/>
        <v>1D</v>
      </c>
      <c r="V346" s="207">
        <f>_xll.qlCalendarAdvance(Calendar,V345,U346,"f",FALSE)</f>
        <v>42265</v>
      </c>
      <c r="W346" s="210">
        <f>_xll.qlCalendarAdvance(Calendar,V346,NDays&amp;"D")</f>
        <v>42265</v>
      </c>
      <c r="X346" s="211">
        <v>4.9300548576880487E-4</v>
      </c>
      <c r="Y346" s="232"/>
    </row>
    <row r="347" spans="21:25" x14ac:dyDescent="0.2">
      <c r="U347" s="209" t="str">
        <f t="shared" si="8"/>
        <v>1D</v>
      </c>
      <c r="V347" s="207">
        <f>_xll.qlCalendarAdvance(Calendar,V346,U347,"f",FALSE)</f>
        <v>42268</v>
      </c>
      <c r="W347" s="210">
        <f>_xll.qlCalendarAdvance(Calendar,V347,NDays&amp;"D")</f>
        <v>42268</v>
      </c>
      <c r="X347" s="211">
        <v>4.9876645813462517E-4</v>
      </c>
      <c r="Y347" s="232"/>
    </row>
    <row r="348" spans="21:25" x14ac:dyDescent="0.2">
      <c r="U348" s="209" t="str">
        <f t="shared" si="8"/>
        <v>1D</v>
      </c>
      <c r="V348" s="207">
        <f>_xll.qlCalendarAdvance(Calendar,V347,U348,"f",FALSE)</f>
        <v>42269</v>
      </c>
      <c r="W348" s="210">
        <f>_xll.qlCalendarAdvance(Calendar,V348,NDays&amp;"D")</f>
        <v>42269</v>
      </c>
      <c r="X348" s="211">
        <v>5.0168513167747619E-4</v>
      </c>
      <c r="Y348" s="232"/>
    </row>
    <row r="349" spans="21:25" x14ac:dyDescent="0.2">
      <c r="U349" s="209" t="str">
        <f t="shared" si="8"/>
        <v>1D</v>
      </c>
      <c r="V349" s="207">
        <f>_xll.qlCalendarAdvance(Calendar,V348,U349,"f",FALSE)</f>
        <v>42270</v>
      </c>
      <c r="W349" s="210">
        <f>_xll.qlCalendarAdvance(Calendar,V349,NDays&amp;"D")</f>
        <v>42270</v>
      </c>
      <c r="X349" s="211">
        <v>5.0462651497440447E-4</v>
      </c>
      <c r="Y349" s="232"/>
    </row>
    <row r="350" spans="21:25" x14ac:dyDescent="0.2">
      <c r="U350" s="209" t="str">
        <f t="shared" si="8"/>
        <v>1D</v>
      </c>
      <c r="V350" s="207">
        <f>_xll.qlCalendarAdvance(Calendar,V349,U350,"f",FALSE)</f>
        <v>42271</v>
      </c>
      <c r="W350" s="210">
        <f>_xll.qlCalendarAdvance(Calendar,V350,NDays&amp;"D")</f>
        <v>42271</v>
      </c>
      <c r="X350" s="211">
        <v>5.0759060818528212E-4</v>
      </c>
      <c r="Y350" s="232"/>
    </row>
    <row r="351" spans="21:25" x14ac:dyDescent="0.2">
      <c r="U351" s="209" t="str">
        <f t="shared" si="8"/>
        <v>1D</v>
      </c>
      <c r="V351" s="207">
        <f>_xll.qlCalendarAdvance(Calendar,V350,U351,"f",FALSE)</f>
        <v>42272</v>
      </c>
      <c r="W351" s="210">
        <f>_xll.qlCalendarAdvance(Calendar,V351,NDays&amp;"D")</f>
        <v>42272</v>
      </c>
      <c r="X351" s="211">
        <v>5.1359522672100866E-4</v>
      </c>
      <c r="Y351" s="232"/>
    </row>
    <row r="352" spans="21:25" x14ac:dyDescent="0.2">
      <c r="U352" s="209" t="str">
        <f t="shared" si="8"/>
        <v>1D</v>
      </c>
      <c r="V352" s="207">
        <f>_xll.qlCalendarAdvance(Calendar,V351,U352,"f",FALSE)</f>
        <v>42275</v>
      </c>
      <c r="W352" s="210">
        <f>_xll.qlCalendarAdvance(Calendar,V352,NDays&amp;"D")</f>
        <v>42275</v>
      </c>
      <c r="X352" s="211">
        <v>5.1967407936892585E-4</v>
      </c>
      <c r="Y352" s="232"/>
    </row>
    <row r="353" spans="21:25" x14ac:dyDescent="0.2">
      <c r="U353" s="209" t="str">
        <f t="shared" si="8"/>
        <v>1D</v>
      </c>
      <c r="V353" s="207">
        <f>_xll.qlCalendarAdvance(Calendar,V352,U353,"f",FALSE)</f>
        <v>42276</v>
      </c>
      <c r="W353" s="210">
        <f>_xll.qlCalendarAdvance(Calendar,V353,NDays&amp;"D")</f>
        <v>42276</v>
      </c>
      <c r="X353" s="211">
        <v>5.2275172174987006E-4</v>
      </c>
      <c r="Y353" s="232"/>
    </row>
    <row r="354" spans="21:25" x14ac:dyDescent="0.2">
      <c r="U354" s="209" t="str">
        <f t="shared" si="8"/>
        <v>1D</v>
      </c>
      <c r="V354" s="207">
        <f>_xll.qlCalendarAdvance(Calendar,V353,U354,"f",FALSE)</f>
        <v>42277</v>
      </c>
      <c r="W354" s="210">
        <f>_xll.qlCalendarAdvance(Calendar,V354,NDays&amp;"D")</f>
        <v>42277</v>
      </c>
      <c r="X354" s="211">
        <v>5.2585207404476364E-4</v>
      </c>
      <c r="Y354" s="232"/>
    </row>
    <row r="355" spans="21:25" x14ac:dyDescent="0.2">
      <c r="U355" s="209" t="str">
        <f t="shared" si="8"/>
        <v>1D</v>
      </c>
      <c r="V355" s="207">
        <f>_xll.qlCalendarAdvance(Calendar,V354,U355,"f",FALSE)</f>
        <v>42278</v>
      </c>
      <c r="W355" s="210">
        <f>_xll.qlCalendarAdvance(Calendar,V355,NDays&amp;"D")</f>
        <v>42278</v>
      </c>
      <c r="X355" s="211">
        <v>5.2897513609373448E-4</v>
      </c>
      <c r="Y355" s="232"/>
    </row>
    <row r="356" spans="21:25" x14ac:dyDescent="0.2">
      <c r="U356" s="209" t="str">
        <f t="shared" si="8"/>
        <v>1D</v>
      </c>
      <c r="V356" s="207">
        <f>_xll.qlCalendarAdvance(Calendar,V355,U356,"f",FALSE)</f>
        <v>42279</v>
      </c>
      <c r="W356" s="210">
        <f>_xll.qlCalendarAdvance(Calendar,V356,NDays&amp;"D")</f>
        <v>42279</v>
      </c>
      <c r="X356" s="211">
        <v>5.3529775577487726E-4</v>
      </c>
      <c r="Y356" s="232"/>
    </row>
    <row r="357" spans="21:25" x14ac:dyDescent="0.2">
      <c r="U357" s="209" t="str">
        <f t="shared" si="8"/>
        <v>1D</v>
      </c>
      <c r="V357" s="207">
        <f>_xll.qlCalendarAdvance(Calendar,V356,U357,"f",FALSE)</f>
        <v>42282</v>
      </c>
      <c r="W357" s="210">
        <f>_xll.qlCalendarAdvance(Calendar,V357,NDays&amp;"D")</f>
        <v>42282</v>
      </c>
      <c r="X357" s="211">
        <v>5.4169448302943124E-4</v>
      </c>
      <c r="Y357" s="232"/>
    </row>
    <row r="358" spans="21:25" x14ac:dyDescent="0.2">
      <c r="U358" s="209" t="str">
        <f t="shared" si="8"/>
        <v>1D</v>
      </c>
      <c r="V358" s="207">
        <f>_xll.qlCalendarAdvance(Calendar,V357,U358,"f",FALSE)</f>
        <v>42283</v>
      </c>
      <c r="W358" s="210">
        <f>_xll.qlCalendarAdvance(Calendar,V358,NDays&amp;"D")</f>
        <v>42283</v>
      </c>
      <c r="X358" s="211">
        <v>5.4493109440834075E-4</v>
      </c>
      <c r="Y358" s="232"/>
    </row>
    <row r="359" spans="21:25" x14ac:dyDescent="0.2">
      <c r="U359" s="209" t="str">
        <f t="shared" si="8"/>
        <v>1D</v>
      </c>
      <c r="V359" s="207">
        <f>_xll.qlCalendarAdvance(Calendar,V358,U359,"f",FALSE)</f>
        <v>42284</v>
      </c>
      <c r="W359" s="210">
        <f>_xll.qlCalendarAdvance(Calendar,V359,NDays&amp;"D")</f>
        <v>42284</v>
      </c>
      <c r="X359" s="211">
        <v>5.4819041562126358E-4</v>
      </c>
      <c r="Y359" s="232"/>
    </row>
    <row r="360" spans="21:25" x14ac:dyDescent="0.2">
      <c r="U360" s="209" t="str">
        <f t="shared" si="8"/>
        <v>1D</v>
      </c>
      <c r="V360" s="207">
        <f>_xll.qlCalendarAdvance(Calendar,V359,U360,"f",FALSE)</f>
        <v>42285</v>
      </c>
      <c r="W360" s="210">
        <f>_xll.qlCalendarAdvance(Calendar,V360,NDays&amp;"D")</f>
        <v>42285</v>
      </c>
      <c r="X360" s="211">
        <v>5.5147244666819972E-4</v>
      </c>
      <c r="Y360" s="232"/>
    </row>
    <row r="361" spans="21:25" x14ac:dyDescent="0.2">
      <c r="U361" s="209" t="str">
        <f t="shared" si="8"/>
        <v>1D</v>
      </c>
      <c r="V361" s="207">
        <f>_xll.qlCalendarAdvance(Calendar,V360,U361,"f",FALSE)</f>
        <v>42286</v>
      </c>
      <c r="W361" s="210">
        <f>_xll.qlCalendarAdvance(Calendar,V361,NDays&amp;"D")</f>
        <v>42286</v>
      </c>
      <c r="X361" s="211">
        <v>5.5811307354325379E-4</v>
      </c>
      <c r="Y361" s="232"/>
    </row>
    <row r="362" spans="21:25" x14ac:dyDescent="0.2">
      <c r="U362" s="209" t="str">
        <f t="shared" si="8"/>
        <v>1D</v>
      </c>
      <c r="V362" s="207">
        <f>_xll.qlCalendarAdvance(Calendar,V361,U362,"f",FALSE)</f>
        <v>42289</v>
      </c>
      <c r="W362" s="210">
        <f>_xll.qlCalendarAdvance(Calendar,V362,NDays&amp;"D")</f>
        <v>42289</v>
      </c>
      <c r="X362" s="211">
        <v>5.6482766951582164E-4</v>
      </c>
      <c r="Y362" s="232"/>
    </row>
    <row r="363" spans="21:25" x14ac:dyDescent="0.2">
      <c r="U363" s="209" t="str">
        <f t="shared" si="8"/>
        <v>1D</v>
      </c>
      <c r="V363" s="207">
        <f>_xll.qlCalendarAdvance(Calendar,V362,U363,"f",FALSE)</f>
        <v>42290</v>
      </c>
      <c r="W363" s="210">
        <f>_xll.qlCalendarAdvance(Calendar,V363,NDays&amp;"D")</f>
        <v>42290</v>
      </c>
      <c r="X363" s="211">
        <v>5.682232498127604E-4</v>
      </c>
      <c r="Y363" s="232"/>
    </row>
    <row r="364" spans="21:25" x14ac:dyDescent="0.2">
      <c r="U364" s="209" t="str">
        <f t="shared" si="8"/>
        <v>1D</v>
      </c>
      <c r="V364" s="207">
        <f>_xll.qlCalendarAdvance(Calendar,V363,U364,"f",FALSE)</f>
        <v>42291</v>
      </c>
      <c r="W364" s="210">
        <f>_xll.qlCalendarAdvance(Calendar,V364,NDays&amp;"D")</f>
        <v>42291</v>
      </c>
      <c r="X364" s="211">
        <v>5.7164154002364853E-4</v>
      </c>
      <c r="Y364" s="232"/>
    </row>
    <row r="365" spans="21:25" x14ac:dyDescent="0.2">
      <c r="U365" s="209" t="str">
        <f t="shared" si="8"/>
        <v>1D</v>
      </c>
      <c r="V365" s="207">
        <f>_xll.qlCalendarAdvance(Calendar,V364,U365,"f",FALSE)</f>
        <v>42292</v>
      </c>
      <c r="W365" s="210">
        <f>_xll.qlCalendarAdvance(Calendar,V365,NDays&amp;"D")</f>
        <v>42292</v>
      </c>
      <c r="X365" s="211">
        <v>5.7508254006854997E-4</v>
      </c>
      <c r="Y365" s="232"/>
    </row>
    <row r="366" spans="21:25" x14ac:dyDescent="0.2">
      <c r="U366" s="209" t="str">
        <f t="shared" si="8"/>
        <v>1D</v>
      </c>
      <c r="V366" s="207">
        <f>_xll.qlCalendarAdvance(Calendar,V365,U366,"f",FALSE)</f>
        <v>42293</v>
      </c>
      <c r="W366" s="210">
        <f>_xll.qlCalendarAdvance(Calendar,V366,NDays&amp;"D")</f>
        <v>42293</v>
      </c>
      <c r="X366" s="211">
        <v>5.8204118069227206E-4</v>
      </c>
      <c r="Y366" s="232"/>
    </row>
    <row r="367" spans="21:25" x14ac:dyDescent="0.2">
      <c r="U367" s="209" t="str">
        <f t="shared" si="8"/>
        <v>1D</v>
      </c>
      <c r="V367" s="207">
        <f>_xll.qlCalendarAdvance(Calendar,V366,U367,"f",FALSE)</f>
        <v>42296</v>
      </c>
      <c r="W367" s="210">
        <f>_xll.qlCalendarAdvance(Calendar,V367,NDays&amp;"D")</f>
        <v>42296</v>
      </c>
      <c r="X367" s="211">
        <v>5.8907363882809705E-4</v>
      </c>
      <c r="Y367" s="232"/>
    </row>
    <row r="368" spans="21:25" x14ac:dyDescent="0.2">
      <c r="U368" s="209" t="str">
        <f t="shared" si="8"/>
        <v>1D</v>
      </c>
      <c r="V368" s="207">
        <f>_xll.qlCalendarAdvance(Calendar,V367,U368,"f",FALSE)</f>
        <v>42297</v>
      </c>
      <c r="W368" s="210">
        <f>_xll.qlCalendarAdvance(Calendar,V368,NDays&amp;"D")</f>
        <v>42297</v>
      </c>
      <c r="X368" s="211">
        <v>5.9262818820293717E-4</v>
      </c>
      <c r="Y368" s="232"/>
    </row>
    <row r="369" spans="21:25" x14ac:dyDescent="0.2">
      <c r="U369" s="209" t="str">
        <f t="shared" si="8"/>
        <v>1D</v>
      </c>
      <c r="V369" s="207">
        <f>_xll.qlCalendarAdvance(Calendar,V368,U369,"f",FALSE)</f>
        <v>42298</v>
      </c>
      <c r="W369" s="210">
        <f>_xll.qlCalendarAdvance(Calendar,V369,NDays&amp;"D")</f>
        <v>42298</v>
      </c>
      <c r="X369" s="211">
        <v>5.962054474117906E-4</v>
      </c>
      <c r="Y369" s="232"/>
    </row>
    <row r="370" spans="21:25" x14ac:dyDescent="0.2">
      <c r="U370" s="209" t="str">
        <f t="shared" si="8"/>
        <v>1D</v>
      </c>
      <c r="V370" s="207">
        <f>_xll.qlCalendarAdvance(Calendar,V369,U370,"f",FALSE)</f>
        <v>42299</v>
      </c>
      <c r="W370" s="210">
        <f>_xll.qlCalendarAdvance(Calendar,V370,NDays&amp;"D")</f>
        <v>42299</v>
      </c>
      <c r="X370" s="211">
        <v>5.9980541645465735E-4</v>
      </c>
      <c r="Y370" s="232"/>
    </row>
    <row r="371" spans="21:25" x14ac:dyDescent="0.2">
      <c r="U371" s="209" t="str">
        <f t="shared" si="8"/>
        <v>1D</v>
      </c>
      <c r="V371" s="207">
        <f>_xll.qlCalendarAdvance(Calendar,V370,U371,"f",FALSE)</f>
        <v>42300</v>
      </c>
      <c r="W371" s="210">
        <f>_xll.qlCalendarAdvance(Calendar,V371,NDays&amp;"D")</f>
        <v>42300</v>
      </c>
      <c r="X371" s="211">
        <v>6.0708207786142054E-4</v>
      </c>
      <c r="Y371" s="232"/>
    </row>
    <row r="372" spans="21:25" x14ac:dyDescent="0.2">
      <c r="U372" s="209" t="str">
        <f t="shared" si="8"/>
        <v>1D</v>
      </c>
      <c r="V372" s="207">
        <f>_xll.qlCalendarAdvance(Calendar,V371,U372,"f",FALSE)</f>
        <v>42303</v>
      </c>
      <c r="W372" s="210">
        <f>_xll.qlCalendarAdvance(Calendar,V372,NDays&amp;"D")</f>
        <v>42303</v>
      </c>
      <c r="X372" s="211">
        <v>6.1443239136593775E-4</v>
      </c>
      <c r="Y372" s="232"/>
    </row>
    <row r="373" spans="21:25" x14ac:dyDescent="0.2">
      <c r="U373" s="209" t="str">
        <f t="shared" si="8"/>
        <v>1D</v>
      </c>
      <c r="V373" s="207">
        <f>_xll.qlCalendarAdvance(Calendar,V372,U373,"f",FALSE)</f>
        <v>42304</v>
      </c>
      <c r="W373" s="210">
        <f>_xll.qlCalendarAdvance(Calendar,V373,NDays&amp;"D")</f>
        <v>42304</v>
      </c>
      <c r="X373" s="211">
        <v>6.1814590973874317E-4</v>
      </c>
      <c r="Y373" s="232"/>
    </row>
    <row r="374" spans="21:25" x14ac:dyDescent="0.2">
      <c r="U374" s="209" t="str">
        <f t="shared" si="8"/>
        <v>1D</v>
      </c>
      <c r="V374" s="207">
        <f>_xll.qlCalendarAdvance(Calendar,V373,U374,"f",FALSE)</f>
        <v>42305</v>
      </c>
      <c r="W374" s="210">
        <f>_xll.qlCalendarAdvance(Calendar,V374,NDays&amp;"D")</f>
        <v>42305</v>
      </c>
      <c r="X374" s="211">
        <v>6.2188213794556191E-4</v>
      </c>
      <c r="Y374" s="232"/>
    </row>
    <row r="375" spans="21:25" x14ac:dyDescent="0.2">
      <c r="U375" s="209" t="str">
        <f t="shared" si="8"/>
        <v>1D</v>
      </c>
      <c r="V375" s="207">
        <f>_xll.qlCalendarAdvance(Calendar,V374,U375,"f",FALSE)</f>
        <v>42306</v>
      </c>
      <c r="W375" s="210">
        <f>_xll.qlCalendarAdvance(Calendar,V375,NDays&amp;"D")</f>
        <v>42306</v>
      </c>
      <c r="X375" s="211">
        <v>6.2564107614626607E-4</v>
      </c>
      <c r="Y375" s="232"/>
    </row>
    <row r="376" spans="21:25" x14ac:dyDescent="0.2">
      <c r="U376" s="209" t="str">
        <f t="shared" si="8"/>
        <v>1D</v>
      </c>
      <c r="V376" s="207">
        <f>_xll.qlCalendarAdvance(Calendar,V375,U376,"f",FALSE)</f>
        <v>42307</v>
      </c>
      <c r="W376" s="210">
        <f>_xll.qlCalendarAdvance(Calendar,V376,NDays&amp;"D")</f>
        <v>42307</v>
      </c>
      <c r="X376" s="211">
        <v>6.332357657434784E-4</v>
      </c>
      <c r="Y376" s="232"/>
    </row>
    <row r="377" spans="21:25" x14ac:dyDescent="0.2">
      <c r="U377" s="209" t="str">
        <f t="shared" si="8"/>
        <v>1D</v>
      </c>
      <c r="V377" s="207">
        <f>_xll.qlCalendarAdvance(Calendar,V376,U377,"f",FALSE)</f>
        <v>42310</v>
      </c>
      <c r="W377" s="210">
        <f>_xll.qlCalendarAdvance(Calendar,V377,NDays&amp;"D")</f>
        <v>42310</v>
      </c>
      <c r="X377" s="211">
        <v>6.4090392728921586E-4</v>
      </c>
      <c r="Y377" s="232"/>
    </row>
    <row r="378" spans="21:25" x14ac:dyDescent="0.2">
      <c r="U378" s="209" t="str">
        <f t="shared" si="8"/>
        <v>1D</v>
      </c>
      <c r="V378" s="207">
        <f>_xll.qlCalendarAdvance(Calendar,V377,U378,"f",FALSE)</f>
        <v>42311</v>
      </c>
      <c r="W378" s="210">
        <f>_xll.qlCalendarAdvance(Calendar,V378,NDays&amp;"D")</f>
        <v>42311</v>
      </c>
      <c r="X378" s="211">
        <v>6.4477641473992264E-4</v>
      </c>
      <c r="Y378" s="232"/>
    </row>
    <row r="379" spans="21:25" x14ac:dyDescent="0.2">
      <c r="U379" s="209" t="str">
        <f t="shared" si="8"/>
        <v>1D</v>
      </c>
      <c r="V379" s="207">
        <f>_xll.qlCalendarAdvance(Calendar,V378,U379,"f",FALSE)</f>
        <v>42312</v>
      </c>
      <c r="W379" s="210">
        <f>_xll.qlCalendarAdvance(Calendar,V379,NDays&amp;"D")</f>
        <v>42312</v>
      </c>
      <c r="X379" s="211">
        <v>6.4867161202464274E-4</v>
      </c>
      <c r="Y379" s="232"/>
    </row>
    <row r="380" spans="21:25" x14ac:dyDescent="0.2">
      <c r="U380" s="209" t="str">
        <f t="shared" si="8"/>
        <v>1D</v>
      </c>
      <c r="V380" s="207">
        <f>_xll.qlCalendarAdvance(Calendar,V379,U380,"f",FALSE)</f>
        <v>42313</v>
      </c>
      <c r="W380" s="210">
        <f>_xll.qlCalendarAdvance(Calendar,V380,NDays&amp;"D")</f>
        <v>42313</v>
      </c>
      <c r="X380" s="211">
        <v>6.5258951922331221E-4</v>
      </c>
      <c r="Y380" s="232"/>
    </row>
    <row r="381" spans="21:25" x14ac:dyDescent="0.2">
      <c r="U381" s="209" t="str">
        <f t="shared" si="8"/>
        <v>1D</v>
      </c>
      <c r="V381" s="207">
        <f>_xll.qlCalendarAdvance(Calendar,V380,U381,"f",FALSE)</f>
        <v>42314</v>
      </c>
      <c r="W381" s="210">
        <f>_xll.qlCalendarAdvance(Calendar,V381,NDays&amp;"D")</f>
        <v>42314</v>
      </c>
      <c r="X381" s="211">
        <v>6.6050224508451549E-4</v>
      </c>
      <c r="Y381" s="232"/>
    </row>
    <row r="382" spans="21:25" x14ac:dyDescent="0.2">
      <c r="U382" s="209" t="str">
        <f t="shared" si="8"/>
        <v>1D</v>
      </c>
      <c r="V382" s="207">
        <f>_xll.qlCalendarAdvance(Calendar,V381,U382,"f",FALSE)</f>
        <v>42317</v>
      </c>
      <c r="W382" s="210">
        <f>_xll.qlCalendarAdvance(Calendar,V382,NDays&amp;"D")</f>
        <v>42317</v>
      </c>
      <c r="X382" s="211">
        <v>6.6848824683773955E-4</v>
      </c>
      <c r="Y382" s="232"/>
    </row>
    <row r="383" spans="21:25" x14ac:dyDescent="0.2">
      <c r="U383" s="209" t="str">
        <f t="shared" si="8"/>
        <v>1D</v>
      </c>
      <c r="V383" s="207">
        <f>_xll.qlCalendarAdvance(Calendar,V382,U383,"f",FALSE)</f>
        <v>42318</v>
      </c>
      <c r="W383" s="210">
        <f>_xll.qlCalendarAdvance(Calendar,V383,NDays&amp;"D")</f>
        <v>42318</v>
      </c>
      <c r="X383" s="211">
        <v>6.725197033663477E-4</v>
      </c>
      <c r="Y383" s="232"/>
    </row>
    <row r="384" spans="21:25" x14ac:dyDescent="0.2">
      <c r="U384" s="209" t="str">
        <f t="shared" si="8"/>
        <v>1D</v>
      </c>
      <c r="V384" s="207">
        <f>_xll.qlCalendarAdvance(Calendar,V383,U384,"f",FALSE)</f>
        <v>42319</v>
      </c>
      <c r="W384" s="210">
        <f>_xll.qlCalendarAdvance(Calendar,V384,NDays&amp;"D")</f>
        <v>42319</v>
      </c>
      <c r="X384" s="211">
        <v>6.7657386980890521E-4</v>
      </c>
      <c r="Y384" s="232"/>
    </row>
    <row r="385" spans="21:25" x14ac:dyDescent="0.2">
      <c r="U385" s="209" t="str">
        <f t="shared" si="8"/>
        <v>1D</v>
      </c>
      <c r="V385" s="207">
        <f>_xll.qlCalendarAdvance(Calendar,V384,U385,"f",FALSE)</f>
        <v>42320</v>
      </c>
      <c r="W385" s="210">
        <f>_xll.qlCalendarAdvance(Calendar,V385,NDays&amp;"D")</f>
        <v>42320</v>
      </c>
      <c r="X385" s="211">
        <v>6.806507461654121E-4</v>
      </c>
      <c r="Y385" s="232"/>
    </row>
    <row r="386" spans="21:25" x14ac:dyDescent="0.2">
      <c r="U386" s="209" t="str">
        <f t="shared" si="8"/>
        <v>1D</v>
      </c>
      <c r="V386" s="207">
        <f>_xll.qlCalendarAdvance(Calendar,V385,U386,"f",FALSE)</f>
        <v>42321</v>
      </c>
      <c r="W386" s="210">
        <f>_xll.qlCalendarAdvance(Calendar,V386,NDays&amp;"D")</f>
        <v>42321</v>
      </c>
      <c r="X386" s="211">
        <v>6.8888151660395636E-4</v>
      </c>
      <c r="Y386" s="232"/>
    </row>
    <row r="387" spans="21:25" x14ac:dyDescent="0.2">
      <c r="U387" s="209" t="str">
        <f t="shared" si="8"/>
        <v>1D</v>
      </c>
      <c r="V387" s="207">
        <f>_xll.qlCalendarAdvance(Calendar,V386,U387,"f",FALSE)</f>
        <v>42324</v>
      </c>
      <c r="W387" s="210">
        <f>_xll.qlCalendarAdvance(Calendar,V387,NDays&amp;"D")</f>
        <v>42324</v>
      </c>
      <c r="X387" s="211">
        <v>6.97185350251317E-4</v>
      </c>
      <c r="Y387" s="232"/>
    </row>
    <row r="388" spans="21:25" x14ac:dyDescent="0.2">
      <c r="U388" s="209" t="str">
        <f t="shared" si="8"/>
        <v>1D</v>
      </c>
      <c r="V388" s="207">
        <f>_xll.qlCalendarAdvance(Calendar,V387,U388,"f",FALSE)</f>
        <v>42325</v>
      </c>
      <c r="W388" s="210">
        <f>_xll.qlCalendarAdvance(Calendar,V388,NDays&amp;"D")</f>
        <v>42325</v>
      </c>
      <c r="X388" s="211">
        <v>7.0137577593776257E-4</v>
      </c>
      <c r="Y388" s="232"/>
    </row>
    <row r="389" spans="21:25" x14ac:dyDescent="0.2">
      <c r="U389" s="209" t="str">
        <f t="shared" si="8"/>
        <v>1D</v>
      </c>
      <c r="V389" s="207">
        <f>_xll.qlCalendarAdvance(Calendar,V388,U389,"f",FALSE)</f>
        <v>42326</v>
      </c>
      <c r="W389" s="210">
        <f>_xll.qlCalendarAdvance(Calendar,V389,NDays&amp;"D")</f>
        <v>42326</v>
      </c>
      <c r="X389" s="211">
        <v>7.0558891161809356E-4</v>
      </c>
      <c r="Y389" s="232"/>
    </row>
    <row r="390" spans="21:25" x14ac:dyDescent="0.2">
      <c r="U390" s="209" t="str">
        <f t="shared" si="8"/>
        <v>1D</v>
      </c>
      <c r="V390" s="207">
        <f>_xll.qlCalendarAdvance(Calendar,V389,U390,"f",FALSE)</f>
        <v>42327</v>
      </c>
      <c r="W390" s="210">
        <f>_xll.qlCalendarAdvance(Calendar,V390,NDays&amp;"D")</f>
        <v>42327</v>
      </c>
      <c r="X390" s="211">
        <v>7.0982475705250181E-4</v>
      </c>
      <c r="Y390" s="232"/>
    </row>
    <row r="391" spans="21:25" x14ac:dyDescent="0.2">
      <c r="U391" s="209" t="str">
        <f t="shared" si="8"/>
        <v>1D</v>
      </c>
      <c r="V391" s="207">
        <f>_xll.qlCalendarAdvance(Calendar,V390,U391,"f",FALSE)</f>
        <v>42328</v>
      </c>
      <c r="W391" s="210">
        <f>_xll.qlCalendarAdvance(Calendar,V391,NDays&amp;"D")</f>
        <v>42328</v>
      </c>
      <c r="X391" s="211">
        <v>7.1837358112780691E-4</v>
      </c>
      <c r="Y391" s="232"/>
    </row>
    <row r="392" spans="21:25" x14ac:dyDescent="0.2">
      <c r="U392" s="209" t="str">
        <f t="shared" si="8"/>
        <v>1D</v>
      </c>
      <c r="V392" s="207">
        <f>_xll.qlCalendarAdvance(Calendar,V391,U392,"f",FALSE)</f>
        <v>42331</v>
      </c>
      <c r="W392" s="210">
        <f>_xll.qlCalendarAdvance(Calendar,V392,NDays&amp;"D")</f>
        <v>42331</v>
      </c>
      <c r="X392" s="211">
        <v>7.2699523784969244E-4</v>
      </c>
      <c r="Y392" s="232"/>
    </row>
    <row r="393" spans="21:25" x14ac:dyDescent="0.2">
      <c r="U393" s="209" t="str">
        <f t="shared" si="8"/>
        <v>1D</v>
      </c>
      <c r="V393" s="207">
        <f>_xll.qlCalendarAdvance(Calendar,V392,U393,"f",FALSE)</f>
        <v>42332</v>
      </c>
      <c r="W393" s="210">
        <f>_xll.qlCalendarAdvance(Calendar,V393,NDays&amp;"D")</f>
        <v>42332</v>
      </c>
      <c r="X393" s="211">
        <v>7.3134463277391148E-4</v>
      </c>
      <c r="Y393" s="232"/>
    </row>
    <row r="394" spans="21:25" x14ac:dyDescent="0.2">
      <c r="U394" s="209" t="str">
        <f t="shared" si="8"/>
        <v>1D</v>
      </c>
      <c r="V394" s="207">
        <f>_xll.qlCalendarAdvance(Calendar,V393,U394,"f",FALSE)</f>
        <v>42333</v>
      </c>
      <c r="W394" s="210">
        <f>_xll.qlCalendarAdvance(Calendar,V394,NDays&amp;"D")</f>
        <v>42333</v>
      </c>
      <c r="X394" s="211">
        <v>7.3571673753214384E-4</v>
      </c>
      <c r="Y394" s="232"/>
    </row>
    <row r="395" spans="21:25" x14ac:dyDescent="0.2">
      <c r="U395" s="209" t="str">
        <f t="shared" si="8"/>
        <v>1D</v>
      </c>
      <c r="V395" s="207">
        <f>_xll.qlCalendarAdvance(Calendar,V394,U395,"f",FALSE)</f>
        <v>42334</v>
      </c>
      <c r="W395" s="210">
        <f>_xll.qlCalendarAdvance(Calendar,V395,NDays&amp;"D")</f>
        <v>42334</v>
      </c>
      <c r="X395" s="211">
        <v>7.4011155220432556E-4</v>
      </c>
      <c r="Y395" s="232"/>
    </row>
    <row r="396" spans="21:25" x14ac:dyDescent="0.2">
      <c r="U396" s="209" t="str">
        <f t="shared" si="8"/>
        <v>1D</v>
      </c>
      <c r="V396" s="207">
        <f>_xll.qlCalendarAdvance(Calendar,V395,U396,"f",FALSE)</f>
        <v>42335</v>
      </c>
      <c r="W396" s="210">
        <f>_xll.qlCalendarAdvance(Calendar,V396,NDays&amp;"D")</f>
        <v>42335</v>
      </c>
      <c r="X396" s="211">
        <v>7.4897843945542775E-4</v>
      </c>
      <c r="Y396" s="232"/>
    </row>
    <row r="397" spans="21:25" x14ac:dyDescent="0.2">
      <c r="U397" s="209" t="str">
        <f t="shared" ref="U397:U460" si="9">U396</f>
        <v>1D</v>
      </c>
      <c r="V397" s="207">
        <f>_xll.qlCalendarAdvance(Calendar,V396,U397,"f",FALSE)</f>
        <v>42338</v>
      </c>
      <c r="W397" s="210">
        <f>_xll.qlCalendarAdvance(Calendar,V397,NDays&amp;"D")</f>
        <v>42338</v>
      </c>
      <c r="X397" s="211">
        <v>7.5791790987267404E-4</v>
      </c>
      <c r="Y397" s="232"/>
    </row>
    <row r="398" spans="21:25" x14ac:dyDescent="0.2">
      <c r="U398" s="209" t="str">
        <f t="shared" si="9"/>
        <v>1D</v>
      </c>
      <c r="V398" s="207">
        <f>_xll.qlCalendarAdvance(Calendar,V397,U398,"f",FALSE)</f>
        <v>42339</v>
      </c>
      <c r="W398" s="210">
        <f>_xll.qlCalendarAdvance(Calendar,V398,NDays&amp;"D")</f>
        <v>42339</v>
      </c>
      <c r="X398" s="211">
        <v>7.6242627403466656E-4</v>
      </c>
      <c r="Y398" s="232"/>
    </row>
    <row r="399" spans="21:25" x14ac:dyDescent="0.2">
      <c r="U399" s="209" t="str">
        <f t="shared" si="9"/>
        <v>1D</v>
      </c>
      <c r="V399" s="207">
        <f>_xll.qlCalendarAdvance(Calendar,V398,U399,"f",FALSE)</f>
        <v>42340</v>
      </c>
      <c r="W399" s="210">
        <f>_xll.qlCalendarAdvance(Calendar,V399,NDays&amp;"D")</f>
        <v>42340</v>
      </c>
      <c r="X399" s="211">
        <v>7.6694993452086635E-4</v>
      </c>
      <c r="Y399" s="232"/>
    </row>
    <row r="400" spans="21:25" x14ac:dyDescent="0.2">
      <c r="U400" s="209" t="str">
        <f t="shared" si="9"/>
        <v>1D</v>
      </c>
      <c r="V400" s="207">
        <f>_xll.qlCalendarAdvance(Calendar,V399,U400,"f",FALSE)</f>
        <v>42341</v>
      </c>
      <c r="W400" s="210">
        <f>_xll.qlCalendarAdvance(Calendar,V400,NDays&amp;"D")</f>
        <v>42341</v>
      </c>
      <c r="X400" s="211">
        <v>7.7145923713217712E-4</v>
      </c>
      <c r="Y400" s="232"/>
    </row>
    <row r="401" spans="21:25" x14ac:dyDescent="0.2">
      <c r="U401" s="209" t="str">
        <f t="shared" si="9"/>
        <v>1D</v>
      </c>
      <c r="V401" s="207">
        <f>_xll.qlCalendarAdvance(Calendar,V400,U401,"f",FALSE)</f>
        <v>42342</v>
      </c>
      <c r="W401" s="210">
        <f>_xll.qlCalendarAdvance(Calendar,V401,NDays&amp;"D")</f>
        <v>42342</v>
      </c>
      <c r="X401" s="211">
        <v>7.8040696302572599E-4</v>
      </c>
      <c r="Y401" s="232"/>
    </row>
    <row r="402" spans="21:25" x14ac:dyDescent="0.2">
      <c r="U402" s="209" t="str">
        <f t="shared" si="9"/>
        <v>1D</v>
      </c>
      <c r="V402" s="207">
        <f>_xll.qlCalendarAdvance(Calendar,V401,U402,"f",FALSE)</f>
        <v>42345</v>
      </c>
      <c r="W402" s="210">
        <f>_xll.qlCalendarAdvance(Calendar,V402,NDays&amp;"D")</f>
        <v>42345</v>
      </c>
      <c r="X402" s="211">
        <v>7.8927873421008599E-4</v>
      </c>
      <c r="Y402" s="232"/>
    </row>
    <row r="403" spans="21:25" x14ac:dyDescent="0.2">
      <c r="U403" s="209" t="str">
        <f t="shared" si="9"/>
        <v>1D</v>
      </c>
      <c r="V403" s="207">
        <f>_xll.qlCalendarAdvance(Calendar,V402,U403,"f",FALSE)</f>
        <v>42346</v>
      </c>
      <c r="W403" s="210">
        <f>_xll.qlCalendarAdvance(Calendar,V403,NDays&amp;"D")</f>
        <v>42346</v>
      </c>
      <c r="X403" s="211">
        <v>7.9367917997785753E-4</v>
      </c>
      <c r="Y403" s="232"/>
    </row>
    <row r="404" spans="21:25" x14ac:dyDescent="0.2">
      <c r="U404" s="209" t="str">
        <f t="shared" si="9"/>
        <v>1D</v>
      </c>
      <c r="V404" s="207">
        <f>_xll.qlCalendarAdvance(Calendar,V403,U404,"f",FALSE)</f>
        <v>42347</v>
      </c>
      <c r="W404" s="210">
        <f>_xll.qlCalendarAdvance(Calendar,V404,NDays&amp;"D")</f>
        <v>42347</v>
      </c>
      <c r="X404" s="211">
        <v>7.9805785452080613E-4</v>
      </c>
      <c r="Y404" s="232"/>
    </row>
    <row r="405" spans="21:25" x14ac:dyDescent="0.2">
      <c r="U405" s="209" t="str">
        <f t="shared" si="9"/>
        <v>1D</v>
      </c>
      <c r="V405" s="207">
        <f>_xll.qlCalendarAdvance(Calendar,V404,U405,"f",FALSE)</f>
        <v>42348</v>
      </c>
      <c r="W405" s="210">
        <f>_xll.qlCalendarAdvance(Calendar,V405,NDays&amp;"D")</f>
        <v>42348</v>
      </c>
      <c r="X405" s="211">
        <v>8.0241475751918756E-4</v>
      </c>
      <c r="Y405" s="232"/>
    </row>
    <row r="406" spans="21:25" x14ac:dyDescent="0.2">
      <c r="U406" s="209" t="str">
        <f t="shared" si="9"/>
        <v>1D</v>
      </c>
      <c r="V406" s="207">
        <f>_xll.qlCalendarAdvance(Calendar,V405,U406,"f",FALSE)</f>
        <v>42349</v>
      </c>
      <c r="W406" s="210">
        <f>_xll.qlCalendarAdvance(Calendar,V406,NDays&amp;"D")</f>
        <v>42349</v>
      </c>
      <c r="X406" s="211">
        <v>8.1105781973178637E-4</v>
      </c>
      <c r="Y406" s="232"/>
    </row>
    <row r="407" spans="21:25" x14ac:dyDescent="0.2">
      <c r="U407" s="209" t="str">
        <f t="shared" si="9"/>
        <v>1D</v>
      </c>
      <c r="V407" s="207">
        <f>_xll.qlCalendarAdvance(Calendar,V406,U407,"f",FALSE)</f>
        <v>42352</v>
      </c>
      <c r="W407" s="210">
        <f>_xll.qlCalendarAdvance(Calendar,V407,NDays&amp;"D")</f>
        <v>42352</v>
      </c>
      <c r="X407" s="211">
        <v>8.1962465622531511E-4</v>
      </c>
      <c r="Y407" s="232"/>
    </row>
    <row r="408" spans="21:25" x14ac:dyDescent="0.2">
      <c r="U408" s="209" t="str">
        <f t="shared" si="9"/>
        <v>1D</v>
      </c>
      <c r="V408" s="207">
        <f>_xll.qlCalendarAdvance(Calendar,V407,U408,"f",FALSE)</f>
        <v>42353</v>
      </c>
      <c r="W408" s="210">
        <f>_xll.qlCalendarAdvance(Calendar,V408,NDays&amp;"D")</f>
        <v>42353</v>
      </c>
      <c r="X408" s="211">
        <v>8.2387270238015731E-4</v>
      </c>
      <c r="Y408" s="232"/>
    </row>
    <row r="409" spans="21:25" x14ac:dyDescent="0.2">
      <c r="U409" s="209" t="str">
        <f t="shared" si="9"/>
        <v>1D</v>
      </c>
      <c r="V409" s="207">
        <f>_xll.qlCalendarAdvance(Calendar,V408,U409,"f",FALSE)</f>
        <v>42354</v>
      </c>
      <c r="W409" s="210">
        <f>_xll.qlCalendarAdvance(Calendar,V409,NDays&amp;"D")</f>
        <v>42354</v>
      </c>
      <c r="X409" s="211">
        <v>8.2809897731017656E-4</v>
      </c>
      <c r="Y409" s="232"/>
    </row>
    <row r="410" spans="21:25" x14ac:dyDescent="0.2">
      <c r="U410" s="209" t="str">
        <f t="shared" si="9"/>
        <v>1D</v>
      </c>
      <c r="V410" s="207">
        <f>_xll.qlCalendarAdvance(Calendar,V409,U410,"f",FALSE)</f>
        <v>42355</v>
      </c>
      <c r="W410" s="210">
        <f>_xll.qlCalendarAdvance(Calendar,V410,NDays&amp;"D")</f>
        <v>42355</v>
      </c>
      <c r="X410" s="211">
        <v>8.3230348077556471E-4</v>
      </c>
      <c r="Y410" s="232"/>
    </row>
    <row r="411" spans="21:25" x14ac:dyDescent="0.2">
      <c r="U411" s="209" t="str">
        <f t="shared" si="9"/>
        <v>1D</v>
      </c>
      <c r="V411" s="207">
        <f>_xll.qlCalendarAdvance(Calendar,V410,U411,"f",FALSE)</f>
        <v>42356</v>
      </c>
      <c r="W411" s="210">
        <f>_xll.qlCalendarAdvance(Calendar,V411,NDays&amp;"D")</f>
        <v>42356</v>
      </c>
      <c r="X411" s="211">
        <v>8.4064187941379487E-4</v>
      </c>
      <c r="Y411" s="232"/>
    </row>
    <row r="412" spans="21:25" x14ac:dyDescent="0.2">
      <c r="U412" s="209" t="str">
        <f t="shared" si="9"/>
        <v>1D</v>
      </c>
      <c r="V412" s="207">
        <f>_xll.qlCalendarAdvance(Calendar,V411,U412,"f",FALSE)</f>
        <v>42359</v>
      </c>
      <c r="W412" s="210">
        <f>_xll.qlCalendarAdvance(Calendar,V412,NDays&amp;"D")</f>
        <v>42359</v>
      </c>
      <c r="X412" s="211">
        <v>8.4890378087010276E-4</v>
      </c>
      <c r="Y412" s="232"/>
    </row>
    <row r="413" spans="21:25" x14ac:dyDescent="0.2">
      <c r="U413" s="209" t="str">
        <f t="shared" si="9"/>
        <v>1D</v>
      </c>
      <c r="V413" s="207">
        <f>_xll.qlCalendarAdvance(Calendar,V412,U413,"f",FALSE)</f>
        <v>42360</v>
      </c>
      <c r="W413" s="210">
        <f>_xll.qlCalendarAdvance(Calendar,V413,NDays&amp;"D")</f>
        <v>42360</v>
      </c>
      <c r="X413" s="211">
        <v>8.5299942749195168E-4</v>
      </c>
      <c r="Y413" s="232"/>
    </row>
    <row r="414" spans="21:25" x14ac:dyDescent="0.2">
      <c r="U414" s="209" t="str">
        <f t="shared" si="9"/>
        <v>1D</v>
      </c>
      <c r="V414" s="207">
        <f>_xll.qlCalendarAdvance(Calendar,V413,U414,"f",FALSE)</f>
        <v>42361</v>
      </c>
      <c r="W414" s="210">
        <f>_xll.qlCalendarAdvance(Calendar,V414,NDays&amp;"D")</f>
        <v>42361</v>
      </c>
      <c r="X414" s="211">
        <v>8.5707330272910554E-4</v>
      </c>
      <c r="Y414" s="232"/>
    </row>
    <row r="415" spans="21:25" x14ac:dyDescent="0.2">
      <c r="U415" s="209" t="str">
        <f t="shared" si="9"/>
        <v>1D</v>
      </c>
      <c r="V415" s="207">
        <f>_xll.qlCalendarAdvance(Calendar,V414,U415,"f",FALSE)</f>
        <v>42362</v>
      </c>
      <c r="W415" s="210">
        <f>_xll.qlCalendarAdvance(Calendar,V415,NDays&amp;"D")</f>
        <v>42362</v>
      </c>
      <c r="X415" s="211">
        <v>8.6715226687239522E-4</v>
      </c>
      <c r="Y415" s="232"/>
    </row>
    <row r="416" spans="21:25" x14ac:dyDescent="0.2">
      <c r="U416" s="209" t="str">
        <f t="shared" si="9"/>
        <v>1D</v>
      </c>
      <c r="V416" s="207">
        <f>_xll.qlCalendarAdvance(Calendar,V415,U416,"f",FALSE)</f>
        <v>42366</v>
      </c>
      <c r="W416" s="210">
        <f>_xll.qlCalendarAdvance(Calendar,V416,NDays&amp;"D")</f>
        <v>42366</v>
      </c>
      <c r="X416" s="211">
        <v>8.7711610798457684E-4</v>
      </c>
      <c r="Y416" s="232"/>
    </row>
    <row r="417" spans="21:25" x14ac:dyDescent="0.2">
      <c r="U417" s="209" t="str">
        <f t="shared" si="9"/>
        <v>1D</v>
      </c>
      <c r="V417" s="207">
        <f>_xll.qlCalendarAdvance(Calendar,V416,U417,"f",FALSE)</f>
        <v>42367</v>
      </c>
      <c r="W417" s="210">
        <f>_xll.qlCalendarAdvance(Calendar,V417,NDays&amp;"D")</f>
        <v>42367</v>
      </c>
      <c r="X417" s="211">
        <v>8.8105935491356036E-4</v>
      </c>
      <c r="Y417" s="232"/>
    </row>
    <row r="418" spans="21:25" x14ac:dyDescent="0.2">
      <c r="U418" s="209" t="str">
        <f t="shared" si="9"/>
        <v>1D</v>
      </c>
      <c r="V418" s="207">
        <f>_xll.qlCalendarAdvance(Calendar,V417,U418,"f",FALSE)</f>
        <v>42368</v>
      </c>
      <c r="W418" s="210">
        <f>_xll.qlCalendarAdvance(Calendar,V418,NDays&amp;"D")</f>
        <v>42368</v>
      </c>
      <c r="X418" s="211">
        <v>8.8498083037791275E-4</v>
      </c>
      <c r="Y418" s="232"/>
    </row>
    <row r="419" spans="21:25" x14ac:dyDescent="0.2">
      <c r="U419" s="209" t="str">
        <f t="shared" si="9"/>
        <v>1D</v>
      </c>
      <c r="V419" s="207">
        <f>_xll.qlCalendarAdvance(Calendar,V418,U419,"f",FALSE)</f>
        <v>42369</v>
      </c>
      <c r="W419" s="210">
        <f>_xll.qlCalendarAdvance(Calendar,V419,NDays&amp;"D")</f>
        <v>42369</v>
      </c>
      <c r="X419" s="211">
        <v>8.9467899744732904E-4</v>
      </c>
      <c r="Y419" s="232"/>
    </row>
    <row r="420" spans="21:25" x14ac:dyDescent="0.2">
      <c r="U420" s="209" t="str">
        <f t="shared" si="9"/>
        <v>1D</v>
      </c>
      <c r="V420" s="207">
        <f>_xll.qlCalendarAdvance(Calendar,V419,U420,"f",FALSE)</f>
        <v>42373</v>
      </c>
      <c r="W420" s="210">
        <f>_xll.qlCalendarAdvance(Calendar,V420,NDays&amp;"D")</f>
        <v>42373</v>
      </c>
      <c r="X420" s="211">
        <v>9.0426163716905705E-4</v>
      </c>
      <c r="Y420" s="232"/>
    </row>
    <row r="421" spans="21:25" x14ac:dyDescent="0.2">
      <c r="U421" s="209" t="str">
        <f t="shared" si="9"/>
        <v>1D</v>
      </c>
      <c r="V421" s="207">
        <f>_xll.qlCalendarAdvance(Calendar,V420,U421,"f",FALSE)</f>
        <v>42374</v>
      </c>
      <c r="W421" s="210">
        <f>_xll.qlCalendarAdvance(Calendar,V421,NDays&amp;"D")</f>
        <v>42374</v>
      </c>
      <c r="X421" s="211">
        <v>9.0805248440517516E-4</v>
      </c>
      <c r="Y421" s="232"/>
    </row>
    <row r="422" spans="21:25" x14ac:dyDescent="0.2">
      <c r="U422" s="209" t="str">
        <f t="shared" si="9"/>
        <v>1D</v>
      </c>
      <c r="V422" s="207">
        <f>_xll.qlCalendarAdvance(Calendar,V421,U422,"f",FALSE)</f>
        <v>42375</v>
      </c>
      <c r="W422" s="210">
        <f>_xll.qlCalendarAdvance(Calendar,V422,NDays&amp;"D")</f>
        <v>42375</v>
      </c>
      <c r="X422" s="211">
        <v>9.1182156025659822E-4</v>
      </c>
      <c r="Y422" s="232"/>
    </row>
    <row r="423" spans="21:25" x14ac:dyDescent="0.2">
      <c r="U423" s="209" t="str">
        <f t="shared" si="9"/>
        <v>1D</v>
      </c>
      <c r="V423" s="207">
        <f>_xll.qlCalendarAdvance(Calendar,V422,U423,"f",FALSE)</f>
        <v>42376</v>
      </c>
      <c r="W423" s="210">
        <f>_xll.qlCalendarAdvance(Calendar,V423,NDays&amp;"D")</f>
        <v>42376</v>
      </c>
      <c r="X423" s="211">
        <v>9.1556886464339016E-4</v>
      </c>
      <c r="Y423" s="232"/>
    </row>
    <row r="424" spans="21:25" x14ac:dyDescent="0.2">
      <c r="U424" s="209" t="str">
        <f t="shared" si="9"/>
        <v>1D</v>
      </c>
      <c r="V424" s="207">
        <f>_xll.qlCalendarAdvance(Calendar,V423,U424,"f",FALSE)</f>
        <v>42377</v>
      </c>
      <c r="W424" s="210">
        <f>_xll.qlCalendarAdvance(Calendar,V424,NDays&amp;"D")</f>
        <v>42377</v>
      </c>
      <c r="X424" s="211">
        <v>9.2299326853506614E-4</v>
      </c>
      <c r="Y424" s="232"/>
    </row>
    <row r="425" spans="21:25" x14ac:dyDescent="0.2">
      <c r="U425" s="209" t="str">
        <f t="shared" si="9"/>
        <v>1D</v>
      </c>
      <c r="V425" s="207">
        <f>_xll.qlCalendarAdvance(Calendar,V424,U425,"f",FALSE)</f>
        <v>42380</v>
      </c>
      <c r="W425" s="210">
        <f>_xll.qlCalendarAdvance(Calendar,V425,NDays&amp;"D")</f>
        <v>42380</v>
      </c>
      <c r="X425" s="211">
        <v>9.3034036834360734E-4</v>
      </c>
      <c r="Y425" s="232"/>
    </row>
    <row r="426" spans="21:25" x14ac:dyDescent="0.2">
      <c r="U426" s="209" t="str">
        <f t="shared" si="9"/>
        <v>1D</v>
      </c>
      <c r="V426" s="207">
        <f>_xll.qlCalendarAdvance(Calendar,V425,U426,"f",FALSE)</f>
        <v>42381</v>
      </c>
      <c r="W426" s="210">
        <f>_xll.qlCalendarAdvance(Calendar,V426,NDays&amp;"D")</f>
        <v>42381</v>
      </c>
      <c r="X426" s="211">
        <v>9.3397881580692399E-4</v>
      </c>
      <c r="Y426" s="232"/>
    </row>
    <row r="427" spans="21:25" x14ac:dyDescent="0.2">
      <c r="U427" s="209" t="str">
        <f t="shared" si="9"/>
        <v>1D</v>
      </c>
      <c r="V427" s="207">
        <f>_xll.qlCalendarAdvance(Calendar,V426,U427,"f",FALSE)</f>
        <v>42382</v>
      </c>
      <c r="W427" s="210">
        <f>_xll.qlCalendarAdvance(Calendar,V427,NDays&amp;"D")</f>
        <v>42382</v>
      </c>
      <c r="X427" s="211">
        <v>9.3759549188554558E-4</v>
      </c>
      <c r="Y427" s="232"/>
    </row>
    <row r="428" spans="21:25" x14ac:dyDescent="0.2">
      <c r="U428" s="209" t="str">
        <f t="shared" si="9"/>
        <v>1D</v>
      </c>
      <c r="V428" s="207">
        <f>_xll.qlCalendarAdvance(Calendar,V427,U428,"f",FALSE)</f>
        <v>42383</v>
      </c>
      <c r="W428" s="210">
        <f>_xll.qlCalendarAdvance(Calendar,V428,NDays&amp;"D")</f>
        <v>42383</v>
      </c>
      <c r="X428" s="211">
        <v>9.4119039649953606E-4</v>
      </c>
      <c r="Y428" s="232"/>
    </row>
    <row r="429" spans="21:25" x14ac:dyDescent="0.2">
      <c r="U429" s="209" t="str">
        <f t="shared" si="9"/>
        <v>1D</v>
      </c>
      <c r="V429" s="207">
        <f>_xll.qlCalendarAdvance(Calendar,V428,U429,"f",FALSE)</f>
        <v>42384</v>
      </c>
      <c r="W429" s="210">
        <f>_xll.qlCalendarAdvance(Calendar,V429,NDays&amp;"D")</f>
        <v>42384</v>
      </c>
      <c r="X429" s="211">
        <v>9.4831013252694163E-4</v>
      </c>
      <c r="Y429" s="232"/>
    </row>
    <row r="430" spans="21:25" x14ac:dyDescent="0.2">
      <c r="U430" s="209" t="str">
        <f t="shared" si="9"/>
        <v>1D</v>
      </c>
      <c r="V430" s="207">
        <f>_xll.qlCalendarAdvance(Calendar,V429,U430,"f",FALSE)</f>
        <v>42387</v>
      </c>
      <c r="W430" s="210">
        <f>_xll.qlCalendarAdvance(Calendar,V430,NDays&amp;"D")</f>
        <v>42387</v>
      </c>
      <c r="X430" s="211">
        <v>9.5535230110854741E-4</v>
      </c>
      <c r="Y430" s="232"/>
    </row>
    <row r="431" spans="21:25" x14ac:dyDescent="0.2">
      <c r="U431" s="209" t="str">
        <f t="shared" si="9"/>
        <v>1D</v>
      </c>
      <c r="V431" s="207">
        <f>_xll.qlCalendarAdvance(Calendar,V430,U431,"f",FALSE)</f>
        <v>42388</v>
      </c>
      <c r="W431" s="210">
        <f>_xll.qlCalendarAdvance(Calendar,V431,NDays&amp;"D")</f>
        <v>42388</v>
      </c>
      <c r="X431" s="211">
        <v>9.5883834887899866E-4</v>
      </c>
      <c r="Y431" s="232"/>
    </row>
    <row r="432" spans="21:25" x14ac:dyDescent="0.2">
      <c r="U432" s="209" t="str">
        <f t="shared" si="9"/>
        <v>1D</v>
      </c>
      <c r="V432" s="207">
        <f>_xll.qlCalendarAdvance(Calendar,V431,U432,"f",FALSE)</f>
        <v>42389</v>
      </c>
      <c r="W432" s="210">
        <f>_xll.qlCalendarAdvance(Calendar,V432,NDays&amp;"D")</f>
        <v>42389</v>
      </c>
      <c r="X432" s="211">
        <v>9.6230262510488274E-4</v>
      </c>
      <c r="Y432" s="232"/>
    </row>
    <row r="433" spans="21:25" x14ac:dyDescent="0.2">
      <c r="U433" s="209" t="str">
        <f t="shared" si="9"/>
        <v>1D</v>
      </c>
      <c r="V433" s="207">
        <f>_xll.qlCalendarAdvance(Calendar,V432,U433,"f",FALSE)</f>
        <v>42390</v>
      </c>
      <c r="W433" s="210">
        <f>_xll.qlCalendarAdvance(Calendar,V433,NDays&amp;"D")</f>
        <v>42390</v>
      </c>
      <c r="X433" s="211">
        <v>9.6574513002600781E-4</v>
      </c>
      <c r="Y433" s="232"/>
    </row>
    <row r="434" spans="21:25" x14ac:dyDescent="0.2">
      <c r="U434" s="209" t="str">
        <f t="shared" si="9"/>
        <v>1D</v>
      </c>
      <c r="V434" s="207">
        <f>_xll.qlCalendarAdvance(Calendar,V433,U434,"f",FALSE)</f>
        <v>42391</v>
      </c>
      <c r="W434" s="210">
        <f>_xll.qlCalendarAdvance(Calendar,V434,NDays&amp;"D")</f>
        <v>42391</v>
      </c>
      <c r="X434" s="211">
        <v>9.7256019579106123E-4</v>
      </c>
      <c r="Y434" s="232"/>
    </row>
    <row r="435" spans="21:25" x14ac:dyDescent="0.2">
      <c r="U435" s="209" t="str">
        <f t="shared" si="9"/>
        <v>1D</v>
      </c>
      <c r="V435" s="207">
        <f>_xll.qlCalendarAdvance(Calendar,V434,U435,"f",FALSE)</f>
        <v>42394</v>
      </c>
      <c r="W435" s="210">
        <f>_xll.qlCalendarAdvance(Calendar,V435,NDays&amp;"D")</f>
        <v>42394</v>
      </c>
      <c r="X435" s="211">
        <v>9.7929743546387726E-4</v>
      </c>
      <c r="Y435" s="232"/>
    </row>
    <row r="436" spans="21:25" x14ac:dyDescent="0.2">
      <c r="U436" s="209" t="str">
        <f t="shared" si="9"/>
        <v>1D</v>
      </c>
      <c r="V436" s="207">
        <f>_xll.qlCalendarAdvance(Calendar,V435,U436,"f",FALSE)</f>
        <v>42395</v>
      </c>
      <c r="W436" s="210">
        <f>_xll.qlCalendarAdvance(Calendar,V436,NDays&amp;"D")</f>
        <v>42395</v>
      </c>
      <c r="X436" s="211">
        <v>9.8263108330165494E-4</v>
      </c>
      <c r="Y436" s="232"/>
    </row>
    <row r="437" spans="21:25" x14ac:dyDescent="0.2">
      <c r="U437" s="209" t="str">
        <f t="shared" si="9"/>
        <v>1D</v>
      </c>
      <c r="V437" s="207">
        <f>_xll.qlCalendarAdvance(Calendar,V436,U437,"f",FALSE)</f>
        <v>42396</v>
      </c>
      <c r="W437" s="210">
        <f>_xll.qlCalendarAdvance(Calendar,V437,NDays&amp;"D")</f>
        <v>42396</v>
      </c>
      <c r="X437" s="211">
        <v>9.8594295975473756E-4</v>
      </c>
      <c r="Y437" s="232"/>
    </row>
    <row r="438" spans="21:25" x14ac:dyDescent="0.2">
      <c r="U438" s="209" t="str">
        <f t="shared" si="9"/>
        <v>1D</v>
      </c>
      <c r="V438" s="207">
        <f>_xll.qlCalendarAdvance(Calendar,V437,U438,"f",FALSE)</f>
        <v>42397</v>
      </c>
      <c r="W438" s="210">
        <f>_xll.qlCalendarAdvance(Calendar,V438,NDays&amp;"D")</f>
        <v>42397</v>
      </c>
      <c r="X438" s="211">
        <v>9.8923306482312512E-4</v>
      </c>
      <c r="Y438" s="232"/>
    </row>
    <row r="439" spans="21:25" x14ac:dyDescent="0.2">
      <c r="U439" s="209" t="str">
        <f t="shared" si="9"/>
        <v>1D</v>
      </c>
      <c r="V439" s="207">
        <f>_xll.qlCalendarAdvance(Calendar,V438,U439,"f",FALSE)</f>
        <v>42398</v>
      </c>
      <c r="W439" s="210">
        <f>_xll.qlCalendarAdvance(Calendar,V439,NDays&amp;"D")</f>
        <v>42398</v>
      </c>
      <c r="X439" s="211">
        <v>9.9574345774122719E-4</v>
      </c>
      <c r="Y439" s="232"/>
    </row>
    <row r="440" spans="21:25" x14ac:dyDescent="0.2">
      <c r="U440" s="209" t="str">
        <f t="shared" si="9"/>
        <v>1D</v>
      </c>
      <c r="V440" s="207">
        <f>_xll.qlCalendarAdvance(Calendar,V439,U440,"f",FALSE)</f>
        <v>42401</v>
      </c>
      <c r="W440" s="210">
        <f>_xll.qlCalendarAdvance(Calendar,V440,NDays&amp;"D")</f>
        <v>42401</v>
      </c>
      <c r="X440" s="211">
        <v>1.0021757709299806E-3</v>
      </c>
      <c r="Y440" s="232"/>
    </row>
    <row r="441" spans="21:25" x14ac:dyDescent="0.2">
      <c r="U441" s="209" t="str">
        <f t="shared" si="9"/>
        <v>1D</v>
      </c>
      <c r="V441" s="207">
        <f>_xll.qlCalendarAdvance(Calendar,V440,U441,"f",FALSE)</f>
        <v>42402</v>
      </c>
      <c r="W441" s="210">
        <f>_xll.qlCalendarAdvance(Calendar,V441,NDays&amp;"D")</f>
        <v>42402</v>
      </c>
      <c r="X441" s="211">
        <v>1.0053570189949568E-3</v>
      </c>
      <c r="Y441" s="232"/>
    </row>
    <row r="442" spans="21:25" x14ac:dyDescent="0.2">
      <c r="U442" s="209" t="str">
        <f t="shared" si="9"/>
        <v>1D</v>
      </c>
      <c r="V442" s="207">
        <f>_xll.qlCalendarAdvance(Calendar,V441,U442,"f",FALSE)</f>
        <v>42403</v>
      </c>
      <c r="W442" s="210">
        <f>_xll.qlCalendarAdvance(Calendar,V442,NDays&amp;"D")</f>
        <v>42403</v>
      </c>
      <c r="X442" s="211">
        <v>1.0085164955953019E-3</v>
      </c>
      <c r="Y442" s="232"/>
    </row>
    <row r="443" spans="21:25" x14ac:dyDescent="0.2">
      <c r="U443" s="209" t="str">
        <f t="shared" si="9"/>
        <v>1D</v>
      </c>
      <c r="V443" s="207">
        <f>_xll.qlCalendarAdvance(Calendar,V442,U443,"f",FALSE)</f>
        <v>42404</v>
      </c>
      <c r="W443" s="210">
        <f>_xll.qlCalendarAdvance(Calendar,V443,NDays&amp;"D")</f>
        <v>42404</v>
      </c>
      <c r="X443" s="211">
        <v>1.0116542007310159E-3</v>
      </c>
      <c r="Y443" s="232"/>
    </row>
    <row r="444" spans="21:25" x14ac:dyDescent="0.2">
      <c r="U444" s="209" t="str">
        <f t="shared" si="9"/>
        <v>1D</v>
      </c>
      <c r="V444" s="207">
        <f>_xll.qlCalendarAdvance(Calendar,V443,U444,"f",FALSE)</f>
        <v>42405</v>
      </c>
      <c r="W444" s="210">
        <f>_xll.qlCalendarAdvance(Calendar,V444,NDays&amp;"D")</f>
        <v>42405</v>
      </c>
      <c r="X444" s="211">
        <v>1.0178599176846603E-3</v>
      </c>
      <c r="Y444" s="232"/>
    </row>
    <row r="445" spans="21:25" x14ac:dyDescent="0.2">
      <c r="U445" s="209" t="str">
        <f t="shared" si="9"/>
        <v>1D</v>
      </c>
      <c r="V445" s="207">
        <f>_xll.qlCalendarAdvance(Calendar,V444,U445,"f",FALSE)</f>
        <v>42408</v>
      </c>
      <c r="W445" s="210">
        <f>_xll.qlCalendarAdvance(Calendar,V445,NDays&amp;"D")</f>
        <v>42408</v>
      </c>
      <c r="X445" s="211">
        <v>1.0239873075068573E-3</v>
      </c>
      <c r="Y445" s="232"/>
    </row>
    <row r="446" spans="21:25" x14ac:dyDescent="0.2">
      <c r="U446" s="209" t="str">
        <f t="shared" si="9"/>
        <v>1D</v>
      </c>
      <c r="V446" s="207">
        <f>_xll.qlCalendarAdvance(Calendar,V445,U446,"f",FALSE)</f>
        <v>42409</v>
      </c>
      <c r="W446" s="210">
        <f>_xll.qlCalendarAdvance(Calendar,V446,NDays&amp;"D")</f>
        <v>42409</v>
      </c>
      <c r="X446" s="211">
        <v>1.0270161556391599E-3</v>
      </c>
      <c r="Y446" s="232"/>
    </row>
    <row r="447" spans="21:25" x14ac:dyDescent="0.2">
      <c r="U447" s="209" t="str">
        <f t="shared" si="9"/>
        <v>1D</v>
      </c>
      <c r="V447" s="207">
        <f>_xll.qlCalendarAdvance(Calendar,V446,U447,"f",FALSE)</f>
        <v>42410</v>
      </c>
      <c r="W447" s="210">
        <f>_xll.qlCalendarAdvance(Calendar,V447,NDays&amp;"D")</f>
        <v>42410</v>
      </c>
      <c r="X447" s="211">
        <v>1.0300232323867675E-3</v>
      </c>
      <c r="Y447" s="232"/>
    </row>
    <row r="448" spans="21:25" x14ac:dyDescent="0.2">
      <c r="U448" s="209" t="str">
        <f t="shared" si="9"/>
        <v>1D</v>
      </c>
      <c r="V448" s="207">
        <f>_xll.qlCalendarAdvance(Calendar,V447,U448,"f",FALSE)</f>
        <v>42411</v>
      </c>
      <c r="W448" s="210">
        <f>_xll.qlCalendarAdvance(Calendar,V448,NDays&amp;"D")</f>
        <v>42411</v>
      </c>
      <c r="X448" s="211">
        <v>1.03300853774968E-3</v>
      </c>
      <c r="Y448" s="232"/>
    </row>
    <row r="449" spans="21:25" x14ac:dyDescent="0.2">
      <c r="U449" s="209" t="str">
        <f t="shared" si="9"/>
        <v>1D</v>
      </c>
      <c r="V449" s="207">
        <f>_xll.qlCalendarAdvance(Calendar,V448,U449,"f",FALSE)</f>
        <v>42412</v>
      </c>
      <c r="W449" s="210">
        <f>_xll.qlCalendarAdvance(Calendar,V449,NDays&amp;"D")</f>
        <v>42412</v>
      </c>
      <c r="X449" s="211">
        <v>1.0389095751417443E-3</v>
      </c>
      <c r="Y449" s="232"/>
    </row>
    <row r="450" spans="21:25" x14ac:dyDescent="0.2">
      <c r="U450" s="209" t="str">
        <f t="shared" si="9"/>
        <v>1D</v>
      </c>
      <c r="V450" s="207">
        <f>_xll.qlCalendarAdvance(Calendar,V449,U450,"f",FALSE)</f>
        <v>42415</v>
      </c>
      <c r="W450" s="210">
        <f>_xll.qlCalendarAdvance(Calendar,V450,NDays&amp;"D")</f>
        <v>42415</v>
      </c>
      <c r="X450" s="211">
        <v>1.0447320448747632E-3</v>
      </c>
      <c r="Y450" s="232"/>
    </row>
    <row r="451" spans="21:25" x14ac:dyDescent="0.2">
      <c r="U451" s="209" t="str">
        <f t="shared" si="9"/>
        <v>1D</v>
      </c>
      <c r="V451" s="207">
        <f>_xll.qlCalendarAdvance(Calendar,V450,U451,"f",FALSE)</f>
        <v>42416</v>
      </c>
      <c r="W451" s="210">
        <f>_xll.qlCalendarAdvance(Calendar,V451,NDays&amp;"D")</f>
        <v>42416</v>
      </c>
      <c r="X451" s="211">
        <v>1.0476084931543284E-3</v>
      </c>
      <c r="Y451" s="232"/>
    </row>
    <row r="452" spans="21:25" x14ac:dyDescent="0.2">
      <c r="U452" s="209" t="str">
        <f t="shared" si="9"/>
        <v>1D</v>
      </c>
      <c r="V452" s="207">
        <f>_xll.qlCalendarAdvance(Calendar,V451,U452,"f",FALSE)</f>
        <v>42417</v>
      </c>
      <c r="W452" s="210">
        <f>_xll.qlCalendarAdvance(Calendar,V452,NDays&amp;"D")</f>
        <v>42417</v>
      </c>
      <c r="X452" s="211">
        <v>1.0504631700491984E-3</v>
      </c>
      <c r="Y452" s="232"/>
    </row>
    <row r="453" spans="21:25" x14ac:dyDescent="0.2">
      <c r="U453" s="209" t="str">
        <f t="shared" si="9"/>
        <v>1D</v>
      </c>
      <c r="V453" s="207">
        <f>_xll.qlCalendarAdvance(Calendar,V452,U453,"f",FALSE)</f>
        <v>42418</v>
      </c>
      <c r="W453" s="210">
        <f>_xll.qlCalendarAdvance(Calendar,V453,NDays&amp;"D")</f>
        <v>42418</v>
      </c>
      <c r="X453" s="211">
        <v>1.0532960753995013E-3</v>
      </c>
      <c r="Y453" s="232"/>
    </row>
    <row r="454" spans="21:25" x14ac:dyDescent="0.2">
      <c r="U454" s="209" t="str">
        <f t="shared" si="9"/>
        <v>1D</v>
      </c>
      <c r="V454" s="207">
        <f>_xll.qlCalendarAdvance(Calendar,V453,U454,"f",FALSE)</f>
        <v>42419</v>
      </c>
      <c r="W454" s="210">
        <f>_xll.qlCalendarAdvance(Calendar,V454,NDays&amp;"D")</f>
        <v>42419</v>
      </c>
      <c r="X454" s="211">
        <v>1.0588924294729907E-3</v>
      </c>
      <c r="Y454" s="232"/>
    </row>
    <row r="455" spans="21:25" x14ac:dyDescent="0.2">
      <c r="U455" s="209" t="str">
        <f t="shared" si="9"/>
        <v>1D</v>
      </c>
      <c r="V455" s="207">
        <f>_xll.qlCalendarAdvance(Calendar,V454,U455,"f",FALSE)</f>
        <v>42422</v>
      </c>
      <c r="W455" s="210">
        <f>_xll.qlCalendarAdvance(Calendar,V455,NDays&amp;"D")</f>
        <v>42422</v>
      </c>
      <c r="X455" s="211">
        <v>1.0644099829537623E-3</v>
      </c>
      <c r="Y455" s="232"/>
    </row>
    <row r="456" spans="21:25" x14ac:dyDescent="0.2">
      <c r="U456" s="209" t="str">
        <f t="shared" si="9"/>
        <v>1D</v>
      </c>
      <c r="V456" s="207">
        <f>_xll.qlCalendarAdvance(Calendar,V455,U456,"f",FALSE)</f>
        <v>42423</v>
      </c>
      <c r="W456" s="210">
        <f>_xll.qlCalendarAdvance(Calendar,V456,NDays&amp;"D")</f>
        <v>42423</v>
      </c>
      <c r="X456" s="211">
        <v>1.0671340313006539E-3</v>
      </c>
      <c r="Y456" s="232"/>
    </row>
    <row r="457" spans="21:25" x14ac:dyDescent="0.2">
      <c r="U457" s="209" t="str">
        <f t="shared" si="9"/>
        <v>1D</v>
      </c>
      <c r="V457" s="207">
        <f>_xll.qlCalendarAdvance(Calendar,V456,U457,"f",FALSE)</f>
        <v>42424</v>
      </c>
      <c r="W457" s="210">
        <f>_xll.qlCalendarAdvance(Calendar,V457,NDays&amp;"D")</f>
        <v>42424</v>
      </c>
      <c r="X457" s="211">
        <v>1.0698363082628504E-3</v>
      </c>
      <c r="Y457" s="232"/>
    </row>
    <row r="458" spans="21:25" x14ac:dyDescent="0.2">
      <c r="U458" s="209" t="str">
        <f t="shared" si="9"/>
        <v>1D</v>
      </c>
      <c r="V458" s="207">
        <f>_xll.qlCalendarAdvance(Calendar,V457,U458,"f",FALSE)</f>
        <v>42425</v>
      </c>
      <c r="W458" s="210">
        <f>_xll.qlCalendarAdvance(Calendar,V458,NDays&amp;"D")</f>
        <v>42425</v>
      </c>
      <c r="X458" s="211">
        <v>1.0725168136804797E-3</v>
      </c>
      <c r="Y458" s="232"/>
    </row>
    <row r="459" spans="21:25" x14ac:dyDescent="0.2">
      <c r="U459" s="209" t="str">
        <f t="shared" si="9"/>
        <v>1D</v>
      </c>
      <c r="V459" s="207">
        <f>_xll.qlCalendarAdvance(Calendar,V458,U459,"f",FALSE)</f>
        <v>42426</v>
      </c>
      <c r="W459" s="210">
        <f>_xll.qlCalendarAdvance(Calendar,V459,NDays&amp;"D")</f>
        <v>42426</v>
      </c>
      <c r="X459" s="211">
        <v>1.0778084801454924E-3</v>
      </c>
      <c r="Y459" s="232"/>
    </row>
    <row r="460" spans="21:25" x14ac:dyDescent="0.2">
      <c r="U460" s="209" t="str">
        <f t="shared" si="9"/>
        <v>1D</v>
      </c>
      <c r="V460" s="207">
        <f>_xll.qlCalendarAdvance(Calendar,V459,U460,"f",FALSE)</f>
        <v>42429</v>
      </c>
      <c r="W460" s="210">
        <f>_xll.qlCalendarAdvance(Calendar,V460,NDays&amp;"D")</f>
        <v>42429</v>
      </c>
      <c r="X460" s="211">
        <v>1.0830211215040464E-3</v>
      </c>
      <c r="Y460" s="232"/>
    </row>
    <row r="461" spans="21:25" x14ac:dyDescent="0.2">
      <c r="U461" s="209" t="str">
        <f t="shared" ref="U461:U524" si="10">U460</f>
        <v>1D</v>
      </c>
      <c r="V461" s="207">
        <f>_xll.qlCalendarAdvance(Calendar,V460,U461,"f",FALSE)</f>
        <v>42430</v>
      </c>
      <c r="W461" s="210">
        <f>_xll.qlCalendarAdvance(Calendar,V461,NDays&amp;"D")</f>
        <v>42430</v>
      </c>
      <c r="X461" s="211">
        <v>1.0855927698383283E-3</v>
      </c>
      <c r="Y461" s="232"/>
    </row>
    <row r="462" spans="21:25" x14ac:dyDescent="0.2">
      <c r="U462" s="209" t="str">
        <f t="shared" si="10"/>
        <v>1D</v>
      </c>
      <c r="V462" s="207">
        <f>_xll.qlCalendarAdvance(Calendar,V461,U462,"f",FALSE)</f>
        <v>42431</v>
      </c>
      <c r="W462" s="210">
        <f>_xll.qlCalendarAdvance(Calendar,V462,NDays&amp;"D")</f>
        <v>42431</v>
      </c>
      <c r="X462" s="211">
        <v>1.0881546542229614E-3</v>
      </c>
      <c r="Y462" s="232"/>
    </row>
    <row r="463" spans="21:25" x14ac:dyDescent="0.2">
      <c r="U463" s="209" t="str">
        <f t="shared" si="10"/>
        <v>1D</v>
      </c>
      <c r="V463" s="207">
        <f>_xll.qlCalendarAdvance(Calendar,V462,U463,"f",FALSE)</f>
        <v>42432</v>
      </c>
      <c r="W463" s="210">
        <f>_xll.qlCalendarAdvance(Calendar,V463,NDays&amp;"D")</f>
        <v>42432</v>
      </c>
      <c r="X463" s="211">
        <v>1.0907548037586423E-3</v>
      </c>
      <c r="Y463" s="232"/>
    </row>
    <row r="464" spans="21:25" x14ac:dyDescent="0.2">
      <c r="U464" s="209" t="str">
        <f t="shared" si="10"/>
        <v>1D</v>
      </c>
      <c r="V464" s="207">
        <f>_xll.qlCalendarAdvance(Calendar,V463,U464,"f",FALSE)</f>
        <v>42433</v>
      </c>
      <c r="W464" s="210">
        <f>_xll.qlCalendarAdvance(Calendar,V464,NDays&amp;"D")</f>
        <v>42433</v>
      </c>
      <c r="X464" s="211">
        <v>1.0961260155539776E-3</v>
      </c>
      <c r="Y464" s="232"/>
    </row>
    <row r="465" spans="21:25" x14ac:dyDescent="0.2">
      <c r="U465" s="209" t="str">
        <f t="shared" si="10"/>
        <v>1D</v>
      </c>
      <c r="V465" s="207">
        <f>_xll.qlCalendarAdvance(Calendar,V464,U465,"f",FALSE)</f>
        <v>42436</v>
      </c>
      <c r="W465" s="210">
        <f>_xll.qlCalendarAdvance(Calendar,V465,NDays&amp;"D")</f>
        <v>42436</v>
      </c>
      <c r="X465" s="211">
        <v>1.1016581277623061E-3</v>
      </c>
      <c r="Y465" s="232"/>
    </row>
    <row r="466" spans="21:25" x14ac:dyDescent="0.2">
      <c r="U466" s="209" t="str">
        <f t="shared" si="10"/>
        <v>1D</v>
      </c>
      <c r="V466" s="207">
        <f>_xll.qlCalendarAdvance(Calendar,V465,U466,"f",FALSE)</f>
        <v>42437</v>
      </c>
      <c r="W466" s="210">
        <f>_xll.qlCalendarAdvance(Calendar,V466,NDays&amp;"D")</f>
        <v>42437</v>
      </c>
      <c r="X466" s="211">
        <v>1.1045096402284571E-3</v>
      </c>
      <c r="Y466" s="232"/>
    </row>
    <row r="467" spans="21:25" x14ac:dyDescent="0.2">
      <c r="U467" s="209" t="str">
        <f t="shared" si="10"/>
        <v>1D</v>
      </c>
      <c r="V467" s="207">
        <f>_xll.qlCalendarAdvance(Calendar,V466,U467,"f",FALSE)</f>
        <v>42438</v>
      </c>
      <c r="W467" s="210">
        <f>_xll.qlCalendarAdvance(Calendar,V467,NDays&amp;"D")</f>
        <v>42438</v>
      </c>
      <c r="X467" s="211">
        <v>1.1074114252807021E-3</v>
      </c>
      <c r="Y467" s="232"/>
    </row>
    <row r="468" spans="21:25" x14ac:dyDescent="0.2">
      <c r="U468" s="209" t="str">
        <f t="shared" si="10"/>
        <v>1D</v>
      </c>
      <c r="V468" s="207">
        <f>_xll.qlCalendarAdvance(Calendar,V467,U468,"f",FALSE)</f>
        <v>42439</v>
      </c>
      <c r="W468" s="210">
        <f>_xll.qlCalendarAdvance(Calendar,V468,NDays&amp;"D")</f>
        <v>42439</v>
      </c>
      <c r="X468" s="211">
        <v>1.1103634828391051E-3</v>
      </c>
      <c r="Y468" s="232"/>
    </row>
    <row r="469" spans="21:25" x14ac:dyDescent="0.2">
      <c r="U469" s="209" t="str">
        <f t="shared" si="10"/>
        <v>1D</v>
      </c>
      <c r="V469" s="207">
        <f>_xll.qlCalendarAdvance(Calendar,V468,U469,"f",FALSE)</f>
        <v>42440</v>
      </c>
      <c r="W469" s="210">
        <f>_xll.qlCalendarAdvance(Calendar,V469,NDays&amp;"D")</f>
        <v>42440</v>
      </c>
      <c r="X469" s="211">
        <v>1.1164386357531697E-3</v>
      </c>
      <c r="Y469" s="232"/>
    </row>
    <row r="470" spans="21:25" x14ac:dyDescent="0.2">
      <c r="U470" s="209" t="str">
        <f t="shared" si="10"/>
        <v>1D</v>
      </c>
      <c r="V470" s="207">
        <f>_xll.qlCalendarAdvance(Calendar,V469,U470,"f",FALSE)</f>
        <v>42443</v>
      </c>
      <c r="W470" s="210">
        <f>_xll.qlCalendarAdvance(Calendar,V470,NDays&amp;"D")</f>
        <v>42443</v>
      </c>
      <c r="X470" s="211">
        <v>1.1226744393333377E-3</v>
      </c>
      <c r="Y470" s="232"/>
    </row>
    <row r="471" spans="21:25" x14ac:dyDescent="0.2">
      <c r="U471" s="209" t="str">
        <f t="shared" si="10"/>
        <v>1D</v>
      </c>
      <c r="V471" s="207">
        <f>_xll.qlCalendarAdvance(Calendar,V470,U471,"f",FALSE)</f>
        <v>42444</v>
      </c>
      <c r="W471" s="210">
        <f>_xll.qlCalendarAdvance(Calendar,V471,NDays&amp;"D")</f>
        <v>42444</v>
      </c>
      <c r="X471" s="211">
        <v>1.1258778599021468E-3</v>
      </c>
      <c r="Y471" s="232"/>
    </row>
    <row r="472" spans="21:25" x14ac:dyDescent="0.2">
      <c r="U472" s="209" t="str">
        <f t="shared" si="10"/>
        <v>1D</v>
      </c>
      <c r="V472" s="207">
        <f>_xll.qlCalendarAdvance(Calendar,V471,U472,"f",FALSE)</f>
        <v>42445</v>
      </c>
      <c r="W472" s="210">
        <f>_xll.qlCalendarAdvance(Calendar,V472,NDays&amp;"D")</f>
        <v>42445</v>
      </c>
      <c r="X472" s="211">
        <v>1.1291315531369861E-3</v>
      </c>
      <c r="Y472" s="232"/>
    </row>
    <row r="473" spans="21:25" x14ac:dyDescent="0.2">
      <c r="U473" s="209" t="str">
        <f t="shared" si="10"/>
        <v>1D</v>
      </c>
      <c r="V473" s="207">
        <f>_xll.qlCalendarAdvance(Calendar,V472,U473,"f",FALSE)</f>
        <v>42446</v>
      </c>
      <c r="W473" s="210">
        <f>_xll.qlCalendarAdvance(Calendar,V473,NDays&amp;"D")</f>
        <v>42446</v>
      </c>
      <c r="X473" s="211">
        <v>1.1324355188779833E-3</v>
      </c>
      <c r="Y473" s="232"/>
    </row>
    <row r="474" spans="21:25" x14ac:dyDescent="0.2">
      <c r="U474" s="209" t="str">
        <f t="shared" si="10"/>
        <v>1D</v>
      </c>
      <c r="V474" s="207">
        <f>_xll.qlCalendarAdvance(Calendar,V473,U474,"f",FALSE)</f>
        <v>42447</v>
      </c>
      <c r="W474" s="210">
        <f>_xll.qlCalendarAdvance(Calendar,V474,NDays&amp;"D")</f>
        <v>42447</v>
      </c>
      <c r="X474" s="211">
        <v>1.1392146307631634E-3</v>
      </c>
      <c r="Y474" s="232"/>
    </row>
    <row r="475" spans="21:25" x14ac:dyDescent="0.2">
      <c r="U475" s="209" t="str">
        <f t="shared" si="10"/>
        <v>1D</v>
      </c>
      <c r="V475" s="207">
        <f>_xll.qlCalendarAdvance(Calendar,V474,U475,"f",FALSE)</f>
        <v>42450</v>
      </c>
      <c r="W475" s="210">
        <f>_xll.qlCalendarAdvance(Calendar,V475,NDays&amp;"D")</f>
        <v>42450</v>
      </c>
      <c r="X475" s="211">
        <v>1.1461541079427207E-3</v>
      </c>
      <c r="Y475" s="232"/>
    </row>
    <row r="476" spans="21:25" x14ac:dyDescent="0.2">
      <c r="U476" s="209" t="str">
        <f t="shared" si="10"/>
        <v>1D</v>
      </c>
      <c r="V476" s="207">
        <f>_xll.qlCalendarAdvance(Calendar,V475,U476,"f",FALSE)</f>
        <v>42451</v>
      </c>
      <c r="W476" s="210">
        <f>_xll.qlCalendarAdvance(Calendar,V476,NDays&amp;"D")</f>
        <v>42451</v>
      </c>
      <c r="X476" s="211">
        <v>1.1497094367740601E-3</v>
      </c>
      <c r="Y476" s="232"/>
    </row>
    <row r="477" spans="21:25" x14ac:dyDescent="0.2">
      <c r="U477" s="209" t="str">
        <f t="shared" si="10"/>
        <v>1D</v>
      </c>
      <c r="V477" s="207">
        <f>_xll.qlCalendarAdvance(Calendar,V476,U477,"f",FALSE)</f>
        <v>42452</v>
      </c>
      <c r="W477" s="210">
        <f>_xll.qlCalendarAdvance(Calendar,V477,NDays&amp;"D")</f>
        <v>42452</v>
      </c>
      <c r="X477" s="211">
        <v>1.1533150381914936E-3</v>
      </c>
      <c r="Y477" s="232"/>
    </row>
    <row r="478" spans="21:25" x14ac:dyDescent="0.2">
      <c r="U478" s="209" t="str">
        <f t="shared" si="10"/>
        <v>1D</v>
      </c>
      <c r="V478" s="207">
        <f>_xll.qlCalendarAdvance(Calendar,V477,U478,"f",FALSE)</f>
        <v>42453</v>
      </c>
      <c r="W478" s="210">
        <f>_xll.qlCalendarAdvance(Calendar,V478,NDays&amp;"D")</f>
        <v>42453</v>
      </c>
      <c r="X478" s="211">
        <v>1.1644912840083066E-3</v>
      </c>
      <c r="Y478" s="232"/>
    </row>
    <row r="479" spans="21:25" x14ac:dyDescent="0.2">
      <c r="U479" s="209" t="str">
        <f t="shared" si="10"/>
        <v>1D</v>
      </c>
      <c r="V479" s="207">
        <f>_xll.qlCalendarAdvance(Calendar,V478,U479,"f",FALSE)</f>
        <v>42458</v>
      </c>
      <c r="W479" s="210">
        <f>_xll.qlCalendarAdvance(Calendar,V479,NDays&amp;"D")</f>
        <v>42458</v>
      </c>
      <c r="X479" s="211">
        <v>1.1760043712438772E-3</v>
      </c>
      <c r="Y479" s="232"/>
    </row>
    <row r="480" spans="21:25" x14ac:dyDescent="0.2">
      <c r="U480" s="209" t="str">
        <f t="shared" si="10"/>
        <v>1D</v>
      </c>
      <c r="V480" s="207">
        <f>_xll.qlCalendarAdvance(Calendar,V479,U480,"f",FALSE)</f>
        <v>42459</v>
      </c>
      <c r="W480" s="210">
        <f>_xll.qlCalendarAdvance(Calendar,V480,NDays&amp;"D")</f>
        <v>42459</v>
      </c>
      <c r="X480" s="211">
        <v>1.179961880923841E-3</v>
      </c>
      <c r="Y480" s="232"/>
    </row>
    <row r="481" spans="21:25" x14ac:dyDescent="0.2">
      <c r="U481" s="209" t="str">
        <f t="shared" si="10"/>
        <v>1D</v>
      </c>
      <c r="V481" s="207">
        <f>_xll.qlCalendarAdvance(Calendar,V480,U481,"f",FALSE)</f>
        <v>42460</v>
      </c>
      <c r="W481" s="210">
        <f>_xll.qlCalendarAdvance(Calendar,V481,NDays&amp;"D")</f>
        <v>42460</v>
      </c>
      <c r="X481" s="211">
        <v>1.1839696632698349E-3</v>
      </c>
      <c r="Y481" s="232"/>
    </row>
    <row r="482" spans="21:25" x14ac:dyDescent="0.2">
      <c r="U482" s="209" t="str">
        <f t="shared" si="10"/>
        <v>1D</v>
      </c>
      <c r="V482" s="207">
        <f>_xll.qlCalendarAdvance(Calendar,V481,U482,"f",FALSE)</f>
        <v>42461</v>
      </c>
      <c r="W482" s="210">
        <f>_xll.qlCalendarAdvance(Calendar,V482,NDays&amp;"D")</f>
        <v>42461</v>
      </c>
      <c r="X482" s="211">
        <v>1.1921567510242426E-3</v>
      </c>
      <c r="Y482" s="232"/>
    </row>
    <row r="483" spans="21:25" x14ac:dyDescent="0.2">
      <c r="U483" s="209" t="str">
        <f t="shared" si="10"/>
        <v>1D</v>
      </c>
      <c r="V483" s="207">
        <f>_xll.qlCalendarAdvance(Calendar,V482,U483,"f",FALSE)</f>
        <v>42464</v>
      </c>
      <c r="W483" s="210">
        <f>_xll.qlCalendarAdvance(Calendar,V483,NDays&amp;"D")</f>
        <v>42464</v>
      </c>
      <c r="X483" s="211">
        <v>1.2005035185147506E-3</v>
      </c>
      <c r="Y483" s="232"/>
    </row>
    <row r="484" spans="21:25" x14ac:dyDescent="0.2">
      <c r="U484" s="209" t="str">
        <f t="shared" si="10"/>
        <v>1D</v>
      </c>
      <c r="V484" s="207">
        <f>_xll.qlCalendarAdvance(Calendar,V483,U484,"f",FALSE)</f>
        <v>42465</v>
      </c>
      <c r="W484" s="210">
        <f>_xll.qlCalendarAdvance(Calendar,V484,NDays&amp;"D")</f>
        <v>42465</v>
      </c>
      <c r="X484" s="211">
        <v>1.2047626639510867E-3</v>
      </c>
      <c r="Y484" s="232"/>
    </row>
    <row r="485" spans="21:25" x14ac:dyDescent="0.2">
      <c r="U485" s="209" t="str">
        <f t="shared" si="10"/>
        <v>1D</v>
      </c>
      <c r="V485" s="207">
        <f>_xll.qlCalendarAdvance(Calendar,V484,U485,"f",FALSE)</f>
        <v>42466</v>
      </c>
      <c r="W485" s="210">
        <f>_xll.qlCalendarAdvance(Calendar,V485,NDays&amp;"D")</f>
        <v>42466</v>
      </c>
      <c r="X485" s="211">
        <v>1.2090720819735168E-3</v>
      </c>
      <c r="Y485" s="232"/>
    </row>
    <row r="486" spans="21:25" x14ac:dyDescent="0.2">
      <c r="U486" s="209" t="str">
        <f t="shared" si="10"/>
        <v>1D</v>
      </c>
      <c r="V486" s="207">
        <f>_xll.qlCalendarAdvance(Calendar,V485,U486,"f",FALSE)</f>
        <v>42467</v>
      </c>
      <c r="W486" s="210">
        <f>_xll.qlCalendarAdvance(Calendar,V486,NDays&amp;"D")</f>
        <v>42467</v>
      </c>
      <c r="X486" s="211">
        <v>1.213431772661977E-3</v>
      </c>
      <c r="Y486" s="232"/>
    </row>
    <row r="487" spans="21:25" x14ac:dyDescent="0.2">
      <c r="U487" s="209" t="str">
        <f t="shared" si="10"/>
        <v>1D</v>
      </c>
      <c r="V487" s="207">
        <f>_xll.qlCalendarAdvance(Calendar,V486,U487,"f",FALSE)</f>
        <v>42468</v>
      </c>
      <c r="W487" s="210">
        <f>_xll.qlCalendarAdvance(Calendar,V487,NDays&amp;"D")</f>
        <v>42468</v>
      </c>
      <c r="X487" s="211">
        <v>1.222322879526061E-3</v>
      </c>
      <c r="Y487" s="232"/>
    </row>
    <row r="488" spans="21:25" x14ac:dyDescent="0.2">
      <c r="U488" s="209" t="str">
        <f t="shared" si="10"/>
        <v>1D</v>
      </c>
      <c r="V488" s="207">
        <f>_xll.qlCalendarAdvance(Calendar,V487,U488,"f",FALSE)</f>
        <v>42471</v>
      </c>
      <c r="W488" s="210">
        <f>_xll.qlCalendarAdvance(Calendar,V488,NDays&amp;"D")</f>
        <v>42471</v>
      </c>
      <c r="X488" s="211">
        <v>1.2313732615965023E-3</v>
      </c>
      <c r="Y488" s="232"/>
    </row>
    <row r="489" spans="21:25" x14ac:dyDescent="0.2">
      <c r="U489" s="209" t="str">
        <f t="shared" si="10"/>
        <v>1D</v>
      </c>
      <c r="V489" s="207">
        <f>_xll.qlCalendarAdvance(Calendar,V488,U489,"f",FALSE)</f>
        <v>42472</v>
      </c>
      <c r="W489" s="210">
        <f>_xll.qlCalendarAdvance(Calendar,V489,NDays&amp;"D")</f>
        <v>42472</v>
      </c>
      <c r="X489" s="211">
        <v>1.2359843153753047E-3</v>
      </c>
      <c r="Y489" s="232"/>
    </row>
    <row r="490" spans="21:25" x14ac:dyDescent="0.2">
      <c r="U490" s="209" t="str">
        <f t="shared" si="10"/>
        <v>1D</v>
      </c>
      <c r="V490" s="207">
        <f>_xll.qlCalendarAdvance(Calendar,V489,U490,"f",FALSE)</f>
        <v>42473</v>
      </c>
      <c r="W490" s="210">
        <f>_xll.qlCalendarAdvance(Calendar,V490,NDays&amp;"D")</f>
        <v>42473</v>
      </c>
      <c r="X490" s="211">
        <v>1.2406456419000733E-3</v>
      </c>
      <c r="Y490" s="232"/>
    </row>
    <row r="491" spans="21:25" x14ac:dyDescent="0.2">
      <c r="U491" s="209" t="str">
        <f t="shared" si="10"/>
        <v>1D</v>
      </c>
      <c r="V491" s="207">
        <f>_xll.qlCalendarAdvance(Calendar,V490,U491,"f",FALSE)</f>
        <v>42474</v>
      </c>
      <c r="W491" s="210">
        <f>_xll.qlCalendarAdvance(Calendar,V491,NDays&amp;"D")</f>
        <v>42474</v>
      </c>
      <c r="X491" s="211">
        <v>1.2453572409309999E-3</v>
      </c>
      <c r="Y491" s="232"/>
    </row>
    <row r="492" spans="21:25" x14ac:dyDescent="0.2">
      <c r="U492" s="209" t="str">
        <f t="shared" si="10"/>
        <v>1D</v>
      </c>
      <c r="V492" s="207">
        <f>_xll.qlCalendarAdvance(Calendar,V491,U492,"f",FALSE)</f>
        <v>42475</v>
      </c>
      <c r="W492" s="210">
        <f>_xll.qlCalendarAdvance(Calendar,V492,NDays&amp;"D")</f>
        <v>42475</v>
      </c>
      <c r="X492" s="211">
        <v>1.2549523893934378E-3</v>
      </c>
      <c r="Y492" s="232"/>
    </row>
    <row r="493" spans="21:25" x14ac:dyDescent="0.2">
      <c r="U493" s="209" t="str">
        <f t="shared" si="10"/>
        <v>1D</v>
      </c>
      <c r="V493" s="207">
        <f>_xll.qlCalendarAdvance(Calendar,V492,U493,"f",FALSE)</f>
        <v>42478</v>
      </c>
      <c r="W493" s="210">
        <f>_xll.qlCalendarAdvance(Calendar,V493,NDays&amp;"D")</f>
        <v>42478</v>
      </c>
      <c r="X493" s="211">
        <v>1.2647063639548151E-3</v>
      </c>
      <c r="Y493" s="232"/>
    </row>
    <row r="494" spans="21:25" x14ac:dyDescent="0.2">
      <c r="U494" s="209" t="str">
        <f t="shared" si="10"/>
        <v>1D</v>
      </c>
      <c r="V494" s="207">
        <f>_xll.qlCalendarAdvance(Calendar,V493,U494,"f",FALSE)</f>
        <v>42479</v>
      </c>
      <c r="W494" s="210">
        <f>_xll.qlCalendarAdvance(Calendar,V494,NDays&amp;"D")</f>
        <v>42479</v>
      </c>
      <c r="X494" s="211">
        <v>1.269669326235956E-3</v>
      </c>
      <c r="Y494" s="232"/>
    </row>
    <row r="495" spans="21:25" x14ac:dyDescent="0.2">
      <c r="U495" s="209" t="str">
        <f t="shared" si="10"/>
        <v>1D</v>
      </c>
      <c r="V495" s="207">
        <f>_xll.qlCalendarAdvance(Calendar,V494,U495,"f",FALSE)</f>
        <v>42480</v>
      </c>
      <c r="W495" s="210">
        <f>_xll.qlCalendarAdvance(Calendar,V495,NDays&amp;"D")</f>
        <v>42480</v>
      </c>
      <c r="X495" s="211">
        <v>1.274682561263063E-3</v>
      </c>
      <c r="Y495" s="232"/>
    </row>
    <row r="496" spans="21:25" x14ac:dyDescent="0.2">
      <c r="U496" s="209" t="str">
        <f t="shared" si="10"/>
        <v>1D</v>
      </c>
      <c r="V496" s="207">
        <f>_xll.qlCalendarAdvance(Calendar,V495,U496,"f",FALSE)</f>
        <v>42481</v>
      </c>
      <c r="W496" s="210">
        <f>_xll.qlCalendarAdvance(Calendar,V496,NDays&amp;"D")</f>
        <v>42481</v>
      </c>
      <c r="X496" s="211">
        <v>1.2797460689562001E-3</v>
      </c>
      <c r="Y496" s="232"/>
    </row>
    <row r="497" spans="21:25" x14ac:dyDescent="0.2">
      <c r="U497" s="209" t="str">
        <f t="shared" si="10"/>
        <v>1D</v>
      </c>
      <c r="V497" s="207">
        <f>_xll.qlCalendarAdvance(Calendar,V496,U497,"f",FALSE)</f>
        <v>42482</v>
      </c>
      <c r="W497" s="210">
        <f>_xll.qlCalendarAdvance(Calendar,V497,NDays&amp;"D")</f>
        <v>42482</v>
      </c>
      <c r="X497" s="211">
        <v>1.290045282598129E-3</v>
      </c>
      <c r="Y497" s="232"/>
    </row>
    <row r="498" spans="21:25" x14ac:dyDescent="0.2">
      <c r="U498" s="209" t="str">
        <f t="shared" si="10"/>
        <v>1D</v>
      </c>
      <c r="V498" s="207">
        <f>_xll.qlCalendarAdvance(Calendar,V497,U498,"f",FALSE)</f>
        <v>42485</v>
      </c>
      <c r="W498" s="210">
        <f>_xll.qlCalendarAdvance(Calendar,V498,NDays&amp;"D")</f>
        <v>42485</v>
      </c>
      <c r="X498" s="211">
        <v>1.3005028262291773E-3</v>
      </c>
      <c r="Y498" s="232"/>
    </row>
    <row r="499" spans="21:25" x14ac:dyDescent="0.2">
      <c r="U499" s="209" t="str">
        <f t="shared" si="10"/>
        <v>1D</v>
      </c>
      <c r="V499" s="207">
        <f>_xll.qlCalendarAdvance(Calendar,V498,U499,"f",FALSE)</f>
        <v>42486</v>
      </c>
      <c r="W499" s="210">
        <f>_xll.qlCalendarAdvance(Calendar,V499,NDays&amp;"D")</f>
        <v>42486</v>
      </c>
      <c r="X499" s="211">
        <v>1.3058176971725288E-3</v>
      </c>
      <c r="Y499" s="232"/>
    </row>
    <row r="500" spans="21:25" x14ac:dyDescent="0.2">
      <c r="U500" s="209" t="str">
        <f t="shared" si="10"/>
        <v>1D</v>
      </c>
      <c r="V500" s="207">
        <f>_xll.qlCalendarAdvance(Calendar,V499,U500,"f",FALSE)</f>
        <v>42487</v>
      </c>
      <c r="W500" s="210">
        <f>_xll.qlCalendarAdvance(Calendar,V500,NDays&amp;"D")</f>
        <v>42487</v>
      </c>
      <c r="X500" s="211">
        <v>1.3111828409417825E-3</v>
      </c>
      <c r="Y500" s="232"/>
    </row>
    <row r="501" spans="21:25" x14ac:dyDescent="0.2">
      <c r="U501" s="209" t="str">
        <f t="shared" si="10"/>
        <v>1D</v>
      </c>
      <c r="V501" s="207">
        <f>_xll.qlCalendarAdvance(Calendar,V500,U501,"f",FALSE)</f>
        <v>42488</v>
      </c>
      <c r="W501" s="210">
        <f>_xll.qlCalendarAdvance(Calendar,V501,NDays&amp;"D")</f>
        <v>42488</v>
      </c>
      <c r="X501" s="211">
        <v>1.3165982572171941E-3</v>
      </c>
      <c r="Y501" s="232"/>
    </row>
    <row r="502" spans="21:25" x14ac:dyDescent="0.2">
      <c r="U502" s="209" t="str">
        <f t="shared" si="10"/>
        <v>1D</v>
      </c>
      <c r="V502" s="207">
        <f>_xll.qlCalendarAdvance(Calendar,V501,U502,"f",FALSE)</f>
        <v>42489</v>
      </c>
      <c r="W502" s="210">
        <f>_xll.qlCalendarAdvance(Calendar,V502,NDays&amp;"D")</f>
        <v>42489</v>
      </c>
      <c r="X502" s="211">
        <v>1.3276015613250536E-3</v>
      </c>
      <c r="Y502" s="232"/>
    </row>
    <row r="503" spans="21:25" x14ac:dyDescent="0.2">
      <c r="U503" s="209" t="str">
        <f t="shared" si="10"/>
        <v>1D</v>
      </c>
      <c r="V503" s="207">
        <f>_xll.qlCalendarAdvance(Calendar,V502,U503,"f",FALSE)</f>
        <v>42492</v>
      </c>
      <c r="W503" s="210">
        <f>_xll.qlCalendarAdvance(Calendar,V503,NDays&amp;"D")</f>
        <v>42492</v>
      </c>
      <c r="X503" s="211">
        <v>1.3387626493788218E-3</v>
      </c>
      <c r="Y503" s="232"/>
    </row>
    <row r="504" spans="21:25" x14ac:dyDescent="0.2">
      <c r="U504" s="209" t="str">
        <f t="shared" si="10"/>
        <v>1D</v>
      </c>
      <c r="V504" s="207">
        <f>_xll.qlCalendarAdvance(Calendar,V503,U504,"f",FALSE)</f>
        <v>42493</v>
      </c>
      <c r="W504" s="210">
        <f>_xll.qlCalendarAdvance(Calendar,V504,NDays&amp;"D")</f>
        <v>42493</v>
      </c>
      <c r="X504" s="211">
        <v>1.3444294290643199E-3</v>
      </c>
      <c r="Y504" s="232"/>
    </row>
    <row r="505" spans="21:25" x14ac:dyDescent="0.2">
      <c r="U505" s="209" t="str">
        <f t="shared" si="10"/>
        <v>1D</v>
      </c>
      <c r="V505" s="207">
        <f>_xll.qlCalendarAdvance(Calendar,V504,U505,"f",FALSE)</f>
        <v>42494</v>
      </c>
      <c r="W505" s="210">
        <f>_xll.qlCalendarAdvance(Calendar,V505,NDays&amp;"D")</f>
        <v>42494</v>
      </c>
      <c r="X505" s="211">
        <v>1.3501464814957842E-3</v>
      </c>
      <c r="Y505" s="232"/>
    </row>
    <row r="506" spans="21:25" x14ac:dyDescent="0.2">
      <c r="U506" s="209" t="str">
        <f t="shared" si="10"/>
        <v>1D</v>
      </c>
      <c r="V506" s="207">
        <f>_xll.qlCalendarAdvance(Calendar,V505,U506,"f",FALSE)</f>
        <v>42495</v>
      </c>
      <c r="W506" s="210">
        <f>_xll.qlCalendarAdvance(Calendar,V506,NDays&amp;"D")</f>
        <v>42495</v>
      </c>
      <c r="X506" s="211">
        <v>1.3559138065932785E-3</v>
      </c>
      <c r="Y506" s="232"/>
    </row>
    <row r="507" spans="21:25" x14ac:dyDescent="0.2">
      <c r="U507" s="209" t="str">
        <f t="shared" si="10"/>
        <v>1D</v>
      </c>
      <c r="V507" s="207">
        <f>_xll.qlCalendarAdvance(Calendar,V506,U507,"f",FALSE)</f>
        <v>42496</v>
      </c>
      <c r="W507" s="210">
        <f>_xll.qlCalendarAdvance(Calendar,V507,NDays&amp;"D")</f>
        <v>42496</v>
      </c>
      <c r="X507" s="211">
        <v>1.3676212278923572E-3</v>
      </c>
      <c r="Y507" s="232"/>
    </row>
    <row r="508" spans="21:25" x14ac:dyDescent="0.2">
      <c r="U508" s="209" t="str">
        <f t="shared" si="10"/>
        <v>1D</v>
      </c>
      <c r="V508" s="207">
        <f>_xll.qlCalendarAdvance(Calendar,V507,U508,"f",FALSE)</f>
        <v>42499</v>
      </c>
      <c r="W508" s="210">
        <f>_xll.qlCalendarAdvance(Calendar,V508,NDays&amp;"D")</f>
        <v>42499</v>
      </c>
      <c r="X508" s="211">
        <v>1.3794858339633009E-3</v>
      </c>
      <c r="Y508" s="232"/>
    </row>
    <row r="509" spans="21:25" x14ac:dyDescent="0.2">
      <c r="U509" s="209" t="str">
        <f t="shared" si="10"/>
        <v>1D</v>
      </c>
      <c r="V509" s="207">
        <f>_xll.qlCalendarAdvance(Calendar,V508,U509,"f",FALSE)</f>
        <v>42500</v>
      </c>
      <c r="W509" s="210">
        <f>_xll.qlCalendarAdvance(Calendar,V509,NDays&amp;"D")</f>
        <v>42500</v>
      </c>
      <c r="X509" s="211">
        <v>1.3855045225508178E-3</v>
      </c>
      <c r="Y509" s="232"/>
    </row>
    <row r="510" spans="21:25" x14ac:dyDescent="0.2">
      <c r="U510" s="209" t="str">
        <f t="shared" si="10"/>
        <v>1D</v>
      </c>
      <c r="V510" s="207">
        <f>_xll.qlCalendarAdvance(Calendar,V509,U510,"f",FALSE)</f>
        <v>42501</v>
      </c>
      <c r="W510" s="210">
        <f>_xll.qlCalendarAdvance(Calendar,V510,NDays&amp;"D")</f>
        <v>42501</v>
      </c>
      <c r="X510" s="211">
        <v>1.3915734838043647E-3</v>
      </c>
      <c r="Y510" s="232"/>
    </row>
    <row r="511" spans="21:25" x14ac:dyDescent="0.2">
      <c r="U511" s="209" t="str">
        <f t="shared" si="10"/>
        <v>1D</v>
      </c>
      <c r="V511" s="207">
        <f>_xll.qlCalendarAdvance(Calendar,V510,U511,"f",FALSE)</f>
        <v>42502</v>
      </c>
      <c r="W511" s="210">
        <f>_xll.qlCalendarAdvance(Calendar,V511,NDays&amp;"D")</f>
        <v>42502</v>
      </c>
      <c r="X511" s="211">
        <v>1.3976927178038778E-3</v>
      </c>
      <c r="Y511" s="232"/>
    </row>
    <row r="512" spans="21:25" x14ac:dyDescent="0.2">
      <c r="U512" s="209" t="str">
        <f t="shared" si="10"/>
        <v>1D</v>
      </c>
      <c r="V512" s="207">
        <f>_xll.qlCalendarAdvance(Calendar,V511,U512,"f",FALSE)</f>
        <v>42503</v>
      </c>
      <c r="W512" s="210">
        <f>_xll.qlCalendarAdvance(Calendar,V512,NDays&amp;"D")</f>
        <v>42503</v>
      </c>
      <c r="X512" s="211">
        <v>1.4101042847247669E-3</v>
      </c>
      <c r="Y512" s="232"/>
    </row>
    <row r="513" spans="21:25" x14ac:dyDescent="0.2">
      <c r="U513" s="209" t="str">
        <f t="shared" si="10"/>
        <v>1D</v>
      </c>
      <c r="V513" s="207">
        <f>_xll.qlCalendarAdvance(Calendar,V512,U513,"f",FALSE)</f>
        <v>42506</v>
      </c>
      <c r="W513" s="210">
        <f>_xll.qlCalendarAdvance(Calendar,V513,NDays&amp;"D")</f>
        <v>42506</v>
      </c>
      <c r="X513" s="211">
        <v>1.4226723809418473E-3</v>
      </c>
      <c r="Y513" s="232"/>
    </row>
    <row r="514" spans="21:25" x14ac:dyDescent="0.2">
      <c r="U514" s="209" t="str">
        <f t="shared" si="10"/>
        <v>1D</v>
      </c>
      <c r="V514" s="207">
        <f>_xll.qlCalendarAdvance(Calendar,V513,U514,"f",FALSE)</f>
        <v>42507</v>
      </c>
      <c r="W514" s="210">
        <f>_xll.qlCalendarAdvance(Calendar,V514,NDays&amp;"D")</f>
        <v>42507</v>
      </c>
      <c r="X514" s="211">
        <v>1.4290429784313829E-3</v>
      </c>
      <c r="Y514" s="232"/>
    </row>
    <row r="515" spans="21:25" x14ac:dyDescent="0.2">
      <c r="U515" s="209" t="str">
        <f t="shared" si="10"/>
        <v>1D</v>
      </c>
      <c r="V515" s="207">
        <f>_xll.qlCalendarAdvance(Calendar,V514,U515,"f",FALSE)</f>
        <v>42508</v>
      </c>
      <c r="W515" s="210">
        <f>_xll.qlCalendarAdvance(Calendar,V515,NDays&amp;"D")</f>
        <v>42508</v>
      </c>
      <c r="X515" s="211">
        <v>1.4354638487468208E-3</v>
      </c>
      <c r="Y515" s="232"/>
    </row>
    <row r="516" spans="21:25" x14ac:dyDescent="0.2">
      <c r="U516" s="209" t="str">
        <f t="shared" si="10"/>
        <v>1D</v>
      </c>
      <c r="V516" s="207">
        <f>_xll.qlCalendarAdvance(Calendar,V515,U516,"f",FALSE)</f>
        <v>42509</v>
      </c>
      <c r="W516" s="210">
        <f>_xll.qlCalendarAdvance(Calendar,V516,NDays&amp;"D")</f>
        <v>42509</v>
      </c>
      <c r="X516" s="211">
        <v>1.4419349918082247E-3</v>
      </c>
      <c r="Y516" s="232"/>
    </row>
    <row r="517" spans="21:25" x14ac:dyDescent="0.2">
      <c r="U517" s="209" t="str">
        <f t="shared" si="10"/>
        <v>1D</v>
      </c>
      <c r="V517" s="207">
        <f>_xll.qlCalendarAdvance(Calendar,V516,U517,"f",FALSE)</f>
        <v>42510</v>
      </c>
      <c r="W517" s="210">
        <f>_xll.qlCalendarAdvance(Calendar,V517,NDays&amp;"D")</f>
        <v>42510</v>
      </c>
      <c r="X517" s="211">
        <v>1.4550507345134633E-3</v>
      </c>
      <c r="Y517" s="232"/>
    </row>
    <row r="518" spans="21:25" x14ac:dyDescent="0.2">
      <c r="U518" s="209" t="str">
        <f t="shared" si="10"/>
        <v>1D</v>
      </c>
      <c r="V518" s="207">
        <f>_xll.qlCalendarAdvance(Calendar,V517,U518,"f",FALSE)</f>
        <v>42513</v>
      </c>
      <c r="W518" s="210">
        <f>_xll.qlCalendarAdvance(Calendar,V518,NDays&amp;"D")</f>
        <v>42513</v>
      </c>
      <c r="X518" s="211">
        <v>1.4683222911138216E-3</v>
      </c>
      <c r="Y518" s="232"/>
    </row>
    <row r="519" spans="21:25" x14ac:dyDescent="0.2">
      <c r="U519" s="209" t="str">
        <f t="shared" si="10"/>
        <v>1D</v>
      </c>
      <c r="V519" s="207">
        <f>_xll.qlCalendarAdvance(Calendar,V518,U519,"f",FALSE)</f>
        <v>42514</v>
      </c>
      <c r="W519" s="210">
        <f>_xll.qlCalendarAdvance(Calendar,V519,NDays&amp;"D")</f>
        <v>42514</v>
      </c>
      <c r="X519" s="211">
        <v>1.4750447978251202E-3</v>
      </c>
      <c r="Y519" s="232"/>
    </row>
    <row r="520" spans="21:25" x14ac:dyDescent="0.2">
      <c r="U520" s="209" t="str">
        <f t="shared" si="10"/>
        <v>1D</v>
      </c>
      <c r="V520" s="207">
        <f>_xll.qlCalendarAdvance(Calendar,V519,U520,"f",FALSE)</f>
        <v>42515</v>
      </c>
      <c r="W520" s="210">
        <f>_xll.qlCalendarAdvance(Calendar,V520,NDays&amp;"D")</f>
        <v>42515</v>
      </c>
      <c r="X520" s="211">
        <v>1.4818175772024489E-3</v>
      </c>
      <c r="Y520" s="232"/>
    </row>
    <row r="521" spans="21:25" x14ac:dyDescent="0.2">
      <c r="U521" s="209" t="str">
        <f t="shared" si="10"/>
        <v>1D</v>
      </c>
      <c r="V521" s="207">
        <f>_xll.qlCalendarAdvance(Calendar,V520,U521,"f",FALSE)</f>
        <v>42516</v>
      </c>
      <c r="W521" s="210">
        <f>_xll.qlCalendarAdvance(Calendar,V521,NDays&amp;"D")</f>
        <v>42516</v>
      </c>
      <c r="X521" s="211">
        <v>1.4886406294056798E-3</v>
      </c>
      <c r="Y521" s="232"/>
    </row>
    <row r="522" spans="21:25" x14ac:dyDescent="0.2">
      <c r="U522" s="209" t="str">
        <f t="shared" si="10"/>
        <v>1D</v>
      </c>
      <c r="V522" s="207">
        <f>_xll.qlCalendarAdvance(Calendar,V521,U522,"f",FALSE)</f>
        <v>42517</v>
      </c>
      <c r="W522" s="210">
        <f>_xll.qlCalendarAdvance(Calendar,V522,NDays&amp;"D")</f>
        <v>42517</v>
      </c>
      <c r="X522" s="211">
        <v>1.5024605799496271E-3</v>
      </c>
      <c r="Y522" s="232"/>
    </row>
    <row r="523" spans="21:25" x14ac:dyDescent="0.2">
      <c r="U523" s="209" t="str">
        <f t="shared" si="10"/>
        <v>1D</v>
      </c>
      <c r="V523" s="207">
        <f>_xll.qlCalendarAdvance(Calendar,V522,U523,"f",FALSE)</f>
        <v>42520</v>
      </c>
      <c r="W523" s="210">
        <f>_xll.qlCalendarAdvance(Calendar,V523,NDays&amp;"D")</f>
        <v>42520</v>
      </c>
      <c r="X523" s="211">
        <v>1.5164355655183925E-3</v>
      </c>
      <c r="Y523" s="232"/>
    </row>
    <row r="524" spans="21:25" x14ac:dyDescent="0.2">
      <c r="U524" s="209" t="str">
        <f t="shared" si="10"/>
        <v>1D</v>
      </c>
      <c r="V524" s="207">
        <f>_xll.qlCalendarAdvance(Calendar,V523,U524,"f",FALSE)</f>
        <v>42521</v>
      </c>
      <c r="W524" s="210">
        <f>_xll.qlCalendarAdvance(Calendar,V524,NDays&amp;"D")</f>
        <v>42521</v>
      </c>
      <c r="X524" s="211">
        <v>1.5235099814514541E-3</v>
      </c>
      <c r="Y524" s="232"/>
    </row>
    <row r="525" spans="21:25" x14ac:dyDescent="0.2">
      <c r="U525" s="209" t="str">
        <f t="shared" ref="U525:U588" si="11">U524</f>
        <v>1D</v>
      </c>
      <c r="V525" s="207">
        <f>_xll.qlCalendarAdvance(Calendar,V524,U525,"f",FALSE)</f>
        <v>42522</v>
      </c>
      <c r="W525" s="210">
        <f>_xll.qlCalendarAdvance(Calendar,V525,NDays&amp;"D")</f>
        <v>42522</v>
      </c>
      <c r="X525" s="211">
        <v>1.5306346701304818E-3</v>
      </c>
      <c r="Y525" s="232"/>
    </row>
    <row r="526" spans="21:25" x14ac:dyDescent="0.2">
      <c r="U526" s="209" t="str">
        <f t="shared" si="11"/>
        <v>1D</v>
      </c>
      <c r="V526" s="207">
        <f>_xll.qlCalendarAdvance(Calendar,V525,U526,"f",FALSE)</f>
        <v>42523</v>
      </c>
      <c r="W526" s="210">
        <f>_xll.qlCalendarAdvance(Calendar,V526,NDays&amp;"D")</f>
        <v>42523</v>
      </c>
      <c r="X526" s="211">
        <v>1.5378031239610124E-3</v>
      </c>
      <c r="Y526" s="232"/>
    </row>
    <row r="527" spans="21:25" x14ac:dyDescent="0.2">
      <c r="U527" s="209" t="str">
        <f t="shared" si="11"/>
        <v>1D</v>
      </c>
      <c r="V527" s="207">
        <f>_xll.qlCalendarAdvance(Calendar,V526,U527,"f",FALSE)</f>
        <v>42524</v>
      </c>
      <c r="W527" s="210">
        <f>_xll.qlCalendarAdvance(Calendar,V527,NDays&amp;"D")</f>
        <v>42524</v>
      </c>
      <c r="X527" s="211">
        <v>1.5521971636012211E-3</v>
      </c>
      <c r="Y527" s="232"/>
    </row>
    <row r="528" spans="21:25" x14ac:dyDescent="0.2">
      <c r="U528" s="209" t="str">
        <f t="shared" si="11"/>
        <v>1D</v>
      </c>
      <c r="V528" s="207">
        <f>_xll.qlCalendarAdvance(Calendar,V527,U528,"f",FALSE)</f>
        <v>42527</v>
      </c>
      <c r="W528" s="210">
        <f>_xll.qlCalendarAdvance(Calendar,V528,NDays&amp;"D")</f>
        <v>42527</v>
      </c>
      <c r="X528" s="211">
        <v>1.5666152425719559E-3</v>
      </c>
      <c r="Y528" s="232"/>
    </row>
    <row r="529" spans="21:25" x14ac:dyDescent="0.2">
      <c r="U529" s="209" t="s">
        <v>166</v>
      </c>
      <c r="V529" s="207">
        <f>_xll.qlCalendarAdvance(Calendar,V528,U529,"f",FALSE)</f>
        <v>42534</v>
      </c>
      <c r="W529" s="210">
        <f>_xll.qlCalendarAdvance(Calendar,V529,NDays&amp;"D")</f>
        <v>42534</v>
      </c>
      <c r="X529" s="211">
        <v>1.6174687003367438E-3</v>
      </c>
      <c r="Y529" s="232"/>
    </row>
    <row r="530" spans="21:25" x14ac:dyDescent="0.2">
      <c r="U530" s="209" t="str">
        <f t="shared" si="11"/>
        <v>1w</v>
      </c>
      <c r="V530" s="207">
        <f>_xll.qlCalendarAdvance(Calendar,V529,U530,"f",FALSE)</f>
        <v>42541</v>
      </c>
      <c r="W530" s="210">
        <f>_xll.qlCalendarAdvance(Calendar,V530,NDays&amp;"D")</f>
        <v>42541</v>
      </c>
      <c r="X530" s="211">
        <v>1.668872295237378E-3</v>
      </c>
      <c r="Y530" s="232"/>
    </row>
    <row r="531" spans="21:25" x14ac:dyDescent="0.2">
      <c r="U531" s="209" t="str">
        <f t="shared" si="11"/>
        <v>1w</v>
      </c>
      <c r="V531" s="207">
        <f>_xll.qlCalendarAdvance(Calendar,V530,U531,"f",FALSE)</f>
        <v>42548</v>
      </c>
      <c r="W531" s="210">
        <f>_xll.qlCalendarAdvance(Calendar,V531,NDays&amp;"D")</f>
        <v>42548</v>
      </c>
      <c r="X531" s="211">
        <v>1.7208260271939224E-3</v>
      </c>
      <c r="Y531" s="232"/>
    </row>
    <row r="532" spans="21:25" x14ac:dyDescent="0.2">
      <c r="U532" s="209" t="str">
        <f t="shared" si="11"/>
        <v>1w</v>
      </c>
      <c r="V532" s="207">
        <f>_xll.qlCalendarAdvance(Calendar,V531,U532,"f",FALSE)</f>
        <v>42555</v>
      </c>
      <c r="W532" s="210">
        <f>_xll.qlCalendarAdvance(Calendar,V532,NDays&amp;"D")</f>
        <v>42555</v>
      </c>
      <c r="X532" s="211">
        <v>1.7733298966060573E-3</v>
      </c>
      <c r="Y532" s="232"/>
    </row>
    <row r="533" spans="21:25" x14ac:dyDescent="0.2">
      <c r="U533" s="209" t="str">
        <f t="shared" si="11"/>
        <v>1w</v>
      </c>
      <c r="V533" s="207">
        <f>_xll.qlCalendarAdvance(Calendar,V532,U533,"f",FALSE)</f>
        <v>42562</v>
      </c>
      <c r="W533" s="210">
        <f>_xll.qlCalendarAdvance(Calendar,V533,NDays&amp;"D")</f>
        <v>42562</v>
      </c>
      <c r="X533" s="211">
        <v>1.826383903793527E-3</v>
      </c>
      <c r="Y533" s="232"/>
    </row>
    <row r="534" spans="21:25" x14ac:dyDescent="0.2">
      <c r="U534" s="209" t="str">
        <f t="shared" si="11"/>
        <v>1w</v>
      </c>
      <c r="V534" s="207">
        <f>_xll.qlCalendarAdvance(Calendar,V533,U534,"f",FALSE)</f>
        <v>42569</v>
      </c>
      <c r="W534" s="210">
        <f>_xll.qlCalendarAdvance(Calendar,V534,NDays&amp;"D")</f>
        <v>42569</v>
      </c>
      <c r="X534" s="211">
        <v>1.8799880488362675E-3</v>
      </c>
      <c r="Y534" s="232"/>
    </row>
    <row r="535" spans="21:25" x14ac:dyDescent="0.2">
      <c r="U535" s="209" t="str">
        <f t="shared" si="11"/>
        <v>1w</v>
      </c>
      <c r="V535" s="207">
        <f>_xll.qlCalendarAdvance(Calendar,V534,U535,"f",FALSE)</f>
        <v>42576</v>
      </c>
      <c r="W535" s="210">
        <f>_xll.qlCalendarAdvance(Calendar,V535,NDays&amp;"D")</f>
        <v>42576</v>
      </c>
      <c r="X535" s="211">
        <v>1.934142332054023E-3</v>
      </c>
      <c r="Y535" s="232"/>
    </row>
    <row r="536" spans="21:25" x14ac:dyDescent="0.2">
      <c r="U536" s="209" t="str">
        <f t="shared" si="11"/>
        <v>1w</v>
      </c>
      <c r="V536" s="207">
        <f>_xll.qlCalendarAdvance(Calendar,V535,U536,"f",FALSE)</f>
        <v>42583</v>
      </c>
      <c r="W536" s="210">
        <f>_xll.qlCalendarAdvance(Calendar,V536,NDays&amp;"D")</f>
        <v>42583</v>
      </c>
      <c r="X536" s="211">
        <v>1.9888467536866017E-3</v>
      </c>
      <c r="Y536" s="232"/>
    </row>
    <row r="537" spans="21:25" x14ac:dyDescent="0.2">
      <c r="U537" s="209" t="str">
        <f t="shared" si="11"/>
        <v>1w</v>
      </c>
      <c r="V537" s="207">
        <f>_xll.qlCalendarAdvance(Calendar,V536,U537,"f",FALSE)</f>
        <v>42590</v>
      </c>
      <c r="W537" s="210">
        <f>_xll.qlCalendarAdvance(Calendar,V537,NDays&amp;"D")</f>
        <v>42590</v>
      </c>
      <c r="X537" s="211">
        <v>2.0441013139738118E-3</v>
      </c>
      <c r="Y537" s="232"/>
    </row>
    <row r="538" spans="21:25" x14ac:dyDescent="0.2">
      <c r="U538" s="209" t="str">
        <f t="shared" si="11"/>
        <v>1w</v>
      </c>
      <c r="V538" s="207">
        <f>_xll.qlCalendarAdvance(Calendar,V537,U538,"f",FALSE)</f>
        <v>42597</v>
      </c>
      <c r="W538" s="210">
        <f>_xll.qlCalendarAdvance(Calendar,V538,NDays&amp;"D")</f>
        <v>42597</v>
      </c>
      <c r="X538" s="211">
        <v>2.0999060132353975E-3</v>
      </c>
      <c r="Y538" s="232"/>
    </row>
    <row r="539" spans="21:25" x14ac:dyDescent="0.2">
      <c r="U539" s="209" t="str">
        <f t="shared" si="11"/>
        <v>1w</v>
      </c>
      <c r="V539" s="207">
        <f>_xll.qlCalendarAdvance(Calendar,V538,U539,"f",FALSE)</f>
        <v>42604</v>
      </c>
      <c r="W539" s="210">
        <f>_xll.qlCalendarAdvance(Calendar,V539,NDays&amp;"D")</f>
        <v>42604</v>
      </c>
      <c r="X539" s="211">
        <v>2.1562608516312309E-3</v>
      </c>
      <c r="Y539" s="232"/>
    </row>
    <row r="540" spans="21:25" x14ac:dyDescent="0.2">
      <c r="U540" s="209" t="str">
        <f t="shared" si="11"/>
        <v>1w</v>
      </c>
      <c r="V540" s="207">
        <f>_xll.qlCalendarAdvance(Calendar,V539,U540,"f",FALSE)</f>
        <v>42611</v>
      </c>
      <c r="W540" s="210">
        <f>_xll.qlCalendarAdvance(Calendar,V540,NDays&amp;"D")</f>
        <v>42611</v>
      </c>
      <c r="X540" s="211">
        <v>2.2131658294810563E-3</v>
      </c>
      <c r="Y540" s="232"/>
    </row>
    <row r="541" spans="21:25" x14ac:dyDescent="0.2">
      <c r="U541" s="209" t="str">
        <f t="shared" si="11"/>
        <v>1w</v>
      </c>
      <c r="V541" s="207">
        <f>_xll.qlCalendarAdvance(Calendar,V540,U541,"f",FALSE)</f>
        <v>42618</v>
      </c>
      <c r="W541" s="210">
        <f>_xll.qlCalendarAdvance(Calendar,V541,NDays&amp;"D")</f>
        <v>42618</v>
      </c>
      <c r="X541" s="211">
        <v>2.2706209470246819E-3</v>
      </c>
      <c r="Y541" s="232"/>
    </row>
    <row r="542" spans="21:25" x14ac:dyDescent="0.2">
      <c r="U542" s="209" t="str">
        <f t="shared" si="11"/>
        <v>1w</v>
      </c>
      <c r="V542" s="207">
        <f>_xll.qlCalendarAdvance(Calendar,V541,U542,"f",FALSE)</f>
        <v>42625</v>
      </c>
      <c r="W542" s="210">
        <f>_xll.qlCalendarAdvance(Calendar,V542,NDays&amp;"D")</f>
        <v>42625</v>
      </c>
      <c r="X542" s="211">
        <v>2.3286262045818518E-3</v>
      </c>
      <c r="Y542" s="232"/>
    </row>
    <row r="543" spans="21:25" x14ac:dyDescent="0.2">
      <c r="U543" s="209" t="str">
        <f t="shared" si="11"/>
        <v>1w</v>
      </c>
      <c r="V543" s="207">
        <f>_xll.qlCalendarAdvance(Calendar,V542,U543,"f",FALSE)</f>
        <v>42632</v>
      </c>
      <c r="W543" s="210">
        <f>_xll.qlCalendarAdvance(Calendar,V543,NDays&amp;"D")</f>
        <v>42632</v>
      </c>
      <c r="X543" s="211">
        <v>2.3871816022325021E-3</v>
      </c>
      <c r="Y543" s="232"/>
    </row>
    <row r="544" spans="21:25" x14ac:dyDescent="0.2">
      <c r="U544" s="209" t="str">
        <f t="shared" si="11"/>
        <v>1w</v>
      </c>
      <c r="V544" s="207">
        <f>_xll.qlCalendarAdvance(Calendar,V543,U544,"f",FALSE)</f>
        <v>42639</v>
      </c>
      <c r="W544" s="210">
        <f>_xll.qlCalendarAdvance(Calendar,V544,NDays&amp;"D")</f>
        <v>42639</v>
      </c>
      <c r="X544" s="211">
        <v>2.4462871404562492E-3</v>
      </c>
      <c r="Y544" s="232"/>
    </row>
    <row r="545" spans="21:25" x14ac:dyDescent="0.2">
      <c r="U545" s="209" t="str">
        <f t="shared" si="11"/>
        <v>1w</v>
      </c>
      <c r="V545" s="207">
        <f>_xll.qlCalendarAdvance(Calendar,V544,U545,"f",FALSE)</f>
        <v>42646</v>
      </c>
      <c r="W545" s="210">
        <f>_xll.qlCalendarAdvance(Calendar,V545,NDays&amp;"D")</f>
        <v>42646</v>
      </c>
      <c r="X545" s="211">
        <v>2.5059428194929012E-3</v>
      </c>
      <c r="Y545" s="232"/>
    </row>
    <row r="546" spans="21:25" x14ac:dyDescent="0.2">
      <c r="U546" s="209" t="str">
        <f t="shared" si="11"/>
        <v>1w</v>
      </c>
      <c r="V546" s="207">
        <f>_xll.qlCalendarAdvance(Calendar,V545,U546,"f",FALSE)</f>
        <v>42653</v>
      </c>
      <c r="W546" s="210">
        <f>_xll.qlCalendarAdvance(Calendar,V546,NDays&amp;"D")</f>
        <v>42653</v>
      </c>
      <c r="X546" s="211">
        <v>2.5661486395023303E-3</v>
      </c>
      <c r="Y546" s="232"/>
    </row>
    <row r="547" spans="21:25" x14ac:dyDescent="0.2">
      <c r="U547" s="209" t="str">
        <f t="shared" si="11"/>
        <v>1w</v>
      </c>
      <c r="V547" s="207">
        <f>_xll.qlCalendarAdvance(Calendar,V546,U547,"f",FALSE)</f>
        <v>42660</v>
      </c>
      <c r="W547" s="210">
        <f>_xll.qlCalendarAdvance(Calendar,V547,NDays&amp;"D")</f>
        <v>42660</v>
      </c>
      <c r="X547" s="211">
        <v>2.6269046008842167E-3</v>
      </c>
      <c r="Y547" s="232"/>
    </row>
    <row r="548" spans="21:25" x14ac:dyDescent="0.2">
      <c r="U548" s="209" t="str">
        <f t="shared" si="11"/>
        <v>1w</v>
      </c>
      <c r="V548" s="207">
        <f>_xll.qlCalendarAdvance(Calendar,V547,U548,"f",FALSE)</f>
        <v>42667</v>
      </c>
      <c r="W548" s="210">
        <f>_xll.qlCalendarAdvance(Calendar,V548,NDays&amp;"D")</f>
        <v>42667</v>
      </c>
      <c r="X548" s="211">
        <v>2.6882107037984326E-3</v>
      </c>
      <c r="Y548" s="232"/>
    </row>
    <row r="549" spans="21:25" x14ac:dyDescent="0.2">
      <c r="U549" s="209" t="str">
        <f t="shared" si="11"/>
        <v>1w</v>
      </c>
      <c r="V549" s="207">
        <f>_xll.qlCalendarAdvance(Calendar,V548,U549,"f",FALSE)</f>
        <v>42674</v>
      </c>
      <c r="W549" s="210">
        <f>_xll.qlCalendarAdvance(Calendar,V549,NDays&amp;"D")</f>
        <v>42674</v>
      </c>
      <c r="X549" s="211">
        <v>2.7500669486446583E-3</v>
      </c>
      <c r="Y549" s="232"/>
    </row>
    <row r="550" spans="21:25" x14ac:dyDescent="0.2">
      <c r="U550" s="209" t="str">
        <f t="shared" si="11"/>
        <v>1w</v>
      </c>
      <c r="V550" s="207">
        <f>_xll.qlCalendarAdvance(Calendar,V549,U550,"f",FALSE)</f>
        <v>42681</v>
      </c>
      <c r="W550" s="210">
        <f>_xll.qlCalendarAdvance(Calendar,V550,NDays&amp;"D")</f>
        <v>42681</v>
      </c>
      <c r="X550" s="211">
        <v>2.8124733356627019E-3</v>
      </c>
      <c r="Y550" s="232"/>
    </row>
    <row r="551" spans="21:25" x14ac:dyDescent="0.2">
      <c r="U551" s="209" t="str">
        <f t="shared" si="11"/>
        <v>1w</v>
      </c>
      <c r="V551" s="207">
        <f>_xll.qlCalendarAdvance(Calendar,V550,U551,"f",FALSE)</f>
        <v>42688</v>
      </c>
      <c r="W551" s="210">
        <f>_xll.qlCalendarAdvance(Calendar,V551,NDays&amp;"D")</f>
        <v>42688</v>
      </c>
      <c r="X551" s="211">
        <v>2.8754298650124355E-3</v>
      </c>
      <c r="Y551" s="232"/>
    </row>
    <row r="552" spans="21:25" x14ac:dyDescent="0.2">
      <c r="U552" s="209" t="str">
        <f t="shared" si="11"/>
        <v>1w</v>
      </c>
      <c r="V552" s="207">
        <f>_xll.qlCalendarAdvance(Calendar,V551,U552,"f",FALSE)</f>
        <v>42695</v>
      </c>
      <c r="W552" s="210">
        <f>_xll.qlCalendarAdvance(Calendar,V552,NDays&amp;"D")</f>
        <v>42695</v>
      </c>
      <c r="X552" s="211">
        <v>2.9389365371734755E-3</v>
      </c>
      <c r="Y552" s="232"/>
    </row>
    <row r="553" spans="21:25" x14ac:dyDescent="0.2">
      <c r="U553" s="209" t="str">
        <f t="shared" si="11"/>
        <v>1w</v>
      </c>
      <c r="V553" s="207">
        <f>_xll.qlCalendarAdvance(Calendar,V552,U553,"f",FALSE)</f>
        <v>42702</v>
      </c>
      <c r="W553" s="210">
        <f>_xll.qlCalendarAdvance(Calendar,V553,NDays&amp;"D")</f>
        <v>42702</v>
      </c>
      <c r="X553" s="211">
        <v>3.00299335238563E-3</v>
      </c>
      <c r="Y553" s="232"/>
    </row>
    <row r="554" spans="21:25" x14ac:dyDescent="0.2">
      <c r="U554" s="209" t="str">
        <f t="shared" si="11"/>
        <v>1w</v>
      </c>
      <c r="V554" s="207">
        <f>_xll.qlCalendarAdvance(Calendar,V553,U554,"f",FALSE)</f>
        <v>42709</v>
      </c>
      <c r="W554" s="210">
        <f>_xll.qlCalendarAdvance(Calendar,V554,NDays&amp;"D")</f>
        <v>42709</v>
      </c>
      <c r="X554" s="211">
        <v>3.0676003108887073E-3</v>
      </c>
      <c r="Y554" s="232"/>
    </row>
    <row r="555" spans="21:25" x14ac:dyDescent="0.2">
      <c r="U555" s="209" t="str">
        <f t="shared" si="11"/>
        <v>1w</v>
      </c>
      <c r="V555" s="207">
        <f>_xll.qlCalendarAdvance(Calendar,V554,U555,"f",FALSE)</f>
        <v>42716</v>
      </c>
      <c r="W555" s="210">
        <f>_xll.qlCalendarAdvance(Calendar,V555,NDays&amp;"D")</f>
        <v>42716</v>
      </c>
      <c r="X555" s="211">
        <v>3.1327574130024516E-3</v>
      </c>
      <c r="Y555" s="232"/>
    </row>
    <row r="556" spans="21:25" x14ac:dyDescent="0.2">
      <c r="U556" s="209" t="str">
        <f t="shared" si="11"/>
        <v>1w</v>
      </c>
      <c r="V556" s="207">
        <f>_xll.qlCalendarAdvance(Calendar,V555,U556,"f",FALSE)</f>
        <v>42723</v>
      </c>
      <c r="W556" s="210">
        <f>_xll.qlCalendarAdvance(Calendar,V556,NDays&amp;"D")</f>
        <v>42723</v>
      </c>
      <c r="X556" s="211">
        <v>3.198464659046607E-3</v>
      </c>
      <c r="Y556" s="232"/>
    </row>
    <row r="557" spans="21:25" x14ac:dyDescent="0.2">
      <c r="U557" s="209" t="str">
        <f t="shared" si="11"/>
        <v>1w</v>
      </c>
      <c r="V557" s="207">
        <f>_xll.qlCalendarAdvance(Calendar,V556,U557,"f",FALSE)</f>
        <v>42731</v>
      </c>
      <c r="W557" s="210">
        <f>_xll.qlCalendarAdvance(Calendar,V557,NDays&amp;"D")</f>
        <v>42731</v>
      </c>
      <c r="X557" s="211">
        <v>3.2742323004875118E-3</v>
      </c>
      <c r="Y557" s="232"/>
    </row>
    <row r="558" spans="21:25" x14ac:dyDescent="0.2">
      <c r="U558" s="209" t="str">
        <f t="shared" si="11"/>
        <v>1w</v>
      </c>
      <c r="V558" s="207">
        <f>_xll.qlCalendarAdvance(Calendar,V557,U558,"f",FALSE)</f>
        <v>42738</v>
      </c>
      <c r="W558" s="210">
        <f>_xll.qlCalendarAdvance(Calendar,V558,NDays&amp;"D")</f>
        <v>42738</v>
      </c>
      <c r="X558" s="211">
        <v>3.3411184273646199E-3</v>
      </c>
      <c r="Y558" s="232"/>
    </row>
    <row r="559" spans="21:25" x14ac:dyDescent="0.2">
      <c r="U559" s="209" t="str">
        <f t="shared" si="11"/>
        <v>1w</v>
      </c>
      <c r="V559" s="207">
        <f>_xll.qlCalendarAdvance(Calendar,V558,U559,"f",FALSE)</f>
        <v>42745</v>
      </c>
      <c r="W559" s="210">
        <f>_xll.qlCalendarAdvance(Calendar,V559,NDays&amp;"D")</f>
        <v>42745</v>
      </c>
      <c r="X559" s="211">
        <v>3.408554699131372E-3</v>
      </c>
      <c r="Y559" s="232"/>
    </row>
    <row r="560" spans="21:25" x14ac:dyDescent="0.2">
      <c r="U560" s="209" t="str">
        <f t="shared" si="11"/>
        <v>1w</v>
      </c>
      <c r="V560" s="207">
        <f>_xll.qlCalendarAdvance(Calendar,V559,U560,"f",FALSE)</f>
        <v>42752</v>
      </c>
      <c r="W560" s="210">
        <f>_xll.qlCalendarAdvance(Calendar,V560,NDays&amp;"D")</f>
        <v>42752</v>
      </c>
      <c r="X560" s="211">
        <v>3.4765411160275761E-3</v>
      </c>
      <c r="Y560" s="232"/>
    </row>
    <row r="561" spans="21:25" x14ac:dyDescent="0.2">
      <c r="U561" s="209" t="str">
        <f t="shared" si="11"/>
        <v>1w</v>
      </c>
      <c r="V561" s="207">
        <f>_xll.qlCalendarAdvance(Calendar,V560,U561,"f",FALSE)</f>
        <v>42759</v>
      </c>
      <c r="W561" s="210">
        <f>_xll.qlCalendarAdvance(Calendar,V561,NDays&amp;"D")</f>
        <v>42759</v>
      </c>
      <c r="X561" s="211">
        <v>3.5450776784529126E-3</v>
      </c>
      <c r="Y561" s="232"/>
    </row>
    <row r="562" spans="21:25" x14ac:dyDescent="0.2">
      <c r="U562" s="209" t="str">
        <f t="shared" si="11"/>
        <v>1w</v>
      </c>
      <c r="V562" s="207">
        <f>_xll.qlCalendarAdvance(Calendar,V561,U562,"f",FALSE)</f>
        <v>42766</v>
      </c>
      <c r="W562" s="210">
        <f>_xll.qlCalendarAdvance(Calendar,V562,NDays&amp;"D")</f>
        <v>42766</v>
      </c>
      <c r="X562" s="211">
        <v>3.6141643866471895E-3</v>
      </c>
      <c r="Y562" s="232"/>
    </row>
    <row r="563" spans="21:25" x14ac:dyDescent="0.2">
      <c r="U563" s="209" t="str">
        <f t="shared" si="11"/>
        <v>1w</v>
      </c>
      <c r="V563" s="207">
        <f>_xll.qlCalendarAdvance(Calendar,V562,U563,"f",FALSE)</f>
        <v>42773</v>
      </c>
      <c r="W563" s="210">
        <f>_xll.qlCalendarAdvance(Calendar,V563,NDays&amp;"D")</f>
        <v>42773</v>
      </c>
      <c r="X563" s="211">
        <v>3.6838012409301513E-3</v>
      </c>
      <c r="Y563" s="232"/>
    </row>
    <row r="564" spans="21:25" x14ac:dyDescent="0.2">
      <c r="U564" s="209" t="str">
        <f t="shared" si="11"/>
        <v>1w</v>
      </c>
      <c r="V564" s="207">
        <f>_xll.qlCalendarAdvance(Calendar,V563,U564,"f",FALSE)</f>
        <v>42780</v>
      </c>
      <c r="W564" s="210">
        <f>_xll.qlCalendarAdvance(Calendar,V564,NDays&amp;"D")</f>
        <v>42780</v>
      </c>
      <c r="X564" s="211">
        <v>3.753988241701478E-3</v>
      </c>
      <c r="Y564" s="232"/>
    </row>
    <row r="565" spans="21:25" x14ac:dyDescent="0.2">
      <c r="U565" s="209" t="str">
        <f t="shared" si="11"/>
        <v>1w</v>
      </c>
      <c r="V565" s="207">
        <f>_xll.qlCalendarAdvance(Calendar,V564,U565,"f",FALSE)</f>
        <v>42787</v>
      </c>
      <c r="W565" s="210">
        <f>_xll.qlCalendarAdvance(Calendar,V565,NDays&amp;"D")</f>
        <v>42787</v>
      </c>
      <c r="X565" s="211">
        <v>3.8247253892809141E-3</v>
      </c>
      <c r="Y565" s="232"/>
    </row>
    <row r="566" spans="21:25" x14ac:dyDescent="0.2">
      <c r="U566" s="209" t="str">
        <f t="shared" si="11"/>
        <v>1w</v>
      </c>
      <c r="V566" s="207">
        <f>_xll.qlCalendarAdvance(Calendar,V565,U566,"f",FALSE)</f>
        <v>42794</v>
      </c>
      <c r="W566" s="210">
        <f>_xll.qlCalendarAdvance(Calendar,V566,NDays&amp;"D")</f>
        <v>42794</v>
      </c>
      <c r="X566" s="211">
        <v>3.8960126838283315E-3</v>
      </c>
      <c r="Y566" s="232"/>
    </row>
    <row r="567" spans="21:25" x14ac:dyDescent="0.2">
      <c r="U567" s="209" t="str">
        <f t="shared" si="11"/>
        <v>1w</v>
      </c>
      <c r="V567" s="207">
        <f>_xll.qlCalendarAdvance(Calendar,V566,U567,"f",FALSE)</f>
        <v>42801</v>
      </c>
      <c r="W567" s="210">
        <f>_xll.qlCalendarAdvance(Calendar,V567,NDays&amp;"D")</f>
        <v>42801</v>
      </c>
      <c r="X567" s="211">
        <v>3.9678501259032828E-3</v>
      </c>
      <c r="Y567" s="232"/>
    </row>
    <row r="568" spans="21:25" x14ac:dyDescent="0.2">
      <c r="U568" s="209" t="str">
        <f t="shared" si="11"/>
        <v>1w</v>
      </c>
      <c r="V568" s="207">
        <f>_xll.qlCalendarAdvance(Calendar,V567,U568,"f",FALSE)</f>
        <v>42808</v>
      </c>
      <c r="W568" s="210">
        <f>_xll.qlCalendarAdvance(Calendar,V568,NDays&amp;"D")</f>
        <v>42808</v>
      </c>
      <c r="X568" s="211">
        <v>4.0402377156656399E-3</v>
      </c>
      <c r="Y568" s="232"/>
    </row>
    <row r="569" spans="21:25" x14ac:dyDescent="0.2">
      <c r="U569" s="209" t="str">
        <f t="shared" si="11"/>
        <v>1w</v>
      </c>
      <c r="V569" s="207">
        <f>_xll.qlCalendarAdvance(Calendar,V568,U569,"f",FALSE)</f>
        <v>42815</v>
      </c>
      <c r="W569" s="210">
        <f>_xll.qlCalendarAdvance(Calendar,V569,NDays&amp;"D")</f>
        <v>42815</v>
      </c>
      <c r="X569" s="211">
        <v>4.1131754535150833E-3</v>
      </c>
      <c r="Y569" s="232"/>
    </row>
    <row r="570" spans="21:25" x14ac:dyDescent="0.2">
      <c r="U570" s="209" t="str">
        <f t="shared" si="11"/>
        <v>1w</v>
      </c>
      <c r="V570" s="207">
        <f>_xll.qlCalendarAdvance(Calendar,V569,U570,"f",FALSE)</f>
        <v>42822</v>
      </c>
      <c r="W570" s="210">
        <f>_xll.qlCalendarAdvance(Calendar,V570,NDays&amp;"D")</f>
        <v>42822</v>
      </c>
      <c r="X570" s="211">
        <v>4.1866633397713571E-3</v>
      </c>
      <c r="Y570" s="232"/>
    </row>
    <row r="571" spans="21:25" x14ac:dyDescent="0.2">
      <c r="U571" s="209" t="str">
        <f t="shared" si="11"/>
        <v>1w</v>
      </c>
      <c r="V571" s="207">
        <f>_xll.qlCalendarAdvance(Calendar,V570,U571,"f",FALSE)</f>
        <v>42829</v>
      </c>
      <c r="W571" s="210">
        <f>_xll.qlCalendarAdvance(Calendar,V571,NDays&amp;"D")</f>
        <v>42829</v>
      </c>
      <c r="X571" s="211">
        <v>4.2607013747542055E-3</v>
      </c>
      <c r="Y571" s="232"/>
    </row>
    <row r="572" spans="21:25" x14ac:dyDescent="0.2">
      <c r="U572" s="209" t="str">
        <f t="shared" si="11"/>
        <v>1w</v>
      </c>
      <c r="V572" s="207">
        <f>_xll.qlCalendarAdvance(Calendar,V571,U572,"f",FALSE)</f>
        <v>42836</v>
      </c>
      <c r="W572" s="210">
        <f>_xll.qlCalendarAdvance(Calendar,V572,NDays&amp;"D")</f>
        <v>42836</v>
      </c>
      <c r="X572" s="211">
        <v>4.3352895588633089E-3</v>
      </c>
      <c r="Y572" s="232"/>
    </row>
    <row r="573" spans="21:25" x14ac:dyDescent="0.2">
      <c r="U573" s="209" t="str">
        <f t="shared" si="11"/>
        <v>1w</v>
      </c>
      <c r="V573" s="207">
        <f>_xll.qlCalendarAdvance(Calendar,V572,U573,"f",FALSE)</f>
        <v>42843</v>
      </c>
      <c r="W573" s="210">
        <f>_xll.qlCalendarAdvance(Calendar,V573,NDays&amp;"D")</f>
        <v>42843</v>
      </c>
      <c r="X573" s="211">
        <v>4.4104278923384754E-3</v>
      </c>
      <c r="Y573" s="232"/>
    </row>
    <row r="574" spans="21:25" x14ac:dyDescent="0.2">
      <c r="U574" s="209" t="str">
        <f t="shared" si="11"/>
        <v>1w</v>
      </c>
      <c r="V574" s="207">
        <f>_xll.qlCalendarAdvance(Calendar,V573,U574,"f",FALSE)</f>
        <v>42850</v>
      </c>
      <c r="W574" s="210">
        <f>_xll.qlCalendarAdvance(Calendar,V574,NDays&amp;"D")</f>
        <v>42850</v>
      </c>
      <c r="X574" s="211">
        <v>4.4861163755793854E-3</v>
      </c>
      <c r="Y574" s="232"/>
    </row>
    <row r="575" spans="21:25" x14ac:dyDescent="0.2">
      <c r="U575" s="209" t="str">
        <f t="shared" si="11"/>
        <v>1w</v>
      </c>
      <c r="V575" s="207">
        <f>_xll.qlCalendarAdvance(Calendar,V574,U575,"f",FALSE)</f>
        <v>42857</v>
      </c>
      <c r="W575" s="210">
        <f>_xll.qlCalendarAdvance(Calendar,V575,NDays&amp;"D")</f>
        <v>42857</v>
      </c>
      <c r="X575" s="211">
        <v>4.5623550090656551E-3</v>
      </c>
      <c r="Y575" s="232"/>
    </row>
    <row r="576" spans="21:25" x14ac:dyDescent="0.2">
      <c r="U576" s="209" t="str">
        <f t="shared" si="11"/>
        <v>1w</v>
      </c>
      <c r="V576" s="207">
        <f>_xll.qlCalendarAdvance(Calendar,V575,U576,"f",FALSE)</f>
        <v>42864</v>
      </c>
      <c r="W576" s="210">
        <f>_xll.qlCalendarAdvance(Calendar,V576,NDays&amp;"D")</f>
        <v>42864</v>
      </c>
      <c r="X576" s="211">
        <v>4.6391437928772206E-3</v>
      </c>
      <c r="Y576" s="232"/>
    </row>
    <row r="577" spans="21:25" x14ac:dyDescent="0.2">
      <c r="U577" s="209" t="str">
        <f t="shared" si="11"/>
        <v>1w</v>
      </c>
      <c r="V577" s="207">
        <f>_xll.qlCalendarAdvance(Calendar,V576,U577,"f",FALSE)</f>
        <v>42871</v>
      </c>
      <c r="W577" s="210">
        <f>_xll.qlCalendarAdvance(Calendar,V577,NDays&amp;"D")</f>
        <v>42871</v>
      </c>
      <c r="X577" s="211">
        <v>4.7164827275736343E-3</v>
      </c>
      <c r="Y577" s="232"/>
    </row>
    <row r="578" spans="21:25" x14ac:dyDescent="0.2">
      <c r="U578" s="209" t="str">
        <f t="shared" si="11"/>
        <v>1w</v>
      </c>
      <c r="V578" s="207">
        <f>_xll.qlCalendarAdvance(Calendar,V577,U578,"f",FALSE)</f>
        <v>42878</v>
      </c>
      <c r="W578" s="210">
        <f>_xll.qlCalendarAdvance(Calendar,V578,NDays&amp;"D")</f>
        <v>42878</v>
      </c>
      <c r="X578" s="211">
        <v>4.7943718133947044E-3</v>
      </c>
      <c r="Y578" s="232"/>
    </row>
    <row r="579" spans="21:25" x14ac:dyDescent="0.2">
      <c r="U579" s="209" t="str">
        <f t="shared" si="11"/>
        <v>1w</v>
      </c>
      <c r="V579" s="207">
        <f>_xll.qlCalendarAdvance(Calendar,V578,U579,"f",FALSE)</f>
        <v>42885</v>
      </c>
      <c r="W579" s="210">
        <f>_xll.qlCalendarAdvance(Calendar,V579,NDays&amp;"D")</f>
        <v>42885</v>
      </c>
      <c r="X579" s="211">
        <v>4.8728110508200473E-3</v>
      </c>
      <c r="Y579" s="232"/>
    </row>
    <row r="580" spans="21:25" x14ac:dyDescent="0.2">
      <c r="U580" s="209" t="str">
        <f t="shared" si="11"/>
        <v>1w</v>
      </c>
      <c r="V580" s="207">
        <f>_xll.qlCalendarAdvance(Calendar,V579,U580,"f",FALSE)</f>
        <v>42892</v>
      </c>
      <c r="W580" s="210">
        <f>_xll.qlCalendarAdvance(Calendar,V580,NDays&amp;"D")</f>
        <v>42892</v>
      </c>
      <c r="X580" s="211">
        <v>4.9516935010718299E-3</v>
      </c>
      <c r="Y580" s="232"/>
    </row>
    <row r="581" spans="21:25" x14ac:dyDescent="0.2">
      <c r="U581" s="209" t="str">
        <f t="shared" si="11"/>
        <v>1w</v>
      </c>
      <c r="V581" s="207">
        <f>_xll.qlCalendarAdvance(Calendar,V580,U581,"f",FALSE)</f>
        <v>42899</v>
      </c>
      <c r="W581" s="210">
        <f>_xll.qlCalendarAdvance(Calendar,V581,NDays&amp;"D")</f>
        <v>42899</v>
      </c>
      <c r="X581" s="211">
        <v>5.0306440016090193E-3</v>
      </c>
      <c r="Y581" s="232"/>
    </row>
    <row r="582" spans="21:25" x14ac:dyDescent="0.2">
      <c r="U582" s="209" t="str">
        <f t="shared" si="11"/>
        <v>1w</v>
      </c>
      <c r="V582" s="207">
        <f>_xll.qlCalendarAdvance(Calendar,V581,U582,"f",FALSE)</f>
        <v>42906</v>
      </c>
      <c r="W582" s="210">
        <f>_xll.qlCalendarAdvance(Calendar,V582,NDays&amp;"D")</f>
        <v>42906</v>
      </c>
      <c r="X582" s="211">
        <v>5.1096292433960855E-3</v>
      </c>
      <c r="Y582" s="232"/>
    </row>
    <row r="583" spans="21:25" x14ac:dyDescent="0.2">
      <c r="U583" s="209" t="str">
        <f t="shared" si="11"/>
        <v>1w</v>
      </c>
      <c r="V583" s="207">
        <f>_xll.qlCalendarAdvance(Calendar,V582,U583,"f",FALSE)</f>
        <v>42913</v>
      </c>
      <c r="W583" s="210">
        <f>_xll.qlCalendarAdvance(Calendar,V583,NDays&amp;"D")</f>
        <v>42913</v>
      </c>
      <c r="X583" s="211">
        <v>5.1886492265929007E-3</v>
      </c>
      <c r="Y583" s="232"/>
    </row>
    <row r="584" spans="21:25" x14ac:dyDescent="0.2">
      <c r="U584" s="209" t="str">
        <f t="shared" si="11"/>
        <v>1w</v>
      </c>
      <c r="V584" s="207">
        <f>_xll.qlCalendarAdvance(Calendar,V583,U584,"f",FALSE)</f>
        <v>42920</v>
      </c>
      <c r="W584" s="210">
        <f>_xll.qlCalendarAdvance(Calendar,V584,NDays&amp;"D")</f>
        <v>42920</v>
      </c>
      <c r="X584" s="211">
        <v>5.2677039511195289E-3</v>
      </c>
      <c r="Y584" s="232"/>
    </row>
    <row r="585" spans="21:25" x14ac:dyDescent="0.2">
      <c r="U585" s="209" t="str">
        <f t="shared" si="11"/>
        <v>1w</v>
      </c>
      <c r="V585" s="207">
        <f>_xll.qlCalendarAdvance(Calendar,V584,U585,"f",FALSE)</f>
        <v>42927</v>
      </c>
      <c r="W585" s="210">
        <f>_xll.qlCalendarAdvance(Calendar,V585,NDays&amp;"D")</f>
        <v>42927</v>
      </c>
      <c r="X585" s="211">
        <v>5.3467934171358422E-3</v>
      </c>
      <c r="Y585" s="232"/>
    </row>
    <row r="586" spans="21:25" x14ac:dyDescent="0.2">
      <c r="U586" s="209" t="str">
        <f t="shared" si="11"/>
        <v>1w</v>
      </c>
      <c r="V586" s="207">
        <f>_xll.qlCalendarAdvance(Calendar,V585,U586,"f",FALSE)</f>
        <v>42934</v>
      </c>
      <c r="W586" s="210">
        <f>_xll.qlCalendarAdvance(Calendar,V586,NDays&amp;"D")</f>
        <v>42934</v>
      </c>
      <c r="X586" s="211">
        <v>5.4259176244819685E-3</v>
      </c>
      <c r="Y586" s="232"/>
    </row>
    <row r="587" spans="21:25" x14ac:dyDescent="0.2">
      <c r="U587" s="209" t="str">
        <f t="shared" si="11"/>
        <v>1w</v>
      </c>
      <c r="V587" s="207">
        <f>_xll.qlCalendarAdvance(Calendar,V586,U587,"f",FALSE)</f>
        <v>42941</v>
      </c>
      <c r="W587" s="210">
        <f>_xll.qlCalendarAdvance(Calendar,V587,NDays&amp;"D")</f>
        <v>42941</v>
      </c>
      <c r="X587" s="211">
        <v>5.5050765733177798E-3</v>
      </c>
      <c r="Y587" s="232"/>
    </row>
    <row r="588" spans="21:25" x14ac:dyDescent="0.2">
      <c r="U588" s="209" t="str">
        <f t="shared" si="11"/>
        <v>1w</v>
      </c>
      <c r="V588" s="207">
        <f>_xll.qlCalendarAdvance(Calendar,V587,U588,"f",FALSE)</f>
        <v>42948</v>
      </c>
      <c r="W588" s="210">
        <f>_xll.qlCalendarAdvance(Calendar,V588,NDays&amp;"D")</f>
        <v>42948</v>
      </c>
      <c r="X588" s="211">
        <v>5.5842702637232122E-3</v>
      </c>
      <c r="Y588" s="232"/>
    </row>
    <row r="589" spans="21:25" x14ac:dyDescent="0.2">
      <c r="U589" s="209" t="str">
        <f t="shared" ref="U589:U652" si="12">U588</f>
        <v>1w</v>
      </c>
      <c r="V589" s="207">
        <f>_xll.qlCalendarAdvance(Calendar,V588,U589,"f",FALSE)</f>
        <v>42955</v>
      </c>
      <c r="W589" s="210">
        <f>_xll.qlCalendarAdvance(Calendar,V589,NDays&amp;"D")</f>
        <v>42955</v>
      </c>
      <c r="X589" s="211">
        <v>5.6634986955383937E-3</v>
      </c>
      <c r="Y589" s="232"/>
    </row>
    <row r="590" spans="21:25" x14ac:dyDescent="0.2">
      <c r="U590" s="209" t="str">
        <f t="shared" si="12"/>
        <v>1w</v>
      </c>
      <c r="V590" s="207">
        <f>_xll.qlCalendarAdvance(Calendar,V589,U590,"f",FALSE)</f>
        <v>42962</v>
      </c>
      <c r="W590" s="210">
        <f>_xll.qlCalendarAdvance(Calendar,V590,NDays&amp;"D")</f>
        <v>42962</v>
      </c>
      <c r="X590" s="211">
        <v>5.7427618688432602E-3</v>
      </c>
      <c r="Y590" s="232"/>
    </row>
    <row r="591" spans="21:25" x14ac:dyDescent="0.2">
      <c r="U591" s="209" t="str">
        <f t="shared" si="12"/>
        <v>1w</v>
      </c>
      <c r="V591" s="207">
        <f>_xll.qlCalendarAdvance(Calendar,V590,U591,"f",FALSE)</f>
        <v>42969</v>
      </c>
      <c r="W591" s="210">
        <f>_xll.qlCalendarAdvance(Calendar,V591,NDays&amp;"D")</f>
        <v>42969</v>
      </c>
      <c r="X591" s="211">
        <v>5.822059783797684E-3</v>
      </c>
      <c r="Y591" s="232"/>
    </row>
    <row r="592" spans="21:25" x14ac:dyDescent="0.2">
      <c r="U592" s="209" t="str">
        <f t="shared" si="12"/>
        <v>1w</v>
      </c>
      <c r="V592" s="207">
        <f>_xll.qlCalendarAdvance(Calendar,V591,U592,"f",FALSE)</f>
        <v>42976</v>
      </c>
      <c r="W592" s="210">
        <f>_xll.qlCalendarAdvance(Calendar,V592,NDays&amp;"D")</f>
        <v>42976</v>
      </c>
      <c r="X592" s="211">
        <v>5.9013924402417928E-3</v>
      </c>
      <c r="Y592" s="232"/>
    </row>
    <row r="593" spans="21:25" x14ac:dyDescent="0.2">
      <c r="U593" s="209" t="str">
        <f t="shared" si="12"/>
        <v>1w</v>
      </c>
      <c r="V593" s="207">
        <f>_xll.qlCalendarAdvance(Calendar,V592,U593,"f",FALSE)</f>
        <v>42983</v>
      </c>
      <c r="W593" s="210">
        <f>_xll.qlCalendarAdvance(Calendar,V593,NDays&amp;"D")</f>
        <v>42983</v>
      </c>
      <c r="X593" s="211">
        <v>5.9807598382555227E-3</v>
      </c>
      <c r="Y593" s="232"/>
    </row>
    <row r="594" spans="21:25" x14ac:dyDescent="0.2">
      <c r="U594" s="209" t="str">
        <f t="shared" si="12"/>
        <v>1w</v>
      </c>
      <c r="V594" s="207">
        <f>_xll.qlCalendarAdvance(Calendar,V593,U594,"f",FALSE)</f>
        <v>42990</v>
      </c>
      <c r="W594" s="210">
        <f>_xll.qlCalendarAdvance(Calendar,V594,NDays&amp;"D")</f>
        <v>42990</v>
      </c>
      <c r="X594" s="211">
        <v>6.0601619779188098E-3</v>
      </c>
      <c r="Y594" s="232"/>
    </row>
    <row r="595" spans="21:25" x14ac:dyDescent="0.2">
      <c r="U595" s="209" t="str">
        <f t="shared" si="12"/>
        <v>1w</v>
      </c>
      <c r="V595" s="207">
        <f>_xll.qlCalendarAdvance(Calendar,V594,U595,"f",FALSE)</f>
        <v>42997</v>
      </c>
      <c r="W595" s="210">
        <f>_xll.qlCalendarAdvance(Calendar,V595,NDays&amp;"D")</f>
        <v>42997</v>
      </c>
      <c r="X595" s="211">
        <v>6.1395988592316542E-3</v>
      </c>
      <c r="Y595" s="232"/>
    </row>
    <row r="596" spans="21:25" x14ac:dyDescent="0.2">
      <c r="U596" s="209" t="str">
        <f t="shared" si="12"/>
        <v>1w</v>
      </c>
      <c r="V596" s="207">
        <f>_xll.qlCalendarAdvance(Calendar,V595,U596,"f",FALSE)</f>
        <v>43004</v>
      </c>
      <c r="W596" s="210">
        <f>_xll.qlCalendarAdvance(Calendar,V596,NDays&amp;"D")</f>
        <v>43004</v>
      </c>
      <c r="X596" s="211">
        <v>6.2190704821940557E-3</v>
      </c>
      <c r="Y596" s="232"/>
    </row>
    <row r="597" spans="21:25" x14ac:dyDescent="0.2">
      <c r="U597" s="209" t="str">
        <f t="shared" si="12"/>
        <v>1w</v>
      </c>
      <c r="V597" s="207">
        <f>_xll.qlCalendarAdvance(Calendar,V596,U597,"f",FALSE)</f>
        <v>43011</v>
      </c>
      <c r="W597" s="210">
        <f>_xll.qlCalendarAdvance(Calendar,V597,NDays&amp;"D")</f>
        <v>43011</v>
      </c>
      <c r="X597" s="211">
        <v>6.2985768468060144E-3</v>
      </c>
      <c r="Y597" s="232"/>
    </row>
    <row r="598" spans="21:25" x14ac:dyDescent="0.2">
      <c r="U598" s="209" t="str">
        <f t="shared" si="12"/>
        <v>1w</v>
      </c>
      <c r="V598" s="207">
        <f>_xll.qlCalendarAdvance(Calendar,V597,U598,"f",FALSE)</f>
        <v>43018</v>
      </c>
      <c r="W598" s="210">
        <f>_xll.qlCalendarAdvance(Calendar,V598,NDays&amp;"D")</f>
        <v>43018</v>
      </c>
      <c r="X598" s="211">
        <v>6.3781179532274024E-3</v>
      </c>
      <c r="Y598" s="232"/>
    </row>
    <row r="599" spans="21:25" x14ac:dyDescent="0.2">
      <c r="U599" s="209" t="str">
        <f t="shared" si="12"/>
        <v>1w</v>
      </c>
      <c r="V599" s="207">
        <f>_xll.qlCalendarAdvance(Calendar,V598,U599,"f",FALSE)</f>
        <v>43025</v>
      </c>
      <c r="W599" s="210">
        <f>_xll.qlCalendarAdvance(Calendar,V599,NDays&amp;"D")</f>
        <v>43025</v>
      </c>
      <c r="X599" s="211">
        <v>6.4576938012983476E-3</v>
      </c>
      <c r="Y599" s="232"/>
    </row>
    <row r="600" spans="21:25" x14ac:dyDescent="0.2">
      <c r="U600" s="209" t="str">
        <f t="shared" si="12"/>
        <v>1w</v>
      </c>
      <c r="V600" s="207">
        <f>_xll.qlCalendarAdvance(Calendar,V599,U600,"f",FALSE)</f>
        <v>43032</v>
      </c>
      <c r="W600" s="210">
        <f>_xll.qlCalendarAdvance(Calendar,V600,NDays&amp;"D")</f>
        <v>43032</v>
      </c>
      <c r="X600" s="211">
        <v>6.537304391098786E-3</v>
      </c>
      <c r="Y600" s="232"/>
    </row>
    <row r="601" spans="21:25" x14ac:dyDescent="0.2">
      <c r="U601" s="209" t="str">
        <f t="shared" si="12"/>
        <v>1w</v>
      </c>
      <c r="V601" s="207">
        <f>_xll.qlCalendarAdvance(Calendar,V600,U601,"f",FALSE)</f>
        <v>43039</v>
      </c>
      <c r="W601" s="210">
        <f>_xll.qlCalendarAdvance(Calendar,V601,NDays&amp;"D")</f>
        <v>43039</v>
      </c>
      <c r="X601" s="211">
        <v>6.6169497227086538E-3</v>
      </c>
      <c r="Y601" s="232"/>
    </row>
    <row r="602" spans="21:25" x14ac:dyDescent="0.2">
      <c r="U602" s="209" t="str">
        <f t="shared" si="12"/>
        <v>1w</v>
      </c>
      <c r="V602" s="207">
        <f>_xll.qlCalendarAdvance(Calendar,V601,U602,"f",FALSE)</f>
        <v>43046</v>
      </c>
      <c r="W602" s="210">
        <f>_xll.qlCalendarAdvance(Calendar,V602,NDays&amp;"D")</f>
        <v>43046</v>
      </c>
      <c r="X602" s="211">
        <v>6.6966297961279508E-3</v>
      </c>
      <c r="Y602" s="232"/>
    </row>
    <row r="603" spans="21:25" x14ac:dyDescent="0.2">
      <c r="U603" s="209" t="str">
        <f t="shared" si="12"/>
        <v>1w</v>
      </c>
      <c r="V603" s="207">
        <f>_xll.qlCalendarAdvance(Calendar,V602,U603,"f",FALSE)</f>
        <v>43053</v>
      </c>
      <c r="W603" s="210">
        <f>_xll.qlCalendarAdvance(Calendar,V603,NDays&amp;"D")</f>
        <v>43053</v>
      </c>
      <c r="X603" s="211">
        <v>6.7763446114366133E-3</v>
      </c>
      <c r="Y603" s="232"/>
    </row>
    <row r="604" spans="21:25" x14ac:dyDescent="0.2">
      <c r="U604" s="209" t="str">
        <f t="shared" si="12"/>
        <v>1w</v>
      </c>
      <c r="V604" s="207">
        <f>_xll.qlCalendarAdvance(Calendar,V603,U604,"f",FALSE)</f>
        <v>43060</v>
      </c>
      <c r="W604" s="210">
        <f>_xll.qlCalendarAdvance(Calendar,V604,NDays&amp;"D")</f>
        <v>43060</v>
      </c>
      <c r="X604" s="211">
        <v>6.8560941683948329E-3</v>
      </c>
      <c r="Y604" s="232"/>
    </row>
    <row r="605" spans="21:25" x14ac:dyDescent="0.2">
      <c r="U605" s="209" t="str">
        <f t="shared" si="12"/>
        <v>1w</v>
      </c>
      <c r="V605" s="207">
        <f>_xll.qlCalendarAdvance(Calendar,V604,U605,"f",FALSE)</f>
        <v>43067</v>
      </c>
      <c r="W605" s="210">
        <f>_xll.qlCalendarAdvance(Calendar,V605,NDays&amp;"D")</f>
        <v>43067</v>
      </c>
      <c r="X605" s="211">
        <v>6.93587846740229E-3</v>
      </c>
      <c r="Y605" s="232"/>
    </row>
    <row r="606" spans="21:25" x14ac:dyDescent="0.2">
      <c r="U606" s="209" t="str">
        <f t="shared" si="12"/>
        <v>1w</v>
      </c>
      <c r="V606" s="207">
        <f>_xll.qlCalendarAdvance(Calendar,V605,U606,"f",FALSE)</f>
        <v>43074</v>
      </c>
      <c r="W606" s="210">
        <f>_xll.qlCalendarAdvance(Calendar,V606,NDays&amp;"D")</f>
        <v>43074</v>
      </c>
      <c r="X606" s="211">
        <v>7.0156975082191764E-3</v>
      </c>
      <c r="Y606" s="232"/>
    </row>
    <row r="607" spans="21:25" x14ac:dyDescent="0.2">
      <c r="U607" s="209" t="str">
        <f t="shared" si="12"/>
        <v>1w</v>
      </c>
      <c r="V607" s="207">
        <f>_xll.qlCalendarAdvance(Calendar,V606,U607,"f",FALSE)</f>
        <v>43081</v>
      </c>
      <c r="W607" s="210">
        <f>_xll.qlCalendarAdvance(Calendar,V607,NDays&amp;"D")</f>
        <v>43081</v>
      </c>
      <c r="X607" s="211">
        <v>7.0955512910053642E-3</v>
      </c>
      <c r="Y607" s="232"/>
    </row>
    <row r="608" spans="21:25" x14ac:dyDescent="0.2">
      <c r="U608" s="209" t="str">
        <f t="shared" si="12"/>
        <v>1w</v>
      </c>
      <c r="V608" s="207">
        <f>_xll.qlCalendarAdvance(Calendar,V607,U608,"f",FALSE)</f>
        <v>43088</v>
      </c>
      <c r="W608" s="210">
        <f>_xll.qlCalendarAdvance(Calendar,V608,NDays&amp;"D")</f>
        <v>43088</v>
      </c>
      <c r="X608" s="211">
        <v>7.1754398156009813E-3</v>
      </c>
      <c r="Y608" s="232"/>
    </row>
    <row r="609" spans="21:25" x14ac:dyDescent="0.2">
      <c r="U609" s="209" t="str">
        <f t="shared" si="12"/>
        <v>1w</v>
      </c>
      <c r="V609" s="207">
        <f>_xll.qlCalendarAdvance(Calendar,V608,U609,"f",FALSE)</f>
        <v>43096</v>
      </c>
      <c r="W609" s="210">
        <f>_xll.qlCalendarAdvance(Calendar,V609,NDays&amp;"D")</f>
        <v>43096</v>
      </c>
      <c r="X609" s="211">
        <v>7.2667835278750204E-3</v>
      </c>
      <c r="Y609" s="232"/>
    </row>
    <row r="610" spans="21:25" x14ac:dyDescent="0.2">
      <c r="U610" s="209" t="str">
        <f t="shared" si="12"/>
        <v>1w</v>
      </c>
      <c r="V610" s="207">
        <f>_xll.qlCalendarAdvance(Calendar,V609,U610,"f",FALSE)</f>
        <v>43103</v>
      </c>
      <c r="W610" s="210">
        <f>_xll.qlCalendarAdvance(Calendar,V610,NDays&amp;"D")</f>
        <v>43103</v>
      </c>
      <c r="X610" s="211">
        <v>7.3467464996390675E-3</v>
      </c>
      <c r="Y610" s="232"/>
    </row>
    <row r="611" spans="21:25" x14ac:dyDescent="0.2">
      <c r="U611" s="209" t="str">
        <f t="shared" si="12"/>
        <v>1w</v>
      </c>
      <c r="V611" s="207">
        <f>_xll.qlCalendarAdvance(Calendar,V610,U611,"f",FALSE)</f>
        <v>43110</v>
      </c>
      <c r="W611" s="210">
        <f>_xll.qlCalendarAdvance(Calendar,V611,NDays&amp;"D")</f>
        <v>43110</v>
      </c>
      <c r="X611" s="211">
        <v>7.426744213372416E-3</v>
      </c>
      <c r="Y611" s="232"/>
    </row>
    <row r="612" spans="21:25" x14ac:dyDescent="0.2">
      <c r="U612" s="209" t="str">
        <f t="shared" si="12"/>
        <v>1w</v>
      </c>
      <c r="V612" s="207">
        <f>_xll.qlCalendarAdvance(Calendar,V611,U612,"f",FALSE)</f>
        <v>43117</v>
      </c>
      <c r="W612" s="210">
        <f>_xll.qlCalendarAdvance(Calendar,V612,NDays&amp;"D")</f>
        <v>43117</v>
      </c>
      <c r="X612" s="211">
        <v>7.506776669234938E-3</v>
      </c>
      <c r="Y612" s="232"/>
    </row>
    <row r="613" spans="21:25" x14ac:dyDescent="0.2">
      <c r="U613" s="209" t="str">
        <f t="shared" si="12"/>
        <v>1w</v>
      </c>
      <c r="V613" s="207">
        <f>_xll.qlCalendarAdvance(Calendar,V612,U613,"f",FALSE)</f>
        <v>43124</v>
      </c>
      <c r="W613" s="210">
        <f>_xll.qlCalendarAdvance(Calendar,V613,NDays&amp;"D")</f>
        <v>43124</v>
      </c>
      <c r="X613" s="211">
        <v>7.5868438670667615E-3</v>
      </c>
      <c r="Y613" s="232"/>
    </row>
    <row r="614" spans="21:25" x14ac:dyDescent="0.2">
      <c r="U614" s="209" t="str">
        <f t="shared" si="12"/>
        <v>1w</v>
      </c>
      <c r="V614" s="207">
        <f>_xll.qlCalendarAdvance(Calendar,V613,U614,"f",FALSE)</f>
        <v>43131</v>
      </c>
      <c r="W614" s="210">
        <f>_xll.qlCalendarAdvance(Calendar,V614,NDays&amp;"D")</f>
        <v>43131</v>
      </c>
      <c r="X614" s="211">
        <v>7.6669458070277585E-3</v>
      </c>
      <c r="Y614" s="232"/>
    </row>
    <row r="615" spans="21:25" x14ac:dyDescent="0.2">
      <c r="U615" s="209" t="str">
        <f t="shared" si="12"/>
        <v>1w</v>
      </c>
      <c r="V615" s="207">
        <f>_xll.qlCalendarAdvance(Calendar,V614,U615,"f",FALSE)</f>
        <v>43138</v>
      </c>
      <c r="W615" s="210">
        <f>_xll.qlCalendarAdvance(Calendar,V615,NDays&amp;"D")</f>
        <v>43138</v>
      </c>
      <c r="X615" s="211">
        <v>7.747082489037993E-3</v>
      </c>
      <c r="Y615" s="232"/>
    </row>
    <row r="616" spans="21:25" x14ac:dyDescent="0.2">
      <c r="U616" s="209" t="str">
        <f t="shared" si="12"/>
        <v>1w</v>
      </c>
      <c r="V616" s="207">
        <f>_xll.qlCalendarAdvance(Calendar,V615,U616,"f",FALSE)</f>
        <v>43145</v>
      </c>
      <c r="W616" s="210">
        <f>_xll.qlCalendarAdvance(Calendar,V616,NDays&amp;"D")</f>
        <v>43145</v>
      </c>
      <c r="X616" s="211">
        <v>7.8272539132573371E-3</v>
      </c>
      <c r="Y616" s="232"/>
    </row>
    <row r="617" spans="21:25" x14ac:dyDescent="0.2">
      <c r="U617" s="209" t="str">
        <f t="shared" si="12"/>
        <v>1w</v>
      </c>
      <c r="V617" s="207">
        <f>_xll.qlCalendarAdvance(Calendar,V616,U617,"f",FALSE)</f>
        <v>43152</v>
      </c>
      <c r="W617" s="210">
        <f>_xll.qlCalendarAdvance(Calendar,V617,NDays&amp;"D")</f>
        <v>43152</v>
      </c>
      <c r="X617" s="211">
        <v>7.9074600795259187E-3</v>
      </c>
      <c r="Y617" s="232"/>
    </row>
    <row r="618" spans="21:25" x14ac:dyDescent="0.2">
      <c r="U618" s="209" t="str">
        <f t="shared" si="12"/>
        <v>1w</v>
      </c>
      <c r="V618" s="207">
        <f>_xll.qlCalendarAdvance(Calendar,V617,U618,"f",FALSE)</f>
        <v>43159</v>
      </c>
      <c r="W618" s="210">
        <f>_xll.qlCalendarAdvance(Calendar,V618,NDays&amp;"D")</f>
        <v>43159</v>
      </c>
      <c r="X618" s="211">
        <v>7.9877009880835459E-3</v>
      </c>
      <c r="Y618" s="232"/>
    </row>
    <row r="619" spans="21:25" x14ac:dyDescent="0.2">
      <c r="U619" s="209" t="str">
        <f t="shared" si="12"/>
        <v>1w</v>
      </c>
      <c r="V619" s="207">
        <f>_xll.qlCalendarAdvance(Calendar,V618,U619,"f",FALSE)</f>
        <v>43166</v>
      </c>
      <c r="W619" s="210">
        <f>_xll.qlCalendarAdvance(Calendar,V619,NDays&amp;"D")</f>
        <v>43166</v>
      </c>
      <c r="X619" s="211">
        <v>8.0679766387703467E-3</v>
      </c>
      <c r="Y619" s="232"/>
    </row>
    <row r="620" spans="21:25" x14ac:dyDescent="0.2">
      <c r="U620" s="209" t="str">
        <f t="shared" si="12"/>
        <v>1w</v>
      </c>
      <c r="V620" s="207">
        <f>_xll.qlCalendarAdvance(Calendar,V619,U620,"f",FALSE)</f>
        <v>43173</v>
      </c>
      <c r="W620" s="210">
        <f>_xll.qlCalendarAdvance(Calendar,V620,NDays&amp;"D")</f>
        <v>43173</v>
      </c>
      <c r="X620" s="211">
        <v>8.1482870315863209E-3</v>
      </c>
      <c r="Y620" s="232"/>
    </row>
    <row r="621" spans="21:25" x14ac:dyDescent="0.2">
      <c r="U621" s="209" t="str">
        <f t="shared" si="12"/>
        <v>1w</v>
      </c>
      <c r="V621" s="207">
        <f>_xll.qlCalendarAdvance(Calendar,V620,U621,"f",FALSE)</f>
        <v>43180</v>
      </c>
      <c r="W621" s="210">
        <f>_xll.qlCalendarAdvance(Calendar,V621,NDays&amp;"D")</f>
        <v>43180</v>
      </c>
      <c r="X621" s="211">
        <v>8.228632166771277E-3</v>
      </c>
      <c r="Y621" s="232"/>
    </row>
    <row r="622" spans="21:25" x14ac:dyDescent="0.2">
      <c r="U622" s="209" t="str">
        <f t="shared" si="12"/>
        <v>1w</v>
      </c>
      <c r="V622" s="207">
        <f>_xll.qlCalendarAdvance(Calendar,V621,U622,"f",FALSE)</f>
        <v>43187</v>
      </c>
      <c r="W622" s="210">
        <f>_xll.qlCalendarAdvance(Calendar,V622,NDays&amp;"D")</f>
        <v>43187</v>
      </c>
      <c r="X622" s="211">
        <v>8.3090120441653426E-3</v>
      </c>
      <c r="Y622" s="232"/>
    </row>
    <row r="623" spans="21:25" x14ac:dyDescent="0.2">
      <c r="U623" s="209" t="str">
        <f t="shared" si="12"/>
        <v>1w</v>
      </c>
      <c r="V623" s="207">
        <f>_xll.qlCalendarAdvance(Calendar,V622,U623,"f",FALSE)</f>
        <v>43194</v>
      </c>
      <c r="W623" s="210">
        <f>_xll.qlCalendarAdvance(Calendar,V623,NDays&amp;"D")</f>
        <v>43194</v>
      </c>
      <c r="X623" s="211">
        <v>8.3894266638484538E-3</v>
      </c>
      <c r="Y623" s="232"/>
    </row>
    <row r="624" spans="21:25" x14ac:dyDescent="0.2">
      <c r="U624" s="209" t="str">
        <f t="shared" si="12"/>
        <v>1w</v>
      </c>
      <c r="V624" s="207">
        <f>_xll.qlCalendarAdvance(Calendar,V623,U624,"f",FALSE)</f>
        <v>43201</v>
      </c>
      <c r="W624" s="210">
        <f>_xll.qlCalendarAdvance(Calendar,V624,NDays&amp;"D")</f>
        <v>43201</v>
      </c>
      <c r="X624" s="211">
        <v>8.4698760259005468E-3</v>
      </c>
      <c r="Y624" s="232"/>
    </row>
    <row r="625" spans="21:25" x14ac:dyDescent="0.2">
      <c r="U625" s="209" t="str">
        <f t="shared" si="12"/>
        <v>1w</v>
      </c>
      <c r="V625" s="207">
        <f>_xll.qlCalendarAdvance(Calendar,V624,U625,"f",FALSE)</f>
        <v>43208</v>
      </c>
      <c r="W625" s="210">
        <f>_xll.qlCalendarAdvance(Calendar,V625,NDays&amp;"D")</f>
        <v>43208</v>
      </c>
      <c r="X625" s="211">
        <v>8.5503601302416854E-3</v>
      </c>
      <c r="Y625" s="232"/>
    </row>
    <row r="626" spans="21:25" x14ac:dyDescent="0.2">
      <c r="U626" s="209" t="str">
        <f t="shared" si="12"/>
        <v>1w</v>
      </c>
      <c r="V626" s="207">
        <f>_xll.qlCalendarAdvance(Calendar,V625,U626,"f",FALSE)</f>
        <v>43215</v>
      </c>
      <c r="W626" s="210">
        <f>_xll.qlCalendarAdvance(Calendar,V626,NDays&amp;"D")</f>
        <v>43215</v>
      </c>
      <c r="X626" s="211">
        <v>8.6308789769518057E-3</v>
      </c>
      <c r="Y626" s="232"/>
    </row>
    <row r="627" spans="21:25" x14ac:dyDescent="0.2">
      <c r="U627" s="209" t="str">
        <f t="shared" si="12"/>
        <v>1w</v>
      </c>
      <c r="V627" s="207">
        <f>_xll.qlCalendarAdvance(Calendar,V626,U627,"f",FALSE)</f>
        <v>43222</v>
      </c>
      <c r="W627" s="210">
        <f>_xll.qlCalendarAdvance(Calendar,V627,NDays&amp;"D")</f>
        <v>43222</v>
      </c>
      <c r="X627" s="211">
        <v>8.7114325660309078E-3</v>
      </c>
      <c r="Y627" s="232"/>
    </row>
    <row r="628" spans="21:25" x14ac:dyDescent="0.2">
      <c r="U628" s="209" t="str">
        <f t="shared" si="12"/>
        <v>1w</v>
      </c>
      <c r="V628" s="207">
        <f>_xll.qlCalendarAdvance(Calendar,V627,U628,"f",FALSE)</f>
        <v>43229</v>
      </c>
      <c r="W628" s="210">
        <f>_xll.qlCalendarAdvance(Calendar,V628,NDays&amp;"D")</f>
        <v>43229</v>
      </c>
      <c r="X628" s="211">
        <v>8.7920208974789915E-3</v>
      </c>
      <c r="Y628" s="232"/>
    </row>
    <row r="629" spans="21:25" x14ac:dyDescent="0.2">
      <c r="U629" s="209" t="str">
        <f t="shared" si="12"/>
        <v>1w</v>
      </c>
      <c r="V629" s="207">
        <f>_xll.qlCalendarAdvance(Calendar,V628,U629,"f",FALSE)</f>
        <v>43236</v>
      </c>
      <c r="W629" s="210">
        <f>_xll.qlCalendarAdvance(Calendar,V629,NDays&amp;"D")</f>
        <v>43236</v>
      </c>
      <c r="X629" s="211">
        <v>8.872643971375993E-3</v>
      </c>
      <c r="Y629" s="232"/>
    </row>
    <row r="630" spans="21:25" x14ac:dyDescent="0.2">
      <c r="U630" s="209" t="str">
        <f t="shared" si="12"/>
        <v>1w</v>
      </c>
      <c r="V630" s="207">
        <f>_xll.qlCalendarAdvance(Calendar,V629,U630,"f",FALSE)</f>
        <v>43243</v>
      </c>
      <c r="W630" s="210">
        <f>_xll.qlCalendarAdvance(Calendar,V630,NDays&amp;"D")</f>
        <v>43243</v>
      </c>
      <c r="X630" s="211">
        <v>8.9533017877219123E-3</v>
      </c>
      <c r="Y630" s="232"/>
    </row>
    <row r="631" spans="21:25" x14ac:dyDescent="0.2">
      <c r="U631" s="209" t="str">
        <f t="shared" si="12"/>
        <v>1w</v>
      </c>
      <c r="V631" s="207">
        <f>_xll.qlCalendarAdvance(Calendar,V630,U631,"f",FALSE)</f>
        <v>43250</v>
      </c>
      <c r="W631" s="210">
        <f>_xll.qlCalendarAdvance(Calendar,V631,NDays&amp;"D")</f>
        <v>43250</v>
      </c>
      <c r="X631" s="211">
        <v>9.0339943465966854E-3</v>
      </c>
      <c r="Y631" s="232"/>
    </row>
    <row r="632" spans="21:25" x14ac:dyDescent="0.2">
      <c r="U632" s="209" t="str">
        <f t="shared" si="12"/>
        <v>1w</v>
      </c>
      <c r="V632" s="207">
        <f>_xll.qlCalendarAdvance(Calendar,V631,U632,"f",FALSE)</f>
        <v>43257</v>
      </c>
      <c r="W632" s="210">
        <f>_xll.qlCalendarAdvance(Calendar,V632,NDays&amp;"D")</f>
        <v>43257</v>
      </c>
      <c r="X632" s="211">
        <v>9.1147246569533991E-3</v>
      </c>
      <c r="Y632" s="232"/>
    </row>
    <row r="633" spans="21:25" x14ac:dyDescent="0.2">
      <c r="U633" s="209" t="str">
        <f t="shared" si="12"/>
        <v>1w</v>
      </c>
      <c r="V633" s="207">
        <f>_xll.qlCalendarAdvance(Calendar,V632,U633,"f",FALSE)</f>
        <v>43264</v>
      </c>
      <c r="W633" s="210">
        <f>_xll.qlCalendarAdvance(Calendar,V633,NDays&amp;"D")</f>
        <v>43264</v>
      </c>
      <c r="X633" s="211">
        <v>9.1955266100018918E-3</v>
      </c>
      <c r="Y633" s="232"/>
    </row>
    <row r="634" spans="21:25" x14ac:dyDescent="0.2">
      <c r="U634" s="209" t="str">
        <f t="shared" si="12"/>
        <v>1w</v>
      </c>
      <c r="V634" s="207">
        <f>_xll.qlCalendarAdvance(Calendar,V633,U634,"f",FALSE)</f>
        <v>43271</v>
      </c>
      <c r="W634" s="210">
        <f>_xll.qlCalendarAdvance(Calendar,V634,NDays&amp;"D")</f>
        <v>43271</v>
      </c>
      <c r="X634" s="211">
        <v>9.2764098664144257E-3</v>
      </c>
      <c r="Y634" s="232"/>
    </row>
    <row r="635" spans="21:25" x14ac:dyDescent="0.2">
      <c r="U635" s="209" t="str">
        <f t="shared" si="12"/>
        <v>1w</v>
      </c>
      <c r="V635" s="207">
        <f>_xll.qlCalendarAdvance(Calendar,V634,U635,"f",FALSE)</f>
        <v>43278</v>
      </c>
      <c r="W635" s="210">
        <f>_xll.qlCalendarAdvance(Calendar,V635,NDays&amp;"D")</f>
        <v>43278</v>
      </c>
      <c r="X635" s="211">
        <v>9.3573744261910008E-3</v>
      </c>
      <c r="Y635" s="232"/>
    </row>
    <row r="636" spans="21:25" x14ac:dyDescent="0.2">
      <c r="U636" s="209" t="str">
        <f t="shared" si="12"/>
        <v>1w</v>
      </c>
      <c r="V636" s="207">
        <f>_xll.qlCalendarAdvance(Calendar,V635,U636,"f",FALSE)</f>
        <v>43285</v>
      </c>
      <c r="W636" s="210">
        <f>_xll.qlCalendarAdvance(Calendar,V636,NDays&amp;"D")</f>
        <v>43285</v>
      </c>
      <c r="X636" s="211">
        <v>9.4384202894914893E-3</v>
      </c>
      <c r="Y636" s="232"/>
    </row>
    <row r="637" spans="21:25" x14ac:dyDescent="0.2">
      <c r="U637" s="209" t="str">
        <f t="shared" si="12"/>
        <v>1w</v>
      </c>
      <c r="V637" s="207">
        <f>_xll.qlCalendarAdvance(Calendar,V636,U637,"f",FALSE)</f>
        <v>43292</v>
      </c>
      <c r="W637" s="210">
        <f>_xll.qlCalendarAdvance(Calendar,V637,NDays&amp;"D")</f>
        <v>43292</v>
      </c>
      <c r="X637" s="211">
        <v>9.519547456235955E-3</v>
      </c>
      <c r="Y637" s="232"/>
    </row>
    <row r="638" spans="21:25" x14ac:dyDescent="0.2">
      <c r="U638" s="209" t="str">
        <f t="shared" si="12"/>
        <v>1w</v>
      </c>
      <c r="V638" s="207">
        <f>_xll.qlCalendarAdvance(Calendar,V637,U638,"f",FALSE)</f>
        <v>43299</v>
      </c>
      <c r="W638" s="210">
        <f>_xll.qlCalendarAdvance(Calendar,V638,NDays&amp;"D")</f>
        <v>43299</v>
      </c>
      <c r="X638" s="211">
        <v>9.6007559265842701E-3</v>
      </c>
      <c r="Y638" s="232"/>
    </row>
    <row r="639" spans="21:25" x14ac:dyDescent="0.2">
      <c r="U639" s="209" t="str">
        <f t="shared" si="12"/>
        <v>1w</v>
      </c>
      <c r="V639" s="207">
        <f>_xll.qlCalendarAdvance(Calendar,V638,U639,"f",FALSE)</f>
        <v>43306</v>
      </c>
      <c r="W639" s="210">
        <f>_xll.qlCalendarAdvance(Calendar,V639,NDays&amp;"D")</f>
        <v>43306</v>
      </c>
      <c r="X639" s="211">
        <v>9.6820457004564986E-3</v>
      </c>
      <c r="Y639" s="232"/>
    </row>
    <row r="640" spans="21:25" x14ac:dyDescent="0.2">
      <c r="U640" s="209" t="str">
        <f t="shared" si="12"/>
        <v>1w</v>
      </c>
      <c r="V640" s="207">
        <f>_xll.qlCalendarAdvance(Calendar,V639,U640,"f",FALSE)</f>
        <v>43313</v>
      </c>
      <c r="W640" s="210">
        <f>_xll.qlCalendarAdvance(Calendar,V640,NDays&amp;"D")</f>
        <v>43313</v>
      </c>
      <c r="X640" s="211">
        <v>9.7634167780924486E-3</v>
      </c>
      <c r="Y640" s="232"/>
    </row>
    <row r="641" spans="21:25" x14ac:dyDescent="0.2">
      <c r="U641" s="209" t="str">
        <f t="shared" si="12"/>
        <v>1w</v>
      </c>
      <c r="V641" s="207">
        <f>_xll.qlCalendarAdvance(Calendar,V640,U641,"f",FALSE)</f>
        <v>43320</v>
      </c>
      <c r="W641" s="210">
        <f>_xll.qlCalendarAdvance(Calendar,V641,NDays&amp;"D")</f>
        <v>43320</v>
      </c>
      <c r="X641" s="211">
        <v>9.844869159412184E-3</v>
      </c>
      <c r="Y641" s="232"/>
    </row>
    <row r="642" spans="21:25" x14ac:dyDescent="0.2">
      <c r="U642" s="209" t="str">
        <f t="shared" si="12"/>
        <v>1w</v>
      </c>
      <c r="V642" s="207">
        <f>_xll.qlCalendarAdvance(Calendar,V641,U642,"f",FALSE)</f>
        <v>43327</v>
      </c>
      <c r="W642" s="210">
        <f>_xll.qlCalendarAdvance(Calendar,V642,NDays&amp;"D")</f>
        <v>43327</v>
      </c>
      <c r="X642" s="211">
        <v>9.9264028444956409E-3</v>
      </c>
      <c r="Y642" s="232"/>
    </row>
    <row r="643" spans="21:25" x14ac:dyDescent="0.2">
      <c r="U643" s="209" t="str">
        <f t="shared" si="12"/>
        <v>1w</v>
      </c>
      <c r="V643" s="207">
        <f>_xll.qlCalendarAdvance(Calendar,V642,U643,"f",FALSE)</f>
        <v>43334</v>
      </c>
      <c r="W643" s="210">
        <f>_xll.qlCalendarAdvance(Calendar,V643,NDays&amp;"D")</f>
        <v>43334</v>
      </c>
      <c r="X643" s="211">
        <v>1.0008017833422755E-2</v>
      </c>
      <c r="Y643" s="232"/>
    </row>
    <row r="644" spans="21:25" x14ac:dyDescent="0.2">
      <c r="U644" s="209" t="str">
        <f t="shared" si="12"/>
        <v>1w</v>
      </c>
      <c r="V644" s="207">
        <f>_xll.qlCalendarAdvance(Calendar,V643,U644,"f",FALSE)</f>
        <v>43341</v>
      </c>
      <c r="W644" s="210">
        <f>_xll.qlCalendarAdvance(Calendar,V644,NDays&amp;"D")</f>
        <v>43341</v>
      </c>
      <c r="X644" s="211">
        <v>1.0089714126193527E-2</v>
      </c>
      <c r="Y644" s="232"/>
    </row>
    <row r="645" spans="21:25" x14ac:dyDescent="0.2">
      <c r="U645" s="209" t="str">
        <f t="shared" si="12"/>
        <v>1w</v>
      </c>
      <c r="V645" s="207">
        <f>_xll.qlCalendarAdvance(Calendar,V644,U645,"f",FALSE)</f>
        <v>43348</v>
      </c>
      <c r="W645" s="210">
        <f>_xll.qlCalendarAdvance(Calendar,V645,NDays&amp;"D")</f>
        <v>43348</v>
      </c>
      <c r="X645" s="211">
        <v>1.0171491722967829E-2</v>
      </c>
      <c r="Y645" s="232"/>
    </row>
    <row r="646" spans="21:25" x14ac:dyDescent="0.2">
      <c r="U646" s="209" t="str">
        <f t="shared" si="12"/>
        <v>1w</v>
      </c>
      <c r="V646" s="207">
        <f>_xll.qlCalendarAdvance(Calendar,V645,U646,"f",FALSE)</f>
        <v>43355</v>
      </c>
      <c r="W646" s="210">
        <f>_xll.qlCalendarAdvance(Calendar,V646,NDays&amp;"D")</f>
        <v>43355</v>
      </c>
      <c r="X646" s="211">
        <v>1.0253350623745661E-2</v>
      </c>
      <c r="Y646" s="232"/>
    </row>
    <row r="647" spans="21:25" x14ac:dyDescent="0.2">
      <c r="U647" s="209" t="str">
        <f t="shared" si="12"/>
        <v>1w</v>
      </c>
      <c r="V647" s="207">
        <f>_xll.qlCalendarAdvance(Calendar,V646,U647,"f",FALSE)</f>
        <v>43362</v>
      </c>
      <c r="W647" s="210">
        <f>_xll.qlCalendarAdvance(Calendar,V647,NDays&amp;"D")</f>
        <v>43362</v>
      </c>
      <c r="X647" s="211">
        <v>1.0335290828527022E-2</v>
      </c>
      <c r="Y647" s="232"/>
    </row>
    <row r="648" spans="21:25" x14ac:dyDescent="0.2">
      <c r="U648" s="209" t="str">
        <f t="shared" si="12"/>
        <v>1w</v>
      </c>
      <c r="V648" s="207">
        <f>_xll.qlCalendarAdvance(Calendar,V647,U648,"f",FALSE)</f>
        <v>43369</v>
      </c>
      <c r="W648" s="210">
        <f>_xll.qlCalendarAdvance(Calendar,V648,NDays&amp;"D")</f>
        <v>43369</v>
      </c>
      <c r="X648" s="211">
        <v>1.0417312337391849E-2</v>
      </c>
      <c r="Y648" s="232"/>
    </row>
    <row r="649" spans="21:25" x14ac:dyDescent="0.2">
      <c r="U649" s="209" t="str">
        <f t="shared" si="12"/>
        <v>1w</v>
      </c>
      <c r="V649" s="207">
        <f>_xll.qlCalendarAdvance(Calendar,V648,U649,"f",FALSE)</f>
        <v>43376</v>
      </c>
      <c r="W649" s="210">
        <f>_xll.qlCalendarAdvance(Calendar,V649,NDays&amp;"D")</f>
        <v>43376</v>
      </c>
      <c r="X649" s="211">
        <v>1.0499415150500013E-2</v>
      </c>
      <c r="Y649" s="232"/>
    </row>
    <row r="650" spans="21:25" x14ac:dyDescent="0.2">
      <c r="U650" s="209" t="str">
        <f t="shared" si="12"/>
        <v>1w</v>
      </c>
      <c r="V650" s="207">
        <f>_xll.qlCalendarAdvance(Calendar,V649,U650,"f",FALSE)</f>
        <v>43383</v>
      </c>
      <c r="W650" s="210">
        <f>_xll.qlCalendarAdvance(Calendar,V650,NDays&amp;"D")</f>
        <v>43383</v>
      </c>
      <c r="X650" s="211">
        <v>1.058159926777158E-2</v>
      </c>
      <c r="Y650" s="232"/>
    </row>
    <row r="651" spans="21:25" x14ac:dyDescent="0.2">
      <c r="U651" s="209" t="str">
        <f t="shared" si="12"/>
        <v>1w</v>
      </c>
      <c r="V651" s="207">
        <f>_xll.qlCalendarAdvance(Calendar,V650,U651,"f",FALSE)</f>
        <v>43390</v>
      </c>
      <c r="W651" s="210">
        <f>_xll.qlCalendarAdvance(Calendar,V651,NDays&amp;"D")</f>
        <v>43390</v>
      </c>
      <c r="X651" s="211">
        <v>1.066386468936642E-2</v>
      </c>
      <c r="Y651" s="232"/>
    </row>
    <row r="652" spans="21:25" x14ac:dyDescent="0.2">
      <c r="U652" s="209" t="str">
        <f t="shared" si="12"/>
        <v>1w</v>
      </c>
      <c r="V652" s="207">
        <f>_xll.qlCalendarAdvance(Calendar,V651,U652,"f",FALSE)</f>
        <v>43397</v>
      </c>
      <c r="W652" s="210">
        <f>_xll.qlCalendarAdvance(Calendar,V652,NDays&amp;"D")</f>
        <v>43397</v>
      </c>
      <c r="X652" s="211">
        <v>1.0746211415284534E-2</v>
      </c>
      <c r="Y652" s="232"/>
    </row>
    <row r="653" spans="21:25" x14ac:dyDescent="0.2">
      <c r="U653" s="209" t="str">
        <f t="shared" ref="U653:U716" si="13">U652</f>
        <v>1w</v>
      </c>
      <c r="V653" s="207">
        <f>_xll.qlCalendarAdvance(Calendar,V652,U653,"f",FALSE)</f>
        <v>43404</v>
      </c>
      <c r="W653" s="210">
        <f>_xll.qlCalendarAdvance(Calendar,V653,NDays&amp;"D")</f>
        <v>43404</v>
      </c>
      <c r="X653" s="211">
        <v>1.0828639445525923E-2</v>
      </c>
      <c r="Y653" s="232"/>
    </row>
    <row r="654" spans="21:25" x14ac:dyDescent="0.2">
      <c r="U654" s="209" t="str">
        <f t="shared" si="13"/>
        <v>1w</v>
      </c>
      <c r="V654" s="207">
        <f>_xll.qlCalendarAdvance(Calendar,V653,U654,"f",FALSE)</f>
        <v>43411</v>
      </c>
      <c r="W654" s="210">
        <f>_xll.qlCalendarAdvance(Calendar,V654,NDays&amp;"D")</f>
        <v>43411</v>
      </c>
      <c r="X654" s="211">
        <v>1.0911148780250457E-2</v>
      </c>
      <c r="Y654" s="232"/>
    </row>
    <row r="655" spans="21:25" x14ac:dyDescent="0.2">
      <c r="U655" s="209" t="str">
        <f t="shared" si="13"/>
        <v>1w</v>
      </c>
      <c r="V655" s="207">
        <f>_xll.qlCalendarAdvance(Calendar,V654,U655,"f",FALSE)</f>
        <v>43418</v>
      </c>
      <c r="W655" s="210">
        <f>_xll.qlCalendarAdvance(Calendar,V655,NDays&amp;"D")</f>
        <v>43418</v>
      </c>
      <c r="X655" s="211">
        <v>1.0993739419538073E-2</v>
      </c>
      <c r="Y655" s="232"/>
    </row>
    <row r="656" spans="21:25" x14ac:dyDescent="0.2">
      <c r="U656" s="209" t="str">
        <f t="shared" si="13"/>
        <v>1w</v>
      </c>
      <c r="V656" s="207">
        <f>_xll.qlCalendarAdvance(Calendar,V655,U656,"f",FALSE)</f>
        <v>43425</v>
      </c>
      <c r="W656" s="210">
        <f>_xll.qlCalendarAdvance(Calendar,V656,NDays&amp;"D")</f>
        <v>43425</v>
      </c>
      <c r="X656" s="211">
        <v>1.1076411363308836E-2</v>
      </c>
      <c r="Y656" s="232"/>
    </row>
    <row r="657" spans="21:25" x14ac:dyDescent="0.2">
      <c r="U657" s="209" t="str">
        <f t="shared" si="13"/>
        <v>1w</v>
      </c>
      <c r="V657" s="207">
        <f>_xll.qlCalendarAdvance(Calendar,V656,U657,"f",FALSE)</f>
        <v>43432</v>
      </c>
      <c r="W657" s="210">
        <f>_xll.qlCalendarAdvance(Calendar,V657,NDays&amp;"D")</f>
        <v>43432</v>
      </c>
      <c r="X657" s="211">
        <v>1.1159164611722616E-2</v>
      </c>
      <c r="Y657" s="232"/>
    </row>
    <row r="658" spans="21:25" x14ac:dyDescent="0.2">
      <c r="U658" s="209" t="str">
        <f t="shared" si="13"/>
        <v>1w</v>
      </c>
      <c r="V658" s="207">
        <f>_xll.qlCalendarAdvance(Calendar,V657,U658,"f",FALSE)</f>
        <v>43439</v>
      </c>
      <c r="W658" s="210">
        <f>_xll.qlCalendarAdvance(Calendar,V658,NDays&amp;"D")</f>
        <v>43439</v>
      </c>
      <c r="X658" s="211">
        <v>1.1241999164779415E-2</v>
      </c>
      <c r="Y658" s="232"/>
    </row>
    <row r="659" spans="21:25" x14ac:dyDescent="0.2">
      <c r="U659" s="209" t="str">
        <f t="shared" si="13"/>
        <v>1w</v>
      </c>
      <c r="V659" s="207">
        <f>_xll.qlCalendarAdvance(Calendar,V658,U659,"f",FALSE)</f>
        <v>43446</v>
      </c>
      <c r="W659" s="210">
        <f>_xll.qlCalendarAdvance(Calendar,V659,NDays&amp;"D")</f>
        <v>43446</v>
      </c>
      <c r="X659" s="211">
        <v>1.1324915022559168E-2</v>
      </c>
      <c r="Y659" s="232"/>
    </row>
    <row r="660" spans="21:25" x14ac:dyDescent="0.2">
      <c r="U660" s="209" t="str">
        <f t="shared" si="13"/>
        <v>1w</v>
      </c>
      <c r="V660" s="207">
        <f>_xll.qlCalendarAdvance(Calendar,V659,U660,"f",FALSE)</f>
        <v>43453</v>
      </c>
      <c r="W660" s="210">
        <f>_xll.qlCalendarAdvance(Calendar,V660,NDays&amp;"D")</f>
        <v>43453</v>
      </c>
      <c r="X660" s="211">
        <v>1.1407912185141811E-2</v>
      </c>
      <c r="Y660" s="232"/>
    </row>
    <row r="661" spans="21:25" x14ac:dyDescent="0.2">
      <c r="U661" s="209" t="str">
        <f t="shared" si="13"/>
        <v>1w</v>
      </c>
      <c r="V661" s="207">
        <f>_xll.qlCalendarAdvance(Calendar,V660,U661,"f",FALSE)</f>
        <v>43461</v>
      </c>
      <c r="W661" s="210">
        <f>_xll.qlCalendarAdvance(Calendar,V661,NDays&amp;"D")</f>
        <v>43461</v>
      </c>
      <c r="X661" s="211">
        <v>1.1502865642158966E-2</v>
      </c>
      <c r="Y661" s="232"/>
    </row>
    <row r="662" spans="21:25" x14ac:dyDescent="0.2">
      <c r="U662" s="209" t="str">
        <f t="shared" si="13"/>
        <v>1w</v>
      </c>
      <c r="V662" s="207">
        <f>_xll.qlCalendarAdvance(Calendar,V661,U662,"f",FALSE)</f>
        <v>43468</v>
      </c>
      <c r="W662" s="210">
        <f>_xll.qlCalendarAdvance(Calendar,V662,NDays&amp;"D")</f>
        <v>43468</v>
      </c>
      <c r="X662" s="211">
        <v>1.1586037029456264E-2</v>
      </c>
      <c r="Y662" s="232"/>
    </row>
    <row r="663" spans="21:25" x14ac:dyDescent="0.2">
      <c r="U663" s="209" t="str">
        <f t="shared" si="13"/>
        <v>1w</v>
      </c>
      <c r="V663" s="207">
        <f>_xll.qlCalendarAdvance(Calendar,V662,U663,"f",FALSE)</f>
        <v>43475</v>
      </c>
      <c r="W663" s="210">
        <f>_xll.qlCalendarAdvance(Calendar,V663,NDays&amp;"D")</f>
        <v>43475</v>
      </c>
      <c r="X663" s="211">
        <v>1.1669289721716325E-2</v>
      </c>
      <c r="Y663" s="232"/>
    </row>
    <row r="664" spans="21:25" x14ac:dyDescent="0.2">
      <c r="U664" s="209" t="str">
        <f t="shared" si="13"/>
        <v>1w</v>
      </c>
      <c r="V664" s="207">
        <f>_xll.qlCalendarAdvance(Calendar,V663,U664,"f",FALSE)</f>
        <v>43482</v>
      </c>
      <c r="W664" s="210">
        <f>_xll.qlCalendarAdvance(Calendar,V664,NDays&amp;"D")</f>
        <v>43482</v>
      </c>
      <c r="X664" s="211">
        <v>1.1752623718939148E-2</v>
      </c>
      <c r="Y664" s="232"/>
    </row>
    <row r="665" spans="21:25" x14ac:dyDescent="0.2">
      <c r="U665" s="209" t="str">
        <f t="shared" si="13"/>
        <v>1w</v>
      </c>
      <c r="V665" s="207">
        <f>_xll.qlCalendarAdvance(Calendar,V664,U665,"f",FALSE)</f>
        <v>43489</v>
      </c>
      <c r="W665" s="210">
        <f>_xll.qlCalendarAdvance(Calendar,V665,NDays&amp;"D")</f>
        <v>43489</v>
      </c>
      <c r="X665" s="211">
        <v>1.183603902120467E-2</v>
      </c>
      <c r="Y665" s="232"/>
    </row>
    <row r="666" spans="21:25" x14ac:dyDescent="0.2">
      <c r="U666" s="209" t="str">
        <f t="shared" si="13"/>
        <v>1w</v>
      </c>
      <c r="V666" s="207">
        <f>_xll.qlCalendarAdvance(Calendar,V665,U666,"f",FALSE)</f>
        <v>43496</v>
      </c>
      <c r="W666" s="210">
        <f>_xll.qlCalendarAdvance(Calendar,V666,NDays&amp;"D")</f>
        <v>43496</v>
      </c>
      <c r="X666" s="211">
        <v>1.1919535628672762E-2</v>
      </c>
      <c r="Y666" s="232"/>
    </row>
    <row r="667" spans="21:25" x14ac:dyDescent="0.2">
      <c r="U667" s="209" t="str">
        <f t="shared" si="13"/>
        <v>1w</v>
      </c>
      <c r="V667" s="207">
        <f>_xll.qlCalendarAdvance(Calendar,V666,U667,"f",FALSE)</f>
        <v>43503</v>
      </c>
      <c r="W667" s="210">
        <f>_xll.qlCalendarAdvance(Calendar,V667,NDays&amp;"D")</f>
        <v>43503</v>
      </c>
      <c r="X667" s="211">
        <v>1.2003113541343424E-2</v>
      </c>
      <c r="Y667" s="232"/>
    </row>
    <row r="668" spans="21:25" x14ac:dyDescent="0.2">
      <c r="U668" s="209" t="str">
        <f t="shared" si="13"/>
        <v>1w</v>
      </c>
      <c r="V668" s="207">
        <f>_xll.qlCalendarAdvance(Calendar,V667,U668,"f",FALSE)</f>
        <v>43510</v>
      </c>
      <c r="W668" s="210">
        <f>_xll.qlCalendarAdvance(Calendar,V668,NDays&amp;"D")</f>
        <v>43510</v>
      </c>
      <c r="X668" s="211">
        <v>1.2086772759216657E-2</v>
      </c>
      <c r="Y668" s="232"/>
    </row>
    <row r="669" spans="21:25" x14ac:dyDescent="0.2">
      <c r="U669" s="209" t="str">
        <f t="shared" si="13"/>
        <v>1w</v>
      </c>
      <c r="V669" s="207">
        <f>_xll.qlCalendarAdvance(Calendar,V668,U669,"f",FALSE)</f>
        <v>43517</v>
      </c>
      <c r="W669" s="210">
        <f>_xll.qlCalendarAdvance(Calendar,V669,NDays&amp;"D")</f>
        <v>43517</v>
      </c>
      <c r="X669" s="211">
        <v>1.2170513282372397E-2</v>
      </c>
      <c r="Y669" s="232"/>
    </row>
    <row r="670" spans="21:25" x14ac:dyDescent="0.2">
      <c r="U670" s="209" t="str">
        <f t="shared" si="13"/>
        <v>1w</v>
      </c>
      <c r="V670" s="207">
        <f>_xll.qlCalendarAdvance(Calendar,V669,U670,"f",FALSE)</f>
        <v>43524</v>
      </c>
      <c r="W670" s="210">
        <f>_xll.qlCalendarAdvance(Calendar,V670,NDays&amp;"D")</f>
        <v>43524</v>
      </c>
      <c r="X670" s="211">
        <v>1.225433511089058E-2</v>
      </c>
      <c r="Y670" s="232"/>
    </row>
    <row r="671" spans="21:25" x14ac:dyDescent="0.2">
      <c r="U671" s="209" t="str">
        <f t="shared" si="13"/>
        <v>1w</v>
      </c>
      <c r="V671" s="207">
        <f>_xll.qlCalendarAdvance(Calendar,V670,U671,"f",FALSE)</f>
        <v>43531</v>
      </c>
      <c r="W671" s="210">
        <f>_xll.qlCalendarAdvance(Calendar,V671,NDays&amp;"D")</f>
        <v>43531</v>
      </c>
      <c r="X671" s="211">
        <v>1.2338238244851141E-2</v>
      </c>
      <c r="Y671" s="232"/>
    </row>
    <row r="672" spans="21:25" x14ac:dyDescent="0.2">
      <c r="U672" s="209" t="str">
        <f t="shared" si="13"/>
        <v>1w</v>
      </c>
      <c r="V672" s="207">
        <f>_xll.qlCalendarAdvance(Calendar,V671,U672,"f",FALSE)</f>
        <v>43538</v>
      </c>
      <c r="W672" s="210">
        <f>_xll.qlCalendarAdvance(Calendar,V672,NDays&amp;"D")</f>
        <v>43538</v>
      </c>
      <c r="X672" s="211">
        <v>1.2422222684174145E-2</v>
      </c>
      <c r="Y672" s="232"/>
    </row>
    <row r="673" spans="21:25" x14ac:dyDescent="0.2">
      <c r="U673" s="209" t="str">
        <f t="shared" si="13"/>
        <v>1w</v>
      </c>
      <c r="V673" s="207">
        <f>_xll.qlCalendarAdvance(Calendar,V672,U673,"f",FALSE)</f>
        <v>43545</v>
      </c>
      <c r="W673" s="210">
        <f>_xll.qlCalendarAdvance(Calendar,V673,NDays&amp;"D")</f>
        <v>43545</v>
      </c>
      <c r="X673" s="211">
        <v>1.2506288429099399E-2</v>
      </c>
      <c r="Y673" s="232"/>
    </row>
    <row r="674" spans="21:25" x14ac:dyDescent="0.2">
      <c r="U674" s="209" t="str">
        <f t="shared" si="13"/>
        <v>1w</v>
      </c>
      <c r="V674" s="207">
        <f>_xll.qlCalendarAdvance(Calendar,V673,U674,"f",FALSE)</f>
        <v>43552</v>
      </c>
      <c r="W674" s="210">
        <f>_xll.qlCalendarAdvance(Calendar,V674,NDays&amp;"D")</f>
        <v>43552</v>
      </c>
      <c r="X674" s="211">
        <v>1.2590435479546969E-2</v>
      </c>
      <c r="Y674" s="232"/>
    </row>
    <row r="675" spans="21:25" x14ac:dyDescent="0.2">
      <c r="U675" s="209" t="str">
        <f t="shared" si="13"/>
        <v>1w</v>
      </c>
      <c r="V675" s="207">
        <f>_xll.qlCalendarAdvance(Calendar,V674,U675,"f",FALSE)</f>
        <v>43559</v>
      </c>
      <c r="W675" s="210">
        <f>_xll.qlCalendarAdvance(Calendar,V675,NDays&amp;"D")</f>
        <v>43559</v>
      </c>
      <c r="X675" s="211">
        <v>1.2674663835756661E-2</v>
      </c>
      <c r="Y675" s="232"/>
    </row>
    <row r="676" spans="21:25" x14ac:dyDescent="0.2">
      <c r="U676" s="209" t="str">
        <f t="shared" si="13"/>
        <v>1w</v>
      </c>
      <c r="V676" s="207">
        <f>_xll.qlCalendarAdvance(Calendar,V675,U676,"f",FALSE)</f>
        <v>43566</v>
      </c>
      <c r="W676" s="210">
        <f>_xll.qlCalendarAdvance(Calendar,V676,NDays&amp;"D")</f>
        <v>43566</v>
      </c>
      <c r="X676" s="211">
        <v>1.2758973497568604E-2</v>
      </c>
      <c r="Y676" s="232"/>
    </row>
    <row r="677" spans="21:25" x14ac:dyDescent="0.2">
      <c r="U677" s="209" t="str">
        <f t="shared" si="13"/>
        <v>1w</v>
      </c>
      <c r="V677" s="207">
        <f>_xll.qlCalendarAdvance(Calendar,V676,U677,"f",FALSE)</f>
        <v>43573</v>
      </c>
      <c r="W677" s="210">
        <f>_xll.qlCalendarAdvance(Calendar,V677,NDays&amp;"D")</f>
        <v>43573</v>
      </c>
      <c r="X677" s="211">
        <v>1.2868412642115246E-2</v>
      </c>
      <c r="Y677" s="232"/>
    </row>
    <row r="678" spans="21:25" x14ac:dyDescent="0.2">
      <c r="U678" s="209" t="str">
        <f t="shared" si="13"/>
        <v>1w</v>
      </c>
      <c r="V678" s="207">
        <f>_xll.qlCalendarAdvance(Calendar,V677,U678,"f",FALSE)</f>
        <v>43580</v>
      </c>
      <c r="W678" s="210">
        <f>_xll.qlCalendarAdvance(Calendar,V678,NDays&amp;"D")</f>
        <v>43580</v>
      </c>
      <c r="X678" s="211">
        <v>1.292783673847886E-2</v>
      </c>
      <c r="Y678" s="232"/>
    </row>
    <row r="679" spans="21:25" x14ac:dyDescent="0.2">
      <c r="U679" s="209" t="str">
        <f t="shared" si="13"/>
        <v>1w</v>
      </c>
      <c r="V679" s="207">
        <f>_xll.qlCalendarAdvance(Calendar,V678,U679,"f",FALSE)</f>
        <v>43587</v>
      </c>
      <c r="W679" s="210">
        <f>_xll.qlCalendarAdvance(Calendar,V679,NDays&amp;"D")</f>
        <v>43587</v>
      </c>
      <c r="X679" s="211">
        <v>1.3012390317737044E-2</v>
      </c>
      <c r="Y679" s="232"/>
    </row>
    <row r="680" spans="21:25" x14ac:dyDescent="0.2">
      <c r="U680" s="209" t="str">
        <f t="shared" si="13"/>
        <v>1w</v>
      </c>
      <c r="V680" s="207">
        <f>_xll.qlCalendarAdvance(Calendar,V679,U680,"f",FALSE)</f>
        <v>43594</v>
      </c>
      <c r="W680" s="210">
        <f>_xll.qlCalendarAdvance(Calendar,V680,NDays&amp;"D")</f>
        <v>43594</v>
      </c>
      <c r="X680" s="211">
        <v>1.3097025202917223E-2</v>
      </c>
      <c r="Y680" s="232"/>
    </row>
    <row r="681" spans="21:25" x14ac:dyDescent="0.2">
      <c r="U681" s="209" t="str">
        <f t="shared" si="13"/>
        <v>1w</v>
      </c>
      <c r="V681" s="207">
        <f>_xll.qlCalendarAdvance(Calendar,V680,U681,"f",FALSE)</f>
        <v>43601</v>
      </c>
      <c r="W681" s="210">
        <f>_xll.qlCalendarAdvance(Calendar,V681,NDays&amp;"D")</f>
        <v>43601</v>
      </c>
      <c r="X681" s="211">
        <v>1.3181741394019397E-2</v>
      </c>
      <c r="Y681" s="232"/>
    </row>
    <row r="682" spans="21:25" x14ac:dyDescent="0.2">
      <c r="U682" s="209" t="str">
        <f t="shared" si="13"/>
        <v>1w</v>
      </c>
      <c r="V682" s="207">
        <f>_xll.qlCalendarAdvance(Calendar,V681,U682,"f",FALSE)</f>
        <v>43608</v>
      </c>
      <c r="W682" s="210">
        <f>_xll.qlCalendarAdvance(Calendar,V682,NDays&amp;"D")</f>
        <v>43608</v>
      </c>
      <c r="X682" s="211">
        <v>1.3266538891203439E-2</v>
      </c>
      <c r="Y682" s="232"/>
    </row>
    <row r="683" spans="21:25" x14ac:dyDescent="0.2">
      <c r="U683" s="209" t="str">
        <f t="shared" si="13"/>
        <v>1w</v>
      </c>
      <c r="V683" s="207">
        <f>_xll.qlCalendarAdvance(Calendar,V682,U683,"f",FALSE)</f>
        <v>43615</v>
      </c>
      <c r="W683" s="210">
        <f>_xll.qlCalendarAdvance(Calendar,V683,NDays&amp;"D")</f>
        <v>43615</v>
      </c>
      <c r="X683" s="211">
        <v>1.3351417694469347E-2</v>
      </c>
      <c r="Y683" s="232"/>
    </row>
    <row r="684" spans="21:25" x14ac:dyDescent="0.2">
      <c r="U684" s="209" t="str">
        <f t="shared" si="13"/>
        <v>1w</v>
      </c>
      <c r="V684" s="207">
        <f>_xll.qlCalendarAdvance(Calendar,V683,U684,"f",FALSE)</f>
        <v>43622</v>
      </c>
      <c r="W684" s="210">
        <f>_xll.qlCalendarAdvance(Calendar,V684,NDays&amp;"D")</f>
        <v>43622</v>
      </c>
      <c r="X684" s="211">
        <v>1.3436319501733962E-2</v>
      </c>
      <c r="Y684" s="232"/>
    </row>
    <row r="685" spans="21:25" x14ac:dyDescent="0.2">
      <c r="U685" s="209" t="str">
        <f t="shared" si="13"/>
        <v>1w</v>
      </c>
      <c r="V685" s="207">
        <f>_xll.qlCalendarAdvance(Calendar,V684,U685,"f",FALSE)</f>
        <v>43629</v>
      </c>
      <c r="W685" s="210">
        <f>_xll.qlCalendarAdvance(Calendar,V685,NDays&amp;"D")</f>
        <v>43629</v>
      </c>
      <c r="X685" s="211">
        <v>1.3520897651178032E-2</v>
      </c>
      <c r="Y685" s="232"/>
    </row>
    <row r="686" spans="21:25" x14ac:dyDescent="0.2">
      <c r="U686" s="209" t="str">
        <f t="shared" si="13"/>
        <v>1w</v>
      </c>
      <c r="V686" s="207">
        <f>_xll.qlCalendarAdvance(Calendar,V685,U686,"f",FALSE)</f>
        <v>43636</v>
      </c>
      <c r="W686" s="210">
        <f>_xll.qlCalendarAdvance(Calendar,V686,NDays&amp;"D")</f>
        <v>43636</v>
      </c>
      <c r="X686" s="211">
        <v>1.360509384023878E-2</v>
      </c>
      <c r="Y686" s="232"/>
    </row>
    <row r="687" spans="21:25" x14ac:dyDescent="0.2">
      <c r="U687" s="209" t="str">
        <f t="shared" si="13"/>
        <v>1w</v>
      </c>
      <c r="V687" s="207">
        <f>_xll.qlCalendarAdvance(Calendar,V686,U687,"f",FALSE)</f>
        <v>43643</v>
      </c>
      <c r="W687" s="210">
        <f>_xll.qlCalendarAdvance(Calendar,V687,NDays&amp;"D")</f>
        <v>43643</v>
      </c>
      <c r="X687" s="211">
        <v>1.3688908068756334E-2</v>
      </c>
      <c r="Y687" s="232"/>
    </row>
    <row r="688" spans="21:25" x14ac:dyDescent="0.2">
      <c r="U688" s="209" t="str">
        <f t="shared" si="13"/>
        <v>1w</v>
      </c>
      <c r="V688" s="207">
        <f>_xll.qlCalendarAdvance(Calendar,V687,U688,"f",FALSE)</f>
        <v>43650</v>
      </c>
      <c r="W688" s="210">
        <f>_xll.qlCalendarAdvance(Calendar,V688,NDays&amp;"D")</f>
        <v>43650</v>
      </c>
      <c r="X688" s="211">
        <v>1.3772340336490885E-2</v>
      </c>
      <c r="Y688" s="232"/>
    </row>
    <row r="689" spans="21:25" x14ac:dyDescent="0.2">
      <c r="U689" s="209" t="str">
        <f t="shared" si="13"/>
        <v>1w</v>
      </c>
      <c r="V689" s="207">
        <f>_xll.qlCalendarAdvance(Calendar,V688,U689,"f",FALSE)</f>
        <v>43657</v>
      </c>
      <c r="W689" s="210">
        <f>_xll.qlCalendarAdvance(Calendar,V689,NDays&amp;"D")</f>
        <v>43657</v>
      </c>
      <c r="X689" s="211">
        <v>1.3855390643122689E-2</v>
      </c>
      <c r="Y689" s="232"/>
    </row>
    <row r="690" spans="21:25" x14ac:dyDescent="0.2">
      <c r="U690" s="209" t="str">
        <f t="shared" si="13"/>
        <v>1w</v>
      </c>
      <c r="V690" s="207">
        <f>_xll.qlCalendarAdvance(Calendar,V689,U690,"f",FALSE)</f>
        <v>43664</v>
      </c>
      <c r="W690" s="210">
        <f>_xll.qlCalendarAdvance(Calendar,V690,NDays&amp;"D")</f>
        <v>43664</v>
      </c>
      <c r="X690" s="211">
        <v>1.3938058988332003E-2</v>
      </c>
      <c r="Y690" s="232"/>
    </row>
    <row r="691" spans="21:25" x14ac:dyDescent="0.2">
      <c r="U691" s="209" t="str">
        <f t="shared" si="13"/>
        <v>1w</v>
      </c>
      <c r="V691" s="207">
        <f>_xll.qlCalendarAdvance(Calendar,V690,U691,"f",FALSE)</f>
        <v>43671</v>
      </c>
      <c r="W691" s="210">
        <f>_xll.qlCalendarAdvance(Calendar,V691,NDays&amp;"D")</f>
        <v>43671</v>
      </c>
      <c r="X691" s="211">
        <v>1.4020345372038889E-2</v>
      </c>
      <c r="Y691" s="232"/>
    </row>
    <row r="692" spans="21:25" x14ac:dyDescent="0.2">
      <c r="U692" s="209" t="str">
        <f t="shared" si="13"/>
        <v>1w</v>
      </c>
      <c r="V692" s="207">
        <f>_xll.qlCalendarAdvance(Calendar,V691,U692,"f",FALSE)</f>
        <v>43678</v>
      </c>
      <c r="W692" s="210">
        <f>_xll.qlCalendarAdvance(Calendar,V692,NDays&amp;"D")</f>
        <v>43678</v>
      </c>
      <c r="X692" s="211">
        <v>1.4102249793763733E-2</v>
      </c>
      <c r="Y692" s="232"/>
    </row>
    <row r="693" spans="21:25" x14ac:dyDescent="0.2">
      <c r="U693" s="209" t="str">
        <f t="shared" si="13"/>
        <v>1w</v>
      </c>
      <c r="V693" s="207">
        <f>_xll.qlCalendarAdvance(Calendar,V692,U693,"f",FALSE)</f>
        <v>43685</v>
      </c>
      <c r="W693" s="210">
        <f>_xll.qlCalendarAdvance(Calendar,V693,NDays&amp;"D")</f>
        <v>43685</v>
      </c>
      <c r="X693" s="211">
        <v>1.4183772253426596E-2</v>
      </c>
      <c r="Y693" s="232"/>
    </row>
    <row r="694" spans="21:25" x14ac:dyDescent="0.2">
      <c r="U694" s="209" t="str">
        <f t="shared" si="13"/>
        <v>1w</v>
      </c>
      <c r="V694" s="207">
        <f>_xll.qlCalendarAdvance(Calendar,V693,U694,"f",FALSE)</f>
        <v>43692</v>
      </c>
      <c r="W694" s="210">
        <f>_xll.qlCalendarAdvance(Calendar,V694,NDays&amp;"D")</f>
        <v>43692</v>
      </c>
      <c r="X694" s="211">
        <v>1.4264912750627801E-2</v>
      </c>
      <c r="Y694" s="232"/>
    </row>
    <row r="695" spans="21:25" x14ac:dyDescent="0.2">
      <c r="U695" s="209" t="str">
        <f t="shared" si="13"/>
        <v>1w</v>
      </c>
      <c r="V695" s="207">
        <f>_xll.qlCalendarAdvance(Calendar,V694,U695,"f",FALSE)</f>
        <v>43699</v>
      </c>
      <c r="W695" s="210">
        <f>_xll.qlCalendarAdvance(Calendar,V695,NDays&amp;"D")</f>
        <v>43699</v>
      </c>
      <c r="X695" s="211">
        <v>1.4345671285127537E-2</v>
      </c>
      <c r="Y695" s="232"/>
    </row>
    <row r="696" spans="21:25" x14ac:dyDescent="0.2">
      <c r="U696" s="209" t="str">
        <f t="shared" si="13"/>
        <v>1w</v>
      </c>
      <c r="V696" s="207">
        <f>_xll.qlCalendarAdvance(Calendar,V695,U696,"f",FALSE)</f>
        <v>43706</v>
      </c>
      <c r="W696" s="210">
        <f>_xll.qlCalendarAdvance(Calendar,V696,NDays&amp;"D")</f>
        <v>43706</v>
      </c>
      <c r="X696" s="211">
        <v>1.4426047856765933E-2</v>
      </c>
      <c r="Y696" s="232"/>
    </row>
    <row r="697" spans="21:25" x14ac:dyDescent="0.2">
      <c r="U697" s="209" t="str">
        <f t="shared" si="13"/>
        <v>1w</v>
      </c>
      <c r="V697" s="207">
        <f>_xll.qlCalendarAdvance(Calendar,V696,U697,"f",FALSE)</f>
        <v>43713</v>
      </c>
      <c r="W697" s="210">
        <f>_xll.qlCalendarAdvance(Calendar,V697,NDays&amp;"D")</f>
        <v>43713</v>
      </c>
      <c r="X697" s="211">
        <v>1.4506042465303182E-2</v>
      </c>
      <c r="Y697" s="232"/>
    </row>
    <row r="698" spans="21:25" x14ac:dyDescent="0.2">
      <c r="U698" s="209" t="str">
        <f t="shared" si="13"/>
        <v>1w</v>
      </c>
      <c r="V698" s="207">
        <f>_xll.qlCalendarAdvance(Calendar,V697,U698,"f",FALSE)</f>
        <v>43720</v>
      </c>
      <c r="W698" s="210">
        <f>_xll.qlCalendarAdvance(Calendar,V698,NDays&amp;"D")</f>
        <v>43720</v>
      </c>
      <c r="X698" s="211">
        <v>1.4585655110339601E-2</v>
      </c>
      <c r="Y698" s="232"/>
    </row>
    <row r="699" spans="21:25" x14ac:dyDescent="0.2">
      <c r="U699" s="209" t="str">
        <f t="shared" si="13"/>
        <v>1w</v>
      </c>
      <c r="V699" s="207">
        <f>_xll.qlCalendarAdvance(Calendar,V698,U699,"f",FALSE)</f>
        <v>43727</v>
      </c>
      <c r="W699" s="210">
        <f>_xll.qlCalendarAdvance(Calendar,V699,NDays&amp;"D")</f>
        <v>43727</v>
      </c>
      <c r="X699" s="211">
        <v>1.4664885791635385E-2</v>
      </c>
      <c r="Y699" s="232"/>
    </row>
    <row r="700" spans="21:25" x14ac:dyDescent="0.2">
      <c r="U700" s="209" t="str">
        <f t="shared" si="13"/>
        <v>1w</v>
      </c>
      <c r="V700" s="207">
        <f>_xll.qlCalendarAdvance(Calendar,V699,U700,"f",FALSE)</f>
        <v>43734</v>
      </c>
      <c r="W700" s="210">
        <f>_xll.qlCalendarAdvance(Calendar,V700,NDays&amp;"D")</f>
        <v>43734</v>
      </c>
      <c r="X700" s="211">
        <v>1.4743734509110595E-2</v>
      </c>
      <c r="Y700" s="232"/>
    </row>
    <row r="701" spans="21:25" x14ac:dyDescent="0.2">
      <c r="U701" s="209" t="str">
        <f t="shared" si="13"/>
        <v>1w</v>
      </c>
      <c r="V701" s="207">
        <f>_xll.qlCalendarAdvance(Calendar,V700,U701,"f",FALSE)</f>
        <v>43741</v>
      </c>
      <c r="W701" s="210">
        <f>_xll.qlCalendarAdvance(Calendar,V701,NDays&amp;"D")</f>
        <v>43741</v>
      </c>
      <c r="X701" s="211">
        <v>1.4822201262365553E-2</v>
      </c>
      <c r="Y701" s="232"/>
    </row>
    <row r="702" spans="21:25" x14ac:dyDescent="0.2">
      <c r="U702" s="209" t="str">
        <f t="shared" si="13"/>
        <v>1w</v>
      </c>
      <c r="V702" s="207">
        <f>_xll.qlCalendarAdvance(Calendar,V701,U702,"f",FALSE)</f>
        <v>43748</v>
      </c>
      <c r="W702" s="210">
        <f>_xll.qlCalendarAdvance(Calendar,V702,NDays&amp;"D")</f>
        <v>43748</v>
      </c>
      <c r="X702" s="211">
        <v>1.490028605116045E-2</v>
      </c>
      <c r="Y702" s="232"/>
    </row>
    <row r="703" spans="21:25" x14ac:dyDescent="0.2">
      <c r="U703" s="209" t="str">
        <f t="shared" si="13"/>
        <v>1w</v>
      </c>
      <c r="V703" s="207">
        <f>_xll.qlCalendarAdvance(Calendar,V702,U703,"f",FALSE)</f>
        <v>43755</v>
      </c>
      <c r="W703" s="210">
        <f>_xll.qlCalendarAdvance(Calendar,V703,NDays&amp;"D")</f>
        <v>43755</v>
      </c>
      <c r="X703" s="211">
        <v>1.4977988875255477E-2</v>
      </c>
      <c r="Y703" s="232"/>
    </row>
    <row r="704" spans="21:25" x14ac:dyDescent="0.2">
      <c r="U704" s="209" t="str">
        <f t="shared" si="13"/>
        <v>1w</v>
      </c>
      <c r="V704" s="207">
        <f>_xll.qlCalendarAdvance(Calendar,V703,U704,"f",FALSE)</f>
        <v>43762</v>
      </c>
      <c r="W704" s="210">
        <f>_xll.qlCalendarAdvance(Calendar,V704,NDays&amp;"D")</f>
        <v>43762</v>
      </c>
      <c r="X704" s="211">
        <v>1.5055309734410827E-2</v>
      </c>
      <c r="Y704" s="232"/>
    </row>
    <row r="705" spans="21:25" x14ac:dyDescent="0.2">
      <c r="U705" s="209" t="str">
        <f t="shared" si="13"/>
        <v>1w</v>
      </c>
      <c r="V705" s="207">
        <f>_xll.qlCalendarAdvance(Calendar,V704,U705,"f",FALSE)</f>
        <v>43769</v>
      </c>
      <c r="W705" s="210">
        <f>_xll.qlCalendarAdvance(Calendar,V705,NDays&amp;"D")</f>
        <v>43769</v>
      </c>
      <c r="X705" s="211">
        <v>1.5132248628466627E-2</v>
      </c>
      <c r="Y705" s="232"/>
    </row>
    <row r="706" spans="21:25" x14ac:dyDescent="0.2">
      <c r="U706" s="209" t="str">
        <f t="shared" si="13"/>
        <v>1w</v>
      </c>
      <c r="V706" s="207">
        <f>_xll.qlCalendarAdvance(Calendar,V705,U706,"f",FALSE)</f>
        <v>43776</v>
      </c>
      <c r="W706" s="210">
        <f>_xll.qlCalendarAdvance(Calendar,V706,NDays&amp;"D")</f>
        <v>43776</v>
      </c>
      <c r="X706" s="211">
        <v>1.5208805557023197E-2</v>
      </c>
      <c r="Y706" s="232"/>
    </row>
    <row r="707" spans="21:25" x14ac:dyDescent="0.2">
      <c r="U707" s="209" t="str">
        <f t="shared" si="13"/>
        <v>1w</v>
      </c>
      <c r="V707" s="207">
        <f>_xll.qlCalendarAdvance(Calendar,V706,U707,"f",FALSE)</f>
        <v>43783</v>
      </c>
      <c r="W707" s="210">
        <f>_xll.qlCalendarAdvance(Calendar,V707,NDays&amp;"D")</f>
        <v>43783</v>
      </c>
      <c r="X707" s="211">
        <v>1.5284980520000602E-2</v>
      </c>
      <c r="Y707" s="232"/>
    </row>
    <row r="708" spans="21:25" x14ac:dyDescent="0.2">
      <c r="U708" s="209" t="str">
        <f t="shared" si="13"/>
        <v>1w</v>
      </c>
      <c r="V708" s="207">
        <f>_xll.qlCalendarAdvance(Calendar,V707,U708,"f",FALSE)</f>
        <v>43790</v>
      </c>
      <c r="W708" s="210">
        <f>_xll.qlCalendarAdvance(Calendar,V708,NDays&amp;"D")</f>
        <v>43790</v>
      </c>
      <c r="X708" s="211">
        <v>1.536077351699916E-2</v>
      </c>
      <c r="Y708" s="232"/>
    </row>
    <row r="709" spans="21:25" x14ac:dyDescent="0.2">
      <c r="U709" s="209" t="str">
        <f t="shared" si="13"/>
        <v>1w</v>
      </c>
      <c r="V709" s="207">
        <f>_xll.qlCalendarAdvance(Calendar,V708,U709,"f",FALSE)</f>
        <v>43797</v>
      </c>
      <c r="W709" s="210">
        <f>_xll.qlCalendarAdvance(Calendar,V709,NDays&amp;"D")</f>
        <v>43797</v>
      </c>
      <c r="X709" s="211">
        <v>1.5436184547859E-2</v>
      </c>
      <c r="Y709" s="232"/>
    </row>
    <row r="710" spans="21:25" x14ac:dyDescent="0.2">
      <c r="U710" s="209" t="str">
        <f t="shared" si="13"/>
        <v>1w</v>
      </c>
      <c r="V710" s="207">
        <f>_xll.qlCalendarAdvance(Calendar,V709,U710,"f",FALSE)</f>
        <v>43804</v>
      </c>
      <c r="W710" s="210">
        <f>_xll.qlCalendarAdvance(Calendar,V710,NDays&amp;"D")</f>
        <v>43804</v>
      </c>
      <c r="X710" s="211">
        <v>1.5511213612340313E-2</v>
      </c>
      <c r="Y710" s="232"/>
    </row>
    <row r="711" spans="21:25" x14ac:dyDescent="0.2">
      <c r="U711" s="209" t="str">
        <f t="shared" si="13"/>
        <v>1w</v>
      </c>
      <c r="V711" s="207">
        <f>_xll.qlCalendarAdvance(Calendar,V710,U711,"f",FALSE)</f>
        <v>43811</v>
      </c>
      <c r="W711" s="210">
        <f>_xll.qlCalendarAdvance(Calendar,V711,NDays&amp;"D")</f>
        <v>43811</v>
      </c>
      <c r="X711" s="211">
        <v>1.5585860710203292E-2</v>
      </c>
      <c r="Y711" s="232"/>
    </row>
    <row r="712" spans="21:25" x14ac:dyDescent="0.2">
      <c r="U712" s="209" t="str">
        <f t="shared" si="13"/>
        <v>1w</v>
      </c>
      <c r="V712" s="207">
        <f>_xll.qlCalendarAdvance(Calendar,V711,U712,"f",FALSE)</f>
        <v>43818</v>
      </c>
      <c r="W712" s="210">
        <f>_xll.qlCalendarAdvance(Calendar,V712,NDays&amp;"D")</f>
        <v>43818</v>
      </c>
      <c r="X712" s="211">
        <v>1.5660125841208128E-2</v>
      </c>
      <c r="Y712" s="232"/>
    </row>
    <row r="713" spans="21:25" x14ac:dyDescent="0.2">
      <c r="U713" s="209" t="str">
        <f t="shared" si="13"/>
        <v>1w</v>
      </c>
      <c r="V713" s="207">
        <f>_xll.qlCalendarAdvance(Calendar,V712,U713,"f",FALSE)</f>
        <v>43826</v>
      </c>
      <c r="W713" s="210">
        <f>_xll.qlCalendarAdvance(Calendar,V713,NDays&amp;"D")</f>
        <v>43826</v>
      </c>
      <c r="X713" s="211">
        <v>1.5755735238833779E-2</v>
      </c>
      <c r="Y713" s="232"/>
    </row>
    <row r="714" spans="21:25" x14ac:dyDescent="0.2">
      <c r="U714" s="209" t="str">
        <f t="shared" si="13"/>
        <v>1w</v>
      </c>
      <c r="V714" s="207">
        <f>_xll.qlCalendarAdvance(Calendar,V713,U714,"f",FALSE)</f>
        <v>43833</v>
      </c>
      <c r="W714" s="210">
        <f>_xll.qlCalendarAdvance(Calendar,V714,NDays&amp;"D")</f>
        <v>43833</v>
      </c>
      <c r="X714" s="211">
        <v>1.5829133740803414E-2</v>
      </c>
      <c r="Y714" s="232"/>
    </row>
    <row r="715" spans="21:25" x14ac:dyDescent="0.2">
      <c r="U715" s="209" t="str">
        <f t="shared" si="13"/>
        <v>1w</v>
      </c>
      <c r="V715" s="207">
        <f>_xll.qlCalendarAdvance(Calendar,V714,U715,"f",FALSE)</f>
        <v>43840</v>
      </c>
      <c r="W715" s="210">
        <f>_xll.qlCalendarAdvance(Calendar,V715,NDays&amp;"D")</f>
        <v>43840</v>
      </c>
      <c r="X715" s="211">
        <v>1.5902150271278614E-2</v>
      </c>
      <c r="Y715" s="232"/>
    </row>
    <row r="716" spans="21:25" x14ac:dyDescent="0.2">
      <c r="U716" s="209" t="str">
        <f t="shared" si="13"/>
        <v>1w</v>
      </c>
      <c r="V716" s="207">
        <f>_xll.qlCalendarAdvance(Calendar,V715,U716,"f",FALSE)</f>
        <v>43847</v>
      </c>
      <c r="W716" s="210">
        <f>_xll.qlCalendarAdvance(Calendar,V716,NDays&amp;"D")</f>
        <v>43847</v>
      </c>
      <c r="X716" s="211">
        <v>1.5974784829619892E-2</v>
      </c>
      <c r="Y716" s="232"/>
    </row>
    <row r="717" spans="21:25" x14ac:dyDescent="0.2">
      <c r="U717" s="209" t="str">
        <f t="shared" ref="U717:U780" si="14">U716</f>
        <v>1w</v>
      </c>
      <c r="V717" s="207">
        <f>_xll.qlCalendarAdvance(Calendar,V716,U717,"f",FALSE)</f>
        <v>43854</v>
      </c>
      <c r="W717" s="210">
        <f>_xll.qlCalendarAdvance(Calendar,V717,NDays&amp;"D")</f>
        <v>43854</v>
      </c>
      <c r="X717" s="211">
        <v>1.6047037415134469E-2</v>
      </c>
      <c r="Y717" s="232"/>
    </row>
    <row r="718" spans="21:25" x14ac:dyDescent="0.2">
      <c r="U718" s="209" t="str">
        <f t="shared" si="14"/>
        <v>1w</v>
      </c>
      <c r="V718" s="207">
        <f>_xll.qlCalendarAdvance(Calendar,V717,U718,"f",FALSE)</f>
        <v>43861</v>
      </c>
      <c r="W718" s="210">
        <f>_xll.qlCalendarAdvance(Calendar,V718,NDays&amp;"D")</f>
        <v>43861</v>
      </c>
      <c r="X718" s="211">
        <v>1.6118908027076273E-2</v>
      </c>
      <c r="Y718" s="232"/>
    </row>
    <row r="719" spans="21:25" x14ac:dyDescent="0.2">
      <c r="U719" s="209" t="str">
        <f t="shared" si="14"/>
        <v>1w</v>
      </c>
      <c r="V719" s="207">
        <f>_xll.qlCalendarAdvance(Calendar,V718,U719,"f",FALSE)</f>
        <v>43868</v>
      </c>
      <c r="W719" s="210">
        <f>_xll.qlCalendarAdvance(Calendar,V719,NDays&amp;"D")</f>
        <v>43868</v>
      </c>
      <c r="X719" s="211">
        <v>1.6190396664832463E-2</v>
      </c>
      <c r="Y719" s="232"/>
    </row>
    <row r="720" spans="21:25" x14ac:dyDescent="0.2">
      <c r="U720" s="209" t="str">
        <f t="shared" si="14"/>
        <v>1w</v>
      </c>
      <c r="V720" s="207">
        <f>_xll.qlCalendarAdvance(Calendar,V719,U720,"f",FALSE)</f>
        <v>43875</v>
      </c>
      <c r="W720" s="210">
        <f>_xll.qlCalendarAdvance(Calendar,V720,NDays&amp;"D")</f>
        <v>43875</v>
      </c>
      <c r="X720" s="211">
        <v>1.6261503327656968E-2</v>
      </c>
      <c r="Y720" s="232"/>
    </row>
    <row r="721" spans="21:25" x14ac:dyDescent="0.2">
      <c r="U721" s="209" t="str">
        <f t="shared" si="14"/>
        <v>1w</v>
      </c>
      <c r="V721" s="207">
        <f>_xll.qlCalendarAdvance(Calendar,V720,U721,"f",FALSE)</f>
        <v>43882</v>
      </c>
      <c r="W721" s="210">
        <f>_xll.qlCalendarAdvance(Calendar,V721,NDays&amp;"D")</f>
        <v>43882</v>
      </c>
      <c r="X721" s="211">
        <v>1.6332228014883654E-2</v>
      </c>
      <c r="Y721" s="232"/>
    </row>
    <row r="722" spans="21:25" x14ac:dyDescent="0.2">
      <c r="U722" s="209" t="str">
        <f t="shared" si="14"/>
        <v>1w</v>
      </c>
      <c r="V722" s="207">
        <f>_xll.qlCalendarAdvance(Calendar,V721,U722,"f",FALSE)</f>
        <v>43889</v>
      </c>
      <c r="W722" s="210">
        <f>_xll.qlCalendarAdvance(Calendar,V722,NDays&amp;"D")</f>
        <v>43889</v>
      </c>
      <c r="X722" s="211">
        <v>1.6402570725873034E-2</v>
      </c>
      <c r="Y722" s="232"/>
    </row>
    <row r="723" spans="21:25" x14ac:dyDescent="0.2">
      <c r="U723" s="209" t="str">
        <f t="shared" si="14"/>
        <v>1w</v>
      </c>
      <c r="V723" s="207">
        <f>_xll.qlCalendarAdvance(Calendar,V722,U723,"f",FALSE)</f>
        <v>43896</v>
      </c>
      <c r="W723" s="210">
        <f>_xll.qlCalendarAdvance(Calendar,V723,NDays&amp;"D")</f>
        <v>43896</v>
      </c>
      <c r="X723" s="211">
        <v>1.6472531459905682E-2</v>
      </c>
      <c r="Y723" s="232"/>
    </row>
    <row r="724" spans="21:25" x14ac:dyDescent="0.2">
      <c r="U724" s="209" t="str">
        <f t="shared" si="14"/>
        <v>1w</v>
      </c>
      <c r="V724" s="207">
        <f>_xll.qlCalendarAdvance(Calendar,V723,U724,"f",FALSE)</f>
        <v>43903</v>
      </c>
      <c r="W724" s="210">
        <f>_xll.qlCalendarAdvance(Calendar,V724,NDays&amp;"D")</f>
        <v>43903</v>
      </c>
      <c r="X724" s="211">
        <v>1.6542110216368755E-2</v>
      </c>
      <c r="Y724" s="232"/>
    </row>
    <row r="725" spans="21:25" x14ac:dyDescent="0.2">
      <c r="U725" s="209" t="str">
        <f t="shared" si="14"/>
        <v>1w</v>
      </c>
      <c r="V725" s="207">
        <f>_xll.qlCalendarAdvance(Calendar,V724,U725,"f",FALSE)</f>
        <v>43910</v>
      </c>
      <c r="W725" s="210">
        <f>_xll.qlCalendarAdvance(Calendar,V725,NDays&amp;"D")</f>
        <v>43910</v>
      </c>
      <c r="X725" s="211">
        <v>1.6611306994569475E-2</v>
      </c>
      <c r="Y725" s="232"/>
    </row>
    <row r="726" spans="21:25" x14ac:dyDescent="0.2">
      <c r="U726" s="209" t="str">
        <f t="shared" si="14"/>
        <v>1w</v>
      </c>
      <c r="V726" s="207">
        <f>_xll.qlCalendarAdvance(Calendar,V725,U726,"f",FALSE)</f>
        <v>43917</v>
      </c>
      <c r="W726" s="210">
        <f>_xll.qlCalendarAdvance(Calendar,V726,NDays&amp;"D")</f>
        <v>43917</v>
      </c>
      <c r="X726" s="211">
        <v>1.6680121793815061E-2</v>
      </c>
      <c r="Y726" s="232"/>
    </row>
    <row r="727" spans="21:25" x14ac:dyDescent="0.2">
      <c r="U727" s="209" t="str">
        <f t="shared" si="14"/>
        <v>1w</v>
      </c>
      <c r="V727" s="207">
        <f>_xll.qlCalendarAdvance(Calendar,V726,U727,"f",FALSE)</f>
        <v>43924</v>
      </c>
      <c r="W727" s="210">
        <f>_xll.qlCalendarAdvance(Calendar,V727,NDays&amp;"D")</f>
        <v>43924</v>
      </c>
      <c r="X727" s="211">
        <v>1.6748554613519318E-2</v>
      </c>
      <c r="Y727" s="232"/>
    </row>
    <row r="728" spans="21:25" x14ac:dyDescent="0.2">
      <c r="U728" s="209" t="str">
        <f t="shared" si="14"/>
        <v>1w</v>
      </c>
      <c r="V728" s="207">
        <f>_xll.qlCalendarAdvance(Calendar,V727,U728,"f",FALSE)</f>
        <v>43935</v>
      </c>
      <c r="W728" s="210">
        <f>_xll.qlCalendarAdvance(Calendar,V728,NDays&amp;"D")</f>
        <v>43935</v>
      </c>
      <c r="X728" s="211">
        <v>1.6844867558818422E-2</v>
      </c>
      <c r="Y728" s="232"/>
    </row>
    <row r="729" spans="21:25" x14ac:dyDescent="0.2">
      <c r="U729" s="209" t="str">
        <f t="shared" si="14"/>
        <v>1w</v>
      </c>
      <c r="V729" s="207">
        <f>_xll.qlCalendarAdvance(Calendar,V728,U729,"f",FALSE)</f>
        <v>43942</v>
      </c>
      <c r="W729" s="210">
        <f>_xll.qlCalendarAdvance(Calendar,V729,NDays&amp;"D")</f>
        <v>43942</v>
      </c>
      <c r="X729" s="211">
        <v>1.691236638158955E-2</v>
      </c>
      <c r="Y729" s="232"/>
    </row>
    <row r="730" spans="21:25" x14ac:dyDescent="0.2">
      <c r="U730" s="209" t="str">
        <f t="shared" si="14"/>
        <v>1w</v>
      </c>
      <c r="V730" s="207">
        <f>_xll.qlCalendarAdvance(Calendar,V729,U730,"f",FALSE)</f>
        <v>43949</v>
      </c>
      <c r="W730" s="210">
        <f>_xll.qlCalendarAdvance(Calendar,V730,NDays&amp;"D")</f>
        <v>43949</v>
      </c>
      <c r="X730" s="211">
        <v>1.6979483233185988E-2</v>
      </c>
      <c r="Y730" s="232"/>
    </row>
    <row r="731" spans="21:25" x14ac:dyDescent="0.2">
      <c r="U731" s="209" t="str">
        <f t="shared" si="14"/>
        <v>1w</v>
      </c>
      <c r="V731" s="207">
        <f>_xll.qlCalendarAdvance(Calendar,V730,U731,"f",FALSE)</f>
        <v>43956</v>
      </c>
      <c r="W731" s="210">
        <f>_xll.qlCalendarAdvance(Calendar,V731,NDays&amp;"D")</f>
        <v>43956</v>
      </c>
      <c r="X731" s="211">
        <v>1.70462181135278E-2</v>
      </c>
      <c r="Y731" s="232"/>
    </row>
    <row r="732" spans="21:25" x14ac:dyDescent="0.2">
      <c r="U732" s="209" t="str">
        <f t="shared" si="14"/>
        <v>1w</v>
      </c>
      <c r="V732" s="207">
        <f>_xll.qlCalendarAdvance(Calendar,V731,U732,"f",FALSE)</f>
        <v>43963</v>
      </c>
      <c r="W732" s="210">
        <f>_xll.qlCalendarAdvance(Calendar,V732,NDays&amp;"D")</f>
        <v>43963</v>
      </c>
      <c r="X732" s="211">
        <v>1.7112571022455114E-2</v>
      </c>
      <c r="Y732" s="232"/>
    </row>
    <row r="733" spans="21:25" x14ac:dyDescent="0.2">
      <c r="U733" s="209" t="str">
        <f t="shared" si="14"/>
        <v>1w</v>
      </c>
      <c r="V733" s="207">
        <f>_xll.qlCalendarAdvance(Calendar,V732,U733,"f",FALSE)</f>
        <v>43970</v>
      </c>
      <c r="W733" s="210">
        <f>_xll.qlCalendarAdvance(Calendar,V733,NDays&amp;"D")</f>
        <v>43970</v>
      </c>
      <c r="X733" s="211">
        <v>1.717854195956825E-2</v>
      </c>
      <c r="Y733" s="232"/>
    </row>
    <row r="734" spans="21:25" x14ac:dyDescent="0.2">
      <c r="U734" s="209" t="str">
        <f t="shared" si="14"/>
        <v>1w</v>
      </c>
      <c r="V734" s="207">
        <f>_xll.qlCalendarAdvance(Calendar,V733,U734,"f",FALSE)</f>
        <v>43977</v>
      </c>
      <c r="W734" s="210">
        <f>_xll.qlCalendarAdvance(Calendar,V734,NDays&amp;"D")</f>
        <v>43977</v>
      </c>
      <c r="X734" s="211">
        <v>1.7244130924787271E-2</v>
      </c>
      <c r="Y734" s="232"/>
    </row>
    <row r="735" spans="21:25" x14ac:dyDescent="0.2">
      <c r="U735" s="209" t="str">
        <f t="shared" si="14"/>
        <v>1w</v>
      </c>
      <c r="V735" s="207">
        <f>_xll.qlCalendarAdvance(Calendar,V734,U735,"f",FALSE)</f>
        <v>43984</v>
      </c>
      <c r="W735" s="210">
        <f>_xll.qlCalendarAdvance(Calendar,V735,NDays&amp;"D")</f>
        <v>43984</v>
      </c>
      <c r="X735" s="211">
        <v>1.7309339378144273E-2</v>
      </c>
      <c r="Y735" s="232"/>
    </row>
    <row r="736" spans="21:25" x14ac:dyDescent="0.2">
      <c r="U736" s="209" t="str">
        <f t="shared" si="14"/>
        <v>1w</v>
      </c>
      <c r="V736" s="207">
        <f>_xll.qlCalendarAdvance(Calendar,V735,U736,"f",FALSE)</f>
        <v>43991</v>
      </c>
      <c r="W736" s="210">
        <f>_xll.qlCalendarAdvance(Calendar,V736,NDays&amp;"D")</f>
        <v>43991</v>
      </c>
      <c r="X736" s="211">
        <v>1.7374409742281216E-2</v>
      </c>
      <c r="Y736" s="232"/>
    </row>
    <row r="737" spans="21:25" x14ac:dyDescent="0.2">
      <c r="U737" s="209" t="str">
        <f t="shared" si="14"/>
        <v>1w</v>
      </c>
      <c r="V737" s="207">
        <f>_xll.qlCalendarAdvance(Calendar,V736,U737,"f",FALSE)</f>
        <v>43998</v>
      </c>
      <c r="W737" s="210">
        <f>_xll.qlCalendarAdvance(Calendar,V737,NDays&amp;"D")</f>
        <v>43998</v>
      </c>
      <c r="X737" s="211">
        <v>1.7439527485239026E-2</v>
      </c>
      <c r="Y737" s="232"/>
    </row>
    <row r="738" spans="21:25" x14ac:dyDescent="0.2">
      <c r="U738" s="209" t="str">
        <f t="shared" si="14"/>
        <v>1w</v>
      </c>
      <c r="V738" s="207">
        <f>_xll.qlCalendarAdvance(Calendar,V737,U738,"f",FALSE)</f>
        <v>44005</v>
      </c>
      <c r="W738" s="210">
        <f>_xll.qlCalendarAdvance(Calendar,V738,NDays&amp;"D")</f>
        <v>44005</v>
      </c>
      <c r="X738" s="211">
        <v>1.7504692606777894E-2</v>
      </c>
      <c r="Y738" s="232"/>
    </row>
    <row r="739" spans="21:25" x14ac:dyDescent="0.2">
      <c r="U739" s="209" t="str">
        <f t="shared" si="14"/>
        <v>1w</v>
      </c>
      <c r="V739" s="207">
        <f>_xll.qlCalendarAdvance(Calendar,V738,U739,"f",FALSE)</f>
        <v>44012</v>
      </c>
      <c r="W739" s="210">
        <f>_xll.qlCalendarAdvance(Calendar,V739,NDays&amp;"D")</f>
        <v>44012</v>
      </c>
      <c r="X739" s="211">
        <v>1.7569905107137629E-2</v>
      </c>
      <c r="Y739" s="232"/>
    </row>
    <row r="740" spans="21:25" x14ac:dyDescent="0.2">
      <c r="U740" s="209" t="str">
        <f t="shared" si="14"/>
        <v>1w</v>
      </c>
      <c r="V740" s="207">
        <f>_xll.qlCalendarAdvance(Calendar,V739,U740,"f",FALSE)</f>
        <v>44019</v>
      </c>
      <c r="W740" s="210">
        <f>_xll.qlCalendarAdvance(Calendar,V740,NDays&amp;"D")</f>
        <v>44019</v>
      </c>
      <c r="X740" s="211">
        <v>1.7635164986238294E-2</v>
      </c>
      <c r="Y740" s="232"/>
    </row>
    <row r="741" spans="21:25" x14ac:dyDescent="0.2">
      <c r="U741" s="209" t="str">
        <f t="shared" si="14"/>
        <v>1w</v>
      </c>
      <c r="V741" s="207">
        <f>_xll.qlCalendarAdvance(Calendar,V740,U741,"f",FALSE)</f>
        <v>44026</v>
      </c>
      <c r="W741" s="210">
        <f>_xll.qlCalendarAdvance(Calendar,V741,NDays&amp;"D")</f>
        <v>44026</v>
      </c>
      <c r="X741" s="211">
        <v>1.7700472244159826E-2</v>
      </c>
      <c r="Y741" s="232"/>
    </row>
    <row r="742" spans="21:25" x14ac:dyDescent="0.2">
      <c r="U742" s="209" t="str">
        <f t="shared" si="14"/>
        <v>1w</v>
      </c>
      <c r="V742" s="207">
        <f>_xll.qlCalendarAdvance(Calendar,V741,U742,"f",FALSE)</f>
        <v>44033</v>
      </c>
      <c r="W742" s="210">
        <f>_xll.qlCalendarAdvance(Calendar,V742,NDays&amp;"D")</f>
        <v>44033</v>
      </c>
      <c r="X742" s="211">
        <v>1.7765826880902225E-2</v>
      </c>
      <c r="Y742" s="232"/>
    </row>
    <row r="743" spans="21:25" x14ac:dyDescent="0.2">
      <c r="U743" s="209" t="str">
        <f t="shared" si="14"/>
        <v>1w</v>
      </c>
      <c r="V743" s="207">
        <f>_xll.qlCalendarAdvance(Calendar,V742,U743,"f",FALSE)</f>
        <v>44040</v>
      </c>
      <c r="W743" s="210">
        <f>_xll.qlCalendarAdvance(Calendar,V743,NDays&amp;"D")</f>
        <v>44040</v>
      </c>
      <c r="X743" s="211">
        <v>1.783122889646549E-2</v>
      </c>
      <c r="Y743" s="232"/>
    </row>
    <row r="744" spans="21:25" x14ac:dyDescent="0.2">
      <c r="U744" s="209" t="str">
        <f t="shared" si="14"/>
        <v>1w</v>
      </c>
      <c r="V744" s="207">
        <f>_xll.qlCalendarAdvance(Calendar,V743,U744,"f",FALSE)</f>
        <v>44047</v>
      </c>
      <c r="W744" s="210">
        <f>_xll.qlCalendarAdvance(Calendar,V744,NDays&amp;"D")</f>
        <v>44047</v>
      </c>
      <c r="X744" s="211">
        <v>1.7896678290929557E-2</v>
      </c>
      <c r="Y744" s="232"/>
    </row>
    <row r="745" spans="21:25" x14ac:dyDescent="0.2">
      <c r="U745" s="209" t="str">
        <f t="shared" si="14"/>
        <v>1w</v>
      </c>
      <c r="V745" s="207">
        <f>_xll.qlCalendarAdvance(Calendar,V744,U745,"f",FALSE)</f>
        <v>44054</v>
      </c>
      <c r="W745" s="210">
        <f>_xll.qlCalendarAdvance(Calendar,V745,NDays&amp;"D")</f>
        <v>44054</v>
      </c>
      <c r="X745" s="211">
        <v>1.7962175064294428E-2</v>
      </c>
      <c r="Y745" s="232"/>
    </row>
    <row r="746" spans="21:25" x14ac:dyDescent="0.2">
      <c r="U746" s="209" t="str">
        <f t="shared" si="14"/>
        <v>1w</v>
      </c>
      <c r="V746" s="207">
        <f>_xll.qlCalendarAdvance(Calendar,V745,U746,"f",FALSE)</f>
        <v>44061</v>
      </c>
      <c r="W746" s="210">
        <f>_xll.qlCalendarAdvance(Calendar,V746,NDays&amp;"D")</f>
        <v>44061</v>
      </c>
      <c r="X746" s="211">
        <v>1.8027719216560101E-2</v>
      </c>
      <c r="Y746" s="232"/>
    </row>
    <row r="747" spans="21:25" x14ac:dyDescent="0.2">
      <c r="U747" s="209" t="str">
        <f t="shared" si="14"/>
        <v>1w</v>
      </c>
      <c r="V747" s="207">
        <f>_xll.qlCalendarAdvance(Calendar,V746,U747,"f",FALSE)</f>
        <v>44068</v>
      </c>
      <c r="W747" s="210">
        <f>_xll.qlCalendarAdvance(Calendar,V747,NDays&amp;"D")</f>
        <v>44068</v>
      </c>
      <c r="X747" s="211">
        <v>1.8093310747806512E-2</v>
      </c>
      <c r="Y747" s="232"/>
    </row>
    <row r="748" spans="21:25" x14ac:dyDescent="0.2">
      <c r="U748" s="209" t="str">
        <f t="shared" si="14"/>
        <v>1w</v>
      </c>
      <c r="V748" s="207">
        <f>_xll.qlCalendarAdvance(Calendar,V747,U748,"f",FALSE)</f>
        <v>44075</v>
      </c>
      <c r="W748" s="210">
        <f>_xll.qlCalendarAdvance(Calendar,V748,NDays&amp;"D")</f>
        <v>44075</v>
      </c>
      <c r="X748" s="211">
        <v>1.8158949658033663E-2</v>
      </c>
      <c r="Y748" s="232"/>
    </row>
    <row r="749" spans="21:25" x14ac:dyDescent="0.2">
      <c r="U749" s="209" t="str">
        <f t="shared" si="14"/>
        <v>1w</v>
      </c>
      <c r="V749" s="207">
        <f>_xll.qlCalendarAdvance(Calendar,V748,U749,"f",FALSE)</f>
        <v>44082</v>
      </c>
      <c r="W749" s="210">
        <f>_xll.qlCalendarAdvance(Calendar,V749,NDays&amp;"D")</f>
        <v>44082</v>
      </c>
      <c r="X749" s="211">
        <v>1.8224635947241552E-2</v>
      </c>
      <c r="Y749" s="232"/>
    </row>
    <row r="750" spans="21:25" x14ac:dyDescent="0.2">
      <c r="U750" s="209" t="str">
        <f t="shared" si="14"/>
        <v>1w</v>
      </c>
      <c r="V750" s="207">
        <f>_xll.qlCalendarAdvance(Calendar,V749,U750,"f",FALSE)</f>
        <v>44089</v>
      </c>
      <c r="W750" s="210">
        <f>_xll.qlCalendarAdvance(Calendar,V750,NDays&amp;"D")</f>
        <v>44089</v>
      </c>
      <c r="X750" s="211">
        <v>1.8290369615510116E-2</v>
      </c>
      <c r="Y750" s="232"/>
    </row>
    <row r="751" spans="21:25" x14ac:dyDescent="0.2">
      <c r="U751" s="209" t="str">
        <f t="shared" si="14"/>
        <v>1w</v>
      </c>
      <c r="V751" s="207">
        <f>_xll.qlCalendarAdvance(Calendar,V750,U751,"f",FALSE)</f>
        <v>44096</v>
      </c>
      <c r="W751" s="210">
        <f>_xll.qlCalendarAdvance(Calendar,V751,NDays&amp;"D")</f>
        <v>44096</v>
      </c>
      <c r="X751" s="211">
        <v>1.8356150662759418E-2</v>
      </c>
      <c r="Y751" s="232"/>
    </row>
    <row r="752" spans="21:25" x14ac:dyDescent="0.2">
      <c r="U752" s="209" t="str">
        <f t="shared" si="14"/>
        <v>1w</v>
      </c>
      <c r="V752" s="207">
        <f>_xll.qlCalendarAdvance(Calendar,V751,U752,"f",FALSE)</f>
        <v>44103</v>
      </c>
      <c r="W752" s="210">
        <f>_xll.qlCalendarAdvance(Calendar,V752,NDays&amp;"D")</f>
        <v>44103</v>
      </c>
      <c r="X752" s="211">
        <v>1.8421979089229268E-2</v>
      </c>
      <c r="Y752" s="232"/>
    </row>
    <row r="753" spans="21:25" x14ac:dyDescent="0.2">
      <c r="U753" s="209" t="str">
        <f t="shared" si="14"/>
        <v>1w</v>
      </c>
      <c r="V753" s="207">
        <f>_xll.qlCalendarAdvance(Calendar,V752,U753,"f",FALSE)</f>
        <v>44110</v>
      </c>
      <c r="W753" s="210">
        <f>_xll.qlCalendarAdvance(Calendar,V753,NDays&amp;"D")</f>
        <v>44110</v>
      </c>
      <c r="X753" s="211">
        <v>1.8487854894679856E-2</v>
      </c>
      <c r="Y753" s="232"/>
    </row>
    <row r="754" spans="21:25" x14ac:dyDescent="0.2">
      <c r="U754" s="209" t="str">
        <f t="shared" si="14"/>
        <v>1w</v>
      </c>
      <c r="V754" s="207">
        <f>_xll.qlCalendarAdvance(Calendar,V753,U754,"f",FALSE)</f>
        <v>44117</v>
      </c>
      <c r="W754" s="210">
        <f>_xll.qlCalendarAdvance(Calendar,V754,NDays&amp;"D")</f>
        <v>44117</v>
      </c>
      <c r="X754" s="211">
        <v>1.8553778079350991E-2</v>
      </c>
      <c r="Y754" s="232"/>
    </row>
    <row r="755" spans="21:25" x14ac:dyDescent="0.2">
      <c r="U755" s="209" t="str">
        <f t="shared" si="14"/>
        <v>1w</v>
      </c>
      <c r="V755" s="207">
        <f>_xll.qlCalendarAdvance(Calendar,V754,U755,"f",FALSE)</f>
        <v>44124</v>
      </c>
      <c r="W755" s="210">
        <f>_xll.qlCalendarAdvance(Calendar,V755,NDays&amp;"D")</f>
        <v>44124</v>
      </c>
      <c r="X755" s="211">
        <v>1.8619748643082801E-2</v>
      </c>
      <c r="Y755" s="232"/>
    </row>
    <row r="756" spans="21:25" x14ac:dyDescent="0.2">
      <c r="U756" s="209" t="str">
        <f t="shared" si="14"/>
        <v>1w</v>
      </c>
      <c r="V756" s="207">
        <f>_xll.qlCalendarAdvance(Calendar,V755,U756,"f",FALSE)</f>
        <v>44131</v>
      </c>
      <c r="W756" s="210">
        <f>_xll.qlCalendarAdvance(Calendar,V756,NDays&amp;"D")</f>
        <v>44131</v>
      </c>
      <c r="X756" s="211">
        <v>1.8685766586115093E-2</v>
      </c>
      <c r="Y756" s="232"/>
    </row>
    <row r="757" spans="21:25" x14ac:dyDescent="0.2">
      <c r="U757" s="209" t="str">
        <f t="shared" si="14"/>
        <v>1w</v>
      </c>
      <c r="V757" s="207">
        <f>_xll.qlCalendarAdvance(Calendar,V756,U757,"f",FALSE)</f>
        <v>44138</v>
      </c>
      <c r="W757" s="210">
        <f>_xll.qlCalendarAdvance(Calendar,V757,NDays&amp;"D")</f>
        <v>44138</v>
      </c>
      <c r="X757" s="211">
        <v>1.8751831908367933E-2</v>
      </c>
      <c r="Y757" s="232"/>
    </row>
    <row r="758" spans="21:25" x14ac:dyDescent="0.2">
      <c r="U758" s="209" t="str">
        <f t="shared" si="14"/>
        <v>1w</v>
      </c>
      <c r="V758" s="207">
        <f>_xll.qlCalendarAdvance(Calendar,V757,U758,"f",FALSE)</f>
        <v>44145</v>
      </c>
      <c r="W758" s="210">
        <f>_xll.qlCalendarAdvance(Calendar,V758,NDays&amp;"D")</f>
        <v>44145</v>
      </c>
      <c r="X758" s="211">
        <v>1.8817944609761383E-2</v>
      </c>
      <c r="Y758" s="232"/>
    </row>
    <row r="759" spans="21:25" x14ac:dyDescent="0.2">
      <c r="U759" s="209" t="str">
        <f t="shared" si="14"/>
        <v>1w</v>
      </c>
      <c r="V759" s="207">
        <f>_xll.qlCalendarAdvance(Calendar,V758,U759,"f",FALSE)</f>
        <v>44152</v>
      </c>
      <c r="W759" s="210">
        <f>_xll.qlCalendarAdvance(Calendar,V759,NDays&amp;"D")</f>
        <v>44152</v>
      </c>
      <c r="X759" s="211">
        <v>1.8884104690455317E-2</v>
      </c>
      <c r="Y759" s="232"/>
    </row>
    <row r="760" spans="21:25" x14ac:dyDescent="0.2">
      <c r="U760" s="209" t="str">
        <f t="shared" si="14"/>
        <v>1w</v>
      </c>
      <c r="V760" s="207">
        <f>_xll.qlCalendarAdvance(Calendar,V759,U760,"f",FALSE)</f>
        <v>44159</v>
      </c>
      <c r="W760" s="210">
        <f>_xll.qlCalendarAdvance(Calendar,V760,NDays&amp;"D")</f>
        <v>44159</v>
      </c>
      <c r="X760" s="211">
        <v>1.8950312150449733E-2</v>
      </c>
      <c r="Y760" s="232"/>
    </row>
    <row r="761" spans="21:25" x14ac:dyDescent="0.2">
      <c r="U761" s="209" t="str">
        <f t="shared" si="14"/>
        <v>1w</v>
      </c>
      <c r="V761" s="207">
        <f>_xll.qlCalendarAdvance(Calendar,V760,U761,"f",FALSE)</f>
        <v>44166</v>
      </c>
      <c r="W761" s="210">
        <f>_xll.qlCalendarAdvance(Calendar,V761,NDays&amp;"D")</f>
        <v>44166</v>
      </c>
      <c r="X761" s="211">
        <v>1.9016566989744632E-2</v>
      </c>
      <c r="Y761" s="232"/>
    </row>
    <row r="762" spans="21:25" x14ac:dyDescent="0.2">
      <c r="U762" s="209" t="str">
        <f t="shared" si="14"/>
        <v>1w</v>
      </c>
      <c r="V762" s="207">
        <f>_xll.qlCalendarAdvance(Calendar,V761,U762,"f",FALSE)</f>
        <v>44173</v>
      </c>
      <c r="W762" s="210">
        <f>_xll.qlCalendarAdvance(Calendar,V762,NDays&amp;"D")</f>
        <v>44173</v>
      </c>
      <c r="X762" s="211">
        <v>1.908286920841995E-2</v>
      </c>
      <c r="Y762" s="232"/>
    </row>
    <row r="763" spans="21:25" x14ac:dyDescent="0.2">
      <c r="U763" s="209" t="str">
        <f t="shared" si="14"/>
        <v>1w</v>
      </c>
      <c r="V763" s="207">
        <f>_xll.qlCalendarAdvance(Calendar,V762,U763,"f",FALSE)</f>
        <v>44180</v>
      </c>
      <c r="W763" s="210">
        <f>_xll.qlCalendarAdvance(Calendar,V763,NDays&amp;"D")</f>
        <v>44180</v>
      </c>
      <c r="X763" s="211">
        <v>1.9149218806475687E-2</v>
      </c>
      <c r="Y763" s="232"/>
    </row>
    <row r="764" spans="21:25" x14ac:dyDescent="0.2">
      <c r="U764" s="209" t="str">
        <f t="shared" si="14"/>
        <v>1w</v>
      </c>
      <c r="V764" s="207">
        <f>_xll.qlCalendarAdvance(Calendar,V763,U764,"f",FALSE)</f>
        <v>44187</v>
      </c>
      <c r="W764" s="210">
        <f>_xll.qlCalendarAdvance(Calendar,V764,NDays&amp;"D")</f>
        <v>44187</v>
      </c>
      <c r="X764" s="211">
        <v>1.9215615783911844E-2</v>
      </c>
      <c r="Y764" s="232"/>
    </row>
    <row r="765" spans="21:25" x14ac:dyDescent="0.2">
      <c r="U765" s="209" t="str">
        <f t="shared" si="14"/>
        <v>1w</v>
      </c>
      <c r="V765" s="207">
        <f>_xll.qlCalendarAdvance(Calendar,V764,U765,"f",FALSE)</f>
        <v>44194</v>
      </c>
      <c r="W765" s="210">
        <f>_xll.qlCalendarAdvance(Calendar,V765,NDays&amp;"D")</f>
        <v>44194</v>
      </c>
      <c r="X765" s="211">
        <v>1.9282060140728419E-2</v>
      </c>
      <c r="Y765" s="232"/>
    </row>
    <row r="766" spans="21:25" x14ac:dyDescent="0.2">
      <c r="U766" s="209" t="str">
        <f t="shared" si="14"/>
        <v>1w</v>
      </c>
      <c r="V766" s="207">
        <f>_xll.qlCalendarAdvance(Calendar,V765,U766,"f",FALSE)</f>
        <v>44201</v>
      </c>
      <c r="W766" s="210">
        <f>_xll.qlCalendarAdvance(Calendar,V766,NDays&amp;"D")</f>
        <v>44201</v>
      </c>
      <c r="X766" s="211">
        <v>1.9348551877005349E-2</v>
      </c>
      <c r="Y766" s="232"/>
    </row>
    <row r="767" spans="21:25" x14ac:dyDescent="0.2">
      <c r="U767" s="209" t="str">
        <f t="shared" si="14"/>
        <v>1w</v>
      </c>
      <c r="V767" s="207">
        <f>_xll.qlCalendarAdvance(Calendar,V766,U767,"f",FALSE)</f>
        <v>44208</v>
      </c>
      <c r="W767" s="210">
        <f>_xll.qlCalendarAdvance(Calendar,V767,NDays&amp;"D")</f>
        <v>44208</v>
      </c>
      <c r="X767" s="211">
        <v>1.941509099282257E-2</v>
      </c>
      <c r="Y767" s="232"/>
    </row>
    <row r="768" spans="21:25" x14ac:dyDescent="0.2">
      <c r="U768" s="209" t="str">
        <f t="shared" si="14"/>
        <v>1w</v>
      </c>
      <c r="V768" s="207">
        <f>_xll.qlCalendarAdvance(Calendar,V767,U768,"f",FALSE)</f>
        <v>44215</v>
      </c>
      <c r="W768" s="210">
        <f>_xll.qlCalendarAdvance(Calendar,V768,NDays&amp;"D")</f>
        <v>44215</v>
      </c>
      <c r="X768" s="211">
        <v>1.948167748802021E-2</v>
      </c>
      <c r="Y768" s="232"/>
    </row>
    <row r="769" spans="21:25" x14ac:dyDescent="0.2">
      <c r="U769" s="209" t="str">
        <f t="shared" si="14"/>
        <v>1w</v>
      </c>
      <c r="V769" s="207">
        <f>_xll.qlCalendarAdvance(Calendar,V768,U769,"f",FALSE)</f>
        <v>44222</v>
      </c>
      <c r="W769" s="210">
        <f>_xll.qlCalendarAdvance(Calendar,V769,NDays&amp;"D")</f>
        <v>44222</v>
      </c>
      <c r="X769" s="211">
        <v>1.9548311362838078E-2</v>
      </c>
      <c r="Y769" s="232"/>
    </row>
    <row r="770" spans="21:25" x14ac:dyDescent="0.2">
      <c r="U770" s="209" t="str">
        <f t="shared" si="14"/>
        <v>1w</v>
      </c>
      <c r="V770" s="207">
        <f>_xll.qlCalendarAdvance(Calendar,V769,U770,"f",FALSE)</f>
        <v>44229</v>
      </c>
      <c r="W770" s="210">
        <f>_xll.qlCalendarAdvance(Calendar,V770,NDays&amp;"D")</f>
        <v>44229</v>
      </c>
      <c r="X770" s="211">
        <v>1.9614992617196236E-2</v>
      </c>
      <c r="Y770" s="232"/>
    </row>
    <row r="771" spans="21:25" x14ac:dyDescent="0.2">
      <c r="U771" s="209" t="str">
        <f t="shared" si="14"/>
        <v>1w</v>
      </c>
      <c r="V771" s="207">
        <f>_xll.qlCalendarAdvance(Calendar,V770,U771,"f",FALSE)</f>
        <v>44236</v>
      </c>
      <c r="W771" s="210">
        <f>_xll.qlCalendarAdvance(Calendar,V771,NDays&amp;"D")</f>
        <v>44236</v>
      </c>
      <c r="X771" s="211">
        <v>1.9681721251094686E-2</v>
      </c>
      <c r="Y771" s="232"/>
    </row>
    <row r="772" spans="21:25" x14ac:dyDescent="0.2">
      <c r="U772" s="209" t="str">
        <f t="shared" si="14"/>
        <v>1w</v>
      </c>
      <c r="V772" s="207">
        <f>_xll.qlCalendarAdvance(Calendar,V771,U772,"f",FALSE)</f>
        <v>44243</v>
      </c>
      <c r="W772" s="210">
        <f>_xll.qlCalendarAdvance(Calendar,V772,NDays&amp;"D")</f>
        <v>44243</v>
      </c>
      <c r="X772" s="211">
        <v>1.9748497264613363E-2</v>
      </c>
      <c r="Y772" s="232"/>
    </row>
    <row r="773" spans="21:25" x14ac:dyDescent="0.2">
      <c r="U773" s="209" t="str">
        <f t="shared" si="14"/>
        <v>1w</v>
      </c>
      <c r="V773" s="207">
        <f>_xll.qlCalendarAdvance(Calendar,V772,U773,"f",FALSE)</f>
        <v>44250</v>
      </c>
      <c r="W773" s="210">
        <f>_xll.qlCalendarAdvance(Calendar,V773,NDays&amp;"D")</f>
        <v>44250</v>
      </c>
      <c r="X773" s="211">
        <v>1.9815320657832203E-2</v>
      </c>
      <c r="Y773" s="232"/>
    </row>
    <row r="774" spans="21:25" x14ac:dyDescent="0.2">
      <c r="U774" s="209" t="str">
        <f t="shared" si="14"/>
        <v>1w</v>
      </c>
      <c r="V774" s="207">
        <f>_xll.qlCalendarAdvance(Calendar,V773,U774,"f",FALSE)</f>
        <v>44257</v>
      </c>
      <c r="W774" s="210">
        <f>_xll.qlCalendarAdvance(Calendar,V774,NDays&amp;"D")</f>
        <v>44257</v>
      </c>
      <c r="X774" s="211">
        <v>1.988219143067127E-2</v>
      </c>
      <c r="Y774" s="232"/>
    </row>
    <row r="775" spans="21:25" x14ac:dyDescent="0.2">
      <c r="U775" s="209" t="str">
        <f t="shared" si="14"/>
        <v>1w</v>
      </c>
      <c r="V775" s="207">
        <f>_xll.qlCalendarAdvance(Calendar,V774,U775,"f",FALSE)</f>
        <v>44264</v>
      </c>
      <c r="W775" s="210">
        <f>_xll.qlCalendarAdvance(Calendar,V775,NDays&amp;"D")</f>
        <v>44264</v>
      </c>
      <c r="X775" s="211">
        <v>1.99491095832105E-2</v>
      </c>
      <c r="Y775" s="232"/>
    </row>
    <row r="776" spans="21:25" x14ac:dyDescent="0.2">
      <c r="U776" s="209" t="str">
        <f t="shared" si="14"/>
        <v>1w</v>
      </c>
      <c r="V776" s="207">
        <f>_xll.qlCalendarAdvance(Calendar,V775,U776,"f",FALSE)</f>
        <v>44271</v>
      </c>
      <c r="W776" s="210">
        <f>_xll.qlCalendarAdvance(Calendar,V776,NDays&amp;"D")</f>
        <v>44271</v>
      </c>
      <c r="X776" s="211">
        <v>2.0016075115369958E-2</v>
      </c>
      <c r="Y776" s="232"/>
    </row>
    <row r="777" spans="21:25" x14ac:dyDescent="0.2">
      <c r="U777" s="209" t="str">
        <f t="shared" si="14"/>
        <v>1w</v>
      </c>
      <c r="V777" s="207">
        <f>_xll.qlCalendarAdvance(Calendar,V776,U777,"f",FALSE)</f>
        <v>44278</v>
      </c>
      <c r="W777" s="210">
        <f>_xll.qlCalendarAdvance(Calendar,V777,NDays&amp;"D")</f>
        <v>44278</v>
      </c>
      <c r="X777" s="211">
        <v>2.0083088027389451E-2</v>
      </c>
      <c r="Y777" s="232"/>
    </row>
    <row r="778" spans="21:25" x14ac:dyDescent="0.2">
      <c r="U778" s="209" t="str">
        <f t="shared" si="14"/>
        <v>1w</v>
      </c>
      <c r="V778" s="207">
        <f>_xll.qlCalendarAdvance(Calendar,V777,U778,"f",FALSE)</f>
        <v>44285</v>
      </c>
      <c r="W778" s="210">
        <f>_xll.qlCalendarAdvance(Calendar,V778,NDays&amp;"D")</f>
        <v>44285</v>
      </c>
      <c r="X778" s="211">
        <v>2.0150148319029171E-2</v>
      </c>
      <c r="Y778" s="232"/>
    </row>
    <row r="779" spans="21:25" x14ac:dyDescent="0.2">
      <c r="U779" s="209" t="str">
        <f t="shared" si="14"/>
        <v>1w</v>
      </c>
      <c r="V779" s="207">
        <f>_xll.qlCalendarAdvance(Calendar,V778,U779,"f",FALSE)</f>
        <v>44292</v>
      </c>
      <c r="W779" s="210">
        <f>_xll.qlCalendarAdvance(Calendar,V779,NDays&amp;"D")</f>
        <v>44292</v>
      </c>
      <c r="X779" s="211">
        <v>2.0217255990608862E-2</v>
      </c>
      <c r="Y779" s="232"/>
    </row>
    <row r="780" spans="21:25" x14ac:dyDescent="0.2">
      <c r="U780" s="209" t="str">
        <f t="shared" si="14"/>
        <v>1w</v>
      </c>
      <c r="V780" s="207">
        <f>_xll.qlCalendarAdvance(Calendar,V779,U780,"f",FALSE)</f>
        <v>44299</v>
      </c>
      <c r="W780" s="210">
        <f>_xll.qlCalendarAdvance(Calendar,V780,NDays&amp;"D")</f>
        <v>44299</v>
      </c>
      <c r="X780" s="211">
        <v>2.0284411041888717E-2</v>
      </c>
      <c r="Y780" s="232"/>
    </row>
    <row r="781" spans="21:25" x14ac:dyDescent="0.2">
      <c r="U781" s="209" t="str">
        <f t="shared" ref="U781:U844" si="15">U780</f>
        <v>1w</v>
      </c>
      <c r="V781" s="207">
        <f>_xll.qlCalendarAdvance(Calendar,V780,U781,"f",FALSE)</f>
        <v>44306</v>
      </c>
      <c r="W781" s="210">
        <f>_xll.qlCalendarAdvance(Calendar,V781,NDays&amp;"D")</f>
        <v>44306</v>
      </c>
      <c r="X781" s="211">
        <v>2.0351613473108543E-2</v>
      </c>
      <c r="Y781" s="232"/>
    </row>
    <row r="782" spans="21:25" x14ac:dyDescent="0.2">
      <c r="U782" s="209" t="str">
        <f t="shared" si="15"/>
        <v>1w</v>
      </c>
      <c r="V782" s="207">
        <f>_xll.qlCalendarAdvance(Calendar,V781,U782,"f",FALSE)</f>
        <v>44313</v>
      </c>
      <c r="W782" s="210">
        <f>_xll.qlCalendarAdvance(Calendar,V782,NDays&amp;"D")</f>
        <v>44313</v>
      </c>
      <c r="X782" s="211">
        <v>2.0418863284188404E-2</v>
      </c>
      <c r="Y782" s="232"/>
    </row>
    <row r="783" spans="21:25" x14ac:dyDescent="0.2">
      <c r="U783" s="209" t="str">
        <f t="shared" si="15"/>
        <v>1w</v>
      </c>
      <c r="V783" s="207">
        <f>_xll.qlCalendarAdvance(Calendar,V782,U783,"f",FALSE)</f>
        <v>44320</v>
      </c>
      <c r="W783" s="210">
        <f>_xll.qlCalendarAdvance(Calendar,V783,NDays&amp;"D")</f>
        <v>44320</v>
      </c>
      <c r="X783" s="211">
        <v>2.0486160475128301E-2</v>
      </c>
      <c r="Y783" s="232"/>
    </row>
    <row r="784" spans="21:25" x14ac:dyDescent="0.2">
      <c r="U784" s="209" t="str">
        <f t="shared" si="15"/>
        <v>1w</v>
      </c>
      <c r="V784" s="207">
        <f>_xll.qlCalendarAdvance(Calendar,V783,U784,"f",FALSE)</f>
        <v>44327</v>
      </c>
      <c r="W784" s="210">
        <f>_xll.qlCalendarAdvance(Calendar,V784,NDays&amp;"D")</f>
        <v>44327</v>
      </c>
      <c r="X784" s="211">
        <v>2.0553505046008169E-2</v>
      </c>
      <c r="Y784" s="232"/>
    </row>
    <row r="785" spans="21:25" x14ac:dyDescent="0.2">
      <c r="U785" s="209" t="str">
        <f t="shared" si="15"/>
        <v>1w</v>
      </c>
      <c r="V785" s="207">
        <f>_xll.qlCalendarAdvance(Calendar,V784,U785,"f",FALSE)</f>
        <v>44334</v>
      </c>
      <c r="W785" s="210">
        <f>_xll.qlCalendarAdvance(Calendar,V785,NDays&amp;"D")</f>
        <v>44334</v>
      </c>
      <c r="X785" s="211">
        <v>2.0620896996828009E-2</v>
      </c>
      <c r="Y785" s="232"/>
    </row>
    <row r="786" spans="21:25" x14ac:dyDescent="0.2">
      <c r="U786" s="209" t="str">
        <f t="shared" si="15"/>
        <v>1w</v>
      </c>
      <c r="V786" s="207">
        <f>_xll.qlCalendarAdvance(Calendar,V785,U786,"f",FALSE)</f>
        <v>44341</v>
      </c>
      <c r="W786" s="210">
        <f>_xll.qlCalendarAdvance(Calendar,V786,NDays&amp;"D")</f>
        <v>44341</v>
      </c>
      <c r="X786" s="211">
        <v>2.0688336327667756E-2</v>
      </c>
      <c r="Y786" s="232"/>
    </row>
    <row r="787" spans="21:25" x14ac:dyDescent="0.2">
      <c r="U787" s="209" t="str">
        <f t="shared" si="15"/>
        <v>1w</v>
      </c>
      <c r="V787" s="207">
        <f>_xll.qlCalendarAdvance(Calendar,V786,U787,"f",FALSE)</f>
        <v>44348</v>
      </c>
      <c r="W787" s="210">
        <f>_xll.qlCalendarAdvance(Calendar,V787,NDays&amp;"D")</f>
        <v>44348</v>
      </c>
      <c r="X787" s="211">
        <v>2.0755823038367538E-2</v>
      </c>
      <c r="Y787" s="232"/>
    </row>
    <row r="788" spans="21:25" x14ac:dyDescent="0.2">
      <c r="U788" s="209" t="str">
        <f t="shared" si="15"/>
        <v>1w</v>
      </c>
      <c r="V788" s="207">
        <f>_xll.qlCalendarAdvance(Calendar,V787,U788,"f",FALSE)</f>
        <v>44355</v>
      </c>
      <c r="W788" s="210">
        <f>_xll.qlCalendarAdvance(Calendar,V788,NDays&amp;"D")</f>
        <v>44355</v>
      </c>
      <c r="X788" s="211">
        <v>2.0823107833463084E-2</v>
      </c>
      <c r="Y788" s="232"/>
    </row>
    <row r="789" spans="21:25" x14ac:dyDescent="0.2">
      <c r="U789" s="209" t="str">
        <f t="shared" si="15"/>
        <v>1w</v>
      </c>
      <c r="V789" s="207">
        <f>_xll.qlCalendarAdvance(Calendar,V788,U789,"f",FALSE)</f>
        <v>44362</v>
      </c>
      <c r="W789" s="210">
        <f>_xll.qlCalendarAdvance(Calendar,V789,NDays&amp;"D")</f>
        <v>44362</v>
      </c>
      <c r="X789" s="211">
        <v>2.0889864861288743E-2</v>
      </c>
      <c r="Y789" s="232"/>
    </row>
    <row r="790" spans="21:25" x14ac:dyDescent="0.2">
      <c r="U790" s="209" t="str">
        <f t="shared" si="15"/>
        <v>1w</v>
      </c>
      <c r="V790" s="207">
        <f>_xll.qlCalendarAdvance(Calendar,V789,U790,"f",FALSE)</f>
        <v>44369</v>
      </c>
      <c r="W790" s="210">
        <f>_xll.qlCalendarAdvance(Calendar,V790,NDays&amp;"D")</f>
        <v>44369</v>
      </c>
      <c r="X790" s="211">
        <v>2.0956092158614936E-2</v>
      </c>
      <c r="Y790" s="232"/>
    </row>
    <row r="791" spans="21:25" x14ac:dyDescent="0.2">
      <c r="U791" s="209" t="str">
        <f t="shared" si="15"/>
        <v>1w</v>
      </c>
      <c r="V791" s="207">
        <f>_xll.qlCalendarAdvance(Calendar,V790,U791,"f",FALSE)</f>
        <v>44376</v>
      </c>
      <c r="W791" s="210">
        <f>_xll.qlCalendarAdvance(Calendar,V791,NDays&amp;"D")</f>
        <v>44376</v>
      </c>
      <c r="X791" s="211">
        <v>2.1021789725201856E-2</v>
      </c>
      <c r="Y791" s="232"/>
    </row>
    <row r="792" spans="21:25" x14ac:dyDescent="0.2">
      <c r="U792" s="209" t="str">
        <f t="shared" si="15"/>
        <v>1w</v>
      </c>
      <c r="V792" s="207">
        <f>_xll.qlCalendarAdvance(Calendar,V791,U792,"f",FALSE)</f>
        <v>44383</v>
      </c>
      <c r="W792" s="210">
        <f>_xll.qlCalendarAdvance(Calendar,V792,NDays&amp;"D")</f>
        <v>44383</v>
      </c>
      <c r="X792" s="211">
        <v>2.1086957560729758E-2</v>
      </c>
      <c r="Y792" s="232"/>
    </row>
    <row r="793" spans="21:25" x14ac:dyDescent="0.2">
      <c r="U793" s="209" t="str">
        <f t="shared" si="15"/>
        <v>1w</v>
      </c>
      <c r="V793" s="207">
        <f>_xll.qlCalendarAdvance(Calendar,V792,U793,"f",FALSE)</f>
        <v>44390</v>
      </c>
      <c r="W793" s="210">
        <f>_xll.qlCalendarAdvance(Calendar,V793,NDays&amp;"D")</f>
        <v>44390</v>
      </c>
      <c r="X793" s="211">
        <v>2.1151595664958833E-2</v>
      </c>
      <c r="Y793" s="232"/>
    </row>
    <row r="794" spans="21:25" x14ac:dyDescent="0.2">
      <c r="U794" s="209" t="str">
        <f t="shared" si="15"/>
        <v>1w</v>
      </c>
      <c r="V794" s="207">
        <f>_xll.qlCalendarAdvance(Calendar,V793,U794,"f",FALSE)</f>
        <v>44397</v>
      </c>
      <c r="W794" s="210">
        <f>_xll.qlCalendarAdvance(Calendar,V794,NDays&amp;"D")</f>
        <v>44397</v>
      </c>
      <c r="X794" s="211">
        <v>2.1215704037649274E-2</v>
      </c>
      <c r="Y794" s="232"/>
    </row>
    <row r="795" spans="21:25" x14ac:dyDescent="0.2">
      <c r="U795" s="209" t="str">
        <f t="shared" si="15"/>
        <v>1w</v>
      </c>
      <c r="V795" s="207">
        <f>_xll.qlCalendarAdvance(Calendar,V794,U795,"f",FALSE)</f>
        <v>44404</v>
      </c>
      <c r="W795" s="210">
        <f>_xll.qlCalendarAdvance(Calendar,V795,NDays&amp;"D")</f>
        <v>44404</v>
      </c>
      <c r="X795" s="211">
        <v>2.1279282678401401E-2</v>
      </c>
      <c r="Y795" s="232"/>
    </row>
    <row r="796" spans="21:25" x14ac:dyDescent="0.2">
      <c r="U796" s="209" t="str">
        <f t="shared" si="15"/>
        <v>1w</v>
      </c>
      <c r="V796" s="207">
        <f>_xll.qlCalendarAdvance(Calendar,V795,U796,"f",FALSE)</f>
        <v>44411</v>
      </c>
      <c r="W796" s="210">
        <f>_xll.qlCalendarAdvance(Calendar,V796,NDays&amp;"D")</f>
        <v>44411</v>
      </c>
      <c r="X796" s="211">
        <v>2.1342331586975405E-2</v>
      </c>
      <c r="Y796" s="232"/>
    </row>
    <row r="797" spans="21:25" x14ac:dyDescent="0.2">
      <c r="U797" s="209" t="str">
        <f t="shared" si="15"/>
        <v>1w</v>
      </c>
      <c r="V797" s="207">
        <f>_xll.qlCalendarAdvance(Calendar,V796,U797,"f",FALSE)</f>
        <v>44418</v>
      </c>
      <c r="W797" s="210">
        <f>_xll.qlCalendarAdvance(Calendar,V797,NDays&amp;"D")</f>
        <v>44418</v>
      </c>
      <c r="X797" s="211">
        <v>2.1404850763131478E-2</v>
      </c>
      <c r="Y797" s="232"/>
    </row>
    <row r="798" spans="21:25" x14ac:dyDescent="0.2">
      <c r="U798" s="209" t="str">
        <f t="shared" si="15"/>
        <v>1w</v>
      </c>
      <c r="V798" s="207">
        <f>_xll.qlCalendarAdvance(Calendar,V797,U798,"f",FALSE)</f>
        <v>44425</v>
      </c>
      <c r="W798" s="210">
        <f>_xll.qlCalendarAdvance(Calendar,V798,NDays&amp;"D")</f>
        <v>44425</v>
      </c>
      <c r="X798" s="211">
        <v>2.1466840206469939E-2</v>
      </c>
      <c r="Y798" s="232"/>
    </row>
    <row r="799" spans="21:25" x14ac:dyDescent="0.2">
      <c r="U799" s="209" t="str">
        <f t="shared" si="15"/>
        <v>1w</v>
      </c>
      <c r="V799" s="207">
        <f>_xll.qlCalendarAdvance(Calendar,V798,U799,"f",FALSE)</f>
        <v>44432</v>
      </c>
      <c r="W799" s="210">
        <f>_xll.qlCalendarAdvance(Calendar,V799,NDays&amp;"D")</f>
        <v>44432</v>
      </c>
      <c r="X799" s="211">
        <v>2.1528299916830917E-2</v>
      </c>
      <c r="Y799" s="232"/>
    </row>
    <row r="800" spans="21:25" x14ac:dyDescent="0.2">
      <c r="U800" s="209" t="str">
        <f t="shared" si="15"/>
        <v>1w</v>
      </c>
      <c r="V800" s="207">
        <f>_xll.qlCalendarAdvance(Calendar,V799,U800,"f",FALSE)</f>
        <v>44439</v>
      </c>
      <c r="W800" s="210">
        <f>_xll.qlCalendarAdvance(Calendar,V800,NDays&amp;"D")</f>
        <v>44439</v>
      </c>
      <c r="X800" s="211">
        <v>2.158922989405454E-2</v>
      </c>
      <c r="Y800" s="232"/>
    </row>
    <row r="801" spans="21:25" x14ac:dyDescent="0.2">
      <c r="U801" s="209" t="str">
        <f t="shared" si="15"/>
        <v>1w</v>
      </c>
      <c r="V801" s="207">
        <f>_xll.qlCalendarAdvance(Calendar,V800,U801,"f",FALSE)</f>
        <v>44446</v>
      </c>
      <c r="W801" s="210">
        <f>_xll.qlCalendarAdvance(Calendar,V801,NDays&amp;"D")</f>
        <v>44446</v>
      </c>
      <c r="X801" s="211">
        <v>2.1649630137581255E-2</v>
      </c>
      <c r="Y801" s="232"/>
    </row>
    <row r="802" spans="21:25" x14ac:dyDescent="0.2">
      <c r="U802" s="209" t="str">
        <f t="shared" si="15"/>
        <v>1w</v>
      </c>
      <c r="V802" s="207">
        <f>_xll.qlCalendarAdvance(Calendar,V801,U802,"f",FALSE)</f>
        <v>44453</v>
      </c>
      <c r="W802" s="210">
        <f>_xll.qlCalendarAdvance(Calendar,V802,NDays&amp;"D")</f>
        <v>44453</v>
      </c>
      <c r="X802" s="211">
        <v>2.1709500647331126E-2</v>
      </c>
      <c r="Y802" s="232"/>
    </row>
    <row r="803" spans="21:25" x14ac:dyDescent="0.2">
      <c r="U803" s="209" t="str">
        <f t="shared" si="15"/>
        <v>1w</v>
      </c>
      <c r="V803" s="207">
        <f>_xll.qlCalendarAdvance(Calendar,V802,U803,"f",FALSE)</f>
        <v>44460</v>
      </c>
      <c r="W803" s="210">
        <f>_xll.qlCalendarAdvance(Calendar,V803,NDays&amp;"D")</f>
        <v>44460</v>
      </c>
      <c r="X803" s="211">
        <v>2.1768841423064345E-2</v>
      </c>
      <c r="Y803" s="232"/>
    </row>
    <row r="804" spans="21:25" x14ac:dyDescent="0.2">
      <c r="U804" s="209" t="str">
        <f t="shared" si="15"/>
        <v>1w</v>
      </c>
      <c r="V804" s="207">
        <f>_xll.qlCalendarAdvance(Calendar,V803,U804,"f",FALSE)</f>
        <v>44467</v>
      </c>
      <c r="W804" s="210">
        <f>_xll.qlCalendarAdvance(Calendar,V804,NDays&amp;"D")</f>
        <v>44467</v>
      </c>
      <c r="X804" s="211">
        <v>2.1827652464461167E-2</v>
      </c>
      <c r="Y804" s="232"/>
    </row>
    <row r="805" spans="21:25" x14ac:dyDescent="0.2">
      <c r="U805" s="209" t="str">
        <f t="shared" si="15"/>
        <v>1w</v>
      </c>
      <c r="V805" s="207">
        <f>_xll.qlCalendarAdvance(Calendar,V804,U805,"f",FALSE)</f>
        <v>44474</v>
      </c>
      <c r="W805" s="210">
        <f>_xll.qlCalendarAdvance(Calendar,V805,NDays&amp;"D")</f>
        <v>44474</v>
      </c>
      <c r="X805" s="211">
        <v>2.1885933771201849E-2</v>
      </c>
      <c r="Y805" s="232"/>
    </row>
    <row r="806" spans="21:25" x14ac:dyDescent="0.2">
      <c r="U806" s="209" t="str">
        <f t="shared" si="15"/>
        <v>1w</v>
      </c>
      <c r="V806" s="207">
        <f>_xll.qlCalendarAdvance(Calendar,V805,U806,"f",FALSE)</f>
        <v>44481</v>
      </c>
      <c r="W806" s="210">
        <f>_xll.qlCalendarAdvance(Calendar,V806,NDays&amp;"D")</f>
        <v>44481</v>
      </c>
      <c r="X806" s="211">
        <v>2.1943685343126518E-2</v>
      </c>
      <c r="Y806" s="232"/>
    </row>
    <row r="807" spans="21:25" x14ac:dyDescent="0.2">
      <c r="U807" s="209" t="str">
        <f t="shared" si="15"/>
        <v>1w</v>
      </c>
      <c r="V807" s="207">
        <f>_xll.qlCalendarAdvance(Calendar,V806,U807,"f",FALSE)</f>
        <v>44488</v>
      </c>
      <c r="W807" s="210">
        <f>_xll.qlCalendarAdvance(Calendar,V807,NDays&amp;"D")</f>
        <v>44488</v>
      </c>
      <c r="X807" s="211">
        <v>2.200090717991543E-2</v>
      </c>
      <c r="Y807" s="232"/>
    </row>
    <row r="808" spans="21:25" x14ac:dyDescent="0.2">
      <c r="U808" s="209" t="str">
        <f t="shared" si="15"/>
        <v>1w</v>
      </c>
      <c r="V808" s="207">
        <f>_xll.qlCalendarAdvance(Calendar,V807,U808,"f",FALSE)</f>
        <v>44495</v>
      </c>
      <c r="W808" s="210">
        <f>_xll.qlCalendarAdvance(Calendar,V808,NDays&amp;"D")</f>
        <v>44495</v>
      </c>
      <c r="X808" s="211">
        <v>2.2057599281408713E-2</v>
      </c>
      <c r="Y808" s="232"/>
    </row>
    <row r="809" spans="21:25" x14ac:dyDescent="0.2">
      <c r="U809" s="209" t="str">
        <f t="shared" si="15"/>
        <v>1w</v>
      </c>
      <c r="V809" s="207">
        <f>_xll.qlCalendarAdvance(Calendar,V808,U809,"f",FALSE)</f>
        <v>44502</v>
      </c>
      <c r="W809" s="210">
        <f>_xll.qlCalendarAdvance(Calendar,V809,NDays&amp;"D")</f>
        <v>44502</v>
      </c>
      <c r="X809" s="211">
        <v>2.2113761647206687E-2</v>
      </c>
      <c r="Y809" s="232"/>
    </row>
    <row r="810" spans="21:25" x14ac:dyDescent="0.2">
      <c r="U810" s="209" t="str">
        <f t="shared" si="15"/>
        <v>1w</v>
      </c>
      <c r="V810" s="207">
        <f>_xll.qlCalendarAdvance(Calendar,V809,U810,"f",FALSE)</f>
        <v>44509</v>
      </c>
      <c r="W810" s="210">
        <f>_xll.qlCalendarAdvance(Calendar,V810,NDays&amp;"D")</f>
        <v>44509</v>
      </c>
      <c r="X810" s="211">
        <v>2.2169394277229415E-2</v>
      </c>
      <c r="Y810" s="232"/>
    </row>
    <row r="811" spans="21:25" x14ac:dyDescent="0.2">
      <c r="U811" s="209" t="str">
        <f t="shared" si="15"/>
        <v>1w</v>
      </c>
      <c r="V811" s="207">
        <f>_xll.qlCalendarAdvance(Calendar,V810,U811,"f",FALSE)</f>
        <v>44516</v>
      </c>
      <c r="W811" s="210">
        <f>_xll.qlCalendarAdvance(Calendar,V811,NDays&amp;"D")</f>
        <v>44516</v>
      </c>
      <c r="X811" s="211">
        <v>2.2224497171077218E-2</v>
      </c>
      <c r="Y811" s="232"/>
    </row>
    <row r="812" spans="21:25" x14ac:dyDescent="0.2">
      <c r="U812" s="209" t="str">
        <f t="shared" si="15"/>
        <v>1w</v>
      </c>
      <c r="V812" s="207">
        <f>_xll.qlCalendarAdvance(Calendar,V811,U812,"f",FALSE)</f>
        <v>44523</v>
      </c>
      <c r="W812" s="210">
        <f>_xll.qlCalendarAdvance(Calendar,V812,NDays&amp;"D")</f>
        <v>44523</v>
      </c>
      <c r="X812" s="211">
        <v>2.2279070328670159E-2</v>
      </c>
      <c r="Y812" s="232"/>
    </row>
    <row r="813" spans="21:25" x14ac:dyDescent="0.2">
      <c r="U813" s="209" t="str">
        <f t="shared" si="15"/>
        <v>1w</v>
      </c>
      <c r="V813" s="207">
        <f>_xll.qlCalendarAdvance(Calendar,V812,U813,"f",FALSE)</f>
        <v>44530</v>
      </c>
      <c r="W813" s="210">
        <f>_xll.qlCalendarAdvance(Calendar,V813,NDays&amp;"D")</f>
        <v>44530</v>
      </c>
      <c r="X813" s="211">
        <v>2.2333113749608557E-2</v>
      </c>
      <c r="Y813" s="232"/>
    </row>
    <row r="814" spans="21:25" x14ac:dyDescent="0.2">
      <c r="U814" s="209" t="str">
        <f t="shared" si="15"/>
        <v>1w</v>
      </c>
      <c r="V814" s="207">
        <f>_xll.qlCalendarAdvance(Calendar,V813,U814,"f",FALSE)</f>
        <v>44537</v>
      </c>
      <c r="W814" s="210">
        <f>_xll.qlCalendarAdvance(Calendar,V814,NDays&amp;"D")</f>
        <v>44537</v>
      </c>
      <c r="X814" s="211">
        <v>2.2386627433732542E-2</v>
      </c>
      <c r="Y814" s="232"/>
    </row>
    <row r="815" spans="21:25" x14ac:dyDescent="0.2">
      <c r="U815" s="209" t="str">
        <f t="shared" si="15"/>
        <v>1w</v>
      </c>
      <c r="V815" s="207">
        <f>_xll.qlCalendarAdvance(Calendar,V814,U815,"f",FALSE)</f>
        <v>44544</v>
      </c>
      <c r="W815" s="210">
        <f>_xll.qlCalendarAdvance(Calendar,V815,NDays&amp;"D")</f>
        <v>44544</v>
      </c>
      <c r="X815" s="211">
        <v>2.2439611380882241E-2</v>
      </c>
      <c r="Y815" s="232"/>
    </row>
    <row r="816" spans="21:25" x14ac:dyDescent="0.2">
      <c r="U816" s="209" t="str">
        <f t="shared" si="15"/>
        <v>1w</v>
      </c>
      <c r="V816" s="207">
        <f>_xll.qlCalendarAdvance(Calendar,V815,U816,"f",FALSE)</f>
        <v>44551</v>
      </c>
      <c r="W816" s="210">
        <f>_xll.qlCalendarAdvance(Calendar,V816,NDays&amp;"D")</f>
        <v>44551</v>
      </c>
      <c r="X816" s="211">
        <v>2.2492065590578036E-2</v>
      </c>
      <c r="Y816" s="232"/>
    </row>
    <row r="817" spans="21:25" x14ac:dyDescent="0.2">
      <c r="U817" s="209" t="str">
        <f t="shared" si="15"/>
        <v>1w</v>
      </c>
      <c r="V817" s="207">
        <f>_xll.qlCalendarAdvance(Calendar,V816,U817,"f",FALSE)</f>
        <v>44558</v>
      </c>
      <c r="W817" s="210">
        <f>_xll.qlCalendarAdvance(Calendar,V817,NDays&amp;"D")</f>
        <v>44558</v>
      </c>
      <c r="X817" s="211">
        <v>2.2543990062899866E-2</v>
      </c>
      <c r="Y817" s="232"/>
    </row>
    <row r="818" spans="21:25" x14ac:dyDescent="0.2">
      <c r="U818" s="209" t="str">
        <f t="shared" si="15"/>
        <v>1w</v>
      </c>
      <c r="V818" s="207">
        <f>_xll.qlCalendarAdvance(Calendar,V817,U818,"f",FALSE)</f>
        <v>44565</v>
      </c>
      <c r="W818" s="210">
        <f>_xll.qlCalendarAdvance(Calendar,V818,NDays&amp;"D")</f>
        <v>44565</v>
      </c>
      <c r="X818" s="211">
        <v>2.2595384797368112E-2</v>
      </c>
      <c r="Y818" s="232"/>
    </row>
    <row r="819" spans="21:25" x14ac:dyDescent="0.2">
      <c r="U819" s="209" t="str">
        <f t="shared" si="15"/>
        <v>1w</v>
      </c>
      <c r="V819" s="207">
        <f>_xll.qlCalendarAdvance(Calendar,V818,U819,"f",FALSE)</f>
        <v>44572</v>
      </c>
      <c r="W819" s="210">
        <f>_xll.qlCalendarAdvance(Calendar,V819,NDays&amp;"D")</f>
        <v>44572</v>
      </c>
      <c r="X819" s="211">
        <v>2.264624979390284E-2</v>
      </c>
      <c r="Y819" s="232"/>
    </row>
    <row r="820" spans="21:25" x14ac:dyDescent="0.2">
      <c r="U820" s="209" t="str">
        <f t="shared" si="15"/>
        <v>1w</v>
      </c>
      <c r="V820" s="207">
        <f>_xll.qlCalendarAdvance(Calendar,V819,U820,"f",FALSE)</f>
        <v>44579</v>
      </c>
      <c r="W820" s="210">
        <f>_xll.qlCalendarAdvance(Calendar,V820,NDays&amp;"D")</f>
        <v>44579</v>
      </c>
      <c r="X820" s="211">
        <v>2.2696585052184304E-2</v>
      </c>
      <c r="Y820" s="232"/>
    </row>
    <row r="821" spans="21:25" x14ac:dyDescent="0.2">
      <c r="U821" s="209" t="str">
        <f t="shared" si="15"/>
        <v>1w</v>
      </c>
      <c r="V821" s="207">
        <f>_xll.qlCalendarAdvance(Calendar,V820,U821,"f",FALSE)</f>
        <v>44586</v>
      </c>
      <c r="W821" s="210">
        <f>_xll.qlCalendarAdvance(Calendar,V821,NDays&amp;"D")</f>
        <v>44586</v>
      </c>
      <c r="X821" s="211">
        <v>2.2746390572052633E-2</v>
      </c>
      <c r="Y821" s="232"/>
    </row>
    <row r="822" spans="21:25" x14ac:dyDescent="0.2">
      <c r="U822" s="209" t="str">
        <f t="shared" si="15"/>
        <v>1w</v>
      </c>
      <c r="V822" s="207">
        <f>_xll.qlCalendarAdvance(Calendar,V821,U822,"f",FALSE)</f>
        <v>44593</v>
      </c>
      <c r="W822" s="210">
        <f>_xll.qlCalendarAdvance(Calendar,V822,NDays&amp;"D")</f>
        <v>44593</v>
      </c>
      <c r="X822" s="211">
        <v>2.2795666353347954E-2</v>
      </c>
      <c r="Y822" s="232"/>
    </row>
    <row r="823" spans="21:25" x14ac:dyDescent="0.2">
      <c r="U823" s="209" t="str">
        <f t="shared" si="15"/>
        <v>1w</v>
      </c>
      <c r="V823" s="207">
        <f>_xll.qlCalendarAdvance(Calendar,V822,U823,"f",FALSE)</f>
        <v>44600</v>
      </c>
      <c r="W823" s="210">
        <f>_xll.qlCalendarAdvance(Calendar,V823,NDays&amp;"D")</f>
        <v>44600</v>
      </c>
      <c r="X823" s="211">
        <v>2.2844412395670588E-2</v>
      </c>
      <c r="Y823" s="232"/>
    </row>
    <row r="824" spans="21:25" x14ac:dyDescent="0.2">
      <c r="U824" s="209" t="str">
        <f t="shared" si="15"/>
        <v>1w</v>
      </c>
      <c r="V824" s="207">
        <f>_xll.qlCalendarAdvance(Calendar,V823,U824,"f",FALSE)</f>
        <v>44607</v>
      </c>
      <c r="W824" s="210">
        <f>_xll.qlCalendarAdvance(Calendar,V824,NDays&amp;"D")</f>
        <v>44607</v>
      </c>
      <c r="X824" s="211">
        <v>2.2892628698940598E-2</v>
      </c>
      <c r="Y824" s="232"/>
    </row>
    <row r="825" spans="21:25" x14ac:dyDescent="0.2">
      <c r="U825" s="209" t="str">
        <f t="shared" si="15"/>
        <v>1w</v>
      </c>
      <c r="V825" s="207">
        <f>_xll.qlCalendarAdvance(Calendar,V824,U825,"f",FALSE)</f>
        <v>44614</v>
      </c>
      <c r="W825" s="210">
        <f>_xll.qlCalendarAdvance(Calendar,V825,NDays&amp;"D")</f>
        <v>44614</v>
      </c>
      <c r="X825" s="211">
        <v>2.2940315262918176E-2</v>
      </c>
      <c r="Y825" s="232"/>
    </row>
    <row r="826" spans="21:25" x14ac:dyDescent="0.2">
      <c r="U826" s="209" t="str">
        <f t="shared" si="15"/>
        <v>1w</v>
      </c>
      <c r="V826" s="207">
        <f>_xll.qlCalendarAdvance(Calendar,V825,U826,"f",FALSE)</f>
        <v>44621</v>
      </c>
      <c r="W826" s="210">
        <f>_xll.qlCalendarAdvance(Calendar,V826,NDays&amp;"D")</f>
        <v>44621</v>
      </c>
      <c r="X826" s="211">
        <v>2.298747208744345E-2</v>
      </c>
      <c r="Y826" s="232"/>
    </row>
    <row r="827" spans="21:25" x14ac:dyDescent="0.2">
      <c r="U827" s="209" t="str">
        <f t="shared" si="15"/>
        <v>1w</v>
      </c>
      <c r="V827" s="207">
        <f>_xll.qlCalendarAdvance(Calendar,V826,U827,"f",FALSE)</f>
        <v>44628</v>
      </c>
      <c r="W827" s="210">
        <f>_xll.qlCalendarAdvance(Calendar,V827,NDays&amp;"D")</f>
        <v>44628</v>
      </c>
      <c r="X827" s="211">
        <v>2.3034099172196676E-2</v>
      </c>
      <c r="Y827" s="232"/>
    </row>
    <row r="828" spans="21:25" x14ac:dyDescent="0.2">
      <c r="U828" s="209" t="str">
        <f t="shared" si="15"/>
        <v>1w</v>
      </c>
      <c r="V828" s="207">
        <f>_xll.qlCalendarAdvance(Calendar,V827,U828,"f",FALSE)</f>
        <v>44635</v>
      </c>
      <c r="W828" s="210">
        <f>_xll.qlCalendarAdvance(Calendar,V828,NDays&amp;"D")</f>
        <v>44635</v>
      </c>
      <c r="X828" s="211">
        <v>2.3080196517017981E-2</v>
      </c>
      <c r="Y828" s="232"/>
    </row>
    <row r="829" spans="21:25" x14ac:dyDescent="0.2">
      <c r="U829" s="209" t="str">
        <f t="shared" si="15"/>
        <v>1w</v>
      </c>
      <c r="V829" s="207">
        <f>_xll.qlCalendarAdvance(Calendar,V828,U829,"f",FALSE)</f>
        <v>44642</v>
      </c>
      <c r="W829" s="210">
        <f>_xll.qlCalendarAdvance(Calendar,V829,NDays&amp;"D")</f>
        <v>44642</v>
      </c>
      <c r="X829" s="211">
        <v>2.3125764121747494E-2</v>
      </c>
      <c r="Y829" s="232"/>
    </row>
    <row r="830" spans="21:25" x14ac:dyDescent="0.2">
      <c r="U830" s="209" t="str">
        <f t="shared" si="15"/>
        <v>1w</v>
      </c>
      <c r="V830" s="207">
        <f>_xll.qlCalendarAdvance(Calendar,V829,U830,"f",FALSE)</f>
        <v>44649</v>
      </c>
      <c r="W830" s="210">
        <f>_xll.qlCalendarAdvance(Calendar,V830,NDays&amp;"D")</f>
        <v>44649</v>
      </c>
      <c r="X830" s="211">
        <v>2.3170801986145406E-2</v>
      </c>
      <c r="Y830" s="232"/>
    </row>
    <row r="831" spans="21:25" x14ac:dyDescent="0.2">
      <c r="U831" s="209" t="str">
        <f t="shared" si="15"/>
        <v>1w</v>
      </c>
      <c r="V831" s="207">
        <f>_xll.qlCalendarAdvance(Calendar,V830,U831,"f",FALSE)</f>
        <v>44656</v>
      </c>
      <c r="W831" s="210">
        <f>_xll.qlCalendarAdvance(Calendar,V831,NDays&amp;"D")</f>
        <v>44656</v>
      </c>
      <c r="X831" s="211">
        <v>2.3215310109971909E-2</v>
      </c>
      <c r="Y831" s="232"/>
    </row>
    <row r="832" spans="21:25" x14ac:dyDescent="0.2">
      <c r="U832" s="209" t="str">
        <f t="shared" si="15"/>
        <v>1w</v>
      </c>
      <c r="V832" s="207">
        <f>_xll.qlCalendarAdvance(Calendar,V831,U832,"f",FALSE)</f>
        <v>44663</v>
      </c>
      <c r="W832" s="210">
        <f>_xll.qlCalendarAdvance(Calendar,V832,NDays&amp;"D")</f>
        <v>44663</v>
      </c>
      <c r="X832" s="211">
        <v>2.3259288493147068E-2</v>
      </c>
      <c r="Y832" s="232"/>
    </row>
    <row r="833" spans="21:25" x14ac:dyDescent="0.2">
      <c r="U833" s="209" t="str">
        <f t="shared" si="15"/>
        <v>1w</v>
      </c>
      <c r="V833" s="207">
        <f>_xll.qlCalendarAdvance(Calendar,V832,U833,"f",FALSE)</f>
        <v>44670</v>
      </c>
      <c r="W833" s="210">
        <f>_xll.qlCalendarAdvance(Calendar,V833,NDays&amp;"D")</f>
        <v>44670</v>
      </c>
      <c r="X833" s="211">
        <v>2.3302737135431073E-2</v>
      </c>
      <c r="Y833" s="232"/>
    </row>
    <row r="834" spans="21:25" x14ac:dyDescent="0.2">
      <c r="U834" s="209" t="str">
        <f t="shared" si="15"/>
        <v>1w</v>
      </c>
      <c r="V834" s="207">
        <f>_xll.qlCalendarAdvance(Calendar,V833,U834,"f",FALSE)</f>
        <v>44677</v>
      </c>
      <c r="W834" s="210">
        <f>_xll.qlCalendarAdvance(Calendar,V834,NDays&amp;"D")</f>
        <v>44677</v>
      </c>
      <c r="X834" s="211">
        <v>2.3345656036504181E-2</v>
      </c>
      <c r="Y834" s="232"/>
    </row>
    <row r="835" spans="21:25" x14ac:dyDescent="0.2">
      <c r="U835" s="209" t="str">
        <f t="shared" si="15"/>
        <v>1w</v>
      </c>
      <c r="V835" s="207">
        <f>_xll.qlCalendarAdvance(Calendar,V834,U835,"f",FALSE)</f>
        <v>44684</v>
      </c>
      <c r="W835" s="210">
        <f>_xll.qlCalendarAdvance(Calendar,V835,NDays&amp;"D")</f>
        <v>44684</v>
      </c>
      <c r="X835" s="211">
        <v>2.3388045196446328E-2</v>
      </c>
      <c r="Y835" s="232"/>
    </row>
    <row r="836" spans="21:25" x14ac:dyDescent="0.2">
      <c r="U836" s="209" t="str">
        <f t="shared" si="15"/>
        <v>1w</v>
      </c>
      <c r="V836" s="207">
        <f>_xll.qlCalendarAdvance(Calendar,V835,U836,"f",FALSE)</f>
        <v>44691</v>
      </c>
      <c r="W836" s="210">
        <f>_xll.qlCalendarAdvance(Calendar,V836,NDays&amp;"D")</f>
        <v>44691</v>
      </c>
      <c r="X836" s="211">
        <v>2.3429904614777897E-2</v>
      </c>
      <c r="Y836" s="232"/>
    </row>
    <row r="837" spans="21:25" x14ac:dyDescent="0.2">
      <c r="U837" s="209" t="str">
        <f t="shared" si="15"/>
        <v>1w</v>
      </c>
      <c r="V837" s="207">
        <f>_xll.qlCalendarAdvance(Calendar,V836,U837,"f",FALSE)</f>
        <v>44698</v>
      </c>
      <c r="W837" s="210">
        <f>_xll.qlCalendarAdvance(Calendar,V837,NDays&amp;"D")</f>
        <v>44698</v>
      </c>
      <c r="X837" s="211">
        <v>2.3471234291498888E-2</v>
      </c>
      <c r="Y837" s="232"/>
    </row>
    <row r="838" spans="21:25" x14ac:dyDescent="0.2">
      <c r="U838" s="209" t="str">
        <f t="shared" si="15"/>
        <v>1w</v>
      </c>
      <c r="V838" s="207">
        <f>_xll.qlCalendarAdvance(Calendar,V837,U838,"f",FALSE)</f>
        <v>44705</v>
      </c>
      <c r="W838" s="210">
        <f>_xll.qlCalendarAdvance(Calendar,V838,NDays&amp;"D")</f>
        <v>44705</v>
      </c>
      <c r="X838" s="211">
        <v>2.3512034226289558E-2</v>
      </c>
      <c r="Y838" s="232"/>
    </row>
    <row r="839" spans="21:25" x14ac:dyDescent="0.2">
      <c r="U839" s="209" t="str">
        <f t="shared" si="15"/>
        <v>1w</v>
      </c>
      <c r="V839" s="207">
        <f>_xll.qlCalendarAdvance(Calendar,V838,U839,"f",FALSE)</f>
        <v>44712</v>
      </c>
      <c r="W839" s="210">
        <f>_xll.qlCalendarAdvance(Calendar,V839,NDays&amp;"D")</f>
        <v>44712</v>
      </c>
      <c r="X839" s="211">
        <v>2.3552304419069969E-2</v>
      </c>
      <c r="Y839" s="232"/>
    </row>
    <row r="840" spans="21:25" x14ac:dyDescent="0.2">
      <c r="U840" s="209" t="str">
        <f t="shared" si="15"/>
        <v>1w</v>
      </c>
      <c r="V840" s="207">
        <f>_xll.qlCalendarAdvance(Calendar,V839,U840,"f",FALSE)</f>
        <v>44719</v>
      </c>
      <c r="W840" s="210">
        <f>_xll.qlCalendarAdvance(Calendar,V840,NDays&amp;"D")</f>
        <v>44719</v>
      </c>
      <c r="X840" s="211">
        <v>2.3592116613011527E-2</v>
      </c>
      <c r="Y840" s="232"/>
    </row>
    <row r="841" spans="21:25" x14ac:dyDescent="0.2">
      <c r="U841" s="209" t="str">
        <f t="shared" si="15"/>
        <v>1w</v>
      </c>
      <c r="V841" s="207">
        <f>_xll.qlCalendarAdvance(Calendar,V840,U841,"f",FALSE)</f>
        <v>44726</v>
      </c>
      <c r="W841" s="210">
        <f>_xll.qlCalendarAdvance(Calendar,V841,NDays&amp;"D")</f>
        <v>44726</v>
      </c>
      <c r="X841" s="211">
        <v>2.3631625331868022E-2</v>
      </c>
      <c r="Y841" s="232"/>
    </row>
    <row r="842" spans="21:25" x14ac:dyDescent="0.2">
      <c r="U842" s="209" t="str">
        <f t="shared" si="15"/>
        <v>1w</v>
      </c>
      <c r="V842" s="207">
        <f>_xll.qlCalendarAdvance(Calendar,V841,U842,"f",FALSE)</f>
        <v>44733</v>
      </c>
      <c r="W842" s="210">
        <f>_xll.qlCalendarAdvance(Calendar,V842,NDays&amp;"D")</f>
        <v>44733</v>
      </c>
      <c r="X842" s="211">
        <v>2.3670836094265013E-2</v>
      </c>
      <c r="Y842" s="232"/>
    </row>
    <row r="843" spans="21:25" x14ac:dyDescent="0.2">
      <c r="U843" s="209" t="str">
        <f t="shared" si="15"/>
        <v>1w</v>
      </c>
      <c r="V843" s="207">
        <f>_xll.qlCalendarAdvance(Calendar,V842,U843,"f",FALSE)</f>
        <v>44740</v>
      </c>
      <c r="W843" s="210">
        <f>_xll.qlCalendarAdvance(Calendar,V843,NDays&amp;"D")</f>
        <v>44740</v>
      </c>
      <c r="X843" s="211">
        <v>2.3709748900202499E-2</v>
      </c>
      <c r="Y843" s="232"/>
    </row>
    <row r="844" spans="21:25" x14ac:dyDescent="0.2">
      <c r="U844" s="209" t="str">
        <f t="shared" si="15"/>
        <v>1w</v>
      </c>
      <c r="V844" s="207">
        <f>_xll.qlCalendarAdvance(Calendar,V843,U844,"f",FALSE)</f>
        <v>44747</v>
      </c>
      <c r="W844" s="210">
        <f>_xll.qlCalendarAdvance(Calendar,V844,NDays&amp;"D")</f>
        <v>44747</v>
      </c>
      <c r="X844" s="211">
        <v>2.3748363749440671E-2</v>
      </c>
      <c r="Y844" s="232"/>
    </row>
    <row r="845" spans="21:25" x14ac:dyDescent="0.2">
      <c r="U845" s="209" t="str">
        <f t="shared" ref="U845:U908" si="16">U844</f>
        <v>1w</v>
      </c>
      <c r="V845" s="207">
        <f>_xll.qlCalendarAdvance(Calendar,V844,U845,"f",FALSE)</f>
        <v>44754</v>
      </c>
      <c r="W845" s="210">
        <f>_xll.qlCalendarAdvance(Calendar,V845,NDays&amp;"D")</f>
        <v>44754</v>
      </c>
      <c r="X845" s="211">
        <v>2.3786680642059466E-2</v>
      </c>
      <c r="Y845" s="232"/>
    </row>
    <row r="846" spans="21:25" x14ac:dyDescent="0.2">
      <c r="U846" s="209" t="str">
        <f t="shared" si="16"/>
        <v>1w</v>
      </c>
      <c r="V846" s="207">
        <f>_xll.qlCalendarAdvance(Calendar,V845,U846,"f",FALSE)</f>
        <v>44761</v>
      </c>
      <c r="W846" s="210">
        <f>_xll.qlCalendarAdvance(Calendar,V846,NDays&amp;"D")</f>
        <v>44761</v>
      </c>
      <c r="X846" s="211">
        <v>2.3824699577739139E-2</v>
      </c>
      <c r="Y846" s="232"/>
    </row>
    <row r="847" spans="21:25" x14ac:dyDescent="0.2">
      <c r="U847" s="209" t="str">
        <f t="shared" si="16"/>
        <v>1w</v>
      </c>
      <c r="V847" s="207">
        <f>_xll.qlCalendarAdvance(Calendar,V846,U847,"f",FALSE)</f>
        <v>44768</v>
      </c>
      <c r="W847" s="210">
        <f>_xll.qlCalendarAdvance(Calendar,V847,NDays&amp;"D")</f>
        <v>44768</v>
      </c>
      <c r="X847" s="211">
        <v>2.3862420556559627E-2</v>
      </c>
      <c r="Y847" s="232"/>
    </row>
    <row r="848" spans="21:25" x14ac:dyDescent="0.2">
      <c r="U848" s="209" t="str">
        <f t="shared" si="16"/>
        <v>1w</v>
      </c>
      <c r="V848" s="207">
        <f>_xll.qlCalendarAdvance(Calendar,V847,U848,"f",FALSE)</f>
        <v>44775</v>
      </c>
      <c r="W848" s="210">
        <f>_xll.qlCalendarAdvance(Calendar,V848,NDays&amp;"D")</f>
        <v>44775</v>
      </c>
      <c r="X848" s="211">
        <v>2.3899843578361057E-2</v>
      </c>
      <c r="Y848" s="232"/>
    </row>
    <row r="849" spans="21:25" x14ac:dyDescent="0.2">
      <c r="U849" s="209" t="str">
        <f t="shared" si="16"/>
        <v>1w</v>
      </c>
      <c r="V849" s="207">
        <f>_xll.qlCalendarAdvance(Calendar,V848,U849,"f",FALSE)</f>
        <v>44782</v>
      </c>
      <c r="W849" s="210">
        <f>_xll.qlCalendarAdvance(Calendar,V849,NDays&amp;"D")</f>
        <v>44782</v>
      </c>
      <c r="X849" s="211">
        <v>2.3936968643063494E-2</v>
      </c>
      <c r="Y849" s="232"/>
    </row>
    <row r="850" spans="21:25" x14ac:dyDescent="0.2">
      <c r="U850" s="209" t="str">
        <f t="shared" si="16"/>
        <v>1w</v>
      </c>
      <c r="V850" s="207">
        <f>_xll.qlCalendarAdvance(Calendar,V849,U850,"f",FALSE)</f>
        <v>44789</v>
      </c>
      <c r="W850" s="210">
        <f>_xll.qlCalendarAdvance(Calendar,V850,NDays&amp;"D")</f>
        <v>44789</v>
      </c>
      <c r="X850" s="211">
        <v>2.3973795750587001E-2</v>
      </c>
      <c r="Y850" s="232"/>
    </row>
    <row r="851" spans="21:25" x14ac:dyDescent="0.2">
      <c r="U851" s="209" t="str">
        <f t="shared" si="16"/>
        <v>1w</v>
      </c>
      <c r="V851" s="207">
        <f>_xll.qlCalendarAdvance(Calendar,V850,U851,"f",FALSE)</f>
        <v>44796</v>
      </c>
      <c r="W851" s="210">
        <f>_xll.qlCalendarAdvance(Calendar,V851,NDays&amp;"D")</f>
        <v>44796</v>
      </c>
      <c r="X851" s="211">
        <v>2.4010324900851643E-2</v>
      </c>
      <c r="Y851" s="232"/>
    </row>
    <row r="852" spans="21:25" x14ac:dyDescent="0.2">
      <c r="U852" s="209" t="str">
        <f t="shared" si="16"/>
        <v>1w</v>
      </c>
      <c r="V852" s="207">
        <f>_xll.qlCalendarAdvance(Calendar,V851,U852,"f",FALSE)</f>
        <v>44803</v>
      </c>
      <c r="W852" s="210">
        <f>_xll.qlCalendarAdvance(Calendar,V852,NDays&amp;"D")</f>
        <v>44803</v>
      </c>
      <c r="X852" s="211">
        <v>2.4046556093697546E-2</v>
      </c>
      <c r="Y852" s="232"/>
    </row>
    <row r="853" spans="21:25" x14ac:dyDescent="0.2">
      <c r="U853" s="209" t="str">
        <f t="shared" si="16"/>
        <v>1w</v>
      </c>
      <c r="V853" s="207">
        <f>_xll.qlCalendarAdvance(Calendar,V852,U853,"f",FALSE)</f>
        <v>44810</v>
      </c>
      <c r="W853" s="210">
        <f>_xll.qlCalendarAdvance(Calendar,V853,NDays&amp;"D")</f>
        <v>44810</v>
      </c>
      <c r="X853" s="211">
        <v>2.4082489329044776E-2</v>
      </c>
      <c r="Y853" s="232"/>
    </row>
    <row r="854" spans="21:25" x14ac:dyDescent="0.2">
      <c r="U854" s="209" t="str">
        <f t="shared" si="16"/>
        <v>1w</v>
      </c>
      <c r="V854" s="207">
        <f>_xll.qlCalendarAdvance(Calendar,V853,U854,"f",FALSE)</f>
        <v>44817</v>
      </c>
      <c r="W854" s="210">
        <f>_xll.qlCalendarAdvance(Calendar,V854,NDays&amp;"D")</f>
        <v>44817</v>
      </c>
      <c r="X854" s="211">
        <v>2.4118124606973268E-2</v>
      </c>
      <c r="Y854" s="232"/>
    </row>
    <row r="855" spans="21:25" x14ac:dyDescent="0.2">
      <c r="U855" s="209" t="str">
        <f t="shared" si="16"/>
        <v>1w</v>
      </c>
      <c r="V855" s="207">
        <f>_xll.qlCalendarAdvance(Calendar,V854,U855,"f",FALSE)</f>
        <v>44824</v>
      </c>
      <c r="W855" s="210">
        <f>_xll.qlCalendarAdvance(Calendar,V855,NDays&amp;"D")</f>
        <v>44824</v>
      </c>
      <c r="X855" s="211">
        <v>2.4153461927163278E-2</v>
      </c>
      <c r="Y855" s="232"/>
    </row>
    <row r="856" spans="21:25" x14ac:dyDescent="0.2">
      <c r="U856" s="209" t="str">
        <f t="shared" si="16"/>
        <v>1w</v>
      </c>
      <c r="V856" s="207">
        <f>_xll.qlCalendarAdvance(Calendar,V855,U856,"f",FALSE)</f>
        <v>44831</v>
      </c>
      <c r="W856" s="210">
        <f>_xll.qlCalendarAdvance(Calendar,V856,NDays&amp;"D")</f>
        <v>44831</v>
      </c>
      <c r="X856" s="211">
        <v>2.4188501289614806E-2</v>
      </c>
      <c r="Y856" s="232"/>
    </row>
    <row r="857" spans="21:25" x14ac:dyDescent="0.2">
      <c r="U857" s="209" t="str">
        <f t="shared" si="16"/>
        <v>1w</v>
      </c>
      <c r="V857" s="207">
        <f>_xll.qlCalendarAdvance(Calendar,V856,U857,"f",FALSE)</f>
        <v>44838</v>
      </c>
      <c r="W857" s="210">
        <f>_xll.qlCalendarAdvance(Calendar,V857,NDays&amp;"D")</f>
        <v>44838</v>
      </c>
      <c r="X857" s="211">
        <v>2.4223242694327851E-2</v>
      </c>
      <c r="Y857" s="232"/>
    </row>
    <row r="858" spans="21:25" x14ac:dyDescent="0.2">
      <c r="U858" s="209" t="str">
        <f t="shared" si="16"/>
        <v>1w</v>
      </c>
      <c r="V858" s="207">
        <f>_xll.qlCalendarAdvance(Calendar,V857,U858,"f",FALSE)</f>
        <v>44845</v>
      </c>
      <c r="W858" s="210">
        <f>_xll.qlCalendarAdvance(Calendar,V858,NDays&amp;"D")</f>
        <v>44845</v>
      </c>
      <c r="X858" s="211">
        <v>2.4257686141062607E-2</v>
      </c>
      <c r="Y858" s="232"/>
    </row>
    <row r="859" spans="21:25" x14ac:dyDescent="0.2">
      <c r="U859" s="209" t="str">
        <f t="shared" si="16"/>
        <v>1w</v>
      </c>
      <c r="V859" s="207">
        <f>_xll.qlCalendarAdvance(Calendar,V858,U859,"f",FALSE)</f>
        <v>44852</v>
      </c>
      <c r="W859" s="210">
        <f>_xll.qlCalendarAdvance(Calendar,V859,NDays&amp;"D")</f>
        <v>44852</v>
      </c>
      <c r="X859" s="211">
        <v>2.4291831629819072E-2</v>
      </c>
      <c r="Y859" s="232"/>
    </row>
    <row r="860" spans="21:25" x14ac:dyDescent="0.2">
      <c r="U860" s="209" t="str">
        <f t="shared" si="16"/>
        <v>1w</v>
      </c>
      <c r="V860" s="207">
        <f>_xll.qlCalendarAdvance(Calendar,V859,U860,"f",FALSE)</f>
        <v>44859</v>
      </c>
      <c r="W860" s="210">
        <f>_xll.qlCalendarAdvance(Calendar,V860,NDays&amp;"D")</f>
        <v>44859</v>
      </c>
      <c r="X860" s="211">
        <v>2.4325679160517311E-2</v>
      </c>
      <c r="Y860" s="232"/>
    </row>
    <row r="861" spans="21:25" x14ac:dyDescent="0.2">
      <c r="U861" s="209" t="str">
        <f t="shared" si="16"/>
        <v>1w</v>
      </c>
      <c r="V861" s="207">
        <f>_xll.qlCalendarAdvance(Calendar,V860,U861,"f",FALSE)</f>
        <v>44866</v>
      </c>
      <c r="W861" s="210">
        <f>_xll.qlCalendarAdvance(Calendar,V861,NDays&amp;"D")</f>
        <v>44866</v>
      </c>
      <c r="X861" s="211">
        <v>2.4359228733077387E-2</v>
      </c>
      <c r="Y861" s="232"/>
    </row>
    <row r="862" spans="21:25" x14ac:dyDescent="0.2">
      <c r="U862" s="209" t="str">
        <f t="shared" si="16"/>
        <v>1w</v>
      </c>
      <c r="V862" s="207">
        <f>_xll.qlCalendarAdvance(Calendar,V861,U862,"f",FALSE)</f>
        <v>44873</v>
      </c>
      <c r="W862" s="210">
        <f>_xll.qlCalendarAdvance(Calendar,V862,NDays&amp;"D")</f>
        <v>44873</v>
      </c>
      <c r="X862" s="211">
        <v>2.4392480347419365E-2</v>
      </c>
      <c r="Y862" s="232"/>
    </row>
    <row r="863" spans="21:25" x14ac:dyDescent="0.2">
      <c r="U863" s="209" t="str">
        <f t="shared" si="16"/>
        <v>1w</v>
      </c>
      <c r="V863" s="207">
        <f>_xll.qlCalendarAdvance(Calendar,V862,U863,"f",FALSE)</f>
        <v>44880</v>
      </c>
      <c r="W863" s="210">
        <f>_xll.qlCalendarAdvance(Calendar,V863,NDays&amp;"D")</f>
        <v>44880</v>
      </c>
      <c r="X863" s="211">
        <v>2.4425434003383373E-2</v>
      </c>
      <c r="Y863" s="232"/>
    </row>
    <row r="864" spans="21:25" x14ac:dyDescent="0.2">
      <c r="U864" s="209" t="str">
        <f t="shared" si="16"/>
        <v>1w</v>
      </c>
      <c r="V864" s="207">
        <f>_xll.qlCalendarAdvance(Calendar,V863,U864,"f",FALSE)</f>
        <v>44887</v>
      </c>
      <c r="W864" s="210">
        <f>_xll.qlCalendarAdvance(Calendar,V864,NDays&amp;"D")</f>
        <v>44887</v>
      </c>
      <c r="X864" s="211">
        <v>2.445808970096941E-2</v>
      </c>
      <c r="Y864" s="232"/>
    </row>
    <row r="865" spans="21:25" x14ac:dyDescent="0.2">
      <c r="U865" s="209" t="str">
        <f t="shared" si="16"/>
        <v>1w</v>
      </c>
      <c r="V865" s="207">
        <f>_xll.qlCalendarAdvance(Calendar,V864,U865,"f",FALSE)</f>
        <v>44894</v>
      </c>
      <c r="W865" s="210">
        <f>_xll.qlCalendarAdvance(Calendar,V865,NDays&amp;"D")</f>
        <v>44894</v>
      </c>
      <c r="X865" s="211">
        <v>2.449044744009754E-2</v>
      </c>
      <c r="Y865" s="232"/>
    </row>
    <row r="866" spans="21:25" x14ac:dyDescent="0.2">
      <c r="U866" s="209" t="str">
        <f t="shared" si="16"/>
        <v>1w</v>
      </c>
      <c r="V866" s="207">
        <f>_xll.qlCalendarAdvance(Calendar,V865,U866,"f",FALSE)</f>
        <v>44901</v>
      </c>
      <c r="W866" s="210">
        <f>_xll.qlCalendarAdvance(Calendar,V866,NDays&amp;"D")</f>
        <v>44901</v>
      </c>
      <c r="X866" s="211">
        <v>2.4522507220607892E-2</v>
      </c>
      <c r="Y866" s="232"/>
    </row>
    <row r="867" spans="21:25" x14ac:dyDescent="0.2">
      <c r="U867" s="209" t="str">
        <f t="shared" si="16"/>
        <v>1w</v>
      </c>
      <c r="V867" s="207">
        <f>_xll.qlCalendarAdvance(Calendar,V866,U867,"f",FALSE)</f>
        <v>44908</v>
      </c>
      <c r="W867" s="210">
        <f>_xll.qlCalendarAdvance(Calendar,V867,NDays&amp;"D")</f>
        <v>44908</v>
      </c>
      <c r="X867" s="211">
        <v>2.4554269042500465E-2</v>
      </c>
      <c r="Y867" s="232"/>
    </row>
    <row r="868" spans="21:25" x14ac:dyDescent="0.2">
      <c r="U868" s="209" t="str">
        <f t="shared" si="16"/>
        <v>1w</v>
      </c>
      <c r="V868" s="207">
        <f>_xll.qlCalendarAdvance(Calendar,V867,U868,"f",FALSE)</f>
        <v>44915</v>
      </c>
      <c r="W868" s="210">
        <f>_xll.qlCalendarAdvance(Calendar,V868,NDays&amp;"D")</f>
        <v>44915</v>
      </c>
      <c r="X868" s="211">
        <v>2.4585732905615387E-2</v>
      </c>
      <c r="Y868" s="232"/>
    </row>
    <row r="869" spans="21:25" x14ac:dyDescent="0.2">
      <c r="U869" s="209" t="str">
        <f t="shared" si="16"/>
        <v>1w</v>
      </c>
      <c r="V869" s="207">
        <f>_xll.qlCalendarAdvance(Calendar,V868,U869,"f",FALSE)</f>
        <v>44922</v>
      </c>
      <c r="W869" s="210">
        <f>_xll.qlCalendarAdvance(Calendar,V869,NDays&amp;"D")</f>
        <v>44922</v>
      </c>
      <c r="X869" s="211">
        <v>2.4616898810032595E-2</v>
      </c>
      <c r="Y869" s="232"/>
    </row>
    <row r="870" spans="21:25" x14ac:dyDescent="0.2">
      <c r="U870" s="209" t="str">
        <f t="shared" si="16"/>
        <v>1w</v>
      </c>
      <c r="V870" s="207">
        <f>_xll.qlCalendarAdvance(Calendar,V869,U870,"f",FALSE)</f>
        <v>44929</v>
      </c>
      <c r="W870" s="210">
        <f>_xll.qlCalendarAdvance(Calendar,V870,NDays&amp;"D")</f>
        <v>44929</v>
      </c>
      <c r="X870" s="211">
        <v>2.4647766755512279E-2</v>
      </c>
      <c r="Y870" s="232"/>
    </row>
    <row r="871" spans="21:25" x14ac:dyDescent="0.2">
      <c r="U871" s="209" t="str">
        <f t="shared" si="16"/>
        <v>1w</v>
      </c>
      <c r="V871" s="207">
        <f>_xll.qlCalendarAdvance(Calendar,V870,U871,"f",FALSE)</f>
        <v>44936</v>
      </c>
      <c r="W871" s="210">
        <f>_xll.qlCalendarAdvance(Calendar,V871,NDays&amp;"D")</f>
        <v>44936</v>
      </c>
      <c r="X871" s="211">
        <v>2.4678336742054441E-2</v>
      </c>
      <c r="Y871" s="232"/>
    </row>
    <row r="872" spans="21:25" x14ac:dyDescent="0.2">
      <c r="U872" s="209" t="str">
        <f t="shared" si="16"/>
        <v>1w</v>
      </c>
      <c r="V872" s="207">
        <f>_xll.qlCalendarAdvance(Calendar,V871,U872,"f",FALSE)</f>
        <v>44943</v>
      </c>
      <c r="W872" s="210">
        <f>_xll.qlCalendarAdvance(Calendar,V872,NDays&amp;"D")</f>
        <v>44943</v>
      </c>
      <c r="X872" s="211">
        <v>2.4708608769579143E-2</v>
      </c>
      <c r="Y872" s="232"/>
    </row>
    <row r="873" spans="21:25" x14ac:dyDescent="0.2">
      <c r="U873" s="209" t="str">
        <f t="shared" si="16"/>
        <v>1w</v>
      </c>
      <c r="V873" s="207">
        <f>_xll.qlCalendarAdvance(Calendar,V872,U873,"f",FALSE)</f>
        <v>44950</v>
      </c>
      <c r="W873" s="210">
        <f>_xll.qlCalendarAdvance(Calendar,V873,NDays&amp;"D")</f>
        <v>44950</v>
      </c>
      <c r="X873" s="211">
        <v>2.4738582837926515E-2</v>
      </c>
      <c r="Y873" s="232"/>
    </row>
    <row r="874" spans="21:25" x14ac:dyDescent="0.2">
      <c r="U874" s="209" t="str">
        <f t="shared" si="16"/>
        <v>1w</v>
      </c>
      <c r="V874" s="207">
        <f>_xll.qlCalendarAdvance(Calendar,V873,U874,"f",FALSE)</f>
        <v>44957</v>
      </c>
      <c r="W874" s="210">
        <f>_xll.qlCalendarAdvance(Calendar,V874,NDays&amp;"D")</f>
        <v>44957</v>
      </c>
      <c r="X874" s="211">
        <v>2.4768258947096555E-2</v>
      </c>
      <c r="Y874" s="232"/>
    </row>
    <row r="875" spans="21:25" x14ac:dyDescent="0.2">
      <c r="U875" s="209" t="str">
        <f t="shared" si="16"/>
        <v>1w</v>
      </c>
      <c r="V875" s="207">
        <f>_xll.qlCalendarAdvance(Calendar,V874,U875,"f",FALSE)</f>
        <v>44964</v>
      </c>
      <c r="W875" s="210">
        <f>_xll.qlCalendarAdvance(Calendar,V875,NDays&amp;"D")</f>
        <v>44964</v>
      </c>
      <c r="X875" s="211">
        <v>2.4797637097089265E-2</v>
      </c>
      <c r="Y875" s="232"/>
    </row>
    <row r="876" spans="21:25" x14ac:dyDescent="0.2">
      <c r="U876" s="209" t="str">
        <f t="shared" si="16"/>
        <v>1w</v>
      </c>
      <c r="V876" s="207">
        <f>_xll.qlCalendarAdvance(Calendar,V875,U876,"f",FALSE)</f>
        <v>44971</v>
      </c>
      <c r="W876" s="210">
        <f>_xll.qlCalendarAdvance(Calendar,V876,NDays&amp;"D")</f>
        <v>44971</v>
      </c>
      <c r="X876" s="211">
        <v>2.4826717287744771E-2</v>
      </c>
      <c r="Y876" s="232"/>
    </row>
    <row r="877" spans="21:25" x14ac:dyDescent="0.2">
      <c r="U877" s="209" t="str">
        <f t="shared" si="16"/>
        <v>1w</v>
      </c>
      <c r="V877" s="207">
        <f>_xll.qlCalendarAdvance(Calendar,V876,U877,"f",FALSE)</f>
        <v>44978</v>
      </c>
      <c r="W877" s="210">
        <f>_xll.qlCalendarAdvance(Calendar,V877,NDays&amp;"D")</f>
        <v>44978</v>
      </c>
      <c r="X877" s="211">
        <v>2.4855499518983137E-2</v>
      </c>
      <c r="Y877" s="232"/>
    </row>
    <row r="878" spans="21:25" x14ac:dyDescent="0.2">
      <c r="U878" s="209" t="str">
        <f t="shared" si="16"/>
        <v>1w</v>
      </c>
      <c r="V878" s="207">
        <f>_xll.qlCalendarAdvance(Calendar,V877,U878,"f",FALSE)</f>
        <v>44985</v>
      </c>
      <c r="W878" s="210">
        <f>_xll.qlCalendarAdvance(Calendar,V878,NDays&amp;"D")</f>
        <v>44985</v>
      </c>
      <c r="X878" s="211">
        <v>2.4883983790724429E-2</v>
      </c>
      <c r="Y878" s="232"/>
    </row>
    <row r="879" spans="21:25" x14ac:dyDescent="0.2">
      <c r="U879" s="209" t="str">
        <f t="shared" si="16"/>
        <v>1w</v>
      </c>
      <c r="V879" s="207">
        <f>_xll.qlCalendarAdvance(Calendar,V878,U879,"f",FALSE)</f>
        <v>44992</v>
      </c>
      <c r="W879" s="210">
        <f>_xll.qlCalendarAdvance(Calendar,V879,NDays&amp;"D")</f>
        <v>44992</v>
      </c>
      <c r="X879" s="211">
        <v>2.4912170102968645E-2</v>
      </c>
      <c r="Y879" s="232"/>
    </row>
    <row r="880" spans="21:25" x14ac:dyDescent="0.2">
      <c r="U880" s="209" t="str">
        <f t="shared" si="16"/>
        <v>1w</v>
      </c>
      <c r="V880" s="207">
        <f>_xll.qlCalendarAdvance(Calendar,V879,U880,"f",FALSE)</f>
        <v>44999</v>
      </c>
      <c r="W880" s="210">
        <f>_xll.qlCalendarAdvance(Calendar,V880,NDays&amp;"D")</f>
        <v>44999</v>
      </c>
      <c r="X880" s="211">
        <v>2.4940058455555913E-2</v>
      </c>
      <c r="Y880" s="232"/>
    </row>
    <row r="881" spans="21:25" x14ac:dyDescent="0.2">
      <c r="U881" s="209" t="str">
        <f t="shared" si="16"/>
        <v>1w</v>
      </c>
      <c r="V881" s="207">
        <f>_xll.qlCalendarAdvance(Calendar,V880,U881,"f",FALSE)</f>
        <v>45006</v>
      </c>
      <c r="W881" s="210">
        <f>_xll.qlCalendarAdvance(Calendar,V881,NDays&amp;"D")</f>
        <v>45006</v>
      </c>
      <c r="X881" s="211">
        <v>2.4967648848486235E-2</v>
      </c>
      <c r="Y881" s="232"/>
    </row>
    <row r="882" spans="21:25" x14ac:dyDescent="0.2">
      <c r="U882" s="209" t="str">
        <f t="shared" si="16"/>
        <v>1w</v>
      </c>
      <c r="V882" s="207">
        <f>_xll.qlCalendarAdvance(Calendar,V881,U882,"f",FALSE)</f>
        <v>45013</v>
      </c>
      <c r="W882" s="210">
        <f>_xll.qlCalendarAdvance(Calendar,V882,NDays&amp;"D")</f>
        <v>45013</v>
      </c>
      <c r="X882" s="211">
        <v>2.4994941281679672E-2</v>
      </c>
      <c r="Y882" s="232"/>
    </row>
    <row r="883" spans="21:25" x14ac:dyDescent="0.2">
      <c r="U883" s="209" t="str">
        <f t="shared" si="16"/>
        <v>1w</v>
      </c>
      <c r="V883" s="207">
        <f>_xll.qlCalendarAdvance(Calendar,V882,U883,"f",FALSE)</f>
        <v>45020</v>
      </c>
      <c r="W883" s="210">
        <f>_xll.qlCalendarAdvance(Calendar,V883,NDays&amp;"D")</f>
        <v>45020</v>
      </c>
      <c r="X883" s="211">
        <v>2.5021935754976354E-2</v>
      </c>
      <c r="Y883" s="232"/>
    </row>
    <row r="884" spans="21:25" x14ac:dyDescent="0.2">
      <c r="U884" s="209" t="str">
        <f t="shared" si="16"/>
        <v>1w</v>
      </c>
      <c r="V884" s="207">
        <f>_xll.qlCalendarAdvance(Calendar,V883,U884,"f",FALSE)</f>
        <v>45027</v>
      </c>
      <c r="W884" s="210">
        <f>_xll.qlCalendarAdvance(Calendar,V884,NDays&amp;"D")</f>
        <v>45027</v>
      </c>
      <c r="X884" s="211">
        <v>2.5048632268456217E-2</v>
      </c>
      <c r="Y884" s="232"/>
    </row>
    <row r="885" spans="21:25" x14ac:dyDescent="0.2">
      <c r="U885" s="209" t="str">
        <f t="shared" si="16"/>
        <v>1w</v>
      </c>
      <c r="V885" s="207">
        <f>_xll.qlCalendarAdvance(Calendar,V884,U885,"f",FALSE)</f>
        <v>45034</v>
      </c>
      <c r="W885" s="210">
        <f>_xll.qlCalendarAdvance(Calendar,V885,NDays&amp;"D")</f>
        <v>45034</v>
      </c>
      <c r="X885" s="211">
        <v>2.5075030821959388E-2</v>
      </c>
      <c r="Y885" s="232"/>
    </row>
    <row r="886" spans="21:25" x14ac:dyDescent="0.2">
      <c r="U886" s="209" t="str">
        <f t="shared" si="16"/>
        <v>1w</v>
      </c>
      <c r="V886" s="207">
        <f>_xll.qlCalendarAdvance(Calendar,V885,U886,"f",FALSE)</f>
        <v>45041</v>
      </c>
      <c r="W886" s="210">
        <f>_xll.qlCalendarAdvance(Calendar,V886,NDays&amp;"D")</f>
        <v>45041</v>
      </c>
      <c r="X886" s="211">
        <v>2.5101131415485867E-2</v>
      </c>
      <c r="Y886" s="232"/>
    </row>
    <row r="887" spans="21:25" x14ac:dyDescent="0.2">
      <c r="U887" s="209" t="str">
        <f t="shared" si="16"/>
        <v>1w</v>
      </c>
      <c r="V887" s="207">
        <f>_xll.qlCalendarAdvance(Calendar,V886,U887,"f",FALSE)</f>
        <v>45048</v>
      </c>
      <c r="W887" s="210">
        <f>_xll.qlCalendarAdvance(Calendar,V887,NDays&amp;"D")</f>
        <v>45048</v>
      </c>
      <c r="X887" s="211">
        <v>2.5126934048955718E-2</v>
      </c>
      <c r="Y887" s="232"/>
    </row>
    <row r="888" spans="21:25" x14ac:dyDescent="0.2">
      <c r="U888" s="209" t="str">
        <f t="shared" si="16"/>
        <v>1w</v>
      </c>
      <c r="V888" s="207">
        <f>_xll.qlCalendarAdvance(Calendar,V887,U888,"f",FALSE)</f>
        <v>45055</v>
      </c>
      <c r="W888" s="210">
        <f>_xll.qlCalendarAdvance(Calendar,V888,NDays&amp;"D")</f>
        <v>45055</v>
      </c>
      <c r="X888" s="211">
        <v>2.515243872220907E-2</v>
      </c>
      <c r="Y888" s="232"/>
    </row>
    <row r="889" spans="21:25" x14ac:dyDescent="0.2">
      <c r="U889" s="209" t="str">
        <f t="shared" si="16"/>
        <v>1w</v>
      </c>
      <c r="V889" s="207">
        <f>_xll.qlCalendarAdvance(Calendar,V888,U889,"f",FALSE)</f>
        <v>45062</v>
      </c>
      <c r="W889" s="210">
        <f>_xll.qlCalendarAdvance(Calendar,V889,NDays&amp;"D")</f>
        <v>45062</v>
      </c>
      <c r="X889" s="211">
        <v>2.5177645435325857E-2</v>
      </c>
      <c r="Y889" s="232"/>
    </row>
    <row r="890" spans="21:25" x14ac:dyDescent="0.2">
      <c r="U890" s="209" t="str">
        <f t="shared" si="16"/>
        <v>1w</v>
      </c>
      <c r="V890" s="207">
        <f>_xll.qlCalendarAdvance(Calendar,V889,U890,"f",FALSE)</f>
        <v>45069</v>
      </c>
      <c r="W890" s="210">
        <f>_xll.qlCalendarAdvance(Calendar,V890,NDays&amp;"D")</f>
        <v>45069</v>
      </c>
      <c r="X890" s="211">
        <v>2.5202554188066273E-2</v>
      </c>
      <c r="Y890" s="232"/>
    </row>
    <row r="891" spans="21:25" x14ac:dyDescent="0.2">
      <c r="U891" s="209" t="str">
        <f t="shared" si="16"/>
        <v>1w</v>
      </c>
      <c r="V891" s="207">
        <f>_xll.qlCalendarAdvance(Calendar,V890,U891,"f",FALSE)</f>
        <v>45076</v>
      </c>
      <c r="W891" s="210">
        <f>_xll.qlCalendarAdvance(Calendar,V891,NDays&amp;"D")</f>
        <v>45076</v>
      </c>
      <c r="X891" s="211">
        <v>2.5227164980590189E-2</v>
      </c>
      <c r="Y891" s="232"/>
    </row>
    <row r="892" spans="21:25" x14ac:dyDescent="0.2">
      <c r="U892" s="209" t="str">
        <f t="shared" si="16"/>
        <v>1w</v>
      </c>
      <c r="V892" s="207">
        <f>_xll.qlCalendarAdvance(Calendar,V891,U892,"f",FALSE)</f>
        <v>45083</v>
      </c>
      <c r="W892" s="210">
        <f>_xll.qlCalendarAdvance(Calendar,V892,NDays&amp;"D")</f>
        <v>45083</v>
      </c>
      <c r="X892" s="211">
        <v>2.52515946499976E-2</v>
      </c>
      <c r="Y892" s="232"/>
    </row>
    <row r="893" spans="21:25" x14ac:dyDescent="0.2">
      <c r="U893" s="209" t="str">
        <f t="shared" si="16"/>
        <v>1w</v>
      </c>
      <c r="V893" s="207">
        <f>_xll.qlCalendarAdvance(Calendar,V892,U893,"f",FALSE)</f>
        <v>45090</v>
      </c>
      <c r="W893" s="210">
        <f>_xll.qlCalendarAdvance(Calendar,V893,NDays&amp;"D")</f>
        <v>45090</v>
      </c>
      <c r="X893" s="211">
        <v>2.5276253084811628E-2</v>
      </c>
      <c r="Y893" s="232"/>
    </row>
    <row r="894" spans="21:25" x14ac:dyDescent="0.2">
      <c r="U894" s="209" t="str">
        <f t="shared" si="16"/>
        <v>1w</v>
      </c>
      <c r="V894" s="207">
        <f>_xll.qlCalendarAdvance(Calendar,V893,U894,"f",FALSE)</f>
        <v>45097</v>
      </c>
      <c r="W894" s="210">
        <f>_xll.qlCalendarAdvance(Calendar,V894,NDays&amp;"D")</f>
        <v>45097</v>
      </c>
      <c r="X894" s="211">
        <v>2.5301176676961745E-2</v>
      </c>
      <c r="Y894" s="232"/>
    </row>
    <row r="895" spans="21:25" x14ac:dyDescent="0.2">
      <c r="U895" s="209" t="str">
        <f t="shared" si="16"/>
        <v>1w</v>
      </c>
      <c r="V895" s="207">
        <f>_xll.qlCalendarAdvance(Calendar,V894,U895,"f",FALSE)</f>
        <v>45104</v>
      </c>
      <c r="W895" s="210">
        <f>_xll.qlCalendarAdvance(Calendar,V895,NDays&amp;"D")</f>
        <v>45104</v>
      </c>
      <c r="X895" s="211">
        <v>2.5326365426687758E-2</v>
      </c>
      <c r="Y895" s="232"/>
    </row>
    <row r="896" spans="21:25" x14ac:dyDescent="0.2">
      <c r="U896" s="209" t="str">
        <f t="shared" si="16"/>
        <v>1w</v>
      </c>
      <c r="V896" s="207">
        <f>_xll.qlCalendarAdvance(Calendar,V895,U896,"f",FALSE)</f>
        <v>45111</v>
      </c>
      <c r="W896" s="210">
        <f>_xll.qlCalendarAdvance(Calendar,V896,NDays&amp;"D")</f>
        <v>45111</v>
      </c>
      <c r="X896" s="211">
        <v>2.5351819333829795E-2</v>
      </c>
      <c r="Y896" s="232"/>
    </row>
    <row r="897" spans="21:25" x14ac:dyDescent="0.2">
      <c r="U897" s="209" t="str">
        <f t="shared" si="16"/>
        <v>1w</v>
      </c>
      <c r="V897" s="207">
        <f>_xll.qlCalendarAdvance(Calendar,V896,U897,"f",FALSE)</f>
        <v>45118</v>
      </c>
      <c r="W897" s="210">
        <f>_xll.qlCalendarAdvance(Calendar,V897,NDays&amp;"D")</f>
        <v>45118</v>
      </c>
      <c r="X897" s="211">
        <v>2.5377538398627664E-2</v>
      </c>
      <c r="Y897" s="232"/>
    </row>
    <row r="898" spans="21:25" x14ac:dyDescent="0.2">
      <c r="U898" s="209" t="str">
        <f t="shared" si="16"/>
        <v>1w</v>
      </c>
      <c r="V898" s="207">
        <f>_xll.qlCalendarAdvance(Calendar,V897,U898,"f",FALSE)</f>
        <v>45125</v>
      </c>
      <c r="W898" s="210">
        <f>_xll.qlCalendarAdvance(Calendar,V898,NDays&amp;"D")</f>
        <v>45125</v>
      </c>
      <c r="X898" s="211">
        <v>2.5403522621001429E-2</v>
      </c>
      <c r="Y898" s="232"/>
    </row>
    <row r="899" spans="21:25" x14ac:dyDescent="0.2">
      <c r="U899" s="209" t="str">
        <f t="shared" si="16"/>
        <v>1w</v>
      </c>
      <c r="V899" s="207">
        <f>_xll.qlCalendarAdvance(Calendar,V898,U899,"f",FALSE)</f>
        <v>45132</v>
      </c>
      <c r="W899" s="210">
        <f>_xll.qlCalendarAdvance(Calendar,V899,NDays&amp;"D")</f>
        <v>45132</v>
      </c>
      <c r="X899" s="211">
        <v>2.5429772001110962E-2</v>
      </c>
      <c r="Y899" s="232"/>
    </row>
    <row r="900" spans="21:25" x14ac:dyDescent="0.2">
      <c r="U900" s="209" t="str">
        <f t="shared" si="16"/>
        <v>1w</v>
      </c>
      <c r="V900" s="207">
        <f>_xll.qlCalendarAdvance(Calendar,V899,U900,"f",FALSE)</f>
        <v>45139</v>
      </c>
      <c r="W900" s="210">
        <f>_xll.qlCalendarAdvance(Calendar,V900,NDays&amp;"D")</f>
        <v>45139</v>
      </c>
      <c r="X900" s="211">
        <v>2.5456286538876327E-2</v>
      </c>
      <c r="Y900" s="232"/>
    </row>
    <row r="901" spans="21:25" x14ac:dyDescent="0.2">
      <c r="U901" s="209" t="str">
        <f t="shared" si="16"/>
        <v>1w</v>
      </c>
      <c r="V901" s="207">
        <f>_xll.qlCalendarAdvance(Calendar,V900,U901,"f",FALSE)</f>
        <v>45146</v>
      </c>
      <c r="W901" s="210">
        <f>_xll.qlCalendarAdvance(Calendar,V901,NDays&amp;"D")</f>
        <v>45146</v>
      </c>
      <c r="X901" s="211">
        <v>2.5483066234457397E-2</v>
      </c>
      <c r="Y901" s="232"/>
    </row>
    <row r="902" spans="21:25" x14ac:dyDescent="0.2">
      <c r="U902" s="209" t="str">
        <f t="shared" si="16"/>
        <v>1w</v>
      </c>
      <c r="V902" s="207">
        <f>_xll.qlCalendarAdvance(Calendar,V901,U902,"f",FALSE)</f>
        <v>45153</v>
      </c>
      <c r="W902" s="210">
        <f>_xll.qlCalendarAdvance(Calendar,V902,NDays&amp;"D")</f>
        <v>45153</v>
      </c>
      <c r="X902" s="211">
        <v>2.5510111087934106E-2</v>
      </c>
      <c r="Y902" s="232"/>
    </row>
    <row r="903" spans="21:25" x14ac:dyDescent="0.2">
      <c r="U903" s="209" t="str">
        <f t="shared" si="16"/>
        <v>1w</v>
      </c>
      <c r="V903" s="207">
        <f>_xll.qlCalendarAdvance(Calendar,V902,U903,"f",FALSE)</f>
        <v>45160</v>
      </c>
      <c r="W903" s="210">
        <f>_xll.qlCalendarAdvance(Calendar,V903,NDays&amp;"D")</f>
        <v>45160</v>
      </c>
      <c r="X903" s="211">
        <v>2.5537421099306457E-2</v>
      </c>
      <c r="Y903" s="232"/>
    </row>
    <row r="904" spans="21:25" x14ac:dyDescent="0.2">
      <c r="U904" s="209" t="str">
        <f t="shared" si="16"/>
        <v>1w</v>
      </c>
      <c r="V904" s="207">
        <f>_xll.qlCalendarAdvance(Calendar,V903,U904,"f",FALSE)</f>
        <v>45167</v>
      </c>
      <c r="W904" s="210">
        <f>_xll.qlCalendarAdvance(Calendar,V904,NDays&amp;"D")</f>
        <v>45167</v>
      </c>
      <c r="X904" s="211">
        <v>2.5564996268654383E-2</v>
      </c>
      <c r="Y904" s="232"/>
    </row>
    <row r="905" spans="21:25" x14ac:dyDescent="0.2">
      <c r="U905" s="209" t="str">
        <f t="shared" si="16"/>
        <v>1w</v>
      </c>
      <c r="V905" s="207">
        <f>_xll.qlCalendarAdvance(Calendar,V904,U905,"f",FALSE)</f>
        <v>45174</v>
      </c>
      <c r="W905" s="210">
        <f>_xll.qlCalendarAdvance(Calendar,V905,NDays&amp;"D")</f>
        <v>45174</v>
      </c>
      <c r="X905" s="211">
        <v>2.5592836596057822E-2</v>
      </c>
      <c r="Y905" s="232"/>
    </row>
    <row r="906" spans="21:25" x14ac:dyDescent="0.2">
      <c r="U906" s="209" t="str">
        <f t="shared" si="16"/>
        <v>1w</v>
      </c>
      <c r="V906" s="207">
        <f>_xll.qlCalendarAdvance(Calendar,V905,U906,"f",FALSE)</f>
        <v>45181</v>
      </c>
      <c r="W906" s="210">
        <f>_xll.qlCalendarAdvance(Calendar,V906,NDays&amp;"D")</f>
        <v>45181</v>
      </c>
      <c r="X906" s="211">
        <v>2.5620942081516773E-2</v>
      </c>
      <c r="Y906" s="232"/>
    </row>
    <row r="907" spans="21:25" x14ac:dyDescent="0.2">
      <c r="U907" s="209" t="str">
        <f t="shared" si="16"/>
        <v>1w</v>
      </c>
      <c r="V907" s="207">
        <f>_xll.qlCalendarAdvance(Calendar,V906,U907,"f",FALSE)</f>
        <v>45188</v>
      </c>
      <c r="W907" s="210">
        <f>_xll.qlCalendarAdvance(Calendar,V907,NDays&amp;"D")</f>
        <v>45188</v>
      </c>
      <c r="X907" s="211">
        <v>2.5649312725191109E-2</v>
      </c>
      <c r="Y907" s="232"/>
    </row>
    <row r="908" spans="21:25" x14ac:dyDescent="0.2">
      <c r="U908" s="209" t="str">
        <f t="shared" si="16"/>
        <v>1w</v>
      </c>
      <c r="V908" s="207">
        <f>_xll.qlCalendarAdvance(Calendar,V907,U908,"f",FALSE)</f>
        <v>45195</v>
      </c>
      <c r="W908" s="210">
        <f>_xll.qlCalendarAdvance(Calendar,V908,NDays&amp;"D")</f>
        <v>45195</v>
      </c>
      <c r="X908" s="211">
        <v>2.5677948527080829E-2</v>
      </c>
      <c r="Y908" s="232"/>
    </row>
    <row r="909" spans="21:25" x14ac:dyDescent="0.2">
      <c r="U909" s="209" t="str">
        <f t="shared" ref="U909:U972" si="17">U908</f>
        <v>1w</v>
      </c>
      <c r="V909" s="207">
        <f>_xll.qlCalendarAdvance(Calendar,V908,U909,"f",FALSE)</f>
        <v>45202</v>
      </c>
      <c r="W909" s="210">
        <f>_xll.qlCalendarAdvance(Calendar,V909,NDays&amp;"D")</f>
        <v>45202</v>
      </c>
      <c r="X909" s="211">
        <v>2.5706849487185934E-2</v>
      </c>
      <c r="Y909" s="232"/>
    </row>
    <row r="910" spans="21:25" x14ac:dyDescent="0.2">
      <c r="U910" s="209" t="str">
        <f t="shared" si="17"/>
        <v>1w</v>
      </c>
      <c r="V910" s="207">
        <f>_xll.qlCalendarAdvance(Calendar,V909,U910,"f",FALSE)</f>
        <v>45209</v>
      </c>
      <c r="W910" s="210">
        <f>_xll.qlCalendarAdvance(Calendar,V910,NDays&amp;"D")</f>
        <v>45209</v>
      </c>
      <c r="X910" s="211">
        <v>2.5736015605746232E-2</v>
      </c>
      <c r="Y910" s="232"/>
    </row>
    <row r="911" spans="21:25" x14ac:dyDescent="0.2">
      <c r="U911" s="209" t="str">
        <f t="shared" si="17"/>
        <v>1w</v>
      </c>
      <c r="V911" s="207">
        <f>_xll.qlCalendarAdvance(Calendar,V910,U911,"f",FALSE)</f>
        <v>45216</v>
      </c>
      <c r="W911" s="210">
        <f>_xll.qlCalendarAdvance(Calendar,V911,NDays&amp;"D")</f>
        <v>45216</v>
      </c>
      <c r="X911" s="211">
        <v>2.5765446882681786E-2</v>
      </c>
      <c r="Y911" s="232"/>
    </row>
    <row r="912" spans="21:25" x14ac:dyDescent="0.2">
      <c r="U912" s="209" t="str">
        <f t="shared" si="17"/>
        <v>1w</v>
      </c>
      <c r="V912" s="207">
        <f>_xll.qlCalendarAdvance(Calendar,V911,U912,"f",FALSE)</f>
        <v>45223</v>
      </c>
      <c r="W912" s="210">
        <f>_xll.qlCalendarAdvance(Calendar,V912,NDays&amp;"D")</f>
        <v>45223</v>
      </c>
      <c r="X912" s="211">
        <v>2.5795143318072533E-2</v>
      </c>
      <c r="Y912" s="232"/>
    </row>
    <row r="913" spans="21:25" x14ac:dyDescent="0.2">
      <c r="U913" s="209" t="str">
        <f t="shared" si="17"/>
        <v>1w</v>
      </c>
      <c r="V913" s="207">
        <f>_xll.qlCalendarAdvance(Calendar,V912,U913,"f",FALSE)</f>
        <v>45230</v>
      </c>
      <c r="W913" s="210">
        <f>_xll.qlCalendarAdvance(Calendar,V913,NDays&amp;"D")</f>
        <v>45230</v>
      </c>
      <c r="X913" s="211">
        <v>2.5825104912078345E-2</v>
      </c>
      <c r="Y913" s="232"/>
    </row>
    <row r="914" spans="21:25" x14ac:dyDescent="0.2">
      <c r="U914" s="209" t="str">
        <f t="shared" si="17"/>
        <v>1w</v>
      </c>
      <c r="V914" s="207">
        <f>_xll.qlCalendarAdvance(Calendar,V913,U914,"f",FALSE)</f>
        <v>45237</v>
      </c>
      <c r="W914" s="210">
        <f>_xll.qlCalendarAdvance(Calendar,V914,NDays&amp;"D")</f>
        <v>45237</v>
      </c>
      <c r="X914" s="211">
        <v>2.5855331664619285E-2</v>
      </c>
      <c r="Y914" s="232"/>
    </row>
    <row r="915" spans="21:25" x14ac:dyDescent="0.2">
      <c r="U915" s="209" t="str">
        <f t="shared" si="17"/>
        <v>1w</v>
      </c>
      <c r="V915" s="207">
        <f>_xll.qlCalendarAdvance(Calendar,V914,U915,"f",FALSE)</f>
        <v>45244</v>
      </c>
      <c r="W915" s="210">
        <f>_xll.qlCalendarAdvance(Calendar,V915,NDays&amp;"D")</f>
        <v>45244</v>
      </c>
      <c r="X915" s="211">
        <v>2.5885823575935163E-2</v>
      </c>
      <c r="Y915" s="232"/>
    </row>
    <row r="916" spans="21:25" x14ac:dyDescent="0.2">
      <c r="U916" s="209" t="str">
        <f t="shared" si="17"/>
        <v>1w</v>
      </c>
      <c r="V916" s="207">
        <f>_xll.qlCalendarAdvance(Calendar,V915,U916,"f",FALSE)</f>
        <v>45251</v>
      </c>
      <c r="W916" s="210">
        <f>_xll.qlCalendarAdvance(Calendar,V916,NDays&amp;"D")</f>
        <v>45251</v>
      </c>
      <c r="X916" s="211">
        <v>2.5916580645946041E-2</v>
      </c>
      <c r="Y916" s="232"/>
    </row>
    <row r="917" spans="21:25" x14ac:dyDescent="0.2">
      <c r="U917" s="209" t="str">
        <f t="shared" si="17"/>
        <v>1w</v>
      </c>
      <c r="V917" s="207">
        <f>_xll.qlCalendarAdvance(Calendar,V916,U917,"f",FALSE)</f>
        <v>45258</v>
      </c>
      <c r="W917" s="210">
        <f>_xll.qlCalendarAdvance(Calendar,V917,NDays&amp;"D")</f>
        <v>45258</v>
      </c>
      <c r="X917" s="211">
        <v>2.5947602874731857E-2</v>
      </c>
      <c r="Y917" s="232"/>
    </row>
    <row r="918" spans="21:25" x14ac:dyDescent="0.2">
      <c r="U918" s="209" t="str">
        <f t="shared" si="17"/>
        <v>1w</v>
      </c>
      <c r="V918" s="207">
        <f>_xll.qlCalendarAdvance(Calendar,V917,U918,"f",FALSE)</f>
        <v>45265</v>
      </c>
      <c r="W918" s="210">
        <f>_xll.qlCalendarAdvance(Calendar,V918,NDays&amp;"D")</f>
        <v>45265</v>
      </c>
      <c r="X918" s="211">
        <v>2.5978890262452481E-2</v>
      </c>
      <c r="Y918" s="232"/>
    </row>
    <row r="919" spans="21:25" x14ac:dyDescent="0.2">
      <c r="U919" s="209" t="str">
        <f t="shared" si="17"/>
        <v>1w</v>
      </c>
      <c r="V919" s="207">
        <f>_xll.qlCalendarAdvance(Calendar,V918,U919,"f",FALSE)</f>
        <v>45272</v>
      </c>
      <c r="W919" s="210">
        <f>_xll.qlCalendarAdvance(Calendar,V919,NDays&amp;"D")</f>
        <v>45272</v>
      </c>
      <c r="X919" s="211">
        <v>2.6010442809107914E-2</v>
      </c>
      <c r="Y919" s="232"/>
    </row>
    <row r="920" spans="21:25" x14ac:dyDescent="0.2">
      <c r="U920" s="209" t="str">
        <f t="shared" si="17"/>
        <v>1w</v>
      </c>
      <c r="V920" s="207">
        <f>_xll.qlCalendarAdvance(Calendar,V919,U920,"f",FALSE)</f>
        <v>45279</v>
      </c>
      <c r="W920" s="210">
        <f>_xll.qlCalendarAdvance(Calendar,V920,NDays&amp;"D")</f>
        <v>45279</v>
      </c>
      <c r="X920" s="211">
        <v>2.6042260514858029E-2</v>
      </c>
      <c r="Y920" s="232"/>
    </row>
    <row r="921" spans="21:25" x14ac:dyDescent="0.2">
      <c r="U921" s="209" t="str">
        <f t="shared" si="17"/>
        <v>1w</v>
      </c>
      <c r="V921" s="207">
        <f>_xll.qlCalendarAdvance(Calendar,V920,U921,"f",FALSE)</f>
        <v>45287</v>
      </c>
      <c r="W921" s="210">
        <f>_xll.qlCalendarAdvance(Calendar,V921,NDays&amp;"D")</f>
        <v>45287</v>
      </c>
      <c r="X921" s="211">
        <v>2.6078948291674564E-2</v>
      </c>
      <c r="Y921" s="232"/>
    </row>
    <row r="922" spans="21:25" x14ac:dyDescent="0.2">
      <c r="U922" s="209" t="str">
        <f t="shared" si="17"/>
        <v>1w</v>
      </c>
      <c r="V922" s="207">
        <f>_xll.qlCalendarAdvance(Calendar,V921,U922,"f",FALSE)</f>
        <v>45294</v>
      </c>
      <c r="W922" s="210">
        <f>_xll.qlCalendarAdvance(Calendar,V922,NDays&amp;"D")</f>
        <v>45294</v>
      </c>
      <c r="X922" s="211">
        <v>2.611133419547329E-2</v>
      </c>
      <c r="Y922" s="232"/>
    </row>
    <row r="923" spans="21:25" x14ac:dyDescent="0.2">
      <c r="U923" s="209" t="str">
        <f t="shared" si="17"/>
        <v>1w</v>
      </c>
      <c r="V923" s="207">
        <f>_xll.qlCalendarAdvance(Calendar,V922,U923,"f",FALSE)</f>
        <v>45301</v>
      </c>
      <c r="W923" s="210">
        <f>_xll.qlCalendarAdvance(Calendar,V923,NDays&amp;"D")</f>
        <v>45301</v>
      </c>
      <c r="X923" s="211">
        <v>2.614398525852657E-2</v>
      </c>
      <c r="Y923" s="232"/>
    </row>
    <row r="924" spans="21:25" x14ac:dyDescent="0.2">
      <c r="U924" s="209" t="str">
        <f t="shared" si="17"/>
        <v>1w</v>
      </c>
      <c r="V924" s="207">
        <f>_xll.qlCalendarAdvance(Calendar,V923,U924,"f",FALSE)</f>
        <v>45308</v>
      </c>
      <c r="W924" s="210">
        <f>_xll.qlCalendarAdvance(Calendar,V924,NDays&amp;"D")</f>
        <v>45308</v>
      </c>
      <c r="X924" s="211">
        <v>2.6176901480994275E-2</v>
      </c>
      <c r="Y924" s="232"/>
    </row>
    <row r="925" spans="21:25" x14ac:dyDescent="0.2">
      <c r="U925" s="209" t="str">
        <f t="shared" si="17"/>
        <v>1w</v>
      </c>
      <c r="V925" s="207">
        <f>_xll.qlCalendarAdvance(Calendar,V924,U925,"f",FALSE)</f>
        <v>45315</v>
      </c>
      <c r="W925" s="210">
        <f>_xll.qlCalendarAdvance(Calendar,V925,NDays&amp;"D")</f>
        <v>45315</v>
      </c>
      <c r="X925" s="211">
        <v>2.6210082862716533E-2</v>
      </c>
      <c r="Y925" s="232"/>
    </row>
    <row r="926" spans="21:25" x14ac:dyDescent="0.2">
      <c r="U926" s="209" t="str">
        <f t="shared" si="17"/>
        <v>1w</v>
      </c>
      <c r="V926" s="207">
        <f>_xll.qlCalendarAdvance(Calendar,V925,U926,"f",FALSE)</f>
        <v>45322</v>
      </c>
      <c r="W926" s="210">
        <f>_xll.qlCalendarAdvance(Calendar,V926,NDays&amp;"D")</f>
        <v>45322</v>
      </c>
      <c r="X926" s="211">
        <v>2.6243529404013088E-2</v>
      </c>
      <c r="Y926" s="232"/>
    </row>
    <row r="927" spans="21:25" x14ac:dyDescent="0.2">
      <c r="U927" s="209" t="str">
        <f t="shared" si="17"/>
        <v>1w</v>
      </c>
      <c r="V927" s="207">
        <f>_xll.qlCalendarAdvance(Calendar,V926,U927,"f",FALSE)</f>
        <v>45329</v>
      </c>
      <c r="W927" s="210">
        <f>_xll.qlCalendarAdvance(Calendar,V927,NDays&amp;"D")</f>
        <v>45329</v>
      </c>
      <c r="X927" s="211">
        <v>2.6277241104804006E-2</v>
      </c>
      <c r="Y927" s="232"/>
    </row>
    <row r="928" spans="21:25" x14ac:dyDescent="0.2">
      <c r="U928" s="209" t="str">
        <f t="shared" si="17"/>
        <v>1w</v>
      </c>
      <c r="V928" s="207">
        <f>_xll.qlCalendarAdvance(Calendar,V927,U928,"f",FALSE)</f>
        <v>45336</v>
      </c>
      <c r="W928" s="210">
        <f>_xll.qlCalendarAdvance(Calendar,V928,NDays&amp;"D")</f>
        <v>45336</v>
      </c>
      <c r="X928" s="211">
        <v>2.631121796516922E-2</v>
      </c>
      <c r="Y928" s="232"/>
    </row>
    <row r="929" spans="21:25" x14ac:dyDescent="0.2">
      <c r="U929" s="209" t="str">
        <f t="shared" si="17"/>
        <v>1w</v>
      </c>
      <c r="V929" s="207">
        <f>_xll.qlCalendarAdvance(Calendar,V928,U929,"f",FALSE)</f>
        <v>45343</v>
      </c>
      <c r="W929" s="210">
        <f>_xll.qlCalendarAdvance(Calendar,V929,NDays&amp;"D")</f>
        <v>45343</v>
      </c>
      <c r="X929" s="211">
        <v>2.6345459985268604E-2</v>
      </c>
      <c r="Y929" s="232"/>
    </row>
    <row r="930" spans="21:25" x14ac:dyDescent="0.2">
      <c r="U930" s="209" t="str">
        <f t="shared" si="17"/>
        <v>1w</v>
      </c>
      <c r="V930" s="207">
        <f>_xll.qlCalendarAdvance(Calendar,V929,U930,"f",FALSE)</f>
        <v>45350</v>
      </c>
      <c r="W930" s="210">
        <f>_xll.qlCalendarAdvance(Calendar,V930,NDays&amp;"D")</f>
        <v>45350</v>
      </c>
      <c r="X930" s="211">
        <v>2.6379967165182094E-2</v>
      </c>
      <c r="Y930" s="232"/>
    </row>
    <row r="931" spans="21:25" x14ac:dyDescent="0.2">
      <c r="U931" s="209" t="str">
        <f t="shared" si="17"/>
        <v>1w</v>
      </c>
      <c r="V931" s="207">
        <f>_xll.qlCalendarAdvance(Calendar,V930,U931,"f",FALSE)</f>
        <v>45357</v>
      </c>
      <c r="W931" s="210">
        <f>_xll.qlCalendarAdvance(Calendar,V931,NDays&amp;"D")</f>
        <v>45357</v>
      </c>
      <c r="X931" s="211">
        <v>2.6414739504829754E-2</v>
      </c>
      <c r="Y931" s="232"/>
    </row>
    <row r="932" spans="21:25" x14ac:dyDescent="0.2">
      <c r="U932" s="209" t="str">
        <f t="shared" si="17"/>
        <v>1w</v>
      </c>
      <c r="V932" s="207">
        <f>_xll.qlCalendarAdvance(Calendar,V931,U932,"f",FALSE)</f>
        <v>45364</v>
      </c>
      <c r="W932" s="210">
        <f>_xll.qlCalendarAdvance(Calendar,V932,NDays&amp;"D")</f>
        <v>45364</v>
      </c>
      <c r="X932" s="211">
        <v>2.6449777004451391E-2</v>
      </c>
      <c r="Y932" s="232"/>
    </row>
    <row r="933" spans="21:25" x14ac:dyDescent="0.2">
      <c r="U933" s="209" t="str">
        <f t="shared" si="17"/>
        <v>1w</v>
      </c>
      <c r="V933" s="207">
        <f>_xll.qlCalendarAdvance(Calendar,V932,U933,"f",FALSE)</f>
        <v>45371</v>
      </c>
      <c r="W933" s="210">
        <f>_xll.qlCalendarAdvance(Calendar,V933,NDays&amp;"D")</f>
        <v>45371</v>
      </c>
      <c r="X933" s="211">
        <v>2.6485079664047007E-2</v>
      </c>
      <c r="Y933" s="232"/>
    </row>
    <row r="934" spans="21:25" x14ac:dyDescent="0.2">
      <c r="U934" s="209" t="str">
        <f t="shared" si="17"/>
        <v>1w</v>
      </c>
      <c r="V934" s="207">
        <f>_xll.qlCalendarAdvance(Calendar,V933,U934,"f",FALSE)</f>
        <v>45378</v>
      </c>
      <c r="W934" s="210">
        <f>_xll.qlCalendarAdvance(Calendar,V934,NDays&amp;"D")</f>
        <v>45378</v>
      </c>
      <c r="X934" s="211">
        <v>2.6520647483776472E-2</v>
      </c>
      <c r="Y934" s="232"/>
    </row>
    <row r="935" spans="21:25" x14ac:dyDescent="0.2">
      <c r="U935" s="209" t="str">
        <f t="shared" si="17"/>
        <v>1w</v>
      </c>
      <c r="V935" s="207">
        <f>_xll.qlCalendarAdvance(Calendar,V934,U935,"f",FALSE)</f>
        <v>45385</v>
      </c>
      <c r="W935" s="210">
        <f>_xll.qlCalendarAdvance(Calendar,V935,NDays&amp;"D")</f>
        <v>45385</v>
      </c>
      <c r="X935" s="211">
        <v>2.6556480463559851E-2</v>
      </c>
      <c r="Y935" s="232"/>
    </row>
    <row r="936" spans="21:25" x14ac:dyDescent="0.2">
      <c r="U936" s="209" t="str">
        <f t="shared" si="17"/>
        <v>1w</v>
      </c>
      <c r="V936" s="207">
        <f>_xll.qlCalendarAdvance(Calendar,V935,U936,"f",FALSE)</f>
        <v>45392</v>
      </c>
      <c r="W936" s="210">
        <f>_xll.qlCalendarAdvance(Calendar,V936,NDays&amp;"D")</f>
        <v>45392</v>
      </c>
      <c r="X936" s="211">
        <v>2.6592578603636952E-2</v>
      </c>
      <c r="Y936" s="232"/>
    </row>
    <row r="937" spans="21:25" x14ac:dyDescent="0.2">
      <c r="U937" s="209" t="str">
        <f t="shared" si="17"/>
        <v>1w</v>
      </c>
      <c r="V937" s="207">
        <f>_xll.qlCalendarAdvance(Calendar,V936,U937,"f",FALSE)</f>
        <v>45399</v>
      </c>
      <c r="W937" s="210">
        <f>_xll.qlCalendarAdvance(Calendar,V937,NDays&amp;"D")</f>
        <v>45399</v>
      </c>
      <c r="X937" s="211">
        <v>2.6628941903927839E-2</v>
      </c>
      <c r="Y937" s="232"/>
    </row>
    <row r="938" spans="21:25" x14ac:dyDescent="0.2">
      <c r="U938" s="209" t="str">
        <f t="shared" si="17"/>
        <v>1w</v>
      </c>
      <c r="V938" s="207">
        <f>_xll.qlCalendarAdvance(Calendar,V937,U938,"f",FALSE)</f>
        <v>45406</v>
      </c>
      <c r="W938" s="210">
        <f>_xll.qlCalendarAdvance(Calendar,V938,NDays&amp;"D")</f>
        <v>45406</v>
      </c>
      <c r="X938" s="211">
        <v>2.6665570364752256E-2</v>
      </c>
      <c r="Y938" s="232"/>
    </row>
    <row r="939" spans="21:25" x14ac:dyDescent="0.2">
      <c r="U939" s="209" t="str">
        <f t="shared" si="17"/>
        <v>1w</v>
      </c>
      <c r="V939" s="207">
        <f>_xll.qlCalendarAdvance(Calendar,V938,U939,"f",FALSE)</f>
        <v>45414</v>
      </c>
      <c r="W939" s="210">
        <f>_xll.qlCalendarAdvance(Calendar,V939,NDays&amp;"D")</f>
        <v>45414</v>
      </c>
      <c r="X939" s="211">
        <v>2.6707756149058071E-2</v>
      </c>
      <c r="Y939" s="232"/>
    </row>
    <row r="940" spans="21:25" x14ac:dyDescent="0.2">
      <c r="U940" s="209" t="str">
        <f t="shared" si="17"/>
        <v>1w</v>
      </c>
      <c r="V940" s="207">
        <f>_xll.qlCalendarAdvance(Calendar,V939,U940,"f",FALSE)</f>
        <v>45421</v>
      </c>
      <c r="W940" s="210">
        <f>_xll.qlCalendarAdvance(Calendar,V940,NDays&amp;"D")</f>
        <v>45421</v>
      </c>
      <c r="X940" s="211">
        <v>2.6744952810888734E-2</v>
      </c>
      <c r="Y940" s="232"/>
    </row>
    <row r="941" spans="21:25" x14ac:dyDescent="0.2">
      <c r="U941" s="209" t="str">
        <f t="shared" si="17"/>
        <v>1w</v>
      </c>
      <c r="V941" s="207">
        <f>_xll.qlCalendarAdvance(Calendar,V940,U941,"f",FALSE)</f>
        <v>45428</v>
      </c>
      <c r="W941" s="210">
        <f>_xll.qlCalendarAdvance(Calendar,V941,NDays&amp;"D")</f>
        <v>45428</v>
      </c>
      <c r="X941" s="211">
        <v>2.6782414633412799E-2</v>
      </c>
      <c r="Y941" s="232"/>
    </row>
    <row r="942" spans="21:25" x14ac:dyDescent="0.2">
      <c r="U942" s="209" t="str">
        <f t="shared" si="17"/>
        <v>1w</v>
      </c>
      <c r="V942" s="207">
        <f>_xll.qlCalendarAdvance(Calendar,V941,U942,"f",FALSE)</f>
        <v>45435</v>
      </c>
      <c r="W942" s="210">
        <f>_xll.qlCalendarAdvance(Calendar,V942,NDays&amp;"D")</f>
        <v>45435</v>
      </c>
      <c r="X942" s="211">
        <v>2.6820141616630266E-2</v>
      </c>
      <c r="Y942" s="232"/>
    </row>
    <row r="943" spans="21:25" x14ac:dyDescent="0.2">
      <c r="U943" s="209" t="str">
        <f t="shared" si="17"/>
        <v>1w</v>
      </c>
      <c r="V943" s="207">
        <f>_xll.qlCalendarAdvance(Calendar,V942,U943,"f",FALSE)</f>
        <v>45442</v>
      </c>
      <c r="W943" s="210">
        <f>_xll.qlCalendarAdvance(Calendar,V943,NDays&amp;"D")</f>
        <v>45442</v>
      </c>
      <c r="X943" s="211">
        <v>2.6858133760701008E-2</v>
      </c>
      <c r="Y943" s="232"/>
    </row>
    <row r="944" spans="21:25" x14ac:dyDescent="0.2">
      <c r="U944" s="209" t="str">
        <f t="shared" si="17"/>
        <v>1w</v>
      </c>
      <c r="V944" s="207">
        <f>_xll.qlCalendarAdvance(Calendar,V943,U944,"f",FALSE)</f>
        <v>45449</v>
      </c>
      <c r="W944" s="210">
        <f>_xll.qlCalendarAdvance(Calendar,V944,NDays&amp;"D")</f>
        <v>45449</v>
      </c>
      <c r="X944" s="211">
        <v>2.6896301536440959E-2</v>
      </c>
      <c r="Y944" s="232"/>
    </row>
    <row r="945" spans="21:25" x14ac:dyDescent="0.2">
      <c r="U945" s="209" t="str">
        <f t="shared" si="17"/>
        <v>1w</v>
      </c>
      <c r="V945" s="207">
        <f>_xll.qlCalendarAdvance(Calendar,V944,U945,"f",FALSE)</f>
        <v>45456</v>
      </c>
      <c r="W945" s="210">
        <f>_xll.qlCalendarAdvance(Calendar,V945,NDays&amp;"D")</f>
        <v>45456</v>
      </c>
      <c r="X945" s="211">
        <v>2.6934112607914784E-2</v>
      </c>
      <c r="Y945" s="232"/>
    </row>
    <row r="946" spans="21:25" x14ac:dyDescent="0.2">
      <c r="U946" s="209" t="str">
        <f t="shared" si="17"/>
        <v>1w</v>
      </c>
      <c r="V946" s="207">
        <f>_xll.qlCalendarAdvance(Calendar,V945,U946,"f",FALSE)</f>
        <v>45463</v>
      </c>
      <c r="W946" s="210">
        <f>_xll.qlCalendarAdvance(Calendar,V946,NDays&amp;"D")</f>
        <v>45463</v>
      </c>
      <c r="X946" s="211">
        <v>2.6971477445778547E-2</v>
      </c>
      <c r="Y946" s="232"/>
    </row>
    <row r="947" spans="21:25" x14ac:dyDescent="0.2">
      <c r="U947" s="209" t="str">
        <f t="shared" si="17"/>
        <v>1w</v>
      </c>
      <c r="V947" s="207">
        <f>_xll.qlCalendarAdvance(Calendar,V946,U947,"f",FALSE)</f>
        <v>45470</v>
      </c>
      <c r="W947" s="210">
        <f>_xll.qlCalendarAdvance(Calendar,V947,NDays&amp;"D")</f>
        <v>45470</v>
      </c>
      <c r="X947" s="211">
        <v>2.7008396049872374E-2</v>
      </c>
      <c r="Y947" s="232"/>
    </row>
    <row r="948" spans="21:25" x14ac:dyDescent="0.2">
      <c r="U948" s="209" t="str">
        <f t="shared" si="17"/>
        <v>1w</v>
      </c>
      <c r="V948" s="207">
        <f>_xll.qlCalendarAdvance(Calendar,V947,U948,"f",FALSE)</f>
        <v>45477</v>
      </c>
      <c r="W948" s="210">
        <f>_xll.qlCalendarAdvance(Calendar,V948,NDays&amp;"D")</f>
        <v>45477</v>
      </c>
      <c r="X948" s="211">
        <v>2.704486842011633E-2</v>
      </c>
      <c r="Y948" s="232"/>
    </row>
    <row r="949" spans="21:25" x14ac:dyDescent="0.2">
      <c r="U949" s="209" t="str">
        <f t="shared" si="17"/>
        <v>1w</v>
      </c>
      <c r="V949" s="207">
        <f>_xll.qlCalendarAdvance(Calendar,V948,U949,"f",FALSE)</f>
        <v>45484</v>
      </c>
      <c r="W949" s="210">
        <f>_xll.qlCalendarAdvance(Calendar,V949,NDays&amp;"D")</f>
        <v>45484</v>
      </c>
      <c r="X949" s="211">
        <v>2.7080894556350543E-2</v>
      </c>
      <c r="Y949" s="232"/>
    </row>
    <row r="950" spans="21:25" x14ac:dyDescent="0.2">
      <c r="U950" s="209" t="str">
        <f t="shared" si="17"/>
        <v>1w</v>
      </c>
      <c r="V950" s="207">
        <f>_xll.qlCalendarAdvance(Calendar,V949,U950,"f",FALSE)</f>
        <v>45491</v>
      </c>
      <c r="W950" s="210">
        <f>_xll.qlCalendarAdvance(Calendar,V950,NDays&amp;"D")</f>
        <v>45491</v>
      </c>
      <c r="X950" s="211">
        <v>2.7116474458335205E-2</v>
      </c>
      <c r="Y950" s="232"/>
    </row>
    <row r="951" spans="21:25" x14ac:dyDescent="0.2">
      <c r="U951" s="209" t="str">
        <f t="shared" si="17"/>
        <v>1w</v>
      </c>
      <c r="V951" s="207">
        <f>_xll.qlCalendarAdvance(Calendar,V950,U951,"f",FALSE)</f>
        <v>45498</v>
      </c>
      <c r="W951" s="210">
        <f>_xll.qlCalendarAdvance(Calendar,V951,NDays&amp;"D")</f>
        <v>45498</v>
      </c>
      <c r="X951" s="211">
        <v>2.7151608126070315E-2</v>
      </c>
      <c r="Y951" s="232"/>
    </row>
    <row r="952" spans="21:25" x14ac:dyDescent="0.2">
      <c r="U952" s="209" t="str">
        <f t="shared" si="17"/>
        <v>1w</v>
      </c>
      <c r="V952" s="207">
        <f>_xll.qlCalendarAdvance(Calendar,V951,U952,"f",FALSE)</f>
        <v>45505</v>
      </c>
      <c r="W952" s="210">
        <f>_xll.qlCalendarAdvance(Calendar,V952,NDays&amp;"D")</f>
        <v>45505</v>
      </c>
      <c r="X952" s="211">
        <v>2.7186295559475937E-2</v>
      </c>
      <c r="Y952" s="232"/>
    </row>
    <row r="953" spans="21:25" x14ac:dyDescent="0.2">
      <c r="U953" s="209" t="str">
        <f t="shared" si="17"/>
        <v>1w</v>
      </c>
      <c r="V953" s="207">
        <f>_xll.qlCalendarAdvance(Calendar,V952,U953,"f",FALSE)</f>
        <v>45512</v>
      </c>
      <c r="W953" s="210">
        <f>_xll.qlCalendarAdvance(Calendar,V953,NDays&amp;"D")</f>
        <v>45512</v>
      </c>
      <c r="X953" s="211">
        <v>2.7220536758232328E-2</v>
      </c>
      <c r="Y953" s="232"/>
    </row>
    <row r="954" spans="21:25" x14ac:dyDescent="0.2">
      <c r="U954" s="209" t="str">
        <f t="shared" si="17"/>
        <v>1w</v>
      </c>
      <c r="V954" s="207">
        <f>_xll.qlCalendarAdvance(Calendar,V953,U954,"f",FALSE)</f>
        <v>45519</v>
      </c>
      <c r="W954" s="210">
        <f>_xll.qlCalendarAdvance(Calendar,V954,NDays&amp;"D")</f>
        <v>45519</v>
      </c>
      <c r="X954" s="211">
        <v>2.7254331722339487E-2</v>
      </c>
      <c r="Y954" s="232"/>
    </row>
    <row r="955" spans="21:25" x14ac:dyDescent="0.2">
      <c r="U955" s="209" t="str">
        <f t="shared" si="17"/>
        <v>1w</v>
      </c>
      <c r="V955" s="207">
        <f>_xll.qlCalendarAdvance(Calendar,V954,U955,"f",FALSE)</f>
        <v>45526</v>
      </c>
      <c r="W955" s="210">
        <f>_xll.qlCalendarAdvance(Calendar,V955,NDays&amp;"D")</f>
        <v>45526</v>
      </c>
      <c r="X955" s="211">
        <v>2.7287680451637542E-2</v>
      </c>
      <c r="Y955" s="232"/>
    </row>
    <row r="956" spans="21:25" x14ac:dyDescent="0.2">
      <c r="U956" s="209" t="str">
        <f t="shared" si="17"/>
        <v>1w</v>
      </c>
      <c r="V956" s="207">
        <f>_xll.qlCalendarAdvance(Calendar,V955,U956,"f",FALSE)</f>
        <v>45533</v>
      </c>
      <c r="W956" s="210">
        <f>_xll.qlCalendarAdvance(Calendar,V956,NDays&amp;"D")</f>
        <v>45533</v>
      </c>
      <c r="X956" s="211">
        <v>2.7320582946046557E-2</v>
      </c>
      <c r="Y956" s="232"/>
    </row>
    <row r="957" spans="21:25" x14ac:dyDescent="0.2">
      <c r="U957" s="209" t="str">
        <f t="shared" si="17"/>
        <v>1w</v>
      </c>
      <c r="V957" s="207">
        <f>_xll.qlCalendarAdvance(Calendar,V956,U957,"f",FALSE)</f>
        <v>45540</v>
      </c>
      <c r="W957" s="210">
        <f>_xll.qlCalendarAdvance(Calendar,V957,NDays&amp;"D")</f>
        <v>45540</v>
      </c>
      <c r="X957" s="211">
        <v>2.735303920540666E-2</v>
      </c>
      <c r="Y957" s="232"/>
    </row>
    <row r="958" spans="21:25" x14ac:dyDescent="0.2">
      <c r="U958" s="209" t="str">
        <f t="shared" si="17"/>
        <v>1w</v>
      </c>
      <c r="V958" s="207">
        <f>_xll.qlCalendarAdvance(Calendar,V957,U958,"f",FALSE)</f>
        <v>45547</v>
      </c>
      <c r="W958" s="210">
        <f>_xll.qlCalendarAdvance(Calendar,V958,NDays&amp;"D")</f>
        <v>45547</v>
      </c>
      <c r="X958" s="211">
        <v>2.7385049229557978E-2</v>
      </c>
      <c r="Y958" s="232"/>
    </row>
    <row r="959" spans="21:25" x14ac:dyDescent="0.2">
      <c r="U959" s="209" t="str">
        <f t="shared" si="17"/>
        <v>1w</v>
      </c>
      <c r="V959" s="207">
        <f>_xll.qlCalendarAdvance(Calendar,V958,U959,"f",FALSE)</f>
        <v>45554</v>
      </c>
      <c r="W959" s="210">
        <f>_xll.qlCalendarAdvance(Calendar,V959,NDays&amp;"D")</f>
        <v>45554</v>
      </c>
      <c r="X959" s="211">
        <v>2.7416613018500513E-2</v>
      </c>
      <c r="Y959" s="232"/>
    </row>
    <row r="960" spans="21:25" x14ac:dyDescent="0.2">
      <c r="U960" s="209" t="str">
        <f t="shared" si="17"/>
        <v>1w</v>
      </c>
      <c r="V960" s="207">
        <f>_xll.qlCalendarAdvance(Calendar,V959,U960,"f",FALSE)</f>
        <v>45561</v>
      </c>
      <c r="W960" s="210">
        <f>_xll.qlCalendarAdvance(Calendar,V960,NDays&amp;"D")</f>
        <v>45561</v>
      </c>
      <c r="X960" s="211">
        <v>2.7447730571834583E-2</v>
      </c>
      <c r="Y960" s="232"/>
    </row>
    <row r="961" spans="21:25" x14ac:dyDescent="0.2">
      <c r="U961" s="209" t="str">
        <f t="shared" si="17"/>
        <v>1w</v>
      </c>
      <c r="V961" s="207">
        <f>_xll.qlCalendarAdvance(Calendar,V960,U961,"f",FALSE)</f>
        <v>45568</v>
      </c>
      <c r="W961" s="210">
        <f>_xll.qlCalendarAdvance(Calendar,V961,NDays&amp;"D")</f>
        <v>45568</v>
      </c>
      <c r="X961" s="211">
        <v>2.7478401889879933E-2</v>
      </c>
      <c r="Y961" s="232"/>
    </row>
    <row r="962" spans="21:25" x14ac:dyDescent="0.2">
      <c r="U962" s="209" t="str">
        <f t="shared" si="17"/>
        <v>1w</v>
      </c>
      <c r="V962" s="207">
        <f>_xll.qlCalendarAdvance(Calendar,V961,U962,"f",FALSE)</f>
        <v>45575</v>
      </c>
      <c r="W962" s="210">
        <f>_xll.qlCalendarAdvance(Calendar,V962,NDays&amp;"D")</f>
        <v>45575</v>
      </c>
      <c r="X962" s="211">
        <v>2.7508626972156947E-2</v>
      </c>
      <c r="Y962" s="232"/>
    </row>
    <row r="963" spans="21:25" x14ac:dyDescent="0.2">
      <c r="U963" s="209" t="str">
        <f t="shared" si="17"/>
        <v>1w</v>
      </c>
      <c r="V963" s="207">
        <f>_xll.qlCalendarAdvance(Calendar,V962,U963,"f",FALSE)</f>
        <v>45582</v>
      </c>
      <c r="W963" s="210">
        <f>_xll.qlCalendarAdvance(Calendar,V963,NDays&amp;"D")</f>
        <v>45582</v>
      </c>
      <c r="X963" s="211">
        <v>2.7538405818745559E-2</v>
      </c>
      <c r="Y963" s="232"/>
    </row>
    <row r="964" spans="21:25" x14ac:dyDescent="0.2">
      <c r="U964" s="209" t="str">
        <f t="shared" si="17"/>
        <v>1w</v>
      </c>
      <c r="V964" s="207">
        <f>_xll.qlCalendarAdvance(Calendar,V963,U964,"f",FALSE)</f>
        <v>45589</v>
      </c>
      <c r="W964" s="210">
        <f>_xll.qlCalendarAdvance(Calendar,V964,NDays&amp;"D")</f>
        <v>45589</v>
      </c>
      <c r="X964" s="211">
        <v>2.75677384294859E-2</v>
      </c>
      <c r="Y964" s="232"/>
    </row>
    <row r="965" spans="21:25" x14ac:dyDescent="0.2">
      <c r="U965" s="209" t="str">
        <f t="shared" si="17"/>
        <v>1w</v>
      </c>
      <c r="V965" s="207">
        <f>_xll.qlCalendarAdvance(Calendar,V964,U965,"f",FALSE)</f>
        <v>45596</v>
      </c>
      <c r="W965" s="210">
        <f>_xll.qlCalendarAdvance(Calendar,V965,NDays&amp;"D")</f>
        <v>45596</v>
      </c>
      <c r="X965" s="211">
        <v>2.7596624804218095E-2</v>
      </c>
      <c r="Y965" s="232"/>
    </row>
    <row r="966" spans="21:25" x14ac:dyDescent="0.2">
      <c r="U966" s="209" t="str">
        <f t="shared" si="17"/>
        <v>1w</v>
      </c>
      <c r="V966" s="207">
        <f>_xll.qlCalendarAdvance(Calendar,V965,U966,"f",FALSE)</f>
        <v>45603</v>
      </c>
      <c r="W966" s="210">
        <f>_xll.qlCalendarAdvance(Calendar,V966,NDays&amp;"D")</f>
        <v>45603</v>
      </c>
      <c r="X966" s="211">
        <v>2.7625064942942146E-2</v>
      </c>
      <c r="Y966" s="232"/>
    </row>
    <row r="967" spans="21:25" x14ac:dyDescent="0.2">
      <c r="U967" s="209" t="str">
        <f t="shared" si="17"/>
        <v>1w</v>
      </c>
      <c r="V967" s="207">
        <f>_xll.qlCalendarAdvance(Calendar,V966,U967,"f",FALSE)</f>
        <v>45610</v>
      </c>
      <c r="W967" s="210">
        <f>_xll.qlCalendarAdvance(Calendar,V967,NDays&amp;"D")</f>
        <v>45610</v>
      </c>
      <c r="X967" s="211">
        <v>2.7653058845418244E-2</v>
      </c>
      <c r="Y967" s="232"/>
    </row>
    <row r="968" spans="21:25" x14ac:dyDescent="0.2">
      <c r="U968" s="209" t="str">
        <f t="shared" si="17"/>
        <v>1w</v>
      </c>
      <c r="V968" s="207">
        <f>_xll.qlCalendarAdvance(Calendar,V967,U968,"f",FALSE)</f>
        <v>45617</v>
      </c>
      <c r="W968" s="210">
        <f>_xll.qlCalendarAdvance(Calendar,V968,NDays&amp;"D")</f>
        <v>45617</v>
      </c>
      <c r="X968" s="211">
        <v>2.7680606511646388E-2</v>
      </c>
      <c r="Y968" s="232"/>
    </row>
    <row r="969" spans="21:25" x14ac:dyDescent="0.2">
      <c r="U969" s="209" t="str">
        <f t="shared" si="17"/>
        <v>1w</v>
      </c>
      <c r="V969" s="207">
        <f>_xll.qlCalendarAdvance(Calendar,V968,U969,"f",FALSE)</f>
        <v>45624</v>
      </c>
      <c r="W969" s="210">
        <f>_xll.qlCalendarAdvance(Calendar,V969,NDays&amp;"D")</f>
        <v>45624</v>
      </c>
      <c r="X969" s="211">
        <v>2.7707707941466708E-2</v>
      </c>
      <c r="Y969" s="232"/>
    </row>
    <row r="970" spans="21:25" x14ac:dyDescent="0.2">
      <c r="U970" s="209" t="str">
        <f t="shared" si="17"/>
        <v>1w</v>
      </c>
      <c r="V970" s="207">
        <f>_xll.qlCalendarAdvance(Calendar,V969,U970,"f",FALSE)</f>
        <v>45631</v>
      </c>
      <c r="W970" s="210">
        <f>_xll.qlCalendarAdvance(Calendar,V970,NDays&amp;"D")</f>
        <v>45631</v>
      </c>
      <c r="X970" s="211">
        <v>2.7734363134799267E-2</v>
      </c>
      <c r="Y970" s="232"/>
    </row>
    <row r="971" spans="21:25" x14ac:dyDescent="0.2">
      <c r="U971" s="209" t="str">
        <f t="shared" si="17"/>
        <v>1w</v>
      </c>
      <c r="V971" s="207">
        <f>_xll.qlCalendarAdvance(Calendar,V970,U971,"f",FALSE)</f>
        <v>45638</v>
      </c>
      <c r="W971" s="210">
        <f>_xll.qlCalendarAdvance(Calendar,V971,NDays&amp;"D")</f>
        <v>45638</v>
      </c>
      <c r="X971" s="211">
        <v>2.7760572091564129E-2</v>
      </c>
      <c r="Y971" s="232"/>
    </row>
    <row r="972" spans="21:25" x14ac:dyDescent="0.2">
      <c r="U972" s="209" t="str">
        <f t="shared" si="17"/>
        <v>1w</v>
      </c>
      <c r="V972" s="207">
        <f>_xll.qlCalendarAdvance(Calendar,V971,U972,"f",FALSE)</f>
        <v>45645</v>
      </c>
      <c r="W972" s="210">
        <f>_xll.qlCalendarAdvance(Calendar,V972,NDays&amp;"D")</f>
        <v>45645</v>
      </c>
      <c r="X972" s="211">
        <v>2.7786334811681357E-2</v>
      </c>
      <c r="Y972" s="232"/>
    </row>
    <row r="973" spans="21:25" x14ac:dyDescent="0.2">
      <c r="U973" s="209" t="str">
        <f t="shared" ref="U973:U1036" si="18">U972</f>
        <v>1w</v>
      </c>
      <c r="V973" s="207">
        <f>_xll.qlCalendarAdvance(Calendar,V972,U973,"f",FALSE)</f>
        <v>45653</v>
      </c>
      <c r="W973" s="210">
        <f>_xll.qlCalendarAdvance(Calendar,V973,NDays&amp;"D")</f>
        <v>45653</v>
      </c>
      <c r="X973" s="211">
        <v>2.7820949316037513E-2</v>
      </c>
      <c r="Y973" s="232"/>
    </row>
    <row r="974" spans="21:25" x14ac:dyDescent="0.2">
      <c r="U974" s="209" t="str">
        <f t="shared" si="18"/>
        <v>1w</v>
      </c>
      <c r="V974" s="207">
        <f>_xll.qlCalendarAdvance(Calendar,V973,U974,"f",FALSE)</f>
        <v>45660</v>
      </c>
      <c r="W974" s="210">
        <f>_xll.qlCalendarAdvance(Calendar,V974,NDays&amp;"D")</f>
        <v>45660</v>
      </c>
      <c r="X974" s="211">
        <v>2.7845695891972611E-2</v>
      </c>
      <c r="Y974" s="232"/>
    </row>
    <row r="975" spans="21:25" x14ac:dyDescent="0.2">
      <c r="U975" s="209" t="str">
        <f t="shared" si="18"/>
        <v>1w</v>
      </c>
      <c r="V975" s="207">
        <f>_xll.qlCalendarAdvance(Calendar,V974,U975,"f",FALSE)</f>
        <v>45667</v>
      </c>
      <c r="W975" s="210">
        <f>_xll.qlCalendarAdvance(Calendar,V975,NDays&amp;"D")</f>
        <v>45667</v>
      </c>
      <c r="X975" s="211">
        <v>2.7869996165259536E-2</v>
      </c>
      <c r="Y975" s="232"/>
    </row>
    <row r="976" spans="21:25" x14ac:dyDescent="0.2">
      <c r="U976" s="209" t="str">
        <f t="shared" si="18"/>
        <v>1w</v>
      </c>
      <c r="V976" s="207">
        <f>_xll.qlCalendarAdvance(Calendar,V975,U976,"f",FALSE)</f>
        <v>45674</v>
      </c>
      <c r="W976" s="210">
        <f>_xll.qlCalendarAdvance(Calendar,V976,NDays&amp;"D")</f>
        <v>45674</v>
      </c>
      <c r="X976" s="211">
        <v>2.7893850135605192E-2</v>
      </c>
      <c r="Y976" s="232"/>
    </row>
    <row r="977" spans="21:25" x14ac:dyDescent="0.2">
      <c r="U977" s="209" t="str">
        <f t="shared" si="18"/>
        <v>1w</v>
      </c>
      <c r="V977" s="207">
        <f>_xll.qlCalendarAdvance(Calendar,V976,U977,"f",FALSE)</f>
        <v>45681</v>
      </c>
      <c r="W977" s="210">
        <f>_xll.qlCalendarAdvance(Calendar,V977,NDays&amp;"D")</f>
        <v>45681</v>
      </c>
      <c r="X977" s="211">
        <v>2.7917257802716477E-2</v>
      </c>
      <c r="Y977" s="232"/>
    </row>
    <row r="978" spans="21:25" x14ac:dyDescent="0.2">
      <c r="U978" s="209" t="str">
        <f t="shared" si="18"/>
        <v>1w</v>
      </c>
      <c r="V978" s="207">
        <f>_xll.qlCalendarAdvance(Calendar,V977,U978,"f",FALSE)</f>
        <v>45688</v>
      </c>
      <c r="W978" s="210">
        <f>_xll.qlCalendarAdvance(Calendar,V978,NDays&amp;"D")</f>
        <v>45688</v>
      </c>
      <c r="X978" s="211">
        <v>2.7940219166353586E-2</v>
      </c>
      <c r="Y978" s="232"/>
    </row>
    <row r="979" spans="21:25" x14ac:dyDescent="0.2">
      <c r="U979" s="209" t="str">
        <f t="shared" si="18"/>
        <v>1w</v>
      </c>
      <c r="V979" s="207">
        <f>_xll.qlCalendarAdvance(Calendar,V978,U979,"f",FALSE)</f>
        <v>45695</v>
      </c>
      <c r="W979" s="210">
        <f>_xll.qlCalendarAdvance(Calendar,V979,NDays&amp;"D")</f>
        <v>45695</v>
      </c>
      <c r="X979" s="211">
        <v>2.7962734226250063E-2</v>
      </c>
      <c r="Y979" s="232"/>
    </row>
    <row r="980" spans="21:25" x14ac:dyDescent="0.2">
      <c r="U980" s="209" t="str">
        <f t="shared" si="18"/>
        <v>1w</v>
      </c>
      <c r="V980" s="207">
        <f>_xll.qlCalendarAdvance(Calendar,V979,U980,"f",FALSE)</f>
        <v>45702</v>
      </c>
      <c r="W980" s="210">
        <f>_xll.qlCalendarAdvance(Calendar,V980,NDays&amp;"D")</f>
        <v>45702</v>
      </c>
      <c r="X980" s="211">
        <v>2.7984802982166102E-2</v>
      </c>
      <c r="Y980" s="232"/>
    </row>
    <row r="981" spans="21:25" x14ac:dyDescent="0.2">
      <c r="U981" s="209" t="str">
        <f t="shared" si="18"/>
        <v>1w</v>
      </c>
      <c r="V981" s="207">
        <f>_xll.qlCalendarAdvance(Calendar,V980,U981,"f",FALSE)</f>
        <v>45709</v>
      </c>
      <c r="W981" s="210">
        <f>_xll.qlCalendarAdvance(Calendar,V981,NDays&amp;"D")</f>
        <v>45709</v>
      </c>
      <c r="X981" s="211">
        <v>2.8006425433861892E-2</v>
      </c>
      <c r="Y981" s="232"/>
    </row>
    <row r="982" spans="21:25" x14ac:dyDescent="0.2">
      <c r="U982" s="209" t="str">
        <f t="shared" si="18"/>
        <v>1w</v>
      </c>
      <c r="V982" s="207">
        <f>_xll.qlCalendarAdvance(Calendar,V981,U982,"f",FALSE)</f>
        <v>45716</v>
      </c>
      <c r="W982" s="210">
        <f>_xll.qlCalendarAdvance(Calendar,V982,NDays&amp;"D")</f>
        <v>45716</v>
      </c>
      <c r="X982" s="211">
        <v>2.8027601581070982E-2</v>
      </c>
      <c r="Y982" s="232"/>
    </row>
    <row r="983" spans="21:25" x14ac:dyDescent="0.2">
      <c r="U983" s="209" t="str">
        <f t="shared" si="18"/>
        <v>1w</v>
      </c>
      <c r="V983" s="207">
        <f>_xll.qlCalendarAdvance(Calendar,V982,U983,"f",FALSE)</f>
        <v>45723</v>
      </c>
      <c r="W983" s="210">
        <f>_xll.qlCalendarAdvance(Calendar,V983,NDays&amp;"D")</f>
        <v>45723</v>
      </c>
      <c r="X983" s="211">
        <v>2.8048331423580208E-2</v>
      </c>
      <c r="Y983" s="232"/>
    </row>
    <row r="984" spans="21:25" x14ac:dyDescent="0.2">
      <c r="U984" s="209" t="str">
        <f t="shared" si="18"/>
        <v>1w</v>
      </c>
      <c r="V984" s="207">
        <f>_xll.qlCalendarAdvance(Calendar,V983,U984,"f",FALSE)</f>
        <v>45730</v>
      </c>
      <c r="W984" s="210">
        <f>_xll.qlCalendarAdvance(Calendar,V984,NDays&amp;"D")</f>
        <v>45730</v>
      </c>
      <c r="X984" s="211">
        <v>2.8068614961123117E-2</v>
      </c>
      <c r="Y984" s="232"/>
    </row>
    <row r="985" spans="21:25" x14ac:dyDescent="0.2">
      <c r="U985" s="209" t="str">
        <f t="shared" si="18"/>
        <v>1w</v>
      </c>
      <c r="V985" s="207">
        <f>_xll.qlCalendarAdvance(Calendar,V984,U985,"f",FALSE)</f>
        <v>45737</v>
      </c>
      <c r="W985" s="210">
        <f>_xll.qlCalendarAdvance(Calendar,V985,NDays&amp;"D")</f>
        <v>45737</v>
      </c>
      <c r="X985" s="211">
        <v>2.8088452193513191E-2</v>
      </c>
      <c r="Y985" s="232"/>
    </row>
    <row r="986" spans="21:25" x14ac:dyDescent="0.2">
      <c r="U986" s="209" t="str">
        <f t="shared" si="18"/>
        <v>1w</v>
      </c>
      <c r="V986" s="207">
        <f>_xll.qlCalendarAdvance(Calendar,V985,U986,"f",FALSE)</f>
        <v>45744</v>
      </c>
      <c r="W986" s="210">
        <f>_xll.qlCalendarAdvance(Calendar,V986,NDays&amp;"D")</f>
        <v>45744</v>
      </c>
      <c r="X986" s="211">
        <v>2.8107843120537268E-2</v>
      </c>
      <c r="Y986" s="232"/>
    </row>
    <row r="987" spans="21:25" x14ac:dyDescent="0.2">
      <c r="U987" s="209" t="str">
        <f t="shared" si="18"/>
        <v>1w</v>
      </c>
      <c r="V987" s="207">
        <f>_xll.qlCalendarAdvance(Calendar,V986,U987,"f",FALSE)</f>
        <v>45751</v>
      </c>
      <c r="W987" s="210">
        <f>_xll.qlCalendarAdvance(Calendar,V987,NDays&amp;"D")</f>
        <v>45751</v>
      </c>
      <c r="X987" s="211">
        <v>2.8126787741928894E-2</v>
      </c>
      <c r="Y987" s="232"/>
    </row>
    <row r="988" spans="21:25" x14ac:dyDescent="0.2">
      <c r="U988" s="209" t="str">
        <f t="shared" si="18"/>
        <v>1w</v>
      </c>
      <c r="V988" s="207">
        <f>_xll.qlCalendarAdvance(Calendar,V987,U988,"f",FALSE)</f>
        <v>45758</v>
      </c>
      <c r="W988" s="210">
        <f>_xll.qlCalendarAdvance(Calendar,V988,NDays&amp;"D")</f>
        <v>45758</v>
      </c>
      <c r="X988" s="211">
        <v>2.8145286057501551E-2</v>
      </c>
      <c r="Y988" s="232"/>
    </row>
    <row r="989" spans="21:25" x14ac:dyDescent="0.2">
      <c r="U989" s="209" t="str">
        <f t="shared" si="18"/>
        <v>1w</v>
      </c>
      <c r="V989" s="207">
        <f>_xll.qlCalendarAdvance(Calendar,V988,U989,"f",FALSE)</f>
        <v>45769</v>
      </c>
      <c r="W989" s="210">
        <f>_xll.qlCalendarAdvance(Calendar,V989,NDays&amp;"D")</f>
        <v>45769</v>
      </c>
      <c r="X989" s="211">
        <v>2.8168736892002499E-2</v>
      </c>
      <c r="Y989" s="232"/>
    </row>
    <row r="990" spans="21:25" x14ac:dyDescent="0.2">
      <c r="U990" s="209" t="str">
        <f t="shared" si="18"/>
        <v>1w</v>
      </c>
      <c r="V990" s="207">
        <f>_xll.qlCalendarAdvance(Calendar,V989,U990,"f",FALSE)</f>
        <v>45776</v>
      </c>
      <c r="W990" s="210">
        <f>_xll.qlCalendarAdvance(Calendar,V990,NDays&amp;"D")</f>
        <v>45776</v>
      </c>
      <c r="X990" s="211">
        <v>2.8186148595521487E-2</v>
      </c>
      <c r="Y990" s="232"/>
    </row>
    <row r="991" spans="21:25" x14ac:dyDescent="0.2">
      <c r="U991" s="209" t="str">
        <f t="shared" si="18"/>
        <v>1w</v>
      </c>
      <c r="V991" s="207">
        <f>_xll.qlCalendarAdvance(Calendar,V990,U991,"f",FALSE)</f>
        <v>45783</v>
      </c>
      <c r="W991" s="210">
        <f>_xll.qlCalendarAdvance(Calendar,V991,NDays&amp;"D")</f>
        <v>45783</v>
      </c>
      <c r="X991" s="211">
        <v>2.8203114060634249E-2</v>
      </c>
      <c r="Y991" s="232"/>
    </row>
    <row r="992" spans="21:25" x14ac:dyDescent="0.2">
      <c r="U992" s="209" t="str">
        <f t="shared" si="18"/>
        <v>1w</v>
      </c>
      <c r="V992" s="207">
        <f>_xll.qlCalendarAdvance(Calendar,V991,U992,"f",FALSE)</f>
        <v>45790</v>
      </c>
      <c r="W992" s="210">
        <f>_xll.qlCalendarAdvance(Calendar,V992,NDays&amp;"D")</f>
        <v>45790</v>
      </c>
      <c r="X992" s="211">
        <v>2.821963328742072E-2</v>
      </c>
      <c r="Y992" s="232"/>
    </row>
    <row r="993" spans="21:25" x14ac:dyDescent="0.2">
      <c r="U993" s="209" t="str">
        <f t="shared" si="18"/>
        <v>1w</v>
      </c>
      <c r="V993" s="207">
        <f>_xll.qlCalendarAdvance(Calendar,V992,U993,"f",FALSE)</f>
        <v>45797</v>
      </c>
      <c r="W993" s="210">
        <f>_xll.qlCalendarAdvance(Calendar,V993,NDays&amp;"D")</f>
        <v>45797</v>
      </c>
      <c r="X993" s="211">
        <v>2.8235706275880901E-2</v>
      </c>
      <c r="Y993" s="232"/>
    </row>
    <row r="994" spans="21:25" x14ac:dyDescent="0.2">
      <c r="U994" s="209" t="str">
        <f t="shared" si="18"/>
        <v>1w</v>
      </c>
      <c r="V994" s="207">
        <f>_xll.qlCalendarAdvance(Calendar,V993,U994,"f",FALSE)</f>
        <v>45804</v>
      </c>
      <c r="W994" s="210">
        <f>_xll.qlCalendarAdvance(Calendar,V994,NDays&amp;"D")</f>
        <v>45804</v>
      </c>
      <c r="X994" s="211">
        <v>2.8251333025854919E-2</v>
      </c>
      <c r="Y994" s="232"/>
    </row>
    <row r="995" spans="21:25" x14ac:dyDescent="0.2">
      <c r="U995" s="209" t="str">
        <f t="shared" si="18"/>
        <v>1w</v>
      </c>
      <c r="V995" s="207">
        <f>_xll.qlCalendarAdvance(Calendar,V994,U995,"f",FALSE)</f>
        <v>45811</v>
      </c>
      <c r="W995" s="210">
        <f>_xll.qlCalendarAdvance(Calendar,V995,NDays&amp;"D")</f>
        <v>45811</v>
      </c>
      <c r="X995" s="211">
        <v>2.8266523718478709E-2</v>
      </c>
      <c r="Y995" s="232"/>
    </row>
    <row r="996" spans="21:25" x14ac:dyDescent="0.2">
      <c r="U996" s="209" t="str">
        <f t="shared" si="18"/>
        <v>1w</v>
      </c>
      <c r="V996" s="207">
        <f>_xll.qlCalendarAdvance(Calendar,V995,U996,"f",FALSE)</f>
        <v>45818</v>
      </c>
      <c r="W996" s="210">
        <f>_xll.qlCalendarAdvance(Calendar,V996,NDays&amp;"D")</f>
        <v>45818</v>
      </c>
      <c r="X996" s="211">
        <v>2.8281563428516066E-2</v>
      </c>
      <c r="Y996" s="232"/>
    </row>
    <row r="997" spans="21:25" x14ac:dyDescent="0.2">
      <c r="U997" s="209" t="str">
        <f t="shared" si="18"/>
        <v>1w</v>
      </c>
      <c r="V997" s="207">
        <f>_xll.qlCalendarAdvance(Calendar,V996,U997,"f",FALSE)</f>
        <v>45825</v>
      </c>
      <c r="W997" s="210">
        <f>_xll.qlCalendarAdvance(Calendar,V997,NDays&amp;"D")</f>
        <v>45825</v>
      </c>
      <c r="X997" s="211">
        <v>2.8296584511773304E-2</v>
      </c>
      <c r="Y997" s="232"/>
    </row>
    <row r="998" spans="21:25" x14ac:dyDescent="0.2">
      <c r="U998" s="209" t="str">
        <f t="shared" si="18"/>
        <v>1w</v>
      </c>
      <c r="V998" s="207">
        <f>_xll.qlCalendarAdvance(Calendar,V997,U998,"f",FALSE)</f>
        <v>45832</v>
      </c>
      <c r="W998" s="210">
        <f>_xll.qlCalendarAdvance(Calendar,V998,NDays&amp;"D")</f>
        <v>45832</v>
      </c>
      <c r="X998" s="211">
        <v>2.8311586968410296E-2</v>
      </c>
      <c r="Y998" s="232"/>
    </row>
    <row r="999" spans="21:25" x14ac:dyDescent="0.2">
      <c r="U999" s="209" t="str">
        <f t="shared" si="18"/>
        <v>1w</v>
      </c>
      <c r="V999" s="207">
        <f>_xll.qlCalendarAdvance(Calendar,V998,U999,"f",FALSE)</f>
        <v>45839</v>
      </c>
      <c r="W999" s="210">
        <f>_xll.qlCalendarAdvance(Calendar,V999,NDays&amp;"D")</f>
        <v>45839</v>
      </c>
      <c r="X999" s="211">
        <v>2.832657079826717E-2</v>
      </c>
      <c r="Y999" s="232"/>
    </row>
    <row r="1000" spans="21:25" x14ac:dyDescent="0.2">
      <c r="U1000" s="209" t="str">
        <f t="shared" si="18"/>
        <v>1w</v>
      </c>
      <c r="V1000" s="207">
        <f>_xll.qlCalendarAdvance(Calendar,V999,U1000,"f",FALSE)</f>
        <v>45846</v>
      </c>
      <c r="W1000" s="210">
        <f>_xll.qlCalendarAdvance(Calendar,V1000,NDays&amp;"D")</f>
        <v>45846</v>
      </c>
      <c r="X1000" s="211">
        <v>2.8341536001503798E-2</v>
      </c>
      <c r="Y1000" s="232"/>
    </row>
    <row r="1001" spans="21:25" x14ac:dyDescent="0.2">
      <c r="U1001" s="209" t="str">
        <f t="shared" si="18"/>
        <v>1w</v>
      </c>
      <c r="V1001" s="207">
        <f>_xll.qlCalendarAdvance(Calendar,V1000,U1001,"f",FALSE)</f>
        <v>45853</v>
      </c>
      <c r="W1001" s="210">
        <f>_xll.qlCalendarAdvance(Calendar,V1001,NDays&amp;"D")</f>
        <v>45853</v>
      </c>
      <c r="X1001" s="211">
        <v>2.8356482577960307E-2</v>
      </c>
      <c r="Y1001" s="232"/>
    </row>
    <row r="1002" spans="21:25" x14ac:dyDescent="0.2">
      <c r="U1002" s="209" t="str">
        <f t="shared" si="18"/>
        <v>1w</v>
      </c>
      <c r="V1002" s="207">
        <f>_xll.qlCalendarAdvance(Calendar,V1001,U1002,"f",FALSE)</f>
        <v>45860</v>
      </c>
      <c r="W1002" s="210">
        <f>_xll.qlCalendarAdvance(Calendar,V1002,NDays&amp;"D")</f>
        <v>45860</v>
      </c>
      <c r="X1002" s="211">
        <v>2.837141052779657E-2</v>
      </c>
      <c r="Y1002" s="232"/>
    </row>
    <row r="1003" spans="21:25" x14ac:dyDescent="0.2">
      <c r="U1003" s="209" t="str">
        <f t="shared" si="18"/>
        <v>1w</v>
      </c>
      <c r="V1003" s="207">
        <f>_xll.qlCalendarAdvance(Calendar,V1002,U1003,"f",FALSE)</f>
        <v>45867</v>
      </c>
      <c r="W1003" s="210">
        <f>_xll.qlCalendarAdvance(Calendar,V1003,NDays&amp;"D")</f>
        <v>45867</v>
      </c>
      <c r="X1003" s="211">
        <v>2.8386319850852715E-2</v>
      </c>
      <c r="Y1003" s="232"/>
    </row>
    <row r="1004" spans="21:25" x14ac:dyDescent="0.2">
      <c r="U1004" s="209" t="str">
        <f t="shared" si="18"/>
        <v>1w</v>
      </c>
      <c r="V1004" s="207">
        <f>_xll.qlCalendarAdvance(Calendar,V1003,U1004,"f",FALSE)</f>
        <v>45874</v>
      </c>
      <c r="W1004" s="210">
        <f>_xll.qlCalendarAdvance(Calendar,V1004,NDays&amp;"D")</f>
        <v>45874</v>
      </c>
      <c r="X1004" s="211">
        <v>2.8401210547128741E-2</v>
      </c>
      <c r="Y1004" s="232"/>
    </row>
    <row r="1005" spans="21:25" x14ac:dyDescent="0.2">
      <c r="U1005" s="209" t="str">
        <f t="shared" si="18"/>
        <v>1w</v>
      </c>
      <c r="V1005" s="207">
        <f>_xll.qlCalendarAdvance(Calendar,V1004,U1005,"f",FALSE)</f>
        <v>45881</v>
      </c>
      <c r="W1005" s="210">
        <f>_xll.qlCalendarAdvance(Calendar,V1005,NDays&amp;"D")</f>
        <v>45881</v>
      </c>
      <c r="X1005" s="211">
        <v>2.8416082616864458E-2</v>
      </c>
      <c r="Y1005" s="232"/>
    </row>
    <row r="1006" spans="21:25" x14ac:dyDescent="0.2">
      <c r="U1006" s="209" t="str">
        <f t="shared" si="18"/>
        <v>1w</v>
      </c>
      <c r="V1006" s="207">
        <f>_xll.qlCalendarAdvance(Calendar,V1005,U1006,"f",FALSE)</f>
        <v>45888</v>
      </c>
      <c r="W1006" s="210">
        <f>_xll.qlCalendarAdvance(Calendar,V1006,NDays&amp;"D")</f>
        <v>45888</v>
      </c>
      <c r="X1006" s="211">
        <v>2.8430936059820056E-2</v>
      </c>
      <c r="Y1006" s="232"/>
    </row>
    <row r="1007" spans="21:25" x14ac:dyDescent="0.2">
      <c r="U1007" s="209" t="str">
        <f t="shared" si="18"/>
        <v>1w</v>
      </c>
      <c r="V1007" s="207">
        <f>_xll.qlCalendarAdvance(Calendar,V1006,U1007,"f",FALSE)</f>
        <v>45895</v>
      </c>
      <c r="W1007" s="210">
        <f>_xll.qlCalendarAdvance(Calendar,V1007,NDays&amp;"D")</f>
        <v>45895</v>
      </c>
      <c r="X1007" s="211">
        <v>2.8445770876075471E-2</v>
      </c>
      <c r="Y1007" s="232"/>
    </row>
    <row r="1008" spans="21:25" x14ac:dyDescent="0.2">
      <c r="U1008" s="209" t="str">
        <f t="shared" si="18"/>
        <v>1w</v>
      </c>
      <c r="V1008" s="207">
        <f>_xll.qlCalendarAdvance(Calendar,V1007,U1008,"f",FALSE)</f>
        <v>45902</v>
      </c>
      <c r="W1008" s="210">
        <f>_xll.qlCalendarAdvance(Calendar,V1008,NDays&amp;"D")</f>
        <v>45902</v>
      </c>
      <c r="X1008" s="211">
        <v>2.8460587065550769E-2</v>
      </c>
      <c r="Y1008" s="232"/>
    </row>
    <row r="1009" spans="21:25" x14ac:dyDescent="0.2">
      <c r="U1009" s="209" t="str">
        <f t="shared" si="18"/>
        <v>1w</v>
      </c>
      <c r="V1009" s="207">
        <f>_xll.qlCalendarAdvance(Calendar,V1008,U1009,"f",FALSE)</f>
        <v>45909</v>
      </c>
      <c r="W1009" s="210">
        <f>_xll.qlCalendarAdvance(Calendar,V1009,NDays&amp;"D")</f>
        <v>45909</v>
      </c>
      <c r="X1009" s="211">
        <v>2.847538462840582E-2</v>
      </c>
      <c r="Y1009" s="232"/>
    </row>
    <row r="1010" spans="21:25" x14ac:dyDescent="0.2">
      <c r="U1010" s="209" t="str">
        <f t="shared" si="18"/>
        <v>1w</v>
      </c>
      <c r="V1010" s="207">
        <f>_xll.qlCalendarAdvance(Calendar,V1009,U1010,"f",FALSE)</f>
        <v>45916</v>
      </c>
      <c r="W1010" s="210">
        <f>_xll.qlCalendarAdvance(Calendar,V1010,NDays&amp;"D")</f>
        <v>45916</v>
      </c>
      <c r="X1010" s="211">
        <v>2.8490163564480753E-2</v>
      </c>
      <c r="Y1010" s="232"/>
    </row>
    <row r="1011" spans="21:25" x14ac:dyDescent="0.2">
      <c r="U1011" s="209" t="str">
        <f t="shared" si="18"/>
        <v>1w</v>
      </c>
      <c r="V1011" s="207">
        <f>_xll.qlCalendarAdvance(Calendar,V1010,U1011,"f",FALSE)</f>
        <v>45923</v>
      </c>
      <c r="W1011" s="210">
        <f>_xll.qlCalendarAdvance(Calendar,V1011,NDays&amp;"D")</f>
        <v>45923</v>
      </c>
      <c r="X1011" s="211">
        <v>2.8504923873855503E-2</v>
      </c>
      <c r="Y1011" s="232"/>
    </row>
    <row r="1012" spans="21:25" x14ac:dyDescent="0.2">
      <c r="U1012" s="209" t="str">
        <f t="shared" si="18"/>
        <v>1w</v>
      </c>
      <c r="V1012" s="207">
        <f>_xll.qlCalendarAdvance(Calendar,V1011,U1012,"f",FALSE)</f>
        <v>45930</v>
      </c>
      <c r="W1012" s="210">
        <f>_xll.qlCalendarAdvance(Calendar,V1012,NDays&amp;"D")</f>
        <v>45930</v>
      </c>
      <c r="X1012" s="211">
        <v>2.8519665556450136E-2</v>
      </c>
      <c r="Y1012" s="232"/>
    </row>
    <row r="1013" spans="21:25" x14ac:dyDescent="0.2">
      <c r="U1013" s="209" t="str">
        <f t="shared" si="18"/>
        <v>1w</v>
      </c>
      <c r="V1013" s="207">
        <f>_xll.qlCalendarAdvance(Calendar,V1012,U1013,"f",FALSE)</f>
        <v>45937</v>
      </c>
      <c r="W1013" s="210">
        <f>_xll.qlCalendarAdvance(Calendar,V1013,NDays&amp;"D")</f>
        <v>45937</v>
      </c>
      <c r="X1013" s="211">
        <v>2.8534388612344586E-2</v>
      </c>
      <c r="Y1013" s="232"/>
    </row>
    <row r="1014" spans="21:25" x14ac:dyDescent="0.2">
      <c r="U1014" s="209" t="str">
        <f t="shared" si="18"/>
        <v>1w</v>
      </c>
      <c r="V1014" s="207">
        <f>_xll.qlCalendarAdvance(Calendar,V1013,U1014,"f",FALSE)</f>
        <v>45944</v>
      </c>
      <c r="W1014" s="210">
        <f>_xll.qlCalendarAdvance(Calendar,V1014,NDays&amp;"D")</f>
        <v>45944</v>
      </c>
      <c r="X1014" s="211">
        <v>2.8549093041538853E-2</v>
      </c>
      <c r="Y1014" s="232"/>
    </row>
    <row r="1015" spans="21:25" x14ac:dyDescent="0.2">
      <c r="U1015" s="209" t="str">
        <f t="shared" si="18"/>
        <v>1w</v>
      </c>
      <c r="V1015" s="207">
        <f>_xll.qlCalendarAdvance(Calendar,V1014,U1015,"f",FALSE)</f>
        <v>45951</v>
      </c>
      <c r="W1015" s="210">
        <f>_xll.qlCalendarAdvance(Calendar,V1015,NDays&amp;"D")</f>
        <v>45951</v>
      </c>
      <c r="X1015" s="211">
        <v>2.8563778843953003E-2</v>
      </c>
      <c r="Y1015" s="232"/>
    </row>
    <row r="1016" spans="21:25" x14ac:dyDescent="0.2">
      <c r="U1016" s="209" t="str">
        <f t="shared" si="18"/>
        <v>1w</v>
      </c>
      <c r="V1016" s="207">
        <f>_xll.qlCalendarAdvance(Calendar,V1015,U1016,"f",FALSE)</f>
        <v>45958</v>
      </c>
      <c r="W1016" s="210">
        <f>_xll.qlCalendarAdvance(Calendar,V1016,NDays&amp;"D")</f>
        <v>45958</v>
      </c>
      <c r="X1016" s="211">
        <v>2.857844601966697E-2</v>
      </c>
      <c r="Y1016" s="232"/>
    </row>
    <row r="1017" spans="21:25" x14ac:dyDescent="0.2">
      <c r="U1017" s="209" t="str">
        <f t="shared" si="18"/>
        <v>1w</v>
      </c>
      <c r="V1017" s="207">
        <f>_xll.qlCalendarAdvance(Calendar,V1016,U1017,"f",FALSE)</f>
        <v>45965</v>
      </c>
      <c r="W1017" s="210">
        <f>_xll.qlCalendarAdvance(Calendar,V1017,NDays&amp;"D")</f>
        <v>45965</v>
      </c>
      <c r="X1017" s="211">
        <v>2.8593094568600819E-2</v>
      </c>
      <c r="Y1017" s="232"/>
    </row>
    <row r="1018" spans="21:25" x14ac:dyDescent="0.2">
      <c r="U1018" s="209" t="str">
        <f t="shared" si="18"/>
        <v>1w</v>
      </c>
      <c r="V1018" s="207">
        <f>_xll.qlCalendarAdvance(Calendar,V1017,U1018,"f",FALSE)</f>
        <v>45972</v>
      </c>
      <c r="W1018" s="210">
        <f>_xll.qlCalendarAdvance(Calendar,V1018,NDays&amp;"D")</f>
        <v>45972</v>
      </c>
      <c r="X1018" s="211">
        <v>2.8607724490834485E-2</v>
      </c>
      <c r="Y1018" s="232"/>
    </row>
    <row r="1019" spans="21:25" x14ac:dyDescent="0.2">
      <c r="U1019" s="209" t="str">
        <f t="shared" si="18"/>
        <v>1w</v>
      </c>
      <c r="V1019" s="207">
        <f>_xll.qlCalendarAdvance(Calendar,V1018,U1019,"f",FALSE)</f>
        <v>45979</v>
      </c>
      <c r="W1019" s="210">
        <f>_xll.qlCalendarAdvance(Calendar,V1019,NDays&amp;"D")</f>
        <v>45979</v>
      </c>
      <c r="X1019" s="211">
        <v>2.8622335786288033E-2</v>
      </c>
      <c r="Y1019" s="232"/>
    </row>
    <row r="1020" spans="21:25" x14ac:dyDescent="0.2">
      <c r="U1020" s="209" t="str">
        <f t="shared" si="18"/>
        <v>1w</v>
      </c>
      <c r="V1020" s="207">
        <f>_xll.qlCalendarAdvance(Calendar,V1019,U1020,"f",FALSE)</f>
        <v>45986</v>
      </c>
      <c r="W1020" s="210">
        <f>_xll.qlCalendarAdvance(Calendar,V1020,NDays&amp;"D")</f>
        <v>45986</v>
      </c>
      <c r="X1020" s="211">
        <v>2.8636928455041399E-2</v>
      </c>
      <c r="Y1020" s="232"/>
    </row>
    <row r="1021" spans="21:25" x14ac:dyDescent="0.2">
      <c r="U1021" s="209" t="str">
        <f t="shared" si="18"/>
        <v>1w</v>
      </c>
      <c r="V1021" s="207">
        <f>_xll.qlCalendarAdvance(Calendar,V1020,U1021,"f",FALSE)</f>
        <v>45993</v>
      </c>
      <c r="W1021" s="210">
        <f>_xll.qlCalendarAdvance(Calendar,V1021,NDays&amp;"D")</f>
        <v>45993</v>
      </c>
      <c r="X1021" s="211">
        <v>2.8651502497014647E-2</v>
      </c>
      <c r="Y1021" s="232"/>
    </row>
    <row r="1022" spans="21:25" x14ac:dyDescent="0.2">
      <c r="U1022" s="209" t="str">
        <f t="shared" si="18"/>
        <v>1w</v>
      </c>
      <c r="V1022" s="207">
        <f>_xll.qlCalendarAdvance(Calendar,V1021,U1022,"f",FALSE)</f>
        <v>46000</v>
      </c>
      <c r="W1022" s="210">
        <f>_xll.qlCalendarAdvance(Calendar,V1022,NDays&amp;"D")</f>
        <v>46000</v>
      </c>
      <c r="X1022" s="211">
        <v>2.8666057912287712E-2</v>
      </c>
      <c r="Y1022" s="232"/>
    </row>
    <row r="1023" spans="21:25" x14ac:dyDescent="0.2">
      <c r="U1023" s="209" t="str">
        <f t="shared" si="18"/>
        <v>1w</v>
      </c>
      <c r="V1023" s="207">
        <f>_xll.qlCalendarAdvance(Calendar,V1022,U1023,"f",FALSE)</f>
        <v>46007</v>
      </c>
      <c r="W1023" s="210">
        <f>_xll.qlCalendarAdvance(Calendar,V1023,NDays&amp;"D")</f>
        <v>46007</v>
      </c>
      <c r="X1023" s="211">
        <v>2.8680594700780659E-2</v>
      </c>
      <c r="Y1023" s="232"/>
    </row>
    <row r="1024" spans="21:25" x14ac:dyDescent="0.2">
      <c r="U1024" s="209" t="str">
        <f t="shared" si="18"/>
        <v>1w</v>
      </c>
      <c r="V1024" s="207">
        <f>_xll.qlCalendarAdvance(Calendar,V1023,U1024,"f",FALSE)</f>
        <v>46014</v>
      </c>
      <c r="W1024" s="210">
        <f>_xll.qlCalendarAdvance(Calendar,V1024,NDays&amp;"D")</f>
        <v>46014</v>
      </c>
      <c r="X1024" s="211">
        <v>2.8695112862493488E-2</v>
      </c>
      <c r="Y1024" s="232"/>
    </row>
    <row r="1025" spans="21:25" x14ac:dyDescent="0.2">
      <c r="U1025" s="209" t="str">
        <f t="shared" si="18"/>
        <v>1w</v>
      </c>
      <c r="V1025" s="207">
        <f>_xll.qlCalendarAdvance(Calendar,V1024,U1025,"f",FALSE)</f>
        <v>46021</v>
      </c>
      <c r="W1025" s="210">
        <f>_xll.qlCalendarAdvance(Calendar,V1025,NDays&amp;"D")</f>
        <v>46021</v>
      </c>
      <c r="X1025" s="211">
        <v>2.8709612397426199E-2</v>
      </c>
      <c r="Y1025" s="232"/>
    </row>
    <row r="1026" spans="21:25" x14ac:dyDescent="0.2">
      <c r="U1026" s="209" t="str">
        <f t="shared" si="18"/>
        <v>1w</v>
      </c>
      <c r="V1026" s="207">
        <f>_xll.qlCalendarAdvance(Calendar,V1025,U1026,"f",FALSE)</f>
        <v>46028</v>
      </c>
      <c r="W1026" s="210">
        <f>_xll.qlCalendarAdvance(Calendar,V1026,NDays&amp;"D")</f>
        <v>46028</v>
      </c>
      <c r="X1026" s="211">
        <v>2.8724093305658727E-2</v>
      </c>
      <c r="Y1026" s="232"/>
    </row>
    <row r="1027" spans="21:25" x14ac:dyDescent="0.2">
      <c r="U1027" s="209" t="str">
        <f t="shared" si="18"/>
        <v>1w</v>
      </c>
      <c r="V1027" s="207">
        <f>_xll.qlCalendarAdvance(Calendar,V1026,U1027,"f",FALSE)</f>
        <v>46035</v>
      </c>
      <c r="W1027" s="210">
        <f>_xll.qlCalendarAdvance(Calendar,V1027,NDays&amp;"D")</f>
        <v>46035</v>
      </c>
      <c r="X1027" s="211">
        <v>2.8738555587191073E-2</v>
      </c>
      <c r="Y1027" s="232"/>
    </row>
    <row r="1028" spans="21:25" x14ac:dyDescent="0.2">
      <c r="U1028" s="209" t="str">
        <f t="shared" si="18"/>
        <v>1w</v>
      </c>
      <c r="V1028" s="207">
        <f>_xll.qlCalendarAdvance(Calendar,V1027,U1028,"f",FALSE)</f>
        <v>46042</v>
      </c>
      <c r="W1028" s="210">
        <f>_xll.qlCalendarAdvance(Calendar,V1028,NDays&amp;"D")</f>
        <v>46042</v>
      </c>
      <c r="X1028" s="211">
        <v>2.8752999241863364E-2</v>
      </c>
      <c r="Y1028" s="232"/>
    </row>
    <row r="1029" spans="21:25" x14ac:dyDescent="0.2">
      <c r="U1029" s="209" t="str">
        <f t="shared" si="18"/>
        <v>1w</v>
      </c>
      <c r="V1029" s="207">
        <f>_xll.qlCalendarAdvance(Calendar,V1028,U1029,"f",FALSE)</f>
        <v>46049</v>
      </c>
      <c r="W1029" s="210">
        <f>_xll.qlCalendarAdvance(Calendar,V1029,NDays&amp;"D")</f>
        <v>46049</v>
      </c>
      <c r="X1029" s="211">
        <v>2.8767424269755537E-2</v>
      </c>
      <c r="Y1029" s="232"/>
    </row>
    <row r="1030" spans="21:25" x14ac:dyDescent="0.2">
      <c r="U1030" s="209" t="str">
        <f t="shared" si="18"/>
        <v>1w</v>
      </c>
      <c r="V1030" s="207">
        <f>_xll.qlCalendarAdvance(Calendar,V1029,U1030,"f",FALSE)</f>
        <v>46056</v>
      </c>
      <c r="W1030" s="210">
        <f>_xll.qlCalendarAdvance(Calendar,V1030,NDays&amp;"D")</f>
        <v>46056</v>
      </c>
      <c r="X1030" s="211">
        <v>2.8781830670947528E-2</v>
      </c>
      <c r="Y1030" s="232"/>
    </row>
    <row r="1031" spans="21:25" x14ac:dyDescent="0.2">
      <c r="U1031" s="209" t="str">
        <f t="shared" si="18"/>
        <v>1w</v>
      </c>
      <c r="V1031" s="207">
        <f>_xll.qlCalendarAdvance(Calendar,V1030,U1031,"f",FALSE)</f>
        <v>46063</v>
      </c>
      <c r="W1031" s="210">
        <f>_xll.qlCalendarAdvance(Calendar,V1031,NDays&amp;"D")</f>
        <v>46063</v>
      </c>
      <c r="X1031" s="211">
        <v>2.8796218445359401E-2</v>
      </c>
      <c r="Y1031" s="232"/>
    </row>
    <row r="1032" spans="21:25" x14ac:dyDescent="0.2">
      <c r="U1032" s="209" t="str">
        <f t="shared" si="18"/>
        <v>1w</v>
      </c>
      <c r="V1032" s="207">
        <f>_xll.qlCalendarAdvance(Calendar,V1031,U1032,"f",FALSE)</f>
        <v>46070</v>
      </c>
      <c r="W1032" s="210">
        <f>_xll.qlCalendarAdvance(Calendar,V1032,NDays&amp;"D")</f>
        <v>46070</v>
      </c>
      <c r="X1032" s="211">
        <v>2.8810587592911219E-2</v>
      </c>
      <c r="Y1032" s="232"/>
    </row>
    <row r="1033" spans="21:25" x14ac:dyDescent="0.2">
      <c r="U1033" s="209" t="str">
        <f t="shared" si="18"/>
        <v>1w</v>
      </c>
      <c r="V1033" s="207">
        <f>_xll.qlCalendarAdvance(Calendar,V1032,U1033,"f",FALSE)</f>
        <v>46077</v>
      </c>
      <c r="W1033" s="210">
        <f>_xll.qlCalendarAdvance(Calendar,V1033,NDays&amp;"D")</f>
        <v>46077</v>
      </c>
      <c r="X1033" s="211">
        <v>2.8824938113842791E-2</v>
      </c>
      <c r="Y1033" s="232"/>
    </row>
    <row r="1034" spans="21:25" x14ac:dyDescent="0.2">
      <c r="U1034" s="209" t="str">
        <f t="shared" si="18"/>
        <v>1w</v>
      </c>
      <c r="V1034" s="207">
        <f>_xll.qlCalendarAdvance(Calendar,V1033,U1034,"f",FALSE)</f>
        <v>46084</v>
      </c>
      <c r="W1034" s="210">
        <f>_xll.qlCalendarAdvance(Calendar,V1034,NDays&amp;"D")</f>
        <v>46084</v>
      </c>
      <c r="X1034" s="211">
        <v>2.8839270007914308E-2</v>
      </c>
      <c r="Y1034" s="232"/>
    </row>
    <row r="1035" spans="21:25" x14ac:dyDescent="0.2">
      <c r="U1035" s="209" t="str">
        <f t="shared" si="18"/>
        <v>1w</v>
      </c>
      <c r="V1035" s="207">
        <f>_xll.qlCalendarAdvance(Calendar,V1034,U1035,"f",FALSE)</f>
        <v>46091</v>
      </c>
      <c r="W1035" s="210">
        <f>_xll.qlCalendarAdvance(Calendar,V1035,NDays&amp;"D")</f>
        <v>46091</v>
      </c>
      <c r="X1035" s="211">
        <v>2.8853583275205708E-2</v>
      </c>
      <c r="Y1035" s="232"/>
    </row>
    <row r="1036" spans="21:25" x14ac:dyDescent="0.2">
      <c r="U1036" s="209" t="str">
        <f t="shared" si="18"/>
        <v>1w</v>
      </c>
      <c r="V1036" s="207">
        <f>_xll.qlCalendarAdvance(Calendar,V1035,U1036,"f",FALSE)</f>
        <v>46098</v>
      </c>
      <c r="W1036" s="210">
        <f>_xll.qlCalendarAdvance(Calendar,V1036,NDays&amp;"D")</f>
        <v>46098</v>
      </c>
      <c r="X1036" s="211">
        <v>2.8867877915716988E-2</v>
      </c>
      <c r="Y1036" s="232"/>
    </row>
    <row r="1037" spans="21:25" x14ac:dyDescent="0.2">
      <c r="U1037" s="209" t="str">
        <f t="shared" ref="U1037:U1100" si="19">U1036</f>
        <v>1w</v>
      </c>
      <c r="V1037" s="207">
        <f>_xll.qlCalendarAdvance(Calendar,V1036,U1037,"f",FALSE)</f>
        <v>46105</v>
      </c>
      <c r="W1037" s="210">
        <f>_xll.qlCalendarAdvance(Calendar,V1037,NDays&amp;"D")</f>
        <v>46105</v>
      </c>
      <c r="X1037" s="211">
        <v>2.8882153929448151E-2</v>
      </c>
      <c r="Y1037" s="232"/>
    </row>
    <row r="1038" spans="21:25" x14ac:dyDescent="0.2">
      <c r="U1038" s="209" t="str">
        <f t="shared" si="19"/>
        <v>1w</v>
      </c>
      <c r="V1038" s="207">
        <f>_xll.qlCalendarAdvance(Calendar,V1037,U1038,"f",FALSE)</f>
        <v>46112</v>
      </c>
      <c r="W1038" s="210">
        <f>_xll.qlCalendarAdvance(Calendar,V1038,NDays&amp;"D")</f>
        <v>46112</v>
      </c>
      <c r="X1038" s="211">
        <v>2.8896411316399195E-2</v>
      </c>
      <c r="Y1038" s="232"/>
    </row>
    <row r="1039" spans="21:25" x14ac:dyDescent="0.2">
      <c r="U1039" s="209" t="str">
        <f t="shared" si="19"/>
        <v>1w</v>
      </c>
      <c r="V1039" s="207">
        <f>_xll.qlCalendarAdvance(Calendar,V1038,U1039,"f",FALSE)</f>
        <v>46119</v>
      </c>
      <c r="W1039" s="210">
        <f>_xll.qlCalendarAdvance(Calendar,V1039,NDays&amp;"D")</f>
        <v>46119</v>
      </c>
      <c r="X1039" s="211">
        <v>2.8910650076490185E-2</v>
      </c>
      <c r="Y1039" s="232"/>
    </row>
    <row r="1040" spans="21:25" x14ac:dyDescent="0.2">
      <c r="U1040" s="209" t="str">
        <f t="shared" si="19"/>
        <v>1w</v>
      </c>
      <c r="V1040" s="207">
        <f>_xll.qlCalendarAdvance(Calendar,V1039,U1040,"f",FALSE)</f>
        <v>46126</v>
      </c>
      <c r="W1040" s="210">
        <f>_xll.qlCalendarAdvance(Calendar,V1040,NDays&amp;"D")</f>
        <v>46126</v>
      </c>
      <c r="X1040" s="211">
        <v>2.8924870209960929E-2</v>
      </c>
      <c r="Y1040" s="232"/>
    </row>
    <row r="1041" spans="21:25" x14ac:dyDescent="0.2">
      <c r="U1041" s="209" t="str">
        <f t="shared" si="19"/>
        <v>1w</v>
      </c>
      <c r="V1041" s="207">
        <f>_xll.qlCalendarAdvance(Calendar,V1040,U1041,"f",FALSE)</f>
        <v>46133</v>
      </c>
      <c r="W1041" s="210">
        <f>_xll.qlCalendarAdvance(Calendar,V1041,NDays&amp;"D")</f>
        <v>46133</v>
      </c>
      <c r="X1041" s="211">
        <v>2.8939071716491682E-2</v>
      </c>
      <c r="Y1041" s="232"/>
    </row>
    <row r="1042" spans="21:25" x14ac:dyDescent="0.2">
      <c r="U1042" s="209" t="str">
        <f t="shared" si="19"/>
        <v>1w</v>
      </c>
      <c r="V1042" s="207">
        <f>_xll.qlCalendarAdvance(Calendar,V1041,U1042,"f",FALSE)</f>
        <v>46140</v>
      </c>
      <c r="W1042" s="210">
        <f>_xll.qlCalendarAdvance(Calendar,V1042,NDays&amp;"D")</f>
        <v>46140</v>
      </c>
      <c r="X1042" s="211">
        <v>2.8953254596322253E-2</v>
      </c>
      <c r="Y1042" s="232"/>
    </row>
    <row r="1043" spans="21:25" x14ac:dyDescent="0.2">
      <c r="U1043" s="209" t="str">
        <f t="shared" si="19"/>
        <v>1w</v>
      </c>
      <c r="V1043" s="207">
        <f>_xll.qlCalendarAdvance(Calendar,V1042,U1043,"f",FALSE)</f>
        <v>46147</v>
      </c>
      <c r="W1043" s="210">
        <f>_xll.qlCalendarAdvance(Calendar,V1043,NDays&amp;"D")</f>
        <v>46147</v>
      </c>
      <c r="X1043" s="211">
        <v>2.896741884929277E-2</v>
      </c>
      <c r="Y1043" s="232"/>
    </row>
    <row r="1044" spans="21:25" x14ac:dyDescent="0.2">
      <c r="U1044" s="209" t="str">
        <f t="shared" si="19"/>
        <v>1w</v>
      </c>
      <c r="V1044" s="207">
        <f>_xll.qlCalendarAdvance(Calendar,V1043,U1044,"f",FALSE)</f>
        <v>46154</v>
      </c>
      <c r="W1044" s="210">
        <f>_xll.qlCalendarAdvance(Calendar,V1044,NDays&amp;"D")</f>
        <v>46154</v>
      </c>
      <c r="X1044" s="211">
        <v>2.8981564475483168E-2</v>
      </c>
      <c r="Y1044" s="232"/>
    </row>
    <row r="1045" spans="21:25" x14ac:dyDescent="0.2">
      <c r="U1045" s="209" t="str">
        <f t="shared" si="19"/>
        <v>1w</v>
      </c>
      <c r="V1045" s="207">
        <f>_xll.qlCalendarAdvance(Calendar,V1044,U1045,"f",FALSE)</f>
        <v>46161</v>
      </c>
      <c r="W1045" s="210">
        <f>_xll.qlCalendarAdvance(Calendar,V1045,NDays&amp;"D")</f>
        <v>46161</v>
      </c>
      <c r="X1045" s="211">
        <v>2.8995691474893448E-2</v>
      </c>
      <c r="Y1045" s="232"/>
    </row>
    <row r="1046" spans="21:25" x14ac:dyDescent="0.2">
      <c r="U1046" s="209" t="str">
        <f t="shared" si="19"/>
        <v>1w</v>
      </c>
      <c r="V1046" s="207">
        <f>_xll.qlCalendarAdvance(Calendar,V1045,U1046,"f",FALSE)</f>
        <v>46168</v>
      </c>
      <c r="W1046" s="210">
        <f>_xll.qlCalendarAdvance(Calendar,V1046,NDays&amp;"D")</f>
        <v>46168</v>
      </c>
      <c r="X1046" s="211">
        <v>2.9009799847443674E-2</v>
      </c>
      <c r="Y1046" s="232"/>
    </row>
    <row r="1047" spans="21:25" x14ac:dyDescent="0.2">
      <c r="U1047" s="209" t="str">
        <f t="shared" si="19"/>
        <v>1w</v>
      </c>
      <c r="V1047" s="207">
        <f>_xll.qlCalendarAdvance(Calendar,V1046,U1047,"f",FALSE)</f>
        <v>46175</v>
      </c>
      <c r="W1047" s="210">
        <f>_xll.qlCalendarAdvance(Calendar,V1047,NDays&amp;"D")</f>
        <v>46175</v>
      </c>
      <c r="X1047" s="211">
        <v>2.9023889073869213E-2</v>
      </c>
      <c r="Y1047" s="232"/>
    </row>
    <row r="1048" spans="21:25" x14ac:dyDescent="0.2">
      <c r="U1048" s="209" t="str">
        <f t="shared" si="19"/>
        <v>1w</v>
      </c>
      <c r="V1048" s="207">
        <f>_xll.qlCalendarAdvance(Calendar,V1047,U1048,"f",FALSE)</f>
        <v>46182</v>
      </c>
      <c r="W1048" s="210">
        <f>_xll.qlCalendarAdvance(Calendar,V1048,NDays&amp;"D")</f>
        <v>46182</v>
      </c>
      <c r="X1048" s="211">
        <v>2.9037872937616171E-2</v>
      </c>
      <c r="Y1048" s="232"/>
    </row>
    <row r="1049" spans="21:25" x14ac:dyDescent="0.2">
      <c r="U1049" s="209" t="str">
        <f t="shared" si="19"/>
        <v>1w</v>
      </c>
      <c r="V1049" s="207">
        <f>_xll.qlCalendarAdvance(Calendar,V1048,U1049,"f",FALSE)</f>
        <v>46189</v>
      </c>
      <c r="W1049" s="210">
        <f>_xll.qlCalendarAdvance(Calendar,V1049,NDays&amp;"D")</f>
        <v>46189</v>
      </c>
      <c r="X1049" s="211">
        <v>2.9051685477687883E-2</v>
      </c>
      <c r="Y1049" s="232"/>
    </row>
    <row r="1050" spans="21:25" x14ac:dyDescent="0.2">
      <c r="U1050" s="209" t="str">
        <f t="shared" si="19"/>
        <v>1w</v>
      </c>
      <c r="V1050" s="207">
        <f>_xll.qlCalendarAdvance(Calendar,V1049,U1050,"f",FALSE)</f>
        <v>46196</v>
      </c>
      <c r="W1050" s="210">
        <f>_xll.qlCalendarAdvance(Calendar,V1050,NDays&amp;"D")</f>
        <v>46196</v>
      </c>
      <c r="X1050" s="211">
        <v>2.906532669424422E-2</v>
      </c>
      <c r="Y1050" s="232"/>
    </row>
    <row r="1051" spans="21:25" x14ac:dyDescent="0.2">
      <c r="U1051" s="209" t="str">
        <f t="shared" si="19"/>
        <v>1w</v>
      </c>
      <c r="V1051" s="207">
        <f>_xll.qlCalendarAdvance(Calendar,V1050,U1051,"f",FALSE)</f>
        <v>46203</v>
      </c>
      <c r="W1051" s="210">
        <f>_xll.qlCalendarAdvance(Calendar,V1051,NDays&amp;"D")</f>
        <v>46203</v>
      </c>
      <c r="X1051" s="211">
        <v>2.9078796587125311E-2</v>
      </c>
      <c r="Y1051" s="232"/>
    </row>
    <row r="1052" spans="21:25" x14ac:dyDescent="0.2">
      <c r="U1052" s="209" t="str">
        <f t="shared" si="19"/>
        <v>1w</v>
      </c>
      <c r="V1052" s="207">
        <f>_xll.qlCalendarAdvance(Calendar,V1051,U1052,"f",FALSE)</f>
        <v>46210</v>
      </c>
      <c r="W1052" s="210">
        <f>_xll.qlCalendarAdvance(Calendar,V1052,NDays&amp;"D")</f>
        <v>46210</v>
      </c>
      <c r="X1052" s="211">
        <v>2.9092095156411091E-2</v>
      </c>
      <c r="Y1052" s="232"/>
    </row>
    <row r="1053" spans="21:25" x14ac:dyDescent="0.2">
      <c r="U1053" s="209" t="str">
        <f t="shared" si="19"/>
        <v>1w</v>
      </c>
      <c r="V1053" s="207">
        <f>_xll.qlCalendarAdvance(Calendar,V1052,U1053,"f",FALSE)</f>
        <v>46217</v>
      </c>
      <c r="W1053" s="210">
        <f>_xll.qlCalendarAdvance(Calendar,V1053,NDays&amp;"D")</f>
        <v>46217</v>
      </c>
      <c r="X1053" s="211">
        <v>2.9105222402021624E-2</v>
      </c>
      <c r="Y1053" s="232"/>
    </row>
    <row r="1054" spans="21:25" x14ac:dyDescent="0.2">
      <c r="U1054" s="209" t="str">
        <f t="shared" si="19"/>
        <v>1w</v>
      </c>
      <c r="V1054" s="207">
        <f>_xll.qlCalendarAdvance(Calendar,V1053,U1054,"f",FALSE)</f>
        <v>46224</v>
      </c>
      <c r="W1054" s="210">
        <f>_xll.qlCalendarAdvance(Calendar,V1054,NDays&amp;"D")</f>
        <v>46224</v>
      </c>
      <c r="X1054" s="211">
        <v>2.9118178324036847E-2</v>
      </c>
      <c r="Y1054" s="232"/>
    </row>
    <row r="1055" spans="21:25" x14ac:dyDescent="0.2">
      <c r="U1055" s="209" t="str">
        <f t="shared" si="19"/>
        <v>1w</v>
      </c>
      <c r="V1055" s="207">
        <f>_xll.qlCalendarAdvance(Calendar,V1054,U1055,"f",FALSE)</f>
        <v>46231</v>
      </c>
      <c r="W1055" s="210">
        <f>_xll.qlCalendarAdvance(Calendar,V1055,NDays&amp;"D")</f>
        <v>46231</v>
      </c>
      <c r="X1055" s="211">
        <v>2.9130962922296888E-2</v>
      </c>
      <c r="Y1055" s="232"/>
    </row>
    <row r="1056" spans="21:25" x14ac:dyDescent="0.2">
      <c r="U1056" s="209" t="str">
        <f t="shared" si="19"/>
        <v>1w</v>
      </c>
      <c r="V1056" s="207">
        <f>_xll.qlCalendarAdvance(Calendar,V1055,U1056,"f",FALSE)</f>
        <v>46238</v>
      </c>
      <c r="W1056" s="210">
        <f>_xll.qlCalendarAdvance(Calendar,V1056,NDays&amp;"D")</f>
        <v>46238</v>
      </c>
      <c r="X1056" s="211">
        <v>2.9143576196881682E-2</v>
      </c>
      <c r="Y1056" s="232"/>
    </row>
    <row r="1057" spans="21:25" x14ac:dyDescent="0.2">
      <c r="U1057" s="209" t="str">
        <f t="shared" si="19"/>
        <v>1w</v>
      </c>
      <c r="V1057" s="207">
        <f>_xll.qlCalendarAdvance(Calendar,V1056,U1057,"f",FALSE)</f>
        <v>46245</v>
      </c>
      <c r="W1057" s="210">
        <f>_xll.qlCalendarAdvance(Calendar,V1057,NDays&amp;"D")</f>
        <v>46245</v>
      </c>
      <c r="X1057" s="211">
        <v>2.9156018147711293E-2</v>
      </c>
      <c r="Y1057" s="232"/>
    </row>
    <row r="1058" spans="21:25" x14ac:dyDescent="0.2">
      <c r="U1058" s="209" t="str">
        <f t="shared" si="19"/>
        <v>1w</v>
      </c>
      <c r="V1058" s="207">
        <f>_xll.qlCalendarAdvance(Calendar,V1057,U1058,"f",FALSE)</f>
        <v>46252</v>
      </c>
      <c r="W1058" s="210">
        <f>_xll.qlCalendarAdvance(Calendar,V1058,NDays&amp;"D")</f>
        <v>46252</v>
      </c>
      <c r="X1058" s="211">
        <v>2.9168288774865658E-2</v>
      </c>
      <c r="Y1058" s="232"/>
    </row>
    <row r="1059" spans="21:25" x14ac:dyDescent="0.2">
      <c r="U1059" s="209" t="str">
        <f t="shared" si="19"/>
        <v>1w</v>
      </c>
      <c r="V1059" s="207">
        <f>_xll.qlCalendarAdvance(Calendar,V1058,U1059,"f",FALSE)</f>
        <v>46259</v>
      </c>
      <c r="W1059" s="210">
        <f>_xll.qlCalendarAdvance(Calendar,V1059,NDays&amp;"D")</f>
        <v>46259</v>
      </c>
      <c r="X1059" s="211">
        <v>2.9180388078264841E-2</v>
      </c>
      <c r="Y1059" s="232"/>
    </row>
    <row r="1060" spans="21:25" x14ac:dyDescent="0.2">
      <c r="U1060" s="209" t="str">
        <f t="shared" si="19"/>
        <v>1w</v>
      </c>
      <c r="V1060" s="207">
        <f>_xll.qlCalendarAdvance(Calendar,V1059,U1060,"f",FALSE)</f>
        <v>46266</v>
      </c>
      <c r="W1060" s="210">
        <f>_xll.qlCalendarAdvance(Calendar,V1060,NDays&amp;"D")</f>
        <v>46266</v>
      </c>
      <c r="X1060" s="211">
        <v>2.9192316057828904E-2</v>
      </c>
      <c r="Y1060" s="232"/>
    </row>
    <row r="1061" spans="21:25" x14ac:dyDescent="0.2">
      <c r="U1061" s="209" t="str">
        <f t="shared" si="19"/>
        <v>1w</v>
      </c>
      <c r="V1061" s="207">
        <f>_xll.qlCalendarAdvance(Calendar,V1060,U1061,"f",FALSE)</f>
        <v>46273</v>
      </c>
      <c r="W1061" s="210">
        <f>_xll.qlCalendarAdvance(Calendar,V1061,NDays&amp;"D")</f>
        <v>46273</v>
      </c>
      <c r="X1061" s="211">
        <v>2.9204072713557849E-2</v>
      </c>
      <c r="Y1061" s="232"/>
    </row>
    <row r="1062" spans="21:25" x14ac:dyDescent="0.2">
      <c r="U1062" s="209" t="str">
        <f t="shared" si="19"/>
        <v>1w</v>
      </c>
      <c r="V1062" s="207">
        <f>_xll.qlCalendarAdvance(Calendar,V1061,U1062,"f",FALSE)</f>
        <v>46280</v>
      </c>
      <c r="W1062" s="210">
        <f>_xll.qlCalendarAdvance(Calendar,V1062,NDays&amp;"D")</f>
        <v>46280</v>
      </c>
      <c r="X1062" s="211">
        <v>2.9215658045531612E-2</v>
      </c>
      <c r="Y1062" s="232"/>
    </row>
    <row r="1063" spans="21:25" x14ac:dyDescent="0.2">
      <c r="U1063" s="209" t="str">
        <f t="shared" si="19"/>
        <v>1w</v>
      </c>
      <c r="V1063" s="207">
        <f>_xll.qlCalendarAdvance(Calendar,V1062,U1063,"f",FALSE)</f>
        <v>46287</v>
      </c>
      <c r="W1063" s="210">
        <f>_xll.qlCalendarAdvance(Calendar,V1063,NDays&amp;"D")</f>
        <v>46287</v>
      </c>
      <c r="X1063" s="211">
        <v>2.9227072053670256E-2</v>
      </c>
      <c r="Y1063" s="232"/>
    </row>
    <row r="1064" spans="21:25" x14ac:dyDescent="0.2">
      <c r="U1064" s="209" t="str">
        <f t="shared" si="19"/>
        <v>1w</v>
      </c>
      <c r="V1064" s="207">
        <f>_xll.qlCalendarAdvance(Calendar,V1063,U1064,"f",FALSE)</f>
        <v>46294</v>
      </c>
      <c r="W1064" s="210">
        <f>_xll.qlCalendarAdvance(Calendar,V1064,NDays&amp;"D")</f>
        <v>46294</v>
      </c>
      <c r="X1064" s="211">
        <v>2.9238314737973781E-2</v>
      </c>
      <c r="Y1064" s="232"/>
    </row>
    <row r="1065" spans="21:25" x14ac:dyDescent="0.2">
      <c r="U1065" s="209" t="str">
        <f t="shared" si="19"/>
        <v>1w</v>
      </c>
      <c r="V1065" s="207">
        <f>_xll.qlCalendarAdvance(Calendar,V1064,U1065,"f",FALSE)</f>
        <v>46301</v>
      </c>
      <c r="W1065" s="210">
        <f>_xll.qlCalendarAdvance(Calendar,V1065,NDays&amp;"D")</f>
        <v>46301</v>
      </c>
      <c r="X1065" s="211">
        <v>2.9249386098442187E-2</v>
      </c>
      <c r="Y1065" s="232"/>
    </row>
    <row r="1066" spans="21:25" x14ac:dyDescent="0.2">
      <c r="U1066" s="209" t="str">
        <f t="shared" si="19"/>
        <v>1w</v>
      </c>
      <c r="V1066" s="207">
        <f>_xll.qlCalendarAdvance(Calendar,V1065,U1066,"f",FALSE)</f>
        <v>46308</v>
      </c>
      <c r="W1066" s="210">
        <f>_xll.qlCalendarAdvance(Calendar,V1066,NDays&amp;"D")</f>
        <v>46308</v>
      </c>
      <c r="X1066" s="211">
        <v>2.9260286135075475E-2</v>
      </c>
      <c r="Y1066" s="232"/>
    </row>
    <row r="1067" spans="21:25" x14ac:dyDescent="0.2">
      <c r="U1067" s="209" t="str">
        <f t="shared" si="19"/>
        <v>1w</v>
      </c>
      <c r="V1067" s="207">
        <f>_xll.qlCalendarAdvance(Calendar,V1066,U1067,"f",FALSE)</f>
        <v>46315</v>
      </c>
      <c r="W1067" s="210">
        <f>_xll.qlCalendarAdvance(Calendar,V1067,NDays&amp;"D")</f>
        <v>46315</v>
      </c>
      <c r="X1067" s="211">
        <v>2.9271014847713772E-2</v>
      </c>
      <c r="Y1067" s="232"/>
    </row>
    <row r="1068" spans="21:25" x14ac:dyDescent="0.2">
      <c r="U1068" s="209" t="str">
        <f t="shared" si="19"/>
        <v>1w</v>
      </c>
      <c r="V1068" s="207">
        <f>_xll.qlCalendarAdvance(Calendar,V1067,U1068,"f",FALSE)</f>
        <v>46322</v>
      </c>
      <c r="W1068" s="210">
        <f>_xll.qlCalendarAdvance(Calendar,V1068,NDays&amp;"D")</f>
        <v>46322</v>
      </c>
      <c r="X1068" s="211">
        <v>2.9281572236516951E-2</v>
      </c>
      <c r="Y1068" s="232"/>
    </row>
    <row r="1069" spans="21:25" x14ac:dyDescent="0.2">
      <c r="U1069" s="209" t="str">
        <f t="shared" si="19"/>
        <v>1w</v>
      </c>
      <c r="V1069" s="207">
        <f>_xll.qlCalendarAdvance(Calendar,V1068,U1069,"f",FALSE)</f>
        <v>46329</v>
      </c>
      <c r="W1069" s="210">
        <f>_xll.qlCalendarAdvance(Calendar,V1069,NDays&amp;"D")</f>
        <v>46329</v>
      </c>
      <c r="X1069" s="211">
        <v>2.9291958301405074E-2</v>
      </c>
      <c r="Y1069" s="232"/>
    </row>
    <row r="1070" spans="21:25" x14ac:dyDescent="0.2">
      <c r="U1070" s="209" t="str">
        <f t="shared" si="19"/>
        <v>1w</v>
      </c>
      <c r="V1070" s="207">
        <f>_xll.qlCalendarAdvance(Calendar,V1069,U1070,"f",FALSE)</f>
        <v>46336</v>
      </c>
      <c r="W1070" s="210">
        <f>_xll.qlCalendarAdvance(Calendar,V1070,NDays&amp;"D")</f>
        <v>46336</v>
      </c>
      <c r="X1070" s="211">
        <v>2.9302173042298207E-2</v>
      </c>
      <c r="Y1070" s="232"/>
    </row>
    <row r="1071" spans="21:25" x14ac:dyDescent="0.2">
      <c r="U1071" s="209" t="str">
        <f t="shared" si="19"/>
        <v>1w</v>
      </c>
      <c r="V1071" s="207">
        <f>_xll.qlCalendarAdvance(Calendar,V1070,U1071,"f",FALSE)</f>
        <v>46343</v>
      </c>
      <c r="W1071" s="210">
        <f>_xll.qlCalendarAdvance(Calendar,V1071,NDays&amp;"D")</f>
        <v>46343</v>
      </c>
      <c r="X1071" s="211">
        <v>2.9312216459276286E-2</v>
      </c>
      <c r="Y1071" s="232"/>
    </row>
    <row r="1072" spans="21:25" x14ac:dyDescent="0.2">
      <c r="U1072" s="209" t="str">
        <f t="shared" si="19"/>
        <v>1w</v>
      </c>
      <c r="V1072" s="207">
        <f>_xll.qlCalendarAdvance(Calendar,V1071,U1072,"f",FALSE)</f>
        <v>46350</v>
      </c>
      <c r="W1072" s="210">
        <f>_xll.qlCalendarAdvance(Calendar,V1072,NDays&amp;"D")</f>
        <v>46350</v>
      </c>
      <c r="X1072" s="211">
        <v>2.9322088552259373E-2</v>
      </c>
      <c r="Y1072" s="232"/>
    </row>
    <row r="1073" spans="21:25" x14ac:dyDescent="0.2">
      <c r="U1073" s="209" t="str">
        <f t="shared" si="19"/>
        <v>1w</v>
      </c>
      <c r="V1073" s="207">
        <f>_xll.qlCalendarAdvance(Calendar,V1072,U1073,"f",FALSE)</f>
        <v>46357</v>
      </c>
      <c r="W1073" s="210">
        <f>_xll.qlCalendarAdvance(Calendar,V1073,NDays&amp;"D")</f>
        <v>46357</v>
      </c>
      <c r="X1073" s="211">
        <v>2.9331789321327406E-2</v>
      </c>
      <c r="Y1073" s="232"/>
    </row>
    <row r="1074" spans="21:25" x14ac:dyDescent="0.2">
      <c r="U1074" s="209" t="str">
        <f t="shared" si="19"/>
        <v>1w</v>
      </c>
      <c r="V1074" s="207">
        <f>_xll.qlCalendarAdvance(Calendar,V1073,U1074,"f",FALSE)</f>
        <v>46364</v>
      </c>
      <c r="W1074" s="210">
        <f>_xll.qlCalendarAdvance(Calendar,V1074,NDays&amp;"D")</f>
        <v>46364</v>
      </c>
      <c r="X1074" s="211">
        <v>2.9341318766320512E-2</v>
      </c>
      <c r="Y1074" s="232"/>
    </row>
    <row r="1075" spans="21:25" x14ac:dyDescent="0.2">
      <c r="U1075" s="209" t="str">
        <f t="shared" si="19"/>
        <v>1w</v>
      </c>
      <c r="V1075" s="207">
        <f>_xll.qlCalendarAdvance(Calendar,V1074,U1075,"f",FALSE)</f>
        <v>46371</v>
      </c>
      <c r="W1075" s="210">
        <f>_xll.qlCalendarAdvance(Calendar,V1075,NDays&amp;"D")</f>
        <v>46371</v>
      </c>
      <c r="X1075" s="211">
        <v>2.9350676887398564E-2</v>
      </c>
      <c r="Y1075" s="232"/>
    </row>
    <row r="1076" spans="21:25" x14ac:dyDescent="0.2">
      <c r="U1076" s="209" t="str">
        <f t="shared" si="19"/>
        <v>1w</v>
      </c>
      <c r="V1076" s="207">
        <f>_xll.qlCalendarAdvance(Calendar,V1075,U1076,"f",FALSE)</f>
        <v>46378</v>
      </c>
      <c r="W1076" s="210">
        <f>_xll.qlCalendarAdvance(Calendar,V1076,NDays&amp;"D")</f>
        <v>46378</v>
      </c>
      <c r="X1076" s="211">
        <v>2.9359863684401688E-2</v>
      </c>
      <c r="Y1076" s="232"/>
    </row>
    <row r="1077" spans="21:25" x14ac:dyDescent="0.2">
      <c r="U1077" s="209" t="str">
        <f t="shared" si="19"/>
        <v>1w</v>
      </c>
      <c r="V1077" s="207">
        <f>_xll.qlCalendarAdvance(Calendar,V1076,U1077,"f",FALSE)</f>
        <v>46385</v>
      </c>
      <c r="W1077" s="210">
        <f>_xll.qlCalendarAdvance(Calendar,V1077,NDays&amp;"D")</f>
        <v>46385</v>
      </c>
      <c r="X1077" s="211">
        <v>2.9368879157409822E-2</v>
      </c>
      <c r="Y1077" s="232"/>
    </row>
    <row r="1078" spans="21:25" x14ac:dyDescent="0.2">
      <c r="U1078" s="209" t="str">
        <f t="shared" si="19"/>
        <v>1w</v>
      </c>
      <c r="V1078" s="207">
        <f>_xll.qlCalendarAdvance(Calendar,V1077,U1078,"f",FALSE)</f>
        <v>46392</v>
      </c>
      <c r="W1078" s="210">
        <f>_xll.qlCalendarAdvance(Calendar,V1078,NDays&amp;"D")</f>
        <v>46392</v>
      </c>
      <c r="X1078" s="211">
        <v>2.9377723306343029E-2</v>
      </c>
      <c r="Y1078" s="232"/>
    </row>
    <row r="1079" spans="21:25" x14ac:dyDescent="0.2">
      <c r="U1079" s="209" t="str">
        <f t="shared" si="19"/>
        <v>1w</v>
      </c>
      <c r="V1079" s="207">
        <f>_xll.qlCalendarAdvance(Calendar,V1078,U1079,"f",FALSE)</f>
        <v>46399</v>
      </c>
      <c r="W1079" s="210">
        <f>_xll.qlCalendarAdvance(Calendar,V1079,NDays&amp;"D")</f>
        <v>46399</v>
      </c>
      <c r="X1079" s="211">
        <v>2.9386396131281245E-2</v>
      </c>
      <c r="Y1079" s="232"/>
    </row>
    <row r="1080" spans="21:25" x14ac:dyDescent="0.2">
      <c r="U1080" s="209" t="str">
        <f t="shared" si="19"/>
        <v>1w</v>
      </c>
      <c r="V1080" s="207">
        <f>_xll.qlCalendarAdvance(Calendar,V1079,U1080,"f",FALSE)</f>
        <v>46406</v>
      </c>
      <c r="W1080" s="210">
        <f>_xll.qlCalendarAdvance(Calendar,V1080,NDays&amp;"D")</f>
        <v>46406</v>
      </c>
      <c r="X1080" s="211">
        <v>2.9394897632064598E-2</v>
      </c>
      <c r="Y1080" s="232"/>
    </row>
    <row r="1081" spans="21:25" x14ac:dyDescent="0.2">
      <c r="U1081" s="209" t="str">
        <f t="shared" si="19"/>
        <v>1w</v>
      </c>
      <c r="V1081" s="207">
        <f>_xll.qlCalendarAdvance(Calendar,V1080,U1081,"f",FALSE)</f>
        <v>46413</v>
      </c>
      <c r="W1081" s="210">
        <f>_xll.qlCalendarAdvance(Calendar,V1081,NDays&amp;"D")</f>
        <v>46413</v>
      </c>
      <c r="X1081" s="211">
        <v>2.9403227808773025E-2</v>
      </c>
      <c r="Y1081" s="232"/>
    </row>
    <row r="1082" spans="21:25" x14ac:dyDescent="0.2">
      <c r="U1082" s="209" t="str">
        <f t="shared" si="19"/>
        <v>1w</v>
      </c>
      <c r="V1082" s="207">
        <f>_xll.qlCalendarAdvance(Calendar,V1081,U1082,"f",FALSE)</f>
        <v>46420</v>
      </c>
      <c r="W1082" s="210">
        <f>_xll.qlCalendarAdvance(Calendar,V1082,NDays&amp;"D")</f>
        <v>46420</v>
      </c>
      <c r="X1082" s="211">
        <v>2.9411386661406524E-2</v>
      </c>
      <c r="Y1082" s="232"/>
    </row>
    <row r="1083" spans="21:25" x14ac:dyDescent="0.2">
      <c r="U1083" s="209" t="str">
        <f t="shared" si="19"/>
        <v>1w</v>
      </c>
      <c r="V1083" s="207">
        <f>_xll.qlCalendarAdvance(Calendar,V1082,U1083,"f",FALSE)</f>
        <v>46427</v>
      </c>
      <c r="W1083" s="210">
        <f>_xll.qlCalendarAdvance(Calendar,V1083,NDays&amp;"D")</f>
        <v>46427</v>
      </c>
      <c r="X1083" s="211">
        <v>2.9419374189965097E-2</v>
      </c>
      <c r="Y1083" s="232"/>
    </row>
    <row r="1084" spans="21:25" x14ac:dyDescent="0.2">
      <c r="U1084" s="209" t="str">
        <f t="shared" si="19"/>
        <v>1w</v>
      </c>
      <c r="V1084" s="207">
        <f>_xll.qlCalendarAdvance(Calendar,V1083,U1084,"f",FALSE)</f>
        <v>46434</v>
      </c>
      <c r="W1084" s="210">
        <f>_xll.qlCalendarAdvance(Calendar,V1084,NDays&amp;"D")</f>
        <v>46434</v>
      </c>
      <c r="X1084" s="211">
        <v>2.9427190394368807E-2</v>
      </c>
      <c r="Y1084" s="232"/>
    </row>
    <row r="1085" spans="21:25" x14ac:dyDescent="0.2">
      <c r="U1085" s="209" t="str">
        <f t="shared" si="19"/>
        <v>1w</v>
      </c>
      <c r="V1085" s="207">
        <f>_xll.qlCalendarAdvance(Calendar,V1084,U1085,"f",FALSE)</f>
        <v>46441</v>
      </c>
      <c r="W1085" s="210">
        <f>_xll.qlCalendarAdvance(Calendar,V1085,NDays&amp;"D")</f>
        <v>46441</v>
      </c>
      <c r="X1085" s="211">
        <v>2.9434835274697591E-2</v>
      </c>
      <c r="Y1085" s="232"/>
    </row>
    <row r="1086" spans="21:25" x14ac:dyDescent="0.2">
      <c r="U1086" s="209" t="str">
        <f t="shared" si="19"/>
        <v>1w</v>
      </c>
      <c r="V1086" s="207">
        <f>_xll.qlCalendarAdvance(Calendar,V1085,U1086,"f",FALSE)</f>
        <v>46448</v>
      </c>
      <c r="W1086" s="210">
        <f>_xll.qlCalendarAdvance(Calendar,V1086,NDays&amp;"D")</f>
        <v>46448</v>
      </c>
      <c r="X1086" s="211">
        <v>2.9442308830871511E-2</v>
      </c>
      <c r="Y1086" s="232"/>
    </row>
    <row r="1087" spans="21:25" x14ac:dyDescent="0.2">
      <c r="U1087" s="209" t="str">
        <f t="shared" si="19"/>
        <v>1w</v>
      </c>
      <c r="V1087" s="207">
        <f>_xll.qlCalendarAdvance(Calendar,V1086,U1087,"f",FALSE)</f>
        <v>46455</v>
      </c>
      <c r="W1087" s="210">
        <f>_xll.qlCalendarAdvance(Calendar,V1087,NDays&amp;"D")</f>
        <v>46455</v>
      </c>
      <c r="X1087" s="211">
        <v>2.9449611062810632E-2</v>
      </c>
      <c r="Y1087" s="232"/>
    </row>
    <row r="1088" spans="21:25" x14ac:dyDescent="0.2">
      <c r="U1088" s="209" t="str">
        <f t="shared" si="19"/>
        <v>1w</v>
      </c>
      <c r="V1088" s="207">
        <f>_xll.qlCalendarAdvance(Calendar,V1087,U1088,"f",FALSE)</f>
        <v>46462</v>
      </c>
      <c r="W1088" s="210">
        <f>_xll.qlCalendarAdvance(Calendar,V1088,NDays&amp;"D")</f>
        <v>46462</v>
      </c>
      <c r="X1088" s="211">
        <v>2.9456741970594891E-2</v>
      </c>
      <c r="Y1088" s="232"/>
    </row>
    <row r="1089" spans="21:25" x14ac:dyDescent="0.2">
      <c r="U1089" s="209" t="str">
        <f t="shared" si="19"/>
        <v>1w</v>
      </c>
      <c r="V1089" s="207">
        <f>_xll.qlCalendarAdvance(Calendar,V1088,U1089,"f",FALSE)</f>
        <v>46469</v>
      </c>
      <c r="W1089" s="210">
        <f>_xll.qlCalendarAdvance(Calendar,V1089,NDays&amp;"D")</f>
        <v>46469</v>
      </c>
      <c r="X1089" s="211">
        <v>2.9463701554304222E-2</v>
      </c>
      <c r="Y1089" s="232"/>
    </row>
    <row r="1090" spans="21:25" x14ac:dyDescent="0.2">
      <c r="U1090" s="209" t="str">
        <f t="shared" si="19"/>
        <v>1w</v>
      </c>
      <c r="V1090" s="207">
        <f>_xll.qlCalendarAdvance(Calendar,V1089,U1090,"f",FALSE)</f>
        <v>46476</v>
      </c>
      <c r="W1090" s="210">
        <f>_xll.qlCalendarAdvance(Calendar,V1090,NDays&amp;"D")</f>
        <v>46476</v>
      </c>
      <c r="X1090" s="211">
        <v>2.9470489813858691E-2</v>
      </c>
      <c r="Y1090" s="232"/>
    </row>
    <row r="1091" spans="21:25" x14ac:dyDescent="0.2">
      <c r="U1091" s="209" t="str">
        <f t="shared" si="19"/>
        <v>1w</v>
      </c>
      <c r="V1091" s="207">
        <f>_xll.qlCalendarAdvance(Calendar,V1090,U1091,"f",FALSE)</f>
        <v>46483</v>
      </c>
      <c r="W1091" s="210">
        <f>_xll.qlCalendarAdvance(Calendar,V1091,NDays&amp;"D")</f>
        <v>46483</v>
      </c>
      <c r="X1091" s="211">
        <v>2.9477106749098425E-2</v>
      </c>
      <c r="Y1091" s="232"/>
    </row>
    <row r="1092" spans="21:25" x14ac:dyDescent="0.2">
      <c r="U1092" s="209" t="str">
        <f t="shared" si="19"/>
        <v>1w</v>
      </c>
      <c r="V1092" s="207">
        <f>_xll.qlCalendarAdvance(Calendar,V1091,U1092,"f",FALSE)</f>
        <v>46490</v>
      </c>
      <c r="W1092" s="210">
        <f>_xll.qlCalendarAdvance(Calendar,V1092,NDays&amp;"D")</f>
        <v>46490</v>
      </c>
      <c r="X1092" s="211">
        <v>2.9483552360263232E-2</v>
      </c>
      <c r="Y1092" s="232"/>
    </row>
    <row r="1093" spans="21:25" x14ac:dyDescent="0.2">
      <c r="U1093" s="209" t="str">
        <f t="shared" si="19"/>
        <v>1w</v>
      </c>
      <c r="V1093" s="207">
        <f>_xll.qlCalendarAdvance(Calendar,V1092,U1093,"f",FALSE)</f>
        <v>46497</v>
      </c>
      <c r="W1093" s="210">
        <f>_xll.qlCalendarAdvance(Calendar,V1093,NDays&amp;"D")</f>
        <v>46497</v>
      </c>
      <c r="X1093" s="211">
        <v>2.9489826647113304E-2</v>
      </c>
      <c r="Y1093" s="232"/>
    </row>
    <row r="1094" spans="21:25" x14ac:dyDescent="0.2">
      <c r="U1094" s="209" t="str">
        <f t="shared" si="19"/>
        <v>1w</v>
      </c>
      <c r="V1094" s="207">
        <f>_xll.qlCalendarAdvance(Calendar,V1093,U1094,"f",FALSE)</f>
        <v>46504</v>
      </c>
      <c r="W1094" s="210">
        <f>_xll.qlCalendarAdvance(Calendar,V1094,NDays&amp;"D")</f>
        <v>46504</v>
      </c>
      <c r="X1094" s="211">
        <v>2.9495929609888449E-2</v>
      </c>
      <c r="Y1094" s="232"/>
    </row>
    <row r="1095" spans="21:25" x14ac:dyDescent="0.2">
      <c r="U1095" s="209" t="str">
        <f t="shared" si="19"/>
        <v>1w</v>
      </c>
      <c r="V1095" s="207">
        <f>_xll.qlCalendarAdvance(Calendar,V1094,U1095,"f",FALSE)</f>
        <v>46511</v>
      </c>
      <c r="W1095" s="210">
        <f>_xll.qlCalendarAdvance(Calendar,V1095,NDays&amp;"D")</f>
        <v>46511</v>
      </c>
      <c r="X1095" s="211">
        <v>2.9501861248268924E-2</v>
      </c>
      <c r="Y1095" s="232"/>
    </row>
    <row r="1096" spans="21:25" x14ac:dyDescent="0.2">
      <c r="U1096" s="209" t="str">
        <f t="shared" si="19"/>
        <v>1w</v>
      </c>
      <c r="V1096" s="207">
        <f>_xll.qlCalendarAdvance(Calendar,V1095,U1096,"f",FALSE)</f>
        <v>46518</v>
      </c>
      <c r="W1096" s="210">
        <f>_xll.qlCalendarAdvance(Calendar,V1096,NDays&amp;"D")</f>
        <v>46518</v>
      </c>
      <c r="X1096" s="211">
        <v>2.9507621562494535E-2</v>
      </c>
      <c r="Y1096" s="232"/>
    </row>
    <row r="1097" spans="21:25" x14ac:dyDescent="0.2">
      <c r="U1097" s="209" t="str">
        <f t="shared" si="19"/>
        <v>1w</v>
      </c>
      <c r="V1097" s="207">
        <f>_xll.qlCalendarAdvance(Calendar,V1096,U1097,"f",FALSE)</f>
        <v>46525</v>
      </c>
      <c r="W1097" s="210">
        <f>_xll.qlCalendarAdvance(Calendar,V1097,NDays&amp;"D")</f>
        <v>46525</v>
      </c>
      <c r="X1097" s="211">
        <v>2.9513210552405411E-2</v>
      </c>
      <c r="Y1097" s="232"/>
    </row>
    <row r="1098" spans="21:25" x14ac:dyDescent="0.2">
      <c r="U1098" s="209" t="str">
        <f t="shared" si="19"/>
        <v>1w</v>
      </c>
      <c r="V1098" s="207">
        <f>_xll.qlCalendarAdvance(Calendar,V1097,U1098,"f",FALSE)</f>
        <v>46532</v>
      </c>
      <c r="W1098" s="210">
        <f>_xll.qlCalendarAdvance(Calendar,V1098,NDays&amp;"D")</f>
        <v>46532</v>
      </c>
      <c r="X1098" s="211">
        <v>2.9518628218161425E-2</v>
      </c>
      <c r="Y1098" s="232"/>
    </row>
    <row r="1099" spans="21:25" x14ac:dyDescent="0.2">
      <c r="U1099" s="209" t="str">
        <f t="shared" si="19"/>
        <v>1w</v>
      </c>
      <c r="V1099" s="207">
        <f>_xll.qlCalendarAdvance(Calendar,V1098,U1099,"f",FALSE)</f>
        <v>46539</v>
      </c>
      <c r="W1099" s="210">
        <f>_xll.qlCalendarAdvance(Calendar,V1099,NDays&amp;"D")</f>
        <v>46539</v>
      </c>
      <c r="X1099" s="211">
        <v>2.9523874559602703E-2</v>
      </c>
      <c r="Y1099" s="232"/>
    </row>
    <row r="1100" spans="21:25" x14ac:dyDescent="0.2">
      <c r="U1100" s="209" t="str">
        <f t="shared" si="19"/>
        <v>1w</v>
      </c>
      <c r="V1100" s="207">
        <f>_xll.qlCalendarAdvance(Calendar,V1099,U1100,"f",FALSE)</f>
        <v>46546</v>
      </c>
      <c r="W1100" s="210">
        <f>_xll.qlCalendarAdvance(Calendar,V1100,NDays&amp;"D")</f>
        <v>46546</v>
      </c>
      <c r="X1100" s="211">
        <v>2.9528949576809183E-2</v>
      </c>
      <c r="Y1100" s="232"/>
    </row>
    <row r="1101" spans="21:25" x14ac:dyDescent="0.2">
      <c r="U1101" s="209" t="str">
        <f t="shared" ref="U1101:U1164" si="20">U1100</f>
        <v>1w</v>
      </c>
      <c r="V1101" s="207">
        <f>_xll.qlCalendarAdvance(Calendar,V1100,U1101,"f",FALSE)</f>
        <v>46553</v>
      </c>
      <c r="W1101" s="210">
        <f>_xll.qlCalendarAdvance(Calendar,V1101,NDays&amp;"D")</f>
        <v>46553</v>
      </c>
      <c r="X1101" s="211">
        <v>2.9533853269700927E-2</v>
      </c>
      <c r="Y1101" s="232"/>
    </row>
    <row r="1102" spans="21:25" x14ac:dyDescent="0.2">
      <c r="U1102" s="209" t="str">
        <f t="shared" si="20"/>
        <v>1w</v>
      </c>
      <c r="V1102" s="207">
        <f>_xll.qlCalendarAdvance(Calendar,V1101,U1102,"f",FALSE)</f>
        <v>46560</v>
      </c>
      <c r="W1102" s="210">
        <f>_xll.qlCalendarAdvance(Calendar,V1102,NDays&amp;"D")</f>
        <v>46560</v>
      </c>
      <c r="X1102" s="211">
        <v>2.9538585638357873E-2</v>
      </c>
      <c r="Y1102" s="232"/>
    </row>
    <row r="1103" spans="21:25" x14ac:dyDescent="0.2">
      <c r="U1103" s="209" t="str">
        <f t="shared" si="20"/>
        <v>1w</v>
      </c>
      <c r="V1103" s="207">
        <f>_xll.qlCalendarAdvance(Calendar,V1102,U1103,"f",FALSE)</f>
        <v>46567</v>
      </c>
      <c r="W1103" s="210">
        <f>_xll.qlCalendarAdvance(Calendar,V1103,NDays&amp;"D")</f>
        <v>46567</v>
      </c>
      <c r="X1103" s="211">
        <v>2.9543146682700083E-2</v>
      </c>
      <c r="Y1103" s="232"/>
    </row>
    <row r="1104" spans="21:25" x14ac:dyDescent="0.2">
      <c r="U1104" s="209" t="str">
        <f t="shared" si="20"/>
        <v>1w</v>
      </c>
      <c r="V1104" s="207">
        <f>_xll.qlCalendarAdvance(Calendar,V1103,U1104,"f",FALSE)</f>
        <v>46574</v>
      </c>
      <c r="W1104" s="210">
        <f>_xll.qlCalendarAdvance(Calendar,V1104,NDays&amp;"D")</f>
        <v>46574</v>
      </c>
      <c r="X1104" s="211">
        <v>2.9547536402807495E-2</v>
      </c>
      <c r="Y1104" s="232"/>
    </row>
    <row r="1105" spans="21:25" x14ac:dyDescent="0.2">
      <c r="U1105" s="209" t="str">
        <f t="shared" si="20"/>
        <v>1w</v>
      </c>
      <c r="V1105" s="207">
        <f>_xll.qlCalendarAdvance(Calendar,V1104,U1105,"f",FALSE)</f>
        <v>46581</v>
      </c>
      <c r="W1105" s="210">
        <f>_xll.qlCalendarAdvance(Calendar,V1105,NDays&amp;"D")</f>
        <v>46581</v>
      </c>
      <c r="X1105" s="211">
        <v>2.9551754798600172E-2</v>
      </c>
      <c r="Y1105" s="232"/>
    </row>
    <row r="1106" spans="21:25" x14ac:dyDescent="0.2">
      <c r="U1106" s="209" t="str">
        <f t="shared" si="20"/>
        <v>1w</v>
      </c>
      <c r="V1106" s="207">
        <f>_xll.qlCalendarAdvance(Calendar,V1105,U1106,"f",FALSE)</f>
        <v>46588</v>
      </c>
      <c r="W1106" s="210">
        <f>_xll.qlCalendarAdvance(Calendar,V1106,NDays&amp;"D")</f>
        <v>46588</v>
      </c>
      <c r="X1106" s="211">
        <v>2.9555801870078113E-2</v>
      </c>
      <c r="Y1106" s="232"/>
    </row>
    <row r="1107" spans="21:25" x14ac:dyDescent="0.2">
      <c r="U1107" s="209" t="str">
        <f t="shared" si="20"/>
        <v>1w</v>
      </c>
      <c r="V1107" s="207">
        <f>_xll.qlCalendarAdvance(Calendar,V1106,U1107,"f",FALSE)</f>
        <v>46595</v>
      </c>
      <c r="W1107" s="210">
        <f>_xll.qlCalendarAdvance(Calendar,V1107,NDays&amp;"D")</f>
        <v>46595</v>
      </c>
      <c r="X1107" s="211">
        <v>2.9559677617161384E-2</v>
      </c>
      <c r="Y1107" s="232"/>
    </row>
    <row r="1108" spans="21:25" x14ac:dyDescent="0.2">
      <c r="U1108" s="209" t="str">
        <f t="shared" si="20"/>
        <v>1w</v>
      </c>
      <c r="V1108" s="207">
        <f>_xll.qlCalendarAdvance(Calendar,V1107,U1108,"f",FALSE)</f>
        <v>46602</v>
      </c>
      <c r="W1108" s="210">
        <f>_xll.qlCalendarAdvance(Calendar,V1108,NDays&amp;"D")</f>
        <v>46602</v>
      </c>
      <c r="X1108" s="211">
        <v>2.9563382040009856E-2</v>
      </c>
      <c r="Y1108" s="232"/>
    </row>
    <row r="1109" spans="21:25" x14ac:dyDescent="0.2">
      <c r="U1109" s="209" t="str">
        <f t="shared" si="20"/>
        <v>1w</v>
      </c>
      <c r="V1109" s="207">
        <f>_xll.qlCalendarAdvance(Calendar,V1108,U1109,"f",FALSE)</f>
        <v>46609</v>
      </c>
      <c r="W1109" s="210">
        <f>_xll.qlCalendarAdvance(Calendar,V1109,NDays&amp;"D")</f>
        <v>46609</v>
      </c>
      <c r="X1109" s="211">
        <v>2.9566915138463656E-2</v>
      </c>
      <c r="Y1109" s="232"/>
    </row>
    <row r="1110" spans="21:25" x14ac:dyDescent="0.2">
      <c r="U1110" s="209" t="str">
        <f t="shared" si="20"/>
        <v>1w</v>
      </c>
      <c r="V1110" s="207">
        <f>_xll.qlCalendarAdvance(Calendar,V1109,U1110,"f",FALSE)</f>
        <v>46616</v>
      </c>
      <c r="W1110" s="210">
        <f>_xll.qlCalendarAdvance(Calendar,V1110,NDays&amp;"D")</f>
        <v>46616</v>
      </c>
      <c r="X1110" s="211">
        <v>2.9570276912682658E-2</v>
      </c>
      <c r="Y1110" s="232"/>
    </row>
    <row r="1111" spans="21:25" x14ac:dyDescent="0.2">
      <c r="U1111" s="209" t="str">
        <f t="shared" si="20"/>
        <v>1w</v>
      </c>
      <c r="V1111" s="207">
        <f>_xll.qlCalendarAdvance(Calendar,V1110,U1111,"f",FALSE)</f>
        <v>46623</v>
      </c>
      <c r="W1111" s="210">
        <f>_xll.qlCalendarAdvance(Calendar,V1111,NDays&amp;"D")</f>
        <v>46623</v>
      </c>
      <c r="X1111" s="211">
        <v>2.9573467362506989E-2</v>
      </c>
      <c r="Y1111" s="232"/>
    </row>
    <row r="1112" spans="21:25" x14ac:dyDescent="0.2">
      <c r="U1112" s="209" t="str">
        <f t="shared" si="20"/>
        <v>1w</v>
      </c>
      <c r="V1112" s="207">
        <f>_xll.qlCalendarAdvance(Calendar,V1111,U1112,"f",FALSE)</f>
        <v>46630</v>
      </c>
      <c r="W1112" s="210">
        <f>_xll.qlCalendarAdvance(Calendar,V1112,NDays&amp;"D")</f>
        <v>46630</v>
      </c>
      <c r="X1112" s="211">
        <v>2.9576486488016585E-2</v>
      </c>
      <c r="Y1112" s="232"/>
    </row>
    <row r="1113" spans="21:25" x14ac:dyDescent="0.2">
      <c r="U1113" s="209" t="str">
        <f t="shared" si="20"/>
        <v>1w</v>
      </c>
      <c r="V1113" s="207">
        <f>_xll.qlCalendarAdvance(Calendar,V1112,U1113,"f",FALSE)</f>
        <v>46637</v>
      </c>
      <c r="W1113" s="210">
        <f>_xll.qlCalendarAdvance(Calendar,V1113,NDays&amp;"D")</f>
        <v>46637</v>
      </c>
      <c r="X1113" s="211">
        <v>2.9579334289211445E-2</v>
      </c>
      <c r="Y1113" s="232"/>
    </row>
    <row r="1114" spans="21:25" x14ac:dyDescent="0.2">
      <c r="U1114" s="209" t="str">
        <f t="shared" si="20"/>
        <v>1w</v>
      </c>
      <c r="V1114" s="207">
        <f>_xll.qlCalendarAdvance(Calendar,V1113,U1114,"f",FALSE)</f>
        <v>46644</v>
      </c>
      <c r="W1114" s="210">
        <f>_xll.qlCalendarAdvance(Calendar,V1114,NDays&amp;"D")</f>
        <v>46644</v>
      </c>
      <c r="X1114" s="211">
        <v>2.9582010766091571E-2</v>
      </c>
      <c r="Y1114" s="232"/>
    </row>
    <row r="1115" spans="21:25" x14ac:dyDescent="0.2">
      <c r="U1115" s="209" t="str">
        <f t="shared" si="20"/>
        <v>1w</v>
      </c>
      <c r="V1115" s="207">
        <f>_xll.qlCalendarAdvance(Calendar,V1114,U1115,"f",FALSE)</f>
        <v>46651</v>
      </c>
      <c r="W1115" s="210">
        <f>_xll.qlCalendarAdvance(Calendar,V1115,NDays&amp;"D")</f>
        <v>46651</v>
      </c>
      <c r="X1115" s="211">
        <v>2.958451591849709E-2</v>
      </c>
      <c r="Y1115" s="232"/>
    </row>
    <row r="1116" spans="21:25" x14ac:dyDescent="0.2">
      <c r="U1116" s="209" t="str">
        <f t="shared" si="20"/>
        <v>1w</v>
      </c>
      <c r="V1116" s="207">
        <f>_xll.qlCalendarAdvance(Calendar,V1115,U1116,"f",FALSE)</f>
        <v>46658</v>
      </c>
      <c r="W1116" s="210">
        <f>_xll.qlCalendarAdvance(Calendar,V1116,NDays&amp;"D")</f>
        <v>46658</v>
      </c>
      <c r="X1116" s="211">
        <v>2.9586849746667809E-2</v>
      </c>
      <c r="Y1116" s="232"/>
    </row>
    <row r="1117" spans="21:25" x14ac:dyDescent="0.2">
      <c r="U1117" s="209" t="str">
        <f t="shared" si="20"/>
        <v>1w</v>
      </c>
      <c r="V1117" s="207">
        <f>_xll.qlCalendarAdvance(Calendar,V1116,U1117,"f",FALSE)</f>
        <v>46665</v>
      </c>
      <c r="W1117" s="210">
        <f>_xll.qlCalendarAdvance(Calendar,V1117,NDays&amp;"D")</f>
        <v>46665</v>
      </c>
      <c r="X1117" s="211">
        <v>2.9589012250363922E-2</v>
      </c>
      <c r="Y1117" s="232"/>
    </row>
    <row r="1118" spans="21:25" x14ac:dyDescent="0.2">
      <c r="U1118" s="209" t="str">
        <f t="shared" si="20"/>
        <v>1w</v>
      </c>
      <c r="V1118" s="207">
        <f>_xll.qlCalendarAdvance(Calendar,V1117,U1118,"f",FALSE)</f>
        <v>46672</v>
      </c>
      <c r="W1118" s="210">
        <f>_xll.qlCalendarAdvance(Calendar,V1118,NDays&amp;"D")</f>
        <v>46672</v>
      </c>
      <c r="X1118" s="211">
        <v>2.9591003429825236E-2</v>
      </c>
      <c r="Y1118" s="232"/>
    </row>
    <row r="1119" spans="21:25" x14ac:dyDescent="0.2">
      <c r="U1119" s="209" t="str">
        <f t="shared" si="20"/>
        <v>1w</v>
      </c>
      <c r="V1119" s="207">
        <f>_xll.qlCalendarAdvance(Calendar,V1118,U1119,"f",FALSE)</f>
        <v>46679</v>
      </c>
      <c r="W1119" s="210">
        <f>_xll.qlCalendarAdvance(Calendar,V1119,NDays&amp;"D")</f>
        <v>46679</v>
      </c>
      <c r="X1119" s="211">
        <v>2.9592823284811942E-2</v>
      </c>
      <c r="Y1119" s="232"/>
    </row>
    <row r="1120" spans="21:25" x14ac:dyDescent="0.2">
      <c r="U1120" s="209" t="str">
        <f t="shared" si="20"/>
        <v>1w</v>
      </c>
      <c r="V1120" s="207">
        <f>_xll.qlCalendarAdvance(Calendar,V1119,U1120,"f",FALSE)</f>
        <v>46686</v>
      </c>
      <c r="W1120" s="210">
        <f>_xll.qlCalendarAdvance(Calendar,V1120,NDays&amp;"D")</f>
        <v>46686</v>
      </c>
      <c r="X1120" s="211">
        <v>2.959447181556385E-2</v>
      </c>
      <c r="Y1120" s="232"/>
    </row>
    <row r="1121" spans="21:25" x14ac:dyDescent="0.2">
      <c r="U1121" s="209" t="str">
        <f t="shared" si="20"/>
        <v>1w</v>
      </c>
      <c r="V1121" s="207">
        <f>_xll.qlCalendarAdvance(Calendar,V1120,U1121,"f",FALSE)</f>
        <v>46693</v>
      </c>
      <c r="W1121" s="210">
        <f>_xll.qlCalendarAdvance(Calendar,V1121,NDays&amp;"D")</f>
        <v>46693</v>
      </c>
      <c r="X1121" s="211">
        <v>2.959594902184115E-2</v>
      </c>
      <c r="Y1121" s="232"/>
    </row>
    <row r="1122" spans="21:25" x14ac:dyDescent="0.2">
      <c r="U1122" s="209" t="str">
        <f t="shared" si="20"/>
        <v>1w</v>
      </c>
      <c r="V1122" s="207">
        <f>_xll.qlCalendarAdvance(Calendar,V1121,U1122,"f",FALSE)</f>
        <v>46700</v>
      </c>
      <c r="W1122" s="210">
        <f>_xll.qlCalendarAdvance(Calendar,V1122,NDays&amp;"D")</f>
        <v>46700</v>
      </c>
      <c r="X1122" s="211">
        <v>2.9597254903803716E-2</v>
      </c>
      <c r="Y1122" s="232"/>
    </row>
    <row r="1123" spans="21:25" x14ac:dyDescent="0.2">
      <c r="U1123" s="209" t="str">
        <f t="shared" si="20"/>
        <v>1w</v>
      </c>
      <c r="V1123" s="207">
        <f>_xll.qlCalendarAdvance(Calendar,V1122,U1123,"f",FALSE)</f>
        <v>46707</v>
      </c>
      <c r="W1123" s="210">
        <f>_xll.qlCalendarAdvance(Calendar,V1123,NDays&amp;"D")</f>
        <v>46707</v>
      </c>
      <c r="X1123" s="211">
        <v>2.959838946137161E-2</v>
      </c>
      <c r="Y1123" s="232"/>
    </row>
    <row r="1124" spans="21:25" x14ac:dyDescent="0.2">
      <c r="U1124" s="209" t="str">
        <f t="shared" si="20"/>
        <v>1w</v>
      </c>
      <c r="V1124" s="207">
        <f>_xll.qlCalendarAdvance(Calendar,V1123,U1124,"f",FALSE)</f>
        <v>46714</v>
      </c>
      <c r="W1124" s="210">
        <f>_xll.qlCalendarAdvance(Calendar,V1124,NDays&amp;"D")</f>
        <v>46714</v>
      </c>
      <c r="X1124" s="211">
        <v>2.9599352694544834E-2</v>
      </c>
      <c r="Y1124" s="232"/>
    </row>
    <row r="1125" spans="21:25" x14ac:dyDescent="0.2">
      <c r="U1125" s="209" t="str">
        <f t="shared" si="20"/>
        <v>1w</v>
      </c>
      <c r="V1125" s="207">
        <f>_xll.qlCalendarAdvance(Calendar,V1124,U1125,"f",FALSE)</f>
        <v>46721</v>
      </c>
      <c r="W1125" s="210">
        <f>_xll.qlCalendarAdvance(Calendar,V1125,NDays&amp;"D")</f>
        <v>46721</v>
      </c>
      <c r="X1125" s="211">
        <v>2.9600144603403322E-2</v>
      </c>
      <c r="Y1125" s="232"/>
    </row>
    <row r="1126" spans="21:25" x14ac:dyDescent="0.2">
      <c r="U1126" s="209" t="str">
        <f t="shared" si="20"/>
        <v>1w</v>
      </c>
      <c r="V1126" s="207">
        <f>_xll.qlCalendarAdvance(Calendar,V1125,U1126,"f",FALSE)</f>
        <v>46728</v>
      </c>
      <c r="W1126" s="210">
        <f>_xll.qlCalendarAdvance(Calendar,V1126,NDays&amp;"D")</f>
        <v>46728</v>
      </c>
      <c r="X1126" s="211">
        <v>2.960076518786714E-2</v>
      </c>
      <c r="Y1126" s="232"/>
    </row>
    <row r="1127" spans="21:25" x14ac:dyDescent="0.2">
      <c r="U1127" s="209" t="str">
        <f t="shared" si="20"/>
        <v>1w</v>
      </c>
      <c r="V1127" s="207">
        <f>_xll.qlCalendarAdvance(Calendar,V1126,U1127,"f",FALSE)</f>
        <v>46735</v>
      </c>
      <c r="W1127" s="210">
        <f>_xll.qlCalendarAdvance(Calendar,V1127,NDays&amp;"D")</f>
        <v>46735</v>
      </c>
      <c r="X1127" s="211">
        <v>2.9601214447936286E-2</v>
      </c>
      <c r="Y1127" s="232"/>
    </row>
    <row r="1128" spans="21:25" x14ac:dyDescent="0.2">
      <c r="U1128" s="209" t="str">
        <f t="shared" si="20"/>
        <v>1w</v>
      </c>
      <c r="V1128" s="207">
        <f>_xll.qlCalendarAdvance(Calendar,V1127,U1128,"f",FALSE)</f>
        <v>46742</v>
      </c>
      <c r="W1128" s="210">
        <f>_xll.qlCalendarAdvance(Calendar,V1128,NDays&amp;"D")</f>
        <v>46742</v>
      </c>
      <c r="X1128" s="211">
        <v>2.9601492383610761E-2</v>
      </c>
      <c r="Y1128" s="232"/>
    </row>
    <row r="1129" spans="21:25" x14ac:dyDescent="0.2">
      <c r="U1129" s="209" t="str">
        <f t="shared" si="20"/>
        <v>1w</v>
      </c>
      <c r="V1129" s="207">
        <f>_xll.qlCalendarAdvance(Calendar,V1128,U1129,"f",FALSE)</f>
        <v>46749</v>
      </c>
      <c r="W1129" s="210">
        <f>_xll.qlCalendarAdvance(Calendar,V1129,NDays&amp;"D")</f>
        <v>46749</v>
      </c>
      <c r="X1129" s="211">
        <v>2.9601598994890566E-2</v>
      </c>
      <c r="Y1129" s="232"/>
    </row>
    <row r="1130" spans="21:25" x14ac:dyDescent="0.2">
      <c r="U1130" s="209" t="str">
        <f t="shared" si="20"/>
        <v>1w</v>
      </c>
      <c r="V1130" s="207">
        <f>_xll.qlCalendarAdvance(Calendar,V1129,U1130,"f",FALSE)</f>
        <v>46756</v>
      </c>
      <c r="W1130" s="210">
        <f>_xll.qlCalendarAdvance(Calendar,V1130,NDays&amp;"D")</f>
        <v>46756</v>
      </c>
      <c r="X1130" s="211">
        <v>2.9601534281855635E-2</v>
      </c>
      <c r="Y1130" s="232"/>
    </row>
    <row r="1131" spans="21:25" x14ac:dyDescent="0.2">
      <c r="U1131" s="209" t="str">
        <f t="shared" si="20"/>
        <v>1w</v>
      </c>
      <c r="V1131" s="207">
        <f>_xll.qlCalendarAdvance(Calendar,V1130,U1131,"f",FALSE)</f>
        <v>46763</v>
      </c>
      <c r="W1131" s="210">
        <f>_xll.qlCalendarAdvance(Calendar,V1131,NDays&amp;"D")</f>
        <v>46763</v>
      </c>
      <c r="X1131" s="211">
        <v>2.9601298244426033E-2</v>
      </c>
      <c r="Y1131" s="232"/>
    </row>
    <row r="1132" spans="21:25" x14ac:dyDescent="0.2">
      <c r="U1132" s="209" t="str">
        <f t="shared" si="20"/>
        <v>1w</v>
      </c>
      <c r="V1132" s="207">
        <f>_xll.qlCalendarAdvance(Calendar,V1131,U1132,"f",FALSE)</f>
        <v>46770</v>
      </c>
      <c r="W1132" s="210">
        <f>_xll.qlCalendarAdvance(Calendar,V1132,NDays&amp;"D")</f>
        <v>46770</v>
      </c>
      <c r="X1132" s="211">
        <v>2.9600890882681696E-2</v>
      </c>
      <c r="Y1132" s="232"/>
    </row>
    <row r="1133" spans="21:25" x14ac:dyDescent="0.2">
      <c r="U1133" s="209" t="str">
        <f t="shared" si="20"/>
        <v>1w</v>
      </c>
      <c r="V1133" s="207">
        <f>_xll.qlCalendarAdvance(Calendar,V1132,U1133,"f",FALSE)</f>
        <v>46777</v>
      </c>
      <c r="W1133" s="210">
        <f>_xll.qlCalendarAdvance(Calendar,V1133,NDays&amp;"D")</f>
        <v>46777</v>
      </c>
      <c r="X1133" s="211">
        <v>2.9600312196542689E-2</v>
      </c>
      <c r="Y1133" s="232"/>
    </row>
    <row r="1134" spans="21:25" x14ac:dyDescent="0.2">
      <c r="U1134" s="209" t="str">
        <f t="shared" si="20"/>
        <v>1w</v>
      </c>
      <c r="V1134" s="207">
        <f>_xll.qlCalendarAdvance(Calendar,V1133,U1134,"f",FALSE)</f>
        <v>46784</v>
      </c>
      <c r="W1134" s="210">
        <f>_xll.qlCalendarAdvance(Calendar,V1134,NDays&amp;"D")</f>
        <v>46784</v>
      </c>
      <c r="X1134" s="211">
        <v>2.9599562185929074E-2</v>
      </c>
      <c r="Y1134" s="232"/>
    </row>
    <row r="1135" spans="21:25" x14ac:dyDescent="0.2">
      <c r="U1135" s="209" t="str">
        <f t="shared" si="20"/>
        <v>1w</v>
      </c>
      <c r="V1135" s="207">
        <f>_xll.qlCalendarAdvance(Calendar,V1134,U1135,"f",FALSE)</f>
        <v>46791</v>
      </c>
      <c r="W1135" s="210">
        <f>_xll.qlCalendarAdvance(Calendar,V1135,NDays&amp;"D")</f>
        <v>46791</v>
      </c>
      <c r="X1135" s="211">
        <v>2.9598640851000724E-2</v>
      </c>
      <c r="Y1135" s="232"/>
    </row>
    <row r="1136" spans="21:25" x14ac:dyDescent="0.2">
      <c r="U1136" s="209" t="str">
        <f t="shared" si="20"/>
        <v>1w</v>
      </c>
      <c r="V1136" s="207">
        <f>_xll.qlCalendarAdvance(Calendar,V1135,U1136,"f",FALSE)</f>
        <v>46798</v>
      </c>
      <c r="W1136" s="210">
        <f>_xll.qlCalendarAdvance(Calendar,V1136,NDays&amp;"D")</f>
        <v>46798</v>
      </c>
      <c r="X1136" s="211">
        <v>2.9597548191597767E-2</v>
      </c>
      <c r="Y1136" s="232"/>
    </row>
    <row r="1137" spans="21:25" x14ac:dyDescent="0.2">
      <c r="U1137" s="209" t="str">
        <f t="shared" si="20"/>
        <v>1w</v>
      </c>
      <c r="V1137" s="207">
        <f>_xll.qlCalendarAdvance(Calendar,V1136,U1137,"f",FALSE)</f>
        <v>46805</v>
      </c>
      <c r="W1137" s="210">
        <f>_xll.qlCalendarAdvance(Calendar,V1137,NDays&amp;"D")</f>
        <v>46805</v>
      </c>
      <c r="X1137" s="211">
        <v>2.9596284208039947E-2</v>
      </c>
      <c r="Y1137" s="232"/>
    </row>
    <row r="1138" spans="21:25" x14ac:dyDescent="0.2">
      <c r="U1138" s="209" t="str">
        <f t="shared" si="20"/>
        <v>1w</v>
      </c>
      <c r="V1138" s="207">
        <f>_xll.qlCalendarAdvance(Calendar,V1137,U1138,"f",FALSE)</f>
        <v>46812</v>
      </c>
      <c r="W1138" s="210">
        <f>_xll.qlCalendarAdvance(Calendar,V1138,NDays&amp;"D")</f>
        <v>46812</v>
      </c>
      <c r="X1138" s="211">
        <v>2.9594848899927584E-2</v>
      </c>
      <c r="Y1138" s="232"/>
    </row>
    <row r="1139" spans="21:25" x14ac:dyDescent="0.2">
      <c r="U1139" s="209" t="str">
        <f t="shared" si="20"/>
        <v>1w</v>
      </c>
      <c r="V1139" s="207">
        <f>_xll.qlCalendarAdvance(Calendar,V1138,U1139,"f",FALSE)</f>
        <v>46819</v>
      </c>
      <c r="W1139" s="210">
        <f>_xll.qlCalendarAdvance(Calendar,V1139,NDays&amp;"D")</f>
        <v>46819</v>
      </c>
      <c r="X1139" s="211">
        <v>2.9593242267580422E-2</v>
      </c>
      <c r="Y1139" s="232"/>
    </row>
    <row r="1140" spans="21:25" x14ac:dyDescent="0.2">
      <c r="U1140" s="209" t="str">
        <f t="shared" si="20"/>
        <v>1w</v>
      </c>
      <c r="V1140" s="207">
        <f>_xll.qlCalendarAdvance(Calendar,V1139,U1140,"f",FALSE)</f>
        <v>46826</v>
      </c>
      <c r="W1140" s="210">
        <f>_xll.qlCalendarAdvance(Calendar,V1140,NDays&amp;"D")</f>
        <v>46826</v>
      </c>
      <c r="X1140" s="211">
        <v>2.9591464310758653E-2</v>
      </c>
      <c r="Y1140" s="232"/>
    </row>
    <row r="1141" spans="21:25" x14ac:dyDescent="0.2">
      <c r="U1141" s="209" t="str">
        <f t="shared" si="20"/>
        <v>1w</v>
      </c>
      <c r="V1141" s="207">
        <f>_xll.qlCalendarAdvance(Calendar,V1140,U1141,"f",FALSE)</f>
        <v>46833</v>
      </c>
      <c r="W1141" s="210">
        <f>_xll.qlCalendarAdvance(Calendar,V1141,NDays&amp;"D")</f>
        <v>46833</v>
      </c>
      <c r="X1141" s="211">
        <v>2.9589515029622149E-2</v>
      </c>
      <c r="Y1141" s="232"/>
    </row>
    <row r="1142" spans="21:25" x14ac:dyDescent="0.2">
      <c r="U1142" s="209" t="str">
        <f t="shared" si="20"/>
        <v>1w</v>
      </c>
      <c r="V1142" s="207">
        <f>_xll.qlCalendarAdvance(Calendar,V1141,U1142,"f",FALSE)</f>
        <v>46840</v>
      </c>
      <c r="W1142" s="210">
        <f>_xll.qlCalendarAdvance(Calendar,V1142,NDays&amp;"D")</f>
        <v>46840</v>
      </c>
      <c r="X1142" s="211">
        <v>2.9587394424090974E-2</v>
      </c>
      <c r="Y1142" s="232"/>
    </row>
    <row r="1143" spans="21:25" x14ac:dyDescent="0.2">
      <c r="U1143" s="209" t="str">
        <f t="shared" si="20"/>
        <v>1w</v>
      </c>
      <c r="V1143" s="207">
        <f>_xll.qlCalendarAdvance(Calendar,V1142,U1143,"f",FALSE)</f>
        <v>46847</v>
      </c>
      <c r="W1143" s="210">
        <f>_xll.qlCalendarAdvance(Calendar,V1143,NDays&amp;"D")</f>
        <v>46847</v>
      </c>
      <c r="X1143" s="211">
        <v>2.9585102494245064E-2</v>
      </c>
      <c r="Y1143" s="232"/>
    </row>
    <row r="1144" spans="21:25" x14ac:dyDescent="0.2">
      <c r="U1144" s="209" t="str">
        <f t="shared" si="20"/>
        <v>1w</v>
      </c>
      <c r="V1144" s="207">
        <f>_xll.qlCalendarAdvance(Calendar,V1143,U1144,"f",FALSE)</f>
        <v>46854</v>
      </c>
      <c r="W1144" s="210">
        <f>_xll.qlCalendarAdvance(Calendar,V1144,NDays&amp;"D")</f>
        <v>46854</v>
      </c>
      <c r="X1144" s="211">
        <v>2.9582639240084418E-2</v>
      </c>
      <c r="Y1144" s="232"/>
    </row>
    <row r="1145" spans="21:25" x14ac:dyDescent="0.2">
      <c r="U1145" s="209" t="str">
        <f t="shared" si="20"/>
        <v>1w</v>
      </c>
      <c r="V1145" s="207">
        <f>_xll.qlCalendarAdvance(Calendar,V1144,U1145,"f",FALSE)</f>
        <v>46861</v>
      </c>
      <c r="W1145" s="210">
        <f>_xll.qlCalendarAdvance(Calendar,V1145,NDays&amp;"D")</f>
        <v>46861</v>
      </c>
      <c r="X1145" s="211">
        <v>2.9580004661529102E-2</v>
      </c>
      <c r="Y1145" s="232"/>
    </row>
    <row r="1146" spans="21:25" x14ac:dyDescent="0.2">
      <c r="U1146" s="209" t="str">
        <f t="shared" si="20"/>
        <v>1w</v>
      </c>
      <c r="V1146" s="207">
        <f>_xll.qlCalendarAdvance(Calendar,V1145,U1146,"f",FALSE)</f>
        <v>46868</v>
      </c>
      <c r="W1146" s="210">
        <f>_xll.qlCalendarAdvance(Calendar,V1146,NDays&amp;"D")</f>
        <v>46868</v>
      </c>
      <c r="X1146" s="211">
        <v>2.9577198758579115E-2</v>
      </c>
      <c r="Y1146" s="232"/>
    </row>
    <row r="1147" spans="21:25" x14ac:dyDescent="0.2">
      <c r="U1147" s="209" t="str">
        <f t="shared" si="20"/>
        <v>1w</v>
      </c>
      <c r="V1147" s="207">
        <f>_xll.qlCalendarAdvance(Calendar,V1146,U1147,"f",FALSE)</f>
        <v>46875</v>
      </c>
      <c r="W1147" s="210">
        <f>_xll.qlCalendarAdvance(Calendar,V1147,NDays&amp;"D")</f>
        <v>46875</v>
      </c>
      <c r="X1147" s="211">
        <v>2.9574221531314393E-2</v>
      </c>
      <c r="Y1147" s="232"/>
    </row>
    <row r="1148" spans="21:25" x14ac:dyDescent="0.2">
      <c r="U1148" s="209" t="str">
        <f t="shared" si="20"/>
        <v>1w</v>
      </c>
      <c r="V1148" s="207">
        <f>_xll.qlCalendarAdvance(Calendar,V1147,U1148,"f",FALSE)</f>
        <v>46882</v>
      </c>
      <c r="W1148" s="210">
        <f>_xll.qlCalendarAdvance(Calendar,V1148,NDays&amp;"D")</f>
        <v>46882</v>
      </c>
      <c r="X1148" s="211">
        <v>2.9571072979734936E-2</v>
      </c>
      <c r="Y1148" s="232"/>
    </row>
    <row r="1149" spans="21:25" x14ac:dyDescent="0.2">
      <c r="U1149" s="209" t="str">
        <f t="shared" si="20"/>
        <v>1w</v>
      </c>
      <c r="V1149" s="207">
        <f>_xll.qlCalendarAdvance(Calendar,V1148,U1149,"f",FALSE)</f>
        <v>46889</v>
      </c>
      <c r="W1149" s="210">
        <f>_xll.qlCalendarAdvance(Calendar,V1149,NDays&amp;"D")</f>
        <v>46889</v>
      </c>
      <c r="X1149" s="211">
        <v>2.9567753103840744E-2</v>
      </c>
      <c r="Y1149" s="232"/>
    </row>
    <row r="1150" spans="21:25" x14ac:dyDescent="0.2">
      <c r="U1150" s="209" t="str">
        <f t="shared" si="20"/>
        <v>1w</v>
      </c>
      <c r="V1150" s="207">
        <f>_xll.qlCalendarAdvance(Calendar,V1149,U1150,"f",FALSE)</f>
        <v>46896</v>
      </c>
      <c r="W1150" s="210">
        <f>_xll.qlCalendarAdvance(Calendar,V1150,NDays&amp;"D")</f>
        <v>46896</v>
      </c>
      <c r="X1150" s="211">
        <v>2.9564261903631817E-2</v>
      </c>
      <c r="Y1150" s="232"/>
    </row>
    <row r="1151" spans="21:25" x14ac:dyDescent="0.2">
      <c r="U1151" s="209" t="str">
        <f t="shared" si="20"/>
        <v>1w</v>
      </c>
      <c r="V1151" s="207">
        <f>_xll.qlCalendarAdvance(Calendar,V1150,U1151,"f",FALSE)</f>
        <v>46903</v>
      </c>
      <c r="W1151" s="210">
        <f>_xll.qlCalendarAdvance(Calendar,V1151,NDays&amp;"D")</f>
        <v>46903</v>
      </c>
      <c r="X1151" s="211">
        <v>2.9560599379028218E-2</v>
      </c>
      <c r="Y1151" s="232"/>
    </row>
    <row r="1152" spans="21:25" x14ac:dyDescent="0.2">
      <c r="U1152" s="209" t="str">
        <f t="shared" si="20"/>
        <v>1w</v>
      </c>
      <c r="V1152" s="207">
        <f>_xll.qlCalendarAdvance(Calendar,V1151,U1152,"f",FALSE)</f>
        <v>46910</v>
      </c>
      <c r="W1152" s="210">
        <f>_xll.qlCalendarAdvance(Calendar,V1152,NDays&amp;"D")</f>
        <v>46910</v>
      </c>
      <c r="X1152" s="211">
        <v>2.9556765530109885E-2</v>
      </c>
      <c r="Y1152" s="232"/>
    </row>
    <row r="1153" spans="21:25" x14ac:dyDescent="0.2">
      <c r="U1153" s="209" t="str">
        <f t="shared" si="20"/>
        <v>1w</v>
      </c>
      <c r="V1153" s="207">
        <f>_xll.qlCalendarAdvance(Calendar,V1152,U1153,"f",FALSE)</f>
        <v>46917</v>
      </c>
      <c r="W1153" s="210">
        <f>_xll.qlCalendarAdvance(Calendar,V1153,NDays&amp;"D")</f>
        <v>46917</v>
      </c>
      <c r="X1153" s="211">
        <v>2.9552760356956753E-2</v>
      </c>
      <c r="Y1153" s="232"/>
    </row>
    <row r="1154" spans="21:25" x14ac:dyDescent="0.2">
      <c r="U1154" s="209" t="str">
        <f t="shared" si="20"/>
        <v>1w</v>
      </c>
      <c r="V1154" s="207">
        <f>_xll.qlCalendarAdvance(Calendar,V1153,U1154,"f",FALSE)</f>
        <v>46924</v>
      </c>
      <c r="W1154" s="210">
        <f>_xll.qlCalendarAdvance(Calendar,V1154,NDays&amp;"D")</f>
        <v>46924</v>
      </c>
      <c r="X1154" s="211">
        <v>2.954858385940895E-2</v>
      </c>
      <c r="Y1154" s="232"/>
    </row>
    <row r="1155" spans="21:25" x14ac:dyDescent="0.2">
      <c r="U1155" s="209" t="str">
        <f t="shared" si="20"/>
        <v>1w</v>
      </c>
      <c r="V1155" s="207">
        <f>_xll.qlCalendarAdvance(Calendar,V1154,U1155,"f",FALSE)</f>
        <v>46931</v>
      </c>
      <c r="W1155" s="210">
        <f>_xll.qlCalendarAdvance(Calendar,V1155,NDays&amp;"D")</f>
        <v>46931</v>
      </c>
      <c r="X1155" s="211">
        <v>2.9544236037626348E-2</v>
      </c>
      <c r="Y1155" s="232"/>
    </row>
    <row r="1156" spans="21:25" x14ac:dyDescent="0.2">
      <c r="U1156" s="209" t="str">
        <f t="shared" si="20"/>
        <v>1w</v>
      </c>
      <c r="V1156" s="207">
        <f>_xll.qlCalendarAdvance(Calendar,V1155,U1156,"f",FALSE)</f>
        <v>46938</v>
      </c>
      <c r="W1156" s="210">
        <f>_xll.qlCalendarAdvance(Calendar,V1156,NDays&amp;"D")</f>
        <v>46938</v>
      </c>
      <c r="X1156" s="211">
        <v>2.9539716891449075E-2</v>
      </c>
      <c r="Y1156" s="232"/>
    </row>
    <row r="1157" spans="21:25" x14ac:dyDescent="0.2">
      <c r="U1157" s="209" t="str">
        <f t="shared" si="20"/>
        <v>1w</v>
      </c>
      <c r="V1157" s="207">
        <f>_xll.qlCalendarAdvance(Calendar,V1156,U1157,"f",FALSE)</f>
        <v>46945</v>
      </c>
      <c r="W1157" s="210">
        <f>_xll.qlCalendarAdvance(Calendar,V1157,NDays&amp;"D")</f>
        <v>46945</v>
      </c>
      <c r="X1157" s="211">
        <v>2.9535026421116939E-2</v>
      </c>
      <c r="Y1157" s="232"/>
    </row>
    <row r="1158" spans="21:25" x14ac:dyDescent="0.2">
      <c r="U1158" s="209" t="str">
        <f t="shared" si="20"/>
        <v>1w</v>
      </c>
      <c r="V1158" s="207">
        <f>_xll.qlCalendarAdvance(Calendar,V1157,U1158,"f",FALSE)</f>
        <v>46952</v>
      </c>
      <c r="W1158" s="210">
        <f>_xll.qlCalendarAdvance(Calendar,V1158,NDays&amp;"D")</f>
        <v>46952</v>
      </c>
      <c r="X1158" s="211">
        <v>2.9530164626470068E-2</v>
      </c>
      <c r="Y1158" s="232"/>
    </row>
    <row r="1159" spans="21:25" x14ac:dyDescent="0.2">
      <c r="U1159" s="209" t="str">
        <f t="shared" si="20"/>
        <v>1w</v>
      </c>
      <c r="V1159" s="207">
        <f>_xll.qlCalendarAdvance(Calendar,V1158,U1159,"f",FALSE)</f>
        <v>46959</v>
      </c>
      <c r="W1159" s="210">
        <f>_xll.qlCalendarAdvance(Calendar,V1159,NDays&amp;"D")</f>
        <v>46959</v>
      </c>
      <c r="X1159" s="211">
        <v>2.9525131507508462E-2</v>
      </c>
      <c r="Y1159" s="232"/>
    </row>
    <row r="1160" spans="21:25" x14ac:dyDescent="0.2">
      <c r="U1160" s="209" t="str">
        <f t="shared" si="20"/>
        <v>1w</v>
      </c>
      <c r="V1160" s="207">
        <f>_xll.qlCalendarAdvance(Calendar,V1159,U1160,"f",FALSE)</f>
        <v>46966</v>
      </c>
      <c r="W1160" s="210">
        <f>_xll.qlCalendarAdvance(Calendar,V1160,NDays&amp;"D")</f>
        <v>46966</v>
      </c>
      <c r="X1160" s="211">
        <v>2.9519927064232121E-2</v>
      </c>
      <c r="Y1160" s="232"/>
    </row>
    <row r="1161" spans="21:25" x14ac:dyDescent="0.2">
      <c r="U1161" s="209" t="str">
        <f t="shared" si="20"/>
        <v>1w</v>
      </c>
      <c r="V1161" s="207">
        <f>_xll.qlCalendarAdvance(Calendar,V1160,U1161,"f",FALSE)</f>
        <v>46973</v>
      </c>
      <c r="W1161" s="210">
        <f>_xll.qlCalendarAdvance(Calendar,V1161,NDays&amp;"D")</f>
        <v>46973</v>
      </c>
      <c r="X1161" s="211">
        <v>2.9514551296800917E-2</v>
      </c>
      <c r="Y1161" s="232"/>
    </row>
    <row r="1162" spans="21:25" x14ac:dyDescent="0.2">
      <c r="U1162" s="209" t="str">
        <f t="shared" si="20"/>
        <v>1w</v>
      </c>
      <c r="V1162" s="207">
        <f>_xll.qlCalendarAdvance(Calendar,V1161,U1162,"f",FALSE)</f>
        <v>46980</v>
      </c>
      <c r="W1162" s="210">
        <f>_xll.qlCalendarAdvance(Calendar,V1162,NDays&amp;"D")</f>
        <v>46980</v>
      </c>
      <c r="X1162" s="211">
        <v>2.9509004205054978E-2</v>
      </c>
      <c r="Y1162" s="232"/>
    </row>
    <row r="1163" spans="21:25" x14ac:dyDescent="0.2">
      <c r="U1163" s="209" t="str">
        <f t="shared" si="20"/>
        <v>1w</v>
      </c>
      <c r="V1163" s="207">
        <f>_xll.qlCalendarAdvance(Calendar,V1162,U1163,"f",FALSE)</f>
        <v>46987</v>
      </c>
      <c r="W1163" s="210">
        <f>_xll.qlCalendarAdvance(Calendar,V1163,NDays&amp;"D")</f>
        <v>46987</v>
      </c>
      <c r="X1163" s="211">
        <v>2.9503285789074241E-2</v>
      </c>
      <c r="Y1163" s="232"/>
    </row>
    <row r="1164" spans="21:25" x14ac:dyDescent="0.2">
      <c r="U1164" s="209" t="str">
        <f t="shared" si="20"/>
        <v>1w</v>
      </c>
      <c r="V1164" s="207">
        <f>_xll.qlCalendarAdvance(Calendar,V1163,U1164,"f",FALSE)</f>
        <v>46994</v>
      </c>
      <c r="W1164" s="210">
        <f>_xll.qlCalendarAdvance(Calendar,V1164,NDays&amp;"D")</f>
        <v>46994</v>
      </c>
      <c r="X1164" s="211">
        <v>2.9497396048858704E-2</v>
      </c>
      <c r="Y1164" s="232"/>
    </row>
    <row r="1165" spans="21:25" x14ac:dyDescent="0.2">
      <c r="U1165" s="209" t="str">
        <f t="shared" ref="U1165:U1228" si="21">U1164</f>
        <v>1w</v>
      </c>
      <c r="V1165" s="207">
        <f>_xll.qlCalendarAdvance(Calendar,V1164,U1165,"f",FALSE)</f>
        <v>47001</v>
      </c>
      <c r="W1165" s="210">
        <f>_xll.qlCalendarAdvance(Calendar,V1165,NDays&amp;"D")</f>
        <v>47001</v>
      </c>
      <c r="X1165" s="211">
        <v>2.9491334984408368E-2</v>
      </c>
      <c r="Y1165" s="232"/>
    </row>
    <row r="1166" spans="21:25" x14ac:dyDescent="0.2">
      <c r="U1166" s="209" t="str">
        <f t="shared" si="21"/>
        <v>1w</v>
      </c>
      <c r="V1166" s="207">
        <f>_xll.qlCalendarAdvance(Calendar,V1165,U1166,"f",FALSE)</f>
        <v>47008</v>
      </c>
      <c r="W1166" s="210">
        <f>_xll.qlCalendarAdvance(Calendar,V1166,NDays&amp;"D")</f>
        <v>47008</v>
      </c>
      <c r="X1166" s="211">
        <v>2.948510259580317E-2</v>
      </c>
      <c r="Y1166" s="232"/>
    </row>
    <row r="1167" spans="21:25" x14ac:dyDescent="0.2">
      <c r="U1167" s="209" t="str">
        <f t="shared" si="21"/>
        <v>1w</v>
      </c>
      <c r="V1167" s="207">
        <f>_xll.qlCalendarAdvance(Calendar,V1166,U1167,"f",FALSE)</f>
        <v>47015</v>
      </c>
      <c r="W1167" s="210">
        <f>_xll.qlCalendarAdvance(Calendar,V1167,NDays&amp;"D")</f>
        <v>47015</v>
      </c>
      <c r="X1167" s="211">
        <v>2.94786988828033E-2</v>
      </c>
      <c r="Y1167" s="232"/>
    </row>
    <row r="1168" spans="21:25" x14ac:dyDescent="0.2">
      <c r="U1168" s="209" t="str">
        <f t="shared" si="21"/>
        <v>1w</v>
      </c>
      <c r="V1168" s="207">
        <f>_xll.qlCalendarAdvance(Calendar,V1167,U1168,"f",FALSE)</f>
        <v>47022</v>
      </c>
      <c r="W1168" s="210">
        <f>_xll.qlCalendarAdvance(Calendar,V1168,NDays&amp;"D")</f>
        <v>47022</v>
      </c>
      <c r="X1168" s="211">
        <v>2.947212384580844E-2</v>
      </c>
      <c r="Y1168" s="232"/>
    </row>
    <row r="1169" spans="21:25" x14ac:dyDescent="0.2">
      <c r="U1169" s="209" t="str">
        <f t="shared" si="21"/>
        <v>1w</v>
      </c>
      <c r="V1169" s="207">
        <f>_xll.qlCalendarAdvance(Calendar,V1168,U1169,"f",FALSE)</f>
        <v>47029</v>
      </c>
      <c r="W1169" s="210">
        <f>_xll.qlCalendarAdvance(Calendar,V1169,NDays&amp;"D")</f>
        <v>47029</v>
      </c>
      <c r="X1169" s="211">
        <v>2.9465377484578781E-2</v>
      </c>
      <c r="Y1169" s="232"/>
    </row>
    <row r="1170" spans="21:25" x14ac:dyDescent="0.2">
      <c r="U1170" s="209" t="str">
        <f t="shared" si="21"/>
        <v>1w</v>
      </c>
      <c r="V1170" s="207">
        <f>_xll.qlCalendarAdvance(Calendar,V1169,U1170,"f",FALSE)</f>
        <v>47036</v>
      </c>
      <c r="W1170" s="210">
        <f>_xll.qlCalendarAdvance(Calendar,V1170,NDays&amp;"D")</f>
        <v>47036</v>
      </c>
      <c r="X1170" s="211">
        <v>2.9458459799114323E-2</v>
      </c>
      <c r="Y1170" s="232"/>
    </row>
    <row r="1171" spans="21:25" x14ac:dyDescent="0.2">
      <c r="U1171" s="209" t="str">
        <f t="shared" si="21"/>
        <v>1w</v>
      </c>
      <c r="V1171" s="207">
        <f>_xll.qlCalendarAdvance(Calendar,V1170,U1171,"f",FALSE)</f>
        <v>47043</v>
      </c>
      <c r="W1171" s="210">
        <f>_xll.qlCalendarAdvance(Calendar,V1171,NDays&amp;"D")</f>
        <v>47043</v>
      </c>
      <c r="X1171" s="211">
        <v>2.9451370789415066E-2</v>
      </c>
      <c r="Y1171" s="232"/>
    </row>
    <row r="1172" spans="21:25" x14ac:dyDescent="0.2">
      <c r="U1172" s="209" t="str">
        <f t="shared" si="21"/>
        <v>1w</v>
      </c>
      <c r="V1172" s="207">
        <f>_xll.qlCalendarAdvance(Calendar,V1171,U1172,"f",FALSE)</f>
        <v>47050</v>
      </c>
      <c r="W1172" s="210">
        <f>_xll.qlCalendarAdvance(Calendar,V1172,NDays&amp;"D")</f>
        <v>47050</v>
      </c>
      <c r="X1172" s="211">
        <v>2.9444110455640882E-2</v>
      </c>
      <c r="Y1172" s="232"/>
    </row>
    <row r="1173" spans="21:25" x14ac:dyDescent="0.2">
      <c r="U1173" s="209" t="str">
        <f t="shared" si="21"/>
        <v>1w</v>
      </c>
      <c r="V1173" s="207">
        <f>_xll.qlCalendarAdvance(Calendar,V1172,U1173,"f",FALSE)</f>
        <v>47057</v>
      </c>
      <c r="W1173" s="210">
        <f>_xll.qlCalendarAdvance(Calendar,V1173,NDays&amp;"D")</f>
        <v>47057</v>
      </c>
      <c r="X1173" s="211">
        <v>2.9436678797711835E-2</v>
      </c>
      <c r="Y1173" s="232"/>
    </row>
    <row r="1174" spans="21:25" x14ac:dyDescent="0.2">
      <c r="U1174" s="209" t="str">
        <f t="shared" si="21"/>
        <v>1w</v>
      </c>
      <c r="V1174" s="207">
        <f>_xll.qlCalendarAdvance(Calendar,V1173,U1174,"f",FALSE)</f>
        <v>47064</v>
      </c>
      <c r="W1174" s="210">
        <f>_xll.qlCalendarAdvance(Calendar,V1174,NDays&amp;"D")</f>
        <v>47064</v>
      </c>
      <c r="X1174" s="211">
        <v>2.9429075815627925E-2</v>
      </c>
      <c r="Y1174" s="232"/>
    </row>
    <row r="1175" spans="21:25" x14ac:dyDescent="0.2">
      <c r="U1175" s="209" t="str">
        <f t="shared" si="21"/>
        <v>1w</v>
      </c>
      <c r="V1175" s="207">
        <f>_xll.qlCalendarAdvance(Calendar,V1174,U1175,"f",FALSE)</f>
        <v>47071</v>
      </c>
      <c r="W1175" s="210">
        <f>_xll.qlCalendarAdvance(Calendar,V1175,NDays&amp;"D")</f>
        <v>47071</v>
      </c>
      <c r="X1175" s="211">
        <v>2.9421301509389153E-2</v>
      </c>
      <c r="Y1175" s="232"/>
    </row>
    <row r="1176" spans="21:25" x14ac:dyDescent="0.2">
      <c r="U1176" s="209" t="str">
        <f t="shared" si="21"/>
        <v>1w</v>
      </c>
      <c r="V1176" s="207">
        <f>_xll.qlCalendarAdvance(Calendar,V1175,U1176,"f",FALSE)</f>
        <v>47078</v>
      </c>
      <c r="W1176" s="210">
        <f>_xll.qlCalendarAdvance(Calendar,V1176,NDays&amp;"D")</f>
        <v>47078</v>
      </c>
      <c r="X1176" s="211">
        <v>2.941335587915539E-2</v>
      </c>
      <c r="Y1176" s="232"/>
    </row>
    <row r="1177" spans="21:25" x14ac:dyDescent="0.2">
      <c r="U1177" s="209" t="str">
        <f t="shared" si="21"/>
        <v>1w</v>
      </c>
      <c r="V1177" s="207">
        <f>_xll.qlCalendarAdvance(Calendar,V1176,U1177,"f",FALSE)</f>
        <v>47085</v>
      </c>
      <c r="W1177" s="210">
        <f>_xll.qlCalendarAdvance(Calendar,V1177,NDays&amp;"D")</f>
        <v>47085</v>
      </c>
      <c r="X1177" s="211">
        <v>2.9405238924606891E-2</v>
      </c>
      <c r="Y1177" s="232"/>
    </row>
    <row r="1178" spans="21:25" x14ac:dyDescent="0.2">
      <c r="U1178" s="209" t="str">
        <f t="shared" si="21"/>
        <v>1w</v>
      </c>
      <c r="V1178" s="207">
        <f>_xll.qlCalendarAdvance(Calendar,V1177,U1178,"f",FALSE)</f>
        <v>47092</v>
      </c>
      <c r="W1178" s="210">
        <f>_xll.qlCalendarAdvance(Calendar,V1178,NDays&amp;"D")</f>
        <v>47092</v>
      </c>
      <c r="X1178" s="211">
        <v>2.9396950646143338E-2</v>
      </c>
      <c r="Y1178" s="232"/>
    </row>
    <row r="1179" spans="21:25" x14ac:dyDescent="0.2">
      <c r="U1179" s="209" t="str">
        <f t="shared" si="21"/>
        <v>1w</v>
      </c>
      <c r="V1179" s="207">
        <f>_xll.qlCalendarAdvance(Calendar,V1178,U1179,"f",FALSE)</f>
        <v>47099</v>
      </c>
      <c r="W1179" s="210">
        <f>_xll.qlCalendarAdvance(Calendar,V1179,NDays&amp;"D")</f>
        <v>47099</v>
      </c>
      <c r="X1179" s="211">
        <v>2.9388491043604859E-2</v>
      </c>
      <c r="Y1179" s="232"/>
    </row>
    <row r="1180" spans="21:25" x14ac:dyDescent="0.2">
      <c r="U1180" s="209" t="str">
        <f t="shared" si="21"/>
        <v>1w</v>
      </c>
      <c r="V1180" s="207">
        <f>_xll.qlCalendarAdvance(Calendar,V1179,U1180,"f",FALSE)</f>
        <v>47106</v>
      </c>
      <c r="W1180" s="210">
        <f>_xll.qlCalendarAdvance(Calendar,V1180,NDays&amp;"D")</f>
        <v>47106</v>
      </c>
      <c r="X1180" s="211">
        <v>2.9379860116911516E-2</v>
      </c>
      <c r="Y1180" s="232"/>
    </row>
    <row r="1181" spans="21:25" x14ac:dyDescent="0.2">
      <c r="U1181" s="209" t="str">
        <f t="shared" si="21"/>
        <v>1w</v>
      </c>
      <c r="V1181" s="207">
        <f>_xll.qlCalendarAdvance(Calendar,V1180,U1181,"f",FALSE)</f>
        <v>47114</v>
      </c>
      <c r="W1181" s="210">
        <f>_xll.qlCalendarAdvance(Calendar,V1181,NDays&amp;"D")</f>
        <v>47114</v>
      </c>
      <c r="X1181" s="211">
        <v>2.9369786416078014E-2</v>
      </c>
      <c r="Y1181" s="232"/>
    </row>
    <row r="1182" spans="21:25" x14ac:dyDescent="0.2">
      <c r="U1182" s="209" t="str">
        <f t="shared" si="21"/>
        <v>1w</v>
      </c>
      <c r="V1182" s="207">
        <f>_xll.qlCalendarAdvance(Calendar,V1181,U1182,"f",FALSE)</f>
        <v>47121</v>
      </c>
      <c r="W1182" s="210">
        <f>_xll.qlCalendarAdvance(Calendar,V1182,NDays&amp;"D")</f>
        <v>47121</v>
      </c>
      <c r="X1182" s="211">
        <v>2.9360788366412649E-2</v>
      </c>
      <c r="Y1182" s="232"/>
    </row>
    <row r="1183" spans="21:25" x14ac:dyDescent="0.2">
      <c r="U1183" s="209" t="str">
        <f t="shared" si="21"/>
        <v>1w</v>
      </c>
      <c r="V1183" s="207">
        <f>_xll.qlCalendarAdvance(Calendar,V1182,U1183,"f",FALSE)</f>
        <v>47128</v>
      </c>
      <c r="W1183" s="210">
        <f>_xll.qlCalendarAdvance(Calendar,V1183,NDays&amp;"D")</f>
        <v>47128</v>
      </c>
      <c r="X1183" s="211">
        <v>2.9351618992672357E-2</v>
      </c>
      <c r="Y1183" s="232"/>
    </row>
    <row r="1184" spans="21:25" x14ac:dyDescent="0.2">
      <c r="U1184" s="209" t="str">
        <f t="shared" si="21"/>
        <v>1w</v>
      </c>
      <c r="V1184" s="207">
        <f>_xll.qlCalendarAdvance(Calendar,V1183,U1184,"f",FALSE)</f>
        <v>47135</v>
      </c>
      <c r="W1184" s="210">
        <f>_xll.qlCalendarAdvance(Calendar,V1184,NDays&amp;"D")</f>
        <v>47135</v>
      </c>
      <c r="X1184" s="211">
        <v>2.934227829501701E-2</v>
      </c>
      <c r="Y1184" s="232"/>
    </row>
    <row r="1185" spans="21:25" x14ac:dyDescent="0.2">
      <c r="U1185" s="209" t="str">
        <f t="shared" si="21"/>
        <v>1w</v>
      </c>
      <c r="V1185" s="207">
        <f>_xll.qlCalendarAdvance(Calendar,V1184,U1185,"f",FALSE)</f>
        <v>47142</v>
      </c>
      <c r="W1185" s="210">
        <f>_xll.qlCalendarAdvance(Calendar,V1185,NDays&amp;"D")</f>
        <v>47142</v>
      </c>
      <c r="X1185" s="211">
        <v>2.9332766273286737E-2</v>
      </c>
      <c r="Y1185" s="232"/>
    </row>
    <row r="1186" spans="21:25" x14ac:dyDescent="0.2">
      <c r="U1186" s="209" t="str">
        <f t="shared" si="21"/>
        <v>1w</v>
      </c>
      <c r="V1186" s="207">
        <f>_xll.qlCalendarAdvance(Calendar,V1185,U1186,"f",FALSE)</f>
        <v>47149</v>
      </c>
      <c r="W1186" s="210">
        <f>_xll.qlCalendarAdvance(Calendar,V1186,NDays&amp;"D")</f>
        <v>47149</v>
      </c>
      <c r="X1186" s="211">
        <v>2.9323082927561472E-2</v>
      </c>
      <c r="Y1186" s="232"/>
    </row>
    <row r="1187" spans="21:25" x14ac:dyDescent="0.2">
      <c r="U1187" s="209" t="str">
        <f t="shared" si="21"/>
        <v>1w</v>
      </c>
      <c r="V1187" s="207">
        <f>_xll.qlCalendarAdvance(Calendar,V1186,U1187,"f",FALSE)</f>
        <v>47156</v>
      </c>
      <c r="W1187" s="210">
        <f>_xll.qlCalendarAdvance(Calendar,V1187,NDays&amp;"D")</f>
        <v>47156</v>
      </c>
      <c r="X1187" s="211">
        <v>2.9313228257841217E-2</v>
      </c>
      <c r="Y1187" s="232"/>
    </row>
    <row r="1188" spans="21:25" x14ac:dyDescent="0.2">
      <c r="U1188" s="209" t="str">
        <f t="shared" si="21"/>
        <v>1w</v>
      </c>
      <c r="V1188" s="207">
        <f>_xll.qlCalendarAdvance(Calendar,V1187,U1188,"f",FALSE)</f>
        <v>47163</v>
      </c>
      <c r="W1188" s="210">
        <f>_xll.qlCalendarAdvance(Calendar,V1188,NDays&amp;"D")</f>
        <v>47163</v>
      </c>
      <c r="X1188" s="211">
        <v>2.9303202264205908E-2</v>
      </c>
      <c r="Y1188" s="232"/>
    </row>
    <row r="1189" spans="21:25" x14ac:dyDescent="0.2">
      <c r="U1189" s="209" t="str">
        <f t="shared" si="21"/>
        <v>1w</v>
      </c>
      <c r="V1189" s="207">
        <f>_xll.qlCalendarAdvance(Calendar,V1188,U1189,"f",FALSE)</f>
        <v>47170</v>
      </c>
      <c r="W1189" s="210">
        <f>_xll.qlCalendarAdvance(Calendar,V1189,NDays&amp;"D")</f>
        <v>47170</v>
      </c>
      <c r="X1189" s="211">
        <v>2.9293004946575607E-2</v>
      </c>
      <c r="Y1189" s="232"/>
    </row>
    <row r="1190" spans="21:25" x14ac:dyDescent="0.2">
      <c r="U1190" s="209" t="str">
        <f t="shared" si="21"/>
        <v>1w</v>
      </c>
      <c r="V1190" s="207">
        <f>_xll.qlCalendarAdvance(Calendar,V1189,U1190,"f",FALSE)</f>
        <v>47177</v>
      </c>
      <c r="W1190" s="210">
        <f>_xll.qlCalendarAdvance(Calendar,V1190,NDays&amp;"D")</f>
        <v>47177</v>
      </c>
      <c r="X1190" s="211">
        <v>2.9282636305030252E-2</v>
      </c>
      <c r="Y1190" s="232"/>
    </row>
    <row r="1191" spans="21:25" x14ac:dyDescent="0.2">
      <c r="U1191" s="209" t="str">
        <f t="shared" si="21"/>
        <v>1w</v>
      </c>
      <c r="V1191" s="207">
        <f>_xll.qlCalendarAdvance(Calendar,V1190,U1191,"f",FALSE)</f>
        <v>47184</v>
      </c>
      <c r="W1191" s="210">
        <f>_xll.qlCalendarAdvance(Calendar,V1191,NDays&amp;"D")</f>
        <v>47184</v>
      </c>
      <c r="X1191" s="211">
        <v>2.9272096339569842E-2</v>
      </c>
      <c r="Y1191" s="232"/>
    </row>
    <row r="1192" spans="21:25" x14ac:dyDescent="0.2">
      <c r="U1192" s="209" t="str">
        <f t="shared" si="21"/>
        <v>1w</v>
      </c>
      <c r="V1192" s="207">
        <f>_xll.qlCalendarAdvance(Calendar,V1191,U1192,"f",FALSE)</f>
        <v>47191</v>
      </c>
      <c r="W1192" s="210">
        <f>_xll.qlCalendarAdvance(Calendar,V1192,NDays&amp;"D")</f>
        <v>47191</v>
      </c>
      <c r="X1192" s="211">
        <v>2.9261385050114441E-2</v>
      </c>
      <c r="Y1192" s="232"/>
    </row>
    <row r="1193" spans="21:25" x14ac:dyDescent="0.2">
      <c r="U1193" s="209" t="str">
        <f t="shared" si="21"/>
        <v>1w</v>
      </c>
      <c r="V1193" s="207">
        <f>_xll.qlCalendarAdvance(Calendar,V1192,U1193,"f",FALSE)</f>
        <v>47198</v>
      </c>
      <c r="W1193" s="210">
        <f>_xll.qlCalendarAdvance(Calendar,V1193,NDays&amp;"D")</f>
        <v>47198</v>
      </c>
      <c r="X1193" s="211">
        <v>2.9250502436983794E-2</v>
      </c>
      <c r="Y1193" s="232"/>
    </row>
    <row r="1194" spans="21:25" x14ac:dyDescent="0.2">
      <c r="U1194" s="209" t="str">
        <f t="shared" si="21"/>
        <v>1w</v>
      </c>
      <c r="V1194" s="207">
        <f>_xll.qlCalendarAdvance(Calendar,V1193,U1194,"f",FALSE)</f>
        <v>47205</v>
      </c>
      <c r="W1194" s="210">
        <f>_xll.qlCalendarAdvance(Calendar,V1194,NDays&amp;"D")</f>
        <v>47205</v>
      </c>
      <c r="X1194" s="211">
        <v>2.9239448499858156E-2</v>
      </c>
      <c r="Y1194" s="232"/>
    </row>
    <row r="1195" spans="21:25" x14ac:dyDescent="0.2">
      <c r="U1195" s="209" t="str">
        <f t="shared" si="21"/>
        <v>1w</v>
      </c>
      <c r="V1195" s="207">
        <f>_xll.qlCalendarAdvance(Calendar,V1194,U1195,"f",FALSE)</f>
        <v>47212</v>
      </c>
      <c r="W1195" s="210">
        <f>_xll.qlCalendarAdvance(Calendar,V1195,NDays&amp;"D")</f>
        <v>47212</v>
      </c>
      <c r="X1195" s="211">
        <v>2.9228223238737527E-2</v>
      </c>
      <c r="Y1195" s="232"/>
    </row>
    <row r="1196" spans="21:25" x14ac:dyDescent="0.2">
      <c r="U1196" s="209" t="str">
        <f t="shared" si="21"/>
        <v>1w</v>
      </c>
      <c r="V1196" s="207">
        <f>_xll.qlCalendarAdvance(Calendar,V1195,U1196,"f",FALSE)</f>
        <v>47219</v>
      </c>
      <c r="W1196" s="210">
        <f>_xll.qlCalendarAdvance(Calendar,V1196,NDays&amp;"D")</f>
        <v>47219</v>
      </c>
      <c r="X1196" s="211">
        <v>2.9216826653941652E-2</v>
      </c>
      <c r="Y1196" s="232"/>
    </row>
    <row r="1197" spans="21:25" x14ac:dyDescent="0.2">
      <c r="U1197" s="209" t="str">
        <f t="shared" si="21"/>
        <v>1w</v>
      </c>
      <c r="V1197" s="207">
        <f>_xll.qlCalendarAdvance(Calendar,V1196,U1197,"f",FALSE)</f>
        <v>47226</v>
      </c>
      <c r="W1197" s="210">
        <f>_xll.qlCalendarAdvance(Calendar,V1197,NDays&amp;"D")</f>
        <v>47226</v>
      </c>
      <c r="X1197" s="211">
        <v>2.9205258745230722E-2</v>
      </c>
      <c r="Y1197" s="232"/>
    </row>
    <row r="1198" spans="21:25" x14ac:dyDescent="0.2">
      <c r="U1198" s="209" t="str">
        <f t="shared" si="21"/>
        <v>1w</v>
      </c>
      <c r="V1198" s="207">
        <f>_xll.qlCalendarAdvance(Calendar,V1197,U1198,"f",FALSE)</f>
        <v>47233</v>
      </c>
      <c r="W1198" s="210">
        <f>_xll.qlCalendarAdvance(Calendar,V1198,NDays&amp;"D")</f>
        <v>47233</v>
      </c>
      <c r="X1198" s="211">
        <v>2.919351951276461E-2</v>
      </c>
      <c r="Y1198" s="232"/>
    </row>
    <row r="1199" spans="21:25" x14ac:dyDescent="0.2">
      <c r="U1199" s="209" t="str">
        <f t="shared" si="21"/>
        <v>1w</v>
      </c>
      <c r="V1199" s="207">
        <f>_xll.qlCalendarAdvance(Calendar,V1198,U1199,"f",FALSE)</f>
        <v>47240</v>
      </c>
      <c r="W1199" s="210">
        <f>_xll.qlCalendarAdvance(Calendar,V1199,NDays&amp;"D")</f>
        <v>47240</v>
      </c>
      <c r="X1199" s="211">
        <v>2.9181608956463378E-2</v>
      </c>
      <c r="Y1199" s="232"/>
    </row>
    <row r="1200" spans="21:25" x14ac:dyDescent="0.2">
      <c r="U1200" s="209" t="str">
        <f t="shared" si="21"/>
        <v>1w</v>
      </c>
      <c r="V1200" s="207">
        <f>_xll.qlCalendarAdvance(Calendar,V1199,U1200,"f",FALSE)</f>
        <v>47247</v>
      </c>
      <c r="W1200" s="210">
        <f>_xll.qlCalendarAdvance(Calendar,V1200,NDays&amp;"D")</f>
        <v>47247</v>
      </c>
      <c r="X1200" s="211">
        <v>2.9169527076486901E-2</v>
      </c>
      <c r="Y1200" s="232"/>
    </row>
    <row r="1201" spans="21:25" x14ac:dyDescent="0.2">
      <c r="U1201" s="209" t="str">
        <f t="shared" si="21"/>
        <v>1w</v>
      </c>
      <c r="V1201" s="207">
        <f>_xll.qlCalendarAdvance(Calendar,V1200,U1201,"f",FALSE)</f>
        <v>47254</v>
      </c>
      <c r="W1201" s="210">
        <f>_xll.qlCalendarAdvance(Calendar,V1201,NDays&amp;"D")</f>
        <v>47254</v>
      </c>
      <c r="X1201" s="211">
        <v>2.9157273872675304E-2</v>
      </c>
      <c r="Y1201" s="232"/>
    </row>
    <row r="1202" spans="21:25" x14ac:dyDescent="0.2">
      <c r="U1202" s="209" t="str">
        <f t="shared" si="21"/>
        <v>1w</v>
      </c>
      <c r="V1202" s="207">
        <f>_xll.qlCalendarAdvance(Calendar,V1201,U1202,"f",FALSE)</f>
        <v>47261</v>
      </c>
      <c r="W1202" s="210">
        <f>_xll.qlCalendarAdvance(Calendar,V1202,NDays&amp;"D")</f>
        <v>47261</v>
      </c>
      <c r="X1202" s="211">
        <v>2.9144849345028589E-2</v>
      </c>
      <c r="Y1202" s="232"/>
    </row>
    <row r="1203" spans="21:25" x14ac:dyDescent="0.2">
      <c r="U1203" s="209" t="str">
        <f t="shared" si="21"/>
        <v>1w</v>
      </c>
      <c r="V1203" s="207">
        <f>_xll.qlCalendarAdvance(Calendar,V1202,U1203,"f",FALSE)</f>
        <v>47268</v>
      </c>
      <c r="W1203" s="210">
        <f>_xll.qlCalendarAdvance(Calendar,V1203,NDays&amp;"D")</f>
        <v>47268</v>
      </c>
      <c r="X1203" s="211">
        <v>2.9132253493786564E-2</v>
      </c>
      <c r="Y1203" s="232"/>
    </row>
    <row r="1204" spans="21:25" x14ac:dyDescent="0.2">
      <c r="U1204" s="209" t="str">
        <f t="shared" si="21"/>
        <v>1w</v>
      </c>
      <c r="V1204" s="207">
        <f>_xll.qlCalendarAdvance(Calendar,V1203,U1204,"f",FALSE)</f>
        <v>47275</v>
      </c>
      <c r="W1204" s="210">
        <f>_xll.qlCalendarAdvance(Calendar,V1204,NDays&amp;"D")</f>
        <v>47275</v>
      </c>
      <c r="X1204" s="211">
        <v>2.9119498386176446E-2</v>
      </c>
      <c r="Y1204" s="232"/>
    </row>
    <row r="1205" spans="21:25" x14ac:dyDescent="0.2">
      <c r="U1205" s="209" t="str">
        <f t="shared" si="21"/>
        <v>1w</v>
      </c>
      <c r="V1205" s="207">
        <f>_xll.qlCalendarAdvance(Calendar,V1204,U1205,"f",FALSE)</f>
        <v>47282</v>
      </c>
      <c r="W1205" s="210">
        <f>_xll.qlCalendarAdvance(Calendar,V1205,NDays&amp;"D")</f>
        <v>47282</v>
      </c>
      <c r="X1205" s="211">
        <v>2.9106719939395731E-2</v>
      </c>
      <c r="Y1205" s="232"/>
    </row>
    <row r="1206" spans="21:25" x14ac:dyDescent="0.2">
      <c r="U1206" s="209" t="str">
        <f t="shared" si="21"/>
        <v>1w</v>
      </c>
      <c r="V1206" s="207">
        <f>_xll.qlCalendarAdvance(Calendar,V1205,U1206,"f",FALSE)</f>
        <v>47289</v>
      </c>
      <c r="W1206" s="210">
        <f>_xll.qlCalendarAdvance(Calendar,V1206,NDays&amp;"D")</f>
        <v>47289</v>
      </c>
      <c r="X1206" s="211">
        <v>2.9093956896053541E-2</v>
      </c>
      <c r="Y1206" s="232"/>
    </row>
    <row r="1207" spans="21:25" x14ac:dyDescent="0.2">
      <c r="U1207" s="209" t="str">
        <f t="shared" si="21"/>
        <v>1w</v>
      </c>
      <c r="V1207" s="207">
        <f>_xll.qlCalendarAdvance(Calendar,V1206,U1207,"f",FALSE)</f>
        <v>47296</v>
      </c>
      <c r="W1207" s="210">
        <f>_xll.qlCalendarAdvance(Calendar,V1207,NDays&amp;"D")</f>
        <v>47296</v>
      </c>
      <c r="X1207" s="211">
        <v>2.9081209256149876E-2</v>
      </c>
      <c r="Y1207" s="232"/>
    </row>
    <row r="1208" spans="21:25" x14ac:dyDescent="0.2">
      <c r="U1208" s="209" t="str">
        <f t="shared" si="21"/>
        <v>1w</v>
      </c>
      <c r="V1208" s="207">
        <f>_xll.qlCalendarAdvance(Calendar,V1207,U1208,"f",FALSE)</f>
        <v>47303</v>
      </c>
      <c r="W1208" s="210">
        <f>_xll.qlCalendarAdvance(Calendar,V1208,NDays&amp;"D")</f>
        <v>47303</v>
      </c>
      <c r="X1208" s="211">
        <v>2.9068477019764671E-2</v>
      </c>
      <c r="Y1208" s="232"/>
    </row>
    <row r="1209" spans="21:25" x14ac:dyDescent="0.2">
      <c r="U1209" s="209" t="str">
        <f t="shared" si="21"/>
        <v>1w</v>
      </c>
      <c r="V1209" s="207">
        <f>_xll.qlCalendarAdvance(Calendar,V1208,U1209,"f",FALSE)</f>
        <v>47310</v>
      </c>
      <c r="W1209" s="210">
        <f>_xll.qlCalendarAdvance(Calendar,V1209,NDays&amp;"D")</f>
        <v>47310</v>
      </c>
      <c r="X1209" s="211">
        <v>2.9055760186897928E-2</v>
      </c>
      <c r="Y1209" s="232"/>
    </row>
    <row r="1210" spans="21:25" x14ac:dyDescent="0.2">
      <c r="U1210" s="209" t="str">
        <f t="shared" si="21"/>
        <v>1w</v>
      </c>
      <c r="V1210" s="207">
        <f>_xll.qlCalendarAdvance(Calendar,V1209,U1210,"f",FALSE)</f>
        <v>47317</v>
      </c>
      <c r="W1210" s="210">
        <f>_xll.qlCalendarAdvance(Calendar,V1210,NDays&amp;"D")</f>
        <v>47317</v>
      </c>
      <c r="X1210" s="211">
        <v>2.9043058757469709E-2</v>
      </c>
      <c r="Y1210" s="232"/>
    </row>
    <row r="1211" spans="21:25" x14ac:dyDescent="0.2">
      <c r="U1211" s="209" t="str">
        <f t="shared" si="21"/>
        <v>1w</v>
      </c>
      <c r="V1211" s="207">
        <f>_xll.qlCalendarAdvance(Calendar,V1210,U1211,"f",FALSE)</f>
        <v>47324</v>
      </c>
      <c r="W1211" s="210">
        <f>_xll.qlCalendarAdvance(Calendar,V1211,NDays&amp;"D")</f>
        <v>47324</v>
      </c>
      <c r="X1211" s="211">
        <v>2.9030372731480014E-2</v>
      </c>
      <c r="Y1211" s="232"/>
    </row>
    <row r="1212" spans="21:25" x14ac:dyDescent="0.2">
      <c r="U1212" s="209" t="str">
        <f t="shared" si="21"/>
        <v>1w</v>
      </c>
      <c r="V1212" s="207">
        <f>_xll.qlCalendarAdvance(Calendar,V1211,U1212,"f",FALSE)</f>
        <v>47331</v>
      </c>
      <c r="W1212" s="210">
        <f>_xll.qlCalendarAdvance(Calendar,V1212,NDays&amp;"D")</f>
        <v>47331</v>
      </c>
      <c r="X1212" s="211">
        <v>2.9017702109008781E-2</v>
      </c>
      <c r="Y1212" s="232"/>
    </row>
    <row r="1213" spans="21:25" x14ac:dyDescent="0.2">
      <c r="U1213" s="209" t="str">
        <f t="shared" si="21"/>
        <v>1w</v>
      </c>
      <c r="V1213" s="207">
        <f>_xll.qlCalendarAdvance(Calendar,V1212,U1213,"f",FALSE)</f>
        <v>47338</v>
      </c>
      <c r="W1213" s="210">
        <f>_xll.qlCalendarAdvance(Calendar,V1213,NDays&amp;"D")</f>
        <v>47338</v>
      </c>
      <c r="X1213" s="211">
        <v>2.9005046889896136E-2</v>
      </c>
      <c r="Y1213" s="232"/>
    </row>
    <row r="1214" spans="21:25" x14ac:dyDescent="0.2">
      <c r="U1214" s="209" t="str">
        <f t="shared" si="21"/>
        <v>1w</v>
      </c>
      <c r="V1214" s="207">
        <f>_xll.qlCalendarAdvance(Calendar,V1213,U1214,"f",FALSE)</f>
        <v>47345</v>
      </c>
      <c r="W1214" s="210">
        <f>_xll.qlCalendarAdvance(Calendar,V1214,NDays&amp;"D")</f>
        <v>47345</v>
      </c>
      <c r="X1214" s="211">
        <v>2.8992407074381887E-2</v>
      </c>
      <c r="Y1214" s="232"/>
    </row>
    <row r="1215" spans="21:25" x14ac:dyDescent="0.2">
      <c r="U1215" s="209" t="str">
        <f t="shared" si="21"/>
        <v>1w</v>
      </c>
      <c r="V1215" s="207">
        <f>_xll.qlCalendarAdvance(Calendar,V1214,U1215,"f",FALSE)</f>
        <v>47352</v>
      </c>
      <c r="W1215" s="210">
        <f>_xll.qlCalendarAdvance(Calendar,V1215,NDays&amp;"D")</f>
        <v>47352</v>
      </c>
      <c r="X1215" s="211">
        <v>2.8979782662306164E-2</v>
      </c>
      <c r="Y1215" s="232"/>
    </row>
    <row r="1216" spans="21:25" x14ac:dyDescent="0.2">
      <c r="U1216" s="209" t="str">
        <f t="shared" si="21"/>
        <v>1w</v>
      </c>
      <c r="V1216" s="207">
        <f>_xll.qlCalendarAdvance(Calendar,V1215,U1216,"f",FALSE)</f>
        <v>47359</v>
      </c>
      <c r="W1216" s="210">
        <f>_xll.qlCalendarAdvance(Calendar,V1216,NDays&amp;"D")</f>
        <v>47359</v>
      </c>
      <c r="X1216" s="211">
        <v>2.8967173653668965E-2</v>
      </c>
      <c r="Y1216" s="232"/>
    </row>
    <row r="1217" spans="21:25" x14ac:dyDescent="0.2">
      <c r="U1217" s="209" t="str">
        <f t="shared" si="21"/>
        <v>1w</v>
      </c>
      <c r="V1217" s="207">
        <f>_xll.qlCalendarAdvance(Calendar,V1216,U1217,"f",FALSE)</f>
        <v>47366</v>
      </c>
      <c r="W1217" s="210">
        <f>_xll.qlCalendarAdvance(Calendar,V1217,NDays&amp;"D")</f>
        <v>47366</v>
      </c>
      <c r="X1217" s="211">
        <v>2.8954580048550227E-2</v>
      </c>
      <c r="Y1217" s="232"/>
    </row>
    <row r="1218" spans="21:25" x14ac:dyDescent="0.2">
      <c r="U1218" s="209" t="str">
        <f t="shared" si="21"/>
        <v>1w</v>
      </c>
      <c r="V1218" s="207">
        <f>_xll.qlCalendarAdvance(Calendar,V1217,U1218,"f",FALSE)</f>
        <v>47373</v>
      </c>
      <c r="W1218" s="210">
        <f>_xll.qlCalendarAdvance(Calendar,V1218,NDays&amp;"D")</f>
        <v>47373</v>
      </c>
      <c r="X1218" s="211">
        <v>2.8942001846790077E-2</v>
      </c>
      <c r="Y1218" s="232"/>
    </row>
    <row r="1219" spans="21:25" x14ac:dyDescent="0.2">
      <c r="U1219" s="209" t="str">
        <f t="shared" si="21"/>
        <v>1w</v>
      </c>
      <c r="V1219" s="207">
        <f>_xll.qlCalendarAdvance(Calendar,V1218,U1219,"f",FALSE)</f>
        <v>47380</v>
      </c>
      <c r="W1219" s="210">
        <f>_xll.qlCalendarAdvance(Calendar,V1219,NDays&amp;"D")</f>
        <v>47380</v>
      </c>
      <c r="X1219" s="211">
        <v>2.8929439048628325E-2</v>
      </c>
      <c r="Y1219" s="232"/>
    </row>
    <row r="1220" spans="21:25" x14ac:dyDescent="0.2">
      <c r="U1220" s="209" t="str">
        <f t="shared" si="21"/>
        <v>1w</v>
      </c>
      <c r="V1220" s="207">
        <f>_xll.qlCalendarAdvance(Calendar,V1219,U1220,"f",FALSE)</f>
        <v>47387</v>
      </c>
      <c r="W1220" s="210">
        <f>_xll.qlCalendarAdvance(Calendar,V1220,NDays&amp;"D")</f>
        <v>47387</v>
      </c>
      <c r="X1220" s="211">
        <v>2.8916891653745225E-2</v>
      </c>
      <c r="Y1220" s="232"/>
    </row>
    <row r="1221" spans="21:25" x14ac:dyDescent="0.2">
      <c r="U1221" s="209" t="str">
        <f t="shared" si="21"/>
        <v>1w</v>
      </c>
      <c r="V1221" s="207">
        <f>_xll.qlCalendarAdvance(Calendar,V1220,U1221,"f",FALSE)</f>
        <v>47394</v>
      </c>
      <c r="W1221" s="210">
        <f>_xll.qlCalendarAdvance(Calendar,V1221,NDays&amp;"D")</f>
        <v>47394</v>
      </c>
      <c r="X1221" s="211">
        <v>2.8904359662460521E-2</v>
      </c>
      <c r="Y1221" s="232"/>
    </row>
    <row r="1222" spans="21:25" x14ac:dyDescent="0.2">
      <c r="U1222" s="209" t="str">
        <f t="shared" si="21"/>
        <v>1w</v>
      </c>
      <c r="V1222" s="207">
        <f>_xll.qlCalendarAdvance(Calendar,V1221,U1222,"f",FALSE)</f>
        <v>47401</v>
      </c>
      <c r="W1222" s="210">
        <f>_xll.qlCalendarAdvance(Calendar,V1222,NDays&amp;"D")</f>
        <v>47401</v>
      </c>
      <c r="X1222" s="211">
        <v>2.8891843074614343E-2</v>
      </c>
      <c r="Y1222" s="232"/>
    </row>
    <row r="1223" spans="21:25" x14ac:dyDescent="0.2">
      <c r="U1223" s="209" t="str">
        <f t="shared" si="21"/>
        <v>1w</v>
      </c>
      <c r="V1223" s="207">
        <f>_xll.qlCalendarAdvance(Calendar,V1222,U1223,"f",FALSE)</f>
        <v>47408</v>
      </c>
      <c r="W1223" s="210">
        <f>_xll.qlCalendarAdvance(Calendar,V1223,NDays&amp;"D")</f>
        <v>47408</v>
      </c>
      <c r="X1223" s="211">
        <v>2.8879341890206689E-2</v>
      </c>
      <c r="Y1223" s="232"/>
    </row>
    <row r="1224" spans="21:25" x14ac:dyDescent="0.2">
      <c r="U1224" s="209" t="str">
        <f t="shared" si="21"/>
        <v>1w</v>
      </c>
      <c r="V1224" s="207">
        <f>_xll.qlCalendarAdvance(Calendar,V1223,U1224,"f",FALSE)</f>
        <v>47415</v>
      </c>
      <c r="W1224" s="210">
        <f>_xll.qlCalendarAdvance(Calendar,V1224,NDays&amp;"D")</f>
        <v>47415</v>
      </c>
      <c r="X1224" s="211">
        <v>2.886685610923756E-2</v>
      </c>
      <c r="Y1224" s="232"/>
    </row>
    <row r="1225" spans="21:25" x14ac:dyDescent="0.2">
      <c r="U1225" s="209" t="str">
        <f t="shared" si="21"/>
        <v>1w</v>
      </c>
      <c r="V1225" s="207">
        <f>_xll.qlCalendarAdvance(Calendar,V1224,U1225,"f",FALSE)</f>
        <v>47422</v>
      </c>
      <c r="W1225" s="210">
        <f>_xll.qlCalendarAdvance(Calendar,V1225,NDays&amp;"D")</f>
        <v>47422</v>
      </c>
      <c r="X1225" s="211">
        <v>2.8854385731706955E-2</v>
      </c>
      <c r="Y1225" s="232"/>
    </row>
    <row r="1226" spans="21:25" x14ac:dyDescent="0.2">
      <c r="U1226" s="209" t="str">
        <f t="shared" si="21"/>
        <v>1w</v>
      </c>
      <c r="V1226" s="207">
        <f>_xll.qlCalendarAdvance(Calendar,V1225,U1226,"f",FALSE)</f>
        <v>47429</v>
      </c>
      <c r="W1226" s="210">
        <f>_xll.qlCalendarAdvance(Calendar,V1226,NDays&amp;"D")</f>
        <v>47429</v>
      </c>
      <c r="X1226" s="211">
        <v>2.8841930757614875E-2</v>
      </c>
      <c r="Y1226" s="232"/>
    </row>
    <row r="1227" spans="21:25" x14ac:dyDescent="0.2">
      <c r="U1227" s="209" t="str">
        <f t="shared" si="21"/>
        <v>1w</v>
      </c>
      <c r="V1227" s="207">
        <f>_xll.qlCalendarAdvance(Calendar,V1226,U1227,"f",FALSE)</f>
        <v>47436</v>
      </c>
      <c r="W1227" s="210">
        <f>_xll.qlCalendarAdvance(Calendar,V1227,NDays&amp;"D")</f>
        <v>47436</v>
      </c>
      <c r="X1227" s="211">
        <v>2.882949118696132E-2</v>
      </c>
      <c r="Y1227" s="232"/>
    </row>
    <row r="1228" spans="21:25" x14ac:dyDescent="0.2">
      <c r="U1228" s="209" t="str">
        <f t="shared" si="21"/>
        <v>1w</v>
      </c>
      <c r="V1228" s="207">
        <f>_xll.qlCalendarAdvance(Calendar,V1227,U1228,"f",FALSE)</f>
        <v>47443</v>
      </c>
      <c r="W1228" s="210">
        <f>_xll.qlCalendarAdvance(Calendar,V1228,NDays&amp;"D")</f>
        <v>47443</v>
      </c>
      <c r="X1228" s="211">
        <v>2.8817067019826226E-2</v>
      </c>
      <c r="Y1228" s="232"/>
    </row>
    <row r="1229" spans="21:25" x14ac:dyDescent="0.2">
      <c r="U1229" s="209" t="str">
        <f t="shared" ref="U1229:U1292" si="22">U1228</f>
        <v>1w</v>
      </c>
      <c r="V1229" s="207">
        <f>_xll.qlCalendarAdvance(Calendar,V1228,U1229,"f",FALSE)</f>
        <v>47450</v>
      </c>
      <c r="W1229" s="210">
        <f>_xll.qlCalendarAdvance(Calendar,V1229,NDays&amp;"D")</f>
        <v>47450</v>
      </c>
      <c r="X1229" s="211">
        <v>2.880465825604972E-2</v>
      </c>
      <c r="Y1229" s="232"/>
    </row>
    <row r="1230" spans="21:25" x14ac:dyDescent="0.2">
      <c r="U1230" s="209" t="str">
        <f t="shared" si="22"/>
        <v>1w</v>
      </c>
      <c r="V1230" s="207">
        <f>_xll.qlCalendarAdvance(Calendar,V1229,U1230,"f",FALSE)</f>
        <v>47457</v>
      </c>
      <c r="W1230" s="210">
        <f>_xll.qlCalendarAdvance(Calendar,V1230,NDays&amp;"D")</f>
        <v>47457</v>
      </c>
      <c r="X1230" s="211">
        <v>2.8792264895791675E-2</v>
      </c>
      <c r="Y1230" s="232"/>
    </row>
    <row r="1231" spans="21:25" x14ac:dyDescent="0.2">
      <c r="U1231" s="209" t="str">
        <f t="shared" si="22"/>
        <v>1w</v>
      </c>
      <c r="V1231" s="207">
        <f>_xll.qlCalendarAdvance(Calendar,V1230,U1231,"f",FALSE)</f>
        <v>47464</v>
      </c>
      <c r="W1231" s="210">
        <f>_xll.qlCalendarAdvance(Calendar,V1231,NDays&amp;"D")</f>
        <v>47464</v>
      </c>
      <c r="X1231" s="211">
        <v>2.8779886938892218E-2</v>
      </c>
      <c r="Y1231" s="232"/>
    </row>
    <row r="1232" spans="21:25" x14ac:dyDescent="0.2">
      <c r="U1232" s="209" t="str">
        <f t="shared" si="22"/>
        <v>1w</v>
      </c>
      <c r="V1232" s="207">
        <f>_xll.qlCalendarAdvance(Calendar,V1231,U1232,"f",FALSE)</f>
        <v>47471</v>
      </c>
      <c r="W1232" s="210">
        <f>_xll.qlCalendarAdvance(Calendar,V1232,NDays&amp;"D")</f>
        <v>47471</v>
      </c>
      <c r="X1232" s="211">
        <v>2.8767524385511223E-2</v>
      </c>
      <c r="Y1232" s="232"/>
    </row>
    <row r="1233" spans="21:25" x14ac:dyDescent="0.2">
      <c r="U1233" s="209" t="str">
        <f t="shared" si="22"/>
        <v>1w</v>
      </c>
      <c r="V1233" s="207">
        <f>_xll.qlCalendarAdvance(Calendar,V1232,U1233,"f",FALSE)</f>
        <v>47479</v>
      </c>
      <c r="W1233" s="210">
        <f>_xll.qlCalendarAdvance(Calendar,V1233,NDays&amp;"D")</f>
        <v>47479</v>
      </c>
      <c r="X1233" s="211">
        <v>2.8753414614319794E-2</v>
      </c>
      <c r="Y1233" s="232"/>
    </row>
    <row r="1234" spans="21:25" x14ac:dyDescent="0.2">
      <c r="U1234" s="209" t="str">
        <f t="shared" si="22"/>
        <v>1w</v>
      </c>
      <c r="V1234" s="207">
        <f>_xll.qlCalendarAdvance(Calendar,V1233,U1234,"f",FALSE)</f>
        <v>47486</v>
      </c>
      <c r="W1234" s="210">
        <f>_xll.qlCalendarAdvance(Calendar,V1234,NDays&amp;"D")</f>
        <v>47486</v>
      </c>
      <c r="X1234" s="211">
        <v>2.8741085068295646E-2</v>
      </c>
      <c r="Y1234" s="232"/>
    </row>
    <row r="1235" spans="21:25" x14ac:dyDescent="0.2">
      <c r="U1235" s="209" t="str">
        <f t="shared" si="22"/>
        <v>1w</v>
      </c>
      <c r="V1235" s="207">
        <f>_xll.qlCalendarAdvance(Calendar,V1234,U1235,"f",FALSE)</f>
        <v>47493</v>
      </c>
      <c r="W1235" s="210">
        <f>_xll.qlCalendarAdvance(Calendar,V1235,NDays&amp;"D")</f>
        <v>47493</v>
      </c>
      <c r="X1235" s="211">
        <v>2.8728770925710023E-2</v>
      </c>
      <c r="Y1235" s="232"/>
    </row>
    <row r="1236" spans="21:25" x14ac:dyDescent="0.2">
      <c r="U1236" s="209" t="str">
        <f t="shared" si="22"/>
        <v>1w</v>
      </c>
      <c r="V1236" s="207">
        <f>_xll.qlCalendarAdvance(Calendar,V1235,U1236,"f",FALSE)</f>
        <v>47500</v>
      </c>
      <c r="W1236" s="210">
        <f>_xll.qlCalendarAdvance(Calendar,V1236,NDays&amp;"D")</f>
        <v>47500</v>
      </c>
      <c r="X1236" s="211">
        <v>2.8716472186562925E-2</v>
      </c>
      <c r="Y1236" s="232"/>
    </row>
    <row r="1237" spans="21:25" x14ac:dyDescent="0.2">
      <c r="U1237" s="209" t="str">
        <f t="shared" si="22"/>
        <v>1w</v>
      </c>
      <c r="V1237" s="207">
        <f>_xll.qlCalendarAdvance(Calendar,V1236,U1237,"f",FALSE)</f>
        <v>47507</v>
      </c>
      <c r="W1237" s="210">
        <f>_xll.qlCalendarAdvance(Calendar,V1237,NDays&amp;"D")</f>
        <v>47507</v>
      </c>
      <c r="X1237" s="211">
        <v>2.8704188850774415E-2</v>
      </c>
      <c r="Y1237" s="232"/>
    </row>
    <row r="1238" spans="21:25" x14ac:dyDescent="0.2">
      <c r="U1238" s="209" t="str">
        <f t="shared" si="22"/>
        <v>1w</v>
      </c>
      <c r="V1238" s="207">
        <f>_xll.qlCalendarAdvance(Calendar,V1237,U1238,"f",FALSE)</f>
        <v>47514</v>
      </c>
      <c r="W1238" s="210">
        <f>_xll.qlCalendarAdvance(Calendar,V1238,NDays&amp;"D")</f>
        <v>47514</v>
      </c>
      <c r="X1238" s="211">
        <v>2.8691920918424429E-2</v>
      </c>
      <c r="Y1238" s="232"/>
    </row>
    <row r="1239" spans="21:25" x14ac:dyDescent="0.2">
      <c r="U1239" s="209" t="str">
        <f t="shared" si="22"/>
        <v>1w</v>
      </c>
      <c r="V1239" s="207">
        <f>_xll.qlCalendarAdvance(Calendar,V1238,U1239,"f",FALSE)</f>
        <v>47521</v>
      </c>
      <c r="W1239" s="210">
        <f>_xll.qlCalendarAdvance(Calendar,V1239,NDays&amp;"D")</f>
        <v>47521</v>
      </c>
      <c r="X1239" s="211">
        <v>2.8679668389592905E-2</v>
      </c>
      <c r="Y1239" s="232"/>
    </row>
    <row r="1240" spans="21:25" x14ac:dyDescent="0.2">
      <c r="U1240" s="209" t="str">
        <f t="shared" si="22"/>
        <v>1w</v>
      </c>
      <c r="V1240" s="207">
        <f>_xll.qlCalendarAdvance(Calendar,V1239,U1240,"f",FALSE)</f>
        <v>47528</v>
      </c>
      <c r="W1240" s="210">
        <f>_xll.qlCalendarAdvance(Calendar,V1240,NDays&amp;"D")</f>
        <v>47528</v>
      </c>
      <c r="X1240" s="211">
        <v>2.8667431264040033E-2</v>
      </c>
      <c r="Y1240" s="232"/>
    </row>
    <row r="1241" spans="21:25" x14ac:dyDescent="0.2">
      <c r="U1241" s="209" t="str">
        <f t="shared" si="22"/>
        <v>1w</v>
      </c>
      <c r="V1241" s="207">
        <f>_xll.qlCalendarAdvance(Calendar,V1240,U1241,"f",FALSE)</f>
        <v>47535</v>
      </c>
      <c r="W1241" s="210">
        <f>_xll.qlCalendarAdvance(Calendar,V1241,NDays&amp;"D")</f>
        <v>47535</v>
      </c>
      <c r="X1241" s="211">
        <v>2.8655209542005622E-2</v>
      </c>
      <c r="Y1241" s="232"/>
    </row>
    <row r="1242" spans="21:25" x14ac:dyDescent="0.2">
      <c r="U1242" s="209" t="str">
        <f t="shared" si="22"/>
        <v>1w</v>
      </c>
      <c r="V1242" s="207">
        <f>_xll.qlCalendarAdvance(Calendar,V1241,U1242,"f",FALSE)</f>
        <v>47542</v>
      </c>
      <c r="W1242" s="210">
        <f>_xll.qlCalendarAdvance(Calendar,V1242,NDays&amp;"D")</f>
        <v>47542</v>
      </c>
      <c r="X1242" s="211">
        <v>2.8643003223409735E-2</v>
      </c>
      <c r="Y1242" s="232"/>
    </row>
    <row r="1243" spans="21:25" x14ac:dyDescent="0.2">
      <c r="U1243" s="209" t="str">
        <f t="shared" si="22"/>
        <v>1w</v>
      </c>
      <c r="V1243" s="207">
        <f>_xll.qlCalendarAdvance(Calendar,V1242,U1243,"f",FALSE)</f>
        <v>47549</v>
      </c>
      <c r="W1243" s="210">
        <f>_xll.qlCalendarAdvance(Calendar,V1243,NDays&amp;"D")</f>
        <v>47549</v>
      </c>
      <c r="X1243" s="211">
        <v>2.8630812308172437E-2</v>
      </c>
      <c r="Y1243" s="232"/>
    </row>
    <row r="1244" spans="21:25" x14ac:dyDescent="0.2">
      <c r="U1244" s="209" t="str">
        <f t="shared" si="22"/>
        <v>1w</v>
      </c>
      <c r="V1244" s="207">
        <f>_xll.qlCalendarAdvance(Calendar,V1243,U1244,"f",FALSE)</f>
        <v>47556</v>
      </c>
      <c r="W1244" s="210">
        <f>_xll.qlCalendarAdvance(Calendar,V1244,NDays&amp;"D")</f>
        <v>47556</v>
      </c>
      <c r="X1244" s="211">
        <v>2.8618636796373664E-2</v>
      </c>
      <c r="Y1244" s="232"/>
    </row>
    <row r="1245" spans="21:25" x14ac:dyDescent="0.2">
      <c r="U1245" s="209" t="str">
        <f t="shared" si="22"/>
        <v>1w</v>
      </c>
      <c r="V1245" s="207">
        <f>_xll.qlCalendarAdvance(Calendar,V1244,U1245,"f",FALSE)</f>
        <v>47563</v>
      </c>
      <c r="W1245" s="210">
        <f>_xll.qlCalendarAdvance(Calendar,V1245,NDays&amp;"D")</f>
        <v>47563</v>
      </c>
      <c r="X1245" s="211">
        <v>2.8606476688013416E-2</v>
      </c>
      <c r="Y1245" s="232"/>
    </row>
    <row r="1246" spans="21:25" x14ac:dyDescent="0.2">
      <c r="U1246" s="209" t="str">
        <f t="shared" si="22"/>
        <v>1w</v>
      </c>
      <c r="V1246" s="207">
        <f>_xll.qlCalendarAdvance(Calendar,V1245,U1246,"f",FALSE)</f>
        <v>47570</v>
      </c>
      <c r="W1246" s="210">
        <f>_xll.qlCalendarAdvance(Calendar,V1246,NDays&amp;"D")</f>
        <v>47570</v>
      </c>
      <c r="X1246" s="211">
        <v>2.8594331983011756E-2</v>
      </c>
      <c r="Y1246" s="232"/>
    </row>
    <row r="1247" spans="21:25" x14ac:dyDescent="0.2">
      <c r="U1247" s="209" t="str">
        <f t="shared" si="22"/>
        <v>1w</v>
      </c>
      <c r="V1247" s="207">
        <f>_xll.qlCalendarAdvance(Calendar,V1246,U1247,"f",FALSE)</f>
        <v>47577</v>
      </c>
      <c r="W1247" s="210">
        <f>_xll.qlCalendarAdvance(Calendar,V1247,NDays&amp;"D")</f>
        <v>47577</v>
      </c>
      <c r="X1247" s="211">
        <v>2.8582202681528557E-2</v>
      </c>
      <c r="Y1247" s="232"/>
    </row>
    <row r="1248" spans="21:25" x14ac:dyDescent="0.2">
      <c r="U1248" s="209" t="str">
        <f t="shared" si="22"/>
        <v>1w</v>
      </c>
      <c r="V1248" s="207">
        <f>_xll.qlCalendarAdvance(Calendar,V1247,U1248,"f",FALSE)</f>
        <v>47584</v>
      </c>
      <c r="W1248" s="210">
        <f>_xll.qlCalendarAdvance(Calendar,V1248,NDays&amp;"D")</f>
        <v>47584</v>
      </c>
      <c r="X1248" s="211">
        <v>2.8570088783403946E-2</v>
      </c>
      <c r="Y1248" s="232"/>
    </row>
    <row r="1249" spans="21:25" x14ac:dyDescent="0.2">
      <c r="U1249" s="209" t="str">
        <f t="shared" si="22"/>
        <v>1w</v>
      </c>
      <c r="V1249" s="207">
        <f>_xll.qlCalendarAdvance(Calendar,V1248,U1249,"f",FALSE)</f>
        <v>47591</v>
      </c>
      <c r="W1249" s="210">
        <f>_xll.qlCalendarAdvance(Calendar,V1249,NDays&amp;"D")</f>
        <v>47591</v>
      </c>
      <c r="X1249" s="211">
        <v>2.8559066865241789E-2</v>
      </c>
      <c r="Y1249" s="232"/>
    </row>
    <row r="1250" spans="21:25" x14ac:dyDescent="0.2">
      <c r="U1250" s="209" t="str">
        <f t="shared" si="22"/>
        <v>1w</v>
      </c>
      <c r="V1250" s="207">
        <f>_xll.qlCalendarAdvance(Calendar,V1249,U1250,"f",FALSE)</f>
        <v>47598</v>
      </c>
      <c r="W1250" s="210">
        <f>_xll.qlCalendarAdvance(Calendar,V1250,NDays&amp;"D")</f>
        <v>47598</v>
      </c>
      <c r="X1250" s="211">
        <v>2.8545907197390363E-2</v>
      </c>
      <c r="Y1250" s="232"/>
    </row>
    <row r="1251" spans="21:25" x14ac:dyDescent="0.2">
      <c r="U1251" s="209" t="str">
        <f t="shared" si="22"/>
        <v>1w</v>
      </c>
      <c r="V1251" s="207">
        <f>_xll.qlCalendarAdvance(Calendar,V1250,U1251,"f",FALSE)</f>
        <v>47605</v>
      </c>
      <c r="W1251" s="210">
        <f>_xll.qlCalendarAdvance(Calendar,V1251,NDays&amp;"D")</f>
        <v>47605</v>
      </c>
      <c r="X1251" s="211">
        <v>2.8533839509421455E-2</v>
      </c>
      <c r="Y1251" s="232"/>
    </row>
    <row r="1252" spans="21:25" x14ac:dyDescent="0.2">
      <c r="U1252" s="209" t="str">
        <f t="shared" si="22"/>
        <v>1w</v>
      </c>
      <c r="V1252" s="207">
        <f>_xll.qlCalendarAdvance(Calendar,V1251,U1252,"f",FALSE)</f>
        <v>47612</v>
      </c>
      <c r="W1252" s="210">
        <f>_xll.qlCalendarAdvance(Calendar,V1252,NDays&amp;"D")</f>
        <v>47612</v>
      </c>
      <c r="X1252" s="211">
        <v>2.8521787225050943E-2</v>
      </c>
      <c r="Y1252" s="232"/>
    </row>
    <row r="1253" spans="21:25" x14ac:dyDescent="0.2">
      <c r="U1253" s="209" t="str">
        <f t="shared" si="22"/>
        <v>1w</v>
      </c>
      <c r="V1253" s="207">
        <f>_xll.qlCalendarAdvance(Calendar,V1252,U1253,"f",FALSE)</f>
        <v>47619</v>
      </c>
      <c r="W1253" s="210">
        <f>_xll.qlCalendarAdvance(Calendar,V1253,NDays&amp;"D")</f>
        <v>47619</v>
      </c>
      <c r="X1253" s="211">
        <v>2.8509750343879148E-2</v>
      </c>
      <c r="Y1253" s="232"/>
    </row>
    <row r="1254" spans="21:25" x14ac:dyDescent="0.2">
      <c r="U1254" s="209" t="str">
        <f t="shared" si="22"/>
        <v>1w</v>
      </c>
      <c r="V1254" s="207">
        <f>_xll.qlCalendarAdvance(Calendar,V1253,U1254,"f",FALSE)</f>
        <v>47626</v>
      </c>
      <c r="W1254" s="210">
        <f>_xll.qlCalendarAdvance(Calendar,V1254,NDays&amp;"D")</f>
        <v>47626</v>
      </c>
      <c r="X1254" s="211">
        <v>2.8497728866225813E-2</v>
      </c>
      <c r="Y1254" s="232"/>
    </row>
    <row r="1255" spans="21:25" x14ac:dyDescent="0.2">
      <c r="U1255" s="209" t="str">
        <f t="shared" si="22"/>
        <v>1w</v>
      </c>
      <c r="V1255" s="207">
        <f>_xll.qlCalendarAdvance(Calendar,V1254,U1255,"f",FALSE)</f>
        <v>47633</v>
      </c>
      <c r="W1255" s="210">
        <f>_xll.qlCalendarAdvance(Calendar,V1255,NDays&amp;"D")</f>
        <v>47633</v>
      </c>
      <c r="X1255" s="211">
        <v>2.8485722791931067E-2</v>
      </c>
      <c r="Y1255" s="232"/>
    </row>
    <row r="1256" spans="21:25" x14ac:dyDescent="0.2">
      <c r="U1256" s="209" t="str">
        <f t="shared" si="22"/>
        <v>1w</v>
      </c>
      <c r="V1256" s="207">
        <f>_xll.qlCalendarAdvance(Calendar,V1255,U1256,"f",FALSE)</f>
        <v>47640</v>
      </c>
      <c r="W1256" s="210">
        <f>_xll.qlCalendarAdvance(Calendar,V1256,NDays&amp;"D")</f>
        <v>47640</v>
      </c>
      <c r="X1256" s="211">
        <v>2.8473732121074846E-2</v>
      </c>
      <c r="Y1256" s="232"/>
    </row>
    <row r="1257" spans="21:25" x14ac:dyDescent="0.2">
      <c r="U1257" s="209" t="str">
        <f t="shared" si="22"/>
        <v>1w</v>
      </c>
      <c r="V1257" s="207">
        <f>_xll.qlCalendarAdvance(Calendar,V1256,U1257,"f",FALSE)</f>
        <v>47647</v>
      </c>
      <c r="W1257" s="210">
        <f>_xll.qlCalendarAdvance(Calendar,V1257,NDays&amp;"D")</f>
        <v>47647</v>
      </c>
      <c r="X1257" s="211">
        <v>2.8461756853577214E-2</v>
      </c>
      <c r="Y1257" s="232"/>
    </row>
    <row r="1258" spans="21:25" x14ac:dyDescent="0.2">
      <c r="U1258" s="209" t="str">
        <f t="shared" si="22"/>
        <v>1w</v>
      </c>
      <c r="V1258" s="207">
        <f>_xll.qlCalendarAdvance(Calendar,V1257,U1258,"f",FALSE)</f>
        <v>47654</v>
      </c>
      <c r="W1258" s="210">
        <f>_xll.qlCalendarAdvance(Calendar,V1258,NDays&amp;"D")</f>
        <v>47654</v>
      </c>
      <c r="X1258" s="211">
        <v>2.8449796989518106E-2</v>
      </c>
      <c r="Y1258" s="232"/>
    </row>
    <row r="1259" spans="21:25" x14ac:dyDescent="0.2">
      <c r="U1259" s="209" t="str">
        <f t="shared" si="22"/>
        <v>1w</v>
      </c>
      <c r="V1259" s="207">
        <f>_xll.qlCalendarAdvance(Calendar,V1258,U1259,"f",FALSE)</f>
        <v>47661</v>
      </c>
      <c r="W1259" s="210">
        <f>_xll.qlCalendarAdvance(Calendar,V1259,NDays&amp;"D")</f>
        <v>47661</v>
      </c>
      <c r="X1259" s="211">
        <v>2.8437852528897523E-2</v>
      </c>
      <c r="Y1259" s="232"/>
    </row>
    <row r="1260" spans="21:25" x14ac:dyDescent="0.2">
      <c r="U1260" s="209" t="str">
        <f t="shared" si="22"/>
        <v>1w</v>
      </c>
      <c r="V1260" s="207">
        <f>_xll.qlCalendarAdvance(Calendar,V1259,U1260,"f",FALSE)</f>
        <v>47668</v>
      </c>
      <c r="W1260" s="210">
        <f>_xll.qlCalendarAdvance(Calendar,V1260,NDays&amp;"D")</f>
        <v>47668</v>
      </c>
      <c r="X1260" s="211">
        <v>2.8425923471555592E-2</v>
      </c>
      <c r="Y1260" s="232"/>
    </row>
    <row r="1261" spans="21:25" x14ac:dyDescent="0.2">
      <c r="U1261" s="209" t="str">
        <f t="shared" si="22"/>
        <v>1w</v>
      </c>
      <c r="V1261" s="207">
        <f>_xll.qlCalendarAdvance(Calendar,V1260,U1261,"f",FALSE)</f>
        <v>47675</v>
      </c>
      <c r="W1261" s="210">
        <f>_xll.qlCalendarAdvance(Calendar,V1261,NDays&amp;"D")</f>
        <v>47675</v>
      </c>
      <c r="X1261" s="211">
        <v>2.8414009817652186E-2</v>
      </c>
      <c r="Y1261" s="232"/>
    </row>
    <row r="1262" spans="21:25" x14ac:dyDescent="0.2">
      <c r="U1262" s="209" t="str">
        <f t="shared" si="22"/>
        <v>1w</v>
      </c>
      <c r="V1262" s="207">
        <f>_xll.qlCalendarAdvance(Calendar,V1261,U1262,"f",FALSE)</f>
        <v>47682</v>
      </c>
      <c r="W1262" s="210">
        <f>_xll.qlCalendarAdvance(Calendar,V1262,NDays&amp;"D")</f>
        <v>47682</v>
      </c>
      <c r="X1262" s="211">
        <v>2.8402111567107369E-2</v>
      </c>
      <c r="Y1262" s="232"/>
    </row>
    <row r="1263" spans="21:25" x14ac:dyDescent="0.2">
      <c r="U1263" s="209" t="str">
        <f t="shared" si="22"/>
        <v>1w</v>
      </c>
      <c r="V1263" s="207">
        <f>_xll.qlCalendarAdvance(Calendar,V1262,U1263,"f",FALSE)</f>
        <v>47689</v>
      </c>
      <c r="W1263" s="210">
        <f>_xll.qlCalendarAdvance(Calendar,V1263,NDays&amp;"D")</f>
        <v>47689</v>
      </c>
      <c r="X1263" s="211">
        <v>2.8390228720001076E-2</v>
      </c>
      <c r="Y1263" s="232"/>
    </row>
    <row r="1264" spans="21:25" x14ac:dyDescent="0.2">
      <c r="U1264" s="209" t="str">
        <f t="shared" si="22"/>
        <v>1w</v>
      </c>
      <c r="V1264" s="207">
        <f>_xll.qlCalendarAdvance(Calendar,V1263,U1264,"f",FALSE)</f>
        <v>47696</v>
      </c>
      <c r="W1264" s="210">
        <f>_xll.qlCalendarAdvance(Calendar,V1264,NDays&amp;"D")</f>
        <v>47696</v>
      </c>
      <c r="X1264" s="211">
        <v>2.8378361276333308E-2</v>
      </c>
      <c r="Y1264" s="232"/>
    </row>
    <row r="1265" spans="21:25" x14ac:dyDescent="0.2">
      <c r="U1265" s="209" t="str">
        <f t="shared" si="22"/>
        <v>1w</v>
      </c>
      <c r="V1265" s="207">
        <f>_xll.qlCalendarAdvance(Calendar,V1264,U1265,"f",FALSE)</f>
        <v>47703</v>
      </c>
      <c r="W1265" s="210">
        <f>_xll.qlCalendarAdvance(Calendar,V1265,NDays&amp;"D")</f>
        <v>47703</v>
      </c>
      <c r="X1265" s="211">
        <v>2.8366509235944193E-2</v>
      </c>
      <c r="Y1265" s="232"/>
    </row>
    <row r="1266" spans="21:25" x14ac:dyDescent="0.2">
      <c r="U1266" s="209" t="str">
        <f t="shared" si="22"/>
        <v>1w</v>
      </c>
      <c r="V1266" s="207">
        <f>_xll.qlCalendarAdvance(Calendar,V1265,U1266,"f",FALSE)</f>
        <v>47710</v>
      </c>
      <c r="W1266" s="210">
        <f>_xll.qlCalendarAdvance(Calendar,V1266,NDays&amp;"D")</f>
        <v>47710</v>
      </c>
      <c r="X1266" s="211">
        <v>2.8354672598993602E-2</v>
      </c>
      <c r="Y1266" s="232"/>
    </row>
    <row r="1267" spans="21:25" x14ac:dyDescent="0.2">
      <c r="U1267" s="209" t="str">
        <f t="shared" si="22"/>
        <v>1w</v>
      </c>
      <c r="V1267" s="207">
        <f>_xll.qlCalendarAdvance(Calendar,V1266,U1267,"f",FALSE)</f>
        <v>47717</v>
      </c>
      <c r="W1267" s="210">
        <f>_xll.qlCalendarAdvance(Calendar,V1267,NDays&amp;"D")</f>
        <v>47717</v>
      </c>
      <c r="X1267" s="211">
        <v>2.8342851365481536E-2</v>
      </c>
      <c r="Y1267" s="232"/>
    </row>
    <row r="1268" spans="21:25" x14ac:dyDescent="0.2">
      <c r="U1268" s="209" t="str">
        <f t="shared" si="22"/>
        <v>1w</v>
      </c>
      <c r="V1268" s="207">
        <f>_xll.qlCalendarAdvance(Calendar,V1267,U1268,"f",FALSE)</f>
        <v>47724</v>
      </c>
      <c r="W1268" s="210">
        <f>_xll.qlCalendarAdvance(Calendar,V1268,NDays&amp;"D")</f>
        <v>47724</v>
      </c>
      <c r="X1268" s="211">
        <v>2.8331045535248123E-2</v>
      </c>
      <c r="Y1268" s="232"/>
    </row>
    <row r="1269" spans="21:25" x14ac:dyDescent="0.2">
      <c r="U1269" s="209" t="str">
        <f t="shared" si="22"/>
        <v>1w</v>
      </c>
      <c r="V1269" s="207">
        <f>_xll.qlCalendarAdvance(Calendar,V1268,U1269,"f",FALSE)</f>
        <v>47731</v>
      </c>
      <c r="W1269" s="210">
        <f>_xll.qlCalendarAdvance(Calendar,V1269,NDays&amp;"D")</f>
        <v>47731</v>
      </c>
      <c r="X1269" s="211">
        <v>2.8319255108453234E-2</v>
      </c>
      <c r="Y1269" s="232"/>
    </row>
    <row r="1270" spans="21:25" x14ac:dyDescent="0.2">
      <c r="U1270" s="209" t="str">
        <f t="shared" si="22"/>
        <v>1w</v>
      </c>
      <c r="V1270" s="207">
        <f>_xll.qlCalendarAdvance(Calendar,V1269,U1270,"f",FALSE)</f>
        <v>47738</v>
      </c>
      <c r="W1270" s="210">
        <f>_xll.qlCalendarAdvance(Calendar,V1270,NDays&amp;"D")</f>
        <v>47738</v>
      </c>
      <c r="X1270" s="211">
        <v>2.830748008509687E-2</v>
      </c>
      <c r="Y1270" s="232"/>
    </row>
    <row r="1271" spans="21:25" x14ac:dyDescent="0.2">
      <c r="U1271" s="209" t="str">
        <f t="shared" si="22"/>
        <v>1w</v>
      </c>
      <c r="V1271" s="207">
        <f>_xll.qlCalendarAdvance(Calendar,V1270,U1271,"f",FALSE)</f>
        <v>47745</v>
      </c>
      <c r="W1271" s="210">
        <f>_xll.qlCalendarAdvance(Calendar,V1271,NDays&amp;"D")</f>
        <v>47745</v>
      </c>
      <c r="X1271" s="211">
        <v>2.8295720465019158E-2</v>
      </c>
      <c r="Y1271" s="232"/>
    </row>
    <row r="1272" spans="21:25" x14ac:dyDescent="0.2">
      <c r="U1272" s="209" t="str">
        <f t="shared" si="22"/>
        <v>1w</v>
      </c>
      <c r="V1272" s="207">
        <f>_xll.qlCalendarAdvance(Calendar,V1271,U1272,"f",FALSE)</f>
        <v>47752</v>
      </c>
      <c r="W1272" s="210">
        <f>_xll.qlCalendarAdvance(Calendar,V1272,NDays&amp;"D")</f>
        <v>47752</v>
      </c>
      <c r="X1272" s="211">
        <v>2.8283976248379972E-2</v>
      </c>
      <c r="Y1272" s="232"/>
    </row>
    <row r="1273" spans="21:25" x14ac:dyDescent="0.2">
      <c r="U1273" s="209" t="str">
        <f t="shared" si="22"/>
        <v>1w</v>
      </c>
      <c r="V1273" s="207">
        <f>_xll.qlCalendarAdvance(Calendar,V1272,U1273,"f",FALSE)</f>
        <v>47759</v>
      </c>
      <c r="W1273" s="210">
        <f>_xll.qlCalendarAdvance(Calendar,V1273,NDays&amp;"D")</f>
        <v>47759</v>
      </c>
      <c r="X1273" s="211">
        <v>2.8272247435019437E-2</v>
      </c>
      <c r="Y1273" s="232"/>
    </row>
    <row r="1274" spans="21:25" x14ac:dyDescent="0.2">
      <c r="U1274" s="209" t="str">
        <f t="shared" si="22"/>
        <v>1w</v>
      </c>
      <c r="V1274" s="207">
        <f>_xll.qlCalendarAdvance(Calendar,V1273,U1274,"f",FALSE)</f>
        <v>47766</v>
      </c>
      <c r="W1274" s="210">
        <f>_xll.qlCalendarAdvance(Calendar,V1274,NDays&amp;"D")</f>
        <v>47766</v>
      </c>
      <c r="X1274" s="211">
        <v>2.8260534025097428E-2</v>
      </c>
      <c r="Y1274" s="232"/>
    </row>
    <row r="1275" spans="21:25" x14ac:dyDescent="0.2">
      <c r="U1275" s="209" t="str">
        <f t="shared" si="22"/>
        <v>1w</v>
      </c>
      <c r="V1275" s="207">
        <f>_xll.qlCalendarAdvance(Calendar,V1274,U1275,"f",FALSE)</f>
        <v>47773</v>
      </c>
      <c r="W1275" s="210">
        <f>_xll.qlCalendarAdvance(Calendar,V1275,NDays&amp;"D")</f>
        <v>47773</v>
      </c>
      <c r="X1275" s="211">
        <v>2.8248836018534007E-2</v>
      </c>
      <c r="Y1275" s="232"/>
    </row>
    <row r="1276" spans="21:25" x14ac:dyDescent="0.2">
      <c r="U1276" s="209" t="str">
        <f t="shared" si="22"/>
        <v>1w</v>
      </c>
      <c r="V1276" s="207">
        <f>_xll.qlCalendarAdvance(Calendar,V1275,U1276,"f",FALSE)</f>
        <v>47780</v>
      </c>
      <c r="W1276" s="210">
        <f>_xll.qlCalendarAdvance(Calendar,V1276,NDays&amp;"D")</f>
        <v>47780</v>
      </c>
      <c r="X1276" s="211">
        <v>2.8237153415409111E-2</v>
      </c>
      <c r="Y1276" s="232"/>
    </row>
    <row r="1277" spans="21:25" x14ac:dyDescent="0.2">
      <c r="U1277" s="209" t="str">
        <f t="shared" si="22"/>
        <v>1w</v>
      </c>
      <c r="V1277" s="207">
        <f>_xll.qlCalendarAdvance(Calendar,V1276,U1277,"f",FALSE)</f>
        <v>47787</v>
      </c>
      <c r="W1277" s="210">
        <f>_xll.qlCalendarAdvance(Calendar,V1277,NDays&amp;"D")</f>
        <v>47787</v>
      </c>
      <c r="X1277" s="211">
        <v>2.8225486215642803E-2</v>
      </c>
      <c r="Y1277" s="232"/>
    </row>
    <row r="1278" spans="21:25" x14ac:dyDescent="0.2">
      <c r="U1278" s="209" t="str">
        <f t="shared" si="22"/>
        <v>1w</v>
      </c>
      <c r="V1278" s="207">
        <f>_xll.qlCalendarAdvance(Calendar,V1277,U1278,"f",FALSE)</f>
        <v>47794</v>
      </c>
      <c r="W1278" s="210">
        <f>_xll.qlCalendarAdvance(Calendar,V1278,NDays&amp;"D")</f>
        <v>47794</v>
      </c>
      <c r="X1278" s="211">
        <v>2.8213834419155148E-2</v>
      </c>
      <c r="Y1278" s="232"/>
    </row>
    <row r="1279" spans="21:25" x14ac:dyDescent="0.2">
      <c r="U1279" s="209" t="str">
        <f t="shared" si="22"/>
        <v>1w</v>
      </c>
      <c r="V1279" s="207">
        <f>_xll.qlCalendarAdvance(Calendar,V1278,U1279,"f",FALSE)</f>
        <v>47801</v>
      </c>
      <c r="W1279" s="210">
        <f>_xll.qlCalendarAdvance(Calendar,V1279,NDays&amp;"D")</f>
        <v>47801</v>
      </c>
      <c r="X1279" s="211">
        <v>2.8202198026106018E-2</v>
      </c>
      <c r="Y1279" s="232"/>
    </row>
    <row r="1280" spans="21:25" x14ac:dyDescent="0.2">
      <c r="U1280" s="209" t="str">
        <f t="shared" si="22"/>
        <v>1w</v>
      </c>
      <c r="V1280" s="207">
        <f>_xll.qlCalendarAdvance(Calendar,V1279,U1280,"f",FALSE)</f>
        <v>47808</v>
      </c>
      <c r="W1280" s="210">
        <f>_xll.qlCalendarAdvance(Calendar,V1280,NDays&amp;"D")</f>
        <v>47808</v>
      </c>
      <c r="X1280" s="211">
        <v>2.819057703633554E-2</v>
      </c>
      <c r="Y1280" s="232"/>
    </row>
    <row r="1281" spans="21:25" x14ac:dyDescent="0.2">
      <c r="U1281" s="209" t="str">
        <f t="shared" si="22"/>
        <v>1w</v>
      </c>
      <c r="V1281" s="207">
        <f>_xll.qlCalendarAdvance(Calendar,V1280,U1281,"f",FALSE)</f>
        <v>47815</v>
      </c>
      <c r="W1281" s="210">
        <f>_xll.qlCalendarAdvance(Calendar,V1281,NDays&amp;"D")</f>
        <v>47815</v>
      </c>
      <c r="X1281" s="211">
        <v>2.8178971450083523E-2</v>
      </c>
      <c r="Y1281" s="232"/>
    </row>
    <row r="1282" spans="21:25" x14ac:dyDescent="0.2">
      <c r="U1282" s="209" t="str">
        <f t="shared" si="22"/>
        <v>1w</v>
      </c>
      <c r="V1282" s="207">
        <f>_xll.qlCalendarAdvance(Calendar,V1281,U1282,"f",FALSE)</f>
        <v>47822</v>
      </c>
      <c r="W1282" s="210">
        <f>_xll.qlCalendarAdvance(Calendar,V1282,NDays&amp;"D")</f>
        <v>47822</v>
      </c>
      <c r="X1282" s="211">
        <v>2.8167381266950287E-2</v>
      </c>
      <c r="Y1282" s="232"/>
    </row>
    <row r="1283" spans="21:25" x14ac:dyDescent="0.2">
      <c r="U1283" s="209" t="str">
        <f t="shared" si="22"/>
        <v>1w</v>
      </c>
      <c r="V1283" s="207">
        <f>_xll.qlCalendarAdvance(Calendar,V1282,U1283,"f",FALSE)</f>
        <v>47829</v>
      </c>
      <c r="W1283" s="210">
        <f>_xll.qlCalendarAdvance(Calendar,V1283,NDays&amp;"D")</f>
        <v>47829</v>
      </c>
      <c r="X1283" s="211">
        <v>2.8155806487415447E-2</v>
      </c>
      <c r="Y1283" s="232"/>
    </row>
    <row r="1284" spans="21:25" x14ac:dyDescent="0.2">
      <c r="U1284" s="209" t="str">
        <f t="shared" si="22"/>
        <v>1w</v>
      </c>
      <c r="V1284" s="207">
        <f>_xll.qlCalendarAdvance(Calendar,V1283,U1284,"f",FALSE)</f>
        <v>47836</v>
      </c>
      <c r="W1284" s="210">
        <f>_xll.qlCalendarAdvance(Calendar,V1284,NDays&amp;"D")</f>
        <v>47836</v>
      </c>
      <c r="X1284" s="211">
        <v>2.8144247111079324E-2</v>
      </c>
      <c r="Y1284" s="232"/>
    </row>
    <row r="1285" spans="21:25" x14ac:dyDescent="0.2">
      <c r="U1285" s="209" t="str">
        <f t="shared" si="22"/>
        <v>1w</v>
      </c>
      <c r="V1285" s="207">
        <f>_xll.qlCalendarAdvance(Calendar,V1284,U1285,"f",FALSE)</f>
        <v>47844</v>
      </c>
      <c r="W1285" s="210">
        <f>_xll.qlCalendarAdvance(Calendar,V1285,NDays&amp;"D")</f>
        <v>47844</v>
      </c>
      <c r="X1285" s="211">
        <v>2.8131605805850057E-2</v>
      </c>
      <c r="Y1285" s="232"/>
    </row>
    <row r="1286" spans="21:25" x14ac:dyDescent="0.2">
      <c r="U1286" s="209" t="str">
        <f t="shared" si="22"/>
        <v>1w</v>
      </c>
      <c r="V1286" s="207">
        <f>_xll.qlCalendarAdvance(Calendar,V1285,U1286,"f",FALSE)</f>
        <v>47851</v>
      </c>
      <c r="W1286" s="210">
        <f>_xll.qlCalendarAdvance(Calendar,V1286,NDays&amp;"D")</f>
        <v>47851</v>
      </c>
      <c r="X1286" s="211">
        <v>2.8120079836604361E-2</v>
      </c>
      <c r="Y1286" s="232"/>
    </row>
    <row r="1287" spans="21:25" x14ac:dyDescent="0.2">
      <c r="U1287" s="209" t="str">
        <f t="shared" si="22"/>
        <v>1w</v>
      </c>
      <c r="V1287" s="207">
        <f>_xll.qlCalendarAdvance(Calendar,V1286,U1287,"f",FALSE)</f>
        <v>47858</v>
      </c>
      <c r="W1287" s="210">
        <f>_xll.qlCalendarAdvance(Calendar,V1287,NDays&amp;"D")</f>
        <v>47858</v>
      </c>
      <c r="X1287" s="211">
        <v>2.8108569273888051E-2</v>
      </c>
      <c r="Y1287" s="232"/>
    </row>
    <row r="1288" spans="21:25" x14ac:dyDescent="0.2">
      <c r="U1288" s="209" t="str">
        <f t="shared" si="22"/>
        <v>1w</v>
      </c>
      <c r="V1288" s="207">
        <f>_xll.qlCalendarAdvance(Calendar,V1287,U1288,"f",FALSE)</f>
        <v>47865</v>
      </c>
      <c r="W1288" s="210">
        <f>_xll.qlCalendarAdvance(Calendar,V1288,NDays&amp;"D")</f>
        <v>47865</v>
      </c>
      <c r="X1288" s="211">
        <v>2.8097074117594545E-2</v>
      </c>
      <c r="Y1288" s="232"/>
    </row>
    <row r="1289" spans="21:25" x14ac:dyDescent="0.2">
      <c r="U1289" s="209" t="str">
        <f t="shared" si="22"/>
        <v>1w</v>
      </c>
      <c r="V1289" s="207">
        <f>_xll.qlCalendarAdvance(Calendar,V1288,U1289,"f",FALSE)</f>
        <v>47872</v>
      </c>
      <c r="W1289" s="210">
        <f>_xll.qlCalendarAdvance(Calendar,V1289,NDays&amp;"D")</f>
        <v>47872</v>
      </c>
      <c r="X1289" s="211">
        <v>2.808559436785707E-2</v>
      </c>
      <c r="Y1289" s="232"/>
    </row>
    <row r="1290" spans="21:25" x14ac:dyDescent="0.2">
      <c r="U1290" s="209" t="str">
        <f t="shared" si="22"/>
        <v>1w</v>
      </c>
      <c r="V1290" s="207">
        <f>_xll.qlCalendarAdvance(Calendar,V1289,U1290,"f",FALSE)</f>
        <v>47879</v>
      </c>
      <c r="W1290" s="210">
        <f>_xll.qlCalendarAdvance(Calendar,V1290,NDays&amp;"D")</f>
        <v>47879</v>
      </c>
      <c r="X1290" s="211">
        <v>2.8074130024595689E-2</v>
      </c>
      <c r="Y1290" s="232"/>
    </row>
    <row r="1291" spans="21:25" x14ac:dyDescent="0.2">
      <c r="U1291" s="209" t="str">
        <f t="shared" si="22"/>
        <v>1w</v>
      </c>
      <c r="V1291" s="207">
        <f>_xll.qlCalendarAdvance(Calendar,V1290,U1291,"f",FALSE)</f>
        <v>47886</v>
      </c>
      <c r="W1291" s="210">
        <f>_xll.qlCalendarAdvance(Calendar,V1291,NDays&amp;"D")</f>
        <v>47886</v>
      </c>
      <c r="X1291" s="211">
        <v>2.8062681087810404E-2</v>
      </c>
      <c r="Y1291" s="232"/>
    </row>
    <row r="1292" spans="21:25" x14ac:dyDescent="0.2">
      <c r="U1292" s="209" t="str">
        <f t="shared" si="22"/>
        <v>1w</v>
      </c>
      <c r="V1292" s="207">
        <f>_xll.qlCalendarAdvance(Calendar,V1291,U1292,"f",FALSE)</f>
        <v>47893</v>
      </c>
      <c r="W1292" s="210">
        <f>_xll.qlCalendarAdvance(Calendar,V1292,NDays&amp;"D")</f>
        <v>47893</v>
      </c>
      <c r="X1292" s="211">
        <v>2.8051247557474568E-2</v>
      </c>
      <c r="Y1292" s="232"/>
    </row>
    <row r="1293" spans="21:25" x14ac:dyDescent="0.2">
      <c r="U1293" s="209" t="str">
        <f t="shared" ref="U1293:U1356" si="23">U1292</f>
        <v>1w</v>
      </c>
      <c r="V1293" s="207">
        <f>_xll.qlCalendarAdvance(Calendar,V1292,U1293,"f",FALSE)</f>
        <v>47900</v>
      </c>
      <c r="W1293" s="210">
        <f>_xll.qlCalendarAdvance(Calendar,V1293,NDays&amp;"D")</f>
        <v>47900</v>
      </c>
      <c r="X1293" s="211">
        <v>2.8039829433641472E-2</v>
      </c>
      <c r="Y1293" s="232"/>
    </row>
    <row r="1294" spans="21:25" x14ac:dyDescent="0.2">
      <c r="U1294" s="209" t="str">
        <f t="shared" si="23"/>
        <v>1w</v>
      </c>
      <c r="V1294" s="207">
        <f>_xll.qlCalendarAdvance(Calendar,V1293,U1294,"f",FALSE)</f>
        <v>47907</v>
      </c>
      <c r="W1294" s="210">
        <f>_xll.qlCalendarAdvance(Calendar,V1294,NDays&amp;"D")</f>
        <v>47907</v>
      </c>
      <c r="X1294" s="211">
        <v>2.8028426716231181E-2</v>
      </c>
      <c r="Y1294" s="232"/>
    </row>
    <row r="1295" spans="21:25" x14ac:dyDescent="0.2">
      <c r="U1295" s="209" t="str">
        <f t="shared" si="23"/>
        <v>1w</v>
      </c>
      <c r="V1295" s="207">
        <f>_xll.qlCalendarAdvance(Calendar,V1294,U1295,"f",FALSE)</f>
        <v>47914</v>
      </c>
      <c r="W1295" s="210">
        <f>_xll.qlCalendarAdvance(Calendar,V1295,NDays&amp;"D")</f>
        <v>47914</v>
      </c>
      <c r="X1295" s="211">
        <v>2.8017039405323629E-2</v>
      </c>
      <c r="Y1295" s="232"/>
    </row>
    <row r="1296" spans="21:25" x14ac:dyDescent="0.2">
      <c r="U1296" s="209" t="str">
        <f t="shared" si="23"/>
        <v>1w</v>
      </c>
      <c r="V1296" s="207">
        <f>_xll.qlCalendarAdvance(Calendar,V1295,U1296,"f",FALSE)</f>
        <v>47921</v>
      </c>
      <c r="W1296" s="210">
        <f>_xll.qlCalendarAdvance(Calendar,V1296,NDays&amp;"D")</f>
        <v>47921</v>
      </c>
      <c r="X1296" s="211">
        <v>2.8005667500865528E-2</v>
      </c>
      <c r="Y1296" s="232"/>
    </row>
    <row r="1297" spans="21:25" x14ac:dyDescent="0.2">
      <c r="U1297" s="209" t="str">
        <f t="shared" si="23"/>
        <v>1w</v>
      </c>
      <c r="V1297" s="207">
        <f>_xll.qlCalendarAdvance(Calendar,V1296,U1297,"f",FALSE)</f>
        <v>47928</v>
      </c>
      <c r="W1297" s="210">
        <f>_xll.qlCalendarAdvance(Calendar,V1297,NDays&amp;"D")</f>
        <v>47928</v>
      </c>
      <c r="X1297" s="211">
        <v>2.7994311002856875E-2</v>
      </c>
      <c r="Y1297" s="232"/>
    </row>
    <row r="1298" spans="21:25" x14ac:dyDescent="0.2">
      <c r="U1298" s="209" t="str">
        <f t="shared" si="23"/>
        <v>1w</v>
      </c>
      <c r="V1298" s="207">
        <f>_xll.qlCalendarAdvance(Calendar,V1297,U1298,"f",FALSE)</f>
        <v>47935</v>
      </c>
      <c r="W1298" s="210">
        <f>_xll.qlCalendarAdvance(Calendar,V1298,NDays&amp;"D")</f>
        <v>47935</v>
      </c>
      <c r="X1298" s="211">
        <v>2.7982969911324318E-2</v>
      </c>
      <c r="Y1298" s="232"/>
    </row>
    <row r="1299" spans="21:25" x14ac:dyDescent="0.2">
      <c r="U1299" s="209" t="str">
        <f t="shared" si="23"/>
        <v>1w</v>
      </c>
      <c r="V1299" s="207">
        <f>_xll.qlCalendarAdvance(Calendar,V1298,U1299,"f",FALSE)</f>
        <v>47942</v>
      </c>
      <c r="W1299" s="210">
        <f>_xll.qlCalendarAdvance(Calendar,V1299,NDays&amp;"D")</f>
        <v>47942</v>
      </c>
      <c r="X1299" s="211">
        <v>2.7971644226187919E-2</v>
      </c>
      <c r="Y1299" s="232"/>
    </row>
    <row r="1300" spans="21:25" x14ac:dyDescent="0.2">
      <c r="U1300" s="209" t="str">
        <f t="shared" si="23"/>
        <v>1w</v>
      </c>
      <c r="V1300" s="207">
        <f>_xll.qlCalendarAdvance(Calendar,V1299,U1300,"f",FALSE)</f>
        <v>47953</v>
      </c>
      <c r="W1300" s="210">
        <f>_xll.qlCalendarAdvance(Calendar,V1300,NDays&amp;"D")</f>
        <v>47953</v>
      </c>
      <c r="X1300" s="211">
        <v>2.7953320717903907E-2</v>
      </c>
      <c r="Y1300" s="232"/>
    </row>
    <row r="1301" spans="21:25" x14ac:dyDescent="0.2">
      <c r="U1301" s="209" t="str">
        <f t="shared" si="23"/>
        <v>1w</v>
      </c>
      <c r="V1301" s="207">
        <f>_xll.qlCalendarAdvance(Calendar,V1300,U1301,"f",FALSE)</f>
        <v>47960</v>
      </c>
      <c r="W1301" s="210">
        <f>_xll.qlCalendarAdvance(Calendar,V1301,NDays&amp;"D")</f>
        <v>47960</v>
      </c>
      <c r="X1301" s="211">
        <v>2.7942034200822974E-2</v>
      </c>
      <c r="Y1301" s="232"/>
    </row>
    <row r="1302" spans="21:25" x14ac:dyDescent="0.2">
      <c r="U1302" s="209" t="str">
        <f t="shared" si="23"/>
        <v>1w</v>
      </c>
      <c r="V1302" s="207">
        <f>_xll.qlCalendarAdvance(Calendar,V1301,U1302,"f",FALSE)</f>
        <v>47967</v>
      </c>
      <c r="W1302" s="210">
        <f>_xll.qlCalendarAdvance(Calendar,V1302,NDays&amp;"D")</f>
        <v>47967</v>
      </c>
      <c r="X1302" s="211">
        <v>2.793076308710063E-2</v>
      </c>
      <c r="Y1302" s="232"/>
    </row>
    <row r="1303" spans="21:25" x14ac:dyDescent="0.2">
      <c r="U1303" s="209" t="str">
        <f t="shared" si="23"/>
        <v>1w</v>
      </c>
      <c r="V1303" s="207">
        <f>_xll.qlCalendarAdvance(Calendar,V1302,U1303,"f",FALSE)</f>
        <v>47974</v>
      </c>
      <c r="W1303" s="210">
        <f>_xll.qlCalendarAdvance(Calendar,V1303,NDays&amp;"D")</f>
        <v>47974</v>
      </c>
      <c r="X1303" s="211">
        <v>2.791950737681681E-2</v>
      </c>
      <c r="Y1303" s="232"/>
    </row>
    <row r="1304" spans="21:25" x14ac:dyDescent="0.2">
      <c r="U1304" s="209" t="str">
        <f t="shared" si="23"/>
        <v>1w</v>
      </c>
      <c r="V1304" s="207">
        <f>_xll.qlCalendarAdvance(Calendar,V1303,U1304,"f",FALSE)</f>
        <v>47981</v>
      </c>
      <c r="W1304" s="210">
        <f>_xll.qlCalendarAdvance(Calendar,V1304,NDays&amp;"D")</f>
        <v>47981</v>
      </c>
      <c r="X1304" s="211">
        <v>2.7908267069811643E-2</v>
      </c>
      <c r="Y1304" s="232"/>
    </row>
    <row r="1305" spans="21:25" x14ac:dyDescent="0.2">
      <c r="U1305" s="209" t="str">
        <f t="shared" si="23"/>
        <v>1w</v>
      </c>
      <c r="V1305" s="207">
        <f>_xll.qlCalendarAdvance(Calendar,V1304,U1305,"f",FALSE)</f>
        <v>47988</v>
      </c>
      <c r="W1305" s="210">
        <f>_xll.qlCalendarAdvance(Calendar,V1305,NDays&amp;"D")</f>
        <v>47988</v>
      </c>
      <c r="X1305" s="211">
        <v>2.7897042166085129E-2</v>
      </c>
      <c r="Y1305" s="232"/>
    </row>
    <row r="1306" spans="21:25" x14ac:dyDescent="0.2">
      <c r="U1306" s="209" t="str">
        <f t="shared" si="23"/>
        <v>1w</v>
      </c>
      <c r="V1306" s="207">
        <f>_xll.qlCalendarAdvance(Calendar,V1305,U1306,"f",FALSE)</f>
        <v>47995</v>
      </c>
      <c r="W1306" s="210">
        <f>_xll.qlCalendarAdvance(Calendar,V1306,NDays&amp;"D")</f>
        <v>47995</v>
      </c>
      <c r="X1306" s="211">
        <v>2.7885832665717203E-2</v>
      </c>
      <c r="Y1306" s="232"/>
    </row>
    <row r="1307" spans="21:25" x14ac:dyDescent="0.2">
      <c r="U1307" s="209" t="str">
        <f t="shared" si="23"/>
        <v>1w</v>
      </c>
      <c r="V1307" s="207">
        <f>_xll.qlCalendarAdvance(Calendar,V1306,U1307,"f",FALSE)</f>
        <v>48002</v>
      </c>
      <c r="W1307" s="210">
        <f>_xll.qlCalendarAdvance(Calendar,V1307,NDays&amp;"D")</f>
        <v>48002</v>
      </c>
      <c r="X1307" s="211">
        <v>2.787463856862793E-2</v>
      </c>
      <c r="Y1307" s="232"/>
    </row>
    <row r="1308" spans="21:25" x14ac:dyDescent="0.2">
      <c r="U1308" s="209" t="str">
        <f t="shared" si="23"/>
        <v>1w</v>
      </c>
      <c r="V1308" s="207">
        <f>_xll.qlCalendarAdvance(Calendar,V1307,U1308,"f",FALSE)</f>
        <v>48009</v>
      </c>
      <c r="W1308" s="210">
        <f>_xll.qlCalendarAdvance(Calendar,V1308,NDays&amp;"D")</f>
        <v>48009</v>
      </c>
      <c r="X1308" s="211">
        <v>2.7863459874817309E-2</v>
      </c>
      <c r="Y1308" s="232"/>
    </row>
    <row r="1309" spans="21:25" x14ac:dyDescent="0.2">
      <c r="U1309" s="209" t="str">
        <f t="shared" si="23"/>
        <v>1w</v>
      </c>
      <c r="V1309" s="207">
        <f>_xll.qlCalendarAdvance(Calendar,V1308,U1309,"f",FALSE)</f>
        <v>48016</v>
      </c>
      <c r="W1309" s="210">
        <f>_xll.qlCalendarAdvance(Calendar,V1309,NDays&amp;"D")</f>
        <v>48016</v>
      </c>
      <c r="X1309" s="211">
        <v>2.7852296584445213E-2</v>
      </c>
      <c r="Y1309" s="232"/>
    </row>
    <row r="1310" spans="21:25" x14ac:dyDescent="0.2">
      <c r="U1310" s="209" t="str">
        <f t="shared" si="23"/>
        <v>1w</v>
      </c>
      <c r="V1310" s="207">
        <f>_xll.qlCalendarAdvance(Calendar,V1309,U1310,"f",FALSE)</f>
        <v>48023</v>
      </c>
      <c r="W1310" s="210">
        <f>_xll.qlCalendarAdvance(Calendar,V1310,NDays&amp;"D")</f>
        <v>48023</v>
      </c>
      <c r="X1310" s="211">
        <v>2.784114869735177E-2</v>
      </c>
      <c r="Y1310" s="232"/>
    </row>
    <row r="1311" spans="21:25" x14ac:dyDescent="0.2">
      <c r="U1311" s="209" t="str">
        <f t="shared" si="23"/>
        <v>1w</v>
      </c>
      <c r="V1311" s="207">
        <f>_xll.qlCalendarAdvance(Calendar,V1310,U1311,"f",FALSE)</f>
        <v>48030</v>
      </c>
      <c r="W1311" s="210">
        <f>_xll.qlCalendarAdvance(Calendar,V1311,NDays&amp;"D")</f>
        <v>48030</v>
      </c>
      <c r="X1311" s="211">
        <v>2.7830016213616915E-2</v>
      </c>
      <c r="Y1311" s="232"/>
    </row>
    <row r="1312" spans="21:25" x14ac:dyDescent="0.2">
      <c r="U1312" s="209" t="str">
        <f t="shared" si="23"/>
        <v>1w</v>
      </c>
      <c r="V1312" s="207">
        <f>_xll.qlCalendarAdvance(Calendar,V1311,U1312,"f",FALSE)</f>
        <v>48037</v>
      </c>
      <c r="W1312" s="210">
        <f>_xll.qlCalendarAdvance(Calendar,V1312,NDays&amp;"D")</f>
        <v>48037</v>
      </c>
      <c r="X1312" s="211">
        <v>2.7818899133160713E-2</v>
      </c>
      <c r="Y1312" s="232"/>
    </row>
    <row r="1313" spans="21:25" x14ac:dyDescent="0.2">
      <c r="U1313" s="209" t="str">
        <f t="shared" si="23"/>
        <v>1w</v>
      </c>
      <c r="V1313" s="207">
        <f>_xll.qlCalendarAdvance(Calendar,V1312,U1313,"f",FALSE)</f>
        <v>48044</v>
      </c>
      <c r="W1313" s="210">
        <f>_xll.qlCalendarAdvance(Calendar,V1313,NDays&amp;"D")</f>
        <v>48044</v>
      </c>
      <c r="X1313" s="211">
        <v>2.7807797456063099E-2</v>
      </c>
      <c r="Y1313" s="232"/>
    </row>
    <row r="1314" spans="21:25" x14ac:dyDescent="0.2">
      <c r="U1314" s="209" t="str">
        <f t="shared" si="23"/>
        <v>1w</v>
      </c>
      <c r="V1314" s="207">
        <f>_xll.qlCalendarAdvance(Calendar,V1313,U1314,"f",FALSE)</f>
        <v>48051</v>
      </c>
      <c r="W1314" s="210">
        <f>_xll.qlCalendarAdvance(Calendar,V1314,NDays&amp;"D")</f>
        <v>48051</v>
      </c>
      <c r="X1314" s="211">
        <v>2.7796711182164202E-2</v>
      </c>
      <c r="Y1314" s="232"/>
    </row>
    <row r="1315" spans="21:25" x14ac:dyDescent="0.2">
      <c r="U1315" s="209" t="str">
        <f t="shared" si="23"/>
        <v>1w</v>
      </c>
      <c r="V1315" s="207">
        <f>_xll.qlCalendarAdvance(Calendar,V1314,U1315,"f",FALSE)</f>
        <v>48058</v>
      </c>
      <c r="W1315" s="210">
        <f>_xll.qlCalendarAdvance(Calendar,V1315,NDays&amp;"D")</f>
        <v>48058</v>
      </c>
      <c r="X1315" s="211">
        <v>2.778564031170383E-2</v>
      </c>
      <c r="Y1315" s="232"/>
    </row>
    <row r="1316" spans="21:25" x14ac:dyDescent="0.2">
      <c r="U1316" s="209" t="str">
        <f t="shared" si="23"/>
        <v>1w</v>
      </c>
      <c r="V1316" s="207">
        <f>_xll.qlCalendarAdvance(Calendar,V1315,U1316,"f",FALSE)</f>
        <v>48065</v>
      </c>
      <c r="W1316" s="210">
        <f>_xll.qlCalendarAdvance(Calendar,V1316,NDays&amp;"D")</f>
        <v>48065</v>
      </c>
      <c r="X1316" s="211">
        <v>2.7774584844442174E-2</v>
      </c>
      <c r="Y1316" s="232"/>
    </row>
    <row r="1317" spans="21:25" x14ac:dyDescent="0.2">
      <c r="U1317" s="209" t="str">
        <f t="shared" si="23"/>
        <v>1w</v>
      </c>
      <c r="V1317" s="207">
        <f>_xll.qlCalendarAdvance(Calendar,V1316,U1317,"f",FALSE)</f>
        <v>48072</v>
      </c>
      <c r="W1317" s="210">
        <f>_xll.qlCalendarAdvance(Calendar,V1317,NDays&amp;"D")</f>
        <v>48072</v>
      </c>
      <c r="X1317" s="211">
        <v>2.7763544780539107E-2</v>
      </c>
      <c r="Y1317" s="232"/>
    </row>
    <row r="1318" spans="21:25" x14ac:dyDescent="0.2">
      <c r="U1318" s="209" t="str">
        <f t="shared" si="23"/>
        <v>1w</v>
      </c>
      <c r="V1318" s="207">
        <f>_xll.qlCalendarAdvance(Calendar,V1317,U1318,"f",FALSE)</f>
        <v>48079</v>
      </c>
      <c r="W1318" s="210">
        <f>_xll.qlCalendarAdvance(Calendar,V1318,NDays&amp;"D")</f>
        <v>48079</v>
      </c>
      <c r="X1318" s="211">
        <v>2.7752520119994628E-2</v>
      </c>
      <c r="Y1318" s="232"/>
    </row>
    <row r="1319" spans="21:25" x14ac:dyDescent="0.2">
      <c r="U1319" s="209" t="str">
        <f t="shared" si="23"/>
        <v>1w</v>
      </c>
      <c r="V1319" s="207">
        <f>_xll.qlCalendarAdvance(Calendar,V1318,U1319,"f",FALSE)</f>
        <v>48086</v>
      </c>
      <c r="W1319" s="210">
        <f>_xll.qlCalendarAdvance(Calendar,V1319,NDays&amp;"D")</f>
        <v>48086</v>
      </c>
      <c r="X1319" s="211">
        <v>2.7741510862648866E-2</v>
      </c>
      <c r="Y1319" s="232"/>
    </row>
    <row r="1320" spans="21:25" x14ac:dyDescent="0.2">
      <c r="U1320" s="209" t="str">
        <f t="shared" si="23"/>
        <v>1w</v>
      </c>
      <c r="V1320" s="207">
        <f>_xll.qlCalendarAdvance(Calendar,V1319,U1320,"f",FALSE)</f>
        <v>48093</v>
      </c>
      <c r="W1320" s="210">
        <f>_xll.qlCalendarAdvance(Calendar,V1320,NDays&amp;"D")</f>
        <v>48093</v>
      </c>
      <c r="X1320" s="211">
        <v>2.7730517008741629E-2</v>
      </c>
      <c r="Y1320" s="232"/>
    </row>
    <row r="1321" spans="21:25" x14ac:dyDescent="0.2">
      <c r="U1321" s="209" t="str">
        <f t="shared" si="23"/>
        <v>1w</v>
      </c>
      <c r="V1321" s="207">
        <f>_xll.qlCalendarAdvance(Calendar,V1320,U1321,"f",FALSE)</f>
        <v>48100</v>
      </c>
      <c r="W1321" s="210">
        <f>_xll.qlCalendarAdvance(Calendar,V1321,NDays&amp;"D")</f>
        <v>48100</v>
      </c>
      <c r="X1321" s="211">
        <v>2.7719538558113044E-2</v>
      </c>
      <c r="Y1321" s="232"/>
    </row>
    <row r="1322" spans="21:25" x14ac:dyDescent="0.2">
      <c r="U1322" s="209" t="str">
        <f t="shared" si="23"/>
        <v>1w</v>
      </c>
      <c r="V1322" s="207">
        <f>_xll.qlCalendarAdvance(Calendar,V1321,U1322,"f",FALSE)</f>
        <v>48107</v>
      </c>
      <c r="W1322" s="210">
        <f>_xll.qlCalendarAdvance(Calendar,V1322,NDays&amp;"D")</f>
        <v>48107</v>
      </c>
      <c r="X1322" s="211">
        <v>2.7708575510683175E-2</v>
      </c>
      <c r="Y1322" s="232"/>
    </row>
    <row r="1323" spans="21:25" x14ac:dyDescent="0.2">
      <c r="U1323" s="209" t="str">
        <f t="shared" si="23"/>
        <v>1w</v>
      </c>
      <c r="V1323" s="207">
        <f>_xll.qlCalendarAdvance(Calendar,V1322,U1323,"f",FALSE)</f>
        <v>48114</v>
      </c>
      <c r="W1323" s="210">
        <f>_xll.qlCalendarAdvance(Calendar,V1323,NDays&amp;"D")</f>
        <v>48114</v>
      </c>
      <c r="X1323" s="211">
        <v>2.7697627866611896E-2</v>
      </c>
      <c r="Y1323" s="232"/>
    </row>
    <row r="1324" spans="21:25" x14ac:dyDescent="0.2">
      <c r="U1324" s="209" t="str">
        <f t="shared" si="23"/>
        <v>1w</v>
      </c>
      <c r="V1324" s="207">
        <f>_xll.qlCalendarAdvance(Calendar,V1323,U1324,"f",FALSE)</f>
        <v>48121</v>
      </c>
      <c r="W1324" s="210">
        <f>_xll.qlCalendarAdvance(Calendar,V1324,NDays&amp;"D")</f>
        <v>48121</v>
      </c>
      <c r="X1324" s="211">
        <v>2.7686695625899205E-2</v>
      </c>
      <c r="Y1324" s="232"/>
    </row>
    <row r="1325" spans="21:25" x14ac:dyDescent="0.2">
      <c r="U1325" s="209" t="str">
        <f t="shared" si="23"/>
        <v>1w</v>
      </c>
      <c r="V1325" s="207">
        <f>_xll.qlCalendarAdvance(Calendar,V1324,U1325,"f",FALSE)</f>
        <v>48128</v>
      </c>
      <c r="W1325" s="210">
        <f>_xll.qlCalendarAdvance(Calendar,V1325,NDays&amp;"D")</f>
        <v>48128</v>
      </c>
      <c r="X1325" s="211">
        <v>2.767577878838523E-2</v>
      </c>
      <c r="Y1325" s="232"/>
    </row>
    <row r="1326" spans="21:25" x14ac:dyDescent="0.2">
      <c r="U1326" s="209" t="str">
        <f t="shared" si="23"/>
        <v>1w</v>
      </c>
      <c r="V1326" s="207">
        <f>_xll.qlCalendarAdvance(Calendar,V1325,U1326,"f",FALSE)</f>
        <v>48135</v>
      </c>
      <c r="W1326" s="210">
        <f>_xll.qlCalendarAdvance(Calendar,V1326,NDays&amp;"D")</f>
        <v>48135</v>
      </c>
      <c r="X1326" s="211">
        <v>2.7664877354229844E-2</v>
      </c>
      <c r="Y1326" s="232"/>
    </row>
    <row r="1327" spans="21:25" x14ac:dyDescent="0.2">
      <c r="U1327" s="209" t="str">
        <f t="shared" si="23"/>
        <v>1w</v>
      </c>
      <c r="V1327" s="207">
        <f>_xll.qlCalendarAdvance(Calendar,V1326,U1327,"f",FALSE)</f>
        <v>48142</v>
      </c>
      <c r="W1327" s="210">
        <f>_xll.qlCalendarAdvance(Calendar,V1327,NDays&amp;"D")</f>
        <v>48142</v>
      </c>
      <c r="X1327" s="211">
        <v>2.7653991323353111E-2</v>
      </c>
      <c r="Y1327" s="232"/>
    </row>
    <row r="1328" spans="21:25" x14ac:dyDescent="0.2">
      <c r="U1328" s="209" t="str">
        <f t="shared" si="23"/>
        <v>1w</v>
      </c>
      <c r="V1328" s="207">
        <f>_xll.qlCalendarAdvance(Calendar,V1327,U1328,"f",FALSE)</f>
        <v>48149</v>
      </c>
      <c r="W1328" s="210">
        <f>_xll.qlCalendarAdvance(Calendar,V1328,NDays&amp;"D")</f>
        <v>48149</v>
      </c>
      <c r="X1328" s="211">
        <v>2.764312069575503E-2</v>
      </c>
      <c r="Y1328" s="232"/>
    </row>
    <row r="1329" spans="21:25" x14ac:dyDescent="0.2">
      <c r="U1329" s="209" t="str">
        <f t="shared" si="23"/>
        <v>1w</v>
      </c>
      <c r="V1329" s="207">
        <f>_xll.qlCalendarAdvance(Calendar,V1328,U1329,"f",FALSE)</f>
        <v>48156</v>
      </c>
      <c r="W1329" s="210">
        <f>_xll.qlCalendarAdvance(Calendar,V1329,NDays&amp;"D")</f>
        <v>48156</v>
      </c>
      <c r="X1329" s="211">
        <v>2.7632265471515538E-2</v>
      </c>
      <c r="Y1329" s="232"/>
    </row>
    <row r="1330" spans="21:25" x14ac:dyDescent="0.2">
      <c r="U1330" s="209" t="str">
        <f t="shared" si="23"/>
        <v>1w</v>
      </c>
      <c r="V1330" s="207">
        <f>_xll.qlCalendarAdvance(Calendar,V1329,U1330,"f",FALSE)</f>
        <v>48163</v>
      </c>
      <c r="W1330" s="210">
        <f>_xll.qlCalendarAdvance(Calendar,V1330,NDays&amp;"D")</f>
        <v>48163</v>
      </c>
      <c r="X1330" s="211">
        <v>2.7621425650474762E-2</v>
      </c>
      <c r="Y1330" s="232"/>
    </row>
    <row r="1331" spans="21:25" x14ac:dyDescent="0.2">
      <c r="U1331" s="209" t="str">
        <f t="shared" si="23"/>
        <v>1w</v>
      </c>
      <c r="V1331" s="207">
        <f>_xll.qlCalendarAdvance(Calendar,V1330,U1331,"f",FALSE)</f>
        <v>48170</v>
      </c>
      <c r="W1331" s="210">
        <f>_xll.qlCalendarAdvance(Calendar,V1331,NDays&amp;"D")</f>
        <v>48170</v>
      </c>
      <c r="X1331" s="211">
        <v>2.7610601232792575E-2</v>
      </c>
      <c r="Y1331" s="232"/>
    </row>
    <row r="1332" spans="21:25" x14ac:dyDescent="0.2">
      <c r="U1332" s="209" t="str">
        <f t="shared" si="23"/>
        <v>1w</v>
      </c>
      <c r="V1332" s="207">
        <f>_xll.qlCalendarAdvance(Calendar,V1331,U1332,"f",FALSE)</f>
        <v>48177</v>
      </c>
      <c r="W1332" s="210">
        <f>_xll.qlCalendarAdvance(Calendar,V1332,NDays&amp;"D")</f>
        <v>48177</v>
      </c>
      <c r="X1332" s="211">
        <v>2.7599792218309105E-2</v>
      </c>
      <c r="Y1332" s="232"/>
    </row>
    <row r="1333" spans="21:25" x14ac:dyDescent="0.2">
      <c r="U1333" s="209" t="str">
        <f t="shared" si="23"/>
        <v>1w</v>
      </c>
      <c r="V1333" s="207">
        <f>_xll.qlCalendarAdvance(Calendar,V1332,U1333,"f",FALSE)</f>
        <v>48184</v>
      </c>
      <c r="W1333" s="210">
        <f>_xll.qlCalendarAdvance(Calendar,V1333,NDays&amp;"D")</f>
        <v>48184</v>
      </c>
      <c r="X1333" s="211">
        <v>2.7588998607264159E-2</v>
      </c>
      <c r="Y1333" s="232"/>
    </row>
    <row r="1334" spans="21:25" x14ac:dyDescent="0.2">
      <c r="U1334" s="209" t="str">
        <f t="shared" si="23"/>
        <v>1w</v>
      </c>
      <c r="V1334" s="207">
        <f>_xll.qlCalendarAdvance(Calendar,V1333,U1334,"f",FALSE)</f>
        <v>48191</v>
      </c>
      <c r="W1334" s="210">
        <f>_xll.qlCalendarAdvance(Calendar,V1334,NDays&amp;"D")</f>
        <v>48191</v>
      </c>
      <c r="X1334" s="211">
        <v>2.7578220399337994E-2</v>
      </c>
      <c r="Y1334" s="232"/>
    </row>
    <row r="1335" spans="21:25" x14ac:dyDescent="0.2">
      <c r="U1335" s="209" t="str">
        <f t="shared" si="23"/>
        <v>1w</v>
      </c>
      <c r="V1335" s="207">
        <f>_xll.qlCalendarAdvance(Calendar,V1334,U1335,"f",FALSE)</f>
        <v>48198</v>
      </c>
      <c r="W1335" s="210">
        <f>_xll.qlCalendarAdvance(Calendar,V1335,NDays&amp;"D")</f>
        <v>48198</v>
      </c>
      <c r="X1335" s="211">
        <v>2.7567457594850353E-2</v>
      </c>
      <c r="Y1335" s="232"/>
    </row>
    <row r="1336" spans="21:25" x14ac:dyDescent="0.2">
      <c r="U1336" s="209" t="str">
        <f t="shared" si="23"/>
        <v>1w</v>
      </c>
      <c r="V1336" s="207">
        <f>_xll.qlCalendarAdvance(Calendar,V1335,U1336,"f",FALSE)</f>
        <v>48205</v>
      </c>
      <c r="W1336" s="210">
        <f>_xll.qlCalendarAdvance(Calendar,V1336,NDays&amp;"D")</f>
        <v>48205</v>
      </c>
      <c r="X1336" s="211">
        <v>2.7556710193481493E-2</v>
      </c>
      <c r="Y1336" s="232"/>
    </row>
    <row r="1337" spans="21:25" x14ac:dyDescent="0.2">
      <c r="U1337" s="209" t="str">
        <f t="shared" si="23"/>
        <v>1w</v>
      </c>
      <c r="V1337" s="207">
        <f>_xll.qlCalendarAdvance(Calendar,V1336,U1337,"f",FALSE)</f>
        <v>48212</v>
      </c>
      <c r="W1337" s="210">
        <f>_xll.qlCalendarAdvance(Calendar,V1337,NDays&amp;"D")</f>
        <v>48212</v>
      </c>
      <c r="X1337" s="211">
        <v>2.7545978195471221E-2</v>
      </c>
      <c r="Y1337" s="232"/>
    </row>
    <row r="1338" spans="21:25" x14ac:dyDescent="0.2">
      <c r="U1338" s="209" t="str">
        <f t="shared" si="23"/>
        <v>1w</v>
      </c>
      <c r="V1338" s="207">
        <f>_xll.qlCalendarAdvance(Calendar,V1337,U1338,"f",FALSE)</f>
        <v>48219</v>
      </c>
      <c r="W1338" s="210">
        <f>_xll.qlCalendarAdvance(Calendar,V1338,NDays&amp;"D")</f>
        <v>48219</v>
      </c>
      <c r="X1338" s="211">
        <v>2.7535261600819538E-2</v>
      </c>
      <c r="Y1338" s="232"/>
    </row>
    <row r="1339" spans="21:25" x14ac:dyDescent="0.2">
      <c r="U1339" s="209" t="str">
        <f t="shared" si="23"/>
        <v>1w</v>
      </c>
      <c r="V1339" s="207">
        <f>_xll.qlCalendarAdvance(Calendar,V1338,U1339,"f",FALSE)</f>
        <v>48226</v>
      </c>
      <c r="W1339" s="210">
        <f>_xll.qlCalendarAdvance(Calendar,V1339,NDays&amp;"D")</f>
        <v>48226</v>
      </c>
      <c r="X1339" s="211">
        <v>2.7524560409366572E-2</v>
      </c>
      <c r="Y1339" s="232"/>
    </row>
    <row r="1340" spans="21:25" x14ac:dyDescent="0.2">
      <c r="U1340" s="209" t="str">
        <f t="shared" si="23"/>
        <v>1w</v>
      </c>
      <c r="V1340" s="207">
        <f>_xll.qlCalendarAdvance(Calendar,V1339,U1340,"f",FALSE)</f>
        <v>48233</v>
      </c>
      <c r="W1340" s="210">
        <f>_xll.qlCalendarAdvance(Calendar,V1340,NDays&amp;"D")</f>
        <v>48233</v>
      </c>
      <c r="X1340" s="211">
        <v>2.7513874621192258E-2</v>
      </c>
      <c r="Y1340" s="232"/>
    </row>
    <row r="1341" spans="21:25" x14ac:dyDescent="0.2">
      <c r="U1341" s="209" t="str">
        <f t="shared" si="23"/>
        <v>1w</v>
      </c>
      <c r="V1341" s="207">
        <f>_xll.qlCalendarAdvance(Calendar,V1340,U1341,"f",FALSE)</f>
        <v>48240</v>
      </c>
      <c r="W1341" s="210">
        <f>_xll.qlCalendarAdvance(Calendar,V1341,NDays&amp;"D")</f>
        <v>48240</v>
      </c>
      <c r="X1341" s="211">
        <v>2.7503204236296597E-2</v>
      </c>
      <c r="Y1341" s="232"/>
    </row>
    <row r="1342" spans="21:25" x14ac:dyDescent="0.2">
      <c r="U1342" s="209" t="str">
        <f t="shared" si="23"/>
        <v>1w</v>
      </c>
      <c r="V1342" s="207">
        <f>_xll.qlCalendarAdvance(Calendar,V1341,U1342,"f",FALSE)</f>
        <v>48247</v>
      </c>
      <c r="W1342" s="210">
        <f>_xll.qlCalendarAdvance(Calendar,V1342,NDays&amp;"D")</f>
        <v>48247</v>
      </c>
      <c r="X1342" s="211">
        <v>2.7492549254679588E-2</v>
      </c>
      <c r="Y1342" s="232"/>
    </row>
    <row r="1343" spans="21:25" x14ac:dyDescent="0.2">
      <c r="U1343" s="209" t="str">
        <f t="shared" si="23"/>
        <v>1w</v>
      </c>
      <c r="V1343" s="207">
        <f>_xll.qlCalendarAdvance(Calendar,V1342,U1343,"f",FALSE)</f>
        <v>48254</v>
      </c>
      <c r="W1343" s="210">
        <f>_xll.qlCalendarAdvance(Calendar,V1343,NDays&amp;"D")</f>
        <v>48254</v>
      </c>
      <c r="X1343" s="211">
        <v>2.7481909676341232E-2</v>
      </c>
      <c r="Y1343" s="232"/>
    </row>
    <row r="1344" spans="21:25" x14ac:dyDescent="0.2">
      <c r="U1344" s="209" t="str">
        <f t="shared" si="23"/>
        <v>1w</v>
      </c>
      <c r="V1344" s="207">
        <f>_xll.qlCalendarAdvance(Calendar,V1343,U1344,"f",FALSE)</f>
        <v>48261</v>
      </c>
      <c r="W1344" s="210">
        <f>_xll.qlCalendarAdvance(Calendar,V1344,NDays&amp;"D")</f>
        <v>48261</v>
      </c>
      <c r="X1344" s="211">
        <v>2.7471285501281528E-2</v>
      </c>
      <c r="Y1344" s="232"/>
    </row>
    <row r="1345" spans="21:25" x14ac:dyDescent="0.2">
      <c r="U1345" s="209" t="str">
        <f t="shared" si="23"/>
        <v>1w</v>
      </c>
      <c r="V1345" s="207">
        <f>_xll.qlCalendarAdvance(Calendar,V1344,U1345,"f",FALSE)</f>
        <v>48268</v>
      </c>
      <c r="W1345" s="210">
        <f>_xll.qlCalendarAdvance(Calendar,V1345,NDays&amp;"D")</f>
        <v>48268</v>
      </c>
      <c r="X1345" s="211">
        <v>2.7460676729500477E-2</v>
      </c>
      <c r="Y1345" s="232"/>
    </row>
    <row r="1346" spans="21:25" x14ac:dyDescent="0.2">
      <c r="U1346" s="209" t="str">
        <f t="shared" si="23"/>
        <v>1w</v>
      </c>
      <c r="V1346" s="207">
        <f>_xll.qlCalendarAdvance(Calendar,V1345,U1346,"f",FALSE)</f>
        <v>48275</v>
      </c>
      <c r="W1346" s="210">
        <f>_xll.qlCalendarAdvance(Calendar,V1346,NDays&amp;"D")</f>
        <v>48275</v>
      </c>
      <c r="X1346" s="211">
        <v>2.7450083360918143E-2</v>
      </c>
      <c r="Y1346" s="232"/>
    </row>
    <row r="1347" spans="21:25" x14ac:dyDescent="0.2">
      <c r="U1347" s="209" t="str">
        <f t="shared" si="23"/>
        <v>1w</v>
      </c>
      <c r="V1347" s="207">
        <f>_xll.qlCalendarAdvance(Calendar,V1346,U1347,"f",FALSE)</f>
        <v>48282</v>
      </c>
      <c r="W1347" s="210">
        <f>_xll.qlCalendarAdvance(Calendar,V1347,NDays&amp;"D")</f>
        <v>48282</v>
      </c>
      <c r="X1347" s="211">
        <v>2.7439505395694397E-2</v>
      </c>
      <c r="Y1347" s="232"/>
    </row>
    <row r="1348" spans="21:25" x14ac:dyDescent="0.2">
      <c r="U1348" s="209" t="str">
        <f t="shared" si="23"/>
        <v>1w</v>
      </c>
      <c r="V1348" s="207">
        <f>_xll.qlCalendarAdvance(Calendar,V1347,U1348,"f",FALSE)</f>
        <v>48289</v>
      </c>
      <c r="W1348" s="210">
        <f>_xll.qlCalendarAdvance(Calendar,V1348,NDays&amp;"D")</f>
        <v>48289</v>
      </c>
      <c r="X1348" s="211">
        <v>2.7428942833669367E-2</v>
      </c>
      <c r="Y1348" s="232"/>
    </row>
    <row r="1349" spans="21:25" x14ac:dyDescent="0.2">
      <c r="U1349" s="209" t="str">
        <f t="shared" si="23"/>
        <v>1w</v>
      </c>
      <c r="V1349" s="207">
        <f>_xll.qlCalendarAdvance(Calendar,V1348,U1349,"f",FALSE)</f>
        <v>48296</v>
      </c>
      <c r="W1349" s="210">
        <f>_xll.qlCalendarAdvance(Calendar,V1349,NDays&amp;"D")</f>
        <v>48296</v>
      </c>
      <c r="X1349" s="211">
        <v>2.7418395675002927E-2</v>
      </c>
      <c r="Y1349" s="232"/>
    </row>
    <row r="1350" spans="21:25" x14ac:dyDescent="0.2">
      <c r="U1350" s="209" t="str">
        <f t="shared" si="23"/>
        <v>1w</v>
      </c>
      <c r="V1350" s="207">
        <f>_xll.qlCalendarAdvance(Calendar,V1349,U1350,"f",FALSE)</f>
        <v>48303</v>
      </c>
      <c r="W1350" s="210">
        <f>_xll.qlCalendarAdvance(Calendar,V1350,NDays&amp;"D")</f>
        <v>48303</v>
      </c>
      <c r="X1350" s="211">
        <v>2.7407863919535203E-2</v>
      </c>
      <c r="Y1350" s="232"/>
    </row>
    <row r="1351" spans="21:25" x14ac:dyDescent="0.2">
      <c r="U1351" s="209" t="str">
        <f t="shared" si="23"/>
        <v>1w</v>
      </c>
      <c r="V1351" s="207">
        <f>_xll.qlCalendarAdvance(Calendar,V1350,U1351,"f",FALSE)</f>
        <v>48310</v>
      </c>
      <c r="W1351" s="210">
        <f>_xll.qlCalendarAdvance(Calendar,V1351,NDays&amp;"D")</f>
        <v>48310</v>
      </c>
      <c r="X1351" s="211">
        <v>2.7397347567346131E-2</v>
      </c>
      <c r="Y1351" s="232"/>
    </row>
    <row r="1352" spans="21:25" x14ac:dyDescent="0.2">
      <c r="U1352" s="209" t="str">
        <f t="shared" si="23"/>
        <v>1w</v>
      </c>
      <c r="V1352" s="207">
        <f>_xll.qlCalendarAdvance(Calendar,V1351,U1352,"f",FALSE)</f>
        <v>48317</v>
      </c>
      <c r="W1352" s="210">
        <f>_xll.qlCalendarAdvance(Calendar,V1352,NDays&amp;"D")</f>
        <v>48317</v>
      </c>
      <c r="X1352" s="211">
        <v>2.7386846618355776E-2</v>
      </c>
      <c r="Y1352" s="232"/>
    </row>
    <row r="1353" spans="21:25" x14ac:dyDescent="0.2">
      <c r="U1353" s="209" t="str">
        <f t="shared" si="23"/>
        <v>1w</v>
      </c>
      <c r="V1353" s="207">
        <f>_xll.qlCalendarAdvance(Calendar,V1352,U1353,"f",FALSE)</f>
        <v>48324</v>
      </c>
      <c r="W1353" s="210">
        <f>_xll.qlCalendarAdvance(Calendar,V1353,NDays&amp;"D")</f>
        <v>48324</v>
      </c>
      <c r="X1353" s="211">
        <v>2.7376361072724009E-2</v>
      </c>
      <c r="Y1353" s="232"/>
    </row>
    <row r="1354" spans="21:25" x14ac:dyDescent="0.2">
      <c r="U1354" s="209" t="str">
        <f t="shared" si="23"/>
        <v>1w</v>
      </c>
      <c r="V1354" s="207">
        <f>_xll.qlCalendarAdvance(Calendar,V1353,U1354,"f",FALSE)</f>
        <v>48331</v>
      </c>
      <c r="W1354" s="210">
        <f>_xll.qlCalendarAdvance(Calendar,V1354,NDays&amp;"D")</f>
        <v>48331</v>
      </c>
      <c r="X1354" s="211">
        <v>2.7365890930290959E-2</v>
      </c>
      <c r="Y1354" s="232"/>
    </row>
    <row r="1355" spans="21:25" x14ac:dyDescent="0.2">
      <c r="U1355" s="209" t="str">
        <f t="shared" si="23"/>
        <v>1w</v>
      </c>
      <c r="V1355" s="207">
        <f>_xll.qlCalendarAdvance(Calendar,V1354,U1355,"f",FALSE)</f>
        <v>48338</v>
      </c>
      <c r="W1355" s="210">
        <f>_xll.qlCalendarAdvance(Calendar,V1355,NDays&amp;"D")</f>
        <v>48338</v>
      </c>
      <c r="X1355" s="211">
        <v>2.7355436191136562E-2</v>
      </c>
      <c r="Y1355" s="232"/>
    </row>
    <row r="1356" spans="21:25" x14ac:dyDescent="0.2">
      <c r="U1356" s="209" t="str">
        <f t="shared" si="23"/>
        <v>1w</v>
      </c>
      <c r="V1356" s="207">
        <f>_xll.qlCalendarAdvance(Calendar,V1355,U1356,"f",FALSE)</f>
        <v>48345</v>
      </c>
      <c r="W1356" s="210">
        <f>_xll.qlCalendarAdvance(Calendar,V1356,NDays&amp;"D")</f>
        <v>48345</v>
      </c>
      <c r="X1356" s="211">
        <v>2.7344996855180881E-2</v>
      </c>
      <c r="Y1356" s="232"/>
    </row>
    <row r="1357" spans="21:25" x14ac:dyDescent="0.2">
      <c r="U1357" s="209" t="str">
        <f t="shared" ref="U1357:U1420" si="24">U1356</f>
        <v>1w</v>
      </c>
      <c r="V1357" s="207">
        <f>_xll.qlCalendarAdvance(Calendar,V1356,U1357,"f",FALSE)</f>
        <v>48352</v>
      </c>
      <c r="W1357" s="210">
        <f>_xll.qlCalendarAdvance(Calendar,V1357,NDays&amp;"D")</f>
        <v>48352</v>
      </c>
      <c r="X1357" s="211">
        <v>2.7334572922583789E-2</v>
      </c>
      <c r="Y1357" s="232"/>
    </row>
    <row r="1358" spans="21:25" x14ac:dyDescent="0.2">
      <c r="U1358" s="209" t="str">
        <f t="shared" si="24"/>
        <v>1w</v>
      </c>
      <c r="V1358" s="207">
        <f>_xll.qlCalendarAdvance(Calendar,V1357,U1358,"f",FALSE)</f>
        <v>48359</v>
      </c>
      <c r="W1358" s="210">
        <f>_xll.qlCalendarAdvance(Calendar,V1358,NDays&amp;"D")</f>
        <v>48359</v>
      </c>
      <c r="X1358" s="211">
        <v>2.7324164393185413E-2</v>
      </c>
      <c r="Y1358" s="232"/>
    </row>
    <row r="1359" spans="21:25" x14ac:dyDescent="0.2">
      <c r="U1359" s="209" t="str">
        <f t="shared" si="24"/>
        <v>1w</v>
      </c>
      <c r="V1359" s="207">
        <f>_xll.qlCalendarAdvance(Calendar,V1358,U1359,"f",FALSE)</f>
        <v>48366</v>
      </c>
      <c r="W1359" s="210">
        <f>_xll.qlCalendarAdvance(Calendar,V1359,NDays&amp;"D")</f>
        <v>48366</v>
      </c>
      <c r="X1359" s="211">
        <v>2.7313771266985754E-2</v>
      </c>
      <c r="Y1359" s="232"/>
    </row>
    <row r="1360" spans="21:25" x14ac:dyDescent="0.2">
      <c r="U1360" s="209" t="str">
        <f t="shared" si="24"/>
        <v>1w</v>
      </c>
      <c r="V1360" s="207">
        <f>_xll.qlCalendarAdvance(Calendar,V1359,U1360,"f",FALSE)</f>
        <v>48373</v>
      </c>
      <c r="W1360" s="210">
        <f>_xll.qlCalendarAdvance(Calendar,V1360,NDays&amp;"D")</f>
        <v>48373</v>
      </c>
      <c r="X1360" s="211">
        <v>2.7303393544144683E-2</v>
      </c>
      <c r="Y1360" s="232"/>
    </row>
    <row r="1361" spans="21:25" x14ac:dyDescent="0.2">
      <c r="U1361" s="209" t="str">
        <f t="shared" si="24"/>
        <v>1w</v>
      </c>
      <c r="V1361" s="207">
        <f>_xll.qlCalendarAdvance(Calendar,V1360,U1361,"f",FALSE)</f>
        <v>48380</v>
      </c>
      <c r="W1361" s="210">
        <f>_xll.qlCalendarAdvance(Calendar,V1361,NDays&amp;"D")</f>
        <v>48380</v>
      </c>
      <c r="X1361" s="211">
        <v>2.7293031224422393E-2</v>
      </c>
      <c r="Y1361" s="232"/>
    </row>
    <row r="1362" spans="21:25" x14ac:dyDescent="0.2">
      <c r="U1362" s="209" t="str">
        <f t="shared" si="24"/>
        <v>1w</v>
      </c>
      <c r="V1362" s="207">
        <f>_xll.qlCalendarAdvance(Calendar,V1361,U1362,"f",FALSE)</f>
        <v>48387</v>
      </c>
      <c r="W1362" s="210">
        <f>_xll.qlCalendarAdvance(Calendar,V1362,NDays&amp;"D")</f>
        <v>48387</v>
      </c>
      <c r="X1362" s="211">
        <v>2.7282684308138627E-2</v>
      </c>
      <c r="Y1362" s="232"/>
    </row>
    <row r="1363" spans="21:25" x14ac:dyDescent="0.2">
      <c r="U1363" s="209" t="str">
        <f t="shared" si="24"/>
        <v>1w</v>
      </c>
      <c r="V1363" s="207">
        <f>_xll.qlCalendarAdvance(Calendar,V1362,U1363,"f",FALSE)</f>
        <v>48394</v>
      </c>
      <c r="W1363" s="210">
        <f>_xll.qlCalendarAdvance(Calendar,V1363,NDays&amp;"D")</f>
        <v>48394</v>
      </c>
      <c r="X1363" s="211">
        <v>2.7272352794893706E-2</v>
      </c>
      <c r="Y1363" s="232"/>
    </row>
    <row r="1364" spans="21:25" x14ac:dyDescent="0.2">
      <c r="U1364" s="209" t="str">
        <f t="shared" si="24"/>
        <v>1w</v>
      </c>
      <c r="V1364" s="207">
        <f>_xll.qlCalendarAdvance(Calendar,V1363,U1364,"f",FALSE)</f>
        <v>48401</v>
      </c>
      <c r="W1364" s="210">
        <f>_xll.qlCalendarAdvance(Calendar,V1364,NDays&amp;"D")</f>
        <v>48401</v>
      </c>
      <c r="X1364" s="211">
        <v>2.7262036684927438E-2</v>
      </c>
      <c r="Y1364" s="232"/>
    </row>
    <row r="1365" spans="21:25" x14ac:dyDescent="0.2">
      <c r="U1365" s="209" t="str">
        <f t="shared" si="24"/>
        <v>1w</v>
      </c>
      <c r="V1365" s="207">
        <f>_xll.qlCalendarAdvance(Calendar,V1364,U1365,"f",FALSE)</f>
        <v>48408</v>
      </c>
      <c r="W1365" s="210">
        <f>_xll.qlCalendarAdvance(Calendar,V1365,NDays&amp;"D")</f>
        <v>48408</v>
      </c>
      <c r="X1365" s="211">
        <v>2.7251735978319758E-2</v>
      </c>
      <c r="Y1365" s="232"/>
    </row>
    <row r="1366" spans="21:25" x14ac:dyDescent="0.2">
      <c r="U1366" s="209" t="str">
        <f t="shared" si="24"/>
        <v>1w</v>
      </c>
      <c r="V1366" s="207">
        <f>_xll.qlCalendarAdvance(Calendar,V1365,U1366,"f",FALSE)</f>
        <v>48415</v>
      </c>
      <c r="W1366" s="210">
        <f>_xll.qlCalendarAdvance(Calendar,V1366,NDays&amp;"D")</f>
        <v>48415</v>
      </c>
      <c r="X1366" s="211">
        <v>2.7241450674910794E-2</v>
      </c>
      <c r="Y1366" s="232"/>
    </row>
    <row r="1367" spans="21:25" x14ac:dyDescent="0.2">
      <c r="U1367" s="209" t="str">
        <f t="shared" si="24"/>
        <v>1w</v>
      </c>
      <c r="V1367" s="207">
        <f>_xll.qlCalendarAdvance(Calendar,V1366,U1367,"f",FALSE)</f>
        <v>48422</v>
      </c>
      <c r="W1367" s="210">
        <f>_xll.qlCalendarAdvance(Calendar,V1367,NDays&amp;"D")</f>
        <v>48422</v>
      </c>
      <c r="X1367" s="211">
        <v>2.7231180774700547E-2</v>
      </c>
      <c r="Y1367" s="232"/>
    </row>
    <row r="1368" spans="21:25" x14ac:dyDescent="0.2">
      <c r="U1368" s="209" t="str">
        <f t="shared" si="24"/>
        <v>1w</v>
      </c>
      <c r="V1368" s="207">
        <f>_xll.qlCalendarAdvance(Calendar,V1367,U1368,"f",FALSE)</f>
        <v>48429</v>
      </c>
      <c r="W1368" s="210">
        <f>_xll.qlCalendarAdvance(Calendar,V1368,NDays&amp;"D")</f>
        <v>48429</v>
      </c>
      <c r="X1368" s="211">
        <v>2.7220926277768953E-2</v>
      </c>
      <c r="Y1368" s="232"/>
    </row>
    <row r="1369" spans="21:25" x14ac:dyDescent="0.2">
      <c r="U1369" s="209" t="str">
        <f t="shared" si="24"/>
        <v>1w</v>
      </c>
      <c r="V1369" s="207">
        <f>_xll.qlCalendarAdvance(Calendar,V1368,U1369,"f",FALSE)</f>
        <v>48436</v>
      </c>
      <c r="W1369" s="210">
        <f>_xll.qlCalendarAdvance(Calendar,V1369,NDays&amp;"D")</f>
        <v>48436</v>
      </c>
      <c r="X1369" s="211">
        <v>2.7210687184116011E-2</v>
      </c>
      <c r="Y1369" s="232"/>
    </row>
    <row r="1370" spans="21:25" x14ac:dyDescent="0.2">
      <c r="U1370" s="209" t="str">
        <f t="shared" si="24"/>
        <v>1w</v>
      </c>
      <c r="V1370" s="207">
        <f>_xll.qlCalendarAdvance(Calendar,V1369,U1370,"f",FALSE)</f>
        <v>48443</v>
      </c>
      <c r="W1370" s="210">
        <f>_xll.qlCalendarAdvance(Calendar,V1370,NDays&amp;"D")</f>
        <v>48443</v>
      </c>
      <c r="X1370" s="211">
        <v>2.7200463493661786E-2</v>
      </c>
      <c r="Y1370" s="232"/>
    </row>
    <row r="1371" spans="21:25" x14ac:dyDescent="0.2">
      <c r="U1371" s="209" t="str">
        <f t="shared" si="24"/>
        <v>1w</v>
      </c>
      <c r="V1371" s="207">
        <f>_xll.qlCalendarAdvance(Calendar,V1370,U1371,"f",FALSE)</f>
        <v>48450</v>
      </c>
      <c r="W1371" s="210">
        <f>_xll.qlCalendarAdvance(Calendar,V1371,NDays&amp;"D")</f>
        <v>48450</v>
      </c>
      <c r="X1371" s="211">
        <v>2.7190255206326341E-2</v>
      </c>
      <c r="Y1371" s="232"/>
    </row>
    <row r="1372" spans="21:25" x14ac:dyDescent="0.2">
      <c r="U1372" s="209" t="str">
        <f t="shared" si="24"/>
        <v>1w</v>
      </c>
      <c r="V1372" s="207">
        <f>_xll.qlCalendarAdvance(Calendar,V1371,U1372,"f",FALSE)</f>
        <v>48457</v>
      </c>
      <c r="W1372" s="210">
        <f>_xll.qlCalendarAdvance(Calendar,V1372,NDays&amp;"D")</f>
        <v>48457</v>
      </c>
      <c r="X1372" s="211">
        <v>2.7180062322349485E-2</v>
      </c>
      <c r="Y1372" s="232"/>
    </row>
    <row r="1373" spans="21:25" x14ac:dyDescent="0.2">
      <c r="U1373" s="209" t="str">
        <f t="shared" si="24"/>
        <v>1w</v>
      </c>
      <c r="V1373" s="207">
        <f>_xll.qlCalendarAdvance(Calendar,V1372,U1373,"f",FALSE)</f>
        <v>48464</v>
      </c>
      <c r="W1373" s="210">
        <f>_xll.qlCalendarAdvance(Calendar,V1373,NDays&amp;"D")</f>
        <v>48464</v>
      </c>
      <c r="X1373" s="211">
        <v>2.7169884841571346E-2</v>
      </c>
      <c r="Y1373" s="232"/>
    </row>
    <row r="1374" spans="21:25" x14ac:dyDescent="0.2">
      <c r="U1374" s="209" t="str">
        <f t="shared" si="24"/>
        <v>1w</v>
      </c>
      <c r="V1374" s="207">
        <f>_xll.qlCalendarAdvance(Calendar,V1373,U1374,"f",FALSE)</f>
        <v>48471</v>
      </c>
      <c r="W1374" s="210">
        <f>_xll.qlCalendarAdvance(Calendar,V1374,NDays&amp;"D")</f>
        <v>48471</v>
      </c>
      <c r="X1374" s="211">
        <v>2.7159722764071859E-2</v>
      </c>
      <c r="Y1374" s="232"/>
    </row>
    <row r="1375" spans="21:25" x14ac:dyDescent="0.2">
      <c r="U1375" s="209" t="str">
        <f t="shared" si="24"/>
        <v>1w</v>
      </c>
      <c r="V1375" s="207">
        <f>_xll.qlCalendarAdvance(Calendar,V1374,U1375,"f",FALSE)</f>
        <v>48478</v>
      </c>
      <c r="W1375" s="210">
        <f>_xll.qlCalendarAdvance(Calendar,V1375,NDays&amp;"D")</f>
        <v>48478</v>
      </c>
      <c r="X1375" s="211">
        <v>2.7149576089771088E-2</v>
      </c>
      <c r="Y1375" s="232"/>
    </row>
    <row r="1376" spans="21:25" x14ac:dyDescent="0.2">
      <c r="U1376" s="209" t="str">
        <f t="shared" si="24"/>
        <v>1w</v>
      </c>
      <c r="V1376" s="207">
        <f>_xll.qlCalendarAdvance(Calendar,V1375,U1376,"f",FALSE)</f>
        <v>48485</v>
      </c>
      <c r="W1376" s="210">
        <f>_xll.qlCalendarAdvance(Calendar,V1376,NDays&amp;"D")</f>
        <v>48485</v>
      </c>
      <c r="X1376" s="211">
        <v>2.713944481874897E-2</v>
      </c>
      <c r="Y1376" s="232"/>
    </row>
    <row r="1377" spans="21:25" x14ac:dyDescent="0.2">
      <c r="U1377" s="209" t="str">
        <f t="shared" si="24"/>
        <v>1w</v>
      </c>
      <c r="V1377" s="207">
        <f>_xll.qlCalendarAdvance(Calendar,V1376,U1377,"f",FALSE)</f>
        <v>48492</v>
      </c>
      <c r="W1377" s="210">
        <f>_xll.qlCalendarAdvance(Calendar,V1377,NDays&amp;"D")</f>
        <v>48492</v>
      </c>
      <c r="X1377" s="211">
        <v>2.7129328950845633E-2</v>
      </c>
      <c r="Y1377" s="232"/>
    </row>
    <row r="1378" spans="21:25" x14ac:dyDescent="0.2">
      <c r="U1378" s="209" t="str">
        <f t="shared" si="24"/>
        <v>1w</v>
      </c>
      <c r="V1378" s="207">
        <f>_xll.qlCalendarAdvance(Calendar,V1377,U1378,"f",FALSE)</f>
        <v>48499</v>
      </c>
      <c r="W1378" s="210">
        <f>_xll.qlCalendarAdvance(Calendar,V1378,NDays&amp;"D")</f>
        <v>48499</v>
      </c>
      <c r="X1378" s="211">
        <v>2.7119228486300884E-2</v>
      </c>
      <c r="Y1378" s="232"/>
    </row>
    <row r="1379" spans="21:25" x14ac:dyDescent="0.2">
      <c r="U1379" s="209" t="str">
        <f t="shared" si="24"/>
        <v>1w</v>
      </c>
      <c r="V1379" s="207">
        <f>_xll.qlCalendarAdvance(Calendar,V1378,U1379,"f",FALSE)</f>
        <v>48506</v>
      </c>
      <c r="W1379" s="210">
        <f>_xll.qlCalendarAdvance(Calendar,V1379,NDays&amp;"D")</f>
        <v>48506</v>
      </c>
      <c r="X1379" s="211">
        <v>2.7109143424874915E-2</v>
      </c>
      <c r="Y1379" s="232"/>
    </row>
    <row r="1380" spans="21:25" x14ac:dyDescent="0.2">
      <c r="U1380" s="209" t="str">
        <f t="shared" si="24"/>
        <v>1w</v>
      </c>
      <c r="V1380" s="207">
        <f>_xll.qlCalendarAdvance(Calendar,V1379,U1380,"f",FALSE)</f>
        <v>48513</v>
      </c>
      <c r="W1380" s="210">
        <f>_xll.qlCalendarAdvance(Calendar,V1380,NDays&amp;"D")</f>
        <v>48513</v>
      </c>
      <c r="X1380" s="211">
        <v>2.7099073766727599E-2</v>
      </c>
      <c r="Y1380" s="232"/>
    </row>
    <row r="1381" spans="21:25" x14ac:dyDescent="0.2">
      <c r="U1381" s="209" t="str">
        <f t="shared" si="24"/>
        <v>1w</v>
      </c>
      <c r="V1381" s="207">
        <f>_xll.qlCalendarAdvance(Calendar,V1380,U1381,"f",FALSE)</f>
        <v>48520</v>
      </c>
      <c r="W1381" s="210">
        <f>_xll.qlCalendarAdvance(Calendar,V1381,NDays&amp;"D")</f>
        <v>48520</v>
      </c>
      <c r="X1381" s="211">
        <v>2.7089019511779E-2</v>
      </c>
      <c r="Y1381" s="232"/>
    </row>
    <row r="1382" spans="21:25" x14ac:dyDescent="0.2">
      <c r="U1382" s="209" t="str">
        <f t="shared" si="24"/>
        <v>1w</v>
      </c>
      <c r="V1382" s="207">
        <f>_xll.qlCalendarAdvance(Calendar,V1381,U1382,"f",FALSE)</f>
        <v>48527</v>
      </c>
      <c r="W1382" s="210">
        <f>_xll.qlCalendarAdvance(Calendar,V1382,NDays&amp;"D")</f>
        <v>48527</v>
      </c>
      <c r="X1382" s="211">
        <v>2.7078980660029117E-2</v>
      </c>
      <c r="Y1382" s="232"/>
    </row>
    <row r="1383" spans="21:25" x14ac:dyDescent="0.2">
      <c r="U1383" s="209" t="str">
        <f t="shared" si="24"/>
        <v>1w</v>
      </c>
      <c r="V1383" s="207">
        <f>_xll.qlCalendarAdvance(Calendar,V1382,U1383,"f",FALSE)</f>
        <v>48534</v>
      </c>
      <c r="W1383" s="210">
        <f>_xll.qlCalendarAdvance(Calendar,V1383,NDays&amp;"D")</f>
        <v>48534</v>
      </c>
      <c r="X1383" s="211">
        <v>2.7068957211557887E-2</v>
      </c>
      <c r="Y1383" s="232"/>
    </row>
    <row r="1384" spans="21:25" x14ac:dyDescent="0.2">
      <c r="U1384" s="209" t="str">
        <f t="shared" si="24"/>
        <v>1w</v>
      </c>
      <c r="V1384" s="207">
        <f>_xll.qlCalendarAdvance(Calendar,V1383,U1384,"f",FALSE)</f>
        <v>48541</v>
      </c>
      <c r="W1384" s="210">
        <f>_xll.qlCalendarAdvance(Calendar,V1384,NDays&amp;"D")</f>
        <v>48541</v>
      </c>
      <c r="X1384" s="211">
        <v>2.7058949166285373E-2</v>
      </c>
      <c r="Y1384" s="232"/>
    </row>
    <row r="1385" spans="21:25" x14ac:dyDescent="0.2">
      <c r="U1385" s="209" t="str">
        <f t="shared" si="24"/>
        <v>1w</v>
      </c>
      <c r="V1385" s="207">
        <f>_xll.qlCalendarAdvance(Calendar,V1384,U1385,"f",FALSE)</f>
        <v>48548</v>
      </c>
      <c r="W1385" s="210">
        <f>_xll.qlCalendarAdvance(Calendar,V1385,NDays&amp;"D")</f>
        <v>48548</v>
      </c>
      <c r="X1385" s="211">
        <v>2.7048956524211576E-2</v>
      </c>
      <c r="Y1385" s="232"/>
    </row>
    <row r="1386" spans="21:25" x14ac:dyDescent="0.2">
      <c r="U1386" s="209" t="str">
        <f t="shared" si="24"/>
        <v>1w</v>
      </c>
      <c r="V1386" s="207">
        <f>_xll.qlCalendarAdvance(Calendar,V1385,U1386,"f",FALSE)</f>
        <v>48555</v>
      </c>
      <c r="W1386" s="210">
        <f>_xll.qlCalendarAdvance(Calendar,V1386,NDays&amp;"D")</f>
        <v>48555</v>
      </c>
      <c r="X1386" s="211">
        <v>2.7038979285256559E-2</v>
      </c>
      <c r="Y1386" s="232"/>
    </row>
    <row r="1387" spans="21:25" x14ac:dyDescent="0.2">
      <c r="U1387" s="209" t="str">
        <f t="shared" si="24"/>
        <v>1w</v>
      </c>
      <c r="V1387" s="207">
        <f>_xll.qlCalendarAdvance(Calendar,V1386,U1387,"f",FALSE)</f>
        <v>48562</v>
      </c>
      <c r="W1387" s="210">
        <f>_xll.qlCalendarAdvance(Calendar,V1387,NDays&amp;"D")</f>
        <v>48562</v>
      </c>
      <c r="X1387" s="211">
        <v>2.7029017449660131E-2</v>
      </c>
      <c r="Y1387" s="232"/>
    </row>
    <row r="1388" spans="21:25" x14ac:dyDescent="0.2">
      <c r="U1388" s="209" t="str">
        <f t="shared" si="24"/>
        <v>1w</v>
      </c>
      <c r="V1388" s="207">
        <f>_xll.qlCalendarAdvance(Calendar,V1387,U1388,"f",FALSE)</f>
        <v>48569</v>
      </c>
      <c r="W1388" s="210">
        <f>_xll.qlCalendarAdvance(Calendar,V1388,NDays&amp;"D")</f>
        <v>48569</v>
      </c>
      <c r="X1388" s="211">
        <v>2.7019071017262419E-2</v>
      </c>
      <c r="Y1388" s="232"/>
    </row>
    <row r="1389" spans="21:25" x14ac:dyDescent="0.2">
      <c r="U1389" s="209" t="str">
        <f t="shared" si="24"/>
        <v>1w</v>
      </c>
      <c r="V1389" s="207">
        <f>_xll.qlCalendarAdvance(Calendar,V1388,U1389,"f",FALSE)</f>
        <v>48576</v>
      </c>
      <c r="W1389" s="210">
        <f>_xll.qlCalendarAdvance(Calendar,V1389,NDays&amp;"D")</f>
        <v>48576</v>
      </c>
      <c r="X1389" s="211">
        <v>2.7009139988063424E-2</v>
      </c>
      <c r="Y1389" s="232"/>
    </row>
    <row r="1390" spans="21:25" x14ac:dyDescent="0.2">
      <c r="U1390" s="209" t="str">
        <f t="shared" si="24"/>
        <v>1w</v>
      </c>
      <c r="V1390" s="207">
        <f>_xll.qlCalendarAdvance(Calendar,V1389,U1390,"f",FALSE)</f>
        <v>48583</v>
      </c>
      <c r="W1390" s="210">
        <f>_xll.qlCalendarAdvance(Calendar,V1390,NDays&amp;"D")</f>
        <v>48583</v>
      </c>
      <c r="X1390" s="211">
        <v>2.6999224362063146E-2</v>
      </c>
      <c r="Y1390" s="232"/>
    </row>
    <row r="1391" spans="21:25" x14ac:dyDescent="0.2">
      <c r="U1391" s="209" t="str">
        <f t="shared" si="24"/>
        <v>1w</v>
      </c>
      <c r="V1391" s="207">
        <f>_xll.qlCalendarAdvance(Calendar,V1390,U1391,"f",FALSE)</f>
        <v>48590</v>
      </c>
      <c r="W1391" s="210">
        <f>_xll.qlCalendarAdvance(Calendar,V1391,NDays&amp;"D")</f>
        <v>48590</v>
      </c>
      <c r="X1391" s="211">
        <v>2.6989324139261583E-2</v>
      </c>
      <c r="Y1391" s="232"/>
    </row>
    <row r="1392" spans="21:25" x14ac:dyDescent="0.2">
      <c r="U1392" s="209" t="str">
        <f t="shared" si="24"/>
        <v>1w</v>
      </c>
      <c r="V1392" s="207">
        <f>_xll.qlCalendarAdvance(Calendar,V1391,U1392,"f",FALSE)</f>
        <v>48597</v>
      </c>
      <c r="W1392" s="210">
        <f>_xll.qlCalendarAdvance(Calendar,V1392,NDays&amp;"D")</f>
        <v>48597</v>
      </c>
      <c r="X1392" s="211">
        <v>2.6979439319738674E-2</v>
      </c>
      <c r="Y1392" s="232"/>
    </row>
    <row r="1393" spans="21:25" x14ac:dyDescent="0.2">
      <c r="U1393" s="209" t="str">
        <f t="shared" si="24"/>
        <v>1w</v>
      </c>
      <c r="V1393" s="207">
        <f>_xll.qlCalendarAdvance(Calendar,V1392,U1393,"f",FALSE)</f>
        <v>48604</v>
      </c>
      <c r="W1393" s="210">
        <f>_xll.qlCalendarAdvance(Calendar,V1393,NDays&amp;"D")</f>
        <v>48604</v>
      </c>
      <c r="X1393" s="211">
        <v>2.6969569903334545E-2</v>
      </c>
      <c r="Y1393" s="232"/>
    </row>
    <row r="1394" spans="21:25" x14ac:dyDescent="0.2">
      <c r="U1394" s="209" t="str">
        <f t="shared" si="24"/>
        <v>1w</v>
      </c>
      <c r="V1394" s="207">
        <f>_xll.qlCalendarAdvance(Calendar,V1393,U1394,"f",FALSE)</f>
        <v>48611</v>
      </c>
      <c r="W1394" s="210">
        <f>_xll.qlCalendarAdvance(Calendar,V1394,NDays&amp;"D")</f>
        <v>48611</v>
      </c>
      <c r="X1394" s="211">
        <v>2.6959715890209068E-2</v>
      </c>
      <c r="Y1394" s="232"/>
    </row>
    <row r="1395" spans="21:25" x14ac:dyDescent="0.2">
      <c r="U1395" s="209" t="str">
        <f t="shared" si="24"/>
        <v>1w</v>
      </c>
      <c r="V1395" s="207">
        <f>_xll.qlCalendarAdvance(Calendar,V1394,U1395,"f",FALSE)</f>
        <v>48618</v>
      </c>
      <c r="W1395" s="210">
        <f>_xll.qlCalendarAdvance(Calendar,V1395,NDays&amp;"D")</f>
        <v>48618</v>
      </c>
      <c r="X1395" s="211">
        <v>2.6949877280202372E-2</v>
      </c>
      <c r="Y1395" s="232"/>
    </row>
    <row r="1396" spans="21:25" x14ac:dyDescent="0.2">
      <c r="U1396" s="209" t="str">
        <f t="shared" si="24"/>
        <v>1w</v>
      </c>
      <c r="V1396" s="207">
        <f>_xll.qlCalendarAdvance(Calendar,V1395,U1396,"f",FALSE)</f>
        <v>48625</v>
      </c>
      <c r="W1396" s="210">
        <f>_xll.qlCalendarAdvance(Calendar,V1396,NDays&amp;"D")</f>
        <v>48625</v>
      </c>
      <c r="X1396" s="211">
        <v>2.6940054073474329E-2</v>
      </c>
      <c r="Y1396" s="232"/>
    </row>
    <row r="1397" spans="21:25" x14ac:dyDescent="0.2">
      <c r="U1397" s="209" t="str">
        <f t="shared" si="24"/>
        <v>1w</v>
      </c>
      <c r="V1397" s="207">
        <f>_xll.qlCalendarAdvance(Calendar,V1396,U1397,"f",FALSE)</f>
        <v>48632</v>
      </c>
      <c r="W1397" s="210">
        <f>_xll.qlCalendarAdvance(Calendar,V1397,NDays&amp;"D")</f>
        <v>48632</v>
      </c>
      <c r="X1397" s="211">
        <v>2.6930246269865066E-2</v>
      </c>
      <c r="Y1397" s="232"/>
    </row>
    <row r="1398" spans="21:25" x14ac:dyDescent="0.2">
      <c r="U1398" s="209" t="str">
        <f t="shared" si="24"/>
        <v>1w</v>
      </c>
      <c r="V1398" s="207">
        <f>_xll.qlCalendarAdvance(Calendar,V1397,U1398,"f",FALSE)</f>
        <v>48639</v>
      </c>
      <c r="W1398" s="210">
        <f>_xll.qlCalendarAdvance(Calendar,V1398,NDays&amp;"D")</f>
        <v>48639</v>
      </c>
      <c r="X1398" s="211">
        <v>2.6920453869534455E-2</v>
      </c>
      <c r="Y1398" s="232"/>
    </row>
    <row r="1399" spans="21:25" x14ac:dyDescent="0.2">
      <c r="U1399" s="209" t="str">
        <f t="shared" si="24"/>
        <v>1w</v>
      </c>
      <c r="V1399" s="207">
        <f>_xll.qlCalendarAdvance(Calendar,V1398,U1399,"f",FALSE)</f>
        <v>48646</v>
      </c>
      <c r="W1399" s="210">
        <f>_xll.qlCalendarAdvance(Calendar,V1399,NDays&amp;"D")</f>
        <v>48646</v>
      </c>
      <c r="X1399" s="211">
        <v>2.6910676872402561E-2</v>
      </c>
      <c r="Y1399" s="232"/>
    </row>
    <row r="1400" spans="21:25" x14ac:dyDescent="0.2">
      <c r="U1400" s="209" t="str">
        <f t="shared" si="24"/>
        <v>1w</v>
      </c>
      <c r="V1400" s="207">
        <f>_xll.qlCalendarAdvance(Calendar,V1399,U1400,"f",FALSE)</f>
        <v>48653</v>
      </c>
      <c r="W1400" s="210">
        <f>_xll.qlCalendarAdvance(Calendar,V1400,NDays&amp;"D")</f>
        <v>48653</v>
      </c>
      <c r="X1400" s="211">
        <v>2.6900915278469384E-2</v>
      </c>
      <c r="Y1400" s="232"/>
    </row>
    <row r="1401" spans="21:25" x14ac:dyDescent="0.2">
      <c r="U1401" s="209" t="str">
        <f t="shared" si="24"/>
        <v>1w</v>
      </c>
      <c r="V1401" s="207">
        <f>_xll.qlCalendarAdvance(Calendar,V1400,U1401,"f",FALSE)</f>
        <v>48660</v>
      </c>
      <c r="W1401" s="210">
        <f>_xll.qlCalendarAdvance(Calendar,V1401,NDays&amp;"D")</f>
        <v>48660</v>
      </c>
      <c r="X1401" s="211">
        <v>2.6891169087654987E-2</v>
      </c>
      <c r="Y1401" s="232"/>
    </row>
    <row r="1402" spans="21:25" x14ac:dyDescent="0.2">
      <c r="U1402" s="209" t="str">
        <f t="shared" si="24"/>
        <v>1w</v>
      </c>
      <c r="V1402" s="207">
        <f>_xll.qlCalendarAdvance(Calendar,V1401,U1402,"f",FALSE)</f>
        <v>48667</v>
      </c>
      <c r="W1402" s="210">
        <f>_xll.qlCalendarAdvance(Calendar,V1402,NDays&amp;"D")</f>
        <v>48667</v>
      </c>
      <c r="X1402" s="211">
        <v>2.6881438300119243E-2</v>
      </c>
      <c r="Y1402" s="232"/>
    </row>
    <row r="1403" spans="21:25" x14ac:dyDescent="0.2">
      <c r="U1403" s="209" t="str">
        <f t="shared" si="24"/>
        <v>1w</v>
      </c>
      <c r="V1403" s="207">
        <f>_xll.qlCalendarAdvance(Calendar,V1402,U1403,"f",FALSE)</f>
        <v>48674</v>
      </c>
      <c r="W1403" s="210">
        <f>_xll.qlCalendarAdvance(Calendar,V1403,NDays&amp;"D")</f>
        <v>48674</v>
      </c>
      <c r="X1403" s="211">
        <v>2.6871722915782215E-2</v>
      </c>
      <c r="Y1403" s="232"/>
    </row>
    <row r="1404" spans="21:25" x14ac:dyDescent="0.2">
      <c r="U1404" s="209" t="str">
        <f t="shared" si="24"/>
        <v>1w</v>
      </c>
      <c r="V1404" s="207">
        <f>_xll.qlCalendarAdvance(Calendar,V1403,U1404,"f",FALSE)</f>
        <v>48681</v>
      </c>
      <c r="W1404" s="210">
        <f>_xll.qlCalendarAdvance(Calendar,V1404,NDays&amp;"D")</f>
        <v>48681</v>
      </c>
      <c r="X1404" s="211">
        <v>2.6862022934563967E-2</v>
      </c>
      <c r="Y1404" s="232"/>
    </row>
    <row r="1405" spans="21:25" x14ac:dyDescent="0.2">
      <c r="U1405" s="209" t="str">
        <f t="shared" si="24"/>
        <v>1w</v>
      </c>
      <c r="V1405" s="207">
        <f>_xll.qlCalendarAdvance(Calendar,V1404,U1405,"f",FALSE)</f>
        <v>48688</v>
      </c>
      <c r="W1405" s="210">
        <f>_xll.qlCalendarAdvance(Calendar,V1405,NDays&amp;"D")</f>
        <v>48688</v>
      </c>
      <c r="X1405" s="211">
        <v>2.6852338356624372E-2</v>
      </c>
      <c r="Y1405" s="232"/>
    </row>
    <row r="1406" spans="21:25" x14ac:dyDescent="0.2">
      <c r="U1406" s="209" t="str">
        <f t="shared" si="24"/>
        <v>1w</v>
      </c>
      <c r="V1406" s="207">
        <f>_xll.qlCalendarAdvance(Calendar,V1405,U1406,"f",FALSE)</f>
        <v>48695</v>
      </c>
      <c r="W1406" s="210">
        <f>_xll.qlCalendarAdvance(Calendar,V1406,NDays&amp;"D")</f>
        <v>48695</v>
      </c>
      <c r="X1406" s="211">
        <v>2.6842669181803558E-2</v>
      </c>
      <c r="Y1406" s="232"/>
    </row>
    <row r="1407" spans="21:25" x14ac:dyDescent="0.2">
      <c r="U1407" s="209" t="str">
        <f t="shared" si="24"/>
        <v>1w</v>
      </c>
      <c r="V1407" s="207">
        <f>_xll.qlCalendarAdvance(Calendar,V1406,U1407,"f",FALSE)</f>
        <v>48702</v>
      </c>
      <c r="W1407" s="210">
        <f>_xll.qlCalendarAdvance(Calendar,V1407,NDays&amp;"D")</f>
        <v>48702</v>
      </c>
      <c r="X1407" s="211">
        <v>2.6833015410341332E-2</v>
      </c>
      <c r="Y1407" s="232"/>
    </row>
    <row r="1408" spans="21:25" x14ac:dyDescent="0.2">
      <c r="U1408" s="209" t="str">
        <f t="shared" si="24"/>
        <v>1w</v>
      </c>
      <c r="V1408" s="207">
        <f>_xll.qlCalendarAdvance(Calendar,V1407,U1408,"f",FALSE)</f>
        <v>48709</v>
      </c>
      <c r="W1408" s="210">
        <f>_xll.qlCalendarAdvance(Calendar,V1408,NDays&amp;"D")</f>
        <v>48709</v>
      </c>
      <c r="X1408" s="211">
        <v>2.6823377041758079E-2</v>
      </c>
      <c r="Y1408" s="232"/>
    </row>
    <row r="1409" spans="21:25" x14ac:dyDescent="0.2">
      <c r="U1409" s="209" t="str">
        <f t="shared" si="24"/>
        <v>1w</v>
      </c>
      <c r="V1409" s="207">
        <f>_xll.qlCalendarAdvance(Calendar,V1408,U1409,"f",FALSE)</f>
        <v>48716</v>
      </c>
      <c r="W1409" s="210">
        <f>_xll.qlCalendarAdvance(Calendar,V1409,NDays&amp;"D")</f>
        <v>48716</v>
      </c>
      <c r="X1409" s="211">
        <v>2.6813754076693286E-2</v>
      </c>
      <c r="Y1409" s="232"/>
    </row>
    <row r="1410" spans="21:25" x14ac:dyDescent="0.2">
      <c r="U1410" s="209" t="str">
        <f t="shared" si="24"/>
        <v>1w</v>
      </c>
      <c r="V1410" s="207">
        <f>_xll.qlCalendarAdvance(Calendar,V1409,U1410,"f",FALSE)</f>
        <v>48723</v>
      </c>
      <c r="W1410" s="210">
        <f>_xll.qlCalendarAdvance(Calendar,V1410,NDays&amp;"D")</f>
        <v>48723</v>
      </c>
      <c r="X1410" s="211">
        <v>2.6804146514587401E-2</v>
      </c>
      <c r="Y1410" s="232"/>
    </row>
    <row r="1411" spans="21:25" x14ac:dyDescent="0.2">
      <c r="U1411" s="209" t="str">
        <f t="shared" si="24"/>
        <v>1w</v>
      </c>
      <c r="V1411" s="207">
        <f>_xll.qlCalendarAdvance(Calendar,V1410,U1411,"f",FALSE)</f>
        <v>48730</v>
      </c>
      <c r="W1411" s="210">
        <f>_xll.qlCalendarAdvance(Calendar,V1411,NDays&amp;"D")</f>
        <v>48730</v>
      </c>
      <c r="X1411" s="211">
        <v>2.679455435576017E-2</v>
      </c>
      <c r="Y1411" s="232"/>
    </row>
    <row r="1412" spans="21:25" x14ac:dyDescent="0.2">
      <c r="U1412" s="209" t="str">
        <f t="shared" si="24"/>
        <v>1w</v>
      </c>
      <c r="V1412" s="207">
        <f>_xll.qlCalendarAdvance(Calendar,V1411,U1412,"f",FALSE)</f>
        <v>48737</v>
      </c>
      <c r="W1412" s="210">
        <f>_xll.qlCalendarAdvance(Calendar,V1412,NDays&amp;"D")</f>
        <v>48737</v>
      </c>
      <c r="X1412" s="211">
        <v>2.6784977600051718E-2</v>
      </c>
      <c r="Y1412" s="232"/>
    </row>
    <row r="1413" spans="21:25" x14ac:dyDescent="0.2">
      <c r="U1413" s="209" t="str">
        <f t="shared" si="24"/>
        <v>1w</v>
      </c>
      <c r="V1413" s="207">
        <f>_xll.qlCalendarAdvance(Calendar,V1412,U1413,"f",FALSE)</f>
        <v>48744</v>
      </c>
      <c r="W1413" s="210">
        <f>_xll.qlCalendarAdvance(Calendar,V1413,NDays&amp;"D")</f>
        <v>48744</v>
      </c>
      <c r="X1413" s="211">
        <v>2.6775416247541983E-2</v>
      </c>
      <c r="Y1413" s="232"/>
    </row>
    <row r="1414" spans="21:25" x14ac:dyDescent="0.2">
      <c r="U1414" s="209" t="str">
        <f t="shared" si="24"/>
        <v>1w</v>
      </c>
      <c r="V1414" s="207">
        <f>_xll.qlCalendarAdvance(Calendar,V1413,U1414,"f",FALSE)</f>
        <v>48751</v>
      </c>
      <c r="W1414" s="210">
        <f>_xll.qlCalendarAdvance(Calendar,V1414,NDays&amp;"D")</f>
        <v>48751</v>
      </c>
      <c r="X1414" s="211">
        <v>2.6765870298230965E-2</v>
      </c>
      <c r="Y1414" s="232"/>
    </row>
    <row r="1415" spans="21:25" x14ac:dyDescent="0.2">
      <c r="U1415" s="209" t="str">
        <f t="shared" si="24"/>
        <v>1w</v>
      </c>
      <c r="V1415" s="207">
        <f>_xll.qlCalendarAdvance(Calendar,V1414,U1415,"f",FALSE)</f>
        <v>48758</v>
      </c>
      <c r="W1415" s="210">
        <f>_xll.qlCalendarAdvance(Calendar,V1415,NDays&amp;"D")</f>
        <v>48758</v>
      </c>
      <c r="X1415" s="211">
        <v>2.6756339752198599E-2</v>
      </c>
      <c r="Y1415" s="232"/>
    </row>
    <row r="1416" spans="21:25" x14ac:dyDescent="0.2">
      <c r="U1416" s="209" t="str">
        <f t="shared" si="24"/>
        <v>1w</v>
      </c>
      <c r="V1416" s="207">
        <f>_xll.qlCalendarAdvance(Calendar,V1415,U1416,"f",FALSE)</f>
        <v>48765</v>
      </c>
      <c r="W1416" s="210">
        <f>_xll.qlCalendarAdvance(Calendar,V1416,NDays&amp;"D")</f>
        <v>48765</v>
      </c>
      <c r="X1416" s="211">
        <v>2.6746824609285014E-2</v>
      </c>
      <c r="Y1416" s="232"/>
    </row>
    <row r="1417" spans="21:25" x14ac:dyDescent="0.2">
      <c r="U1417" s="209" t="str">
        <f t="shared" si="24"/>
        <v>1w</v>
      </c>
      <c r="V1417" s="207">
        <f>_xll.qlCalendarAdvance(Calendar,V1416,U1417,"f",FALSE)</f>
        <v>48772</v>
      </c>
      <c r="W1417" s="210">
        <f>_xll.qlCalendarAdvance(Calendar,V1417,NDays&amp;"D")</f>
        <v>48772</v>
      </c>
      <c r="X1417" s="211">
        <v>2.6737324869490209E-2</v>
      </c>
      <c r="Y1417" s="232"/>
    </row>
    <row r="1418" spans="21:25" x14ac:dyDescent="0.2">
      <c r="U1418" s="209" t="str">
        <f t="shared" si="24"/>
        <v>1w</v>
      </c>
      <c r="V1418" s="207">
        <f>_xll.qlCalendarAdvance(Calendar,V1417,U1418,"f",FALSE)</f>
        <v>48779</v>
      </c>
      <c r="W1418" s="210">
        <f>_xll.qlCalendarAdvance(Calendar,V1418,NDays&amp;"D")</f>
        <v>48779</v>
      </c>
      <c r="X1418" s="211">
        <v>2.672784053289412E-2</v>
      </c>
      <c r="Y1418" s="232"/>
    </row>
    <row r="1419" spans="21:25" x14ac:dyDescent="0.2">
      <c r="U1419" s="209" t="str">
        <f t="shared" si="24"/>
        <v>1w</v>
      </c>
      <c r="V1419" s="207">
        <f>_xll.qlCalendarAdvance(Calendar,V1418,U1419,"f",FALSE)</f>
        <v>48786</v>
      </c>
      <c r="W1419" s="210">
        <f>_xll.qlCalendarAdvance(Calendar,V1419,NDays&amp;"D")</f>
        <v>48786</v>
      </c>
      <c r="X1419" s="211">
        <v>2.6718371599416813E-2</v>
      </c>
      <c r="Y1419" s="232"/>
    </row>
    <row r="1420" spans="21:25" x14ac:dyDescent="0.2">
      <c r="U1420" s="209" t="str">
        <f t="shared" si="24"/>
        <v>1w</v>
      </c>
      <c r="V1420" s="207">
        <f>_xll.qlCalendarAdvance(Calendar,V1419,U1420,"f",FALSE)</f>
        <v>48793</v>
      </c>
      <c r="W1420" s="210">
        <f>_xll.qlCalendarAdvance(Calendar,V1420,NDays&amp;"D")</f>
        <v>48793</v>
      </c>
      <c r="X1420" s="211">
        <v>2.6708918069218157E-2</v>
      </c>
      <c r="Y1420" s="232"/>
    </row>
    <row r="1421" spans="21:25" x14ac:dyDescent="0.2">
      <c r="U1421" s="209" t="str">
        <f t="shared" ref="U1421:U1484" si="25">U1420</f>
        <v>1w</v>
      </c>
      <c r="V1421" s="207">
        <f>_xll.qlCalendarAdvance(Calendar,V1420,U1421,"f",FALSE)</f>
        <v>48800</v>
      </c>
      <c r="W1421" s="210">
        <f>_xll.qlCalendarAdvance(Calendar,V1421,NDays&amp;"D")</f>
        <v>48800</v>
      </c>
      <c r="X1421" s="211">
        <v>2.6699479942218218E-2</v>
      </c>
      <c r="Y1421" s="232"/>
    </row>
    <row r="1422" spans="21:25" x14ac:dyDescent="0.2">
      <c r="U1422" s="209" t="str">
        <f t="shared" si="25"/>
        <v>1w</v>
      </c>
      <c r="V1422" s="207">
        <f>_xll.qlCalendarAdvance(Calendar,V1421,U1422,"f",FALSE)</f>
        <v>48807</v>
      </c>
      <c r="W1422" s="210">
        <f>_xll.qlCalendarAdvance(Calendar,V1422,NDays&amp;"D")</f>
        <v>48807</v>
      </c>
      <c r="X1422" s="211">
        <v>2.6690057218177188E-2</v>
      </c>
      <c r="Y1422" s="232"/>
    </row>
    <row r="1423" spans="21:25" x14ac:dyDescent="0.2">
      <c r="U1423" s="209" t="str">
        <f t="shared" si="25"/>
        <v>1w</v>
      </c>
      <c r="V1423" s="207">
        <f>_xll.qlCalendarAdvance(Calendar,V1422,U1423,"f",FALSE)</f>
        <v>48814</v>
      </c>
      <c r="W1423" s="210">
        <f>_xll.qlCalendarAdvance(Calendar,V1423,NDays&amp;"D")</f>
        <v>48814</v>
      </c>
      <c r="X1423" s="211">
        <v>2.6680649897494746E-2</v>
      </c>
      <c r="Y1423" s="232"/>
    </row>
    <row r="1424" spans="21:25" x14ac:dyDescent="0.2">
      <c r="U1424" s="209" t="str">
        <f t="shared" si="25"/>
        <v>1w</v>
      </c>
      <c r="V1424" s="207">
        <f>_xll.qlCalendarAdvance(Calendar,V1423,U1424,"f",FALSE)</f>
        <v>48821</v>
      </c>
      <c r="W1424" s="210">
        <f>_xll.qlCalendarAdvance(Calendar,V1424,NDays&amp;"D")</f>
        <v>48821</v>
      </c>
      <c r="X1424" s="211">
        <v>2.6671257980011021E-2</v>
      </c>
      <c r="Y1424" s="232"/>
    </row>
    <row r="1425" spans="21:25" x14ac:dyDescent="0.2">
      <c r="U1425" s="209" t="str">
        <f t="shared" si="25"/>
        <v>1w</v>
      </c>
      <c r="V1425" s="207">
        <f>_xll.qlCalendarAdvance(Calendar,V1424,U1425,"f",FALSE)</f>
        <v>48828</v>
      </c>
      <c r="W1425" s="210">
        <f>_xll.qlCalendarAdvance(Calendar,V1425,NDays&amp;"D")</f>
        <v>48828</v>
      </c>
      <c r="X1425" s="211">
        <v>2.6661881465646076E-2</v>
      </c>
      <c r="Y1425" s="232"/>
    </row>
    <row r="1426" spans="21:25" x14ac:dyDescent="0.2">
      <c r="U1426" s="209" t="str">
        <f t="shared" si="25"/>
        <v>1w</v>
      </c>
      <c r="V1426" s="207">
        <f>_xll.qlCalendarAdvance(Calendar,V1425,U1426,"f",FALSE)</f>
        <v>48835</v>
      </c>
      <c r="W1426" s="210">
        <f>_xll.qlCalendarAdvance(Calendar,V1426,NDays&amp;"D")</f>
        <v>48835</v>
      </c>
      <c r="X1426" s="211">
        <v>2.6652520354399911E-2</v>
      </c>
      <c r="Y1426" s="232"/>
    </row>
    <row r="1427" spans="21:25" x14ac:dyDescent="0.2">
      <c r="U1427" s="209" t="str">
        <f t="shared" si="25"/>
        <v>1w</v>
      </c>
      <c r="V1427" s="207">
        <f>_xll.qlCalendarAdvance(Calendar,V1426,U1427,"f",FALSE)</f>
        <v>48842</v>
      </c>
      <c r="W1427" s="210">
        <f>_xll.qlCalendarAdvance(Calendar,V1427,NDays&amp;"D")</f>
        <v>48842</v>
      </c>
      <c r="X1427" s="211">
        <v>2.6643174646352463E-2</v>
      </c>
      <c r="Y1427" s="232"/>
    </row>
    <row r="1428" spans="21:25" x14ac:dyDescent="0.2">
      <c r="U1428" s="209" t="str">
        <f t="shared" si="25"/>
        <v>1w</v>
      </c>
      <c r="V1428" s="207">
        <f>_xll.qlCalendarAdvance(Calendar,V1427,U1428,"f",FALSE)</f>
        <v>48849</v>
      </c>
      <c r="W1428" s="210">
        <f>_xll.qlCalendarAdvance(Calendar,V1428,NDays&amp;"D")</f>
        <v>48849</v>
      </c>
      <c r="X1428" s="211">
        <v>2.6633844341423796E-2</v>
      </c>
      <c r="Y1428" s="232"/>
    </row>
    <row r="1429" spans="21:25" x14ac:dyDescent="0.2">
      <c r="U1429" s="209" t="str">
        <f t="shared" si="25"/>
        <v>1w</v>
      </c>
      <c r="V1429" s="207">
        <f>_xll.qlCalendarAdvance(Calendar,V1428,U1429,"f",FALSE)</f>
        <v>48856</v>
      </c>
      <c r="W1429" s="210">
        <f>_xll.qlCalendarAdvance(Calendar,V1429,NDays&amp;"D")</f>
        <v>48856</v>
      </c>
      <c r="X1429" s="211">
        <v>2.6624529439693845E-2</v>
      </c>
      <c r="Y1429" s="232"/>
    </row>
    <row r="1430" spans="21:25" x14ac:dyDescent="0.2">
      <c r="U1430" s="209" t="str">
        <f t="shared" si="25"/>
        <v>1w</v>
      </c>
      <c r="V1430" s="207">
        <f>_xll.qlCalendarAdvance(Calendar,V1429,U1430,"f",FALSE)</f>
        <v>48863</v>
      </c>
      <c r="W1430" s="210">
        <f>_xll.qlCalendarAdvance(Calendar,V1430,NDays&amp;"D")</f>
        <v>48863</v>
      </c>
      <c r="X1430" s="211">
        <v>2.6615229941082674E-2</v>
      </c>
      <c r="Y1430" s="232"/>
    </row>
    <row r="1431" spans="21:25" x14ac:dyDescent="0.2">
      <c r="U1431" s="209" t="str">
        <f t="shared" si="25"/>
        <v>1w</v>
      </c>
      <c r="V1431" s="207">
        <f>_xll.qlCalendarAdvance(Calendar,V1430,U1431,"f",FALSE)</f>
        <v>48870</v>
      </c>
      <c r="W1431" s="210">
        <f>_xll.qlCalendarAdvance(Calendar,V1431,NDays&amp;"D")</f>
        <v>48870</v>
      </c>
      <c r="X1431" s="211">
        <v>2.6605945845750156E-2</v>
      </c>
      <c r="Y1431" s="232"/>
    </row>
    <row r="1432" spans="21:25" x14ac:dyDescent="0.2">
      <c r="U1432" s="209" t="str">
        <f t="shared" si="25"/>
        <v>1w</v>
      </c>
      <c r="V1432" s="207">
        <f>_xll.qlCalendarAdvance(Calendar,V1431,U1432,"f",FALSE)</f>
        <v>48877</v>
      </c>
      <c r="W1432" s="210">
        <f>_xll.qlCalendarAdvance(Calendar,V1432,NDays&amp;"D")</f>
        <v>48877</v>
      </c>
      <c r="X1432" s="211">
        <v>2.6596677153456483E-2</v>
      </c>
      <c r="Y1432" s="232"/>
    </row>
    <row r="1433" spans="21:25" x14ac:dyDescent="0.2">
      <c r="U1433" s="209" t="str">
        <f t="shared" si="25"/>
        <v>1w</v>
      </c>
      <c r="V1433" s="207">
        <f>_xll.qlCalendarAdvance(Calendar,V1432,U1433,"f",FALSE)</f>
        <v>48884</v>
      </c>
      <c r="W1433" s="210">
        <f>_xll.qlCalendarAdvance(Calendar,V1433,NDays&amp;"D")</f>
        <v>48884</v>
      </c>
      <c r="X1433" s="211">
        <v>2.6587423864441462E-2</v>
      </c>
      <c r="Y1433" s="232"/>
    </row>
    <row r="1434" spans="21:25" x14ac:dyDescent="0.2">
      <c r="U1434" s="209" t="str">
        <f t="shared" si="25"/>
        <v>1w</v>
      </c>
      <c r="V1434" s="207">
        <f>_xll.qlCalendarAdvance(Calendar,V1433,U1434,"f",FALSE)</f>
        <v>48891</v>
      </c>
      <c r="W1434" s="210">
        <f>_xll.qlCalendarAdvance(Calendar,V1434,NDays&amp;"D")</f>
        <v>48891</v>
      </c>
      <c r="X1434" s="211">
        <v>2.6578185978465285E-2</v>
      </c>
      <c r="Y1434" s="232"/>
    </row>
    <row r="1435" spans="21:25" x14ac:dyDescent="0.2">
      <c r="U1435" s="209" t="str">
        <f t="shared" si="25"/>
        <v>1w</v>
      </c>
      <c r="V1435" s="207">
        <f>_xll.qlCalendarAdvance(Calendar,V1434,U1435,"f",FALSE)</f>
        <v>48898</v>
      </c>
      <c r="W1435" s="210">
        <f>_xll.qlCalendarAdvance(Calendar,V1435,NDays&amp;"D")</f>
        <v>48898</v>
      </c>
      <c r="X1435" s="211">
        <v>2.6568963495687825E-2</v>
      </c>
      <c r="Y1435" s="232"/>
    </row>
    <row r="1436" spans="21:25" x14ac:dyDescent="0.2">
      <c r="U1436" s="209" t="str">
        <f t="shared" si="25"/>
        <v>1w</v>
      </c>
      <c r="V1436" s="207">
        <f>_xll.qlCalendarAdvance(Calendar,V1435,U1436,"f",FALSE)</f>
        <v>48905</v>
      </c>
      <c r="W1436" s="210">
        <f>_xll.qlCalendarAdvance(Calendar,V1436,NDays&amp;"D")</f>
        <v>48905</v>
      </c>
      <c r="X1436" s="211">
        <v>2.6559756416109082E-2</v>
      </c>
      <c r="Y1436" s="232"/>
    </row>
    <row r="1437" spans="21:25" x14ac:dyDescent="0.2">
      <c r="U1437" s="209" t="str">
        <f t="shared" si="25"/>
        <v>1w</v>
      </c>
      <c r="V1437" s="207">
        <f>_xll.qlCalendarAdvance(Calendar,V1436,U1437,"f",FALSE)</f>
        <v>48912</v>
      </c>
      <c r="W1437" s="210">
        <f>_xll.qlCalendarAdvance(Calendar,V1437,NDays&amp;"D")</f>
        <v>48912</v>
      </c>
      <c r="X1437" s="211">
        <v>2.6550564739649118E-2</v>
      </c>
      <c r="Y1437" s="232"/>
    </row>
    <row r="1438" spans="21:25" x14ac:dyDescent="0.2">
      <c r="U1438" s="209" t="str">
        <f t="shared" si="25"/>
        <v>1w</v>
      </c>
      <c r="V1438" s="207">
        <f>_xll.qlCalendarAdvance(Calendar,V1437,U1438,"f",FALSE)</f>
        <v>48919</v>
      </c>
      <c r="W1438" s="210">
        <f>_xll.qlCalendarAdvance(Calendar,V1438,NDays&amp;"D")</f>
        <v>48919</v>
      </c>
      <c r="X1438" s="211">
        <v>2.6541388466387872E-2</v>
      </c>
      <c r="Y1438" s="232"/>
    </row>
    <row r="1439" spans="21:25" x14ac:dyDescent="0.2">
      <c r="U1439" s="209" t="str">
        <f t="shared" si="25"/>
        <v>1w</v>
      </c>
      <c r="V1439" s="207">
        <f>_xll.qlCalendarAdvance(Calendar,V1438,U1439,"f",FALSE)</f>
        <v>48926</v>
      </c>
      <c r="W1439" s="210">
        <f>_xll.qlCalendarAdvance(Calendar,V1439,NDays&amp;"D")</f>
        <v>48926</v>
      </c>
      <c r="X1439" s="211">
        <v>2.6532227596085534E-2</v>
      </c>
      <c r="Y1439" s="232"/>
    </row>
    <row r="1440" spans="21:25" x14ac:dyDescent="0.2">
      <c r="U1440" s="209" t="str">
        <f t="shared" si="25"/>
        <v>1w</v>
      </c>
      <c r="V1440" s="207">
        <f>_xll.qlCalendarAdvance(Calendar,V1439,U1440,"f",FALSE)</f>
        <v>48933</v>
      </c>
      <c r="W1440" s="210">
        <f>_xll.qlCalendarAdvance(Calendar,V1440,NDays&amp;"D")</f>
        <v>48933</v>
      </c>
      <c r="X1440" s="211">
        <v>2.6523082129141784E-2</v>
      </c>
      <c r="Y1440" s="232"/>
    </row>
    <row r="1441" spans="21:25" x14ac:dyDescent="0.2">
      <c r="U1441" s="209" t="str">
        <f t="shared" si="25"/>
        <v>1w</v>
      </c>
      <c r="V1441" s="207">
        <f>_xll.qlCalendarAdvance(Calendar,V1440,U1441,"f",FALSE)</f>
        <v>48940</v>
      </c>
      <c r="W1441" s="210">
        <f>_xll.qlCalendarAdvance(Calendar,V1441,NDays&amp;"D")</f>
        <v>48940</v>
      </c>
      <c r="X1441" s="211">
        <v>2.6513952065316815E-2</v>
      </c>
      <c r="Y1441" s="232"/>
    </row>
    <row r="1442" spans="21:25" x14ac:dyDescent="0.2">
      <c r="U1442" s="209" t="str">
        <f t="shared" si="25"/>
        <v>1w</v>
      </c>
      <c r="V1442" s="207">
        <f>_xll.qlCalendarAdvance(Calendar,V1441,U1442,"f",FALSE)</f>
        <v>48947</v>
      </c>
      <c r="W1442" s="210">
        <f>_xll.qlCalendarAdvance(Calendar,V1442,NDays&amp;"D")</f>
        <v>48947</v>
      </c>
      <c r="X1442" s="211">
        <v>2.650483740453069E-2</v>
      </c>
      <c r="Y1442" s="232"/>
    </row>
    <row r="1443" spans="21:25" x14ac:dyDescent="0.2">
      <c r="U1443" s="209" t="str">
        <f t="shared" si="25"/>
        <v>1w</v>
      </c>
      <c r="V1443" s="207">
        <f>_xll.qlCalendarAdvance(Calendar,V1442,U1443,"f",FALSE)</f>
        <v>48954</v>
      </c>
      <c r="W1443" s="210">
        <f>_xll.qlCalendarAdvance(Calendar,V1443,NDays&amp;"D")</f>
        <v>48954</v>
      </c>
      <c r="X1443" s="211">
        <v>2.6495738146943282E-2</v>
      </c>
      <c r="Y1443" s="232"/>
    </row>
    <row r="1444" spans="21:25" x14ac:dyDescent="0.2">
      <c r="U1444" s="209" t="str">
        <f t="shared" si="25"/>
        <v>1w</v>
      </c>
      <c r="V1444" s="207">
        <f>_xll.qlCalendarAdvance(Calendar,V1443,U1444,"f",FALSE)</f>
        <v>48961</v>
      </c>
      <c r="W1444" s="210">
        <f>_xll.qlCalendarAdvance(Calendar,V1444,NDays&amp;"D")</f>
        <v>48961</v>
      </c>
      <c r="X1444" s="211">
        <v>2.648665429255459E-2</v>
      </c>
      <c r="Y1444" s="232"/>
    </row>
    <row r="1445" spans="21:25" x14ac:dyDescent="0.2">
      <c r="U1445" s="209" t="str">
        <f t="shared" si="25"/>
        <v>1w</v>
      </c>
      <c r="V1445" s="207">
        <f>_xll.qlCalendarAdvance(Calendar,V1444,U1445,"f",FALSE)</f>
        <v>48968</v>
      </c>
      <c r="W1445" s="210">
        <f>_xll.qlCalendarAdvance(Calendar,V1445,NDays&amp;"D")</f>
        <v>48968</v>
      </c>
      <c r="X1445" s="211">
        <v>2.6477585841284679E-2</v>
      </c>
      <c r="Y1445" s="232"/>
    </row>
    <row r="1446" spans="21:25" x14ac:dyDescent="0.2">
      <c r="U1446" s="209" t="str">
        <f t="shared" si="25"/>
        <v>1w</v>
      </c>
      <c r="V1446" s="207">
        <f>_xll.qlCalendarAdvance(Calendar,V1445,U1446,"f",FALSE)</f>
        <v>48975</v>
      </c>
      <c r="W1446" s="210">
        <f>_xll.qlCalendarAdvance(Calendar,V1446,NDays&amp;"D")</f>
        <v>48975</v>
      </c>
      <c r="X1446" s="211">
        <v>2.6468532793133548E-2</v>
      </c>
      <c r="Y1446" s="232"/>
    </row>
    <row r="1447" spans="21:25" x14ac:dyDescent="0.2">
      <c r="U1447" s="209" t="str">
        <f t="shared" si="25"/>
        <v>1w</v>
      </c>
      <c r="V1447" s="207">
        <f>_xll.qlCalendarAdvance(Calendar,V1446,U1447,"f",FALSE)</f>
        <v>48982</v>
      </c>
      <c r="W1447" s="210">
        <f>_xll.qlCalendarAdvance(Calendar,V1447,NDays&amp;"D")</f>
        <v>48982</v>
      </c>
      <c r="X1447" s="211">
        <v>2.6459495148101198E-2</v>
      </c>
      <c r="Y1447" s="232"/>
    </row>
    <row r="1448" spans="21:25" x14ac:dyDescent="0.2">
      <c r="U1448" s="209" t="str">
        <f t="shared" si="25"/>
        <v>1w</v>
      </c>
      <c r="V1448" s="207">
        <f>_xll.qlCalendarAdvance(Calendar,V1447,U1448,"f",FALSE)</f>
        <v>48989</v>
      </c>
      <c r="W1448" s="210">
        <f>_xll.qlCalendarAdvance(Calendar,V1448,NDays&amp;"D")</f>
        <v>48989</v>
      </c>
      <c r="X1448" s="211">
        <v>2.64504729063475E-2</v>
      </c>
      <c r="Y1448" s="232"/>
    </row>
    <row r="1449" spans="21:25" x14ac:dyDescent="0.2">
      <c r="U1449" s="209" t="str">
        <f t="shared" si="25"/>
        <v>1w</v>
      </c>
      <c r="V1449" s="207">
        <f>_xll.qlCalendarAdvance(Calendar,V1448,U1449,"f",FALSE)</f>
        <v>48996</v>
      </c>
      <c r="W1449" s="210">
        <f>_xll.qlCalendarAdvance(Calendar,V1449,NDays&amp;"D")</f>
        <v>48996</v>
      </c>
      <c r="X1449" s="211">
        <v>2.644146606755271E-2</v>
      </c>
      <c r="Y1449" s="232"/>
    </row>
    <row r="1450" spans="21:25" x14ac:dyDescent="0.2">
      <c r="U1450" s="209" t="str">
        <f t="shared" si="25"/>
        <v>1w</v>
      </c>
      <c r="V1450" s="207">
        <f>_xll.qlCalendarAdvance(Calendar,V1449,U1450,"f",FALSE)</f>
        <v>49003</v>
      </c>
      <c r="W1450" s="210">
        <f>_xll.qlCalendarAdvance(Calendar,V1450,NDays&amp;"D")</f>
        <v>49003</v>
      </c>
      <c r="X1450" s="211">
        <v>2.6432474632036573E-2</v>
      </c>
      <c r="Y1450" s="232"/>
    </row>
    <row r="1451" spans="21:25" x14ac:dyDescent="0.2">
      <c r="U1451" s="209" t="str">
        <f t="shared" si="25"/>
        <v>1w</v>
      </c>
      <c r="V1451" s="207">
        <f>_xll.qlCalendarAdvance(Calendar,V1450,U1451,"f",FALSE)</f>
        <v>49010</v>
      </c>
      <c r="W1451" s="210">
        <f>_xll.qlCalendarAdvance(Calendar,V1451,NDays&amp;"D")</f>
        <v>49010</v>
      </c>
      <c r="X1451" s="211">
        <v>2.6423498599559281E-2</v>
      </c>
      <c r="Y1451" s="232"/>
    </row>
    <row r="1452" spans="21:25" x14ac:dyDescent="0.2">
      <c r="U1452" s="209" t="str">
        <f t="shared" si="25"/>
        <v>1w</v>
      </c>
      <c r="V1452" s="207">
        <f>_xll.qlCalendarAdvance(Calendar,V1451,U1452,"f",FALSE)</f>
        <v>49017</v>
      </c>
      <c r="W1452" s="210">
        <f>_xll.qlCalendarAdvance(Calendar,V1452,NDays&amp;"D")</f>
        <v>49017</v>
      </c>
      <c r="X1452" s="211">
        <v>2.6414537970280705E-2</v>
      </c>
      <c r="Y1452" s="232"/>
    </row>
    <row r="1453" spans="21:25" x14ac:dyDescent="0.2">
      <c r="U1453" s="209" t="str">
        <f t="shared" si="25"/>
        <v>1w</v>
      </c>
      <c r="V1453" s="207">
        <f>_xll.qlCalendarAdvance(Calendar,V1452,U1453,"f",FALSE)</f>
        <v>49024</v>
      </c>
      <c r="W1453" s="210">
        <f>_xll.qlCalendarAdvance(Calendar,V1453,NDays&amp;"D")</f>
        <v>49024</v>
      </c>
      <c r="X1453" s="211">
        <v>2.6405592744120909E-2</v>
      </c>
      <c r="Y1453" s="232"/>
    </row>
    <row r="1454" spans="21:25" x14ac:dyDescent="0.2">
      <c r="U1454" s="209" t="str">
        <f t="shared" si="25"/>
        <v>1w</v>
      </c>
      <c r="V1454" s="207">
        <f>_xll.qlCalendarAdvance(Calendar,V1453,U1454,"f",FALSE)</f>
        <v>49031</v>
      </c>
      <c r="W1454" s="210">
        <f>_xll.qlCalendarAdvance(Calendar,V1454,NDays&amp;"D")</f>
        <v>49031</v>
      </c>
      <c r="X1454" s="211">
        <v>2.6396662921079894E-2</v>
      </c>
      <c r="Y1454" s="232"/>
    </row>
    <row r="1455" spans="21:25" x14ac:dyDescent="0.2">
      <c r="U1455" s="209" t="str">
        <f t="shared" si="25"/>
        <v>1w</v>
      </c>
      <c r="V1455" s="207">
        <f>_xll.qlCalendarAdvance(Calendar,V1454,U1455,"f",FALSE)</f>
        <v>49038</v>
      </c>
      <c r="W1455" s="210">
        <f>_xll.qlCalendarAdvance(Calendar,V1455,NDays&amp;"D")</f>
        <v>49038</v>
      </c>
      <c r="X1455" s="211">
        <v>2.638774850115766E-2</v>
      </c>
      <c r="Y1455" s="232"/>
    </row>
    <row r="1456" spans="21:25" x14ac:dyDescent="0.2">
      <c r="U1456" s="209" t="str">
        <f t="shared" si="25"/>
        <v>1w</v>
      </c>
      <c r="V1456" s="207">
        <f>_xll.qlCalendarAdvance(Calendar,V1455,U1456,"f",FALSE)</f>
        <v>49045</v>
      </c>
      <c r="W1456" s="210">
        <f>_xll.qlCalendarAdvance(Calendar,V1456,NDays&amp;"D")</f>
        <v>49045</v>
      </c>
      <c r="X1456" s="211">
        <v>2.6378849484434141E-2</v>
      </c>
      <c r="Y1456" s="232"/>
    </row>
    <row r="1457" spans="21:25" x14ac:dyDescent="0.2">
      <c r="U1457" s="209" t="str">
        <f t="shared" si="25"/>
        <v>1w</v>
      </c>
      <c r="V1457" s="207">
        <f>_xll.qlCalendarAdvance(Calendar,V1456,U1457,"f",FALSE)</f>
        <v>49052</v>
      </c>
      <c r="W1457" s="210">
        <f>_xll.qlCalendarAdvance(Calendar,V1457,NDays&amp;"D")</f>
        <v>49052</v>
      </c>
      <c r="X1457" s="211">
        <v>2.6369965870749468E-2</v>
      </c>
      <c r="Y1457" s="232"/>
    </row>
    <row r="1458" spans="21:25" x14ac:dyDescent="0.2">
      <c r="U1458" s="209" t="str">
        <f t="shared" si="25"/>
        <v>1w</v>
      </c>
      <c r="V1458" s="207">
        <f>_xll.qlCalendarAdvance(Calendar,V1457,U1458,"f",FALSE)</f>
        <v>49059</v>
      </c>
      <c r="W1458" s="210">
        <f>_xll.qlCalendarAdvance(Calendar,V1458,NDays&amp;"D")</f>
        <v>49059</v>
      </c>
      <c r="X1458" s="211">
        <v>2.6361097660263511E-2</v>
      </c>
      <c r="Y1458" s="232"/>
    </row>
    <row r="1459" spans="21:25" x14ac:dyDescent="0.2">
      <c r="U1459" s="209" t="str">
        <f t="shared" si="25"/>
        <v>1w</v>
      </c>
      <c r="V1459" s="207">
        <f>_xll.qlCalendarAdvance(Calendar,V1458,U1459,"f",FALSE)</f>
        <v>49066</v>
      </c>
      <c r="W1459" s="210">
        <f>_xll.qlCalendarAdvance(Calendar,V1459,NDays&amp;"D")</f>
        <v>49066</v>
      </c>
      <c r="X1459" s="211">
        <v>2.6352244852896334E-2</v>
      </c>
      <c r="Y1459" s="232"/>
    </row>
    <row r="1460" spans="21:25" x14ac:dyDescent="0.2">
      <c r="U1460" s="209" t="str">
        <f t="shared" si="25"/>
        <v>1w</v>
      </c>
      <c r="V1460" s="207">
        <f>_xll.qlCalendarAdvance(Calendar,V1459,U1460,"f",FALSE)</f>
        <v>49073</v>
      </c>
      <c r="W1460" s="210">
        <f>_xll.qlCalendarAdvance(Calendar,V1460,NDays&amp;"D")</f>
        <v>49073</v>
      </c>
      <c r="X1460" s="211">
        <v>2.6343407448647937E-2</v>
      </c>
      <c r="Y1460" s="232"/>
    </row>
    <row r="1461" spans="21:25" x14ac:dyDescent="0.2">
      <c r="U1461" s="209" t="str">
        <f t="shared" si="25"/>
        <v>1w</v>
      </c>
      <c r="V1461" s="207">
        <f>_xll.qlCalendarAdvance(Calendar,V1460,U1461,"f",FALSE)</f>
        <v>49080</v>
      </c>
      <c r="W1461" s="210">
        <f>_xll.qlCalendarAdvance(Calendar,V1461,NDays&amp;"D")</f>
        <v>49080</v>
      </c>
      <c r="X1461" s="211">
        <v>2.6334585447518322E-2</v>
      </c>
      <c r="Y1461" s="232"/>
    </row>
    <row r="1462" spans="21:25" x14ac:dyDescent="0.2">
      <c r="U1462" s="209" t="str">
        <f t="shared" si="25"/>
        <v>1w</v>
      </c>
      <c r="V1462" s="207">
        <f>_xll.qlCalendarAdvance(Calendar,V1461,U1462,"f",FALSE)</f>
        <v>49087</v>
      </c>
      <c r="W1462" s="210">
        <f>_xll.qlCalendarAdvance(Calendar,V1462,NDays&amp;"D")</f>
        <v>49087</v>
      </c>
      <c r="X1462" s="211">
        <v>2.6325778849507486E-2</v>
      </c>
      <c r="Y1462" s="232"/>
    </row>
    <row r="1463" spans="21:25" x14ac:dyDescent="0.2">
      <c r="U1463" s="209" t="str">
        <f t="shared" si="25"/>
        <v>1w</v>
      </c>
      <c r="V1463" s="207">
        <f>_xll.qlCalendarAdvance(Calendar,V1462,U1463,"f",FALSE)</f>
        <v>49094</v>
      </c>
      <c r="W1463" s="210">
        <f>_xll.qlCalendarAdvance(Calendar,V1463,NDays&amp;"D")</f>
        <v>49094</v>
      </c>
      <c r="X1463" s="211">
        <v>2.6316987654695367E-2</v>
      </c>
      <c r="Y1463" s="232"/>
    </row>
    <row r="1464" spans="21:25" x14ac:dyDescent="0.2">
      <c r="U1464" s="209" t="str">
        <f t="shared" si="25"/>
        <v>1w</v>
      </c>
      <c r="V1464" s="207">
        <f>_xll.qlCalendarAdvance(Calendar,V1463,U1464,"f",FALSE)</f>
        <v>49101</v>
      </c>
      <c r="W1464" s="210">
        <f>_xll.qlCalendarAdvance(Calendar,V1464,NDays&amp;"D")</f>
        <v>49101</v>
      </c>
      <c r="X1464" s="211">
        <v>2.630820598898076E-2</v>
      </c>
      <c r="Y1464" s="232"/>
    </row>
    <row r="1465" spans="21:25" x14ac:dyDescent="0.2">
      <c r="U1465" s="209" t="str">
        <f t="shared" si="25"/>
        <v>1w</v>
      </c>
      <c r="V1465" s="207">
        <f>_xll.qlCalendarAdvance(Calendar,V1464,U1465,"f",FALSE)</f>
        <v>49108</v>
      </c>
      <c r="W1465" s="210">
        <f>_xll.qlCalendarAdvance(Calendar,V1465,NDays&amp;"D")</f>
        <v>49108</v>
      </c>
      <c r="X1465" s="211">
        <v>2.6299413245807202E-2</v>
      </c>
      <c r="Y1465" s="232"/>
    </row>
    <row r="1466" spans="21:25" x14ac:dyDescent="0.2">
      <c r="U1466" s="209" t="str">
        <f t="shared" si="25"/>
        <v>1w</v>
      </c>
      <c r="V1466" s="207">
        <f>_xll.qlCalendarAdvance(Calendar,V1465,U1466,"f",FALSE)</f>
        <v>49115</v>
      </c>
      <c r="W1466" s="210">
        <f>_xll.qlCalendarAdvance(Calendar,V1466,NDays&amp;"D")</f>
        <v>49115</v>
      </c>
      <c r="X1466" s="211">
        <v>2.6290607595598203E-2</v>
      </c>
      <c r="Y1466" s="232"/>
    </row>
    <row r="1467" spans="21:25" x14ac:dyDescent="0.2">
      <c r="U1467" s="209" t="str">
        <f t="shared" si="25"/>
        <v>1w</v>
      </c>
      <c r="V1467" s="207">
        <f>_xll.qlCalendarAdvance(Calendar,V1466,U1467,"f",FALSE)</f>
        <v>49122</v>
      </c>
      <c r="W1467" s="210">
        <f>_xll.qlCalendarAdvance(Calendar,V1467,NDays&amp;"D")</f>
        <v>49122</v>
      </c>
      <c r="X1467" s="211">
        <v>2.6281789038113956E-2</v>
      </c>
      <c r="Y1467" s="232"/>
    </row>
    <row r="1468" spans="21:25" x14ac:dyDescent="0.2">
      <c r="U1468" s="209" t="str">
        <f t="shared" si="25"/>
        <v>1w</v>
      </c>
      <c r="V1468" s="207">
        <f>_xll.qlCalendarAdvance(Calendar,V1467,U1468,"f",FALSE)</f>
        <v>49129</v>
      </c>
      <c r="W1468" s="210">
        <f>_xll.qlCalendarAdvance(Calendar,V1468,NDays&amp;"D")</f>
        <v>49129</v>
      </c>
      <c r="X1468" s="211">
        <v>2.6272957573754141E-2</v>
      </c>
      <c r="Y1468" s="232"/>
    </row>
    <row r="1469" spans="21:25" x14ac:dyDescent="0.2">
      <c r="U1469" s="209" t="str">
        <f t="shared" si="25"/>
        <v>1w</v>
      </c>
      <c r="V1469" s="207">
        <f>_xll.qlCalendarAdvance(Calendar,V1468,U1469,"f",FALSE)</f>
        <v>49136</v>
      </c>
      <c r="W1469" s="210">
        <f>_xll.qlCalendarAdvance(Calendar,V1469,NDays&amp;"D")</f>
        <v>49136</v>
      </c>
      <c r="X1469" s="211">
        <v>2.6264113202199013E-2</v>
      </c>
      <c r="Y1469" s="232"/>
    </row>
    <row r="1470" spans="21:25" x14ac:dyDescent="0.2">
      <c r="U1470" s="209" t="str">
        <f t="shared" si="25"/>
        <v>1w</v>
      </c>
      <c r="V1470" s="207">
        <f>_xll.qlCalendarAdvance(Calendar,V1469,U1470,"f",FALSE)</f>
        <v>49143</v>
      </c>
      <c r="W1470" s="210">
        <f>_xll.qlCalendarAdvance(Calendar,V1470,NDays&amp;"D")</f>
        <v>49143</v>
      </c>
      <c r="X1470" s="211">
        <v>2.6255255923528509E-2</v>
      </c>
      <c r="Y1470" s="232"/>
    </row>
    <row r="1471" spans="21:25" x14ac:dyDescent="0.2">
      <c r="U1471" s="209" t="str">
        <f t="shared" si="25"/>
        <v>1w</v>
      </c>
      <c r="V1471" s="207">
        <f>_xll.qlCalendarAdvance(Calendar,V1470,U1471,"f",FALSE)</f>
        <v>49150</v>
      </c>
      <c r="W1471" s="210">
        <f>_xll.qlCalendarAdvance(Calendar,V1471,NDays&amp;"D")</f>
        <v>49150</v>
      </c>
      <c r="X1471" s="211">
        <v>2.62463857379025E-2</v>
      </c>
      <c r="Y1471" s="232"/>
    </row>
    <row r="1472" spans="21:25" x14ac:dyDescent="0.2">
      <c r="U1472" s="209" t="str">
        <f t="shared" si="25"/>
        <v>1w</v>
      </c>
      <c r="V1472" s="207">
        <f>_xll.qlCalendarAdvance(Calendar,V1471,U1472,"f",FALSE)</f>
        <v>49157</v>
      </c>
      <c r="W1472" s="210">
        <f>_xll.qlCalendarAdvance(Calendar,V1472,NDays&amp;"D")</f>
        <v>49157</v>
      </c>
      <c r="X1472" s="211">
        <v>2.6237502645081179E-2</v>
      </c>
      <c r="Y1472" s="232"/>
    </row>
    <row r="1473" spans="21:25" x14ac:dyDescent="0.2">
      <c r="U1473" s="209" t="str">
        <f t="shared" si="25"/>
        <v>1w</v>
      </c>
      <c r="V1473" s="207">
        <f>_xll.qlCalendarAdvance(Calendar,V1472,U1473,"f",FALSE)</f>
        <v>49164</v>
      </c>
      <c r="W1473" s="210">
        <f>_xll.qlCalendarAdvance(Calendar,V1473,NDays&amp;"D")</f>
        <v>49164</v>
      </c>
      <c r="X1473" s="211">
        <v>2.6228606645144481E-2</v>
      </c>
      <c r="Y1473" s="232"/>
    </row>
    <row r="1474" spans="21:25" x14ac:dyDescent="0.2">
      <c r="U1474" s="209" t="str">
        <f t="shared" si="25"/>
        <v>1w</v>
      </c>
      <c r="V1474" s="207">
        <f>_xll.qlCalendarAdvance(Calendar,V1473,U1474,"f",FALSE)</f>
        <v>49171</v>
      </c>
      <c r="W1474" s="210">
        <f>_xll.qlCalendarAdvance(Calendar,V1474,NDays&amp;"D")</f>
        <v>49171</v>
      </c>
      <c r="X1474" s="211">
        <v>2.6219697738252279E-2</v>
      </c>
      <c r="Y1474" s="232"/>
    </row>
    <row r="1475" spans="21:25" x14ac:dyDescent="0.2">
      <c r="U1475" s="209" t="str">
        <f t="shared" si="25"/>
        <v>1w</v>
      </c>
      <c r="V1475" s="207">
        <f>_xll.qlCalendarAdvance(Calendar,V1474,U1475,"f",FALSE)</f>
        <v>49178</v>
      </c>
      <c r="W1475" s="210">
        <f>_xll.qlCalendarAdvance(Calendar,V1475,NDays&amp;"D")</f>
        <v>49178</v>
      </c>
      <c r="X1475" s="211">
        <v>2.6210775924164764E-2</v>
      </c>
      <c r="Y1475" s="232"/>
    </row>
    <row r="1476" spans="21:25" x14ac:dyDescent="0.2">
      <c r="U1476" s="209" t="str">
        <f t="shared" si="25"/>
        <v>1w</v>
      </c>
      <c r="V1476" s="207">
        <f>_xll.qlCalendarAdvance(Calendar,V1475,U1476,"f",FALSE)</f>
        <v>49185</v>
      </c>
      <c r="W1476" s="210">
        <f>_xll.qlCalendarAdvance(Calendar,V1476,NDays&amp;"D")</f>
        <v>49185</v>
      </c>
      <c r="X1476" s="211">
        <v>2.6201841203041809E-2</v>
      </c>
      <c r="Y1476" s="232"/>
    </row>
    <row r="1477" spans="21:25" x14ac:dyDescent="0.2">
      <c r="U1477" s="209" t="str">
        <f t="shared" si="25"/>
        <v>1w</v>
      </c>
      <c r="V1477" s="207">
        <f>_xll.qlCalendarAdvance(Calendar,V1476,U1477,"f",FALSE)</f>
        <v>49192</v>
      </c>
      <c r="W1477" s="210">
        <f>_xll.qlCalendarAdvance(Calendar,V1477,NDays&amp;"D")</f>
        <v>49192</v>
      </c>
      <c r="X1477" s="211">
        <v>2.6192893574803477E-2</v>
      </c>
      <c r="Y1477" s="232"/>
    </row>
    <row r="1478" spans="21:25" x14ac:dyDescent="0.2">
      <c r="U1478" s="209" t="str">
        <f t="shared" si="25"/>
        <v>1w</v>
      </c>
      <c r="V1478" s="207">
        <f>_xll.qlCalendarAdvance(Calendar,V1477,U1478,"f",FALSE)</f>
        <v>49199</v>
      </c>
      <c r="W1478" s="210">
        <f>_xll.qlCalendarAdvance(Calendar,V1478,NDays&amp;"D")</f>
        <v>49199</v>
      </c>
      <c r="X1478" s="211">
        <v>2.6183933039449769E-2</v>
      </c>
      <c r="Y1478" s="232"/>
    </row>
    <row r="1479" spans="21:25" x14ac:dyDescent="0.2">
      <c r="U1479" s="209" t="str">
        <f t="shared" si="25"/>
        <v>1w</v>
      </c>
      <c r="V1479" s="207">
        <f>_xll.qlCalendarAdvance(Calendar,V1478,U1479,"f",FALSE)</f>
        <v>49206</v>
      </c>
      <c r="W1479" s="210">
        <f>_xll.qlCalendarAdvance(Calendar,V1479,NDays&amp;"D")</f>
        <v>49206</v>
      </c>
      <c r="X1479" s="211">
        <v>2.6174959597060621E-2</v>
      </c>
      <c r="Y1479" s="232"/>
    </row>
    <row r="1480" spans="21:25" x14ac:dyDescent="0.2">
      <c r="U1480" s="209" t="str">
        <f t="shared" si="25"/>
        <v>1w</v>
      </c>
      <c r="V1480" s="207">
        <f>_xll.qlCalendarAdvance(Calendar,V1479,U1480,"f",FALSE)</f>
        <v>49213</v>
      </c>
      <c r="W1480" s="210">
        <f>_xll.qlCalendarAdvance(Calendar,V1480,NDays&amp;"D")</f>
        <v>49213</v>
      </c>
      <c r="X1480" s="211">
        <v>2.6165973247556096E-2</v>
      </c>
      <c r="Y1480" s="232"/>
    </row>
    <row r="1481" spans="21:25" x14ac:dyDescent="0.2">
      <c r="U1481" s="209" t="str">
        <f t="shared" si="25"/>
        <v>1w</v>
      </c>
      <c r="V1481" s="207">
        <f>_xll.qlCalendarAdvance(Calendar,V1480,U1481,"f",FALSE)</f>
        <v>49220</v>
      </c>
      <c r="W1481" s="210">
        <f>_xll.qlCalendarAdvance(Calendar,V1481,NDays&amp;"D")</f>
        <v>49220</v>
      </c>
      <c r="X1481" s="211">
        <v>2.6156973991096066E-2</v>
      </c>
      <c r="Y1481" s="232"/>
    </row>
    <row r="1482" spans="21:25" x14ac:dyDescent="0.2">
      <c r="U1482" s="209" t="str">
        <f t="shared" si="25"/>
        <v>1w</v>
      </c>
      <c r="V1482" s="207">
        <f>_xll.qlCalendarAdvance(Calendar,V1481,U1482,"f",FALSE)</f>
        <v>49227</v>
      </c>
      <c r="W1482" s="210">
        <f>_xll.qlCalendarAdvance(Calendar,V1482,NDays&amp;"D")</f>
        <v>49227</v>
      </c>
      <c r="X1482" s="211">
        <v>2.6147961827360788E-2</v>
      </c>
      <c r="Y1482" s="232"/>
    </row>
    <row r="1483" spans="21:25" x14ac:dyDescent="0.2">
      <c r="U1483" s="209" t="str">
        <f t="shared" si="25"/>
        <v>1w</v>
      </c>
      <c r="V1483" s="207">
        <f>_xll.qlCalendarAdvance(Calendar,V1482,U1483,"f",FALSE)</f>
        <v>49234</v>
      </c>
      <c r="W1483" s="210">
        <f>_xll.qlCalendarAdvance(Calendar,V1483,NDays&amp;"D")</f>
        <v>49234</v>
      </c>
      <c r="X1483" s="211">
        <v>2.6138936756749942E-2</v>
      </c>
      <c r="Y1483" s="232"/>
    </row>
    <row r="1484" spans="21:25" x14ac:dyDescent="0.2">
      <c r="U1484" s="209" t="str">
        <f t="shared" si="25"/>
        <v>1w</v>
      </c>
      <c r="V1484" s="207">
        <f>_xll.qlCalendarAdvance(Calendar,V1483,U1484,"f",FALSE)</f>
        <v>49241</v>
      </c>
      <c r="W1484" s="210">
        <f>_xll.qlCalendarAdvance(Calendar,V1484,NDays&amp;"D")</f>
        <v>49241</v>
      </c>
      <c r="X1484" s="211">
        <v>2.6129898778863847E-2</v>
      </c>
      <c r="Y1484" s="232"/>
    </row>
    <row r="1485" spans="21:25" x14ac:dyDescent="0.2">
      <c r="U1485" s="209" t="str">
        <f t="shared" ref="U1485:U1548" si="26">U1484</f>
        <v>1w</v>
      </c>
      <c r="V1485" s="207">
        <f>_xll.qlCalendarAdvance(Calendar,V1484,U1485,"f",FALSE)</f>
        <v>49248</v>
      </c>
      <c r="W1485" s="210">
        <f>_xll.qlCalendarAdvance(Calendar,V1485,NDays&amp;"D")</f>
        <v>49248</v>
      </c>
      <c r="X1485" s="211">
        <v>2.6120847894022248E-2</v>
      </c>
      <c r="Y1485" s="232"/>
    </row>
    <row r="1486" spans="21:25" x14ac:dyDescent="0.2">
      <c r="U1486" s="209" t="str">
        <f t="shared" si="26"/>
        <v>1w</v>
      </c>
      <c r="V1486" s="207">
        <f>_xll.qlCalendarAdvance(Calendar,V1485,U1486,"f",FALSE)</f>
        <v>49255</v>
      </c>
      <c r="W1486" s="210">
        <f>_xll.qlCalendarAdvance(Calendar,V1486,NDays&amp;"D")</f>
        <v>49255</v>
      </c>
      <c r="X1486" s="211">
        <v>2.6111784102065272E-2</v>
      </c>
      <c r="Y1486" s="232"/>
    </row>
    <row r="1487" spans="21:25" x14ac:dyDescent="0.2">
      <c r="U1487" s="209" t="str">
        <f t="shared" si="26"/>
        <v>1w</v>
      </c>
      <c r="V1487" s="207">
        <f>_xll.qlCalendarAdvance(Calendar,V1486,U1487,"f",FALSE)</f>
        <v>49262</v>
      </c>
      <c r="W1487" s="210">
        <f>_xll.qlCalendarAdvance(Calendar,V1487,NDays&amp;"D")</f>
        <v>49262</v>
      </c>
      <c r="X1487" s="211">
        <v>2.6102707403072856E-2</v>
      </c>
      <c r="Y1487" s="232"/>
    </row>
    <row r="1488" spans="21:25" x14ac:dyDescent="0.2">
      <c r="U1488" s="209" t="str">
        <f t="shared" si="26"/>
        <v>1w</v>
      </c>
      <c r="V1488" s="207">
        <f>_xll.qlCalendarAdvance(Calendar,V1487,U1488,"f",FALSE)</f>
        <v>49269</v>
      </c>
      <c r="W1488" s="210">
        <f>_xll.qlCalendarAdvance(Calendar,V1488,NDays&amp;"D")</f>
        <v>49269</v>
      </c>
      <c r="X1488" s="211">
        <v>2.6093617797044999E-2</v>
      </c>
      <c r="Y1488" s="232"/>
    </row>
    <row r="1489" spans="21:25" x14ac:dyDescent="0.2">
      <c r="U1489" s="209" t="str">
        <f t="shared" si="26"/>
        <v>1w</v>
      </c>
      <c r="V1489" s="207">
        <f>_xll.qlCalendarAdvance(Calendar,V1488,U1489,"f",FALSE)</f>
        <v>49276</v>
      </c>
      <c r="W1489" s="210">
        <f>_xll.qlCalendarAdvance(Calendar,V1489,NDays&amp;"D")</f>
        <v>49276</v>
      </c>
      <c r="X1489" s="211">
        <v>2.6084515283901766E-2</v>
      </c>
      <c r="Y1489" s="232"/>
    </row>
    <row r="1490" spans="21:25" x14ac:dyDescent="0.2">
      <c r="U1490" s="209" t="str">
        <f t="shared" si="26"/>
        <v>1w</v>
      </c>
      <c r="V1490" s="207">
        <f>_xll.qlCalendarAdvance(Calendar,V1489,U1490,"f",FALSE)</f>
        <v>49283</v>
      </c>
      <c r="W1490" s="210">
        <f>_xll.qlCalendarAdvance(Calendar,V1490,NDays&amp;"D")</f>
        <v>49283</v>
      </c>
      <c r="X1490" s="211">
        <v>2.6075399863643156E-2</v>
      </c>
      <c r="Y1490" s="232"/>
    </row>
    <row r="1491" spans="21:25" x14ac:dyDescent="0.2">
      <c r="U1491" s="209" t="str">
        <f t="shared" si="26"/>
        <v>1w</v>
      </c>
      <c r="V1491" s="207">
        <f>_xll.qlCalendarAdvance(Calendar,V1490,U1491,"f",FALSE)</f>
        <v>49290</v>
      </c>
      <c r="W1491" s="210">
        <f>_xll.qlCalendarAdvance(Calendar,V1491,NDays&amp;"D")</f>
        <v>49290</v>
      </c>
      <c r="X1491" s="211">
        <v>2.606627153626917E-2</v>
      </c>
      <c r="Y1491" s="232"/>
    </row>
    <row r="1492" spans="21:25" x14ac:dyDescent="0.2">
      <c r="U1492" s="209" t="str">
        <f t="shared" si="26"/>
        <v>1w</v>
      </c>
      <c r="V1492" s="207">
        <f>_xll.qlCalendarAdvance(Calendar,V1491,U1492,"f",FALSE)</f>
        <v>49297</v>
      </c>
      <c r="W1492" s="210">
        <f>_xll.qlCalendarAdvance(Calendar,V1492,NDays&amp;"D")</f>
        <v>49297</v>
      </c>
      <c r="X1492" s="211">
        <v>2.6057130302019615E-2</v>
      </c>
      <c r="Y1492" s="232"/>
    </row>
    <row r="1493" spans="21:25" x14ac:dyDescent="0.2">
      <c r="U1493" s="209" t="str">
        <f t="shared" si="26"/>
        <v>1w</v>
      </c>
      <c r="V1493" s="207">
        <f>_xll.qlCalendarAdvance(Calendar,V1492,U1493,"f",FALSE)</f>
        <v>49305</v>
      </c>
      <c r="W1493" s="210">
        <f>_xll.qlCalendarAdvance(Calendar,V1493,NDays&amp;"D")</f>
        <v>49305</v>
      </c>
      <c r="X1493" s="211">
        <v>2.6046667372456866E-2</v>
      </c>
      <c r="Y1493" s="232"/>
    </row>
    <row r="1494" spans="21:25" x14ac:dyDescent="0.2">
      <c r="U1494" s="209" t="str">
        <f t="shared" si="26"/>
        <v>1w</v>
      </c>
      <c r="V1494" s="207">
        <f>_xll.qlCalendarAdvance(Calendar,V1493,U1494,"f",FALSE)</f>
        <v>49312</v>
      </c>
      <c r="W1494" s="210">
        <f>_xll.qlCalendarAdvance(Calendar,V1494,NDays&amp;"D")</f>
        <v>49312</v>
      </c>
      <c r="X1494" s="211">
        <v>2.6037498480011578E-2</v>
      </c>
      <c r="Y1494" s="232"/>
    </row>
    <row r="1495" spans="21:25" x14ac:dyDescent="0.2">
      <c r="U1495" s="209" t="str">
        <f t="shared" si="26"/>
        <v>1w</v>
      </c>
      <c r="V1495" s="207">
        <f>_xll.qlCalendarAdvance(Calendar,V1494,U1495,"f",FALSE)</f>
        <v>49319</v>
      </c>
      <c r="W1495" s="210">
        <f>_xll.qlCalendarAdvance(Calendar,V1495,NDays&amp;"D")</f>
        <v>49319</v>
      </c>
      <c r="X1495" s="211">
        <v>2.6028316680610786E-2</v>
      </c>
      <c r="Y1495" s="232"/>
    </row>
    <row r="1496" spans="21:25" x14ac:dyDescent="0.2">
      <c r="U1496" s="209" t="str">
        <f t="shared" si="26"/>
        <v>1w</v>
      </c>
      <c r="V1496" s="207">
        <f>_xll.qlCalendarAdvance(Calendar,V1495,U1496,"f",FALSE)</f>
        <v>49326</v>
      </c>
      <c r="W1496" s="210">
        <f>_xll.qlCalendarAdvance(Calendar,V1496,NDays&amp;"D")</f>
        <v>49326</v>
      </c>
      <c r="X1496" s="211">
        <v>2.6019121974174553E-2</v>
      </c>
      <c r="Y1496" s="232"/>
    </row>
    <row r="1497" spans="21:25" x14ac:dyDescent="0.2">
      <c r="U1497" s="209" t="str">
        <f t="shared" si="26"/>
        <v>1w</v>
      </c>
      <c r="V1497" s="207">
        <f>_xll.qlCalendarAdvance(Calendar,V1496,U1497,"f",FALSE)</f>
        <v>49333</v>
      </c>
      <c r="W1497" s="210">
        <f>_xll.qlCalendarAdvance(Calendar,V1497,NDays&amp;"D")</f>
        <v>49333</v>
      </c>
      <c r="X1497" s="211">
        <v>2.6009914360622943E-2</v>
      </c>
      <c r="Y1497" s="232"/>
    </row>
    <row r="1498" spans="21:25" x14ac:dyDescent="0.2">
      <c r="U1498" s="209" t="str">
        <f t="shared" si="26"/>
        <v>1w</v>
      </c>
      <c r="V1498" s="207">
        <f>_xll.qlCalendarAdvance(Calendar,V1497,U1498,"f",FALSE)</f>
        <v>49340</v>
      </c>
      <c r="W1498" s="210">
        <f>_xll.qlCalendarAdvance(Calendar,V1498,NDays&amp;"D")</f>
        <v>49340</v>
      </c>
      <c r="X1498" s="211">
        <v>2.6000693839955957E-2</v>
      </c>
      <c r="Y1498" s="232"/>
    </row>
    <row r="1499" spans="21:25" x14ac:dyDescent="0.2">
      <c r="U1499" s="209" t="str">
        <f t="shared" si="26"/>
        <v>1w</v>
      </c>
      <c r="V1499" s="207">
        <f>_xll.qlCalendarAdvance(Calendar,V1498,U1499,"f",FALSE)</f>
        <v>49347</v>
      </c>
      <c r="W1499" s="210">
        <f>_xll.qlCalendarAdvance(Calendar,V1499,NDays&amp;"D")</f>
        <v>49347</v>
      </c>
      <c r="X1499" s="211">
        <v>2.5991460412333467E-2</v>
      </c>
      <c r="Y1499" s="232"/>
    </row>
    <row r="1500" spans="21:25" x14ac:dyDescent="0.2">
      <c r="U1500" s="209" t="str">
        <f t="shared" si="26"/>
        <v>1w</v>
      </c>
      <c r="V1500" s="207">
        <f>_xll.qlCalendarAdvance(Calendar,V1499,U1500,"f",FALSE)</f>
        <v>49354</v>
      </c>
      <c r="W1500" s="210">
        <f>_xll.qlCalendarAdvance(Calendar,V1500,NDays&amp;"D")</f>
        <v>49354</v>
      </c>
      <c r="X1500" s="211">
        <v>2.5982214077515664E-2</v>
      </c>
      <c r="Y1500" s="232"/>
    </row>
    <row r="1501" spans="21:25" x14ac:dyDescent="0.2">
      <c r="U1501" s="209" t="str">
        <f t="shared" si="26"/>
        <v>1w</v>
      </c>
      <c r="V1501" s="207">
        <f>_xll.qlCalendarAdvance(Calendar,V1500,U1501,"f",FALSE)</f>
        <v>49361</v>
      </c>
      <c r="W1501" s="210">
        <f>_xll.qlCalendarAdvance(Calendar,V1501,NDays&amp;"D")</f>
        <v>49361</v>
      </c>
      <c r="X1501" s="211">
        <v>2.5972954835742357E-2</v>
      </c>
      <c r="Y1501" s="232"/>
    </row>
    <row r="1502" spans="21:25" x14ac:dyDescent="0.2">
      <c r="U1502" s="209" t="str">
        <f t="shared" si="26"/>
        <v>1w</v>
      </c>
      <c r="V1502" s="207">
        <f>_xll.qlCalendarAdvance(Calendar,V1501,U1502,"f",FALSE)</f>
        <v>49368</v>
      </c>
      <c r="W1502" s="210">
        <f>_xll.qlCalendarAdvance(Calendar,V1502,NDays&amp;"D")</f>
        <v>49368</v>
      </c>
      <c r="X1502" s="211">
        <v>2.5963682686853673E-2</v>
      </c>
      <c r="Y1502" s="232"/>
    </row>
    <row r="1503" spans="21:25" x14ac:dyDescent="0.2">
      <c r="U1503" s="209" t="str">
        <f t="shared" si="26"/>
        <v>1w</v>
      </c>
      <c r="V1503" s="207">
        <f>_xll.qlCalendarAdvance(Calendar,V1502,U1503,"f",FALSE)</f>
        <v>49375</v>
      </c>
      <c r="W1503" s="210">
        <f>_xll.qlCalendarAdvance(Calendar,V1503,NDays&amp;"D")</f>
        <v>49375</v>
      </c>
      <c r="X1503" s="211">
        <v>2.5954397630929549E-2</v>
      </c>
      <c r="Y1503" s="232"/>
    </row>
    <row r="1504" spans="21:25" x14ac:dyDescent="0.2">
      <c r="U1504" s="209" t="str">
        <f t="shared" si="26"/>
        <v>1w</v>
      </c>
      <c r="V1504" s="207">
        <f>_xll.qlCalendarAdvance(Calendar,V1503,U1504,"f",FALSE)</f>
        <v>49382</v>
      </c>
      <c r="W1504" s="210">
        <f>_xll.qlCalendarAdvance(Calendar,V1504,NDays&amp;"D")</f>
        <v>49382</v>
      </c>
      <c r="X1504" s="211">
        <v>2.5945099667890048E-2</v>
      </c>
      <c r="Y1504" s="232"/>
    </row>
    <row r="1505" spans="21:25" x14ac:dyDescent="0.2">
      <c r="U1505" s="209" t="str">
        <f t="shared" si="26"/>
        <v>1w</v>
      </c>
      <c r="V1505" s="207">
        <f>_xll.qlCalendarAdvance(Calendar,V1504,U1505,"f",FALSE)</f>
        <v>49389</v>
      </c>
      <c r="W1505" s="210">
        <f>_xll.qlCalendarAdvance(Calendar,V1505,NDays&amp;"D")</f>
        <v>49389</v>
      </c>
      <c r="X1505" s="211">
        <v>2.5935788797974979E-2</v>
      </c>
      <c r="Y1505" s="232"/>
    </row>
    <row r="1506" spans="21:25" x14ac:dyDescent="0.2">
      <c r="U1506" s="209" t="str">
        <f t="shared" si="26"/>
        <v>1w</v>
      </c>
      <c r="V1506" s="207">
        <f>_xll.qlCalendarAdvance(Calendar,V1505,U1506,"f",FALSE)</f>
        <v>49396</v>
      </c>
      <c r="W1506" s="210">
        <f>_xll.qlCalendarAdvance(Calendar,V1506,NDays&amp;"D")</f>
        <v>49396</v>
      </c>
      <c r="X1506" s="211">
        <v>2.5926465020944534E-2</v>
      </c>
      <c r="Y1506" s="232"/>
    </row>
    <row r="1507" spans="21:25" x14ac:dyDescent="0.2">
      <c r="U1507" s="209" t="str">
        <f t="shared" si="26"/>
        <v>1w</v>
      </c>
      <c r="V1507" s="207">
        <f>_xll.qlCalendarAdvance(Calendar,V1506,U1507,"f",FALSE)</f>
        <v>49403</v>
      </c>
      <c r="W1507" s="210">
        <f>_xll.qlCalendarAdvance(Calendar,V1507,NDays&amp;"D")</f>
        <v>49403</v>
      </c>
      <c r="X1507" s="211">
        <v>2.5917128336638839E-2</v>
      </c>
      <c r="Y1507" s="232"/>
    </row>
    <row r="1508" spans="21:25" x14ac:dyDescent="0.2">
      <c r="U1508" s="209" t="str">
        <f t="shared" si="26"/>
        <v>1w</v>
      </c>
      <c r="V1508" s="207">
        <f>_xll.qlCalendarAdvance(Calendar,V1507,U1508,"f",FALSE)</f>
        <v>49410</v>
      </c>
      <c r="W1508" s="210">
        <f>_xll.qlCalendarAdvance(Calendar,V1508,NDays&amp;"D")</f>
        <v>49410</v>
      </c>
      <c r="X1508" s="211">
        <v>2.5907778745537513E-2</v>
      </c>
      <c r="Y1508" s="232"/>
    </row>
    <row r="1509" spans="21:25" x14ac:dyDescent="0.2">
      <c r="U1509" s="209" t="str">
        <f t="shared" si="26"/>
        <v>1w</v>
      </c>
      <c r="V1509" s="207">
        <f>_xll.qlCalendarAdvance(Calendar,V1508,U1509,"f",FALSE)</f>
        <v>49417</v>
      </c>
      <c r="W1509" s="210">
        <f>_xll.qlCalendarAdvance(Calendar,V1509,NDays&amp;"D")</f>
        <v>49417</v>
      </c>
      <c r="X1509" s="211">
        <v>2.589841624732081E-2</v>
      </c>
      <c r="Y1509" s="232"/>
    </row>
    <row r="1510" spans="21:25" x14ac:dyDescent="0.2">
      <c r="U1510" s="209" t="str">
        <f t="shared" si="26"/>
        <v>1w</v>
      </c>
      <c r="V1510" s="207">
        <f>_xll.qlCalendarAdvance(Calendar,V1509,U1510,"f",FALSE)</f>
        <v>49424</v>
      </c>
      <c r="W1510" s="210">
        <f>_xll.qlCalendarAdvance(Calendar,V1510,NDays&amp;"D")</f>
        <v>49424</v>
      </c>
      <c r="X1510" s="211">
        <v>2.5889040841988731E-2</v>
      </c>
      <c r="Y1510" s="232"/>
    </row>
    <row r="1511" spans="21:25" x14ac:dyDescent="0.2">
      <c r="U1511" s="209" t="str">
        <f t="shared" si="26"/>
        <v>1w</v>
      </c>
      <c r="V1511" s="207">
        <f>_xll.qlCalendarAdvance(Calendar,V1510,U1511,"f",FALSE)</f>
        <v>49431</v>
      </c>
      <c r="W1511" s="210">
        <f>_xll.qlCalendarAdvance(Calendar,V1511,NDays&amp;"D")</f>
        <v>49431</v>
      </c>
      <c r="X1511" s="211">
        <v>2.5879652529621211E-2</v>
      </c>
      <c r="Y1511" s="232"/>
    </row>
    <row r="1512" spans="21:25" x14ac:dyDescent="0.2">
      <c r="U1512" s="209" t="str">
        <f t="shared" si="26"/>
        <v>1w</v>
      </c>
      <c r="V1512" s="207">
        <f>_xll.qlCalendarAdvance(Calendar,V1511,U1512,"f",FALSE)</f>
        <v>49438</v>
      </c>
      <c r="W1512" s="210">
        <f>_xll.qlCalendarAdvance(Calendar,V1512,NDays&amp;"D")</f>
        <v>49438</v>
      </c>
      <c r="X1512" s="211">
        <v>2.5870251310218251E-2</v>
      </c>
      <c r="Y1512" s="232"/>
    </row>
    <row r="1513" spans="21:25" x14ac:dyDescent="0.2">
      <c r="U1513" s="209" t="str">
        <f t="shared" si="26"/>
        <v>1w</v>
      </c>
      <c r="V1513" s="207">
        <f>_xll.qlCalendarAdvance(Calendar,V1512,U1513,"f",FALSE)</f>
        <v>49445</v>
      </c>
      <c r="W1513" s="210">
        <f>_xll.qlCalendarAdvance(Calendar,V1513,NDays&amp;"D")</f>
        <v>49445</v>
      </c>
      <c r="X1513" s="211">
        <v>2.586083718377985E-2</v>
      </c>
      <c r="Y1513" s="232"/>
    </row>
    <row r="1514" spans="21:25" x14ac:dyDescent="0.2">
      <c r="U1514" s="209" t="str">
        <f t="shared" si="26"/>
        <v>1w</v>
      </c>
      <c r="V1514" s="207">
        <f>_xll.qlCalendarAdvance(Calendar,V1513,U1514,"f",FALSE)</f>
        <v>49452</v>
      </c>
      <c r="W1514" s="210">
        <f>_xll.qlCalendarAdvance(Calendar,V1514,NDays&amp;"D")</f>
        <v>49452</v>
      </c>
      <c r="X1514" s="211">
        <v>2.5851410150306009E-2</v>
      </c>
      <c r="Y1514" s="232"/>
    </row>
    <row r="1515" spans="21:25" x14ac:dyDescent="0.2">
      <c r="U1515" s="209" t="str">
        <f t="shared" si="26"/>
        <v>1w</v>
      </c>
      <c r="V1515" s="207">
        <f>_xll.qlCalendarAdvance(Calendar,V1514,U1515,"f",FALSE)</f>
        <v>49459</v>
      </c>
      <c r="W1515" s="210">
        <f>_xll.qlCalendarAdvance(Calendar,V1515,NDays&amp;"D")</f>
        <v>49459</v>
      </c>
      <c r="X1515" s="211">
        <v>2.5841970209796727E-2</v>
      </c>
      <c r="Y1515" s="232"/>
    </row>
    <row r="1516" spans="21:25" x14ac:dyDescent="0.2">
      <c r="U1516" s="209" t="str">
        <f t="shared" si="26"/>
        <v>1w</v>
      </c>
      <c r="V1516" s="207">
        <f>_xll.qlCalendarAdvance(Calendar,V1515,U1516,"f",FALSE)</f>
        <v>49466</v>
      </c>
      <c r="W1516" s="210">
        <f>_xll.qlCalendarAdvance(Calendar,V1516,NDays&amp;"D")</f>
        <v>49466</v>
      </c>
      <c r="X1516" s="211">
        <v>2.5832517362172069E-2</v>
      </c>
      <c r="Y1516" s="232"/>
    </row>
    <row r="1517" spans="21:25" x14ac:dyDescent="0.2">
      <c r="U1517" s="209" t="str">
        <f t="shared" si="26"/>
        <v>1w</v>
      </c>
      <c r="V1517" s="207">
        <f>_xll.qlCalendarAdvance(Calendar,V1516,U1517,"f",FALSE)</f>
        <v>49473</v>
      </c>
      <c r="W1517" s="210">
        <f>_xll.qlCalendarAdvance(Calendar,V1517,NDays&amp;"D")</f>
        <v>49473</v>
      </c>
      <c r="X1517" s="211">
        <v>2.5823051607591907E-2</v>
      </c>
      <c r="Y1517" s="232"/>
    </row>
    <row r="1518" spans="21:25" x14ac:dyDescent="0.2">
      <c r="U1518" s="209" t="str">
        <f t="shared" si="26"/>
        <v>1w</v>
      </c>
      <c r="V1518" s="207">
        <f>_xll.qlCalendarAdvance(Calendar,V1517,U1518,"f",FALSE)</f>
        <v>49480</v>
      </c>
      <c r="W1518" s="210">
        <f>_xll.qlCalendarAdvance(Calendar,V1518,NDays&amp;"D")</f>
        <v>49480</v>
      </c>
      <c r="X1518" s="211">
        <v>2.5813572945896368E-2</v>
      </c>
      <c r="Y1518" s="232"/>
    </row>
    <row r="1519" spans="21:25" x14ac:dyDescent="0.2">
      <c r="U1519" s="209" t="str">
        <f t="shared" si="26"/>
        <v>1w</v>
      </c>
      <c r="V1519" s="207">
        <f>_xll.qlCalendarAdvance(Calendar,V1518,U1519,"f",FALSE)</f>
        <v>49487</v>
      </c>
      <c r="W1519" s="210">
        <f>_xll.qlCalendarAdvance(Calendar,V1519,NDays&amp;"D")</f>
        <v>49487</v>
      </c>
      <c r="X1519" s="211">
        <v>2.5804081377245325E-2</v>
      </c>
      <c r="Y1519" s="232"/>
    </row>
    <row r="1520" spans="21:25" x14ac:dyDescent="0.2">
      <c r="U1520" s="209" t="str">
        <f t="shared" si="26"/>
        <v>1w</v>
      </c>
      <c r="V1520" s="207">
        <f>_xll.qlCalendarAdvance(Calendar,V1519,U1520,"f",FALSE)</f>
        <v>49494</v>
      </c>
      <c r="W1520" s="210">
        <f>_xll.qlCalendarAdvance(Calendar,V1520,NDays&amp;"D")</f>
        <v>49494</v>
      </c>
      <c r="X1520" s="211">
        <v>2.5794576901398969E-2</v>
      </c>
      <c r="Y1520" s="232"/>
    </row>
    <row r="1521" spans="21:25" x14ac:dyDescent="0.2">
      <c r="U1521" s="209" t="str">
        <f t="shared" si="26"/>
        <v>1w</v>
      </c>
      <c r="V1521" s="207">
        <f>_xll.qlCalendarAdvance(Calendar,V1520,U1521,"f",FALSE)</f>
        <v>49501</v>
      </c>
      <c r="W1521" s="210">
        <f>_xll.qlCalendarAdvance(Calendar,V1521,NDays&amp;"D")</f>
        <v>49501</v>
      </c>
      <c r="X1521" s="211">
        <v>2.5785059518597109E-2</v>
      </c>
      <c r="Y1521" s="232"/>
    </row>
    <row r="1522" spans="21:25" x14ac:dyDescent="0.2">
      <c r="U1522" s="209" t="str">
        <f t="shared" si="26"/>
        <v>1w</v>
      </c>
      <c r="V1522" s="207">
        <f>_xll.qlCalendarAdvance(Calendar,V1521,U1522,"f",FALSE)</f>
        <v>49508</v>
      </c>
      <c r="W1522" s="210">
        <f>_xll.qlCalendarAdvance(Calendar,V1522,NDays&amp;"D")</f>
        <v>49508</v>
      </c>
      <c r="X1522" s="211">
        <v>2.5775529228839744E-2</v>
      </c>
      <c r="Y1522" s="232"/>
    </row>
    <row r="1523" spans="21:25" x14ac:dyDescent="0.2">
      <c r="U1523" s="209" t="str">
        <f t="shared" si="26"/>
        <v>1w</v>
      </c>
      <c r="V1523" s="207">
        <f>_xll.qlCalendarAdvance(Calendar,V1522,U1523,"f",FALSE)</f>
        <v>49515</v>
      </c>
      <c r="W1523" s="210">
        <f>_xll.qlCalendarAdvance(Calendar,V1523,NDays&amp;"D")</f>
        <v>49515</v>
      </c>
      <c r="X1523" s="211">
        <v>2.5765986031967003E-2</v>
      </c>
      <c r="Y1523" s="232"/>
    </row>
    <row r="1524" spans="21:25" x14ac:dyDescent="0.2">
      <c r="U1524" s="209" t="str">
        <f t="shared" si="26"/>
        <v>1w</v>
      </c>
      <c r="V1524" s="207">
        <f>_xll.qlCalendarAdvance(Calendar,V1523,U1524,"f",FALSE)</f>
        <v>49522</v>
      </c>
      <c r="W1524" s="210">
        <f>_xll.qlCalendarAdvance(Calendar,V1524,NDays&amp;"D")</f>
        <v>49522</v>
      </c>
      <c r="X1524" s="211">
        <v>2.5756429928138758E-2</v>
      </c>
      <c r="Y1524" s="232"/>
    </row>
    <row r="1525" spans="21:25" x14ac:dyDescent="0.2">
      <c r="U1525" s="209" t="str">
        <f t="shared" si="26"/>
        <v>1w</v>
      </c>
      <c r="V1525" s="207">
        <f>_xll.qlCalendarAdvance(Calendar,V1524,U1525,"f",FALSE)</f>
        <v>49529</v>
      </c>
      <c r="W1525" s="210">
        <f>_xll.qlCalendarAdvance(Calendar,V1525,NDays&amp;"D")</f>
        <v>49529</v>
      </c>
      <c r="X1525" s="211">
        <v>2.57468609171152E-2</v>
      </c>
      <c r="Y1525" s="232"/>
    </row>
    <row r="1526" spans="21:25" x14ac:dyDescent="0.2">
      <c r="U1526" s="209" t="str">
        <f t="shared" si="26"/>
        <v>1w</v>
      </c>
      <c r="V1526" s="207">
        <f>_xll.qlCalendarAdvance(Calendar,V1525,U1526,"f",FALSE)</f>
        <v>49536</v>
      </c>
      <c r="W1526" s="210">
        <f>_xll.qlCalendarAdvance(Calendar,V1526,NDays&amp;"D")</f>
        <v>49536</v>
      </c>
      <c r="X1526" s="211">
        <v>2.5737278999216073E-2</v>
      </c>
      <c r="Y1526" s="232"/>
    </row>
    <row r="1527" spans="21:25" x14ac:dyDescent="0.2">
      <c r="U1527" s="209" t="str">
        <f t="shared" si="26"/>
        <v>1w</v>
      </c>
      <c r="V1527" s="207">
        <f>_xll.qlCalendarAdvance(Calendar,V1526,U1527,"f",FALSE)</f>
        <v>49543</v>
      </c>
      <c r="W1527" s="210">
        <f>_xll.qlCalendarAdvance(Calendar,V1527,NDays&amp;"D")</f>
        <v>49543</v>
      </c>
      <c r="X1527" s="211">
        <v>2.5727684174121634E-2</v>
      </c>
      <c r="Y1527" s="232"/>
    </row>
    <row r="1528" spans="21:25" x14ac:dyDescent="0.2">
      <c r="U1528" s="209" t="str">
        <f t="shared" si="26"/>
        <v>1w</v>
      </c>
      <c r="V1528" s="207">
        <f>_xll.qlCalendarAdvance(Calendar,V1527,U1528,"f",FALSE)</f>
        <v>49550</v>
      </c>
      <c r="W1528" s="210">
        <f>_xll.qlCalendarAdvance(Calendar,V1528,NDays&amp;"D")</f>
        <v>49550</v>
      </c>
      <c r="X1528" s="211">
        <v>2.5718076442151627E-2</v>
      </c>
      <c r="Y1528" s="232"/>
    </row>
    <row r="1529" spans="21:25" x14ac:dyDescent="0.2">
      <c r="U1529" s="209" t="str">
        <f t="shared" si="26"/>
        <v>1w</v>
      </c>
      <c r="V1529" s="207">
        <f>_xll.qlCalendarAdvance(Calendar,V1528,U1529,"f",FALSE)</f>
        <v>49557</v>
      </c>
      <c r="W1529" s="210">
        <f>_xll.qlCalendarAdvance(Calendar,V1529,NDays&amp;"D")</f>
        <v>49557</v>
      </c>
      <c r="X1529" s="211">
        <v>2.5708455803066244E-2</v>
      </c>
      <c r="Y1529" s="232"/>
    </row>
    <row r="1530" spans="21:25" x14ac:dyDescent="0.2">
      <c r="U1530" s="209" t="str">
        <f t="shared" si="26"/>
        <v>1w</v>
      </c>
      <c r="V1530" s="207">
        <f>_xll.qlCalendarAdvance(Calendar,V1529,U1530,"f",FALSE)</f>
        <v>49564</v>
      </c>
      <c r="W1530" s="210">
        <f>_xll.qlCalendarAdvance(Calendar,V1530,NDays&amp;"D")</f>
        <v>49564</v>
      </c>
      <c r="X1530" s="211">
        <v>2.5698822256945419E-2</v>
      </c>
      <c r="Y1530" s="232"/>
    </row>
    <row r="1531" spans="21:25" x14ac:dyDescent="0.2">
      <c r="U1531" s="209" t="str">
        <f t="shared" si="26"/>
        <v>1w</v>
      </c>
      <c r="V1531" s="207">
        <f>_xll.qlCalendarAdvance(Calendar,V1530,U1531,"f",FALSE)</f>
        <v>49571</v>
      </c>
      <c r="W1531" s="210">
        <f>_xll.qlCalendarAdvance(Calendar,V1531,NDays&amp;"D")</f>
        <v>49571</v>
      </c>
      <c r="X1531" s="211">
        <v>2.5689175803869091E-2</v>
      </c>
      <c r="Y1531" s="232"/>
    </row>
    <row r="1532" spans="21:25" x14ac:dyDescent="0.2">
      <c r="U1532" s="209" t="str">
        <f t="shared" si="26"/>
        <v>1w</v>
      </c>
      <c r="V1532" s="207">
        <f>_xll.qlCalendarAdvance(Calendar,V1531,U1532,"f",FALSE)</f>
        <v>49578</v>
      </c>
      <c r="W1532" s="210">
        <f>_xll.qlCalendarAdvance(Calendar,V1532,NDays&amp;"D")</f>
        <v>49578</v>
      </c>
      <c r="X1532" s="211">
        <v>2.5679516443757322E-2</v>
      </c>
      <c r="Y1532" s="232"/>
    </row>
    <row r="1533" spans="21:25" x14ac:dyDescent="0.2">
      <c r="U1533" s="209" t="str">
        <f t="shared" si="26"/>
        <v>1w</v>
      </c>
      <c r="V1533" s="207">
        <f>_xll.qlCalendarAdvance(Calendar,V1532,U1533,"f",FALSE)</f>
        <v>49585</v>
      </c>
      <c r="W1533" s="210">
        <f>_xll.qlCalendarAdvance(Calendar,V1533,NDays&amp;"D")</f>
        <v>49585</v>
      </c>
      <c r="X1533" s="211">
        <v>2.5669844176530177E-2</v>
      </c>
      <c r="Y1533" s="232"/>
    </row>
    <row r="1534" spans="21:25" x14ac:dyDescent="0.2">
      <c r="U1534" s="209" t="str">
        <f t="shared" si="26"/>
        <v>1w</v>
      </c>
      <c r="V1534" s="207">
        <f>_xll.qlCalendarAdvance(Calendar,V1533,U1534,"f",FALSE)</f>
        <v>49592</v>
      </c>
      <c r="W1534" s="210">
        <f>_xll.qlCalendarAdvance(Calendar,V1534,NDays&amp;"D")</f>
        <v>49592</v>
      </c>
      <c r="X1534" s="211">
        <v>2.5660159002347527E-2</v>
      </c>
      <c r="Y1534" s="232"/>
    </row>
    <row r="1535" spans="21:25" x14ac:dyDescent="0.2">
      <c r="U1535" s="209" t="str">
        <f t="shared" si="26"/>
        <v>1w</v>
      </c>
      <c r="V1535" s="207">
        <f>_xll.qlCalendarAdvance(Calendar,V1534,U1535,"f",FALSE)</f>
        <v>49599</v>
      </c>
      <c r="W1535" s="210">
        <f>_xll.qlCalendarAdvance(Calendar,V1535,NDays&amp;"D")</f>
        <v>49599</v>
      </c>
      <c r="X1535" s="211">
        <v>2.5650460921129437E-2</v>
      </c>
      <c r="Y1535" s="232"/>
    </row>
    <row r="1536" spans="21:25" x14ac:dyDescent="0.2">
      <c r="U1536" s="209" t="str">
        <f t="shared" si="26"/>
        <v>1w</v>
      </c>
      <c r="V1536" s="207">
        <f>_xll.qlCalendarAdvance(Calendar,V1535,U1536,"f",FALSE)</f>
        <v>49606</v>
      </c>
      <c r="W1536" s="210">
        <f>_xll.qlCalendarAdvance(Calendar,V1536,NDays&amp;"D")</f>
        <v>49606</v>
      </c>
      <c r="X1536" s="211">
        <v>2.564074993279597E-2</v>
      </c>
      <c r="Y1536" s="232"/>
    </row>
    <row r="1537" spans="21:25" x14ac:dyDescent="0.2">
      <c r="U1537" s="209" t="str">
        <f t="shared" si="26"/>
        <v>1w</v>
      </c>
      <c r="V1537" s="207">
        <f>_xll.qlCalendarAdvance(Calendar,V1536,U1537,"f",FALSE)</f>
        <v>49613</v>
      </c>
      <c r="W1537" s="210">
        <f>_xll.qlCalendarAdvance(Calendar,V1537,NDays&amp;"D")</f>
        <v>49613</v>
      </c>
      <c r="X1537" s="211">
        <v>2.5631026037506999E-2</v>
      </c>
      <c r="Y1537" s="232"/>
    </row>
    <row r="1538" spans="21:25" x14ac:dyDescent="0.2">
      <c r="U1538" s="209" t="str">
        <f t="shared" si="26"/>
        <v>1w</v>
      </c>
      <c r="V1538" s="207">
        <f>_xll.qlCalendarAdvance(Calendar,V1537,U1538,"f",FALSE)</f>
        <v>49620</v>
      </c>
      <c r="W1538" s="210">
        <f>_xll.qlCalendarAdvance(Calendar,V1538,NDays&amp;"D")</f>
        <v>49620</v>
      </c>
      <c r="X1538" s="211">
        <v>2.5621289235262523E-2</v>
      </c>
      <c r="Y1538" s="232"/>
    </row>
    <row r="1539" spans="21:25" x14ac:dyDescent="0.2">
      <c r="U1539" s="209" t="str">
        <f t="shared" si="26"/>
        <v>1w</v>
      </c>
      <c r="V1539" s="207">
        <f>_xll.qlCalendarAdvance(Calendar,V1538,U1539,"f",FALSE)</f>
        <v>49627</v>
      </c>
      <c r="W1539" s="210">
        <f>_xll.qlCalendarAdvance(Calendar,V1539,NDays&amp;"D")</f>
        <v>49627</v>
      </c>
      <c r="X1539" s="211">
        <v>2.5611539525902671E-2</v>
      </c>
      <c r="Y1539" s="232"/>
    </row>
    <row r="1540" spans="21:25" x14ac:dyDescent="0.2">
      <c r="U1540" s="209" t="str">
        <f t="shared" si="26"/>
        <v>1w</v>
      </c>
      <c r="V1540" s="207">
        <f>_xll.qlCalendarAdvance(Calendar,V1539,U1540,"f",FALSE)</f>
        <v>49634</v>
      </c>
      <c r="W1540" s="210">
        <f>_xll.qlCalendarAdvance(Calendar,V1540,NDays&amp;"D")</f>
        <v>49634</v>
      </c>
      <c r="X1540" s="211">
        <v>2.5601776909587315E-2</v>
      </c>
      <c r="Y1540" s="232"/>
    </row>
    <row r="1541" spans="21:25" x14ac:dyDescent="0.2">
      <c r="U1541" s="209" t="str">
        <f t="shared" si="26"/>
        <v>1w</v>
      </c>
      <c r="V1541" s="207">
        <f>_xll.qlCalendarAdvance(Calendar,V1540,U1541,"f",FALSE)</f>
        <v>49641</v>
      </c>
      <c r="W1541" s="210">
        <f>_xll.qlCalendarAdvance(Calendar,V1541,NDays&amp;"D")</f>
        <v>49641</v>
      </c>
      <c r="X1541" s="211">
        <v>2.5592001386236518E-2</v>
      </c>
      <c r="Y1541" s="232"/>
    </row>
    <row r="1542" spans="21:25" x14ac:dyDescent="0.2">
      <c r="U1542" s="209" t="str">
        <f t="shared" si="26"/>
        <v>1w</v>
      </c>
      <c r="V1542" s="207">
        <f>_xll.qlCalendarAdvance(Calendar,V1541,U1542,"f",FALSE)</f>
        <v>49648</v>
      </c>
      <c r="W1542" s="210">
        <f>_xll.qlCalendarAdvance(Calendar,V1542,NDays&amp;"D")</f>
        <v>49648</v>
      </c>
      <c r="X1542" s="211">
        <v>2.5582212955850281E-2</v>
      </c>
      <c r="Y1542" s="232"/>
    </row>
    <row r="1543" spans="21:25" x14ac:dyDescent="0.2">
      <c r="U1543" s="209" t="str">
        <f t="shared" si="26"/>
        <v>1w</v>
      </c>
      <c r="V1543" s="207">
        <f>_xll.qlCalendarAdvance(Calendar,V1542,U1543,"f",FALSE)</f>
        <v>49655</v>
      </c>
      <c r="W1543" s="210">
        <f>_xll.qlCalendarAdvance(Calendar,V1543,NDays&amp;"D")</f>
        <v>49655</v>
      </c>
      <c r="X1543" s="211">
        <v>2.5572411618428603E-2</v>
      </c>
      <c r="Y1543" s="232"/>
    </row>
    <row r="1544" spans="21:25" x14ac:dyDescent="0.2">
      <c r="U1544" s="209" t="str">
        <f t="shared" si="26"/>
        <v>1w</v>
      </c>
      <c r="V1544" s="207">
        <f>_xll.qlCalendarAdvance(Calendar,V1543,U1544,"f",FALSE)</f>
        <v>49662</v>
      </c>
      <c r="W1544" s="210">
        <f>_xll.qlCalendarAdvance(Calendar,V1544,NDays&amp;"D")</f>
        <v>49662</v>
      </c>
      <c r="X1544" s="211">
        <v>2.5562597374051421E-2</v>
      </c>
      <c r="Y1544" s="232"/>
    </row>
    <row r="1545" spans="21:25" x14ac:dyDescent="0.2">
      <c r="U1545" s="209" t="str">
        <f t="shared" si="26"/>
        <v>1w</v>
      </c>
      <c r="V1545" s="207">
        <f>_xll.qlCalendarAdvance(Calendar,V1544,U1545,"f",FALSE)</f>
        <v>49670</v>
      </c>
      <c r="W1545" s="210">
        <f>_xll.qlCalendarAdvance(Calendar,V1545,NDays&amp;"D")</f>
        <v>49670</v>
      </c>
      <c r="X1545" s="211">
        <v>2.5551365290228389E-2</v>
      </c>
      <c r="Y1545" s="232"/>
    </row>
    <row r="1546" spans="21:25" x14ac:dyDescent="0.2">
      <c r="U1546" s="209" t="str">
        <f t="shared" si="26"/>
        <v>1w</v>
      </c>
      <c r="V1546" s="207">
        <f>_xll.qlCalendarAdvance(Calendar,V1545,U1546,"f",FALSE)</f>
        <v>49677</v>
      </c>
      <c r="W1546" s="210">
        <f>_xll.qlCalendarAdvance(Calendar,V1546,NDays&amp;"D")</f>
        <v>49677</v>
      </c>
      <c r="X1546" s="211">
        <v>2.5541523387895282E-2</v>
      </c>
      <c r="Y1546" s="232"/>
    </row>
    <row r="1547" spans="21:25" x14ac:dyDescent="0.2">
      <c r="U1547" s="209" t="str">
        <f t="shared" si="26"/>
        <v>1w</v>
      </c>
      <c r="V1547" s="207">
        <f>_xll.qlCalendarAdvance(Calendar,V1546,U1547,"f",FALSE)</f>
        <v>49684</v>
      </c>
      <c r="W1547" s="210">
        <f>_xll.qlCalendarAdvance(Calendar,V1547,NDays&amp;"D")</f>
        <v>49684</v>
      </c>
      <c r="X1547" s="211">
        <v>2.553166857860667E-2</v>
      </c>
      <c r="Y1547" s="232"/>
    </row>
    <row r="1548" spans="21:25" x14ac:dyDescent="0.2">
      <c r="U1548" s="209" t="str">
        <f t="shared" si="26"/>
        <v>1w</v>
      </c>
      <c r="V1548" s="207">
        <f>_xll.qlCalendarAdvance(Calendar,V1547,U1548,"f",FALSE)</f>
        <v>49691</v>
      </c>
      <c r="W1548" s="210">
        <f>_xll.qlCalendarAdvance(Calendar,V1548,NDays&amp;"D")</f>
        <v>49691</v>
      </c>
      <c r="X1548" s="211">
        <v>2.5521800862282618E-2</v>
      </c>
      <c r="Y1548" s="232"/>
    </row>
    <row r="1549" spans="21:25" x14ac:dyDescent="0.2">
      <c r="U1549" s="209" t="str">
        <f t="shared" ref="U1549:U1612" si="27">U1548</f>
        <v>1w</v>
      </c>
      <c r="V1549" s="207">
        <f>_xll.qlCalendarAdvance(Calendar,V1548,U1549,"f",FALSE)</f>
        <v>49698</v>
      </c>
      <c r="W1549" s="210">
        <f>_xll.qlCalendarAdvance(Calendar,V1549,NDays&amp;"D")</f>
        <v>49698</v>
      </c>
      <c r="X1549" s="211">
        <v>2.5511920239003061E-2</v>
      </c>
      <c r="Y1549" s="232"/>
    </row>
    <row r="1550" spans="21:25" x14ac:dyDescent="0.2">
      <c r="U1550" s="209" t="str">
        <f t="shared" si="27"/>
        <v>1w</v>
      </c>
      <c r="V1550" s="207">
        <f>_xll.qlCalendarAdvance(Calendar,V1549,U1550,"f",FALSE)</f>
        <v>49705</v>
      </c>
      <c r="W1550" s="210">
        <f>_xll.qlCalendarAdvance(Calendar,V1550,NDays&amp;"D")</f>
        <v>49705</v>
      </c>
      <c r="X1550" s="211">
        <v>2.5502026708608128E-2</v>
      </c>
      <c r="Y1550" s="232"/>
    </row>
    <row r="1551" spans="21:25" x14ac:dyDescent="0.2">
      <c r="U1551" s="209" t="str">
        <f t="shared" si="27"/>
        <v>1w</v>
      </c>
      <c r="V1551" s="207">
        <f>_xll.qlCalendarAdvance(Calendar,V1550,U1551,"f",FALSE)</f>
        <v>49712</v>
      </c>
      <c r="W1551" s="210">
        <f>_xll.qlCalendarAdvance(Calendar,V1551,NDays&amp;"D")</f>
        <v>49712</v>
      </c>
      <c r="X1551" s="211">
        <v>2.549212027125769E-2</v>
      </c>
      <c r="Y1551" s="232"/>
    </row>
    <row r="1552" spans="21:25" x14ac:dyDescent="0.2">
      <c r="U1552" s="209" t="str">
        <f t="shared" si="27"/>
        <v>1w</v>
      </c>
      <c r="V1552" s="207">
        <f>_xll.qlCalendarAdvance(Calendar,V1551,U1552,"f",FALSE)</f>
        <v>49719</v>
      </c>
      <c r="W1552" s="210">
        <f>_xll.qlCalendarAdvance(Calendar,V1552,NDays&amp;"D")</f>
        <v>49719</v>
      </c>
      <c r="X1552" s="211">
        <v>2.5482200926951748E-2</v>
      </c>
      <c r="Y1552" s="232"/>
    </row>
    <row r="1553" spans="21:25" x14ac:dyDescent="0.2">
      <c r="U1553" s="209" t="str">
        <f t="shared" si="27"/>
        <v>1w</v>
      </c>
      <c r="V1553" s="207">
        <f>_xll.qlCalendarAdvance(Calendar,V1552,U1553,"f",FALSE)</f>
        <v>49726</v>
      </c>
      <c r="W1553" s="210">
        <f>_xll.qlCalendarAdvance(Calendar,V1553,NDays&amp;"D")</f>
        <v>49726</v>
      </c>
      <c r="X1553" s="211">
        <v>2.5472268675610366E-2</v>
      </c>
      <c r="Y1553" s="232"/>
    </row>
    <row r="1554" spans="21:25" x14ac:dyDescent="0.2">
      <c r="U1554" s="209" t="str">
        <f t="shared" si="27"/>
        <v>1w</v>
      </c>
      <c r="V1554" s="207">
        <f>_xll.qlCalendarAdvance(Calendar,V1553,U1554,"f",FALSE)</f>
        <v>49733</v>
      </c>
      <c r="W1554" s="210">
        <f>_xll.qlCalendarAdvance(Calendar,V1554,NDays&amp;"D")</f>
        <v>49733</v>
      </c>
      <c r="X1554" s="211">
        <v>2.5462323517233543E-2</v>
      </c>
      <c r="Y1554" s="232"/>
    </row>
    <row r="1555" spans="21:25" x14ac:dyDescent="0.2">
      <c r="U1555" s="209" t="str">
        <f t="shared" si="27"/>
        <v>1w</v>
      </c>
      <c r="V1555" s="207">
        <f>_xll.qlCalendarAdvance(Calendar,V1554,U1555,"f",FALSE)</f>
        <v>49740</v>
      </c>
      <c r="W1555" s="210">
        <f>_xll.qlCalendarAdvance(Calendar,V1555,NDays&amp;"D")</f>
        <v>49740</v>
      </c>
      <c r="X1555" s="211">
        <v>2.5452365451821279E-2</v>
      </c>
      <c r="Y1555" s="232"/>
    </row>
    <row r="1556" spans="21:25" x14ac:dyDescent="0.2">
      <c r="U1556" s="209" t="str">
        <f t="shared" si="27"/>
        <v>1w</v>
      </c>
      <c r="V1556" s="207">
        <f>_xll.qlCalendarAdvance(Calendar,V1555,U1556,"f",FALSE)</f>
        <v>49747</v>
      </c>
      <c r="W1556" s="210">
        <f>_xll.qlCalendarAdvance(Calendar,V1556,NDays&amp;"D")</f>
        <v>49747</v>
      </c>
      <c r="X1556" s="211">
        <v>2.5442394479373576E-2</v>
      </c>
      <c r="Y1556" s="232"/>
    </row>
    <row r="1557" spans="21:25" x14ac:dyDescent="0.2">
      <c r="U1557" s="209" t="str">
        <f t="shared" si="27"/>
        <v>1w</v>
      </c>
      <c r="V1557" s="207">
        <f>_xll.qlCalendarAdvance(Calendar,V1556,U1557,"f",FALSE)</f>
        <v>49754</v>
      </c>
      <c r="W1557" s="210">
        <f>_xll.qlCalendarAdvance(Calendar,V1557,NDays&amp;"D")</f>
        <v>49754</v>
      </c>
      <c r="X1557" s="211">
        <v>2.5432410600050304E-2</v>
      </c>
      <c r="Y1557" s="232"/>
    </row>
    <row r="1558" spans="21:25" x14ac:dyDescent="0.2">
      <c r="U1558" s="209" t="str">
        <f t="shared" si="27"/>
        <v>1w</v>
      </c>
      <c r="V1558" s="207">
        <f>_xll.qlCalendarAdvance(Calendar,V1557,U1558,"f",FALSE)</f>
        <v>49761</v>
      </c>
      <c r="W1558" s="210">
        <f>_xll.qlCalendarAdvance(Calendar,V1558,NDays&amp;"D")</f>
        <v>49761</v>
      </c>
      <c r="X1558" s="211">
        <v>2.5422413813691591E-2</v>
      </c>
      <c r="Y1558" s="232"/>
    </row>
    <row r="1559" spans="21:25" x14ac:dyDescent="0.2">
      <c r="U1559" s="209" t="str">
        <f t="shared" si="27"/>
        <v>1w</v>
      </c>
      <c r="V1559" s="207">
        <f>_xll.qlCalendarAdvance(Calendar,V1558,U1559,"f",FALSE)</f>
        <v>49768</v>
      </c>
      <c r="W1559" s="210">
        <f>_xll.qlCalendarAdvance(Calendar,V1559,NDays&amp;"D")</f>
        <v>49768</v>
      </c>
      <c r="X1559" s="211">
        <v>2.5412404120377374E-2</v>
      </c>
      <c r="Y1559" s="232"/>
    </row>
    <row r="1560" spans="21:25" x14ac:dyDescent="0.2">
      <c r="U1560" s="209" t="str">
        <f t="shared" si="27"/>
        <v>1w</v>
      </c>
      <c r="V1560" s="207">
        <f>_xll.qlCalendarAdvance(Calendar,V1559,U1560,"f",FALSE)</f>
        <v>49775</v>
      </c>
      <c r="W1560" s="210">
        <f>_xll.qlCalendarAdvance(Calendar,V1560,NDays&amp;"D")</f>
        <v>49775</v>
      </c>
      <c r="X1560" s="211">
        <v>2.5403099624083936E-2</v>
      </c>
      <c r="Y1560" s="232"/>
    </row>
    <row r="1561" spans="21:25" x14ac:dyDescent="0.2">
      <c r="U1561" s="209" t="str">
        <f t="shared" si="27"/>
        <v>1w</v>
      </c>
      <c r="V1561" s="207">
        <f>_xll.qlCalendarAdvance(Calendar,V1560,U1561,"f",FALSE)</f>
        <v>49782</v>
      </c>
      <c r="W1561" s="210">
        <f>_xll.qlCalendarAdvance(Calendar,V1561,NDays&amp;"D")</f>
        <v>49782</v>
      </c>
      <c r="X1561" s="211">
        <v>2.5392346012562683E-2</v>
      </c>
      <c r="Y1561" s="232"/>
    </row>
    <row r="1562" spans="21:25" x14ac:dyDescent="0.2">
      <c r="U1562" s="209" t="str">
        <f t="shared" si="27"/>
        <v>1w</v>
      </c>
      <c r="V1562" s="207">
        <f>_xll.qlCalendarAdvance(Calendar,V1561,U1562,"f",FALSE)</f>
        <v>49789</v>
      </c>
      <c r="W1562" s="210">
        <f>_xll.qlCalendarAdvance(Calendar,V1562,NDays&amp;"D")</f>
        <v>49789</v>
      </c>
      <c r="X1562" s="211">
        <v>2.5382297598142145E-2</v>
      </c>
      <c r="Y1562" s="232"/>
    </row>
    <row r="1563" spans="21:25" x14ac:dyDescent="0.2">
      <c r="U1563" s="209" t="str">
        <f t="shared" si="27"/>
        <v>1w</v>
      </c>
      <c r="V1563" s="207">
        <f>_xll.qlCalendarAdvance(Calendar,V1562,U1563,"f",FALSE)</f>
        <v>49797</v>
      </c>
      <c r="W1563" s="210">
        <f>_xll.qlCalendarAdvance(Calendar,V1563,NDays&amp;"D")</f>
        <v>49797</v>
      </c>
      <c r="X1563" s="211">
        <v>2.5371146987094306E-2</v>
      </c>
      <c r="Y1563" s="232"/>
    </row>
    <row r="1564" spans="21:25" x14ac:dyDescent="0.2">
      <c r="U1564" s="209" t="str">
        <f t="shared" si="27"/>
        <v>1w</v>
      </c>
      <c r="V1564" s="207">
        <f>_xll.qlCalendarAdvance(Calendar,V1563,U1564,"f",FALSE)</f>
        <v>49804</v>
      </c>
      <c r="W1564" s="210">
        <f>_xll.qlCalendarAdvance(Calendar,V1564,NDays&amp;"D")</f>
        <v>49804</v>
      </c>
      <c r="X1564" s="211">
        <v>2.5361067650875313E-2</v>
      </c>
      <c r="Y1564" s="232"/>
    </row>
    <row r="1565" spans="21:25" x14ac:dyDescent="0.2">
      <c r="U1565" s="209" t="str">
        <f t="shared" si="27"/>
        <v>1w</v>
      </c>
      <c r="V1565" s="207">
        <f>_xll.qlCalendarAdvance(Calendar,V1564,U1565,"f",FALSE)</f>
        <v>49811</v>
      </c>
      <c r="W1565" s="210">
        <f>_xll.qlCalendarAdvance(Calendar,V1565,NDays&amp;"D")</f>
        <v>49811</v>
      </c>
      <c r="X1565" s="211">
        <v>2.5350975406395193E-2</v>
      </c>
      <c r="Y1565" s="232"/>
    </row>
    <row r="1566" spans="21:25" x14ac:dyDescent="0.2">
      <c r="U1566" s="209" t="str">
        <f t="shared" si="27"/>
        <v>1w</v>
      </c>
      <c r="V1566" s="207">
        <f>_xll.qlCalendarAdvance(Calendar,V1565,U1566,"f",FALSE)</f>
        <v>49818</v>
      </c>
      <c r="W1566" s="210">
        <f>_xll.qlCalendarAdvance(Calendar,V1566,NDays&amp;"D")</f>
        <v>49818</v>
      </c>
      <c r="X1566" s="211">
        <v>2.5340870253680592E-2</v>
      </c>
      <c r="Y1566" s="232"/>
    </row>
    <row r="1567" spans="21:25" x14ac:dyDescent="0.2">
      <c r="U1567" s="209" t="str">
        <f t="shared" si="27"/>
        <v>1w</v>
      </c>
      <c r="V1567" s="207">
        <f>_xll.qlCalendarAdvance(Calendar,V1566,U1567,"f",FALSE)</f>
        <v>49825</v>
      </c>
      <c r="W1567" s="210">
        <f>_xll.qlCalendarAdvance(Calendar,V1567,NDays&amp;"D")</f>
        <v>49825</v>
      </c>
      <c r="X1567" s="211">
        <v>2.5330752192704864E-2</v>
      </c>
      <c r="Y1567" s="232"/>
    </row>
    <row r="1568" spans="21:25" x14ac:dyDescent="0.2">
      <c r="U1568" s="209" t="str">
        <f t="shared" si="27"/>
        <v>1w</v>
      </c>
      <c r="V1568" s="207">
        <f>_xll.qlCalendarAdvance(Calendar,V1567,U1568,"f",FALSE)</f>
        <v>49832</v>
      </c>
      <c r="W1568" s="210">
        <f>_xll.qlCalendarAdvance(Calendar,V1568,NDays&amp;"D")</f>
        <v>49832</v>
      </c>
      <c r="X1568" s="211">
        <v>2.5320621223547946E-2</v>
      </c>
      <c r="Y1568" s="232"/>
    </row>
    <row r="1569" spans="21:25" x14ac:dyDescent="0.2">
      <c r="U1569" s="209" t="str">
        <f t="shared" si="27"/>
        <v>1w</v>
      </c>
      <c r="V1569" s="207">
        <f>_xll.qlCalendarAdvance(Calendar,V1568,U1569,"f",FALSE)</f>
        <v>49839</v>
      </c>
      <c r="W1569" s="210">
        <f>_xll.qlCalendarAdvance(Calendar,V1569,NDays&amp;"D")</f>
        <v>49839</v>
      </c>
      <c r="X1569" s="211">
        <v>2.5310477346103255E-2</v>
      </c>
      <c r="Y1569" s="232"/>
    </row>
    <row r="1570" spans="21:25" x14ac:dyDescent="0.2">
      <c r="U1570" s="209" t="str">
        <f t="shared" si="27"/>
        <v>1w</v>
      </c>
      <c r="V1570" s="207">
        <f>_xll.qlCalendarAdvance(Calendar,V1569,U1570,"f",FALSE)</f>
        <v>49846</v>
      </c>
      <c r="W1570" s="210">
        <f>_xll.qlCalendarAdvance(Calendar,V1570,NDays&amp;"D")</f>
        <v>49846</v>
      </c>
      <c r="X1570" s="211">
        <v>2.5300320560450729E-2</v>
      </c>
      <c r="Y1570" s="232"/>
    </row>
    <row r="1571" spans="21:25" x14ac:dyDescent="0.2">
      <c r="U1571" s="209" t="str">
        <f t="shared" si="27"/>
        <v>1w</v>
      </c>
      <c r="V1571" s="207">
        <f>_xll.qlCalendarAdvance(Calendar,V1570,U1571,"f",FALSE)</f>
        <v>49853</v>
      </c>
      <c r="W1571" s="210">
        <f>_xll.qlCalendarAdvance(Calendar,V1571,NDays&amp;"D")</f>
        <v>49853</v>
      </c>
      <c r="X1571" s="211">
        <v>2.5290150866590366E-2</v>
      </c>
      <c r="Y1571" s="232"/>
    </row>
    <row r="1572" spans="21:25" x14ac:dyDescent="0.2">
      <c r="U1572" s="209" t="str">
        <f t="shared" si="27"/>
        <v>1w</v>
      </c>
      <c r="V1572" s="207">
        <f>_xll.qlCalendarAdvance(Calendar,V1571,U1572,"f",FALSE)</f>
        <v>49860</v>
      </c>
      <c r="W1572" s="210">
        <f>_xll.qlCalendarAdvance(Calendar,V1572,NDays&amp;"D")</f>
        <v>49860</v>
      </c>
      <c r="X1572" s="211">
        <v>2.5279968264495523E-2</v>
      </c>
      <c r="Y1572" s="232"/>
    </row>
    <row r="1573" spans="21:25" x14ac:dyDescent="0.2">
      <c r="U1573" s="209" t="str">
        <f t="shared" si="27"/>
        <v>1w</v>
      </c>
      <c r="V1573" s="207">
        <f>_xll.qlCalendarAdvance(Calendar,V1572,U1573,"f",FALSE)</f>
        <v>49867</v>
      </c>
      <c r="W1573" s="210">
        <f>_xll.qlCalendarAdvance(Calendar,V1573,NDays&amp;"D")</f>
        <v>49867</v>
      </c>
      <c r="X1573" s="211">
        <v>2.5269772754166198E-2</v>
      </c>
      <c r="Y1573" s="232"/>
    </row>
    <row r="1574" spans="21:25" x14ac:dyDescent="0.2">
      <c r="U1574" s="209" t="str">
        <f t="shared" si="27"/>
        <v>1w</v>
      </c>
      <c r="V1574" s="207">
        <f>_xll.qlCalendarAdvance(Calendar,V1573,U1574,"f",FALSE)</f>
        <v>49874</v>
      </c>
      <c r="W1574" s="210">
        <f>_xll.qlCalendarAdvance(Calendar,V1574,NDays&amp;"D")</f>
        <v>49874</v>
      </c>
      <c r="X1574" s="211">
        <v>2.5259564335629037E-2</v>
      </c>
      <c r="Y1574" s="232"/>
    </row>
    <row r="1575" spans="21:25" x14ac:dyDescent="0.2">
      <c r="U1575" s="209" t="str">
        <f t="shared" si="27"/>
        <v>1w</v>
      </c>
      <c r="V1575" s="207">
        <f>_xll.qlCalendarAdvance(Calendar,V1574,U1575,"f",FALSE)</f>
        <v>49881</v>
      </c>
      <c r="W1575" s="210">
        <f>_xll.qlCalendarAdvance(Calendar,V1575,NDays&amp;"D")</f>
        <v>49881</v>
      </c>
      <c r="X1575" s="211">
        <v>2.524934300888404E-2</v>
      </c>
      <c r="Y1575" s="232"/>
    </row>
    <row r="1576" spans="21:25" x14ac:dyDescent="0.2">
      <c r="U1576" s="209" t="str">
        <f t="shared" si="27"/>
        <v>1w</v>
      </c>
      <c r="V1576" s="207">
        <f>_xll.qlCalendarAdvance(Calendar,V1575,U1576,"f",FALSE)</f>
        <v>49888</v>
      </c>
      <c r="W1576" s="210">
        <f>_xll.qlCalendarAdvance(Calendar,V1576,NDays&amp;"D")</f>
        <v>49888</v>
      </c>
      <c r="X1576" s="211">
        <v>2.5239108773904562E-2</v>
      </c>
      <c r="Y1576" s="232"/>
    </row>
    <row r="1577" spans="21:25" x14ac:dyDescent="0.2">
      <c r="U1577" s="209" t="str">
        <f t="shared" si="27"/>
        <v>1w</v>
      </c>
      <c r="V1577" s="207">
        <f>_xll.qlCalendarAdvance(Calendar,V1576,U1577,"f",FALSE)</f>
        <v>49895</v>
      </c>
      <c r="W1577" s="210">
        <f>_xll.qlCalendarAdvance(Calendar,V1577,NDays&amp;"D")</f>
        <v>49895</v>
      </c>
      <c r="X1577" s="211">
        <v>2.5228861630743893E-2</v>
      </c>
      <c r="Y1577" s="232"/>
    </row>
    <row r="1578" spans="21:25" x14ac:dyDescent="0.2">
      <c r="U1578" s="209" t="str">
        <f t="shared" si="27"/>
        <v>1w</v>
      </c>
      <c r="V1578" s="207">
        <f>_xll.qlCalendarAdvance(Calendar,V1577,U1578,"f",FALSE)</f>
        <v>49902</v>
      </c>
      <c r="W1578" s="210">
        <f>_xll.qlCalendarAdvance(Calendar,V1578,NDays&amp;"D")</f>
        <v>49902</v>
      </c>
      <c r="X1578" s="211">
        <v>2.5218601579348743E-2</v>
      </c>
      <c r="Y1578" s="232"/>
    </row>
    <row r="1579" spans="21:25" x14ac:dyDescent="0.2">
      <c r="U1579" s="209" t="str">
        <f t="shared" si="27"/>
        <v>1w</v>
      </c>
      <c r="V1579" s="207">
        <f>_xll.qlCalendarAdvance(Calendar,V1578,U1579,"f",FALSE)</f>
        <v>49909</v>
      </c>
      <c r="W1579" s="210">
        <f>_xll.qlCalendarAdvance(Calendar,V1579,NDays&amp;"D")</f>
        <v>49909</v>
      </c>
      <c r="X1579" s="211">
        <v>2.5208328619772402E-2</v>
      </c>
      <c r="Y1579" s="232"/>
    </row>
    <row r="1580" spans="21:25" x14ac:dyDescent="0.2">
      <c r="U1580" s="209" t="str">
        <f t="shared" si="27"/>
        <v>1w</v>
      </c>
      <c r="V1580" s="207">
        <f>_xll.qlCalendarAdvance(Calendar,V1579,U1580,"f",FALSE)</f>
        <v>49916</v>
      </c>
      <c r="W1580" s="210">
        <f>_xll.qlCalendarAdvance(Calendar,V1580,NDays&amp;"D")</f>
        <v>49916</v>
      </c>
      <c r="X1580" s="211">
        <v>2.5198042751988226E-2</v>
      </c>
      <c r="Y1580" s="232"/>
    </row>
    <row r="1581" spans="21:25" x14ac:dyDescent="0.2">
      <c r="U1581" s="209" t="str">
        <f t="shared" si="27"/>
        <v>1w</v>
      </c>
      <c r="V1581" s="207">
        <f>_xll.qlCalendarAdvance(Calendar,V1580,U1581,"f",FALSE)</f>
        <v>49923</v>
      </c>
      <c r="W1581" s="210">
        <f>_xll.qlCalendarAdvance(Calendar,V1581,NDays&amp;"D")</f>
        <v>49923</v>
      </c>
      <c r="X1581" s="211">
        <v>2.5187743976049504E-2</v>
      </c>
      <c r="Y1581" s="232"/>
    </row>
    <row r="1582" spans="21:25" x14ac:dyDescent="0.2">
      <c r="U1582" s="209" t="str">
        <f t="shared" si="27"/>
        <v>1w</v>
      </c>
      <c r="V1582" s="207">
        <f>_xll.qlCalendarAdvance(Calendar,V1581,U1582,"f",FALSE)</f>
        <v>49930</v>
      </c>
      <c r="W1582" s="210">
        <f>_xll.qlCalendarAdvance(Calendar,V1582,NDays&amp;"D")</f>
        <v>49930</v>
      </c>
      <c r="X1582" s="211">
        <v>2.5177432291902946E-2</v>
      </c>
      <c r="Y1582" s="232"/>
    </row>
    <row r="1583" spans="21:25" x14ac:dyDescent="0.2">
      <c r="U1583" s="209" t="str">
        <f t="shared" si="27"/>
        <v>1w</v>
      </c>
      <c r="V1583" s="207">
        <f>_xll.qlCalendarAdvance(Calendar,V1582,U1583,"f",FALSE)</f>
        <v>49937</v>
      </c>
      <c r="W1583" s="210">
        <f>_xll.qlCalendarAdvance(Calendar,V1583,NDays&amp;"D")</f>
        <v>49937</v>
      </c>
      <c r="X1583" s="211">
        <v>2.5167107699548552E-2</v>
      </c>
      <c r="Y1583" s="232"/>
    </row>
    <row r="1584" spans="21:25" x14ac:dyDescent="0.2">
      <c r="U1584" s="209" t="str">
        <f t="shared" si="27"/>
        <v>1w</v>
      </c>
      <c r="V1584" s="207">
        <f>_xll.qlCalendarAdvance(Calendar,V1583,U1584,"f",FALSE)</f>
        <v>49944</v>
      </c>
      <c r="W1584" s="210">
        <f>_xll.qlCalendarAdvance(Calendar,V1584,NDays&amp;"D")</f>
        <v>49944</v>
      </c>
      <c r="X1584" s="211">
        <v>2.5156770199039613E-2</v>
      </c>
      <c r="Y1584" s="232"/>
    </row>
    <row r="1585" spans="21:25" x14ac:dyDescent="0.2">
      <c r="U1585" s="209" t="str">
        <f t="shared" si="27"/>
        <v>1w</v>
      </c>
      <c r="V1585" s="207">
        <f>_xll.qlCalendarAdvance(Calendar,V1584,U1585,"f",FALSE)</f>
        <v>49951</v>
      </c>
      <c r="W1585" s="210">
        <f>_xll.qlCalendarAdvance(Calendar,V1585,NDays&amp;"D")</f>
        <v>49951</v>
      </c>
      <c r="X1585" s="211">
        <v>2.5146419790296193E-2</v>
      </c>
      <c r="Y1585" s="232"/>
    </row>
    <row r="1586" spans="21:25" x14ac:dyDescent="0.2">
      <c r="U1586" s="209" t="str">
        <f t="shared" si="27"/>
        <v>1w</v>
      </c>
      <c r="V1586" s="207">
        <f>_xll.qlCalendarAdvance(Calendar,V1585,U1586,"f",FALSE)</f>
        <v>49958</v>
      </c>
      <c r="W1586" s="210">
        <f>_xll.qlCalendarAdvance(Calendar,V1586,NDays&amp;"D")</f>
        <v>49958</v>
      </c>
      <c r="X1586" s="211">
        <v>2.5136056473451518E-2</v>
      </c>
      <c r="Y1586" s="232"/>
    </row>
    <row r="1587" spans="21:25" x14ac:dyDescent="0.2">
      <c r="U1587" s="209" t="str">
        <f t="shared" si="27"/>
        <v>1w</v>
      </c>
      <c r="V1587" s="207">
        <f>_xll.qlCalendarAdvance(Calendar,V1586,U1587,"f",FALSE)</f>
        <v>49965</v>
      </c>
      <c r="W1587" s="210">
        <f>_xll.qlCalendarAdvance(Calendar,V1587,NDays&amp;"D")</f>
        <v>49965</v>
      </c>
      <c r="X1587" s="211">
        <v>2.5125680248372362E-2</v>
      </c>
      <c r="Y1587" s="232"/>
    </row>
    <row r="1588" spans="21:25" x14ac:dyDescent="0.2">
      <c r="U1588" s="209" t="str">
        <f t="shared" si="27"/>
        <v>1w</v>
      </c>
      <c r="V1588" s="207">
        <f>_xll.qlCalendarAdvance(Calendar,V1587,U1588,"f",FALSE)</f>
        <v>49972</v>
      </c>
      <c r="W1588" s="210">
        <f>_xll.qlCalendarAdvance(Calendar,V1588,NDays&amp;"D")</f>
        <v>49972</v>
      </c>
      <c r="X1588" s="211">
        <v>2.5115291115165306E-2</v>
      </c>
      <c r="Y1588" s="232"/>
    </row>
    <row r="1589" spans="21:25" x14ac:dyDescent="0.2">
      <c r="U1589" s="209" t="str">
        <f t="shared" si="27"/>
        <v>1w</v>
      </c>
      <c r="V1589" s="207">
        <f>_xll.qlCalendarAdvance(Calendar,V1588,U1589,"f",FALSE)</f>
        <v>49979</v>
      </c>
      <c r="W1589" s="210">
        <f>_xll.qlCalendarAdvance(Calendar,V1589,NDays&amp;"D")</f>
        <v>49979</v>
      </c>
      <c r="X1589" s="211">
        <v>2.5104889073777059E-2</v>
      </c>
      <c r="Y1589" s="232"/>
    </row>
    <row r="1590" spans="21:25" x14ac:dyDescent="0.2">
      <c r="U1590" s="209" t="str">
        <f t="shared" si="27"/>
        <v>1w</v>
      </c>
      <c r="V1590" s="207">
        <f>_xll.qlCalendarAdvance(Calendar,V1589,U1590,"f",FALSE)</f>
        <v>49986</v>
      </c>
      <c r="W1590" s="210">
        <f>_xll.qlCalendarAdvance(Calendar,V1590,NDays&amp;"D")</f>
        <v>49986</v>
      </c>
      <c r="X1590" s="211">
        <v>2.5094474124207622E-2</v>
      </c>
      <c r="Y1590" s="232"/>
    </row>
    <row r="1591" spans="21:25" x14ac:dyDescent="0.2">
      <c r="U1591" s="209" t="str">
        <f t="shared" si="27"/>
        <v>1w</v>
      </c>
      <c r="V1591" s="207">
        <f>_xll.qlCalendarAdvance(Calendar,V1590,U1591,"f",FALSE)</f>
        <v>49993</v>
      </c>
      <c r="W1591" s="210">
        <f>_xll.qlCalendarAdvance(Calendar,V1591,NDays&amp;"D")</f>
        <v>49993</v>
      </c>
      <c r="X1591" s="211">
        <v>2.5084046266483639E-2</v>
      </c>
      <c r="Y1591" s="232"/>
    </row>
    <row r="1592" spans="21:25" x14ac:dyDescent="0.2">
      <c r="U1592" s="209" t="str">
        <f t="shared" si="27"/>
        <v>1w</v>
      </c>
      <c r="V1592" s="207">
        <f>_xll.qlCalendarAdvance(Calendar,V1591,U1592,"f",FALSE)</f>
        <v>50000</v>
      </c>
      <c r="W1592" s="210">
        <f>_xll.qlCalendarAdvance(Calendar,V1592,NDays&amp;"D")</f>
        <v>50000</v>
      </c>
      <c r="X1592" s="211">
        <v>2.5073605500631757E-2</v>
      </c>
      <c r="Y1592" s="232"/>
    </row>
    <row r="1593" spans="21:25" x14ac:dyDescent="0.2">
      <c r="U1593" s="209" t="str">
        <f t="shared" si="27"/>
        <v>1w</v>
      </c>
      <c r="V1593" s="207">
        <f>_xll.qlCalendarAdvance(Calendar,V1592,U1593,"f",FALSE)</f>
        <v>50007</v>
      </c>
      <c r="W1593" s="210">
        <f>_xll.qlCalendarAdvance(Calendar,V1593,NDays&amp;"D")</f>
        <v>50007</v>
      </c>
      <c r="X1593" s="211">
        <v>2.5063151826598684E-2</v>
      </c>
      <c r="Y1593" s="232"/>
    </row>
    <row r="1594" spans="21:25" x14ac:dyDescent="0.2">
      <c r="U1594" s="209" t="str">
        <f t="shared" si="27"/>
        <v>1w</v>
      </c>
      <c r="V1594" s="207">
        <f>_xll.qlCalendarAdvance(Calendar,V1593,U1594,"f",FALSE)</f>
        <v>50014</v>
      </c>
      <c r="W1594" s="210">
        <f>_xll.qlCalendarAdvance(Calendar,V1594,NDays&amp;"D")</f>
        <v>50014</v>
      </c>
      <c r="X1594" s="211">
        <v>2.5052685244411066E-2</v>
      </c>
      <c r="Y1594" s="232"/>
    </row>
    <row r="1595" spans="21:25" x14ac:dyDescent="0.2">
      <c r="U1595" s="209" t="str">
        <f t="shared" si="27"/>
        <v>1w</v>
      </c>
      <c r="V1595" s="207">
        <f>_xll.qlCalendarAdvance(Calendar,V1594,U1595,"f",FALSE)</f>
        <v>50021</v>
      </c>
      <c r="W1595" s="210">
        <f>_xll.qlCalendarAdvance(Calendar,V1595,NDays&amp;"D")</f>
        <v>50021</v>
      </c>
      <c r="X1595" s="211">
        <v>2.5042205754095548E-2</v>
      </c>
      <c r="Y1595" s="232"/>
    </row>
    <row r="1596" spans="21:25" x14ac:dyDescent="0.2">
      <c r="U1596" s="209" t="str">
        <f t="shared" si="27"/>
        <v>1w</v>
      </c>
      <c r="V1596" s="207">
        <f>_xll.qlCalendarAdvance(Calendar,V1595,U1596,"f",FALSE)</f>
        <v>50028</v>
      </c>
      <c r="W1596" s="210">
        <f>_xll.qlCalendarAdvance(Calendar,V1596,NDays&amp;"D")</f>
        <v>50028</v>
      </c>
      <c r="X1596" s="211">
        <v>2.5031713355625484E-2</v>
      </c>
      <c r="Y1596" s="232"/>
    </row>
    <row r="1597" spans="21:25" x14ac:dyDescent="0.2">
      <c r="U1597" s="209" t="str">
        <f t="shared" si="27"/>
        <v>1w</v>
      </c>
      <c r="V1597" s="207">
        <f>_xll.qlCalendarAdvance(Calendar,V1596,U1597,"f",FALSE)</f>
        <v>50038</v>
      </c>
      <c r="W1597" s="210">
        <f>_xll.qlCalendarAdvance(Calendar,V1597,NDays&amp;"D")</f>
        <v>50038</v>
      </c>
      <c r="X1597" s="211">
        <v>2.5016465810718813E-2</v>
      </c>
      <c r="Y1597" s="232"/>
    </row>
    <row r="1598" spans="21:25" x14ac:dyDescent="0.2">
      <c r="U1598" s="209" t="str">
        <f t="shared" si="27"/>
        <v>1w</v>
      </c>
      <c r="V1598" s="207">
        <f>_xll.qlCalendarAdvance(Calendar,V1597,U1598,"f",FALSE)</f>
        <v>50045</v>
      </c>
      <c r="W1598" s="210">
        <f>_xll.qlCalendarAdvance(Calendar,V1598,NDays&amp;"D")</f>
        <v>50045</v>
      </c>
      <c r="X1598" s="211">
        <v>2.5005945369880322E-2</v>
      </c>
      <c r="Y1598" s="232"/>
    </row>
    <row r="1599" spans="21:25" x14ac:dyDescent="0.2">
      <c r="U1599" s="209" t="str">
        <f t="shared" si="27"/>
        <v>1w</v>
      </c>
      <c r="V1599" s="207">
        <f>_xll.qlCalendarAdvance(Calendar,V1598,U1599,"f",FALSE)</f>
        <v>50052</v>
      </c>
      <c r="W1599" s="210">
        <f>_xll.qlCalendarAdvance(Calendar,V1599,NDays&amp;"D")</f>
        <v>50052</v>
      </c>
      <c r="X1599" s="211">
        <v>2.4995412021926455E-2</v>
      </c>
      <c r="Y1599" s="232"/>
    </row>
    <row r="1600" spans="21:25" x14ac:dyDescent="0.2">
      <c r="U1600" s="209" t="str">
        <f t="shared" si="27"/>
        <v>1w</v>
      </c>
      <c r="V1600" s="207">
        <f>_xll.qlCalendarAdvance(Calendar,V1599,U1600,"f",FALSE)</f>
        <v>50059</v>
      </c>
      <c r="W1600" s="210">
        <f>_xll.qlCalendarAdvance(Calendar,V1600,NDays&amp;"D")</f>
        <v>50059</v>
      </c>
      <c r="X1600" s="211">
        <v>2.4984865767176956E-2</v>
      </c>
      <c r="Y1600" s="232"/>
    </row>
    <row r="1601" spans="21:25" x14ac:dyDescent="0.2">
      <c r="U1601" s="209" t="str">
        <f t="shared" si="27"/>
        <v>1w</v>
      </c>
      <c r="V1601" s="207">
        <f>_xll.qlCalendarAdvance(Calendar,V1600,U1601,"f",FALSE)</f>
        <v>50066</v>
      </c>
      <c r="W1601" s="210">
        <f>_xll.qlCalendarAdvance(Calendar,V1601,NDays&amp;"D")</f>
        <v>50066</v>
      </c>
      <c r="X1601" s="211">
        <v>2.4974306605392016E-2</v>
      </c>
      <c r="Y1601" s="232"/>
    </row>
    <row r="1602" spans="21:25" x14ac:dyDescent="0.2">
      <c r="U1602" s="209" t="str">
        <f t="shared" si="27"/>
        <v>1w</v>
      </c>
      <c r="V1602" s="207">
        <f>_xll.qlCalendarAdvance(Calendar,V1601,U1602,"f",FALSE)</f>
        <v>50073</v>
      </c>
      <c r="W1602" s="210">
        <f>_xll.qlCalendarAdvance(Calendar,V1602,NDays&amp;"D")</f>
        <v>50073</v>
      </c>
      <c r="X1602" s="211">
        <v>2.4963734536731508E-2</v>
      </c>
      <c r="Y1602" s="232"/>
    </row>
    <row r="1603" spans="21:25" x14ac:dyDescent="0.2">
      <c r="U1603" s="209" t="str">
        <f t="shared" si="27"/>
        <v>1w</v>
      </c>
      <c r="V1603" s="207">
        <f>_xll.qlCalendarAdvance(Calendar,V1602,U1603,"f",FALSE)</f>
        <v>50080</v>
      </c>
      <c r="W1603" s="210">
        <f>_xll.qlCalendarAdvance(Calendar,V1603,NDays&amp;"D")</f>
        <v>50080</v>
      </c>
      <c r="X1603" s="211">
        <v>2.4953149560955623E-2</v>
      </c>
      <c r="Y1603" s="232"/>
    </row>
    <row r="1604" spans="21:25" x14ac:dyDescent="0.2">
      <c r="U1604" s="209" t="str">
        <f t="shared" si="27"/>
        <v>1w</v>
      </c>
      <c r="V1604" s="207">
        <f>_xll.qlCalendarAdvance(Calendar,V1603,U1604,"f",FALSE)</f>
        <v>50087</v>
      </c>
      <c r="W1604" s="210">
        <f>_xll.qlCalendarAdvance(Calendar,V1604,NDays&amp;"D")</f>
        <v>50087</v>
      </c>
      <c r="X1604" s="211">
        <v>2.4942551678384106E-2</v>
      </c>
      <c r="Y1604" s="232"/>
    </row>
    <row r="1605" spans="21:25" x14ac:dyDescent="0.2">
      <c r="U1605" s="209" t="str">
        <f t="shared" si="27"/>
        <v>1w</v>
      </c>
      <c r="V1605" s="207">
        <f>_xll.qlCalendarAdvance(Calendar,V1604,U1605,"f",FALSE)</f>
        <v>50094</v>
      </c>
      <c r="W1605" s="210">
        <f>_xll.qlCalendarAdvance(Calendar,V1605,NDays&amp;"D")</f>
        <v>50094</v>
      </c>
      <c r="X1605" s="211">
        <v>2.4931940888857085E-2</v>
      </c>
      <c r="Y1605" s="232"/>
    </row>
    <row r="1606" spans="21:25" x14ac:dyDescent="0.2">
      <c r="U1606" s="209" t="str">
        <f t="shared" si="27"/>
        <v>1w</v>
      </c>
      <c r="V1606" s="207">
        <f>_xll.qlCalendarAdvance(Calendar,V1605,U1606,"f",FALSE)</f>
        <v>50101</v>
      </c>
      <c r="W1606" s="210">
        <f>_xll.qlCalendarAdvance(Calendar,V1606,NDays&amp;"D")</f>
        <v>50101</v>
      </c>
      <c r="X1606" s="211">
        <v>2.4921317192374559E-2</v>
      </c>
      <c r="Y1606" s="232"/>
    </row>
    <row r="1607" spans="21:25" x14ac:dyDescent="0.2">
      <c r="U1607" s="209" t="str">
        <f t="shared" si="27"/>
        <v>1w</v>
      </c>
      <c r="V1607" s="207">
        <f>_xll.qlCalendarAdvance(Calendar,V1606,U1607,"f",FALSE)</f>
        <v>50108</v>
      </c>
      <c r="W1607" s="210">
        <f>_xll.qlCalendarAdvance(Calendar,V1607,NDays&amp;"D")</f>
        <v>50108</v>
      </c>
      <c r="X1607" s="211">
        <v>2.4910680588936529E-2</v>
      </c>
      <c r="Y1607" s="232"/>
    </row>
    <row r="1608" spans="21:25" x14ac:dyDescent="0.2">
      <c r="U1608" s="209" t="str">
        <f t="shared" si="27"/>
        <v>1w</v>
      </c>
      <c r="V1608" s="207">
        <f>_xll.qlCalendarAdvance(Calendar,V1607,U1608,"f",FALSE)</f>
        <v>50115</v>
      </c>
      <c r="W1608" s="210">
        <f>_xll.qlCalendarAdvance(Calendar,V1608,NDays&amp;"D")</f>
        <v>50115</v>
      </c>
      <c r="X1608" s="211">
        <v>2.4900031078463059E-2</v>
      </c>
      <c r="Y1608" s="232"/>
    </row>
    <row r="1609" spans="21:25" x14ac:dyDescent="0.2">
      <c r="U1609" s="209" t="str">
        <f t="shared" si="27"/>
        <v>1w</v>
      </c>
      <c r="V1609" s="207">
        <f>_xll.qlCalendarAdvance(Calendar,V1608,U1609,"f",FALSE)</f>
        <v>50122</v>
      </c>
      <c r="W1609" s="210">
        <f>_xll.qlCalendarAdvance(Calendar,V1609,NDays&amp;"D")</f>
        <v>50122</v>
      </c>
      <c r="X1609" s="211">
        <v>2.4889368661193956E-2</v>
      </c>
      <c r="Y1609" s="232"/>
    </row>
    <row r="1610" spans="21:25" x14ac:dyDescent="0.2">
      <c r="U1610" s="209" t="str">
        <f t="shared" si="27"/>
        <v>1w</v>
      </c>
      <c r="V1610" s="207">
        <f>_xll.qlCalendarAdvance(Calendar,V1609,U1610,"f",FALSE)</f>
        <v>50129</v>
      </c>
      <c r="W1610" s="210">
        <f>_xll.qlCalendarAdvance(Calendar,V1610,NDays&amp;"D")</f>
        <v>50129</v>
      </c>
      <c r="X1610" s="211">
        <v>2.4878693336809476E-2</v>
      </c>
      <c r="Y1610" s="232"/>
    </row>
    <row r="1611" spans="21:25" x14ac:dyDescent="0.2">
      <c r="U1611" s="209" t="str">
        <f t="shared" si="27"/>
        <v>1w</v>
      </c>
      <c r="V1611" s="207">
        <f>_xll.qlCalendarAdvance(Calendar,V1610,U1611,"f",FALSE)</f>
        <v>50137</v>
      </c>
      <c r="W1611" s="210">
        <f>_xll.qlCalendarAdvance(Calendar,V1611,NDays&amp;"D")</f>
        <v>50137</v>
      </c>
      <c r="X1611" s="211">
        <v>2.4866477161777922E-2</v>
      </c>
      <c r="Y1611" s="232"/>
    </row>
    <row r="1612" spans="21:25" x14ac:dyDescent="0.2">
      <c r="U1612" s="209" t="str">
        <f t="shared" si="27"/>
        <v>1w</v>
      </c>
      <c r="V1612" s="207">
        <f>_xll.qlCalendarAdvance(Calendar,V1611,U1612,"f",FALSE)</f>
        <v>50144</v>
      </c>
      <c r="W1612" s="210">
        <f>_xll.qlCalendarAdvance(Calendar,V1612,NDays&amp;"D")</f>
        <v>50144</v>
      </c>
      <c r="X1612" s="211">
        <v>2.4855774179837198E-2</v>
      </c>
      <c r="Y1612" s="232"/>
    </row>
    <row r="1613" spans="21:25" x14ac:dyDescent="0.2">
      <c r="U1613" s="209" t="str">
        <f t="shared" ref="U1613:U1676" si="28">U1612</f>
        <v>1w</v>
      </c>
      <c r="V1613" s="207">
        <f>_xll.qlCalendarAdvance(Calendar,V1612,U1613,"f",FALSE)</f>
        <v>50151</v>
      </c>
      <c r="W1613" s="210">
        <f>_xll.qlCalendarAdvance(Calendar,V1613,NDays&amp;"D")</f>
        <v>50151</v>
      </c>
      <c r="X1613" s="211">
        <v>2.4845058290861033E-2</v>
      </c>
      <c r="Y1613" s="232"/>
    </row>
    <row r="1614" spans="21:25" x14ac:dyDescent="0.2">
      <c r="U1614" s="209" t="str">
        <f t="shared" si="28"/>
        <v>1w</v>
      </c>
      <c r="V1614" s="207">
        <f>_xll.qlCalendarAdvance(Calendar,V1613,U1614,"f",FALSE)</f>
        <v>50158</v>
      </c>
      <c r="W1614" s="210">
        <f>_xll.qlCalendarAdvance(Calendar,V1614,NDays&amp;"D")</f>
        <v>50158</v>
      </c>
      <c r="X1614" s="211">
        <v>2.48343294950093E-2</v>
      </c>
      <c r="Y1614" s="232"/>
    </row>
    <row r="1615" spans="21:25" x14ac:dyDescent="0.2">
      <c r="U1615" s="209" t="str">
        <f t="shared" si="28"/>
        <v>1w</v>
      </c>
      <c r="V1615" s="207">
        <f>_xll.qlCalendarAdvance(Calendar,V1614,U1615,"f",FALSE)</f>
        <v>50165</v>
      </c>
      <c r="W1615" s="210">
        <f>_xll.qlCalendarAdvance(Calendar,V1615,NDays&amp;"D")</f>
        <v>50165</v>
      </c>
      <c r="X1615" s="211">
        <v>2.4823587792122126E-2</v>
      </c>
      <c r="Y1615" s="232"/>
    </row>
    <row r="1616" spans="21:25" x14ac:dyDescent="0.2">
      <c r="U1616" s="209" t="str">
        <f t="shared" si="28"/>
        <v>1w</v>
      </c>
      <c r="V1616" s="207">
        <f>_xll.qlCalendarAdvance(Calendar,V1615,U1616,"f",FALSE)</f>
        <v>50172</v>
      </c>
      <c r="W1616" s="210">
        <f>_xll.qlCalendarAdvance(Calendar,V1616,NDays&amp;"D")</f>
        <v>50172</v>
      </c>
      <c r="X1616" s="211">
        <v>2.481283318243932E-2</v>
      </c>
      <c r="Y1616" s="232"/>
    </row>
    <row r="1617" spans="21:25" x14ac:dyDescent="0.2">
      <c r="U1617" s="209" t="str">
        <f t="shared" si="28"/>
        <v>1w</v>
      </c>
      <c r="V1617" s="207">
        <f>_xll.qlCalendarAdvance(Calendar,V1616,U1617,"f",FALSE)</f>
        <v>50179</v>
      </c>
      <c r="W1617" s="210">
        <f>_xll.qlCalendarAdvance(Calendar,V1617,NDays&amp;"D")</f>
        <v>50179</v>
      </c>
      <c r="X1617" s="211">
        <v>2.4802065665721074E-2</v>
      </c>
      <c r="Y1617" s="232"/>
    </row>
    <row r="1618" spans="21:25" x14ac:dyDescent="0.2">
      <c r="U1618" s="209" t="str">
        <f t="shared" si="28"/>
        <v>1w</v>
      </c>
      <c r="V1618" s="207">
        <f>_xll.qlCalendarAdvance(Calendar,V1617,U1618,"f",FALSE)</f>
        <v>50186</v>
      </c>
      <c r="W1618" s="210">
        <f>_xll.qlCalendarAdvance(Calendar,V1618,NDays&amp;"D")</f>
        <v>50186</v>
      </c>
      <c r="X1618" s="211">
        <v>2.4791285242047323E-2</v>
      </c>
      <c r="Y1618" s="232"/>
    </row>
    <row r="1619" spans="21:25" x14ac:dyDescent="0.2">
      <c r="U1619" s="209" t="str">
        <f t="shared" si="28"/>
        <v>1w</v>
      </c>
      <c r="V1619" s="207">
        <f>_xll.qlCalendarAdvance(Calendar,V1618,U1619,"f",FALSE)</f>
        <v>50193</v>
      </c>
      <c r="W1619" s="210">
        <f>_xll.qlCalendarAdvance(Calendar,V1619,NDays&amp;"D")</f>
        <v>50193</v>
      </c>
      <c r="X1619" s="211">
        <v>2.478049191157794E-2</v>
      </c>
      <c r="Y1619" s="232"/>
    </row>
    <row r="1620" spans="21:25" x14ac:dyDescent="0.2">
      <c r="U1620" s="209" t="str">
        <f t="shared" si="28"/>
        <v>1w</v>
      </c>
      <c r="V1620" s="207">
        <f>_xll.qlCalendarAdvance(Calendar,V1619,U1620,"f",FALSE)</f>
        <v>50200</v>
      </c>
      <c r="W1620" s="210">
        <f>_xll.qlCalendarAdvance(Calendar,V1620,NDays&amp;"D")</f>
        <v>50200</v>
      </c>
      <c r="X1620" s="211">
        <v>2.476968567399318E-2</v>
      </c>
      <c r="Y1620" s="232"/>
    </row>
    <row r="1621" spans="21:25" x14ac:dyDescent="0.2">
      <c r="U1621" s="209" t="str">
        <f t="shared" si="28"/>
        <v>1w</v>
      </c>
      <c r="V1621" s="207">
        <f>_xll.qlCalendarAdvance(Calendar,V1620,U1621,"f",FALSE)</f>
        <v>50207</v>
      </c>
      <c r="W1621" s="210">
        <f>_xll.qlCalendarAdvance(Calendar,V1621,NDays&amp;"D")</f>
        <v>50207</v>
      </c>
      <c r="X1621" s="211">
        <v>2.4758866529692725E-2</v>
      </c>
      <c r="Y1621" s="232"/>
    </row>
    <row r="1622" spans="21:25" x14ac:dyDescent="0.2">
      <c r="U1622" s="209" t="str">
        <f t="shared" si="28"/>
        <v>1w</v>
      </c>
      <c r="V1622" s="207">
        <f>_xll.qlCalendarAdvance(Calendar,V1621,U1622,"f",FALSE)</f>
        <v>50214</v>
      </c>
      <c r="W1622" s="210">
        <f>_xll.qlCalendarAdvance(Calendar,V1622,NDays&amp;"D")</f>
        <v>50214</v>
      </c>
      <c r="X1622" s="211">
        <v>2.4748034478276892E-2</v>
      </c>
      <c r="Y1622" s="232"/>
    </row>
    <row r="1623" spans="21:25" x14ac:dyDescent="0.2">
      <c r="U1623" s="209" t="str">
        <f t="shared" si="28"/>
        <v>1w</v>
      </c>
      <c r="V1623" s="207">
        <f>_xll.qlCalendarAdvance(Calendar,V1622,U1623,"f",FALSE)</f>
        <v>50221</v>
      </c>
      <c r="W1623" s="210">
        <f>_xll.qlCalendarAdvance(Calendar,V1623,NDays&amp;"D")</f>
        <v>50221</v>
      </c>
      <c r="X1623" s="211">
        <v>2.4737189519985492E-2</v>
      </c>
      <c r="Y1623" s="232"/>
    </row>
    <row r="1624" spans="21:25" x14ac:dyDescent="0.2">
      <c r="U1624" s="209" t="str">
        <f t="shared" si="28"/>
        <v>1w</v>
      </c>
      <c r="V1624" s="207">
        <f>_xll.qlCalendarAdvance(Calendar,V1623,U1624,"f",FALSE)</f>
        <v>50228</v>
      </c>
      <c r="W1624" s="210">
        <f>_xll.qlCalendarAdvance(Calendar,V1624,NDays&amp;"D")</f>
        <v>50228</v>
      </c>
      <c r="X1624" s="211">
        <v>2.4726331654818523E-2</v>
      </c>
      <c r="Y1624" s="232"/>
    </row>
    <row r="1625" spans="21:25" x14ac:dyDescent="0.2">
      <c r="U1625" s="209" t="str">
        <f t="shared" si="28"/>
        <v>1w</v>
      </c>
      <c r="V1625" s="207">
        <f>_xll.qlCalendarAdvance(Calendar,V1624,U1625,"f",FALSE)</f>
        <v>50235</v>
      </c>
      <c r="W1625" s="210">
        <f>_xll.qlCalendarAdvance(Calendar,V1625,NDays&amp;"D")</f>
        <v>50235</v>
      </c>
      <c r="X1625" s="211">
        <v>2.4715460882616114E-2</v>
      </c>
      <c r="Y1625" s="232"/>
    </row>
    <row r="1626" spans="21:25" x14ac:dyDescent="0.2">
      <c r="U1626" s="209" t="str">
        <f t="shared" si="28"/>
        <v>1w</v>
      </c>
      <c r="V1626" s="207">
        <f>_xll.qlCalendarAdvance(Calendar,V1625,U1626,"f",FALSE)</f>
        <v>50242</v>
      </c>
      <c r="W1626" s="210">
        <f>_xll.qlCalendarAdvance(Calendar,V1626,NDays&amp;"D")</f>
        <v>50242</v>
      </c>
      <c r="X1626" s="211">
        <v>2.4704577203618072E-2</v>
      </c>
      <c r="Y1626" s="232"/>
    </row>
    <row r="1627" spans="21:25" x14ac:dyDescent="0.2">
      <c r="U1627" s="209" t="str">
        <f t="shared" si="28"/>
        <v>1w</v>
      </c>
      <c r="V1627" s="207">
        <f>_xll.qlCalendarAdvance(Calendar,V1626,U1627,"f",FALSE)</f>
        <v>50249</v>
      </c>
      <c r="W1627" s="210">
        <f>_xll.qlCalendarAdvance(Calendar,V1627,NDays&amp;"D")</f>
        <v>50249</v>
      </c>
      <c r="X1627" s="211">
        <v>2.4693680617664526E-2</v>
      </c>
      <c r="Y1627" s="232"/>
    </row>
    <row r="1628" spans="21:25" x14ac:dyDescent="0.2">
      <c r="U1628" s="209" t="str">
        <f t="shared" si="28"/>
        <v>1w</v>
      </c>
      <c r="V1628" s="207">
        <f>_xll.qlCalendarAdvance(Calendar,V1627,U1628,"f",FALSE)</f>
        <v>50256</v>
      </c>
      <c r="W1628" s="210">
        <f>_xll.qlCalendarAdvance(Calendar,V1628,NDays&amp;"D")</f>
        <v>50256</v>
      </c>
      <c r="X1628" s="211">
        <v>2.468277112467554E-2</v>
      </c>
      <c r="Y1628" s="232"/>
    </row>
    <row r="1629" spans="21:25" x14ac:dyDescent="0.2">
      <c r="U1629" s="209" t="str">
        <f t="shared" si="28"/>
        <v>1w</v>
      </c>
      <c r="V1629" s="207">
        <f>_xll.qlCalendarAdvance(Calendar,V1628,U1629,"f",FALSE)</f>
        <v>50263</v>
      </c>
      <c r="W1629" s="210">
        <f>_xll.qlCalendarAdvance(Calendar,V1629,NDays&amp;"D")</f>
        <v>50263</v>
      </c>
      <c r="X1629" s="211">
        <v>2.4671848724970857E-2</v>
      </c>
      <c r="Y1629" s="232"/>
    </row>
    <row r="1630" spans="21:25" x14ac:dyDescent="0.2">
      <c r="U1630" s="209" t="str">
        <f t="shared" si="28"/>
        <v>1w</v>
      </c>
      <c r="V1630" s="207">
        <f>_xll.qlCalendarAdvance(Calendar,V1629,U1630,"f",FALSE)</f>
        <v>50270</v>
      </c>
      <c r="W1630" s="210">
        <f>_xll.qlCalendarAdvance(Calendar,V1630,NDays&amp;"D")</f>
        <v>50270</v>
      </c>
      <c r="X1630" s="211">
        <v>2.4660913418230734E-2</v>
      </c>
      <c r="Y1630" s="232"/>
    </row>
    <row r="1631" spans="21:25" x14ac:dyDescent="0.2">
      <c r="U1631" s="209" t="str">
        <f t="shared" si="28"/>
        <v>1w</v>
      </c>
      <c r="V1631" s="207">
        <f>_xll.qlCalendarAdvance(Calendar,V1630,U1631,"f",FALSE)</f>
        <v>50277</v>
      </c>
      <c r="W1631" s="210">
        <f>_xll.qlCalendarAdvance(Calendar,V1631,NDays&amp;"D")</f>
        <v>50277</v>
      </c>
      <c r="X1631" s="211">
        <v>2.4649965204535107E-2</v>
      </c>
      <c r="Y1631" s="232"/>
    </row>
    <row r="1632" spans="21:25" x14ac:dyDescent="0.2">
      <c r="U1632" s="209" t="str">
        <f t="shared" si="28"/>
        <v>1w</v>
      </c>
      <c r="V1632" s="207">
        <f>_xll.qlCalendarAdvance(Calendar,V1631,U1632,"f",FALSE)</f>
        <v>50284</v>
      </c>
      <c r="W1632" s="210">
        <f>_xll.qlCalendarAdvance(Calendar,V1632,NDays&amp;"D")</f>
        <v>50284</v>
      </c>
      <c r="X1632" s="211">
        <v>2.4639004084043847E-2</v>
      </c>
      <c r="Y1632" s="232"/>
    </row>
    <row r="1633" spans="21:25" x14ac:dyDescent="0.2">
      <c r="U1633" s="209" t="str">
        <f t="shared" si="28"/>
        <v>1w</v>
      </c>
      <c r="V1633" s="207">
        <f>_xll.qlCalendarAdvance(Calendar,V1632,U1633,"f",FALSE)</f>
        <v>50291</v>
      </c>
      <c r="W1633" s="210">
        <f>_xll.qlCalendarAdvance(Calendar,V1633,NDays&amp;"D")</f>
        <v>50291</v>
      </c>
      <c r="X1633" s="211">
        <v>2.4628030056517147E-2</v>
      </c>
      <c r="Y1633" s="232"/>
    </row>
    <row r="1634" spans="21:25" x14ac:dyDescent="0.2">
      <c r="U1634" s="209" t="str">
        <f t="shared" si="28"/>
        <v>1w</v>
      </c>
      <c r="V1634" s="207">
        <f>_xll.qlCalendarAdvance(Calendar,V1633,U1634,"f",FALSE)</f>
        <v>50298</v>
      </c>
      <c r="W1634" s="210">
        <f>_xll.qlCalendarAdvance(Calendar,V1634,NDays&amp;"D")</f>
        <v>50298</v>
      </c>
      <c r="X1634" s="211">
        <v>2.4617043122194815E-2</v>
      </c>
      <c r="Y1634" s="232"/>
    </row>
    <row r="1635" spans="21:25" x14ac:dyDescent="0.2">
      <c r="U1635" s="209" t="str">
        <f t="shared" si="28"/>
        <v>1w</v>
      </c>
      <c r="V1635" s="207">
        <f>_xll.qlCalendarAdvance(Calendar,V1634,U1635,"f",FALSE)</f>
        <v>50305</v>
      </c>
      <c r="W1635" s="210">
        <f>_xll.qlCalendarAdvance(Calendar,V1635,NDays&amp;"D")</f>
        <v>50305</v>
      </c>
      <c r="X1635" s="211">
        <v>2.4606043280837042E-2</v>
      </c>
      <c r="Y1635" s="232"/>
    </row>
    <row r="1636" spans="21:25" x14ac:dyDescent="0.2">
      <c r="U1636" s="209" t="str">
        <f t="shared" si="28"/>
        <v>1w</v>
      </c>
      <c r="V1636" s="207">
        <f>_xll.qlCalendarAdvance(Calendar,V1635,U1636,"f",FALSE)</f>
        <v>50312</v>
      </c>
      <c r="W1636" s="210">
        <f>_xll.qlCalendarAdvance(Calendar,V1636,NDays&amp;"D")</f>
        <v>50312</v>
      </c>
      <c r="X1636" s="211">
        <v>2.4595030532523765E-2</v>
      </c>
      <c r="Y1636" s="232"/>
    </row>
    <row r="1637" spans="21:25" x14ac:dyDescent="0.2">
      <c r="U1637" s="209" t="str">
        <f t="shared" si="28"/>
        <v>1w</v>
      </c>
      <c r="V1637" s="207">
        <f>_xll.qlCalendarAdvance(Calendar,V1636,U1637,"f",FALSE)</f>
        <v>50319</v>
      </c>
      <c r="W1637" s="210">
        <f>_xll.qlCalendarAdvance(Calendar,V1637,NDays&amp;"D")</f>
        <v>50319</v>
      </c>
      <c r="X1637" s="211">
        <v>2.4584004877414856E-2</v>
      </c>
      <c r="Y1637" s="232"/>
    </row>
    <row r="1638" spans="21:25" x14ac:dyDescent="0.2">
      <c r="U1638" s="209" t="str">
        <f t="shared" si="28"/>
        <v>1w</v>
      </c>
      <c r="V1638" s="207">
        <f>_xll.qlCalendarAdvance(Calendar,V1637,U1638,"f",FALSE)</f>
        <v>50326</v>
      </c>
      <c r="W1638" s="210">
        <f>_xll.qlCalendarAdvance(Calendar,V1638,NDays&amp;"D")</f>
        <v>50326</v>
      </c>
      <c r="X1638" s="211">
        <v>2.4572966315430378E-2</v>
      </c>
      <c r="Y1638" s="232"/>
    </row>
    <row r="1639" spans="21:25" x14ac:dyDescent="0.2">
      <c r="U1639" s="209" t="str">
        <f t="shared" si="28"/>
        <v>1w</v>
      </c>
      <c r="V1639" s="207">
        <f>_xll.qlCalendarAdvance(Calendar,V1638,U1639,"f",FALSE)</f>
        <v>50333</v>
      </c>
      <c r="W1639" s="210">
        <f>_xll.qlCalendarAdvance(Calendar,V1639,NDays&amp;"D")</f>
        <v>50333</v>
      </c>
      <c r="X1639" s="211">
        <v>2.4561914846490396E-2</v>
      </c>
      <c r="Y1639" s="232"/>
    </row>
    <row r="1640" spans="21:25" x14ac:dyDescent="0.2">
      <c r="U1640" s="209" t="str">
        <f t="shared" si="28"/>
        <v>1w</v>
      </c>
      <c r="V1640" s="207">
        <f>_xll.qlCalendarAdvance(Calendar,V1639,U1640,"f",FALSE)</f>
        <v>50340</v>
      </c>
      <c r="W1640" s="210">
        <f>_xll.qlCalendarAdvance(Calendar,V1640,NDays&amp;"D")</f>
        <v>50340</v>
      </c>
      <c r="X1640" s="211">
        <v>2.4550850470674845E-2</v>
      </c>
      <c r="Y1640" s="232"/>
    </row>
    <row r="1641" spans="21:25" x14ac:dyDescent="0.2">
      <c r="U1641" s="209" t="str">
        <f t="shared" si="28"/>
        <v>1w</v>
      </c>
      <c r="V1641" s="207">
        <f>_xll.qlCalendarAdvance(Calendar,V1640,U1641,"f",FALSE)</f>
        <v>50347</v>
      </c>
      <c r="W1641" s="210">
        <f>_xll.qlCalendarAdvance(Calendar,V1641,NDays&amp;"D")</f>
        <v>50347</v>
      </c>
      <c r="X1641" s="211">
        <v>2.4539773187983727E-2</v>
      </c>
      <c r="Y1641" s="232"/>
    </row>
    <row r="1642" spans="21:25" x14ac:dyDescent="0.2">
      <c r="U1642" s="209" t="str">
        <f t="shared" si="28"/>
        <v>1w</v>
      </c>
      <c r="V1642" s="207">
        <f>_xll.qlCalendarAdvance(Calendar,V1641,U1642,"f",FALSE)</f>
        <v>50354</v>
      </c>
      <c r="W1642" s="210">
        <f>_xll.qlCalendarAdvance(Calendar,V1642,NDays&amp;"D")</f>
        <v>50354</v>
      </c>
      <c r="X1642" s="211">
        <v>2.4528682998177231E-2</v>
      </c>
      <c r="Y1642" s="232"/>
    </row>
    <row r="1643" spans="21:25" x14ac:dyDescent="0.2">
      <c r="U1643" s="209" t="str">
        <f t="shared" si="28"/>
        <v>1w</v>
      </c>
      <c r="V1643" s="207">
        <f>_xll.qlCalendarAdvance(Calendar,V1642,U1643,"f",FALSE)</f>
        <v>50361</v>
      </c>
      <c r="W1643" s="210">
        <f>_xll.qlCalendarAdvance(Calendar,V1643,NDays&amp;"D")</f>
        <v>50361</v>
      </c>
      <c r="X1643" s="211">
        <v>2.451757990165504E-2</v>
      </c>
      <c r="Y1643" s="232"/>
    </row>
    <row r="1644" spans="21:25" x14ac:dyDescent="0.2">
      <c r="U1644" s="209" t="str">
        <f t="shared" si="28"/>
        <v>1w</v>
      </c>
      <c r="V1644" s="207">
        <f>_xll.qlCalendarAdvance(Calendar,V1643,U1644,"f",FALSE)</f>
        <v>50368</v>
      </c>
      <c r="W1644" s="210">
        <f>_xll.qlCalendarAdvance(Calendar,V1644,NDays&amp;"D")</f>
        <v>50368</v>
      </c>
      <c r="X1644" s="211">
        <v>2.4506463898177344E-2</v>
      </c>
      <c r="Y1644" s="232"/>
    </row>
    <row r="1645" spans="21:25" x14ac:dyDescent="0.2">
      <c r="U1645" s="209" t="str">
        <f t="shared" si="28"/>
        <v>1w</v>
      </c>
      <c r="V1645" s="207">
        <f>_xll.qlCalendarAdvance(Calendar,V1644,U1645,"f",FALSE)</f>
        <v>50375</v>
      </c>
      <c r="W1645" s="210">
        <f>_xll.qlCalendarAdvance(Calendar,V1645,NDays&amp;"D")</f>
        <v>50375</v>
      </c>
      <c r="X1645" s="211">
        <v>2.4495334987744144E-2</v>
      </c>
      <c r="Y1645" s="232"/>
    </row>
    <row r="1646" spans="21:25" x14ac:dyDescent="0.2">
      <c r="U1646" s="209" t="str">
        <f t="shared" si="28"/>
        <v>1w</v>
      </c>
      <c r="V1646" s="207">
        <f>_xll.qlCalendarAdvance(Calendar,V1645,U1646,"f",FALSE)</f>
        <v>50382</v>
      </c>
      <c r="W1646" s="210">
        <f>_xll.qlCalendarAdvance(Calendar,V1646,NDays&amp;"D")</f>
        <v>50382</v>
      </c>
      <c r="X1646" s="211">
        <v>2.4484193170515312E-2</v>
      </c>
      <c r="Y1646" s="232"/>
    </row>
    <row r="1647" spans="21:25" x14ac:dyDescent="0.2">
      <c r="U1647" s="209" t="str">
        <f t="shared" si="28"/>
        <v>1w</v>
      </c>
      <c r="V1647" s="207">
        <f>_xll.qlCalendarAdvance(Calendar,V1646,U1647,"f",FALSE)</f>
        <v>50389</v>
      </c>
      <c r="W1647" s="210">
        <f>_xll.qlCalendarAdvance(Calendar,V1647,NDays&amp;"D")</f>
        <v>50389</v>
      </c>
      <c r="X1647" s="211">
        <v>2.4473038446330975E-2</v>
      </c>
      <c r="Y1647" s="232"/>
    </row>
    <row r="1648" spans="21:25" x14ac:dyDescent="0.2">
      <c r="U1648" s="209" t="str">
        <f t="shared" si="28"/>
        <v>1w</v>
      </c>
      <c r="V1648" s="207">
        <f>_xll.qlCalendarAdvance(Calendar,V1647,U1648,"f",FALSE)</f>
        <v>50396</v>
      </c>
      <c r="W1648" s="210">
        <f>_xll.qlCalendarAdvance(Calendar,V1648,NDays&amp;"D")</f>
        <v>50396</v>
      </c>
      <c r="X1648" s="211">
        <v>2.446187081527107E-2</v>
      </c>
      <c r="Y1648" s="232"/>
    </row>
    <row r="1649" spans="21:25" x14ac:dyDescent="0.2">
      <c r="U1649" s="209" t="str">
        <f t="shared" si="28"/>
        <v>1w</v>
      </c>
      <c r="V1649" s="207">
        <f>_xll.qlCalendarAdvance(Calendar,V1648,U1649,"f",FALSE)</f>
        <v>50403</v>
      </c>
      <c r="W1649" s="210">
        <f>_xll.qlCalendarAdvance(Calendar,V1649,NDays&amp;"D")</f>
        <v>50403</v>
      </c>
      <c r="X1649" s="211">
        <v>2.4450690277335596E-2</v>
      </c>
      <c r="Y1649" s="232"/>
    </row>
    <row r="1650" spans="21:25" x14ac:dyDescent="0.2">
      <c r="U1650" s="209" t="str">
        <f t="shared" si="28"/>
        <v>1w</v>
      </c>
      <c r="V1650" s="207">
        <f>_xll.qlCalendarAdvance(Calendar,V1649,U1650,"f",FALSE)</f>
        <v>50410</v>
      </c>
      <c r="W1650" s="210">
        <f>_xll.qlCalendarAdvance(Calendar,V1650,NDays&amp;"D")</f>
        <v>50410</v>
      </c>
      <c r="X1650" s="211">
        <v>2.4439496832524554E-2</v>
      </c>
      <c r="Y1650" s="232"/>
    </row>
    <row r="1651" spans="21:25" x14ac:dyDescent="0.2">
      <c r="U1651" s="209" t="str">
        <f t="shared" si="28"/>
        <v>1w</v>
      </c>
      <c r="V1651" s="207">
        <f>_xll.qlCalendarAdvance(Calendar,V1650,U1651,"f",FALSE)</f>
        <v>50417</v>
      </c>
      <c r="W1651" s="210">
        <f>_xll.qlCalendarAdvance(Calendar,V1651,NDays&amp;"D")</f>
        <v>50417</v>
      </c>
      <c r="X1651" s="211">
        <v>2.4428290480758008E-2</v>
      </c>
      <c r="Y1651" s="232"/>
    </row>
    <row r="1652" spans="21:25" x14ac:dyDescent="0.2">
      <c r="U1652" s="209" t="str">
        <f t="shared" si="28"/>
        <v>1w</v>
      </c>
      <c r="V1652" s="207">
        <f>_xll.qlCalendarAdvance(Calendar,V1651,U1652,"f",FALSE)</f>
        <v>50424</v>
      </c>
      <c r="W1652" s="210">
        <f>_xll.qlCalendarAdvance(Calendar,V1652,NDays&amp;"D")</f>
        <v>50424</v>
      </c>
      <c r="X1652" s="211">
        <v>2.4417071222115894E-2</v>
      </c>
      <c r="Y1652" s="232"/>
    </row>
    <row r="1653" spans="21:25" x14ac:dyDescent="0.2">
      <c r="U1653" s="209" t="str">
        <f t="shared" si="28"/>
        <v>1w</v>
      </c>
      <c r="V1653" s="207">
        <f>_xll.qlCalendarAdvance(Calendar,V1652,U1653,"f",FALSE)</f>
        <v>50431</v>
      </c>
      <c r="W1653" s="210">
        <f>_xll.qlCalendarAdvance(Calendar,V1653,NDays&amp;"D")</f>
        <v>50431</v>
      </c>
      <c r="X1653" s="211">
        <v>2.4405839056598211E-2</v>
      </c>
      <c r="Y1653" s="232"/>
    </row>
    <row r="1654" spans="21:25" x14ac:dyDescent="0.2">
      <c r="U1654" s="209" t="str">
        <f t="shared" si="28"/>
        <v>1w</v>
      </c>
      <c r="V1654" s="207">
        <f>_xll.qlCalendarAdvance(Calendar,V1653,U1654,"f",FALSE)</f>
        <v>50438</v>
      </c>
      <c r="W1654" s="210">
        <f>_xll.qlCalendarAdvance(Calendar,V1654,NDays&amp;"D")</f>
        <v>50438</v>
      </c>
      <c r="X1654" s="211">
        <v>2.4394593984125024E-2</v>
      </c>
      <c r="Y1654" s="232"/>
    </row>
    <row r="1655" spans="21:25" x14ac:dyDescent="0.2">
      <c r="U1655" s="209" t="str">
        <f t="shared" si="28"/>
        <v>1w</v>
      </c>
      <c r="V1655" s="207">
        <f>_xll.qlCalendarAdvance(Calendar,V1654,U1655,"f",FALSE)</f>
        <v>50445</v>
      </c>
      <c r="W1655" s="210">
        <f>_xll.qlCalendarAdvance(Calendar,V1655,NDays&amp;"D")</f>
        <v>50445</v>
      </c>
      <c r="X1655" s="211">
        <v>2.4383336004776268E-2</v>
      </c>
      <c r="Y1655" s="232"/>
    </row>
    <row r="1656" spans="21:25" x14ac:dyDescent="0.2">
      <c r="U1656" s="209" t="str">
        <f t="shared" si="28"/>
        <v>1w</v>
      </c>
      <c r="V1656" s="207">
        <f>_xll.qlCalendarAdvance(Calendar,V1655,U1656,"f",FALSE)</f>
        <v>50452</v>
      </c>
      <c r="W1656" s="210">
        <f>_xll.qlCalendarAdvance(Calendar,V1656,NDays&amp;"D")</f>
        <v>50452</v>
      </c>
      <c r="X1656" s="211">
        <v>2.437206511863188E-2</v>
      </c>
      <c r="Y1656" s="232"/>
    </row>
    <row r="1657" spans="21:25" x14ac:dyDescent="0.2">
      <c r="U1657" s="209" t="str">
        <f t="shared" si="28"/>
        <v>1w</v>
      </c>
      <c r="V1657" s="207">
        <f>_xll.qlCalendarAdvance(Calendar,V1656,U1657,"f",FALSE)</f>
        <v>50459</v>
      </c>
      <c r="W1657" s="210">
        <f>_xll.qlCalendarAdvance(Calendar,V1657,NDays&amp;"D")</f>
        <v>50459</v>
      </c>
      <c r="X1657" s="211">
        <v>2.4360781325531988E-2</v>
      </c>
      <c r="Y1657" s="232"/>
    </row>
    <row r="1658" spans="21:25" x14ac:dyDescent="0.2">
      <c r="U1658" s="209" t="str">
        <f t="shared" si="28"/>
        <v>1w</v>
      </c>
      <c r="V1658" s="207">
        <f>_xll.qlCalendarAdvance(Calendar,V1657,U1658,"f",FALSE)</f>
        <v>50466</v>
      </c>
      <c r="W1658" s="210">
        <f>_xll.qlCalendarAdvance(Calendar,V1658,NDays&amp;"D")</f>
        <v>50466</v>
      </c>
      <c r="X1658" s="211">
        <v>2.4349484625556528E-2</v>
      </c>
      <c r="Y1658" s="232"/>
    </row>
    <row r="1659" spans="21:25" x14ac:dyDescent="0.2">
      <c r="U1659" s="209" t="str">
        <f t="shared" si="28"/>
        <v>1w</v>
      </c>
      <c r="V1659" s="207">
        <f>_xll.qlCalendarAdvance(Calendar,V1658,U1659,"f",FALSE)</f>
        <v>50473</v>
      </c>
      <c r="W1659" s="210">
        <f>_xll.qlCalendarAdvance(Calendar,V1659,NDays&amp;"D")</f>
        <v>50473</v>
      </c>
      <c r="X1659" s="211">
        <v>2.4338175018705499E-2</v>
      </c>
      <c r="Y1659" s="232"/>
    </row>
    <row r="1660" spans="21:25" x14ac:dyDescent="0.2">
      <c r="U1660" s="209" t="str">
        <f t="shared" si="28"/>
        <v>1w</v>
      </c>
      <c r="V1660" s="207">
        <f>_xll.qlCalendarAdvance(Calendar,V1659,U1660,"f",FALSE)</f>
        <v>50480</v>
      </c>
      <c r="W1660" s="210">
        <f>_xll.qlCalendarAdvance(Calendar,V1660,NDays&amp;"D")</f>
        <v>50480</v>
      </c>
      <c r="X1660" s="211">
        <v>2.4326852504978902E-2</v>
      </c>
      <c r="Y1660" s="232"/>
    </row>
    <row r="1661" spans="21:25" x14ac:dyDescent="0.2">
      <c r="U1661" s="209" t="str">
        <f t="shared" si="28"/>
        <v>1w</v>
      </c>
      <c r="V1661" s="207">
        <f>_xll.qlCalendarAdvance(Calendar,V1660,U1661,"f",FALSE)</f>
        <v>50487</v>
      </c>
      <c r="W1661" s="210">
        <f>_xll.qlCalendarAdvance(Calendar,V1661,NDays&amp;"D")</f>
        <v>50487</v>
      </c>
      <c r="X1661" s="211">
        <v>2.4315517084376737E-2</v>
      </c>
      <c r="Y1661" s="232"/>
    </row>
    <row r="1662" spans="21:25" x14ac:dyDescent="0.2">
      <c r="U1662" s="209" t="str">
        <f t="shared" si="28"/>
        <v>1w</v>
      </c>
      <c r="V1662" s="207">
        <f>_xll.qlCalendarAdvance(Calendar,V1661,U1662,"f",FALSE)</f>
        <v>50494</v>
      </c>
      <c r="W1662" s="210">
        <f>_xll.qlCalendarAdvance(Calendar,V1662,NDays&amp;"D")</f>
        <v>50494</v>
      </c>
      <c r="X1662" s="211">
        <v>2.4304168756819067E-2</v>
      </c>
      <c r="Y1662" s="232"/>
    </row>
    <row r="1663" spans="21:25" x14ac:dyDescent="0.2">
      <c r="U1663" s="209" t="str">
        <f t="shared" si="28"/>
        <v>1w</v>
      </c>
      <c r="V1663" s="207">
        <f>_xll.qlCalendarAdvance(Calendar,V1662,U1663,"f",FALSE)</f>
        <v>50501</v>
      </c>
      <c r="W1663" s="210">
        <f>_xll.qlCalendarAdvance(Calendar,V1663,NDays&amp;"D")</f>
        <v>50501</v>
      </c>
      <c r="X1663" s="211">
        <v>2.4292807522465765E-2</v>
      </c>
      <c r="Y1663" s="232"/>
    </row>
    <row r="1664" spans="21:25" x14ac:dyDescent="0.2">
      <c r="U1664" s="209" t="str">
        <f t="shared" si="28"/>
        <v>1w</v>
      </c>
      <c r="V1664" s="207">
        <f>_xll.qlCalendarAdvance(Calendar,V1663,U1664,"f",FALSE)</f>
        <v>50508</v>
      </c>
      <c r="W1664" s="210">
        <f>_xll.qlCalendarAdvance(Calendar,V1664,NDays&amp;"D")</f>
        <v>50508</v>
      </c>
      <c r="X1664" s="211">
        <v>2.4281433381156958E-2</v>
      </c>
      <c r="Y1664" s="232"/>
    </row>
    <row r="1665" spans="21:25" x14ac:dyDescent="0.2">
      <c r="U1665" s="209" t="str">
        <f t="shared" si="28"/>
        <v>1w</v>
      </c>
      <c r="V1665" s="207">
        <f>_xll.qlCalendarAdvance(Calendar,V1664,U1665,"f",FALSE)</f>
        <v>50515</v>
      </c>
      <c r="W1665" s="210">
        <f>_xll.qlCalendarAdvance(Calendar,V1665,NDays&amp;"D")</f>
        <v>50515</v>
      </c>
      <c r="X1665" s="211">
        <v>2.427004633305252E-2</v>
      </c>
      <c r="Y1665" s="232"/>
    </row>
    <row r="1666" spans="21:25" x14ac:dyDescent="0.2">
      <c r="U1666" s="209" t="str">
        <f t="shared" si="28"/>
        <v>1w</v>
      </c>
      <c r="V1666" s="207">
        <f>_xll.qlCalendarAdvance(Calendar,V1665,U1666,"f",FALSE)</f>
        <v>50522</v>
      </c>
      <c r="W1666" s="210">
        <f>_xll.qlCalendarAdvance(Calendar,V1666,NDays&amp;"D")</f>
        <v>50522</v>
      </c>
      <c r="X1666" s="211">
        <v>2.4258646378072513E-2</v>
      </c>
      <c r="Y1666" s="232"/>
    </row>
    <row r="1667" spans="21:25" x14ac:dyDescent="0.2">
      <c r="U1667" s="209" t="str">
        <f t="shared" si="28"/>
        <v>1w</v>
      </c>
      <c r="V1667" s="207">
        <f>_xll.qlCalendarAdvance(Calendar,V1666,U1667,"f",FALSE)</f>
        <v>50529</v>
      </c>
      <c r="W1667" s="210">
        <f>_xll.qlCalendarAdvance(Calendar,V1667,NDays&amp;"D")</f>
        <v>50529</v>
      </c>
      <c r="X1667" s="211">
        <v>2.4247233516137001E-2</v>
      </c>
      <c r="Y1667" s="232"/>
    </row>
    <row r="1668" spans="21:25" x14ac:dyDescent="0.2">
      <c r="U1668" s="209" t="str">
        <f t="shared" si="28"/>
        <v>1w</v>
      </c>
      <c r="V1668" s="207">
        <f>_xll.qlCalendarAdvance(Calendar,V1667,U1668,"f",FALSE)</f>
        <v>50536</v>
      </c>
      <c r="W1668" s="210">
        <f>_xll.qlCalendarAdvance(Calendar,V1668,NDays&amp;"D")</f>
        <v>50536</v>
      </c>
      <c r="X1668" s="211">
        <v>2.4235807747405858E-2</v>
      </c>
      <c r="Y1668" s="232"/>
    </row>
    <row r="1669" spans="21:25" x14ac:dyDescent="0.2">
      <c r="U1669" s="209" t="str">
        <f t="shared" si="28"/>
        <v>1w</v>
      </c>
      <c r="V1669" s="207">
        <f>_xll.qlCalendarAdvance(Calendar,V1668,U1669,"f",FALSE)</f>
        <v>50543</v>
      </c>
      <c r="W1669" s="210">
        <f>_xll.qlCalendarAdvance(Calendar,V1669,NDays&amp;"D")</f>
        <v>50543</v>
      </c>
      <c r="X1669" s="211">
        <v>2.422436907171921E-2</v>
      </c>
      <c r="Y1669" s="232"/>
    </row>
    <row r="1670" spans="21:25" x14ac:dyDescent="0.2">
      <c r="U1670" s="209" t="str">
        <f t="shared" si="28"/>
        <v>1w</v>
      </c>
      <c r="V1670" s="207">
        <f>_xll.qlCalendarAdvance(Calendar,V1669,U1670,"f",FALSE)</f>
        <v>50550</v>
      </c>
      <c r="W1670" s="210">
        <f>_xll.qlCalendarAdvance(Calendar,V1670,NDays&amp;"D")</f>
        <v>50550</v>
      </c>
      <c r="X1670" s="211">
        <v>2.4212917489316865E-2</v>
      </c>
      <c r="Y1670" s="232"/>
    </row>
    <row r="1671" spans="21:25" x14ac:dyDescent="0.2">
      <c r="U1671" s="209" t="str">
        <f t="shared" si="28"/>
        <v>1w</v>
      </c>
      <c r="V1671" s="207">
        <f>_xll.qlCalendarAdvance(Calendar,V1670,U1671,"f",FALSE)</f>
        <v>50557</v>
      </c>
      <c r="W1671" s="210">
        <f>_xll.qlCalendarAdvance(Calendar,V1671,NDays&amp;"D")</f>
        <v>50557</v>
      </c>
      <c r="X1671" s="211">
        <v>2.4201452999879081E-2</v>
      </c>
      <c r="Y1671" s="232"/>
    </row>
    <row r="1672" spans="21:25" x14ac:dyDescent="0.2">
      <c r="U1672" s="209" t="str">
        <f t="shared" si="28"/>
        <v>1w</v>
      </c>
      <c r="V1672" s="207">
        <f>_xll.qlCalendarAdvance(Calendar,V1671,U1672,"f",FALSE)</f>
        <v>50564</v>
      </c>
      <c r="W1672" s="210">
        <f>_xll.qlCalendarAdvance(Calendar,V1672,NDays&amp;"D")</f>
        <v>50564</v>
      </c>
      <c r="X1672" s="211">
        <v>2.4189975603645664E-2</v>
      </c>
      <c r="Y1672" s="232"/>
    </row>
    <row r="1673" spans="21:25" x14ac:dyDescent="0.2">
      <c r="U1673" s="209" t="str">
        <f t="shared" si="28"/>
        <v>1w</v>
      </c>
      <c r="V1673" s="207">
        <f>_xll.qlCalendarAdvance(Calendar,V1672,U1673,"f",FALSE)</f>
        <v>50571</v>
      </c>
      <c r="W1673" s="210">
        <f>_xll.qlCalendarAdvance(Calendar,V1673,NDays&amp;"D")</f>
        <v>50571</v>
      </c>
      <c r="X1673" s="211">
        <v>2.4178485300536678E-2</v>
      </c>
      <c r="Y1673" s="232"/>
    </row>
    <row r="1674" spans="21:25" x14ac:dyDescent="0.2">
      <c r="U1674" s="209" t="str">
        <f t="shared" si="28"/>
        <v>1w</v>
      </c>
      <c r="V1674" s="207">
        <f>_xll.qlCalendarAdvance(Calendar,V1673,U1674,"f",FALSE)</f>
        <v>50578</v>
      </c>
      <c r="W1674" s="210">
        <f>_xll.qlCalendarAdvance(Calendar,V1674,NDays&amp;"D")</f>
        <v>50578</v>
      </c>
      <c r="X1674" s="211">
        <v>2.4166982090632061E-2</v>
      </c>
      <c r="Y1674" s="232"/>
    </row>
    <row r="1675" spans="21:25" x14ac:dyDescent="0.2">
      <c r="U1675" s="209" t="str">
        <f t="shared" si="28"/>
        <v>1w</v>
      </c>
      <c r="V1675" s="207">
        <f>_xll.qlCalendarAdvance(Calendar,V1674,U1675,"f",FALSE)</f>
        <v>50585</v>
      </c>
      <c r="W1675" s="210">
        <f>_xll.qlCalendarAdvance(Calendar,V1675,NDays&amp;"D")</f>
        <v>50585</v>
      </c>
      <c r="X1675" s="211">
        <v>2.4155465973692003E-2</v>
      </c>
      <c r="Y1675" s="232"/>
    </row>
    <row r="1676" spans="21:25" x14ac:dyDescent="0.2">
      <c r="U1676" s="209" t="str">
        <f t="shared" si="28"/>
        <v>1w</v>
      </c>
      <c r="V1676" s="207">
        <f>_xll.qlCalendarAdvance(Calendar,V1675,U1676,"f",FALSE)</f>
        <v>50592</v>
      </c>
      <c r="W1676" s="210">
        <f>_xll.qlCalendarAdvance(Calendar,V1676,NDays&amp;"D")</f>
        <v>50592</v>
      </c>
      <c r="X1676" s="211">
        <v>2.4143936950036249E-2</v>
      </c>
      <c r="Y1676" s="232"/>
    </row>
    <row r="1677" spans="21:25" x14ac:dyDescent="0.2">
      <c r="U1677" s="209" t="str">
        <f t="shared" ref="U1677:U1740" si="29">U1676</f>
        <v>1w</v>
      </c>
      <c r="V1677" s="207">
        <f>_xll.qlCalendarAdvance(Calendar,V1676,U1677,"f",FALSE)</f>
        <v>50599</v>
      </c>
      <c r="W1677" s="210">
        <f>_xll.qlCalendarAdvance(Calendar,V1677,NDays&amp;"D")</f>
        <v>50599</v>
      </c>
      <c r="X1677" s="211">
        <v>2.4132395019584862E-2</v>
      </c>
      <c r="Y1677" s="232"/>
    </row>
    <row r="1678" spans="21:25" x14ac:dyDescent="0.2">
      <c r="U1678" s="209" t="str">
        <f t="shared" si="29"/>
        <v>1w</v>
      </c>
      <c r="V1678" s="207">
        <f>_xll.qlCalendarAdvance(Calendar,V1677,U1678,"f",FALSE)</f>
        <v>50606</v>
      </c>
      <c r="W1678" s="210">
        <f>_xll.qlCalendarAdvance(Calendar,V1678,NDays&amp;"D")</f>
        <v>50606</v>
      </c>
      <c r="X1678" s="211">
        <v>2.4120840182098036E-2</v>
      </c>
      <c r="Y1678" s="232"/>
    </row>
    <row r="1679" spans="21:25" x14ac:dyDescent="0.2">
      <c r="U1679" s="209" t="str">
        <f t="shared" si="29"/>
        <v>1w</v>
      </c>
      <c r="V1679" s="207">
        <f>_xll.qlCalendarAdvance(Calendar,V1678,U1679,"f",FALSE)</f>
        <v>50613</v>
      </c>
      <c r="W1679" s="210">
        <f>_xll.qlCalendarAdvance(Calendar,V1679,NDays&amp;"D")</f>
        <v>50613</v>
      </c>
      <c r="X1679" s="211">
        <v>2.4109272437895513E-2</v>
      </c>
      <c r="Y1679" s="232"/>
    </row>
    <row r="1680" spans="21:25" x14ac:dyDescent="0.2">
      <c r="U1680" s="209" t="str">
        <f t="shared" si="29"/>
        <v>1w</v>
      </c>
      <c r="V1680" s="207">
        <f>_xll.qlCalendarAdvance(Calendar,V1679,U1680,"f",FALSE)</f>
        <v>50620</v>
      </c>
      <c r="W1680" s="210">
        <f>_xll.qlCalendarAdvance(Calendar,V1680,NDays&amp;"D")</f>
        <v>50620</v>
      </c>
      <c r="X1680" s="211">
        <v>2.4097691786657549E-2</v>
      </c>
      <c r="Y1680" s="232"/>
    </row>
    <row r="1681" spans="21:25" x14ac:dyDescent="0.2">
      <c r="U1681" s="209" t="str">
        <f t="shared" si="29"/>
        <v>1w</v>
      </c>
      <c r="V1681" s="207">
        <f>_xll.qlCalendarAdvance(Calendar,V1680,U1681,"f",FALSE)</f>
        <v>50627</v>
      </c>
      <c r="W1681" s="210">
        <f>_xll.qlCalendarAdvance(Calendar,V1681,NDays&amp;"D")</f>
        <v>50627</v>
      </c>
      <c r="X1681" s="211">
        <v>2.4086098228623953E-2</v>
      </c>
      <c r="Y1681" s="232"/>
    </row>
    <row r="1682" spans="21:25" x14ac:dyDescent="0.2">
      <c r="U1682" s="209" t="str">
        <f t="shared" si="29"/>
        <v>1w</v>
      </c>
      <c r="V1682" s="207">
        <f>_xll.qlCalendarAdvance(Calendar,V1681,U1682,"f",FALSE)</f>
        <v>50634</v>
      </c>
      <c r="W1682" s="210">
        <f>_xll.qlCalendarAdvance(Calendar,V1682,NDays&amp;"D")</f>
        <v>50634</v>
      </c>
      <c r="X1682" s="211">
        <v>2.4074491763874661E-2</v>
      </c>
      <c r="Y1682" s="232"/>
    </row>
    <row r="1683" spans="21:25" x14ac:dyDescent="0.2">
      <c r="U1683" s="209" t="str">
        <f t="shared" si="29"/>
        <v>1w</v>
      </c>
      <c r="V1683" s="207">
        <f>_xll.qlCalendarAdvance(Calendar,V1682,U1683,"f",FALSE)</f>
        <v>50641</v>
      </c>
      <c r="W1683" s="210">
        <f>_xll.qlCalendarAdvance(Calendar,V1683,NDays&amp;"D")</f>
        <v>50641</v>
      </c>
      <c r="X1683" s="211">
        <v>2.4062872392089929E-2</v>
      </c>
      <c r="Y1683" s="232"/>
    </row>
    <row r="1684" spans="21:25" x14ac:dyDescent="0.2">
      <c r="U1684" s="209" t="str">
        <f t="shared" si="29"/>
        <v>1w</v>
      </c>
      <c r="V1684" s="207">
        <f>_xll.qlCalendarAdvance(Calendar,V1683,U1684,"f",FALSE)</f>
        <v>50648</v>
      </c>
      <c r="W1684" s="210">
        <f>_xll.qlCalendarAdvance(Calendar,V1684,NDays&amp;"D")</f>
        <v>50648</v>
      </c>
      <c r="X1684" s="211">
        <v>2.4051240113509564E-2</v>
      </c>
      <c r="Y1684" s="232"/>
    </row>
    <row r="1685" spans="21:25" x14ac:dyDescent="0.2">
      <c r="U1685" s="209" t="str">
        <f t="shared" si="29"/>
        <v>1w</v>
      </c>
      <c r="V1685" s="207">
        <f>_xll.qlCalendarAdvance(Calendar,V1684,U1685,"f",FALSE)</f>
        <v>50655</v>
      </c>
      <c r="W1685" s="210">
        <f>_xll.qlCalendarAdvance(Calendar,V1685,NDays&amp;"D")</f>
        <v>50655</v>
      </c>
      <c r="X1685" s="211">
        <v>2.4039594928133567E-2</v>
      </c>
      <c r="Y1685" s="232"/>
    </row>
    <row r="1686" spans="21:25" x14ac:dyDescent="0.2">
      <c r="U1686" s="209" t="str">
        <f t="shared" si="29"/>
        <v>1w</v>
      </c>
      <c r="V1686" s="207">
        <f>_xll.qlCalendarAdvance(Calendar,V1685,U1686,"f",FALSE)</f>
        <v>50662</v>
      </c>
      <c r="W1686" s="210">
        <f>_xll.qlCalendarAdvance(Calendar,V1686,NDays&amp;"D")</f>
        <v>50662</v>
      </c>
      <c r="X1686" s="211">
        <v>2.4027936835882002E-2</v>
      </c>
      <c r="Y1686" s="232"/>
    </row>
    <row r="1687" spans="21:25" x14ac:dyDescent="0.2">
      <c r="U1687" s="209" t="str">
        <f t="shared" si="29"/>
        <v>1w</v>
      </c>
      <c r="V1687" s="207">
        <f>_xll.qlCalendarAdvance(Calendar,V1686,U1687,"f",FALSE)</f>
        <v>50669</v>
      </c>
      <c r="W1687" s="210">
        <f>_xll.qlCalendarAdvance(Calendar,V1687,NDays&amp;"D")</f>
        <v>50669</v>
      </c>
      <c r="X1687" s="211">
        <v>2.4016265836754869E-2</v>
      </c>
      <c r="Y1687" s="232"/>
    </row>
    <row r="1688" spans="21:25" x14ac:dyDescent="0.2">
      <c r="U1688" s="209" t="str">
        <f t="shared" si="29"/>
        <v>1w</v>
      </c>
      <c r="V1688" s="207">
        <f>_xll.qlCalendarAdvance(Calendar,V1687,U1688,"f",FALSE)</f>
        <v>50676</v>
      </c>
      <c r="W1688" s="210">
        <f>_xll.qlCalendarAdvance(Calendar,V1688,NDays&amp;"D")</f>
        <v>50676</v>
      </c>
      <c r="X1688" s="211">
        <v>2.4004581930832103E-2</v>
      </c>
      <c r="Y1688" s="232"/>
    </row>
    <row r="1689" spans="21:25" x14ac:dyDescent="0.2">
      <c r="U1689" s="209" t="str">
        <f t="shared" si="29"/>
        <v>1w</v>
      </c>
      <c r="V1689" s="207">
        <f>_xll.qlCalendarAdvance(Calendar,V1688,U1689,"f",FALSE)</f>
        <v>50683</v>
      </c>
      <c r="W1689" s="210">
        <f>_xll.qlCalendarAdvance(Calendar,V1689,NDays&amp;"D")</f>
        <v>50683</v>
      </c>
      <c r="X1689" s="211">
        <v>2.3992885117953833E-2</v>
      </c>
      <c r="Y1689" s="232"/>
    </row>
    <row r="1690" spans="21:25" x14ac:dyDescent="0.2">
      <c r="U1690" s="209" t="str">
        <f t="shared" si="29"/>
        <v>1w</v>
      </c>
      <c r="V1690" s="207">
        <f>_xll.qlCalendarAdvance(Calendar,V1689,U1690,"f",FALSE)</f>
        <v>50690</v>
      </c>
      <c r="W1690" s="210">
        <f>_xll.qlCalendarAdvance(Calendar,V1690,NDays&amp;"D")</f>
        <v>50690</v>
      </c>
      <c r="X1690" s="211">
        <v>2.398117539827993E-2</v>
      </c>
      <c r="Y1690" s="232"/>
    </row>
    <row r="1691" spans="21:25" x14ac:dyDescent="0.2">
      <c r="U1691" s="209" t="str">
        <f t="shared" si="29"/>
        <v>1w</v>
      </c>
      <c r="V1691" s="207">
        <f>_xll.qlCalendarAdvance(Calendar,V1690,U1691,"f",FALSE)</f>
        <v>50697</v>
      </c>
      <c r="W1691" s="210">
        <f>_xll.qlCalendarAdvance(Calendar,V1691,NDays&amp;"D")</f>
        <v>50697</v>
      </c>
      <c r="X1691" s="211">
        <v>2.3969452771810396E-2</v>
      </c>
      <c r="Y1691" s="232"/>
    </row>
    <row r="1692" spans="21:25" x14ac:dyDescent="0.2">
      <c r="U1692" s="209" t="str">
        <f t="shared" si="29"/>
        <v>1w</v>
      </c>
      <c r="V1692" s="207">
        <f>_xll.qlCalendarAdvance(Calendar,V1691,U1692,"f",FALSE)</f>
        <v>50704</v>
      </c>
      <c r="W1692" s="210">
        <f>_xll.qlCalendarAdvance(Calendar,V1692,NDays&amp;"D")</f>
        <v>50704</v>
      </c>
      <c r="X1692" s="211">
        <v>2.3957717238465293E-2</v>
      </c>
      <c r="Y1692" s="232"/>
    </row>
    <row r="1693" spans="21:25" x14ac:dyDescent="0.2">
      <c r="U1693" s="209" t="str">
        <f t="shared" si="29"/>
        <v>1w</v>
      </c>
      <c r="V1693" s="207">
        <f>_xll.qlCalendarAdvance(Calendar,V1692,U1693,"f",FALSE)</f>
        <v>50711</v>
      </c>
      <c r="W1693" s="210">
        <f>_xll.qlCalendarAdvance(Calendar,V1693,NDays&amp;"D")</f>
        <v>50711</v>
      </c>
      <c r="X1693" s="211">
        <v>2.3945968798324557E-2</v>
      </c>
      <c r="Y1693" s="232"/>
    </row>
    <row r="1694" spans="21:25" x14ac:dyDescent="0.2">
      <c r="U1694" s="209" t="str">
        <f t="shared" si="29"/>
        <v>1w</v>
      </c>
      <c r="V1694" s="207">
        <f>_xll.qlCalendarAdvance(Calendar,V1693,U1694,"f",FALSE)</f>
        <v>50718</v>
      </c>
      <c r="W1694" s="210">
        <f>_xll.qlCalendarAdvance(Calendar,V1694,NDays&amp;"D")</f>
        <v>50718</v>
      </c>
      <c r="X1694" s="211">
        <v>2.3934207451308254E-2</v>
      </c>
      <c r="Y1694" s="232"/>
    </row>
    <row r="1695" spans="21:25" x14ac:dyDescent="0.2">
      <c r="U1695" s="209" t="str">
        <f t="shared" si="29"/>
        <v>1w</v>
      </c>
      <c r="V1695" s="207">
        <f>_xll.qlCalendarAdvance(Calendar,V1694,U1695,"f",FALSE)</f>
        <v>50725</v>
      </c>
      <c r="W1695" s="210">
        <f>_xll.qlCalendarAdvance(Calendar,V1695,NDays&amp;"D")</f>
        <v>50725</v>
      </c>
      <c r="X1695" s="211">
        <v>2.3922433197496318E-2</v>
      </c>
      <c r="Y1695" s="232"/>
    </row>
    <row r="1696" spans="21:25" x14ac:dyDescent="0.2">
      <c r="U1696" s="209" t="str">
        <f t="shared" si="29"/>
        <v>1w</v>
      </c>
      <c r="V1696" s="207">
        <f>_xll.qlCalendarAdvance(Calendar,V1695,U1696,"f",FALSE)</f>
        <v>50732</v>
      </c>
      <c r="W1696" s="210">
        <f>_xll.qlCalendarAdvance(Calendar,V1696,NDays&amp;"D")</f>
        <v>50732</v>
      </c>
      <c r="X1696" s="211">
        <v>2.3910646036728878E-2</v>
      </c>
      <c r="Y1696" s="232"/>
    </row>
    <row r="1697" spans="21:25" x14ac:dyDescent="0.2">
      <c r="U1697" s="209" t="str">
        <f t="shared" si="29"/>
        <v>1w</v>
      </c>
      <c r="V1697" s="207">
        <f>_xll.qlCalendarAdvance(Calendar,V1696,U1697,"f",FALSE)</f>
        <v>50739</v>
      </c>
      <c r="W1697" s="210">
        <f>_xll.qlCalendarAdvance(Calendar,V1697,NDays&amp;"D")</f>
        <v>50739</v>
      </c>
      <c r="X1697" s="211">
        <v>2.3898845969165805E-2</v>
      </c>
      <c r="Y1697" s="232"/>
    </row>
    <row r="1698" spans="21:25" x14ac:dyDescent="0.2">
      <c r="U1698" s="209" t="str">
        <f t="shared" si="29"/>
        <v>1w</v>
      </c>
      <c r="V1698" s="207">
        <f>_xll.qlCalendarAdvance(Calendar,V1697,U1698,"f",FALSE)</f>
        <v>50746</v>
      </c>
      <c r="W1698" s="210">
        <f>_xll.qlCalendarAdvance(Calendar,V1698,NDays&amp;"D")</f>
        <v>50746</v>
      </c>
      <c r="X1698" s="211">
        <v>2.38870329948071E-2</v>
      </c>
      <c r="Y1698" s="232"/>
    </row>
    <row r="1699" spans="21:25" x14ac:dyDescent="0.2">
      <c r="U1699" s="209" t="str">
        <f t="shared" si="29"/>
        <v>1w</v>
      </c>
      <c r="V1699" s="207">
        <f>_xll.qlCalendarAdvance(Calendar,V1698,U1699,"f",FALSE)</f>
        <v>50753</v>
      </c>
      <c r="W1699" s="210">
        <f>_xll.qlCalendarAdvance(Calendar,V1699,NDays&amp;"D")</f>
        <v>50753</v>
      </c>
      <c r="X1699" s="211">
        <v>2.3875207113652763E-2</v>
      </c>
      <c r="Y1699" s="232"/>
    </row>
    <row r="1700" spans="21:25" x14ac:dyDescent="0.2">
      <c r="U1700" s="209" t="str">
        <f t="shared" si="29"/>
        <v>1w</v>
      </c>
      <c r="V1700" s="207">
        <f>_xll.qlCalendarAdvance(Calendar,V1699,U1700,"f",FALSE)</f>
        <v>50760</v>
      </c>
      <c r="W1700" s="210">
        <f>_xll.qlCalendarAdvance(Calendar,V1700,NDays&amp;"D")</f>
        <v>50760</v>
      </c>
      <c r="X1700" s="211">
        <v>2.3863368325542922E-2</v>
      </c>
      <c r="Y1700" s="232"/>
    </row>
    <row r="1701" spans="21:25" x14ac:dyDescent="0.2">
      <c r="U1701" s="209" t="str">
        <f t="shared" si="29"/>
        <v>1w</v>
      </c>
      <c r="V1701" s="207">
        <f>_xll.qlCalendarAdvance(Calendar,V1700,U1701,"f",FALSE)</f>
        <v>50767</v>
      </c>
      <c r="W1701" s="210">
        <f>_xll.qlCalendarAdvance(Calendar,V1701,NDays&amp;"D")</f>
        <v>50767</v>
      </c>
      <c r="X1701" s="211">
        <v>2.3851516630717384E-2</v>
      </c>
      <c r="Y1701" s="232"/>
    </row>
    <row r="1702" spans="21:25" x14ac:dyDescent="0.2">
      <c r="U1702" s="209" t="str">
        <f t="shared" si="29"/>
        <v>1w</v>
      </c>
      <c r="V1702" s="207">
        <f>_xll.qlCalendarAdvance(Calendar,V1701,U1702,"f",FALSE)</f>
        <v>50774</v>
      </c>
      <c r="W1702" s="210">
        <f>_xll.qlCalendarAdvance(Calendar,V1702,NDays&amp;"D")</f>
        <v>50774</v>
      </c>
      <c r="X1702" s="211">
        <v>2.3839652028936342E-2</v>
      </c>
      <c r="Y1702" s="232"/>
    </row>
    <row r="1703" spans="21:25" x14ac:dyDescent="0.2">
      <c r="U1703" s="209" t="str">
        <f t="shared" si="29"/>
        <v>1w</v>
      </c>
      <c r="V1703" s="207">
        <f>_xll.qlCalendarAdvance(Calendar,V1702,U1703,"f",FALSE)</f>
        <v>50781</v>
      </c>
      <c r="W1703" s="210">
        <f>_xll.qlCalendarAdvance(Calendar,V1703,NDays&amp;"D")</f>
        <v>50781</v>
      </c>
      <c r="X1703" s="211">
        <v>2.3827774520439604E-2</v>
      </c>
      <c r="Y1703" s="232"/>
    </row>
    <row r="1704" spans="21:25" x14ac:dyDescent="0.2">
      <c r="U1704" s="209" t="str">
        <f t="shared" si="29"/>
        <v>1w</v>
      </c>
      <c r="V1704" s="207">
        <f>_xll.qlCalendarAdvance(Calendar,V1703,U1704,"f",FALSE)</f>
        <v>50788</v>
      </c>
      <c r="W1704" s="210">
        <f>_xll.qlCalendarAdvance(Calendar,V1704,NDays&amp;"D")</f>
        <v>50788</v>
      </c>
      <c r="X1704" s="211">
        <v>2.3815884105147234E-2</v>
      </c>
      <c r="Y1704" s="232"/>
    </row>
    <row r="1705" spans="21:25" x14ac:dyDescent="0.2">
      <c r="U1705" s="209" t="str">
        <f t="shared" si="29"/>
        <v>1w</v>
      </c>
      <c r="V1705" s="207">
        <f>_xll.qlCalendarAdvance(Calendar,V1704,U1705,"f",FALSE)</f>
        <v>50795</v>
      </c>
      <c r="W1705" s="210">
        <f>_xll.qlCalendarAdvance(Calendar,V1705,NDays&amp;"D")</f>
        <v>50795</v>
      </c>
      <c r="X1705" s="211">
        <v>2.3803980782899359E-2</v>
      </c>
      <c r="Y1705" s="232"/>
    </row>
    <row r="1706" spans="21:25" x14ac:dyDescent="0.2">
      <c r="U1706" s="209" t="str">
        <f t="shared" si="29"/>
        <v>1w</v>
      </c>
      <c r="V1706" s="207">
        <f>_xll.qlCalendarAdvance(Calendar,V1705,U1706,"f",FALSE)</f>
        <v>50802</v>
      </c>
      <c r="W1706" s="210">
        <f>_xll.qlCalendarAdvance(Calendar,V1706,NDays&amp;"D")</f>
        <v>50802</v>
      </c>
      <c r="X1706" s="211">
        <v>2.3792064553935788E-2</v>
      </c>
      <c r="Y1706" s="232"/>
    </row>
    <row r="1707" spans="21:25" x14ac:dyDescent="0.2">
      <c r="U1707" s="209" t="str">
        <f t="shared" si="29"/>
        <v>1w</v>
      </c>
      <c r="V1707" s="207">
        <f>_xll.qlCalendarAdvance(Calendar,V1706,U1707,"f",FALSE)</f>
        <v>50809</v>
      </c>
      <c r="W1707" s="210">
        <f>_xll.qlCalendarAdvance(Calendar,V1707,NDays&amp;"D")</f>
        <v>50809</v>
      </c>
      <c r="X1707" s="211">
        <v>2.3780135418016712E-2</v>
      </c>
      <c r="Y1707" s="232"/>
    </row>
    <row r="1708" spans="21:25" x14ac:dyDescent="0.2">
      <c r="U1708" s="209" t="str">
        <f t="shared" si="29"/>
        <v>1w</v>
      </c>
      <c r="V1708" s="207">
        <f>_xll.qlCalendarAdvance(Calendar,V1707,U1708,"f",FALSE)</f>
        <v>50816</v>
      </c>
      <c r="W1708" s="210">
        <f>_xll.qlCalendarAdvance(Calendar,V1708,NDays&amp;"D")</f>
        <v>50816</v>
      </c>
      <c r="X1708" s="211">
        <v>2.3768193375461877E-2</v>
      </c>
      <c r="Y1708" s="232"/>
    </row>
    <row r="1709" spans="21:25" x14ac:dyDescent="0.2">
      <c r="U1709" s="209" t="str">
        <f t="shared" si="29"/>
        <v>1w</v>
      </c>
      <c r="V1709" s="207">
        <f>_xll.qlCalendarAdvance(Calendar,V1708,U1709,"f",FALSE)</f>
        <v>50823</v>
      </c>
      <c r="W1709" s="210">
        <f>_xll.qlCalendarAdvance(Calendar,V1709,NDays&amp;"D")</f>
        <v>50823</v>
      </c>
      <c r="X1709" s="211">
        <v>2.3756238425871601E-2</v>
      </c>
      <c r="Y1709" s="232"/>
    </row>
    <row r="1710" spans="21:25" x14ac:dyDescent="0.2">
      <c r="U1710" s="209" t="str">
        <f t="shared" si="29"/>
        <v>1w</v>
      </c>
      <c r="V1710" s="207">
        <f>_xll.qlCalendarAdvance(Calendar,V1709,U1710,"f",FALSE)</f>
        <v>50830</v>
      </c>
      <c r="W1710" s="210">
        <f>_xll.qlCalendarAdvance(Calendar,V1710,NDays&amp;"D")</f>
        <v>50830</v>
      </c>
      <c r="X1710" s="211">
        <v>2.3744270569565629E-2</v>
      </c>
      <c r="Y1710" s="232"/>
    </row>
    <row r="1711" spans="21:25" x14ac:dyDescent="0.2">
      <c r="U1711" s="209" t="str">
        <f t="shared" si="29"/>
        <v>1w</v>
      </c>
      <c r="V1711" s="207">
        <f>_xll.qlCalendarAdvance(Calendar,V1710,U1711,"f",FALSE)</f>
        <v>50837</v>
      </c>
      <c r="W1711" s="210">
        <f>_xll.qlCalendarAdvance(Calendar,V1711,NDays&amp;"D")</f>
        <v>50837</v>
      </c>
      <c r="X1711" s="211">
        <v>2.3732289806464024E-2</v>
      </c>
      <c r="Y1711" s="232"/>
    </row>
    <row r="1712" spans="21:25" x14ac:dyDescent="0.2">
      <c r="U1712" s="209" t="str">
        <f t="shared" si="29"/>
        <v>1w</v>
      </c>
      <c r="V1712" s="207">
        <f>_xll.qlCalendarAdvance(Calendar,V1711,U1712,"f",FALSE)</f>
        <v>50844</v>
      </c>
      <c r="W1712" s="210">
        <f>_xll.qlCalendarAdvance(Calendar,V1712,NDays&amp;"D")</f>
        <v>50844</v>
      </c>
      <c r="X1712" s="211">
        <v>2.3720296136566787E-2</v>
      </c>
      <c r="Y1712" s="232"/>
    </row>
    <row r="1713" spans="21:25" x14ac:dyDescent="0.2">
      <c r="U1713" s="209" t="str">
        <f t="shared" si="29"/>
        <v>1w</v>
      </c>
      <c r="V1713" s="207">
        <f>_xll.qlCalendarAdvance(Calendar,V1712,U1713,"f",FALSE)</f>
        <v>50851</v>
      </c>
      <c r="W1713" s="210">
        <f>_xll.qlCalendarAdvance(Calendar,V1713,NDays&amp;"D")</f>
        <v>50851</v>
      </c>
      <c r="X1713" s="211">
        <v>2.3708289559793982E-2</v>
      </c>
      <c r="Y1713" s="232"/>
    </row>
    <row r="1714" spans="21:25" x14ac:dyDescent="0.2">
      <c r="U1714" s="209" t="str">
        <f t="shared" si="29"/>
        <v>1w</v>
      </c>
      <c r="V1714" s="207">
        <f>_xll.qlCalendarAdvance(Calendar,V1713,U1714,"f",FALSE)</f>
        <v>50858</v>
      </c>
      <c r="W1714" s="210">
        <f>_xll.qlCalendarAdvance(Calendar,V1714,NDays&amp;"D")</f>
        <v>50858</v>
      </c>
      <c r="X1714" s="211">
        <v>2.3696270076225545E-2</v>
      </c>
      <c r="Y1714" s="232"/>
    </row>
    <row r="1715" spans="21:25" x14ac:dyDescent="0.2">
      <c r="U1715" s="209" t="str">
        <f t="shared" si="29"/>
        <v>1w</v>
      </c>
      <c r="V1715" s="207">
        <f>_xll.qlCalendarAdvance(Calendar,V1714,U1715,"f",FALSE)</f>
        <v>50865</v>
      </c>
      <c r="W1715" s="210">
        <f>_xll.qlCalendarAdvance(Calendar,V1715,NDays&amp;"D")</f>
        <v>50865</v>
      </c>
      <c r="X1715" s="211">
        <v>2.3684237685861476E-2</v>
      </c>
      <c r="Y1715" s="232"/>
    </row>
    <row r="1716" spans="21:25" x14ac:dyDescent="0.2">
      <c r="U1716" s="209" t="str">
        <f t="shared" si="29"/>
        <v>1w</v>
      </c>
      <c r="V1716" s="207">
        <f>_xll.qlCalendarAdvance(Calendar,V1715,U1716,"f",FALSE)</f>
        <v>50872</v>
      </c>
      <c r="W1716" s="210">
        <f>_xll.qlCalendarAdvance(Calendar,V1716,NDays&amp;"D")</f>
        <v>50872</v>
      </c>
      <c r="X1716" s="211">
        <v>2.3672192388621838E-2</v>
      </c>
      <c r="Y1716" s="232"/>
    </row>
    <row r="1717" spans="21:25" x14ac:dyDescent="0.2">
      <c r="U1717" s="209" t="str">
        <f t="shared" si="29"/>
        <v>1w</v>
      </c>
      <c r="V1717" s="207">
        <f>_xll.qlCalendarAdvance(Calendar,V1716,U1717,"f",FALSE)</f>
        <v>50879</v>
      </c>
      <c r="W1717" s="210">
        <f>_xll.qlCalendarAdvance(Calendar,V1717,NDays&amp;"D")</f>
        <v>50879</v>
      </c>
      <c r="X1717" s="211">
        <v>2.366013418474644E-2</v>
      </c>
      <c r="Y1717" s="232"/>
    </row>
    <row r="1718" spans="21:25" x14ac:dyDescent="0.2">
      <c r="U1718" s="209" t="str">
        <f t="shared" si="29"/>
        <v>1w</v>
      </c>
      <c r="V1718" s="207">
        <f>_xll.qlCalendarAdvance(Calendar,V1717,U1718,"f",FALSE)</f>
        <v>50886</v>
      </c>
      <c r="W1718" s="210">
        <f>_xll.qlCalendarAdvance(Calendar,V1718,NDays&amp;"D")</f>
        <v>50886</v>
      </c>
      <c r="X1718" s="211">
        <v>2.3648063073835601E-2</v>
      </c>
      <c r="Y1718" s="232"/>
    </row>
    <row r="1719" spans="21:25" x14ac:dyDescent="0.2">
      <c r="U1719" s="209" t="str">
        <f t="shared" si="29"/>
        <v>1w</v>
      </c>
      <c r="V1719" s="207">
        <f>_xll.qlCalendarAdvance(Calendar,V1718,U1719,"f",FALSE)</f>
        <v>50893</v>
      </c>
      <c r="W1719" s="210">
        <f>_xll.qlCalendarAdvance(Calendar,V1719,NDays&amp;"D")</f>
        <v>50893</v>
      </c>
      <c r="X1719" s="211">
        <v>2.3635979056209067E-2</v>
      </c>
      <c r="Y1719" s="232"/>
    </row>
    <row r="1720" spans="21:25" x14ac:dyDescent="0.2">
      <c r="U1720" s="209" t="str">
        <f t="shared" si="29"/>
        <v>1w</v>
      </c>
      <c r="V1720" s="207">
        <f>_xll.qlCalendarAdvance(Calendar,V1719,U1720,"f",FALSE)</f>
        <v>50900</v>
      </c>
      <c r="W1720" s="210">
        <f>_xll.qlCalendarAdvance(Calendar,V1720,NDays&amp;"D")</f>
        <v>50900</v>
      </c>
      <c r="X1720" s="211">
        <v>2.36238821317869E-2</v>
      </c>
      <c r="Y1720" s="232"/>
    </row>
    <row r="1721" spans="21:25" x14ac:dyDescent="0.2">
      <c r="U1721" s="209" t="str">
        <f t="shared" si="29"/>
        <v>1w</v>
      </c>
      <c r="V1721" s="207">
        <f>_xll.qlCalendarAdvance(Calendar,V1720,U1721,"f",FALSE)</f>
        <v>50907</v>
      </c>
      <c r="W1721" s="210">
        <f>_xll.qlCalendarAdvance(Calendar,V1721,NDays&amp;"D")</f>
        <v>50907</v>
      </c>
      <c r="X1721" s="211">
        <v>2.36117723005691E-2</v>
      </c>
      <c r="Y1721" s="232"/>
    </row>
    <row r="1722" spans="21:25" x14ac:dyDescent="0.2">
      <c r="U1722" s="209" t="str">
        <f t="shared" si="29"/>
        <v>1w</v>
      </c>
      <c r="V1722" s="207">
        <f>_xll.qlCalendarAdvance(Calendar,V1721,U1722,"f",FALSE)</f>
        <v>50914</v>
      </c>
      <c r="W1722" s="210">
        <f>_xll.qlCalendarAdvance(Calendar,V1722,NDays&amp;"D")</f>
        <v>50914</v>
      </c>
      <c r="X1722" s="211">
        <v>2.3599649562555669E-2</v>
      </c>
      <c r="Y1722" s="232"/>
    </row>
    <row r="1723" spans="21:25" x14ac:dyDescent="0.2">
      <c r="U1723" s="209" t="str">
        <f t="shared" si="29"/>
        <v>1w</v>
      </c>
      <c r="V1723" s="207">
        <f>_xll.qlCalendarAdvance(Calendar,V1722,U1723,"f",FALSE)</f>
        <v>50921</v>
      </c>
      <c r="W1723" s="210">
        <f>_xll.qlCalendarAdvance(Calendar,V1723,NDays&amp;"D")</f>
        <v>50921</v>
      </c>
      <c r="X1723" s="211">
        <v>2.3587513917666669E-2</v>
      </c>
      <c r="Y1723" s="232"/>
    </row>
    <row r="1724" spans="21:25" x14ac:dyDescent="0.2">
      <c r="U1724" s="209" t="str">
        <f t="shared" si="29"/>
        <v>1w</v>
      </c>
      <c r="V1724" s="207">
        <f>_xll.qlCalendarAdvance(Calendar,V1723,U1724,"f",FALSE)</f>
        <v>50928</v>
      </c>
      <c r="W1724" s="210">
        <f>_xll.qlCalendarAdvance(Calendar,V1724,NDays&amp;"D")</f>
        <v>50928</v>
      </c>
      <c r="X1724" s="211">
        <v>2.3575390714505318E-2</v>
      </c>
      <c r="Y1724" s="232"/>
    </row>
    <row r="1725" spans="21:25" x14ac:dyDescent="0.2">
      <c r="U1725" s="209" t="str">
        <f t="shared" si="29"/>
        <v>1w</v>
      </c>
      <c r="V1725" s="207">
        <f>_xll.qlCalendarAdvance(Calendar,V1724,U1725,"f",FALSE)</f>
        <v>50935</v>
      </c>
      <c r="W1725" s="210">
        <f>_xll.qlCalendarAdvance(Calendar,V1725,NDays&amp;"D")</f>
        <v>50935</v>
      </c>
      <c r="X1725" s="211">
        <v>2.3563334549718817E-2</v>
      </c>
      <c r="Y1725" s="232"/>
    </row>
    <row r="1726" spans="21:25" x14ac:dyDescent="0.2">
      <c r="U1726" s="209" t="str">
        <f t="shared" si="29"/>
        <v>1w</v>
      </c>
      <c r="V1726" s="207">
        <f>_xll.qlCalendarAdvance(Calendar,V1725,U1726,"f",FALSE)</f>
        <v>50942</v>
      </c>
      <c r="W1726" s="210">
        <f>_xll.qlCalendarAdvance(Calendar,V1726,NDays&amp;"D")</f>
        <v>50942</v>
      </c>
      <c r="X1726" s="211">
        <v>2.3551347373347298E-2</v>
      </c>
      <c r="Y1726" s="232"/>
    </row>
    <row r="1727" spans="21:25" x14ac:dyDescent="0.2">
      <c r="U1727" s="209" t="str">
        <f t="shared" si="29"/>
        <v>1w</v>
      </c>
      <c r="V1727" s="207">
        <f>_xll.qlCalendarAdvance(Calendar,V1726,U1727,"f",FALSE)</f>
        <v>50949</v>
      </c>
      <c r="W1727" s="210">
        <f>_xll.qlCalendarAdvance(Calendar,V1727,NDays&amp;"D")</f>
        <v>50949</v>
      </c>
      <c r="X1727" s="211">
        <v>2.3539429185230887E-2</v>
      </c>
      <c r="Y1727" s="232"/>
    </row>
    <row r="1728" spans="21:25" x14ac:dyDescent="0.2">
      <c r="U1728" s="209" t="str">
        <f t="shared" si="29"/>
        <v>1w</v>
      </c>
      <c r="V1728" s="207">
        <f>_xll.qlCalendarAdvance(Calendar,V1727,U1728,"f",FALSE)</f>
        <v>50956</v>
      </c>
      <c r="W1728" s="210">
        <f>_xll.qlCalendarAdvance(Calendar,V1728,NDays&amp;"D")</f>
        <v>50956</v>
      </c>
      <c r="X1728" s="211">
        <v>2.3527579985369584E-2</v>
      </c>
      <c r="Y1728" s="232"/>
    </row>
    <row r="1729" spans="21:25" x14ac:dyDescent="0.2">
      <c r="U1729" s="209" t="str">
        <f t="shared" si="29"/>
        <v>1w</v>
      </c>
      <c r="V1729" s="207">
        <f>_xll.qlCalendarAdvance(Calendar,V1728,U1729,"f",FALSE)</f>
        <v>50963</v>
      </c>
      <c r="W1729" s="210">
        <f>_xll.qlCalendarAdvance(Calendar,V1729,NDays&amp;"D")</f>
        <v>50963</v>
      </c>
      <c r="X1729" s="211">
        <v>2.3515799773763391E-2</v>
      </c>
      <c r="Y1729" s="232"/>
    </row>
    <row r="1730" spans="21:25" x14ac:dyDescent="0.2">
      <c r="U1730" s="209" t="str">
        <f t="shared" si="29"/>
        <v>1w</v>
      </c>
      <c r="V1730" s="207">
        <f>_xll.qlCalendarAdvance(Calendar,V1729,U1730,"f",FALSE)</f>
        <v>50970</v>
      </c>
      <c r="W1730" s="210">
        <f>_xll.qlCalendarAdvance(Calendar,V1730,NDays&amp;"D")</f>
        <v>50970</v>
      </c>
      <c r="X1730" s="211">
        <v>2.3504088550652114E-2</v>
      </c>
      <c r="Y1730" s="232"/>
    </row>
    <row r="1731" spans="21:25" x14ac:dyDescent="0.2">
      <c r="U1731" s="209" t="str">
        <f t="shared" si="29"/>
        <v>1w</v>
      </c>
      <c r="V1731" s="207">
        <f>_xll.qlCalendarAdvance(Calendar,V1730,U1731,"f",FALSE)</f>
        <v>50977</v>
      </c>
      <c r="W1731" s="210">
        <f>_xll.qlCalendarAdvance(Calendar,V1731,NDays&amp;"D")</f>
        <v>50977</v>
      </c>
      <c r="X1731" s="211">
        <v>2.3492446315556137E-2</v>
      </c>
      <c r="Y1731" s="232"/>
    </row>
    <row r="1732" spans="21:25" x14ac:dyDescent="0.2">
      <c r="U1732" s="209" t="str">
        <f t="shared" si="29"/>
        <v>1w</v>
      </c>
      <c r="V1732" s="207">
        <f>_xll.qlCalendarAdvance(Calendar,V1731,U1732,"f",FALSE)</f>
        <v>50984</v>
      </c>
      <c r="W1732" s="210">
        <f>_xll.qlCalendarAdvance(Calendar,V1732,NDays&amp;"D")</f>
        <v>50984</v>
      </c>
      <c r="X1732" s="211">
        <v>2.3480873068875141E-2</v>
      </c>
      <c r="Y1732" s="232"/>
    </row>
    <row r="1733" spans="21:25" x14ac:dyDescent="0.2">
      <c r="U1733" s="209" t="str">
        <f t="shared" si="29"/>
        <v>1w</v>
      </c>
      <c r="V1733" s="207">
        <f>_xll.qlCalendarAdvance(Calendar,V1732,U1733,"f",FALSE)</f>
        <v>50991</v>
      </c>
      <c r="W1733" s="210">
        <f>_xll.qlCalendarAdvance(Calendar,V1733,NDays&amp;"D")</f>
        <v>50991</v>
      </c>
      <c r="X1733" s="211">
        <v>2.3469368810369318E-2</v>
      </c>
      <c r="Y1733" s="232"/>
    </row>
    <row r="1734" spans="21:25" x14ac:dyDescent="0.2">
      <c r="U1734" s="209" t="str">
        <f t="shared" si="29"/>
        <v>1w</v>
      </c>
      <c r="V1734" s="207">
        <f>_xll.qlCalendarAdvance(Calendar,V1733,U1734,"f",FALSE)</f>
        <v>50998</v>
      </c>
      <c r="W1734" s="210">
        <f>_xll.qlCalendarAdvance(Calendar,V1734,NDays&amp;"D")</f>
        <v>50998</v>
      </c>
      <c r="X1734" s="211">
        <v>2.3457933540198539E-2</v>
      </c>
      <c r="Y1734" s="232"/>
    </row>
    <row r="1735" spans="21:25" x14ac:dyDescent="0.2">
      <c r="U1735" s="209" t="str">
        <f t="shared" si="29"/>
        <v>1w</v>
      </c>
      <c r="V1735" s="207">
        <f>_xll.qlCalendarAdvance(Calendar,V1734,U1735,"f",FALSE)</f>
        <v>51005</v>
      </c>
      <c r="W1735" s="210">
        <f>_xll.qlCalendarAdvance(Calendar,V1735,NDays&amp;"D")</f>
        <v>51005</v>
      </c>
      <c r="X1735" s="211">
        <v>2.3446567258282869E-2</v>
      </c>
      <c r="Y1735" s="232"/>
    </row>
    <row r="1736" spans="21:25" x14ac:dyDescent="0.2">
      <c r="U1736" s="209" t="str">
        <f t="shared" si="29"/>
        <v>1w</v>
      </c>
      <c r="V1736" s="207">
        <f>_xll.qlCalendarAdvance(Calendar,V1735,U1736,"f",FALSE)</f>
        <v>51012</v>
      </c>
      <c r="W1736" s="210">
        <f>_xll.qlCalendarAdvance(Calendar,V1736,NDays&amp;"D")</f>
        <v>51012</v>
      </c>
      <c r="X1736" s="211">
        <v>2.3435269964542371E-2</v>
      </c>
      <c r="Y1736" s="232"/>
    </row>
    <row r="1737" spans="21:25" x14ac:dyDescent="0.2">
      <c r="U1737" s="209" t="str">
        <f t="shared" si="29"/>
        <v>1w</v>
      </c>
      <c r="V1737" s="207">
        <f>_xll.qlCalendarAdvance(Calendar,V1736,U1737,"f",FALSE)</f>
        <v>51019</v>
      </c>
      <c r="W1737" s="210">
        <f>_xll.qlCalendarAdvance(Calendar,V1737,NDays&amp;"D")</f>
        <v>51019</v>
      </c>
      <c r="X1737" s="211">
        <v>2.3424041658977046E-2</v>
      </c>
      <c r="Y1737" s="232"/>
    </row>
    <row r="1738" spans="21:25" x14ac:dyDescent="0.2">
      <c r="U1738" s="209" t="str">
        <f t="shared" si="29"/>
        <v>1w</v>
      </c>
      <c r="V1738" s="207">
        <f>_xll.qlCalendarAdvance(Calendar,V1737,U1738,"f",FALSE)</f>
        <v>51026</v>
      </c>
      <c r="W1738" s="210">
        <f>_xll.qlCalendarAdvance(Calendar,V1738,NDays&amp;"D")</f>
        <v>51026</v>
      </c>
      <c r="X1738" s="211">
        <v>2.3412882341746766E-2</v>
      </c>
      <c r="Y1738" s="232"/>
    </row>
    <row r="1739" spans="21:25" x14ac:dyDescent="0.2">
      <c r="U1739" s="209" t="str">
        <f t="shared" si="29"/>
        <v>1w</v>
      </c>
      <c r="V1739" s="207">
        <f>_xll.qlCalendarAdvance(Calendar,V1738,U1739,"f",FALSE)</f>
        <v>51033</v>
      </c>
      <c r="W1739" s="210">
        <f>_xll.qlCalendarAdvance(Calendar,V1739,NDays&amp;"D")</f>
        <v>51033</v>
      </c>
      <c r="X1739" s="211">
        <v>2.3401792012691658E-2</v>
      </c>
      <c r="Y1739" s="232"/>
    </row>
    <row r="1740" spans="21:25" x14ac:dyDescent="0.2">
      <c r="U1740" s="209" t="str">
        <f t="shared" si="29"/>
        <v>1w</v>
      </c>
      <c r="V1740" s="207">
        <f>_xll.qlCalendarAdvance(Calendar,V1739,U1740,"f",FALSE)</f>
        <v>51040</v>
      </c>
      <c r="W1740" s="210">
        <f>_xll.qlCalendarAdvance(Calendar,V1740,NDays&amp;"D")</f>
        <v>51040</v>
      </c>
      <c r="X1740" s="211">
        <v>2.3390770671891659E-2</v>
      </c>
      <c r="Y1740" s="232"/>
    </row>
    <row r="1741" spans="21:25" x14ac:dyDescent="0.2">
      <c r="U1741" s="209" t="str">
        <f t="shared" ref="U1741:U1804" si="30">U1740</f>
        <v>1w</v>
      </c>
      <c r="V1741" s="207">
        <f>_xll.qlCalendarAdvance(Calendar,V1740,U1741,"f",FALSE)</f>
        <v>51047</v>
      </c>
      <c r="W1741" s="210">
        <f>_xll.qlCalendarAdvance(Calendar,V1741,NDays&amp;"D")</f>
        <v>51047</v>
      </c>
      <c r="X1741" s="211">
        <v>2.3379818319346768E-2</v>
      </c>
      <c r="Y1741" s="232"/>
    </row>
    <row r="1742" spans="21:25" x14ac:dyDescent="0.2">
      <c r="U1742" s="209" t="str">
        <f t="shared" si="30"/>
        <v>1w</v>
      </c>
      <c r="V1742" s="207">
        <f>_xll.qlCalendarAdvance(Calendar,V1741,U1742,"f",FALSE)</f>
        <v>51054</v>
      </c>
      <c r="W1742" s="210">
        <f>_xll.qlCalendarAdvance(Calendar,V1742,NDays&amp;"D")</f>
        <v>51054</v>
      </c>
      <c r="X1742" s="211">
        <v>2.3368934954897114E-2</v>
      </c>
      <c r="Y1742" s="232"/>
    </row>
    <row r="1743" spans="21:25" x14ac:dyDescent="0.2">
      <c r="U1743" s="209" t="str">
        <f t="shared" si="30"/>
        <v>1w</v>
      </c>
      <c r="V1743" s="207">
        <f>_xll.qlCalendarAdvance(Calendar,V1742,U1743,"f",FALSE)</f>
        <v>51061</v>
      </c>
      <c r="W1743" s="210">
        <f>_xll.qlCalendarAdvance(Calendar,V1743,NDays&amp;"D")</f>
        <v>51061</v>
      </c>
      <c r="X1743" s="211">
        <v>2.3358120578622632E-2</v>
      </c>
      <c r="Y1743" s="232"/>
    </row>
    <row r="1744" spans="21:25" x14ac:dyDescent="0.2">
      <c r="U1744" s="209" t="str">
        <f t="shared" si="30"/>
        <v>1w</v>
      </c>
      <c r="V1744" s="207">
        <f>_xll.qlCalendarAdvance(Calendar,V1743,U1744,"f",FALSE)</f>
        <v>51068</v>
      </c>
      <c r="W1744" s="210">
        <f>_xll.qlCalendarAdvance(Calendar,V1744,NDays&amp;"D")</f>
        <v>51068</v>
      </c>
      <c r="X1744" s="211">
        <v>2.3347375190603259E-2</v>
      </c>
      <c r="Y1744" s="232"/>
    </row>
    <row r="1745" spans="21:25" x14ac:dyDescent="0.2">
      <c r="U1745" s="209" t="str">
        <f t="shared" si="30"/>
        <v>1w</v>
      </c>
      <c r="V1745" s="207">
        <f>_xll.qlCalendarAdvance(Calendar,V1744,U1745,"f",FALSE)</f>
        <v>51075</v>
      </c>
      <c r="W1745" s="210">
        <f>_xll.qlCalendarAdvance(Calendar,V1745,NDays&amp;"D")</f>
        <v>51075</v>
      </c>
      <c r="X1745" s="211">
        <v>2.3336698790759058E-2</v>
      </c>
      <c r="Y1745" s="232"/>
    </row>
    <row r="1746" spans="21:25" x14ac:dyDescent="0.2">
      <c r="U1746" s="209" t="str">
        <f t="shared" si="30"/>
        <v>1w</v>
      </c>
      <c r="V1746" s="207">
        <f>_xll.qlCalendarAdvance(Calendar,V1745,U1746,"f",FALSE)</f>
        <v>51082</v>
      </c>
      <c r="W1746" s="210">
        <f>_xll.qlCalendarAdvance(Calendar,V1746,NDays&amp;"D")</f>
        <v>51082</v>
      </c>
      <c r="X1746" s="211">
        <v>2.332609137909003E-2</v>
      </c>
      <c r="Y1746" s="232"/>
    </row>
    <row r="1747" spans="21:25" x14ac:dyDescent="0.2">
      <c r="U1747" s="209" t="str">
        <f t="shared" si="30"/>
        <v>1w</v>
      </c>
      <c r="V1747" s="207">
        <f>_xll.qlCalendarAdvance(Calendar,V1746,U1747,"f",FALSE)</f>
        <v>51089</v>
      </c>
      <c r="W1747" s="210">
        <f>_xll.qlCalendarAdvance(Calendar,V1747,NDays&amp;"D")</f>
        <v>51089</v>
      </c>
      <c r="X1747" s="211">
        <v>2.3315552955516239E-2</v>
      </c>
      <c r="Y1747" s="232"/>
    </row>
    <row r="1748" spans="21:25" x14ac:dyDescent="0.2">
      <c r="U1748" s="209" t="str">
        <f t="shared" si="30"/>
        <v>1w</v>
      </c>
      <c r="V1748" s="207">
        <f>_xll.qlCalendarAdvance(Calendar,V1747,U1748,"f",FALSE)</f>
        <v>51096</v>
      </c>
      <c r="W1748" s="210">
        <f>_xll.qlCalendarAdvance(Calendar,V1748,NDays&amp;"D")</f>
        <v>51096</v>
      </c>
      <c r="X1748" s="211">
        <v>2.330508352011762E-2</v>
      </c>
      <c r="Y1748" s="232"/>
    </row>
    <row r="1749" spans="21:25" x14ac:dyDescent="0.2">
      <c r="U1749" s="209" t="str">
        <f t="shared" si="30"/>
        <v>1w</v>
      </c>
      <c r="V1749" s="207">
        <f>_xll.qlCalendarAdvance(Calendar,V1748,U1749,"f",FALSE)</f>
        <v>51103</v>
      </c>
      <c r="W1749" s="210">
        <f>_xll.qlCalendarAdvance(Calendar,V1749,NDays&amp;"D")</f>
        <v>51103</v>
      </c>
      <c r="X1749" s="211">
        <v>2.3294683072974109E-2</v>
      </c>
      <c r="Y1749" s="232"/>
    </row>
    <row r="1750" spans="21:25" x14ac:dyDescent="0.2">
      <c r="U1750" s="209" t="str">
        <f t="shared" si="30"/>
        <v>1w</v>
      </c>
      <c r="V1750" s="207">
        <f>_xll.qlCalendarAdvance(Calendar,V1749,U1750,"f",FALSE)</f>
        <v>51110</v>
      </c>
      <c r="W1750" s="210">
        <f>_xll.qlCalendarAdvance(Calendar,V1750,NDays&amp;"D")</f>
        <v>51110</v>
      </c>
      <c r="X1750" s="211">
        <v>2.3284351614005772E-2</v>
      </c>
      <c r="Y1750" s="232"/>
    </row>
    <row r="1751" spans="21:25" x14ac:dyDescent="0.2">
      <c r="U1751" s="209" t="str">
        <f t="shared" si="30"/>
        <v>1w</v>
      </c>
      <c r="V1751" s="207">
        <f>_xll.qlCalendarAdvance(Calendar,V1750,U1751,"f",FALSE)</f>
        <v>51117</v>
      </c>
      <c r="W1751" s="210">
        <f>_xll.qlCalendarAdvance(Calendar,V1751,NDays&amp;"D")</f>
        <v>51117</v>
      </c>
      <c r="X1751" s="211">
        <v>2.3274089143052734E-2</v>
      </c>
      <c r="Y1751" s="232"/>
    </row>
    <row r="1752" spans="21:25" x14ac:dyDescent="0.2">
      <c r="U1752" s="209" t="str">
        <f t="shared" si="30"/>
        <v>1w</v>
      </c>
      <c r="V1752" s="207">
        <f>_xll.qlCalendarAdvance(Calendar,V1751,U1752,"f",FALSE)</f>
        <v>51124</v>
      </c>
      <c r="W1752" s="210">
        <f>_xll.qlCalendarAdvance(Calendar,V1752,NDays&amp;"D")</f>
        <v>51124</v>
      </c>
      <c r="X1752" s="211">
        <v>2.3263895660354805E-2</v>
      </c>
      <c r="Y1752" s="232"/>
    </row>
    <row r="1753" spans="21:25" x14ac:dyDescent="0.2">
      <c r="U1753" s="209" t="str">
        <f t="shared" si="30"/>
        <v>1w</v>
      </c>
      <c r="V1753" s="207">
        <f>_xll.qlCalendarAdvance(Calendar,V1752,U1753,"f",FALSE)</f>
        <v>51131</v>
      </c>
      <c r="W1753" s="210">
        <f>_xll.qlCalendarAdvance(Calendar,V1753,NDays&amp;"D")</f>
        <v>51131</v>
      </c>
      <c r="X1753" s="211">
        <v>2.3253771165832049E-2</v>
      </c>
      <c r="Y1753" s="232"/>
    </row>
    <row r="1754" spans="21:25" x14ac:dyDescent="0.2">
      <c r="U1754" s="209" t="str">
        <f t="shared" si="30"/>
        <v>1w</v>
      </c>
      <c r="V1754" s="207">
        <f>_xll.qlCalendarAdvance(Calendar,V1753,U1754,"f",FALSE)</f>
        <v>51138</v>
      </c>
      <c r="W1754" s="210">
        <f>_xll.qlCalendarAdvance(Calendar,V1754,NDays&amp;"D")</f>
        <v>51138</v>
      </c>
      <c r="X1754" s="211">
        <v>2.3243715659324593E-2</v>
      </c>
      <c r="Y1754" s="232"/>
    </row>
    <row r="1755" spans="21:25" x14ac:dyDescent="0.2">
      <c r="U1755" s="209" t="str">
        <f t="shared" si="30"/>
        <v>1w</v>
      </c>
      <c r="V1755" s="207">
        <f>_xll.qlCalendarAdvance(Calendar,V1754,U1755,"f",FALSE)</f>
        <v>51145</v>
      </c>
      <c r="W1755" s="210">
        <f>_xll.qlCalendarAdvance(Calendar,V1755,NDays&amp;"D")</f>
        <v>51145</v>
      </c>
      <c r="X1755" s="211">
        <v>2.323372914099231E-2</v>
      </c>
      <c r="Y1755" s="232"/>
    </row>
    <row r="1756" spans="21:25" x14ac:dyDescent="0.2">
      <c r="U1756" s="209" t="str">
        <f t="shared" si="30"/>
        <v>1w</v>
      </c>
      <c r="V1756" s="207">
        <f>_xll.qlCalendarAdvance(Calendar,V1755,U1756,"f",FALSE)</f>
        <v>51152</v>
      </c>
      <c r="W1756" s="210">
        <f>_xll.qlCalendarAdvance(Calendar,V1756,NDays&amp;"D")</f>
        <v>51152</v>
      </c>
      <c r="X1756" s="211">
        <v>2.3223811610675327E-2</v>
      </c>
      <c r="Y1756" s="232"/>
    </row>
    <row r="1757" spans="21:25" x14ac:dyDescent="0.2">
      <c r="U1757" s="209" t="str">
        <f t="shared" si="30"/>
        <v>1w</v>
      </c>
      <c r="V1757" s="207">
        <f>_xll.qlCalendarAdvance(Calendar,V1756,U1757,"f",FALSE)</f>
        <v>51159</v>
      </c>
      <c r="W1757" s="210">
        <f>_xll.qlCalendarAdvance(Calendar,V1757,NDays&amp;"D")</f>
        <v>51159</v>
      </c>
      <c r="X1757" s="211">
        <v>2.3213963068613452E-2</v>
      </c>
      <c r="Y1757" s="232"/>
    </row>
    <row r="1758" spans="21:25" x14ac:dyDescent="0.2">
      <c r="U1758" s="209" t="str">
        <f t="shared" si="30"/>
        <v>1w</v>
      </c>
      <c r="V1758" s="207">
        <f>_xll.qlCalendarAdvance(Calendar,V1757,U1758,"f",FALSE)</f>
        <v>51166</v>
      </c>
      <c r="W1758" s="210">
        <f>_xll.qlCalendarAdvance(Calendar,V1758,NDays&amp;"D")</f>
        <v>51166</v>
      </c>
      <c r="X1758" s="211">
        <v>2.3204183514646815E-2</v>
      </c>
      <c r="Y1758" s="232"/>
    </row>
    <row r="1759" spans="21:25" x14ac:dyDescent="0.2">
      <c r="U1759" s="209" t="str">
        <f t="shared" si="30"/>
        <v>1w</v>
      </c>
      <c r="V1759" s="207">
        <f>_xll.qlCalendarAdvance(Calendar,V1758,U1759,"f",FALSE)</f>
        <v>51173</v>
      </c>
      <c r="W1759" s="210">
        <f>_xll.qlCalendarAdvance(Calendar,V1759,NDays&amp;"D")</f>
        <v>51173</v>
      </c>
      <c r="X1759" s="211">
        <v>2.3194472948695477E-2</v>
      </c>
      <c r="Y1759" s="232"/>
    </row>
    <row r="1760" spans="21:25" x14ac:dyDescent="0.2">
      <c r="U1760" s="209" t="str">
        <f t="shared" si="30"/>
        <v>1w</v>
      </c>
      <c r="V1760" s="207">
        <f>_xll.qlCalendarAdvance(Calendar,V1759,U1760,"f",FALSE)</f>
        <v>51180</v>
      </c>
      <c r="W1760" s="210">
        <f>_xll.qlCalendarAdvance(Calendar,V1760,NDays&amp;"D")</f>
        <v>51180</v>
      </c>
      <c r="X1760" s="211">
        <v>2.3184831370839376E-2</v>
      </c>
      <c r="Y1760" s="232"/>
    </row>
    <row r="1761" spans="21:25" x14ac:dyDescent="0.2">
      <c r="U1761" s="209" t="str">
        <f t="shared" si="30"/>
        <v>1w</v>
      </c>
      <c r="V1761" s="207">
        <f>_xll.qlCalendarAdvance(Calendar,V1760,U1761,"f",FALSE)</f>
        <v>51187</v>
      </c>
      <c r="W1761" s="210">
        <f>_xll.qlCalendarAdvance(Calendar,V1761,NDays&amp;"D")</f>
        <v>51187</v>
      </c>
      <c r="X1761" s="211">
        <v>2.3175258781078512E-2</v>
      </c>
      <c r="Y1761" s="232"/>
    </row>
    <row r="1762" spans="21:25" x14ac:dyDescent="0.2">
      <c r="U1762" s="209" t="str">
        <f t="shared" si="30"/>
        <v>1w</v>
      </c>
      <c r="V1762" s="207">
        <f>_xll.qlCalendarAdvance(Calendar,V1761,U1762,"f",FALSE)</f>
        <v>51194</v>
      </c>
      <c r="W1762" s="210">
        <f>_xll.qlCalendarAdvance(Calendar,V1762,NDays&amp;"D")</f>
        <v>51194</v>
      </c>
      <c r="X1762" s="211">
        <v>2.316575517949282E-2</v>
      </c>
      <c r="Y1762" s="232"/>
    </row>
    <row r="1763" spans="21:25" x14ac:dyDescent="0.2">
      <c r="U1763" s="209" t="str">
        <f t="shared" si="30"/>
        <v>1w</v>
      </c>
      <c r="V1763" s="207">
        <f>_xll.qlCalendarAdvance(Calendar,V1762,U1763,"f",FALSE)</f>
        <v>51201</v>
      </c>
      <c r="W1763" s="210">
        <f>_xll.qlCalendarAdvance(Calendar,V1763,NDays&amp;"D")</f>
        <v>51201</v>
      </c>
      <c r="X1763" s="211">
        <v>2.3156320565922428E-2</v>
      </c>
      <c r="Y1763" s="232"/>
    </row>
    <row r="1764" spans="21:25" x14ac:dyDescent="0.2">
      <c r="U1764" s="209" t="str">
        <f t="shared" si="30"/>
        <v>1w</v>
      </c>
      <c r="V1764" s="207">
        <f>_xll.qlCalendarAdvance(Calendar,V1763,U1764,"f",FALSE)</f>
        <v>51208</v>
      </c>
      <c r="W1764" s="210">
        <f>_xll.qlCalendarAdvance(Calendar,V1764,NDays&amp;"D")</f>
        <v>51208</v>
      </c>
      <c r="X1764" s="211">
        <v>2.3146954940447273E-2</v>
      </c>
      <c r="Y1764" s="232"/>
    </row>
    <row r="1765" spans="21:25" x14ac:dyDescent="0.2">
      <c r="U1765" s="209" t="str">
        <f t="shared" si="30"/>
        <v>1w</v>
      </c>
      <c r="V1765" s="207">
        <f>_xll.qlCalendarAdvance(Calendar,V1764,U1765,"f",FALSE)</f>
        <v>51215</v>
      </c>
      <c r="W1765" s="210">
        <f>_xll.qlCalendarAdvance(Calendar,V1765,NDays&amp;"D")</f>
        <v>51215</v>
      </c>
      <c r="X1765" s="211">
        <v>2.3137658302987418E-2</v>
      </c>
      <c r="Y1765" s="232"/>
    </row>
    <row r="1766" spans="21:25" x14ac:dyDescent="0.2">
      <c r="U1766" s="209" t="str">
        <f t="shared" si="30"/>
        <v>1w</v>
      </c>
      <c r="V1766" s="207">
        <f>_xll.qlCalendarAdvance(Calendar,V1765,U1766,"f",FALSE)</f>
        <v>51222</v>
      </c>
      <c r="W1766" s="210">
        <f>_xll.qlCalendarAdvance(Calendar,V1766,NDays&amp;"D")</f>
        <v>51222</v>
      </c>
      <c r="X1766" s="211">
        <v>2.31284306536228E-2</v>
      </c>
      <c r="Y1766" s="232"/>
    </row>
    <row r="1767" spans="21:25" x14ac:dyDescent="0.2">
      <c r="U1767" s="209" t="str">
        <f t="shared" si="30"/>
        <v>1w</v>
      </c>
      <c r="V1767" s="207">
        <f>_xll.qlCalendarAdvance(Calendar,V1766,U1767,"f",FALSE)</f>
        <v>51229</v>
      </c>
      <c r="W1767" s="210">
        <f>_xll.qlCalendarAdvance(Calendar,V1767,NDays&amp;"D")</f>
        <v>51229</v>
      </c>
      <c r="X1767" s="211">
        <v>2.3119271992273482E-2</v>
      </c>
      <c r="Y1767" s="232"/>
    </row>
    <row r="1768" spans="21:25" x14ac:dyDescent="0.2">
      <c r="U1768" s="209" t="str">
        <f t="shared" si="30"/>
        <v>1w</v>
      </c>
      <c r="V1768" s="207">
        <f>_xll.qlCalendarAdvance(Calendar,V1767,U1768,"f",FALSE)</f>
        <v>51236</v>
      </c>
      <c r="W1768" s="210">
        <f>_xll.qlCalendarAdvance(Calendar,V1768,NDays&amp;"D")</f>
        <v>51236</v>
      </c>
      <c r="X1768" s="211">
        <v>2.3110182319099337E-2</v>
      </c>
      <c r="Y1768" s="232"/>
    </row>
    <row r="1769" spans="21:25" x14ac:dyDescent="0.2">
      <c r="U1769" s="209" t="str">
        <f t="shared" si="30"/>
        <v>1w</v>
      </c>
      <c r="V1769" s="207">
        <f>_xll.qlCalendarAdvance(Calendar,V1768,U1769,"f",FALSE)</f>
        <v>51243</v>
      </c>
      <c r="W1769" s="210">
        <f>_xll.qlCalendarAdvance(Calendar,V1769,NDays&amp;"D")</f>
        <v>51243</v>
      </c>
      <c r="X1769" s="211">
        <v>2.3101161633860556E-2</v>
      </c>
      <c r="Y1769" s="232"/>
    </row>
    <row r="1770" spans="21:25" x14ac:dyDescent="0.2">
      <c r="U1770" s="209" t="str">
        <f t="shared" si="30"/>
        <v>1w</v>
      </c>
      <c r="V1770" s="207">
        <f>_xll.qlCalendarAdvance(Calendar,V1769,U1770,"f",FALSE)</f>
        <v>51250</v>
      </c>
      <c r="W1770" s="210">
        <f>_xll.qlCalendarAdvance(Calendar,V1770,NDays&amp;"D")</f>
        <v>51250</v>
      </c>
      <c r="X1770" s="211">
        <v>2.3092209936717012E-2</v>
      </c>
      <c r="Y1770" s="232"/>
    </row>
    <row r="1771" spans="21:25" x14ac:dyDescent="0.2">
      <c r="U1771" s="209" t="str">
        <f t="shared" si="30"/>
        <v>1w</v>
      </c>
      <c r="V1771" s="207">
        <f>_xll.qlCalendarAdvance(Calendar,V1770,U1771,"f",FALSE)</f>
        <v>51258</v>
      </c>
      <c r="W1771" s="210">
        <f>_xll.qlCalendarAdvance(Calendar,V1771,NDays&amp;"D")</f>
        <v>51258</v>
      </c>
      <c r="X1771" s="211">
        <v>2.3082063900785599E-2</v>
      </c>
      <c r="Y1771" s="232"/>
    </row>
    <row r="1772" spans="21:25" x14ac:dyDescent="0.2">
      <c r="U1772" s="209" t="str">
        <f t="shared" si="30"/>
        <v>1w</v>
      </c>
      <c r="V1772" s="207">
        <f>_xll.qlCalendarAdvance(Calendar,V1771,U1772,"f",FALSE)</f>
        <v>51265</v>
      </c>
      <c r="W1772" s="210">
        <f>_xll.qlCalendarAdvance(Calendar,V1772,NDays&amp;"D")</f>
        <v>51265</v>
      </c>
      <c r="X1772" s="211">
        <v>2.3073260035069154E-2</v>
      </c>
      <c r="Y1772" s="232"/>
    </row>
    <row r="1773" spans="21:25" x14ac:dyDescent="0.2">
      <c r="U1773" s="209" t="str">
        <f t="shared" si="30"/>
        <v>1w</v>
      </c>
      <c r="V1773" s="207">
        <f>_xll.qlCalendarAdvance(Calendar,V1772,U1773,"f",FALSE)</f>
        <v>51272</v>
      </c>
      <c r="W1773" s="210">
        <f>_xll.qlCalendarAdvance(Calendar,V1773,NDays&amp;"D")</f>
        <v>51272</v>
      </c>
      <c r="X1773" s="211">
        <v>2.3064525157447946E-2</v>
      </c>
      <c r="Y1773" s="232"/>
    </row>
    <row r="1774" spans="21:25" x14ac:dyDescent="0.2">
      <c r="U1774" s="209" t="str">
        <f t="shared" si="30"/>
        <v>1w</v>
      </c>
      <c r="V1774" s="207">
        <f>_xll.qlCalendarAdvance(Calendar,V1773,U1774,"f",FALSE)</f>
        <v>51279</v>
      </c>
      <c r="W1774" s="210">
        <f>_xll.qlCalendarAdvance(Calendar,V1774,NDays&amp;"D")</f>
        <v>51279</v>
      </c>
      <c r="X1774" s="211">
        <v>2.3055859267921974E-2</v>
      </c>
      <c r="Y1774" s="232"/>
    </row>
    <row r="1775" spans="21:25" x14ac:dyDescent="0.2">
      <c r="U1775" s="209" t="str">
        <f t="shared" si="30"/>
        <v>1w</v>
      </c>
      <c r="V1775" s="207">
        <f>_xll.qlCalendarAdvance(Calendar,V1774,U1775,"f",FALSE)</f>
        <v>51286</v>
      </c>
      <c r="W1775" s="210">
        <f>_xll.qlCalendarAdvance(Calendar,V1775,NDays&amp;"D")</f>
        <v>51286</v>
      </c>
      <c r="X1775" s="211">
        <v>2.3047262366171495E-2</v>
      </c>
      <c r="Y1775" s="232"/>
    </row>
    <row r="1776" spans="21:25" x14ac:dyDescent="0.2">
      <c r="U1776" s="209" t="str">
        <f t="shared" si="30"/>
        <v>1w</v>
      </c>
      <c r="V1776" s="207">
        <f>_xll.qlCalendarAdvance(Calendar,V1775,U1776,"f",FALSE)</f>
        <v>51293</v>
      </c>
      <c r="W1776" s="210">
        <f>_xll.qlCalendarAdvance(Calendar,V1776,NDays&amp;"D")</f>
        <v>51293</v>
      </c>
      <c r="X1776" s="211">
        <v>2.3038734452676124E-2</v>
      </c>
      <c r="Y1776" s="232"/>
    </row>
    <row r="1777" spans="21:25" x14ac:dyDescent="0.2">
      <c r="U1777" s="209" t="str">
        <f t="shared" si="30"/>
        <v>1w</v>
      </c>
      <c r="V1777" s="207">
        <f>_xll.qlCalendarAdvance(Calendar,V1776,U1777,"f",FALSE)</f>
        <v>51300</v>
      </c>
      <c r="W1777" s="210">
        <f>_xll.qlCalendarAdvance(Calendar,V1777,NDays&amp;"D")</f>
        <v>51300</v>
      </c>
      <c r="X1777" s="211">
        <v>2.3030275527036181E-2</v>
      </c>
      <c r="Y1777" s="232"/>
    </row>
    <row r="1778" spans="21:25" x14ac:dyDescent="0.2">
      <c r="U1778" s="209" t="str">
        <f t="shared" si="30"/>
        <v>1w</v>
      </c>
      <c r="V1778" s="207">
        <f>_xll.qlCalendarAdvance(Calendar,V1777,U1778,"f",FALSE)</f>
        <v>51307</v>
      </c>
      <c r="W1778" s="210">
        <f>_xll.qlCalendarAdvance(Calendar,V1778,NDays&amp;"D")</f>
        <v>51307</v>
      </c>
      <c r="X1778" s="211">
        <v>2.3021885589491475E-2</v>
      </c>
      <c r="Y1778" s="232"/>
    </row>
    <row r="1779" spans="21:25" x14ac:dyDescent="0.2">
      <c r="U1779" s="209" t="str">
        <f t="shared" si="30"/>
        <v>1w</v>
      </c>
      <c r="V1779" s="207">
        <f>_xll.qlCalendarAdvance(Calendar,V1778,U1779,"f",FALSE)</f>
        <v>51314</v>
      </c>
      <c r="W1779" s="210">
        <f>_xll.qlCalendarAdvance(Calendar,V1779,NDays&amp;"D")</f>
        <v>51314</v>
      </c>
      <c r="X1779" s="211">
        <v>2.3013564639882134E-2</v>
      </c>
      <c r="Y1779" s="232"/>
    </row>
    <row r="1780" spans="21:25" x14ac:dyDescent="0.2">
      <c r="U1780" s="209" t="str">
        <f t="shared" si="30"/>
        <v>1w</v>
      </c>
      <c r="V1780" s="207">
        <f>_xll.qlCalendarAdvance(Calendar,V1779,U1780,"f",FALSE)</f>
        <v>51321</v>
      </c>
      <c r="W1780" s="210">
        <f>_xll.qlCalendarAdvance(Calendar,V1780,NDays&amp;"D")</f>
        <v>51321</v>
      </c>
      <c r="X1780" s="211">
        <v>2.3005312678208156E-2</v>
      </c>
      <c r="Y1780" s="232"/>
    </row>
    <row r="1781" spans="21:25" x14ac:dyDescent="0.2">
      <c r="U1781" s="209" t="str">
        <f t="shared" si="30"/>
        <v>1w</v>
      </c>
      <c r="V1781" s="207">
        <f>_xll.qlCalendarAdvance(Calendar,V1780,U1781,"f",FALSE)</f>
        <v>51328</v>
      </c>
      <c r="W1781" s="210">
        <f>_xll.qlCalendarAdvance(Calendar,V1781,NDays&amp;"D")</f>
        <v>51328</v>
      </c>
      <c r="X1781" s="211">
        <v>2.2997129704709351E-2</v>
      </c>
      <c r="Y1781" s="232"/>
    </row>
    <row r="1782" spans="21:25" x14ac:dyDescent="0.2">
      <c r="U1782" s="209" t="str">
        <f t="shared" si="30"/>
        <v>1w</v>
      </c>
      <c r="V1782" s="207">
        <f>_xll.qlCalendarAdvance(Calendar,V1781,U1782,"f",FALSE)</f>
        <v>51335</v>
      </c>
      <c r="W1782" s="210">
        <f>_xll.qlCalendarAdvance(Calendar,V1782,NDays&amp;"D")</f>
        <v>51335</v>
      </c>
      <c r="X1782" s="211">
        <v>2.2989015718986039E-2</v>
      </c>
      <c r="Y1782" s="232"/>
    </row>
    <row r="1783" spans="21:25" x14ac:dyDescent="0.2">
      <c r="U1783" s="209" t="str">
        <f t="shared" si="30"/>
        <v>1w</v>
      </c>
      <c r="V1783" s="207">
        <f>_xll.qlCalendarAdvance(Calendar,V1782,U1783,"f",FALSE)</f>
        <v>51342</v>
      </c>
      <c r="W1783" s="210">
        <f>_xll.qlCalendarAdvance(Calendar,V1783,NDays&amp;"D")</f>
        <v>51342</v>
      </c>
      <c r="X1783" s="211">
        <v>2.2980970721437899E-2</v>
      </c>
      <c r="Y1783" s="232"/>
    </row>
    <row r="1784" spans="21:25" x14ac:dyDescent="0.2">
      <c r="U1784" s="209" t="str">
        <f t="shared" si="30"/>
        <v>1w</v>
      </c>
      <c r="V1784" s="207">
        <f>_xll.qlCalendarAdvance(Calendar,V1783,U1784,"f",FALSE)</f>
        <v>51349</v>
      </c>
      <c r="W1784" s="210">
        <f>_xll.qlCalendarAdvance(Calendar,V1784,NDays&amp;"D")</f>
        <v>51349</v>
      </c>
      <c r="X1784" s="211">
        <v>2.2972994711665251E-2</v>
      </c>
      <c r="Y1784" s="232"/>
    </row>
    <row r="1785" spans="21:25" x14ac:dyDescent="0.2">
      <c r="U1785" s="209" t="str">
        <f t="shared" si="30"/>
        <v>1w</v>
      </c>
      <c r="V1785" s="207">
        <f>_xll.qlCalendarAdvance(Calendar,V1784,U1785,"f",FALSE)</f>
        <v>51356</v>
      </c>
      <c r="W1785" s="210">
        <f>_xll.qlCalendarAdvance(Calendar,V1785,NDays&amp;"D")</f>
        <v>51356</v>
      </c>
      <c r="X1785" s="211">
        <v>2.296508768998784E-2</v>
      </c>
      <c r="Y1785" s="232"/>
    </row>
    <row r="1786" spans="21:25" x14ac:dyDescent="0.2">
      <c r="U1786" s="209" t="str">
        <f t="shared" si="30"/>
        <v>1w</v>
      </c>
      <c r="V1786" s="207">
        <f>_xll.qlCalendarAdvance(Calendar,V1785,U1786,"f",FALSE)</f>
        <v>51363</v>
      </c>
      <c r="W1786" s="210">
        <f>_xll.qlCalendarAdvance(Calendar,V1786,NDays&amp;"D")</f>
        <v>51363</v>
      </c>
      <c r="X1786" s="211">
        <v>2.2957249656165857E-2</v>
      </c>
      <c r="Y1786" s="232"/>
    </row>
    <row r="1787" spans="21:25" x14ac:dyDescent="0.2">
      <c r="U1787" s="209" t="str">
        <f t="shared" si="30"/>
        <v>1w</v>
      </c>
      <c r="V1787" s="207">
        <f>_xll.qlCalendarAdvance(Calendar,V1786,U1787,"f",FALSE)</f>
        <v>51370</v>
      </c>
      <c r="W1787" s="210">
        <f>_xll.qlCalendarAdvance(Calendar,V1787,NDays&amp;"D")</f>
        <v>51370</v>
      </c>
      <c r="X1787" s="211">
        <v>2.2949480610359174E-2</v>
      </c>
      <c r="Y1787" s="232"/>
    </row>
    <row r="1788" spans="21:25" x14ac:dyDescent="0.2">
      <c r="U1788" s="209" t="str">
        <f t="shared" si="30"/>
        <v>1w</v>
      </c>
      <c r="V1788" s="207">
        <f>_xll.qlCalendarAdvance(Calendar,V1787,U1788,"f",FALSE)</f>
        <v>51377</v>
      </c>
      <c r="W1788" s="210">
        <f>_xll.qlCalendarAdvance(Calendar,V1788,NDays&amp;"D")</f>
        <v>51377</v>
      </c>
      <c r="X1788" s="211">
        <v>2.2941780552567792E-2</v>
      </c>
      <c r="Y1788" s="232"/>
    </row>
    <row r="1789" spans="21:25" x14ac:dyDescent="0.2">
      <c r="U1789" s="209" t="str">
        <f t="shared" si="30"/>
        <v>1w</v>
      </c>
      <c r="V1789" s="207">
        <f>_xll.qlCalendarAdvance(Calendar,V1788,U1789,"f",FALSE)</f>
        <v>51384</v>
      </c>
      <c r="W1789" s="210">
        <f>_xll.qlCalendarAdvance(Calendar,V1789,NDays&amp;"D")</f>
        <v>51384</v>
      </c>
      <c r="X1789" s="211">
        <v>2.2934149482631838E-2</v>
      </c>
      <c r="Y1789" s="232"/>
    </row>
    <row r="1790" spans="21:25" x14ac:dyDescent="0.2">
      <c r="U1790" s="209" t="str">
        <f t="shared" si="30"/>
        <v>1w</v>
      </c>
      <c r="V1790" s="207">
        <f>_xll.qlCalendarAdvance(Calendar,V1789,U1790,"f",FALSE)</f>
        <v>51391</v>
      </c>
      <c r="W1790" s="210">
        <f>_xll.qlCalendarAdvance(Calendar,V1790,NDays&amp;"D")</f>
        <v>51391</v>
      </c>
      <c r="X1790" s="211">
        <v>2.2926587400711185E-2</v>
      </c>
      <c r="Y1790" s="232"/>
    </row>
    <row r="1791" spans="21:25" x14ac:dyDescent="0.2">
      <c r="U1791" s="209" t="str">
        <f t="shared" si="30"/>
        <v>1w</v>
      </c>
      <c r="V1791" s="207">
        <f>_xll.qlCalendarAdvance(Calendar,V1790,U1791,"f",FALSE)</f>
        <v>51398</v>
      </c>
      <c r="W1791" s="210">
        <f>_xll.qlCalendarAdvance(Calendar,V1791,NDays&amp;"D")</f>
        <v>51398</v>
      </c>
      <c r="X1791" s="211">
        <v>2.2919094306725896E-2</v>
      </c>
      <c r="Y1791" s="232"/>
    </row>
    <row r="1792" spans="21:25" x14ac:dyDescent="0.2">
      <c r="U1792" s="209" t="str">
        <f t="shared" si="30"/>
        <v>1w</v>
      </c>
      <c r="V1792" s="207">
        <f>_xll.qlCalendarAdvance(Calendar,V1791,U1792,"f",FALSE)</f>
        <v>51405</v>
      </c>
      <c r="W1792" s="210">
        <f>_xll.qlCalendarAdvance(Calendar,V1792,NDays&amp;"D")</f>
        <v>51405</v>
      </c>
      <c r="X1792" s="211">
        <v>2.2911670200596035E-2</v>
      </c>
      <c r="Y1792" s="232"/>
    </row>
    <row r="1793" spans="21:25" x14ac:dyDescent="0.2">
      <c r="U1793" s="209" t="str">
        <f t="shared" si="30"/>
        <v>1w</v>
      </c>
      <c r="V1793" s="207">
        <f>_xll.qlCalendarAdvance(Calendar,V1792,U1793,"f",FALSE)</f>
        <v>51412</v>
      </c>
      <c r="W1793" s="210">
        <f>_xll.qlCalendarAdvance(Calendar,V1793,NDays&amp;"D")</f>
        <v>51412</v>
      </c>
      <c r="X1793" s="211">
        <v>2.2904315082481475E-2</v>
      </c>
      <c r="Y1793" s="232"/>
    </row>
    <row r="1794" spans="21:25" x14ac:dyDescent="0.2">
      <c r="U1794" s="209" t="str">
        <f t="shared" si="30"/>
        <v>1w</v>
      </c>
      <c r="V1794" s="207">
        <f>_xll.qlCalendarAdvance(Calendar,V1793,U1794,"f",FALSE)</f>
        <v>51419</v>
      </c>
      <c r="W1794" s="210">
        <f>_xll.qlCalendarAdvance(Calendar,V1794,NDays&amp;"D")</f>
        <v>51419</v>
      </c>
      <c r="X1794" s="211">
        <v>2.2897028952222342E-2</v>
      </c>
      <c r="Y1794" s="232"/>
    </row>
    <row r="1795" spans="21:25" x14ac:dyDescent="0.2">
      <c r="U1795" s="209" t="str">
        <f t="shared" si="30"/>
        <v>1w</v>
      </c>
      <c r="V1795" s="207">
        <f>_xll.qlCalendarAdvance(Calendar,V1794,U1795,"f",FALSE)</f>
        <v>51426</v>
      </c>
      <c r="W1795" s="210">
        <f>_xll.qlCalendarAdvance(Calendar,V1795,NDays&amp;"D")</f>
        <v>51426</v>
      </c>
      <c r="X1795" s="211">
        <v>2.2889811809978511E-2</v>
      </c>
      <c r="Y1795" s="232"/>
    </row>
    <row r="1796" spans="21:25" x14ac:dyDescent="0.2">
      <c r="U1796" s="209" t="str">
        <f t="shared" si="30"/>
        <v>1w</v>
      </c>
      <c r="V1796" s="207">
        <f>_xll.qlCalendarAdvance(Calendar,V1795,U1796,"f",FALSE)</f>
        <v>51433</v>
      </c>
      <c r="W1796" s="210">
        <f>_xll.qlCalendarAdvance(Calendar,V1796,NDays&amp;"D")</f>
        <v>51433</v>
      </c>
      <c r="X1796" s="211">
        <v>2.2882663655670044E-2</v>
      </c>
      <c r="Y1796" s="232"/>
    </row>
    <row r="1797" spans="21:25" x14ac:dyDescent="0.2">
      <c r="U1797" s="209" t="str">
        <f t="shared" si="30"/>
        <v>1w</v>
      </c>
      <c r="V1797" s="207">
        <f>_xll.qlCalendarAdvance(Calendar,V1796,U1797,"f",FALSE)</f>
        <v>51440</v>
      </c>
      <c r="W1797" s="210">
        <f>_xll.qlCalendarAdvance(Calendar,V1797,NDays&amp;"D")</f>
        <v>51440</v>
      </c>
      <c r="X1797" s="211">
        <v>2.2875584489217005E-2</v>
      </c>
      <c r="Y1797" s="232"/>
    </row>
    <row r="1798" spans="21:25" x14ac:dyDescent="0.2">
      <c r="U1798" s="209" t="str">
        <f t="shared" si="30"/>
        <v>1w</v>
      </c>
      <c r="V1798" s="207">
        <f>_xll.qlCalendarAdvance(Calendar,V1797,U1798,"f",FALSE)</f>
        <v>51447</v>
      </c>
      <c r="W1798" s="210">
        <f>_xll.qlCalendarAdvance(Calendar,V1798,NDays&amp;"D")</f>
        <v>51447</v>
      </c>
      <c r="X1798" s="211">
        <v>2.286857431069933E-2</v>
      </c>
      <c r="Y1798" s="232"/>
    </row>
    <row r="1799" spans="21:25" x14ac:dyDescent="0.2">
      <c r="U1799" s="209" t="str">
        <f t="shared" si="30"/>
        <v>1w</v>
      </c>
      <c r="V1799" s="207">
        <f>_xll.qlCalendarAdvance(Calendar,V1798,U1799,"f",FALSE)</f>
        <v>51454</v>
      </c>
      <c r="W1799" s="210">
        <f>_xll.qlCalendarAdvance(Calendar,V1799,NDays&amp;"D")</f>
        <v>51454</v>
      </c>
      <c r="X1799" s="211">
        <v>2.2861633120037084E-2</v>
      </c>
      <c r="Y1799" s="232"/>
    </row>
    <row r="1800" spans="21:25" x14ac:dyDescent="0.2">
      <c r="U1800" s="209" t="str">
        <f t="shared" si="30"/>
        <v>1w</v>
      </c>
      <c r="V1800" s="207">
        <f>_xll.qlCalendarAdvance(Calendar,V1799,U1800,"f",FALSE)</f>
        <v>51461</v>
      </c>
      <c r="W1800" s="210">
        <f>_xll.qlCalendarAdvance(Calendar,V1800,NDays&amp;"D")</f>
        <v>51461</v>
      </c>
      <c r="X1800" s="211">
        <v>2.2854760917310202E-2</v>
      </c>
      <c r="Y1800" s="232"/>
    </row>
    <row r="1801" spans="21:25" x14ac:dyDescent="0.2">
      <c r="U1801" s="209" t="str">
        <f t="shared" si="30"/>
        <v>1w</v>
      </c>
      <c r="V1801" s="207">
        <f>_xll.qlCalendarAdvance(Calendar,V1800,U1801,"f",FALSE)</f>
        <v>51468</v>
      </c>
      <c r="W1801" s="210">
        <f>_xll.qlCalendarAdvance(Calendar,V1801,NDays&amp;"D")</f>
        <v>51468</v>
      </c>
      <c r="X1801" s="211">
        <v>2.2847957702438748E-2</v>
      </c>
      <c r="Y1801" s="232"/>
    </row>
    <row r="1802" spans="21:25" x14ac:dyDescent="0.2">
      <c r="U1802" s="209" t="str">
        <f t="shared" si="30"/>
        <v>1w</v>
      </c>
      <c r="V1802" s="207">
        <f>_xll.qlCalendarAdvance(Calendar,V1801,U1802,"f",FALSE)</f>
        <v>51475</v>
      </c>
      <c r="W1802" s="210">
        <f>_xll.qlCalendarAdvance(Calendar,V1802,NDays&amp;"D")</f>
        <v>51475</v>
      </c>
      <c r="X1802" s="211">
        <v>2.2841223475502659E-2</v>
      </c>
      <c r="Y1802" s="232"/>
    </row>
    <row r="1803" spans="21:25" x14ac:dyDescent="0.2">
      <c r="U1803" s="209" t="str">
        <f t="shared" si="30"/>
        <v>1w</v>
      </c>
      <c r="V1803" s="207">
        <f>_xll.qlCalendarAdvance(Calendar,V1802,U1803,"f",FALSE)</f>
        <v>51482</v>
      </c>
      <c r="W1803" s="210">
        <f>_xll.qlCalendarAdvance(Calendar,V1803,NDays&amp;"D")</f>
        <v>51482</v>
      </c>
      <c r="X1803" s="211">
        <v>2.2834558236501934E-2</v>
      </c>
      <c r="Y1803" s="232"/>
    </row>
    <row r="1804" spans="21:25" x14ac:dyDescent="0.2">
      <c r="U1804" s="209" t="str">
        <f t="shared" si="30"/>
        <v>1w</v>
      </c>
      <c r="V1804" s="207">
        <f>_xll.qlCalendarAdvance(Calendar,V1803,U1804,"f",FALSE)</f>
        <v>51489</v>
      </c>
      <c r="W1804" s="210">
        <f>_xll.qlCalendarAdvance(Calendar,V1804,NDays&amp;"D")</f>
        <v>51489</v>
      </c>
      <c r="X1804" s="211">
        <v>2.2827961985356637E-2</v>
      </c>
      <c r="Y1804" s="232"/>
    </row>
    <row r="1805" spans="21:25" x14ac:dyDescent="0.2">
      <c r="U1805" s="209" t="str">
        <f t="shared" ref="U1805:U1868" si="31">U1804</f>
        <v>1w</v>
      </c>
      <c r="V1805" s="207">
        <f>_xll.qlCalendarAdvance(Calendar,V1804,U1805,"f",FALSE)</f>
        <v>51497</v>
      </c>
      <c r="W1805" s="210">
        <f>_xll.qlCalendarAdvance(Calendar,V1805,NDays&amp;"D")</f>
        <v>51497</v>
      </c>
      <c r="X1805" s="211">
        <v>2.282050788761758E-2</v>
      </c>
      <c r="Y1805" s="232"/>
    </row>
    <row r="1806" spans="21:25" x14ac:dyDescent="0.2">
      <c r="U1806" s="209" t="str">
        <f t="shared" si="31"/>
        <v>1w</v>
      </c>
      <c r="V1806" s="207">
        <f>_xll.qlCalendarAdvance(Calendar,V1805,U1806,"f",FALSE)</f>
        <v>51504</v>
      </c>
      <c r="W1806" s="210">
        <f>_xll.qlCalendarAdvance(Calendar,V1806,NDays&amp;"D")</f>
        <v>51504</v>
      </c>
      <c r="X1806" s="211">
        <v>2.2814059467579639E-2</v>
      </c>
      <c r="Y1806" s="232"/>
    </row>
    <row r="1807" spans="21:25" x14ac:dyDescent="0.2">
      <c r="U1807" s="209" t="str">
        <f t="shared" si="31"/>
        <v>1w</v>
      </c>
      <c r="V1807" s="207">
        <f>_xll.qlCalendarAdvance(Calendar,V1806,U1807,"f",FALSE)</f>
        <v>51511</v>
      </c>
      <c r="W1807" s="210">
        <f>_xll.qlCalendarAdvance(Calendar,V1807,NDays&amp;"D")</f>
        <v>51511</v>
      </c>
      <c r="X1807" s="211">
        <v>2.2807680035477063E-2</v>
      </c>
      <c r="Y1807" s="232"/>
    </row>
    <row r="1808" spans="21:25" x14ac:dyDescent="0.2">
      <c r="U1808" s="209" t="str">
        <f t="shared" si="31"/>
        <v>1w</v>
      </c>
      <c r="V1808" s="207">
        <f>_xll.qlCalendarAdvance(Calendar,V1807,U1808,"f",FALSE)</f>
        <v>51518</v>
      </c>
      <c r="W1808" s="210">
        <f>_xll.qlCalendarAdvance(Calendar,V1808,NDays&amp;"D")</f>
        <v>51518</v>
      </c>
      <c r="X1808" s="211">
        <v>2.2801369591229914E-2</v>
      </c>
      <c r="Y1808" s="232"/>
    </row>
    <row r="1809" spans="21:25" x14ac:dyDescent="0.2">
      <c r="U1809" s="209" t="str">
        <f t="shared" si="31"/>
        <v>1w</v>
      </c>
      <c r="V1809" s="207">
        <f>_xll.qlCalendarAdvance(Calendar,V1808,U1809,"f",FALSE)</f>
        <v>51525</v>
      </c>
      <c r="W1809" s="210">
        <f>_xll.qlCalendarAdvance(Calendar,V1809,NDays&amp;"D")</f>
        <v>51525</v>
      </c>
      <c r="X1809" s="211">
        <v>2.279512813491813E-2</v>
      </c>
      <c r="Y1809" s="232"/>
    </row>
    <row r="1810" spans="21:25" x14ac:dyDescent="0.2">
      <c r="U1810" s="209" t="str">
        <f t="shared" si="31"/>
        <v>1w</v>
      </c>
      <c r="V1810" s="207">
        <f>_xll.qlCalendarAdvance(Calendar,V1809,U1810,"f",FALSE)</f>
        <v>51532</v>
      </c>
      <c r="W1810" s="210">
        <f>_xll.qlCalendarAdvance(Calendar,V1810,NDays&amp;"D")</f>
        <v>51532</v>
      </c>
      <c r="X1810" s="211">
        <v>2.2788955666461774E-2</v>
      </c>
      <c r="Y1810" s="232"/>
    </row>
    <row r="1811" spans="21:25" x14ac:dyDescent="0.2">
      <c r="U1811" s="209" t="str">
        <f t="shared" si="31"/>
        <v>1w</v>
      </c>
      <c r="V1811" s="207">
        <f>_xll.qlCalendarAdvance(Calendar,V1810,U1811,"f",FALSE)</f>
        <v>51539</v>
      </c>
      <c r="W1811" s="210">
        <f>_xll.qlCalendarAdvance(Calendar,V1811,NDays&amp;"D")</f>
        <v>51539</v>
      </c>
      <c r="X1811" s="211">
        <v>2.2782852185860847E-2</v>
      </c>
      <c r="Y1811" s="232"/>
    </row>
    <row r="1812" spans="21:25" x14ac:dyDescent="0.2">
      <c r="U1812" s="209" t="str">
        <f t="shared" si="31"/>
        <v>1w</v>
      </c>
      <c r="V1812" s="207">
        <f>_xll.qlCalendarAdvance(Calendar,V1811,U1812,"f",FALSE)</f>
        <v>51546</v>
      </c>
      <c r="W1812" s="210">
        <f>_xll.qlCalendarAdvance(Calendar,V1812,NDays&amp;"D")</f>
        <v>51546</v>
      </c>
      <c r="X1812" s="211">
        <v>2.2776817693035412E-2</v>
      </c>
      <c r="Y1812" s="232"/>
    </row>
    <row r="1813" spans="21:25" x14ac:dyDescent="0.2">
      <c r="U1813" s="209" t="str">
        <f t="shared" si="31"/>
        <v>1w</v>
      </c>
      <c r="V1813" s="207">
        <f>_xll.qlCalendarAdvance(Calendar,V1812,U1813,"f",FALSE)</f>
        <v>51553</v>
      </c>
      <c r="W1813" s="210">
        <f>_xll.qlCalendarAdvance(Calendar,V1813,NDays&amp;"D")</f>
        <v>51553</v>
      </c>
      <c r="X1813" s="211">
        <v>2.2770852188145341E-2</v>
      </c>
      <c r="Y1813" s="232"/>
    </row>
    <row r="1814" spans="21:25" x14ac:dyDescent="0.2">
      <c r="U1814" s="209" t="str">
        <f t="shared" si="31"/>
        <v>1w</v>
      </c>
      <c r="V1814" s="207">
        <f>_xll.qlCalendarAdvance(Calendar,V1813,U1814,"f",FALSE)</f>
        <v>51560</v>
      </c>
      <c r="W1814" s="210">
        <f>_xll.qlCalendarAdvance(Calendar,V1814,NDays&amp;"D")</f>
        <v>51560</v>
      </c>
      <c r="X1814" s="211">
        <v>2.2764955671030762E-2</v>
      </c>
      <c r="Y1814" s="232"/>
    </row>
    <row r="1815" spans="21:25" x14ac:dyDescent="0.2">
      <c r="U1815" s="209" t="str">
        <f t="shared" si="31"/>
        <v>1w</v>
      </c>
      <c r="V1815" s="207">
        <f>_xll.qlCalendarAdvance(Calendar,V1814,U1815,"f",FALSE)</f>
        <v>51567</v>
      </c>
      <c r="W1815" s="210">
        <f>_xll.qlCalendarAdvance(Calendar,V1815,NDays&amp;"D")</f>
        <v>51567</v>
      </c>
      <c r="X1815" s="211">
        <v>2.2759128141851548E-2</v>
      </c>
      <c r="Y1815" s="232"/>
    </row>
    <row r="1816" spans="21:25" x14ac:dyDescent="0.2">
      <c r="U1816" s="209" t="str">
        <f t="shared" si="31"/>
        <v>1w</v>
      </c>
      <c r="V1816" s="207">
        <f>_xll.qlCalendarAdvance(Calendar,V1815,U1816,"f",FALSE)</f>
        <v>51574</v>
      </c>
      <c r="W1816" s="210">
        <f>_xll.qlCalendarAdvance(Calendar,V1816,NDays&amp;"D")</f>
        <v>51574</v>
      </c>
      <c r="X1816" s="211">
        <v>2.2753369600527762E-2</v>
      </c>
      <c r="Y1816" s="232"/>
    </row>
    <row r="1817" spans="21:25" x14ac:dyDescent="0.2">
      <c r="U1817" s="209" t="str">
        <f t="shared" si="31"/>
        <v>1w</v>
      </c>
      <c r="V1817" s="207">
        <f>_xll.qlCalendarAdvance(Calendar,V1816,U1817,"f",FALSE)</f>
        <v>51581</v>
      </c>
      <c r="W1817" s="210">
        <f>_xll.qlCalendarAdvance(Calendar,V1817,NDays&amp;"D")</f>
        <v>51581</v>
      </c>
      <c r="X1817" s="211">
        <v>2.2747680046979468E-2</v>
      </c>
      <c r="Y1817" s="232"/>
    </row>
    <row r="1818" spans="21:25" x14ac:dyDescent="0.2">
      <c r="U1818" s="209" t="str">
        <f t="shared" si="31"/>
        <v>1w</v>
      </c>
      <c r="V1818" s="207">
        <f>_xll.qlCalendarAdvance(Calendar,V1817,U1818,"f",FALSE)</f>
        <v>51588</v>
      </c>
      <c r="W1818" s="210">
        <f>_xll.qlCalendarAdvance(Calendar,V1818,NDays&amp;"D")</f>
        <v>51588</v>
      </c>
      <c r="X1818" s="211">
        <v>2.2742059481206667E-2</v>
      </c>
      <c r="Y1818" s="232"/>
    </row>
    <row r="1819" spans="21:25" x14ac:dyDescent="0.2">
      <c r="U1819" s="209" t="str">
        <f t="shared" si="31"/>
        <v>1w</v>
      </c>
      <c r="V1819" s="207">
        <f>_xll.qlCalendarAdvance(Calendar,V1818,U1819,"f",FALSE)</f>
        <v>51595</v>
      </c>
      <c r="W1819" s="210">
        <f>_xll.qlCalendarAdvance(Calendar,V1819,NDays&amp;"D")</f>
        <v>51595</v>
      </c>
      <c r="X1819" s="211">
        <v>2.273650790336923E-2</v>
      </c>
      <c r="Y1819" s="232"/>
    </row>
    <row r="1820" spans="21:25" x14ac:dyDescent="0.2">
      <c r="U1820" s="209" t="str">
        <f t="shared" si="31"/>
        <v>1w</v>
      </c>
      <c r="V1820" s="207">
        <f>_xll.qlCalendarAdvance(Calendar,V1819,U1820,"f",FALSE)</f>
        <v>51602</v>
      </c>
      <c r="W1820" s="210">
        <f>_xll.qlCalendarAdvance(Calendar,V1820,NDays&amp;"D")</f>
        <v>51602</v>
      </c>
      <c r="X1820" s="211">
        <v>2.2731025313387221E-2</v>
      </c>
      <c r="Y1820" s="232"/>
    </row>
    <row r="1821" spans="21:25" x14ac:dyDescent="0.2">
      <c r="U1821" s="209" t="str">
        <f t="shared" si="31"/>
        <v>1w</v>
      </c>
      <c r="V1821" s="207">
        <f>_xll.qlCalendarAdvance(Calendar,V1820,U1821,"f",FALSE)</f>
        <v>51609</v>
      </c>
      <c r="W1821" s="210">
        <f>_xll.qlCalendarAdvance(Calendar,V1821,NDays&amp;"D")</f>
        <v>51609</v>
      </c>
      <c r="X1821" s="211">
        <v>2.2726948026686955E-2</v>
      </c>
      <c r="Y1821" s="232"/>
    </row>
    <row r="1822" spans="21:25" x14ac:dyDescent="0.2">
      <c r="U1822" s="209" t="str">
        <f t="shared" si="31"/>
        <v>1w</v>
      </c>
      <c r="V1822" s="207">
        <f>_xll.qlCalendarAdvance(Calendar,V1821,U1822,"f",FALSE)</f>
        <v>51616</v>
      </c>
      <c r="W1822" s="210">
        <f>_xll.qlCalendarAdvance(Calendar,V1822,NDays&amp;"D")</f>
        <v>51616</v>
      </c>
      <c r="X1822" s="211">
        <v>2.2720267096909552E-2</v>
      </c>
      <c r="Y1822" s="232"/>
    </row>
    <row r="1823" spans="21:25" x14ac:dyDescent="0.2">
      <c r="U1823" s="209" t="str">
        <f t="shared" si="31"/>
        <v>1w</v>
      </c>
      <c r="V1823" s="207">
        <f>_xll.qlCalendarAdvance(Calendar,V1822,U1823,"f",FALSE)</f>
        <v>51623</v>
      </c>
      <c r="W1823" s="210">
        <f>_xll.qlCalendarAdvance(Calendar,V1823,NDays&amp;"D")</f>
        <v>51623</v>
      </c>
      <c r="X1823" s="211">
        <v>2.271499147025402E-2</v>
      </c>
      <c r="Y1823" s="232"/>
    </row>
    <row r="1824" spans="21:25" x14ac:dyDescent="0.2">
      <c r="U1824" s="209" t="str">
        <f t="shared" si="31"/>
        <v>1w</v>
      </c>
      <c r="V1824" s="207">
        <f>_xll.qlCalendarAdvance(Calendar,V1823,U1824,"f",FALSE)</f>
        <v>51630</v>
      </c>
      <c r="W1824" s="210">
        <f>_xll.qlCalendarAdvance(Calendar,V1824,NDays&amp;"D")</f>
        <v>51630</v>
      </c>
      <c r="X1824" s="211">
        <v>2.2709784831613788E-2</v>
      </c>
      <c r="Y1824" s="232"/>
    </row>
    <row r="1825" spans="21:25" x14ac:dyDescent="0.2">
      <c r="U1825" s="209" t="str">
        <f t="shared" si="31"/>
        <v>1w</v>
      </c>
      <c r="V1825" s="207">
        <f>_xll.qlCalendarAdvance(Calendar,V1824,U1825,"f",FALSE)</f>
        <v>51637</v>
      </c>
      <c r="W1825" s="210">
        <f>_xll.qlCalendarAdvance(Calendar,V1825,NDays&amp;"D")</f>
        <v>51637</v>
      </c>
      <c r="X1825" s="211">
        <v>2.2704647180669113E-2</v>
      </c>
      <c r="Y1825" s="232"/>
    </row>
    <row r="1826" spans="21:25" x14ac:dyDescent="0.2">
      <c r="U1826" s="209" t="str">
        <f t="shared" si="31"/>
        <v>1w</v>
      </c>
      <c r="V1826" s="207">
        <f>_xll.qlCalendarAdvance(Calendar,V1825,U1826,"f",FALSE)</f>
        <v>51644</v>
      </c>
      <c r="W1826" s="210">
        <f>_xll.qlCalendarAdvance(Calendar,V1826,NDays&amp;"D")</f>
        <v>51644</v>
      </c>
      <c r="X1826" s="211">
        <v>2.2699578517579866E-2</v>
      </c>
      <c r="Y1826" s="232"/>
    </row>
    <row r="1827" spans="21:25" x14ac:dyDescent="0.2">
      <c r="U1827" s="209" t="str">
        <f t="shared" si="31"/>
        <v>1w</v>
      </c>
      <c r="V1827" s="207">
        <f>_xll.qlCalendarAdvance(Calendar,V1826,U1827,"f",FALSE)</f>
        <v>51651</v>
      </c>
      <c r="W1827" s="210">
        <f>_xll.qlCalendarAdvance(Calendar,V1827,NDays&amp;"D")</f>
        <v>51651</v>
      </c>
      <c r="X1827" s="211">
        <v>2.2694578842266111E-2</v>
      </c>
      <c r="Y1827" s="232"/>
    </row>
    <row r="1828" spans="21:25" x14ac:dyDescent="0.2">
      <c r="U1828" s="209" t="str">
        <f t="shared" si="31"/>
        <v>1w</v>
      </c>
      <c r="V1828" s="207">
        <f>_xll.qlCalendarAdvance(Calendar,V1827,U1828,"f",FALSE)</f>
        <v>51658</v>
      </c>
      <c r="W1828" s="210">
        <f>_xll.qlCalendarAdvance(Calendar,V1828,NDays&amp;"D")</f>
        <v>51658</v>
      </c>
      <c r="X1828" s="211">
        <v>2.2689648154807784E-2</v>
      </c>
      <c r="Y1828" s="232"/>
    </row>
    <row r="1829" spans="21:25" x14ac:dyDescent="0.2">
      <c r="U1829" s="209" t="str">
        <f t="shared" si="31"/>
        <v>1w</v>
      </c>
      <c r="V1829" s="207">
        <f>_xll.qlCalendarAdvance(Calendar,V1828,U1829,"f",FALSE)</f>
        <v>51665</v>
      </c>
      <c r="W1829" s="210">
        <f>_xll.qlCalendarAdvance(Calendar,V1829,NDays&amp;"D")</f>
        <v>51665</v>
      </c>
      <c r="X1829" s="211">
        <v>2.268478645512495E-2</v>
      </c>
      <c r="Y1829" s="232"/>
    </row>
    <row r="1830" spans="21:25" x14ac:dyDescent="0.2">
      <c r="U1830" s="209" t="str">
        <f t="shared" si="31"/>
        <v>1w</v>
      </c>
      <c r="V1830" s="207">
        <f>_xll.qlCalendarAdvance(Calendar,V1829,U1830,"f",FALSE)</f>
        <v>51672</v>
      </c>
      <c r="W1830" s="210">
        <f>_xll.qlCalendarAdvance(Calendar,V1830,NDays&amp;"D")</f>
        <v>51672</v>
      </c>
      <c r="X1830" s="211">
        <v>2.2679993743297544E-2</v>
      </c>
      <c r="Y1830" s="232"/>
    </row>
    <row r="1831" spans="21:25" x14ac:dyDescent="0.2">
      <c r="U1831" s="209" t="str">
        <f t="shared" si="31"/>
        <v>1w</v>
      </c>
      <c r="V1831" s="207">
        <f>_xll.qlCalendarAdvance(Calendar,V1830,U1831,"f",FALSE)</f>
        <v>51679</v>
      </c>
      <c r="W1831" s="210">
        <f>_xll.qlCalendarAdvance(Calendar,V1831,NDays&amp;"D")</f>
        <v>51679</v>
      </c>
      <c r="X1831" s="211">
        <v>2.2675270019165694E-2</v>
      </c>
      <c r="Y1831" s="232"/>
    </row>
    <row r="1832" spans="21:25" x14ac:dyDescent="0.2">
      <c r="U1832" s="209" t="str">
        <f t="shared" si="31"/>
        <v>1w</v>
      </c>
      <c r="V1832" s="207">
        <f>_xll.qlCalendarAdvance(Calendar,V1831,U1832,"f",FALSE)</f>
        <v>51686</v>
      </c>
      <c r="W1832" s="210">
        <f>_xll.qlCalendarAdvance(Calendar,V1832,NDays&amp;"D")</f>
        <v>51686</v>
      </c>
      <c r="X1832" s="211">
        <v>2.2670615282889273E-2</v>
      </c>
      <c r="Y1832" s="232"/>
    </row>
    <row r="1833" spans="21:25" x14ac:dyDescent="0.2">
      <c r="U1833" s="209" t="str">
        <f t="shared" si="31"/>
        <v>1w</v>
      </c>
      <c r="V1833" s="207">
        <f>_xll.qlCalendarAdvance(Calendar,V1832,U1833,"f",FALSE)</f>
        <v>51693</v>
      </c>
      <c r="W1833" s="210">
        <f>_xll.qlCalendarAdvance(Calendar,V1833,NDays&amp;"D")</f>
        <v>51693</v>
      </c>
      <c r="X1833" s="211">
        <v>2.2666029534388343E-2</v>
      </c>
      <c r="Y1833" s="232"/>
    </row>
    <row r="1834" spans="21:25" x14ac:dyDescent="0.2">
      <c r="U1834" s="209" t="str">
        <f t="shared" si="31"/>
        <v>1w</v>
      </c>
      <c r="V1834" s="207">
        <f>_xll.qlCalendarAdvance(Calendar,V1833,U1834,"f",FALSE)</f>
        <v>51700</v>
      </c>
      <c r="W1834" s="210">
        <f>_xll.qlCalendarAdvance(Calendar,V1834,NDays&amp;"D")</f>
        <v>51700</v>
      </c>
      <c r="X1834" s="211">
        <v>2.2661512773742842E-2</v>
      </c>
      <c r="Y1834" s="232"/>
    </row>
    <row r="1835" spans="21:25" x14ac:dyDescent="0.2">
      <c r="U1835" s="209" t="str">
        <f t="shared" si="31"/>
        <v>1w</v>
      </c>
      <c r="V1835" s="207">
        <f>_xll.qlCalendarAdvance(Calendar,V1834,U1835,"f",FALSE)</f>
        <v>51707</v>
      </c>
      <c r="W1835" s="210">
        <f>_xll.qlCalendarAdvance(Calendar,V1835,NDays&amp;"D")</f>
        <v>51707</v>
      </c>
      <c r="X1835" s="211">
        <v>2.2657065000792898E-2</v>
      </c>
      <c r="Y1835" s="232"/>
    </row>
    <row r="1836" spans="21:25" x14ac:dyDescent="0.2">
      <c r="U1836" s="209" t="str">
        <f t="shared" si="31"/>
        <v>1w</v>
      </c>
      <c r="V1836" s="207">
        <f>_xll.qlCalendarAdvance(Calendar,V1835,U1836,"f",FALSE)</f>
        <v>51714</v>
      </c>
      <c r="W1836" s="210">
        <f>_xll.qlCalendarAdvance(Calendar,V1836,NDays&amp;"D")</f>
        <v>51714</v>
      </c>
      <c r="X1836" s="211">
        <v>2.2652686215698381E-2</v>
      </c>
      <c r="Y1836" s="232"/>
    </row>
    <row r="1837" spans="21:25" x14ac:dyDescent="0.2">
      <c r="U1837" s="209" t="str">
        <f t="shared" si="31"/>
        <v>1w</v>
      </c>
      <c r="V1837" s="207">
        <f>_xll.qlCalendarAdvance(Calendar,V1836,U1837,"f",FALSE)</f>
        <v>51721</v>
      </c>
      <c r="W1837" s="210">
        <f>_xll.qlCalendarAdvance(Calendar,V1837,NDays&amp;"D")</f>
        <v>51721</v>
      </c>
      <c r="X1837" s="211">
        <v>2.2648376418379357E-2</v>
      </c>
      <c r="Y1837" s="232"/>
    </row>
    <row r="1838" spans="21:25" x14ac:dyDescent="0.2">
      <c r="U1838" s="209" t="str">
        <f t="shared" si="31"/>
        <v>1w</v>
      </c>
      <c r="V1838" s="207">
        <f>_xll.qlCalendarAdvance(Calendar,V1837,U1838,"f",FALSE)</f>
        <v>51728</v>
      </c>
      <c r="W1838" s="210">
        <f>_xll.qlCalendarAdvance(Calendar,V1838,NDays&amp;"D")</f>
        <v>51728</v>
      </c>
      <c r="X1838" s="211">
        <v>2.2644135608915761E-2</v>
      </c>
      <c r="Y1838" s="232"/>
    </row>
    <row r="1839" spans="21:25" x14ac:dyDescent="0.2">
      <c r="U1839" s="209" t="str">
        <f t="shared" si="31"/>
        <v>1w</v>
      </c>
      <c r="V1839" s="207">
        <f>_xll.qlCalendarAdvance(Calendar,V1838,U1839,"f",FALSE)</f>
        <v>51735</v>
      </c>
      <c r="W1839" s="210">
        <f>_xll.qlCalendarAdvance(Calendar,V1839,NDays&amp;"D")</f>
        <v>51735</v>
      </c>
      <c r="X1839" s="211">
        <v>2.2639963787067785E-2</v>
      </c>
      <c r="Y1839" s="232"/>
    </row>
    <row r="1840" spans="21:25" x14ac:dyDescent="0.2">
      <c r="U1840" s="209" t="str">
        <f t="shared" si="31"/>
        <v>1w</v>
      </c>
      <c r="V1840" s="207">
        <f>_xll.qlCalendarAdvance(Calendar,V1839,U1840,"f",FALSE)</f>
        <v>51742</v>
      </c>
      <c r="W1840" s="210">
        <f>_xll.qlCalendarAdvance(Calendar,V1840,NDays&amp;"D")</f>
        <v>51742</v>
      </c>
      <c r="X1840" s="211">
        <v>2.2635860953075237E-2</v>
      </c>
      <c r="Y1840" s="232"/>
    </row>
    <row r="1841" spans="21:25" x14ac:dyDescent="0.2">
      <c r="U1841" s="209" t="str">
        <f t="shared" si="31"/>
        <v>1w</v>
      </c>
      <c r="V1841" s="207">
        <f>_xll.qlCalendarAdvance(Calendar,V1840,U1841,"f",FALSE)</f>
        <v>51749</v>
      </c>
      <c r="W1841" s="210">
        <f>_xll.qlCalendarAdvance(Calendar,V1841,NDays&amp;"D")</f>
        <v>51749</v>
      </c>
      <c r="X1841" s="211">
        <v>2.2631827106858182E-2</v>
      </c>
      <c r="Y1841" s="232"/>
    </row>
    <row r="1842" spans="21:25" x14ac:dyDescent="0.2">
      <c r="U1842" s="209" t="str">
        <f t="shared" si="31"/>
        <v>1w</v>
      </c>
      <c r="V1842" s="207">
        <f>_xll.qlCalendarAdvance(Calendar,V1841,U1842,"f",FALSE)</f>
        <v>51756</v>
      </c>
      <c r="W1842" s="210">
        <f>_xll.qlCalendarAdvance(Calendar,V1842,NDays&amp;"D")</f>
        <v>51756</v>
      </c>
      <c r="X1842" s="211">
        <v>2.2627862248336683E-2</v>
      </c>
      <c r="Y1842" s="232"/>
    </row>
    <row r="1843" spans="21:25" x14ac:dyDescent="0.2">
      <c r="U1843" s="209" t="str">
        <f t="shared" si="31"/>
        <v>1w</v>
      </c>
      <c r="V1843" s="207">
        <f>_xll.qlCalendarAdvance(Calendar,V1842,U1843,"f",FALSE)</f>
        <v>51763</v>
      </c>
      <c r="W1843" s="210">
        <f>_xll.qlCalendarAdvance(Calendar,V1843,NDays&amp;"D")</f>
        <v>51763</v>
      </c>
      <c r="X1843" s="211">
        <v>2.2623966377750548E-2</v>
      </c>
      <c r="Y1843" s="232"/>
    </row>
    <row r="1844" spans="21:25" x14ac:dyDescent="0.2">
      <c r="U1844" s="209" t="str">
        <f t="shared" si="31"/>
        <v>1w</v>
      </c>
      <c r="V1844" s="207">
        <f>_xll.qlCalendarAdvance(Calendar,V1843,U1844,"f",FALSE)</f>
        <v>51770</v>
      </c>
      <c r="W1844" s="210">
        <f>_xll.qlCalendarAdvance(Calendar,V1844,NDays&amp;"D")</f>
        <v>51770</v>
      </c>
      <c r="X1844" s="211">
        <v>2.2620139494780034E-2</v>
      </c>
      <c r="Y1844" s="232"/>
    </row>
    <row r="1845" spans="21:25" x14ac:dyDescent="0.2">
      <c r="U1845" s="209" t="str">
        <f t="shared" si="31"/>
        <v>1w</v>
      </c>
      <c r="V1845" s="207">
        <f>_xll.qlCalendarAdvance(Calendar,V1844,U1845,"f",FALSE)</f>
        <v>51777</v>
      </c>
      <c r="W1845" s="210">
        <f>_xll.qlCalendarAdvance(Calendar,V1845,NDays&amp;"D")</f>
        <v>51777</v>
      </c>
      <c r="X1845" s="211">
        <v>2.2616381599664948E-2</v>
      </c>
      <c r="Y1845" s="232"/>
    </row>
    <row r="1846" spans="21:25" x14ac:dyDescent="0.2">
      <c r="U1846" s="209" t="str">
        <f t="shared" si="31"/>
        <v>1w</v>
      </c>
      <c r="V1846" s="207">
        <f>_xll.qlCalendarAdvance(Calendar,V1845,U1846,"f",FALSE)</f>
        <v>51784</v>
      </c>
      <c r="W1846" s="210">
        <f>_xll.qlCalendarAdvance(Calendar,V1846,NDays&amp;"D")</f>
        <v>51784</v>
      </c>
      <c r="X1846" s="211">
        <v>2.2612692692325354E-2</v>
      </c>
      <c r="Y1846" s="232"/>
    </row>
    <row r="1847" spans="21:25" x14ac:dyDescent="0.2">
      <c r="U1847" s="209" t="str">
        <f t="shared" si="31"/>
        <v>1w</v>
      </c>
      <c r="V1847" s="207">
        <f>_xll.qlCalendarAdvance(Calendar,V1846,U1847,"f",FALSE)</f>
        <v>51791</v>
      </c>
      <c r="W1847" s="210">
        <f>_xll.qlCalendarAdvance(Calendar,V1847,NDays&amp;"D")</f>
        <v>51791</v>
      </c>
      <c r="X1847" s="211">
        <v>2.2609072772681316E-2</v>
      </c>
      <c r="Y1847" s="232"/>
    </row>
    <row r="1848" spans="21:25" x14ac:dyDescent="0.2">
      <c r="U1848" s="209" t="str">
        <f t="shared" si="31"/>
        <v>1w</v>
      </c>
      <c r="V1848" s="207">
        <f>_xll.qlCalendarAdvance(Calendar,V1847,U1848,"f",FALSE)</f>
        <v>51798</v>
      </c>
      <c r="W1848" s="210">
        <f>_xll.qlCalendarAdvance(Calendar,V1848,NDays&amp;"D")</f>
        <v>51798</v>
      </c>
      <c r="X1848" s="211">
        <v>2.260552184081277E-2</v>
      </c>
      <c r="Y1848" s="232"/>
    </row>
    <row r="1849" spans="21:25" x14ac:dyDescent="0.2">
      <c r="U1849" s="209" t="str">
        <f t="shared" si="31"/>
        <v>1w</v>
      </c>
      <c r="V1849" s="207">
        <f>_xll.qlCalendarAdvance(Calendar,V1848,U1849,"f",FALSE)</f>
        <v>51805</v>
      </c>
      <c r="W1849" s="210">
        <f>_xll.qlCalendarAdvance(Calendar,V1849,NDays&amp;"D")</f>
        <v>51805</v>
      </c>
      <c r="X1849" s="211">
        <v>2.2602039896719717E-2</v>
      </c>
      <c r="Y1849" s="232"/>
    </row>
    <row r="1850" spans="21:25" x14ac:dyDescent="0.2">
      <c r="U1850" s="209" t="str">
        <f t="shared" si="31"/>
        <v>1w</v>
      </c>
      <c r="V1850" s="207">
        <f>_xll.qlCalendarAdvance(Calendar,V1849,U1850,"f",FALSE)</f>
        <v>51812</v>
      </c>
      <c r="W1850" s="210">
        <f>_xll.qlCalendarAdvance(Calendar,V1850,NDays&amp;"D")</f>
        <v>51812</v>
      </c>
      <c r="X1850" s="211">
        <v>2.259862694032222E-2</v>
      </c>
      <c r="Y1850" s="232"/>
    </row>
    <row r="1851" spans="21:25" x14ac:dyDescent="0.2">
      <c r="U1851" s="209" t="str">
        <f t="shared" si="31"/>
        <v>1w</v>
      </c>
      <c r="V1851" s="207">
        <f>_xll.qlCalendarAdvance(Calendar,V1850,U1851,"f",FALSE)</f>
        <v>51819</v>
      </c>
      <c r="W1851" s="210">
        <f>_xll.qlCalendarAdvance(Calendar,V1851,NDays&amp;"D")</f>
        <v>51819</v>
      </c>
      <c r="X1851" s="211">
        <v>2.2595282971700215E-2</v>
      </c>
      <c r="Y1851" s="232"/>
    </row>
    <row r="1852" spans="21:25" x14ac:dyDescent="0.2">
      <c r="U1852" s="209" t="str">
        <f t="shared" si="31"/>
        <v>1w</v>
      </c>
      <c r="V1852" s="207">
        <f>_xll.qlCalendarAdvance(Calendar,V1851,U1852,"f",FALSE)</f>
        <v>51826</v>
      </c>
      <c r="W1852" s="210">
        <f>_xll.qlCalendarAdvance(Calendar,V1852,NDays&amp;"D")</f>
        <v>51826</v>
      </c>
      <c r="X1852" s="211">
        <v>2.2592007990853702E-2</v>
      </c>
      <c r="Y1852" s="232"/>
    </row>
    <row r="1853" spans="21:25" x14ac:dyDescent="0.2">
      <c r="U1853" s="209" t="str">
        <f t="shared" si="31"/>
        <v>1w</v>
      </c>
      <c r="V1853" s="207">
        <f>_xll.qlCalendarAdvance(Calendar,V1852,U1853,"f",FALSE)</f>
        <v>51833</v>
      </c>
      <c r="W1853" s="210">
        <f>_xll.qlCalendarAdvance(Calendar,V1853,NDays&amp;"D")</f>
        <v>51833</v>
      </c>
      <c r="X1853" s="211">
        <v>2.2588801997782681E-2</v>
      </c>
      <c r="Y1853" s="232"/>
    </row>
    <row r="1854" spans="21:25" x14ac:dyDescent="0.2">
      <c r="U1854" s="209" t="str">
        <f t="shared" si="31"/>
        <v>1w</v>
      </c>
      <c r="V1854" s="207">
        <f>_xll.qlCalendarAdvance(Calendar,V1853,U1854,"f",FALSE)</f>
        <v>51840</v>
      </c>
      <c r="W1854" s="210">
        <f>_xll.qlCalendarAdvance(Calendar,V1854,NDays&amp;"D")</f>
        <v>51840</v>
      </c>
      <c r="X1854" s="211">
        <v>2.2585664992407217E-2</v>
      </c>
      <c r="Y1854" s="232"/>
    </row>
    <row r="1855" spans="21:25" x14ac:dyDescent="0.2">
      <c r="U1855" s="209" t="str">
        <f t="shared" si="31"/>
        <v>1w</v>
      </c>
      <c r="V1855" s="207">
        <f>_xll.qlCalendarAdvance(Calendar,V1854,U1855,"f",FALSE)</f>
        <v>51847</v>
      </c>
      <c r="W1855" s="210">
        <f>_xll.qlCalendarAdvance(Calendar,V1855,NDays&amp;"D")</f>
        <v>51847</v>
      </c>
      <c r="X1855" s="211">
        <v>2.2582596974727309E-2</v>
      </c>
      <c r="Y1855" s="232"/>
    </row>
    <row r="1856" spans="21:25" x14ac:dyDescent="0.2">
      <c r="U1856" s="209" t="str">
        <f t="shared" si="31"/>
        <v>1w</v>
      </c>
      <c r="V1856" s="207">
        <f>_xll.qlCalendarAdvance(Calendar,V1855,U1856,"f",FALSE)</f>
        <v>51854</v>
      </c>
      <c r="W1856" s="210">
        <f>_xll.qlCalendarAdvance(Calendar,V1856,NDays&amp;"D")</f>
        <v>51854</v>
      </c>
      <c r="X1856" s="211">
        <v>2.2579597944902829E-2</v>
      </c>
      <c r="Y1856" s="232"/>
    </row>
    <row r="1857" spans="21:25" x14ac:dyDescent="0.2">
      <c r="U1857" s="209" t="str">
        <f t="shared" si="31"/>
        <v>1w</v>
      </c>
      <c r="V1857" s="207">
        <f>_xll.qlCalendarAdvance(Calendar,V1856,U1857,"f",FALSE)</f>
        <v>51862</v>
      </c>
      <c r="W1857" s="210">
        <f>_xll.qlCalendarAdvance(Calendar,V1857,NDays&amp;"D")</f>
        <v>51862</v>
      </c>
      <c r="X1857" s="211">
        <v>2.2577259664506855E-2</v>
      </c>
      <c r="Y1857" s="232"/>
    </row>
    <row r="1858" spans="21:25" x14ac:dyDescent="0.2">
      <c r="U1858" s="209" t="str">
        <f t="shared" si="31"/>
        <v>1w</v>
      </c>
      <c r="V1858" s="207">
        <f>_xll.qlCalendarAdvance(Calendar,V1857,U1858,"f",FALSE)</f>
        <v>51869</v>
      </c>
      <c r="W1858" s="210">
        <f>_xll.qlCalendarAdvance(Calendar,V1858,NDays&amp;"D")</f>
        <v>51869</v>
      </c>
      <c r="X1858" s="211">
        <v>2.257441796456483E-2</v>
      </c>
      <c r="Y1858" s="232"/>
    </row>
    <row r="1859" spans="21:25" x14ac:dyDescent="0.2">
      <c r="U1859" s="209" t="str">
        <f t="shared" si="31"/>
        <v>1w</v>
      </c>
      <c r="V1859" s="207">
        <f>_xll.qlCalendarAdvance(Calendar,V1858,U1859,"f",FALSE)</f>
        <v>51876</v>
      </c>
      <c r="W1859" s="210">
        <f>_xll.qlCalendarAdvance(Calendar,V1859,NDays&amp;"D")</f>
        <v>51876</v>
      </c>
      <c r="X1859" s="211">
        <v>2.2571645261004747E-2</v>
      </c>
      <c r="Y1859" s="232"/>
    </row>
    <row r="1860" spans="21:25" x14ac:dyDescent="0.2">
      <c r="U1860" s="209" t="str">
        <f t="shared" si="31"/>
        <v>1w</v>
      </c>
      <c r="V1860" s="207">
        <f>_xll.qlCalendarAdvance(Calendar,V1859,U1860,"f",FALSE)</f>
        <v>51883</v>
      </c>
      <c r="W1860" s="210">
        <f>_xll.qlCalendarAdvance(Calendar,V1860,NDays&amp;"D")</f>
        <v>51883</v>
      </c>
      <c r="X1860" s="211">
        <v>2.2568941553933186E-2</v>
      </c>
      <c r="Y1860" s="232"/>
    </row>
    <row r="1861" spans="21:25" x14ac:dyDescent="0.2">
      <c r="U1861" s="209" t="str">
        <f t="shared" si="31"/>
        <v>1w</v>
      </c>
      <c r="V1861" s="207">
        <f>_xll.qlCalendarAdvance(Calendar,V1860,U1861,"f",FALSE)</f>
        <v>51890</v>
      </c>
      <c r="W1861" s="210">
        <f>_xll.qlCalendarAdvance(Calendar,V1861,NDays&amp;"D")</f>
        <v>51890</v>
      </c>
      <c r="X1861" s="211">
        <v>2.2566306843243567E-2</v>
      </c>
      <c r="Y1861" s="232"/>
    </row>
    <row r="1862" spans="21:25" x14ac:dyDescent="0.2">
      <c r="U1862" s="209" t="str">
        <f t="shared" si="31"/>
        <v>1w</v>
      </c>
      <c r="V1862" s="207">
        <f>_xll.qlCalendarAdvance(Calendar,V1861,U1862,"f",FALSE)</f>
        <v>51897</v>
      </c>
      <c r="W1862" s="210">
        <f>_xll.qlCalendarAdvance(Calendar,V1862,NDays&amp;"D")</f>
        <v>51897</v>
      </c>
      <c r="X1862" s="211">
        <v>2.2563741128989179E-2</v>
      </c>
      <c r="Y1862" s="232"/>
    </row>
    <row r="1863" spans="21:25" x14ac:dyDescent="0.2">
      <c r="U1863" s="209" t="str">
        <f t="shared" si="31"/>
        <v>1w</v>
      </c>
      <c r="V1863" s="207">
        <f>_xll.qlCalendarAdvance(Calendar,V1862,U1863,"f",FALSE)</f>
        <v>51904</v>
      </c>
      <c r="W1863" s="210">
        <f>_xll.qlCalendarAdvance(Calendar,V1863,NDays&amp;"D")</f>
        <v>51904</v>
      </c>
      <c r="X1863" s="211">
        <v>2.2561244411170023E-2</v>
      </c>
      <c r="Y1863" s="232"/>
    </row>
    <row r="1864" spans="21:25" x14ac:dyDescent="0.2">
      <c r="U1864" s="209" t="str">
        <f t="shared" si="31"/>
        <v>1w</v>
      </c>
      <c r="V1864" s="207">
        <f>_xll.qlCalendarAdvance(Calendar,V1863,U1864,"f",FALSE)</f>
        <v>51911</v>
      </c>
      <c r="W1864" s="210">
        <f>_xll.qlCalendarAdvance(Calendar,V1864,NDays&amp;"D")</f>
        <v>51911</v>
      </c>
      <c r="X1864" s="211">
        <v>2.2558816689732808E-2</v>
      </c>
      <c r="Y1864" s="232"/>
    </row>
    <row r="1865" spans="21:25" x14ac:dyDescent="0.2">
      <c r="U1865" s="209" t="str">
        <f t="shared" si="31"/>
        <v>1w</v>
      </c>
      <c r="V1865" s="207">
        <f>_xll.qlCalendarAdvance(Calendar,V1864,U1865,"f",FALSE)</f>
        <v>51918</v>
      </c>
      <c r="W1865" s="210">
        <f>_xll.qlCalendarAdvance(Calendar,V1865,NDays&amp;"D")</f>
        <v>51918</v>
      </c>
      <c r="X1865" s="211">
        <v>2.2556457964730825E-2</v>
      </c>
      <c r="Y1865" s="232"/>
    </row>
    <row r="1866" spans="21:25" x14ac:dyDescent="0.2">
      <c r="U1866" s="209" t="str">
        <f t="shared" si="31"/>
        <v>1w</v>
      </c>
      <c r="V1866" s="207">
        <f>_xll.qlCalendarAdvance(Calendar,V1865,U1866,"f",FALSE)</f>
        <v>51925</v>
      </c>
      <c r="W1866" s="210">
        <f>_xll.qlCalendarAdvance(Calendar,V1866,NDays&amp;"D")</f>
        <v>51925</v>
      </c>
      <c r="X1866" s="211">
        <v>2.2554168236137428E-2</v>
      </c>
      <c r="Y1866" s="232"/>
    </row>
    <row r="1867" spans="21:25" x14ac:dyDescent="0.2">
      <c r="U1867" s="209" t="str">
        <f t="shared" si="31"/>
        <v>1w</v>
      </c>
      <c r="V1867" s="207">
        <f>_xll.qlCalendarAdvance(Calendar,V1866,U1867,"f",FALSE)</f>
        <v>51932</v>
      </c>
      <c r="W1867" s="210">
        <f>_xll.qlCalendarAdvance(Calendar,V1867,NDays&amp;"D")</f>
        <v>51932</v>
      </c>
      <c r="X1867" s="211">
        <v>2.2551947503899328E-2</v>
      </c>
      <c r="Y1867" s="232"/>
    </row>
    <row r="1868" spans="21:25" x14ac:dyDescent="0.2">
      <c r="U1868" s="209" t="str">
        <f t="shared" si="31"/>
        <v>1w</v>
      </c>
      <c r="V1868" s="207">
        <f>_xll.qlCalendarAdvance(Calendar,V1867,U1868,"f",FALSE)</f>
        <v>51939</v>
      </c>
      <c r="W1868" s="210">
        <f>_xll.qlCalendarAdvance(Calendar,V1868,NDays&amp;"D")</f>
        <v>51939</v>
      </c>
      <c r="X1868" s="211">
        <v>2.2549795768043168E-2</v>
      </c>
      <c r="Y1868" s="232"/>
    </row>
    <row r="1869" spans="21:25" x14ac:dyDescent="0.2">
      <c r="U1869" s="209" t="str">
        <f t="shared" ref="U1869:U1932" si="32">U1868</f>
        <v>1w</v>
      </c>
      <c r="V1869" s="207">
        <f>_xll.qlCalendarAdvance(Calendar,V1868,U1869,"f",FALSE)</f>
        <v>51946</v>
      </c>
      <c r="W1869" s="210">
        <f>_xll.qlCalendarAdvance(Calendar,V1869,NDays&amp;"D")</f>
        <v>51946</v>
      </c>
      <c r="X1869" s="211">
        <v>2.2547713028648886E-2</v>
      </c>
      <c r="Y1869" s="232"/>
    </row>
    <row r="1870" spans="21:25" x14ac:dyDescent="0.2">
      <c r="U1870" s="209" t="str">
        <f t="shared" si="32"/>
        <v>1w</v>
      </c>
      <c r="V1870" s="207">
        <f>_xll.qlCalendarAdvance(Calendar,V1869,U1870,"f",FALSE)</f>
        <v>51953</v>
      </c>
      <c r="W1870" s="210">
        <f>_xll.qlCalendarAdvance(Calendar,V1870,NDays&amp;"D")</f>
        <v>51953</v>
      </c>
      <c r="X1870" s="211">
        <v>2.2545699285609899E-2</v>
      </c>
      <c r="Y1870" s="232"/>
    </row>
    <row r="1871" spans="21:25" x14ac:dyDescent="0.2">
      <c r="U1871" s="209" t="str">
        <f t="shared" si="32"/>
        <v>1w</v>
      </c>
      <c r="V1871" s="207">
        <f>_xll.qlCalendarAdvance(Calendar,V1870,U1871,"f",FALSE)</f>
        <v>51964</v>
      </c>
      <c r="W1871" s="210">
        <f>_xll.qlCalendarAdvance(Calendar,V1871,NDays&amp;"D")</f>
        <v>51964</v>
      </c>
      <c r="X1871" s="211">
        <v>2.2541530252544462E-2</v>
      </c>
      <c r="Y1871" s="232"/>
    </row>
    <row r="1872" spans="21:25" x14ac:dyDescent="0.2">
      <c r="U1872" s="209" t="str">
        <f t="shared" si="32"/>
        <v>1w</v>
      </c>
      <c r="V1872" s="207">
        <f>_xll.qlCalendarAdvance(Calendar,V1871,U1872,"f",FALSE)</f>
        <v>51971</v>
      </c>
      <c r="W1872" s="210">
        <f>_xll.qlCalendarAdvance(Calendar,V1872,NDays&amp;"D")</f>
        <v>51971</v>
      </c>
      <c r="X1872" s="211">
        <v>2.2539684303310992E-2</v>
      </c>
      <c r="Y1872" s="232"/>
    </row>
    <row r="1873" spans="21:25" x14ac:dyDescent="0.2">
      <c r="U1873" s="209" t="str">
        <f t="shared" si="32"/>
        <v>1w</v>
      </c>
      <c r="V1873" s="207">
        <f>_xll.qlCalendarAdvance(Calendar,V1872,U1873,"f",FALSE)</f>
        <v>51978</v>
      </c>
      <c r="W1873" s="210">
        <f>_xll.qlCalendarAdvance(Calendar,V1873,NDays&amp;"D")</f>
        <v>51978</v>
      </c>
      <c r="X1873" s="211">
        <v>2.2537907341773078E-2</v>
      </c>
      <c r="Y1873" s="232"/>
    </row>
    <row r="1874" spans="21:25" x14ac:dyDescent="0.2">
      <c r="U1874" s="209" t="str">
        <f t="shared" si="32"/>
        <v>1w</v>
      </c>
      <c r="V1874" s="207">
        <f>_xll.qlCalendarAdvance(Calendar,V1873,U1874,"f",FALSE)</f>
        <v>51985</v>
      </c>
      <c r="W1874" s="210">
        <f>_xll.qlCalendarAdvance(Calendar,V1874,NDays&amp;"D")</f>
        <v>51985</v>
      </c>
      <c r="X1874" s="211">
        <v>2.2536199368010656E-2</v>
      </c>
      <c r="Y1874" s="232"/>
    </row>
    <row r="1875" spans="21:25" x14ac:dyDescent="0.2">
      <c r="U1875" s="209" t="str">
        <f t="shared" si="32"/>
        <v>1w</v>
      </c>
      <c r="V1875" s="207">
        <f>_xll.qlCalendarAdvance(Calendar,V1874,U1875,"f",FALSE)</f>
        <v>51992</v>
      </c>
      <c r="W1875" s="210">
        <f>_xll.qlCalendarAdvance(Calendar,V1875,NDays&amp;"D")</f>
        <v>51992</v>
      </c>
      <c r="X1875" s="211">
        <v>2.2534560381863855E-2</v>
      </c>
      <c r="Y1875" s="232"/>
    </row>
    <row r="1876" spans="21:25" x14ac:dyDescent="0.2">
      <c r="U1876" s="209" t="str">
        <f t="shared" si="32"/>
        <v>1w</v>
      </c>
      <c r="V1876" s="207">
        <f>_xll.qlCalendarAdvance(Calendar,V1875,U1876,"f",FALSE)</f>
        <v>51999</v>
      </c>
      <c r="W1876" s="210">
        <f>_xll.qlCalendarAdvance(Calendar,V1876,NDays&amp;"D")</f>
        <v>51999</v>
      </c>
      <c r="X1876" s="211">
        <v>2.2532990383492546E-2</v>
      </c>
      <c r="Y1876" s="232"/>
    </row>
    <row r="1877" spans="21:25" x14ac:dyDescent="0.2">
      <c r="U1877" s="209" t="str">
        <f t="shared" si="32"/>
        <v>1w</v>
      </c>
      <c r="V1877" s="207">
        <f>_xll.qlCalendarAdvance(Calendar,V1876,U1877,"f",FALSE)</f>
        <v>52006</v>
      </c>
      <c r="W1877" s="210">
        <f>_xll.qlCalendarAdvance(Calendar,V1877,NDays&amp;"D")</f>
        <v>52006</v>
      </c>
      <c r="X1877" s="211">
        <v>2.2531489372816793E-2</v>
      </c>
      <c r="Y1877" s="232"/>
    </row>
    <row r="1878" spans="21:25" x14ac:dyDescent="0.2">
      <c r="U1878" s="209" t="str">
        <f t="shared" si="32"/>
        <v>1w</v>
      </c>
      <c r="V1878" s="207">
        <f>_xll.qlCalendarAdvance(Calendar,V1877,U1878,"f",FALSE)</f>
        <v>52013</v>
      </c>
      <c r="W1878" s="210">
        <f>_xll.qlCalendarAdvance(Calendar,V1878,NDays&amp;"D")</f>
        <v>52013</v>
      </c>
      <c r="X1878" s="211">
        <v>2.2530057349916532E-2</v>
      </c>
      <c r="Y1878" s="232"/>
    </row>
    <row r="1879" spans="21:25" x14ac:dyDescent="0.2">
      <c r="U1879" s="209" t="str">
        <f t="shared" si="32"/>
        <v>1w</v>
      </c>
      <c r="V1879" s="207">
        <f>_xll.qlCalendarAdvance(Calendar,V1878,U1879,"f",FALSE)</f>
        <v>52020</v>
      </c>
      <c r="W1879" s="210">
        <f>_xll.qlCalendarAdvance(Calendar,V1879,NDays&amp;"D")</f>
        <v>52020</v>
      </c>
      <c r="X1879" s="211">
        <v>2.2528694314711828E-2</v>
      </c>
      <c r="Y1879" s="232"/>
    </row>
    <row r="1880" spans="21:25" x14ac:dyDescent="0.2">
      <c r="U1880" s="209" t="str">
        <f t="shared" si="32"/>
        <v>1w</v>
      </c>
      <c r="V1880" s="207">
        <f>_xll.qlCalendarAdvance(Calendar,V1879,U1880,"f",FALSE)</f>
        <v>52027</v>
      </c>
      <c r="W1880" s="210">
        <f>_xll.qlCalendarAdvance(Calendar,V1880,NDays&amp;"D")</f>
        <v>52027</v>
      </c>
      <c r="X1880" s="211">
        <v>2.2527400267122744E-2</v>
      </c>
      <c r="Y1880" s="232"/>
    </row>
    <row r="1881" spans="21:25" x14ac:dyDescent="0.2">
      <c r="U1881" s="209" t="str">
        <f t="shared" si="32"/>
        <v>1w</v>
      </c>
      <c r="V1881" s="207">
        <f>_xll.qlCalendarAdvance(Calendar,V1880,U1881,"f",FALSE)</f>
        <v>52034</v>
      </c>
      <c r="W1881" s="210">
        <f>_xll.qlCalendarAdvance(Calendar,V1881,NDays&amp;"D")</f>
        <v>52034</v>
      </c>
      <c r="X1881" s="211">
        <v>2.2526175207309151E-2</v>
      </c>
      <c r="Y1881" s="232"/>
    </row>
    <row r="1882" spans="21:25" x14ac:dyDescent="0.2">
      <c r="U1882" s="209" t="str">
        <f t="shared" si="32"/>
        <v>1w</v>
      </c>
      <c r="V1882" s="207">
        <f>_xll.qlCalendarAdvance(Calendar,V1881,U1882,"f",FALSE)</f>
        <v>52041</v>
      </c>
      <c r="W1882" s="210">
        <f>_xll.qlCalendarAdvance(Calendar,V1882,NDays&amp;"D")</f>
        <v>52041</v>
      </c>
      <c r="X1882" s="211">
        <v>2.2525019135271052E-2</v>
      </c>
      <c r="Y1882" s="232"/>
    </row>
    <row r="1883" spans="21:25" x14ac:dyDescent="0.2">
      <c r="U1883" s="209" t="str">
        <f t="shared" si="32"/>
        <v>1w</v>
      </c>
      <c r="V1883" s="207">
        <f>_xll.qlCalendarAdvance(Calendar,V1882,U1883,"f",FALSE)</f>
        <v>52048</v>
      </c>
      <c r="W1883" s="210">
        <f>_xll.qlCalendarAdvance(Calendar,V1883,NDays&amp;"D")</f>
        <v>52048</v>
      </c>
      <c r="X1883" s="211">
        <v>2.2523932050848572E-2</v>
      </c>
      <c r="Y1883" s="232"/>
    </row>
    <row r="1884" spans="21:25" x14ac:dyDescent="0.2">
      <c r="U1884" s="209" t="str">
        <f t="shared" si="32"/>
        <v>1w</v>
      </c>
      <c r="V1884" s="207">
        <f>_xll.qlCalendarAdvance(Calendar,V1883,U1884,"f",FALSE)</f>
        <v>52055</v>
      </c>
      <c r="W1884" s="210">
        <f>_xll.qlCalendarAdvance(Calendar,V1884,NDays&amp;"D")</f>
        <v>52055</v>
      </c>
      <c r="X1884" s="211">
        <v>2.252291395428152E-2</v>
      </c>
      <c r="Y1884" s="232"/>
    </row>
    <row r="1885" spans="21:25" x14ac:dyDescent="0.2">
      <c r="U1885" s="209" t="str">
        <f t="shared" si="32"/>
        <v>1w</v>
      </c>
      <c r="V1885" s="207">
        <f>_xll.qlCalendarAdvance(Calendar,V1884,U1885,"f",FALSE)</f>
        <v>52062</v>
      </c>
      <c r="W1885" s="210">
        <f>_xll.qlCalendarAdvance(Calendar,V1885,NDays&amp;"D")</f>
        <v>52062</v>
      </c>
      <c r="X1885" s="211">
        <v>2.2521964845170217E-2</v>
      </c>
      <c r="Y1885" s="232"/>
    </row>
    <row r="1886" spans="21:25" x14ac:dyDescent="0.2">
      <c r="U1886" s="209" t="str">
        <f t="shared" si="32"/>
        <v>1w</v>
      </c>
      <c r="V1886" s="207">
        <f>_xll.qlCalendarAdvance(Calendar,V1885,U1886,"f",FALSE)</f>
        <v>52069</v>
      </c>
      <c r="W1886" s="210">
        <f>_xll.qlCalendarAdvance(Calendar,V1886,NDays&amp;"D")</f>
        <v>52069</v>
      </c>
      <c r="X1886" s="211">
        <v>2.2521084723914342E-2</v>
      </c>
      <c r="Y1886" s="232"/>
    </row>
    <row r="1887" spans="21:25" x14ac:dyDescent="0.2">
      <c r="U1887" s="209" t="str">
        <f t="shared" si="32"/>
        <v>1w</v>
      </c>
      <c r="V1887" s="207">
        <f>_xll.qlCalendarAdvance(Calendar,V1886,U1887,"f",FALSE)</f>
        <v>52076</v>
      </c>
      <c r="W1887" s="210">
        <f>_xll.qlCalendarAdvance(Calendar,V1887,NDays&amp;"D")</f>
        <v>52076</v>
      </c>
      <c r="X1887" s="211">
        <v>2.2520273590433959E-2</v>
      </c>
      <c r="Y1887" s="232"/>
    </row>
    <row r="1888" spans="21:25" x14ac:dyDescent="0.2">
      <c r="U1888" s="209" t="str">
        <f t="shared" si="32"/>
        <v>1w</v>
      </c>
      <c r="V1888" s="207">
        <f>_xll.qlCalendarAdvance(Calendar,V1887,U1888,"f",FALSE)</f>
        <v>52083</v>
      </c>
      <c r="W1888" s="210">
        <f>_xll.qlCalendarAdvance(Calendar,V1888,NDays&amp;"D")</f>
        <v>52083</v>
      </c>
      <c r="X1888" s="211">
        <v>2.2519531444649132E-2</v>
      </c>
      <c r="Y1888" s="232"/>
    </row>
    <row r="1889" spans="21:25" x14ac:dyDescent="0.2">
      <c r="U1889" s="209" t="str">
        <f t="shared" si="32"/>
        <v>1w</v>
      </c>
      <c r="V1889" s="207">
        <f>_xll.qlCalendarAdvance(Calendar,V1888,U1889,"f",FALSE)</f>
        <v>52090</v>
      </c>
      <c r="W1889" s="210">
        <f>_xll.qlCalendarAdvance(Calendar,V1889,NDays&amp;"D")</f>
        <v>52090</v>
      </c>
      <c r="X1889" s="211">
        <v>2.2518858286479926E-2</v>
      </c>
      <c r="Y1889" s="232"/>
    </row>
    <row r="1890" spans="21:25" x14ac:dyDescent="0.2">
      <c r="U1890" s="209" t="str">
        <f t="shared" si="32"/>
        <v>1w</v>
      </c>
      <c r="V1890" s="207">
        <f>_xll.qlCalendarAdvance(Calendar,V1889,U1890,"f",FALSE)</f>
        <v>52097</v>
      </c>
      <c r="W1890" s="210">
        <f>_xll.qlCalendarAdvance(Calendar,V1890,NDays&amp;"D")</f>
        <v>52097</v>
      </c>
      <c r="X1890" s="211">
        <v>2.2518254116086212E-2</v>
      </c>
      <c r="Y1890" s="232"/>
    </row>
    <row r="1891" spans="21:25" x14ac:dyDescent="0.2">
      <c r="U1891" s="209" t="str">
        <f t="shared" si="32"/>
        <v>1w</v>
      </c>
      <c r="V1891" s="207">
        <f>_xll.qlCalendarAdvance(Calendar,V1890,U1891,"f",FALSE)</f>
        <v>52104</v>
      </c>
      <c r="W1891" s="210">
        <f>_xll.qlCalendarAdvance(Calendar,V1891,NDays&amp;"D")</f>
        <v>52104</v>
      </c>
      <c r="X1891" s="211">
        <v>2.2517718933388053E-2</v>
      </c>
      <c r="Y1891" s="232"/>
    </row>
    <row r="1892" spans="21:25" x14ac:dyDescent="0.2">
      <c r="U1892" s="209" t="str">
        <f t="shared" si="32"/>
        <v>1w</v>
      </c>
      <c r="V1892" s="207">
        <f>_xll.qlCalendarAdvance(Calendar,V1891,U1892,"f",FALSE)</f>
        <v>52111</v>
      </c>
      <c r="W1892" s="210">
        <f>_xll.qlCalendarAdvance(Calendar,V1892,NDays&amp;"D")</f>
        <v>52111</v>
      </c>
      <c r="X1892" s="211">
        <v>2.2517252738305515E-2</v>
      </c>
      <c r="Y1892" s="232"/>
    </row>
    <row r="1893" spans="21:25" x14ac:dyDescent="0.2">
      <c r="U1893" s="209" t="str">
        <f t="shared" si="32"/>
        <v>1w</v>
      </c>
      <c r="V1893" s="207">
        <f>_xll.qlCalendarAdvance(Calendar,V1892,U1893,"f",FALSE)</f>
        <v>52118</v>
      </c>
      <c r="W1893" s="210">
        <f>_xll.qlCalendarAdvance(Calendar,V1893,NDays&amp;"D")</f>
        <v>52118</v>
      </c>
      <c r="X1893" s="211">
        <v>2.251685553099847E-2</v>
      </c>
      <c r="Y1893" s="232"/>
    </row>
    <row r="1894" spans="21:25" x14ac:dyDescent="0.2">
      <c r="U1894" s="209" t="str">
        <f t="shared" si="32"/>
        <v>1w</v>
      </c>
      <c r="V1894" s="207">
        <f>_xll.qlCalendarAdvance(Calendar,V1893,U1894,"f",FALSE)</f>
        <v>52125</v>
      </c>
      <c r="W1894" s="210">
        <f>_xll.qlCalendarAdvance(Calendar,V1894,NDays&amp;"D")</f>
        <v>52125</v>
      </c>
      <c r="X1894" s="211">
        <v>2.2516527311307044E-2</v>
      </c>
      <c r="Y1894" s="232"/>
    </row>
    <row r="1895" spans="21:25" x14ac:dyDescent="0.2">
      <c r="U1895" s="209" t="str">
        <f t="shared" si="32"/>
        <v>1w</v>
      </c>
      <c r="V1895" s="207">
        <f>_xll.qlCalendarAdvance(Calendar,V1894,U1895,"f",FALSE)</f>
        <v>52132</v>
      </c>
      <c r="W1895" s="210">
        <f>_xll.qlCalendarAdvance(Calendar,V1895,NDays&amp;"D")</f>
        <v>52132</v>
      </c>
      <c r="X1895" s="211">
        <v>2.2516268079471047E-2</v>
      </c>
      <c r="Y1895" s="232"/>
    </row>
    <row r="1896" spans="21:25" x14ac:dyDescent="0.2">
      <c r="U1896" s="209" t="str">
        <f t="shared" si="32"/>
        <v>1w</v>
      </c>
      <c r="V1896" s="207">
        <f>_xll.qlCalendarAdvance(Calendar,V1895,U1896,"f",FALSE)</f>
        <v>52139</v>
      </c>
      <c r="W1896" s="210">
        <f>_xll.qlCalendarAdvance(Calendar,V1896,NDays&amp;"D")</f>
        <v>52139</v>
      </c>
      <c r="X1896" s="211">
        <v>2.2516077835330606E-2</v>
      </c>
      <c r="Y1896" s="232"/>
    </row>
    <row r="1897" spans="21:25" x14ac:dyDescent="0.2">
      <c r="U1897" s="209" t="str">
        <f t="shared" si="32"/>
        <v>1w</v>
      </c>
      <c r="V1897" s="207">
        <f>_xll.qlCalendarAdvance(Calendar,V1896,U1897,"f",FALSE)</f>
        <v>52146</v>
      </c>
      <c r="W1897" s="210">
        <f>_xll.qlCalendarAdvance(Calendar,V1897,NDays&amp;"D")</f>
        <v>52146</v>
      </c>
      <c r="X1897" s="211">
        <v>2.2515956578805785E-2</v>
      </c>
      <c r="Y1897" s="232"/>
    </row>
    <row r="1898" spans="21:25" x14ac:dyDescent="0.2">
      <c r="U1898" s="209" t="str">
        <f t="shared" si="32"/>
        <v>1w</v>
      </c>
      <c r="V1898" s="207">
        <f>_xll.qlCalendarAdvance(Calendar,V1897,U1898,"f",FALSE)</f>
        <v>52153</v>
      </c>
      <c r="W1898" s="210">
        <f>_xll.qlCalendarAdvance(Calendar,V1898,NDays&amp;"D")</f>
        <v>52153</v>
      </c>
      <c r="X1898" s="211">
        <v>2.251590430997652E-2</v>
      </c>
      <c r="Y1898" s="232"/>
    </row>
    <row r="1899" spans="21:25" x14ac:dyDescent="0.2">
      <c r="U1899" s="209" t="str">
        <f t="shared" si="32"/>
        <v>1w</v>
      </c>
      <c r="V1899" s="207">
        <f>_xll.qlCalendarAdvance(Calendar,V1898,U1899,"f",FALSE)</f>
        <v>52160</v>
      </c>
      <c r="W1899" s="210">
        <f>_xll.qlCalendarAdvance(Calendar,V1899,NDays&amp;"D")</f>
        <v>52160</v>
      </c>
      <c r="X1899" s="211">
        <v>2.2515921028842811E-2</v>
      </c>
      <c r="Y1899" s="232"/>
    </row>
    <row r="1900" spans="21:25" x14ac:dyDescent="0.2">
      <c r="U1900" s="209" t="str">
        <f t="shared" si="32"/>
        <v>1w</v>
      </c>
      <c r="V1900" s="207">
        <f>_xll.qlCalendarAdvance(Calendar,V1899,U1900,"f",FALSE)</f>
        <v>52167</v>
      </c>
      <c r="W1900" s="210">
        <f>_xll.qlCalendarAdvance(Calendar,V1900,NDays&amp;"D")</f>
        <v>52167</v>
      </c>
      <c r="X1900" s="211">
        <v>2.2516006735644467E-2</v>
      </c>
      <c r="Y1900" s="232"/>
    </row>
    <row r="1901" spans="21:25" x14ac:dyDescent="0.2">
      <c r="U1901" s="209" t="str">
        <f t="shared" si="32"/>
        <v>1w</v>
      </c>
      <c r="V1901" s="207">
        <f>_xll.qlCalendarAdvance(Calendar,V1900,U1901,"f",FALSE)</f>
        <v>52174</v>
      </c>
      <c r="W1901" s="210">
        <f>_xll.qlCalendarAdvance(Calendar,V1901,NDays&amp;"D")</f>
        <v>52174</v>
      </c>
      <c r="X1901" s="211">
        <v>2.2516161429981807E-2</v>
      </c>
      <c r="Y1901" s="232"/>
    </row>
    <row r="1902" spans="21:25" x14ac:dyDescent="0.2">
      <c r="U1902" s="209" t="str">
        <f t="shared" si="32"/>
        <v>1w</v>
      </c>
      <c r="V1902" s="207">
        <f>_xll.qlCalendarAdvance(Calendar,V1901,U1902,"f",FALSE)</f>
        <v>52181</v>
      </c>
      <c r="W1902" s="210">
        <f>_xll.qlCalendarAdvance(Calendar,V1902,NDays&amp;"D")</f>
        <v>52181</v>
      </c>
      <c r="X1902" s="211">
        <v>2.2516385111934767E-2</v>
      </c>
      <c r="Y1902" s="232"/>
    </row>
    <row r="1903" spans="21:25" x14ac:dyDescent="0.2">
      <c r="U1903" s="209" t="str">
        <f t="shared" si="32"/>
        <v>1w</v>
      </c>
      <c r="V1903" s="207">
        <f>_xll.qlCalendarAdvance(Calendar,V1902,U1903,"f",FALSE)</f>
        <v>52188</v>
      </c>
      <c r="W1903" s="210">
        <f>_xll.qlCalendarAdvance(Calendar,V1903,NDays&amp;"D")</f>
        <v>52188</v>
      </c>
      <c r="X1903" s="211">
        <v>2.2516677781663219E-2</v>
      </c>
      <c r="Y1903" s="232"/>
    </row>
    <row r="1904" spans="21:25" x14ac:dyDescent="0.2">
      <c r="U1904" s="209" t="str">
        <f t="shared" si="32"/>
        <v>1w</v>
      </c>
      <c r="V1904" s="207">
        <f>_xll.qlCalendarAdvance(Calendar,V1903,U1904,"f",FALSE)</f>
        <v>52195</v>
      </c>
      <c r="W1904" s="210">
        <f>_xll.qlCalendarAdvance(Calendar,V1904,NDays&amp;"D")</f>
        <v>52195</v>
      </c>
      <c r="X1904" s="211">
        <v>2.2517039439167164E-2</v>
      </c>
      <c r="Y1904" s="232"/>
    </row>
    <row r="1905" spans="21:25" x14ac:dyDescent="0.2">
      <c r="U1905" s="209" t="str">
        <f t="shared" si="32"/>
        <v>1w</v>
      </c>
      <c r="V1905" s="207">
        <f>_xll.qlCalendarAdvance(Calendar,V1904,U1905,"f",FALSE)</f>
        <v>52202</v>
      </c>
      <c r="W1905" s="210">
        <f>_xll.qlCalendarAdvance(Calendar,V1905,NDays&amp;"D")</f>
        <v>52202</v>
      </c>
      <c r="X1905" s="211">
        <v>2.2517470084366664E-2</v>
      </c>
      <c r="Y1905" s="232"/>
    </row>
    <row r="1906" spans="21:25" x14ac:dyDescent="0.2">
      <c r="U1906" s="209" t="str">
        <f t="shared" si="32"/>
        <v>1w</v>
      </c>
      <c r="V1906" s="207">
        <f>_xll.qlCalendarAdvance(Calendar,V1905,U1906,"f",FALSE)</f>
        <v>52209</v>
      </c>
      <c r="W1906" s="210">
        <f>_xll.qlCalendarAdvance(Calendar,V1906,NDays&amp;"D")</f>
        <v>52209</v>
      </c>
      <c r="X1906" s="211">
        <v>2.2517969717261721E-2</v>
      </c>
      <c r="Y1906" s="232"/>
    </row>
    <row r="1907" spans="21:25" x14ac:dyDescent="0.2">
      <c r="U1907" s="209" t="str">
        <f t="shared" si="32"/>
        <v>1w</v>
      </c>
      <c r="V1907" s="207">
        <f>_xll.qlCalendarAdvance(Calendar,V1906,U1907,"f",FALSE)</f>
        <v>52216</v>
      </c>
      <c r="W1907" s="210">
        <f>_xll.qlCalendarAdvance(Calendar,V1907,NDays&amp;"D")</f>
        <v>52216</v>
      </c>
      <c r="X1907" s="211">
        <v>2.2518538337612526E-2</v>
      </c>
      <c r="Y1907" s="232"/>
    </row>
    <row r="1908" spans="21:25" x14ac:dyDescent="0.2">
      <c r="U1908" s="209" t="str">
        <f t="shared" si="32"/>
        <v>1w</v>
      </c>
      <c r="V1908" s="207">
        <f>_xll.qlCalendarAdvance(Calendar,V1907,U1908,"f",FALSE)</f>
        <v>52223</v>
      </c>
      <c r="W1908" s="210">
        <f>_xll.qlCalendarAdvance(Calendar,V1908,NDays&amp;"D")</f>
        <v>52223</v>
      </c>
      <c r="X1908" s="211">
        <v>2.2519175945978631E-2</v>
      </c>
      <c r="Y1908" s="232"/>
    </row>
    <row r="1909" spans="21:25" x14ac:dyDescent="0.2">
      <c r="U1909" s="209" t="str">
        <f t="shared" si="32"/>
        <v>1w</v>
      </c>
      <c r="V1909" s="207">
        <f>_xll.qlCalendarAdvance(Calendar,V1908,U1909,"f",FALSE)</f>
        <v>52230</v>
      </c>
      <c r="W1909" s="210">
        <f>_xll.qlCalendarAdvance(Calendar,V1909,NDays&amp;"D")</f>
        <v>52230</v>
      </c>
      <c r="X1909" s="211">
        <v>2.2519882541960357E-2</v>
      </c>
      <c r="Y1909" s="232"/>
    </row>
    <row r="1910" spans="21:25" x14ac:dyDescent="0.2">
      <c r="U1910" s="209" t="str">
        <f t="shared" si="32"/>
        <v>1w</v>
      </c>
      <c r="V1910" s="207">
        <f>_xll.qlCalendarAdvance(Calendar,V1909,U1910,"f",FALSE)</f>
        <v>52237</v>
      </c>
      <c r="W1910" s="210">
        <f>_xll.qlCalendarAdvance(Calendar,V1910,NDays&amp;"D")</f>
        <v>52237</v>
      </c>
      <c r="X1910" s="211">
        <v>2.2520658125717574E-2</v>
      </c>
      <c r="Y1910" s="232"/>
    </row>
    <row r="1911" spans="21:25" x14ac:dyDescent="0.2">
      <c r="U1911" s="209" t="str">
        <f t="shared" si="32"/>
        <v>1w</v>
      </c>
      <c r="V1911" s="207">
        <f>_xll.qlCalendarAdvance(Calendar,V1910,U1911,"f",FALSE)</f>
        <v>52244</v>
      </c>
      <c r="W1911" s="210">
        <f>_xll.qlCalendarAdvance(Calendar,V1911,NDays&amp;"D")</f>
        <v>52244</v>
      </c>
      <c r="X1911" s="211">
        <v>2.2521502697010476E-2</v>
      </c>
      <c r="Y1911" s="232"/>
    </row>
    <row r="1912" spans="21:25" x14ac:dyDescent="0.2">
      <c r="U1912" s="209" t="str">
        <f t="shared" si="32"/>
        <v>1w</v>
      </c>
      <c r="V1912" s="207">
        <f>_xll.qlCalendarAdvance(Calendar,V1911,U1912,"f",FALSE)</f>
        <v>52251</v>
      </c>
      <c r="W1912" s="210">
        <f>_xll.qlCalendarAdvance(Calendar,V1912,NDays&amp;"D")</f>
        <v>52251</v>
      </c>
      <c r="X1912" s="211">
        <v>2.2522416256158806E-2</v>
      </c>
      <c r="Y1912" s="232"/>
    </row>
    <row r="1913" spans="21:25" x14ac:dyDescent="0.2">
      <c r="U1913" s="209" t="str">
        <f t="shared" si="32"/>
        <v>1w</v>
      </c>
      <c r="V1913" s="207">
        <f>_xll.qlCalendarAdvance(Calendar,V1912,U1913,"f",FALSE)</f>
        <v>52258</v>
      </c>
      <c r="W1913" s="210">
        <f>_xll.qlCalendarAdvance(Calendar,V1913,NDays&amp;"D")</f>
        <v>52258</v>
      </c>
      <c r="X1913" s="211">
        <v>2.2523398803002692E-2</v>
      </c>
      <c r="Y1913" s="232"/>
    </row>
    <row r="1914" spans="21:25" x14ac:dyDescent="0.2">
      <c r="U1914" s="209" t="str">
        <f t="shared" si="32"/>
        <v>1w</v>
      </c>
      <c r="V1914" s="207">
        <f>_xll.qlCalendarAdvance(Calendar,V1913,U1914,"f",FALSE)</f>
        <v>52265</v>
      </c>
      <c r="W1914" s="210">
        <f>_xll.qlCalendarAdvance(Calendar,V1914,NDays&amp;"D")</f>
        <v>52265</v>
      </c>
      <c r="X1914" s="211">
        <v>2.2524450337542135E-2</v>
      </c>
      <c r="Y1914" s="232"/>
    </row>
    <row r="1915" spans="21:25" x14ac:dyDescent="0.2">
      <c r="U1915" s="209" t="str">
        <f t="shared" si="32"/>
        <v>1w</v>
      </c>
      <c r="V1915" s="207">
        <f>_xll.qlCalendarAdvance(Calendar,V1914,U1915,"f",FALSE)</f>
        <v>52272</v>
      </c>
      <c r="W1915" s="210">
        <f>_xll.qlCalendarAdvance(Calendar,V1915,NDays&amp;"D")</f>
        <v>52272</v>
      </c>
      <c r="X1915" s="211">
        <v>2.2525570859777133E-2</v>
      </c>
      <c r="Y1915" s="232"/>
    </row>
    <row r="1916" spans="21:25" x14ac:dyDescent="0.2">
      <c r="U1916" s="209" t="str">
        <f t="shared" si="32"/>
        <v>1w</v>
      </c>
      <c r="V1916" s="207">
        <f>_xll.qlCalendarAdvance(Calendar,V1915,U1916,"f",FALSE)</f>
        <v>52279</v>
      </c>
      <c r="W1916" s="210">
        <f>_xll.qlCalendarAdvance(Calendar,V1916,NDays&amp;"D")</f>
        <v>52279</v>
      </c>
      <c r="X1916" s="211">
        <v>2.2526760369707688E-2</v>
      </c>
      <c r="Y1916" s="232"/>
    </row>
    <row r="1917" spans="21:25" x14ac:dyDescent="0.2">
      <c r="U1917" s="209" t="str">
        <f t="shared" si="32"/>
        <v>1w</v>
      </c>
      <c r="V1917" s="207">
        <f>_xll.qlCalendarAdvance(Calendar,V1916,U1917,"f",FALSE)</f>
        <v>52286</v>
      </c>
      <c r="W1917" s="210">
        <f>_xll.qlCalendarAdvance(Calendar,V1917,NDays&amp;"D")</f>
        <v>52286</v>
      </c>
      <c r="X1917" s="211">
        <v>2.2528018867333799E-2</v>
      </c>
      <c r="Y1917" s="232"/>
    </row>
    <row r="1918" spans="21:25" x14ac:dyDescent="0.2">
      <c r="U1918" s="209" t="str">
        <f t="shared" si="32"/>
        <v>1w</v>
      </c>
      <c r="V1918" s="207">
        <f>_xll.qlCalendarAdvance(Calendar,V1917,U1918,"f",FALSE)</f>
        <v>52293</v>
      </c>
      <c r="W1918" s="210">
        <f>_xll.qlCalendarAdvance(Calendar,V1918,NDays&amp;"D")</f>
        <v>52293</v>
      </c>
      <c r="X1918" s="211">
        <v>2.2529346352735402E-2</v>
      </c>
      <c r="Y1918" s="232"/>
    </row>
    <row r="1919" spans="21:25" x14ac:dyDescent="0.2">
      <c r="U1919" s="209" t="str">
        <f t="shared" si="32"/>
        <v>1w</v>
      </c>
      <c r="V1919" s="207">
        <f>_xll.qlCalendarAdvance(Calendar,V1918,U1919,"f",FALSE)</f>
        <v>52300</v>
      </c>
      <c r="W1919" s="210">
        <f>_xll.qlCalendarAdvance(Calendar,V1919,NDays&amp;"D")</f>
        <v>52300</v>
      </c>
      <c r="X1919" s="211">
        <v>2.2530742825672689E-2</v>
      </c>
      <c r="Y1919" s="232"/>
    </row>
    <row r="1920" spans="21:25" x14ac:dyDescent="0.2">
      <c r="U1920" s="209" t="str">
        <f t="shared" si="32"/>
        <v>1w</v>
      </c>
      <c r="V1920" s="207">
        <f>_xll.qlCalendarAdvance(Calendar,V1919,U1920,"f",FALSE)</f>
        <v>52307</v>
      </c>
      <c r="W1920" s="210">
        <f>_xll.qlCalendarAdvance(Calendar,V1920,NDays&amp;"D")</f>
        <v>52307</v>
      </c>
      <c r="X1920" s="211">
        <v>2.2532208286625277E-2</v>
      </c>
      <c r="Y1920" s="232"/>
    </row>
    <row r="1921" spans="21:25" x14ac:dyDescent="0.2">
      <c r="U1921" s="209" t="str">
        <f t="shared" si="32"/>
        <v>1w</v>
      </c>
      <c r="V1921" s="207">
        <f>_xll.qlCalendarAdvance(Calendar,V1920,U1921,"f",FALSE)</f>
        <v>52314</v>
      </c>
      <c r="W1921" s="210">
        <f>_xll.qlCalendarAdvance(Calendar,V1921,NDays&amp;"D")</f>
        <v>52314</v>
      </c>
      <c r="X1921" s="211">
        <v>2.2533742735033613E-2</v>
      </c>
      <c r="Y1921" s="232"/>
    </row>
    <row r="1922" spans="21:25" x14ac:dyDescent="0.2">
      <c r="U1922" s="209" t="str">
        <f t="shared" si="32"/>
        <v>1w</v>
      </c>
      <c r="V1922" s="207">
        <f>_xll.qlCalendarAdvance(Calendar,V1921,U1922,"f",FALSE)</f>
        <v>52321</v>
      </c>
      <c r="W1922" s="210">
        <f>_xll.qlCalendarAdvance(Calendar,V1922,NDays&amp;"D")</f>
        <v>52321</v>
      </c>
      <c r="X1922" s="211">
        <v>2.2535346171297377E-2</v>
      </c>
      <c r="Y1922" s="232"/>
    </row>
    <row r="1923" spans="21:25" x14ac:dyDescent="0.2">
      <c r="U1923" s="209" t="str">
        <f t="shared" si="32"/>
        <v>1w</v>
      </c>
      <c r="V1923" s="207">
        <f>_xll.qlCalendarAdvance(Calendar,V1922,U1923,"f",FALSE)</f>
        <v>52328</v>
      </c>
      <c r="W1923" s="210">
        <f>_xll.qlCalendarAdvance(Calendar,V1923,NDays&amp;"D")</f>
        <v>52328</v>
      </c>
      <c r="X1923" s="211">
        <v>2.2537018595176761E-2</v>
      </c>
      <c r="Y1923" s="232"/>
    </row>
    <row r="1924" spans="21:25" x14ac:dyDescent="0.2">
      <c r="U1924" s="209" t="str">
        <f t="shared" si="32"/>
        <v>1w</v>
      </c>
      <c r="V1924" s="207">
        <f>_xll.qlCalendarAdvance(Calendar,V1923,U1924,"f",FALSE)</f>
        <v>52335</v>
      </c>
      <c r="W1924" s="210">
        <f>_xll.qlCalendarAdvance(Calendar,V1924,NDays&amp;"D")</f>
        <v>52335</v>
      </c>
      <c r="X1924" s="211">
        <v>2.2538760006911573E-2</v>
      </c>
      <c r="Y1924" s="232"/>
    </row>
    <row r="1925" spans="21:25" x14ac:dyDescent="0.2">
      <c r="U1925" s="209" t="str">
        <f t="shared" si="32"/>
        <v>1w</v>
      </c>
      <c r="V1925" s="207">
        <f>_xll.qlCalendarAdvance(Calendar,V1924,U1925,"f",FALSE)</f>
        <v>52342</v>
      </c>
      <c r="W1925" s="210">
        <f>_xll.qlCalendarAdvance(Calendar,V1925,NDays&amp;"D")</f>
        <v>52342</v>
      </c>
      <c r="X1925" s="211">
        <v>2.254057040618207E-2</v>
      </c>
      <c r="Y1925" s="232"/>
    </row>
    <row r="1926" spans="21:25" x14ac:dyDescent="0.2">
      <c r="U1926" s="209" t="str">
        <f t="shared" si="32"/>
        <v>1w</v>
      </c>
      <c r="V1926" s="207">
        <f>_xll.qlCalendarAdvance(Calendar,V1925,U1926,"f",FALSE)</f>
        <v>52349</v>
      </c>
      <c r="W1926" s="210">
        <f>_xll.qlCalendarAdvance(Calendar,V1926,NDays&amp;"D")</f>
        <v>52349</v>
      </c>
      <c r="X1926" s="211">
        <v>2.2542449793307995E-2</v>
      </c>
      <c r="Y1926" s="232"/>
    </row>
    <row r="1927" spans="21:25" x14ac:dyDescent="0.2">
      <c r="U1927" s="209" t="str">
        <f t="shared" si="32"/>
        <v>1w</v>
      </c>
      <c r="V1927" s="207">
        <f>_xll.qlCalendarAdvance(Calendar,V1926,U1927,"f",FALSE)</f>
        <v>52356</v>
      </c>
      <c r="W1927" s="210">
        <f>_xll.qlCalendarAdvance(Calendar,V1927,NDays&amp;"D")</f>
        <v>52356</v>
      </c>
      <c r="X1927" s="211">
        <v>2.2544398168209412E-2</v>
      </c>
      <c r="Y1927" s="232"/>
    </row>
    <row r="1928" spans="21:25" x14ac:dyDescent="0.2">
      <c r="U1928" s="209" t="str">
        <f t="shared" si="32"/>
        <v>1w</v>
      </c>
      <c r="V1928" s="207">
        <f>_xll.qlCalendarAdvance(Calendar,V1927,U1928,"f",FALSE)</f>
        <v>52363</v>
      </c>
      <c r="W1928" s="210">
        <f>_xll.qlCalendarAdvance(Calendar,V1928,NDays&amp;"D")</f>
        <v>52363</v>
      </c>
      <c r="X1928" s="211">
        <v>2.2546415530646513E-2</v>
      </c>
      <c r="Y1928" s="232"/>
    </row>
    <row r="1929" spans="21:25" x14ac:dyDescent="0.2">
      <c r="U1929" s="209" t="str">
        <f t="shared" si="32"/>
        <v>1w</v>
      </c>
      <c r="V1929" s="207">
        <f>_xll.qlCalendarAdvance(Calendar,V1928,U1929,"f",FALSE)</f>
        <v>52370</v>
      </c>
      <c r="W1929" s="210">
        <f>_xll.qlCalendarAdvance(Calendar,V1929,NDays&amp;"D")</f>
        <v>52370</v>
      </c>
      <c r="X1929" s="211">
        <v>2.2548501880939043E-2</v>
      </c>
      <c r="Y1929" s="232"/>
    </row>
    <row r="1930" spans="21:25" x14ac:dyDescent="0.2">
      <c r="U1930" s="209" t="str">
        <f t="shared" si="32"/>
        <v>1w</v>
      </c>
      <c r="V1930" s="207">
        <f>_xll.qlCalendarAdvance(Calendar,V1929,U1930,"f",FALSE)</f>
        <v>52377</v>
      </c>
      <c r="W1930" s="210">
        <f>_xll.qlCalendarAdvance(Calendar,V1930,NDays&amp;"D")</f>
        <v>52377</v>
      </c>
      <c r="X1930" s="211">
        <v>2.2550657219007064E-2</v>
      </c>
      <c r="Y1930" s="232"/>
    </row>
    <row r="1931" spans="21:25" x14ac:dyDescent="0.2">
      <c r="U1931" s="209" t="str">
        <f t="shared" si="32"/>
        <v>1w</v>
      </c>
      <c r="V1931" s="207">
        <f>_xll.qlCalendarAdvance(Calendar,V1930,U1931,"f",FALSE)</f>
        <v>52384</v>
      </c>
      <c r="W1931" s="210">
        <f>_xll.qlCalendarAdvance(Calendar,V1931,NDays&amp;"D")</f>
        <v>52384</v>
      </c>
      <c r="X1931" s="211">
        <v>2.2552881544690706E-2</v>
      </c>
      <c r="Y1931" s="232"/>
    </row>
    <row r="1932" spans="21:25" x14ac:dyDescent="0.2">
      <c r="U1932" s="209" t="str">
        <f t="shared" si="32"/>
        <v>1w</v>
      </c>
      <c r="V1932" s="207">
        <f>_xll.qlCalendarAdvance(Calendar,V1931,U1932,"f",FALSE)</f>
        <v>52391</v>
      </c>
      <c r="W1932" s="210">
        <f>_xll.qlCalendarAdvance(Calendar,V1932,NDays&amp;"D")</f>
        <v>52391</v>
      </c>
      <c r="X1932" s="211">
        <v>2.2555174858069904E-2</v>
      </c>
      <c r="Y1932" s="232"/>
    </row>
    <row r="1933" spans="21:25" x14ac:dyDescent="0.2">
      <c r="U1933" s="209" t="str">
        <f t="shared" ref="U1933:U1996" si="33">U1932</f>
        <v>1w</v>
      </c>
      <c r="V1933" s="207">
        <f>_xll.qlCalendarAdvance(Calendar,V1932,U1933,"f",FALSE)</f>
        <v>52398</v>
      </c>
      <c r="W1933" s="210">
        <f>_xll.qlCalendarAdvance(Calendar,V1933,NDays&amp;"D")</f>
        <v>52398</v>
      </c>
      <c r="X1933" s="211">
        <v>2.2557537159224594E-2</v>
      </c>
      <c r="Y1933" s="232"/>
    </row>
    <row r="1934" spans="21:25" x14ac:dyDescent="0.2">
      <c r="U1934" s="209" t="str">
        <f t="shared" si="33"/>
        <v>1w</v>
      </c>
      <c r="V1934" s="207">
        <f>_xll.qlCalendarAdvance(Calendar,V1933,U1934,"f",FALSE)</f>
        <v>52405</v>
      </c>
      <c r="W1934" s="210">
        <f>_xll.qlCalendarAdvance(Calendar,V1934,NDays&amp;"D")</f>
        <v>52405</v>
      </c>
      <c r="X1934" s="211">
        <v>2.2559968448154777E-2</v>
      </c>
      <c r="Y1934" s="232"/>
    </row>
    <row r="1935" spans="21:25" x14ac:dyDescent="0.2">
      <c r="U1935" s="209" t="str">
        <f t="shared" si="33"/>
        <v>1w</v>
      </c>
      <c r="V1935" s="207">
        <f>_xll.qlCalendarAdvance(Calendar,V1934,U1935,"f",FALSE)</f>
        <v>52412</v>
      </c>
      <c r="W1935" s="210">
        <f>_xll.qlCalendarAdvance(Calendar,V1935,NDays&amp;"D")</f>
        <v>52412</v>
      </c>
      <c r="X1935" s="211">
        <v>2.2562468724780516E-2</v>
      </c>
      <c r="Y1935" s="232"/>
    </row>
    <row r="1936" spans="21:25" x14ac:dyDescent="0.2">
      <c r="U1936" s="209" t="str">
        <f t="shared" si="33"/>
        <v>1w</v>
      </c>
      <c r="V1936" s="207">
        <f>_xll.qlCalendarAdvance(Calendar,V1935,U1936,"f",FALSE)</f>
        <v>52419</v>
      </c>
      <c r="W1936" s="210">
        <f>_xll.qlCalendarAdvance(Calendar,V1936,NDays&amp;"D")</f>
        <v>52419</v>
      </c>
      <c r="X1936" s="211">
        <v>2.256503798910181E-2</v>
      </c>
      <c r="Y1936" s="232"/>
    </row>
    <row r="1937" spans="21:25" x14ac:dyDescent="0.2">
      <c r="U1937" s="209" t="str">
        <f t="shared" si="33"/>
        <v>1w</v>
      </c>
      <c r="V1937" s="207">
        <f>_xll.qlCalendarAdvance(Calendar,V1936,U1937,"f",FALSE)</f>
        <v>52426</v>
      </c>
      <c r="W1937" s="210">
        <f>_xll.qlCalendarAdvance(Calendar,V1937,NDays&amp;"D")</f>
        <v>52426</v>
      </c>
      <c r="X1937" s="211">
        <v>2.2567676241198598E-2</v>
      </c>
      <c r="Y1937" s="232"/>
    </row>
    <row r="1938" spans="21:25" x14ac:dyDescent="0.2">
      <c r="U1938" s="209" t="str">
        <f t="shared" si="33"/>
        <v>1w</v>
      </c>
      <c r="V1938" s="207">
        <f>_xll.qlCalendarAdvance(Calendar,V1937,U1938,"f",FALSE)</f>
        <v>52433</v>
      </c>
      <c r="W1938" s="210">
        <f>_xll.qlCalendarAdvance(Calendar,V1938,NDays&amp;"D")</f>
        <v>52433</v>
      </c>
      <c r="X1938" s="211">
        <v>2.2570383480990941E-2</v>
      </c>
      <c r="Y1938" s="232"/>
    </row>
    <row r="1939" spans="21:25" x14ac:dyDescent="0.2">
      <c r="U1939" s="209" t="str">
        <f t="shared" si="33"/>
        <v>1w</v>
      </c>
      <c r="V1939" s="207">
        <f>_xll.qlCalendarAdvance(Calendar,V1938,U1939,"f",FALSE)</f>
        <v>52440</v>
      </c>
      <c r="W1939" s="210">
        <f>_xll.qlCalendarAdvance(Calendar,V1939,NDays&amp;"D")</f>
        <v>52440</v>
      </c>
      <c r="X1939" s="211">
        <v>2.2573159708558777E-2</v>
      </c>
      <c r="Y1939" s="232"/>
    </row>
    <row r="1940" spans="21:25" x14ac:dyDescent="0.2">
      <c r="U1940" s="209" t="str">
        <f t="shared" si="33"/>
        <v>1w</v>
      </c>
      <c r="V1940" s="207">
        <f>_xll.qlCalendarAdvance(Calendar,V1939,U1940,"f",FALSE)</f>
        <v>52447</v>
      </c>
      <c r="W1940" s="210">
        <f>_xll.qlCalendarAdvance(Calendar,V1940,NDays&amp;"D")</f>
        <v>52447</v>
      </c>
      <c r="X1940" s="211">
        <v>2.2576004923822168E-2</v>
      </c>
      <c r="Y1940" s="232"/>
    </row>
    <row r="1941" spans="21:25" x14ac:dyDescent="0.2">
      <c r="U1941" s="209" t="str">
        <f t="shared" si="33"/>
        <v>1w</v>
      </c>
      <c r="V1941" s="207">
        <f>_xll.qlCalendarAdvance(Calendar,V1940,U1941,"f",FALSE)</f>
        <v>52454</v>
      </c>
      <c r="W1941" s="210">
        <f>_xll.qlCalendarAdvance(Calendar,V1941,NDays&amp;"D")</f>
        <v>52454</v>
      </c>
      <c r="X1941" s="211">
        <v>2.2578919126861052E-2</v>
      </c>
      <c r="Y1941" s="232"/>
    </row>
    <row r="1942" spans="21:25" x14ac:dyDescent="0.2">
      <c r="U1942" s="209" t="str">
        <f t="shared" si="33"/>
        <v>1w</v>
      </c>
      <c r="V1942" s="207">
        <f>_xll.qlCalendarAdvance(Calendar,V1941,U1942,"f",FALSE)</f>
        <v>52461</v>
      </c>
      <c r="W1942" s="210">
        <f>_xll.qlCalendarAdvance(Calendar,V1942,NDays&amp;"D")</f>
        <v>52461</v>
      </c>
      <c r="X1942" s="211">
        <v>2.2581902317595492E-2</v>
      </c>
      <c r="Y1942" s="232"/>
    </row>
    <row r="1943" spans="21:25" x14ac:dyDescent="0.2">
      <c r="U1943" s="209" t="str">
        <f t="shared" si="33"/>
        <v>1w</v>
      </c>
      <c r="V1943" s="207">
        <f>_xll.qlCalendarAdvance(Calendar,V1942,U1943,"f",FALSE)</f>
        <v>52468</v>
      </c>
      <c r="W1943" s="210">
        <f>_xll.qlCalendarAdvance(Calendar,V1943,NDays&amp;"D")</f>
        <v>52468</v>
      </c>
      <c r="X1943" s="211">
        <v>2.2584954496105425E-2</v>
      </c>
      <c r="Y1943" s="232"/>
    </row>
    <row r="1944" spans="21:25" x14ac:dyDescent="0.2">
      <c r="U1944" s="209" t="str">
        <f t="shared" si="33"/>
        <v>1w</v>
      </c>
      <c r="V1944" s="207">
        <f>_xll.qlCalendarAdvance(Calendar,V1943,U1944,"f",FALSE)</f>
        <v>52475</v>
      </c>
      <c r="W1944" s="210">
        <f>_xll.qlCalendarAdvance(Calendar,V1944,NDays&amp;"D")</f>
        <v>52475</v>
      </c>
      <c r="X1944" s="211">
        <v>2.258807566239085E-2</v>
      </c>
      <c r="Y1944" s="232"/>
    </row>
    <row r="1945" spans="21:25" x14ac:dyDescent="0.2">
      <c r="U1945" s="209" t="str">
        <f t="shared" si="33"/>
        <v>1w</v>
      </c>
      <c r="V1945" s="207">
        <f>_xll.qlCalendarAdvance(Calendar,V1944,U1945,"f",FALSE)</f>
        <v>52482</v>
      </c>
      <c r="W1945" s="210">
        <f>_xll.qlCalendarAdvance(Calendar,V1945,NDays&amp;"D")</f>
        <v>52482</v>
      </c>
      <c r="X1945" s="211">
        <v>2.2591265816451767E-2</v>
      </c>
      <c r="Y1945" s="232"/>
    </row>
    <row r="1946" spans="21:25" x14ac:dyDescent="0.2">
      <c r="U1946" s="209" t="str">
        <f t="shared" si="33"/>
        <v>1w</v>
      </c>
      <c r="V1946" s="207">
        <f>_xll.qlCalendarAdvance(Calendar,V1945,U1946,"f",FALSE)</f>
        <v>52489</v>
      </c>
      <c r="W1946" s="210">
        <f>_xll.qlCalendarAdvance(Calendar,V1946,NDays&amp;"D")</f>
        <v>52489</v>
      </c>
      <c r="X1946" s="211">
        <v>2.2594524958128304E-2</v>
      </c>
      <c r="Y1946" s="232"/>
    </row>
    <row r="1947" spans="21:25" x14ac:dyDescent="0.2">
      <c r="U1947" s="209" t="str">
        <f t="shared" si="33"/>
        <v>1w</v>
      </c>
      <c r="V1947" s="207">
        <f>_xll.qlCalendarAdvance(Calendar,V1946,U1947,"f",FALSE)</f>
        <v>52496</v>
      </c>
      <c r="W1947" s="210">
        <f>_xll.qlCalendarAdvance(Calendar,V1947,NDays&amp;"D")</f>
        <v>52496</v>
      </c>
      <c r="X1947" s="211">
        <v>2.2597853087740205E-2</v>
      </c>
      <c r="Y1947" s="232"/>
    </row>
    <row r="1948" spans="21:25" x14ac:dyDescent="0.2">
      <c r="U1948" s="209" t="str">
        <f t="shared" si="33"/>
        <v>1w</v>
      </c>
      <c r="V1948" s="207">
        <f>_xll.qlCalendarAdvance(Calendar,V1947,U1948,"f",FALSE)</f>
        <v>52503</v>
      </c>
      <c r="W1948" s="210">
        <f>_xll.qlCalendarAdvance(Calendar,V1948,NDays&amp;"D")</f>
        <v>52503</v>
      </c>
      <c r="X1948" s="211">
        <v>2.2601250204967727E-2</v>
      </c>
      <c r="Y1948" s="232"/>
    </row>
    <row r="1949" spans="21:25" x14ac:dyDescent="0.2">
      <c r="U1949" s="209" t="str">
        <f t="shared" si="33"/>
        <v>1w</v>
      </c>
      <c r="V1949" s="207">
        <f>_xll.qlCalendarAdvance(Calendar,V1948,U1949,"f",FALSE)</f>
        <v>52510</v>
      </c>
      <c r="W1949" s="210">
        <f>_xll.qlCalendarAdvance(Calendar,V1949,NDays&amp;"D")</f>
        <v>52510</v>
      </c>
      <c r="X1949" s="211">
        <v>2.2604716309890804E-2</v>
      </c>
      <c r="Y1949" s="232"/>
    </row>
    <row r="1950" spans="21:25" x14ac:dyDescent="0.2">
      <c r="U1950" s="209" t="str">
        <f t="shared" si="33"/>
        <v>1w</v>
      </c>
      <c r="V1950" s="207">
        <f>_xll.qlCalendarAdvance(Calendar,V1949,U1950,"f",FALSE)</f>
        <v>52517</v>
      </c>
      <c r="W1950" s="210">
        <f>_xll.qlCalendarAdvance(Calendar,V1950,NDays&amp;"D")</f>
        <v>52517</v>
      </c>
      <c r="X1950" s="211">
        <v>2.260825140266931E-2</v>
      </c>
      <c r="Y1950" s="232"/>
    </row>
    <row r="1951" spans="21:25" x14ac:dyDescent="0.2">
      <c r="U1951" s="209" t="str">
        <f t="shared" si="33"/>
        <v>1w</v>
      </c>
      <c r="V1951" s="207">
        <f>_xll.qlCalendarAdvance(Calendar,V1950,U1951,"f",FALSE)</f>
        <v>52524</v>
      </c>
      <c r="W1951" s="210">
        <f>_xll.qlCalendarAdvance(Calendar,V1951,NDays&amp;"D")</f>
        <v>52524</v>
      </c>
      <c r="X1951" s="211">
        <v>2.2611855483143373E-2</v>
      </c>
      <c r="Y1951" s="232"/>
    </row>
    <row r="1952" spans="21:25" x14ac:dyDescent="0.2">
      <c r="U1952" s="209" t="str">
        <f t="shared" si="33"/>
        <v>1w</v>
      </c>
      <c r="V1952" s="207">
        <f>_xll.qlCalendarAdvance(Calendar,V1951,U1952,"f",FALSE)</f>
        <v>52531</v>
      </c>
      <c r="W1952" s="210">
        <f>_xll.qlCalendarAdvance(Calendar,V1952,NDays&amp;"D")</f>
        <v>52531</v>
      </c>
      <c r="X1952" s="211">
        <v>2.2615528551552799E-2</v>
      </c>
      <c r="Y1952" s="232"/>
    </row>
    <row r="1953" spans="21:25" x14ac:dyDescent="0.2">
      <c r="U1953" s="209" t="str">
        <f t="shared" si="33"/>
        <v>1w</v>
      </c>
      <c r="V1953" s="207">
        <f>_xll.qlCalendarAdvance(Calendar,V1952,U1953,"f",FALSE)</f>
        <v>52538</v>
      </c>
      <c r="W1953" s="210">
        <f>_xll.qlCalendarAdvance(Calendar,V1953,NDays&amp;"D")</f>
        <v>52538</v>
      </c>
      <c r="X1953" s="211">
        <v>2.2619270607577846E-2</v>
      </c>
      <c r="Y1953" s="232"/>
    </row>
    <row r="1954" spans="21:25" x14ac:dyDescent="0.2">
      <c r="U1954" s="209" t="str">
        <f t="shared" si="33"/>
        <v>1w</v>
      </c>
      <c r="V1954" s="207">
        <f>_xll.qlCalendarAdvance(Calendar,V1953,U1954,"f",FALSE)</f>
        <v>52545</v>
      </c>
      <c r="W1954" s="210">
        <f>_xll.qlCalendarAdvance(Calendar,V1954,NDays&amp;"D")</f>
        <v>52545</v>
      </c>
      <c r="X1954" s="211">
        <v>2.2623081651378385E-2</v>
      </c>
      <c r="Y1954" s="232"/>
    </row>
    <row r="1955" spans="21:25" x14ac:dyDescent="0.2">
      <c r="U1955" s="209" t="str">
        <f t="shared" si="33"/>
        <v>1w</v>
      </c>
      <c r="V1955" s="207">
        <f>_xll.qlCalendarAdvance(Calendar,V1954,U1955,"f",FALSE)</f>
        <v>52552</v>
      </c>
      <c r="W1955" s="210">
        <f>_xll.qlCalendarAdvance(Calendar,V1955,NDays&amp;"D")</f>
        <v>52552</v>
      </c>
      <c r="X1955" s="211">
        <v>2.2626961682954416E-2</v>
      </c>
      <c r="Y1955" s="232"/>
    </row>
    <row r="1956" spans="21:25" x14ac:dyDescent="0.2">
      <c r="U1956" s="209" t="str">
        <f t="shared" si="33"/>
        <v>1w</v>
      </c>
      <c r="V1956" s="207">
        <f>_xll.qlCalendarAdvance(Calendar,V1955,U1956,"f",FALSE)</f>
        <v>52559</v>
      </c>
      <c r="W1956" s="210">
        <f>_xll.qlCalendarAdvance(Calendar,V1956,NDays&amp;"D")</f>
        <v>52559</v>
      </c>
      <c r="X1956" s="211">
        <v>2.263091070230594E-2</v>
      </c>
      <c r="Y1956" s="232"/>
    </row>
    <row r="1957" spans="21:25" x14ac:dyDescent="0.2">
      <c r="U1957" s="209" t="str">
        <f t="shared" si="33"/>
        <v>1w</v>
      </c>
      <c r="V1957" s="207">
        <f>_xll.qlCalendarAdvance(Calendar,V1956,U1957,"f",FALSE)</f>
        <v>52566</v>
      </c>
      <c r="W1957" s="210">
        <f>_xll.qlCalendarAdvance(Calendar,V1957,NDays&amp;"D")</f>
        <v>52566</v>
      </c>
      <c r="X1957" s="211">
        <v>2.2634928709512891E-2</v>
      </c>
      <c r="Y1957" s="232"/>
    </row>
    <row r="1958" spans="21:25" x14ac:dyDescent="0.2">
      <c r="U1958" s="209" t="str">
        <f t="shared" si="33"/>
        <v>1w</v>
      </c>
      <c r="V1958" s="207">
        <f>_xll.qlCalendarAdvance(Calendar,V1957,U1958,"f",FALSE)</f>
        <v>52573</v>
      </c>
      <c r="W1958" s="210">
        <f>_xll.qlCalendarAdvance(Calendar,V1958,NDays&amp;"D")</f>
        <v>52573</v>
      </c>
      <c r="X1958" s="211">
        <v>2.2639015704415399E-2</v>
      </c>
      <c r="Y1958" s="232"/>
    </row>
    <row r="1959" spans="21:25" x14ac:dyDescent="0.2">
      <c r="U1959" s="209" t="str">
        <f t="shared" si="33"/>
        <v>1w</v>
      </c>
      <c r="V1959" s="207">
        <f>_xll.qlCalendarAdvance(Calendar,V1958,U1959,"f",FALSE)</f>
        <v>52580</v>
      </c>
      <c r="W1959" s="210">
        <f>_xll.qlCalendarAdvance(Calendar,V1959,NDays&amp;"D")</f>
        <v>52580</v>
      </c>
      <c r="X1959" s="211">
        <v>2.2643171687013464E-2</v>
      </c>
      <c r="Y1959" s="232"/>
    </row>
    <row r="1960" spans="21:25" x14ac:dyDescent="0.2">
      <c r="U1960" s="209" t="str">
        <f t="shared" si="33"/>
        <v>1w</v>
      </c>
      <c r="V1960" s="207">
        <f>_xll.qlCalendarAdvance(Calendar,V1959,U1960,"f",FALSE)</f>
        <v>52587</v>
      </c>
      <c r="W1960" s="210">
        <f>_xll.qlCalendarAdvance(Calendar,V1960,NDays&amp;"D")</f>
        <v>52587</v>
      </c>
      <c r="X1960" s="211">
        <v>2.2647396657546892E-2</v>
      </c>
      <c r="Y1960" s="232"/>
    </row>
    <row r="1961" spans="21:25" x14ac:dyDescent="0.2">
      <c r="U1961" s="209" t="str">
        <f t="shared" si="33"/>
        <v>1w</v>
      </c>
      <c r="V1961" s="207">
        <f>_xll.qlCalendarAdvance(Calendar,V1960,U1961,"f",FALSE)</f>
        <v>52594</v>
      </c>
      <c r="W1961" s="210">
        <f>_xll.qlCalendarAdvance(Calendar,V1961,NDays&amp;"D")</f>
        <v>52594</v>
      </c>
      <c r="X1961" s="211">
        <v>2.2651690615616005E-2</v>
      </c>
      <c r="Y1961" s="232"/>
    </row>
    <row r="1962" spans="21:25" x14ac:dyDescent="0.2">
      <c r="U1962" s="209" t="str">
        <f t="shared" si="33"/>
        <v>1w</v>
      </c>
      <c r="V1962" s="207">
        <f>_xll.qlCalendarAdvance(Calendar,V1961,U1962,"f",FALSE)</f>
        <v>52601</v>
      </c>
      <c r="W1962" s="210">
        <f>_xll.qlCalendarAdvance(Calendar,V1962,NDays&amp;"D")</f>
        <v>52601</v>
      </c>
      <c r="X1962" s="211">
        <v>2.2656053561620482E-2</v>
      </c>
      <c r="Y1962" s="232"/>
    </row>
    <row r="1963" spans="21:25" x14ac:dyDescent="0.2">
      <c r="U1963" s="209" t="str">
        <f t="shared" si="33"/>
        <v>1w</v>
      </c>
      <c r="V1963" s="207">
        <f>_xll.qlCalendarAdvance(Calendar,V1962,U1963,"f",FALSE)</f>
        <v>52608</v>
      </c>
      <c r="W1963" s="210">
        <f>_xll.qlCalendarAdvance(Calendar,V1963,NDays&amp;"D")</f>
        <v>52608</v>
      </c>
      <c r="X1963" s="211">
        <v>2.2660485495480387E-2</v>
      </c>
      <c r="Y1963" s="232"/>
    </row>
    <row r="1964" spans="21:25" x14ac:dyDescent="0.2">
      <c r="U1964" s="209" t="str">
        <f t="shared" si="33"/>
        <v>1w</v>
      </c>
      <c r="V1964" s="207">
        <f>_xll.qlCalendarAdvance(Calendar,V1963,U1964,"f",FALSE)</f>
        <v>52615</v>
      </c>
      <c r="W1964" s="210">
        <f>_xll.qlCalendarAdvance(Calendar,V1964,NDays&amp;"D")</f>
        <v>52615</v>
      </c>
      <c r="X1964" s="211">
        <v>2.2664986417035848E-2</v>
      </c>
      <c r="Y1964" s="232"/>
    </row>
    <row r="1965" spans="21:25" x14ac:dyDescent="0.2">
      <c r="U1965" s="209" t="str">
        <f t="shared" si="33"/>
        <v>1w</v>
      </c>
      <c r="V1965" s="207">
        <f>_xll.qlCalendarAdvance(Calendar,V1964,U1965,"f",FALSE)</f>
        <v>52622</v>
      </c>
      <c r="W1965" s="210">
        <f>_xll.qlCalendarAdvance(Calendar,V1965,NDays&amp;"D")</f>
        <v>52622</v>
      </c>
      <c r="X1965" s="211">
        <v>2.2669556326446738E-2</v>
      </c>
      <c r="Y1965" s="232"/>
    </row>
    <row r="1966" spans="21:25" x14ac:dyDescent="0.2">
      <c r="U1966" s="209" t="str">
        <f t="shared" si="33"/>
        <v>1w</v>
      </c>
      <c r="V1966" s="207">
        <f>_xll.qlCalendarAdvance(Calendar,V1965,U1966,"f",FALSE)</f>
        <v>52629</v>
      </c>
      <c r="W1966" s="210">
        <f>_xll.qlCalendarAdvance(Calendar,V1966,NDays&amp;"D")</f>
        <v>52629</v>
      </c>
      <c r="X1966" s="211">
        <v>2.267419522363312E-2</v>
      </c>
      <c r="Y1966" s="232"/>
    </row>
    <row r="1967" spans="21:25" x14ac:dyDescent="0.2">
      <c r="U1967" s="209" t="str">
        <f t="shared" si="33"/>
        <v>1w</v>
      </c>
      <c r="V1967" s="207">
        <f>_xll.qlCalendarAdvance(Calendar,V1966,U1967,"f",FALSE)</f>
        <v>52636</v>
      </c>
      <c r="W1967" s="210">
        <f>_xll.qlCalendarAdvance(Calendar,V1967,NDays&amp;"D")</f>
        <v>52636</v>
      </c>
      <c r="X1967" s="211">
        <v>2.267890310867493E-2</v>
      </c>
      <c r="Y1967" s="232"/>
    </row>
    <row r="1968" spans="21:25" x14ac:dyDescent="0.2">
      <c r="U1968" s="209" t="str">
        <f t="shared" si="33"/>
        <v>1w</v>
      </c>
      <c r="V1968" s="207">
        <f>_xll.qlCalendarAdvance(Calendar,V1967,U1968,"f",FALSE)</f>
        <v>52643</v>
      </c>
      <c r="W1968" s="210">
        <f>_xll.qlCalendarAdvance(Calendar,V1968,NDays&amp;"D")</f>
        <v>52643</v>
      </c>
      <c r="X1968" s="211">
        <v>2.2683679981332361E-2</v>
      </c>
      <c r="Y1968" s="232"/>
    </row>
    <row r="1969" spans="21:25" x14ac:dyDescent="0.2">
      <c r="U1969" s="209" t="str">
        <f t="shared" si="33"/>
        <v>1w</v>
      </c>
      <c r="V1969" s="207">
        <f>_xll.qlCalendarAdvance(Calendar,V1968,U1969,"f",FALSE)</f>
        <v>52650</v>
      </c>
      <c r="W1969" s="210">
        <f>_xll.qlCalendarAdvance(Calendar,V1969,NDays&amp;"D")</f>
        <v>52650</v>
      </c>
      <c r="X1969" s="211">
        <v>2.2688525842005092E-2</v>
      </c>
      <c r="Y1969" s="232"/>
    </row>
    <row r="1970" spans="21:25" x14ac:dyDescent="0.2">
      <c r="U1970" s="209" t="str">
        <f t="shared" si="33"/>
        <v>1w</v>
      </c>
      <c r="V1970" s="207">
        <f>_xll.qlCalendarAdvance(Calendar,V1969,U1970,"f",FALSE)</f>
        <v>52657</v>
      </c>
      <c r="W1970" s="210">
        <f>_xll.qlCalendarAdvance(Calendar,V1970,NDays&amp;"D")</f>
        <v>52657</v>
      </c>
      <c r="X1970" s="211">
        <v>2.2693440690293443E-2</v>
      </c>
      <c r="Y1970" s="232"/>
    </row>
    <row r="1971" spans="21:25" x14ac:dyDescent="0.2">
      <c r="U1971" s="209" t="str">
        <f t="shared" si="33"/>
        <v>1w</v>
      </c>
      <c r="V1971" s="207">
        <f>_xll.qlCalendarAdvance(Calendar,V1970,U1971,"f",FALSE)</f>
        <v>52664</v>
      </c>
      <c r="W1971" s="210">
        <f>_xll.qlCalendarAdvance(Calendar,V1971,NDays&amp;"D")</f>
        <v>52664</v>
      </c>
      <c r="X1971" s="211">
        <v>2.2698424526437222E-2</v>
      </c>
      <c r="Y1971" s="232"/>
    </row>
    <row r="1972" spans="21:25" x14ac:dyDescent="0.2">
      <c r="U1972" s="209" t="str">
        <f t="shared" si="33"/>
        <v>1w</v>
      </c>
      <c r="V1972" s="207">
        <f>_xll.qlCalendarAdvance(Calendar,V1971,U1972,"f",FALSE)</f>
        <v>52671</v>
      </c>
      <c r="W1972" s="210">
        <f>_xll.qlCalendarAdvance(Calendar,V1972,NDays&amp;"D")</f>
        <v>52671</v>
      </c>
      <c r="X1972" s="211">
        <v>2.2703477350356494E-2</v>
      </c>
      <c r="Y1972" s="232"/>
    </row>
    <row r="1973" spans="21:25" x14ac:dyDescent="0.2">
      <c r="U1973" s="209" t="str">
        <f t="shared" si="33"/>
        <v>1w</v>
      </c>
      <c r="V1973" s="207">
        <f>_xll.qlCalendarAdvance(Calendar,V1972,U1973,"f",FALSE)</f>
        <v>52678</v>
      </c>
      <c r="W1973" s="210">
        <f>_xll.qlCalendarAdvance(Calendar,V1973,NDays&amp;"D")</f>
        <v>52678</v>
      </c>
      <c r="X1973" s="211">
        <v>2.2708599162211129E-2</v>
      </c>
      <c r="Y1973" s="232"/>
    </row>
    <row r="1974" spans="21:25" x14ac:dyDescent="0.2">
      <c r="U1974" s="209" t="str">
        <f t="shared" si="33"/>
        <v>1w</v>
      </c>
      <c r="V1974" s="207">
        <f>_xll.qlCalendarAdvance(Calendar,V1973,U1974,"f",FALSE)</f>
        <v>52685</v>
      </c>
      <c r="W1974" s="210">
        <f>_xll.qlCalendarAdvance(Calendar,V1974,NDays&amp;"D")</f>
        <v>52685</v>
      </c>
      <c r="X1974" s="211">
        <v>2.2713789961921194E-2</v>
      </c>
      <c r="Y1974" s="232"/>
    </row>
    <row r="1975" spans="21:25" x14ac:dyDescent="0.2">
      <c r="U1975" s="209" t="str">
        <f t="shared" si="33"/>
        <v>1w</v>
      </c>
      <c r="V1975" s="207">
        <f>_xll.qlCalendarAdvance(Calendar,V1974,U1975,"f",FALSE)</f>
        <v>52692</v>
      </c>
      <c r="W1975" s="210">
        <f>_xll.qlCalendarAdvance(Calendar,V1975,NDays&amp;"D")</f>
        <v>52692</v>
      </c>
      <c r="X1975" s="211">
        <v>2.2719049749326814E-2</v>
      </c>
      <c r="Y1975" s="232"/>
    </row>
    <row r="1976" spans="21:25" x14ac:dyDescent="0.2">
      <c r="U1976" s="209" t="str">
        <f t="shared" si="33"/>
        <v>1w</v>
      </c>
      <c r="V1976" s="207">
        <f>_xll.qlCalendarAdvance(Calendar,V1975,U1976,"f",FALSE)</f>
        <v>52699</v>
      </c>
      <c r="W1976" s="210">
        <f>_xll.qlCalendarAdvance(Calendar,V1976,NDays&amp;"D")</f>
        <v>52699</v>
      </c>
      <c r="X1976" s="211">
        <v>2.2724378524507927E-2</v>
      </c>
      <c r="Y1976" s="232"/>
    </row>
    <row r="1977" spans="21:25" x14ac:dyDescent="0.2">
      <c r="U1977" s="209" t="str">
        <f t="shared" si="33"/>
        <v>1w</v>
      </c>
      <c r="V1977" s="207">
        <f>_xll.qlCalendarAdvance(Calendar,V1976,U1977,"f",FALSE)</f>
        <v>52706</v>
      </c>
      <c r="W1977" s="210">
        <f>_xll.qlCalendarAdvance(Calendar,V1977,NDays&amp;"D")</f>
        <v>52706</v>
      </c>
      <c r="X1977" s="211">
        <v>2.2729776287544468E-2</v>
      </c>
      <c r="Y1977" s="232"/>
    </row>
    <row r="1978" spans="21:25" x14ac:dyDescent="0.2">
      <c r="U1978" s="209" t="str">
        <f t="shared" si="33"/>
        <v>1w</v>
      </c>
      <c r="V1978" s="207">
        <f>_xll.qlCalendarAdvance(Calendar,V1977,U1978,"f",FALSE)</f>
        <v>52713</v>
      </c>
      <c r="W1978" s="210">
        <f>_xll.qlCalendarAdvance(Calendar,V1978,NDays&amp;"D")</f>
        <v>52713</v>
      </c>
      <c r="X1978" s="211">
        <v>2.2735243038516373E-2</v>
      </c>
      <c r="Y1978" s="232"/>
    </row>
    <row r="1979" spans="21:25" x14ac:dyDescent="0.2">
      <c r="U1979" s="209" t="str">
        <f t="shared" si="33"/>
        <v>1w</v>
      </c>
      <c r="V1979" s="207">
        <f>_xll.qlCalendarAdvance(Calendar,V1978,U1979,"f",FALSE)</f>
        <v>52720</v>
      </c>
      <c r="W1979" s="210">
        <f>_xll.qlCalendarAdvance(Calendar,V1979,NDays&amp;"D")</f>
        <v>52720</v>
      </c>
      <c r="X1979" s="211">
        <v>2.274077877726377E-2</v>
      </c>
      <c r="Y1979" s="232"/>
    </row>
    <row r="1980" spans="21:25" x14ac:dyDescent="0.2">
      <c r="U1980" s="209" t="str">
        <f t="shared" si="33"/>
        <v>1w</v>
      </c>
      <c r="V1980" s="207">
        <f>_xll.qlCalendarAdvance(Calendar,V1979,U1980,"f",FALSE)</f>
        <v>52727</v>
      </c>
      <c r="W1980" s="210">
        <f>_xll.qlCalendarAdvance(Calendar,V1980,NDays&amp;"D")</f>
        <v>52727</v>
      </c>
      <c r="X1980" s="211">
        <v>2.2746383503946532E-2</v>
      </c>
      <c r="Y1980" s="232"/>
    </row>
    <row r="1981" spans="21:25" x14ac:dyDescent="0.2">
      <c r="U1981" s="209" t="str">
        <f t="shared" si="33"/>
        <v>1w</v>
      </c>
      <c r="V1981" s="207">
        <f>_xll.qlCalendarAdvance(Calendar,V1980,U1981,"f",FALSE)</f>
        <v>52734</v>
      </c>
      <c r="W1981" s="210">
        <f>_xll.qlCalendarAdvance(Calendar,V1981,NDays&amp;"D")</f>
        <v>52734</v>
      </c>
      <c r="X1981" s="211">
        <v>2.2752057218244914E-2</v>
      </c>
      <c r="Y1981" s="232"/>
    </row>
    <row r="1982" spans="21:25" x14ac:dyDescent="0.2">
      <c r="U1982" s="209" t="str">
        <f t="shared" si="33"/>
        <v>1w</v>
      </c>
      <c r="V1982" s="207">
        <f>_xll.qlCalendarAdvance(Calendar,V1981,U1982,"f",FALSE)</f>
        <v>52741</v>
      </c>
      <c r="W1982" s="210">
        <f>_xll.qlCalendarAdvance(Calendar,V1982,NDays&amp;"D")</f>
        <v>52741</v>
      </c>
      <c r="X1982" s="211">
        <v>2.2757799920478661E-2</v>
      </c>
      <c r="Y1982" s="232"/>
    </row>
    <row r="1983" spans="21:25" x14ac:dyDescent="0.2">
      <c r="U1983" s="209" t="str">
        <f t="shared" si="33"/>
        <v>1w</v>
      </c>
      <c r="V1983" s="207">
        <f>_xll.qlCalendarAdvance(Calendar,V1982,U1983,"f",FALSE)</f>
        <v>52748</v>
      </c>
      <c r="W1983" s="210">
        <f>_xll.qlCalendarAdvance(Calendar,V1983,NDays&amp;"D")</f>
        <v>52748</v>
      </c>
      <c r="X1983" s="211">
        <v>2.2763611610567835E-2</v>
      </c>
      <c r="Y1983" s="232"/>
    </row>
    <row r="1984" spans="21:25" x14ac:dyDescent="0.2">
      <c r="U1984" s="209" t="str">
        <f t="shared" si="33"/>
        <v>1w</v>
      </c>
      <c r="V1984" s="207">
        <f>_xll.qlCalendarAdvance(Calendar,V1983,U1984,"f",FALSE)</f>
        <v>52755</v>
      </c>
      <c r="W1984" s="210">
        <f>_xll.qlCalendarAdvance(Calendar,V1984,NDays&amp;"D")</f>
        <v>52755</v>
      </c>
      <c r="X1984" s="211">
        <v>2.2769464403058493E-2</v>
      </c>
      <c r="Y1984" s="232"/>
    </row>
    <row r="1985" spans="21:25" x14ac:dyDescent="0.2">
      <c r="U1985" s="209" t="str">
        <f t="shared" si="33"/>
        <v>1w</v>
      </c>
      <c r="V1985" s="207">
        <f>_xll.qlCalendarAdvance(Calendar,V1984,U1985,"f",FALSE)</f>
        <v>52762</v>
      </c>
      <c r="W1985" s="210">
        <f>_xll.qlCalendarAdvance(Calendar,V1985,NDays&amp;"D")</f>
        <v>52762</v>
      </c>
      <c r="X1985" s="211">
        <v>2.2775298237034391E-2</v>
      </c>
      <c r="Y1985" s="232"/>
    </row>
    <row r="1986" spans="21:25" x14ac:dyDescent="0.2">
      <c r="U1986" s="209" t="str">
        <f t="shared" si="33"/>
        <v>1w</v>
      </c>
      <c r="V1986" s="207">
        <f>_xll.qlCalendarAdvance(Calendar,V1985,U1986,"f",FALSE)</f>
        <v>52769</v>
      </c>
      <c r="W1986" s="210">
        <f>_xll.qlCalendarAdvance(Calendar,V1986,NDays&amp;"D")</f>
        <v>52769</v>
      </c>
      <c r="X1986" s="211">
        <v>2.2781110967331486E-2</v>
      </c>
      <c r="Y1986" s="232"/>
    </row>
    <row r="1987" spans="21:25" x14ac:dyDescent="0.2">
      <c r="U1987" s="209" t="str">
        <f t="shared" si="33"/>
        <v>1w</v>
      </c>
      <c r="V1987" s="207">
        <f>_xll.qlCalendarAdvance(Calendar,V1986,U1987,"f",FALSE)</f>
        <v>52776</v>
      </c>
      <c r="W1987" s="210">
        <f>_xll.qlCalendarAdvance(Calendar,V1987,NDays&amp;"D")</f>
        <v>52776</v>
      </c>
      <c r="X1987" s="211">
        <v>2.278690259426952E-2</v>
      </c>
      <c r="Y1987" s="232"/>
    </row>
    <row r="1988" spans="21:25" x14ac:dyDescent="0.2">
      <c r="U1988" s="209" t="str">
        <f t="shared" si="33"/>
        <v>1w</v>
      </c>
      <c r="V1988" s="207">
        <f>_xll.qlCalendarAdvance(Calendar,V1987,U1988,"f",FALSE)</f>
        <v>52783</v>
      </c>
      <c r="W1988" s="210">
        <f>_xll.qlCalendarAdvance(Calendar,V1988,NDays&amp;"D")</f>
        <v>52783</v>
      </c>
      <c r="X1988" s="211">
        <v>2.2792673117448814E-2</v>
      </c>
      <c r="Y1988" s="232"/>
    </row>
    <row r="1989" spans="21:25" x14ac:dyDescent="0.2">
      <c r="U1989" s="209" t="str">
        <f t="shared" si="33"/>
        <v>1w</v>
      </c>
      <c r="V1989" s="207">
        <f>_xll.qlCalendarAdvance(Calendar,V1988,U1989,"f",FALSE)</f>
        <v>52790</v>
      </c>
      <c r="W1989" s="210">
        <f>_xll.qlCalendarAdvance(Calendar,V1989,NDays&amp;"D")</f>
        <v>52790</v>
      </c>
      <c r="X1989" s="211">
        <v>2.2798422537029239E-2</v>
      </c>
      <c r="Y1989" s="232"/>
    </row>
    <row r="1990" spans="21:25" x14ac:dyDescent="0.2">
      <c r="U1990" s="209" t="str">
        <f t="shared" si="33"/>
        <v>1w</v>
      </c>
      <c r="V1990" s="207">
        <f>_xll.qlCalendarAdvance(Calendar,V1989,U1990,"f",FALSE)</f>
        <v>52797</v>
      </c>
      <c r="W1990" s="210">
        <f>_xll.qlCalendarAdvance(Calendar,V1990,NDays&amp;"D")</f>
        <v>52797</v>
      </c>
      <c r="X1990" s="211">
        <v>2.2804150853170668E-2</v>
      </c>
      <c r="Y1990" s="232"/>
    </row>
    <row r="1991" spans="21:25" x14ac:dyDescent="0.2">
      <c r="U1991" s="209" t="str">
        <f t="shared" si="33"/>
        <v>1w</v>
      </c>
      <c r="V1991" s="207">
        <f>_xll.qlCalendarAdvance(Calendar,V1990,U1991,"f",FALSE)</f>
        <v>52804</v>
      </c>
      <c r="W1991" s="210">
        <f>_xll.qlCalendarAdvance(Calendar,V1991,NDays&amp;"D")</f>
        <v>52804</v>
      </c>
      <c r="X1991" s="211">
        <v>2.2809858065633293E-2</v>
      </c>
      <c r="Y1991" s="232"/>
    </row>
    <row r="1992" spans="21:25" x14ac:dyDescent="0.2">
      <c r="U1992" s="209" t="str">
        <f t="shared" si="33"/>
        <v>1w</v>
      </c>
      <c r="V1992" s="207">
        <f>_xll.qlCalendarAdvance(Calendar,V1991,U1992,"f",FALSE)</f>
        <v>52811</v>
      </c>
      <c r="W1992" s="210">
        <f>_xll.qlCalendarAdvance(Calendar,V1992,NDays&amp;"D")</f>
        <v>52811</v>
      </c>
      <c r="X1992" s="211">
        <v>2.2815544174497049E-2</v>
      </c>
      <c r="Y1992" s="232"/>
    </row>
    <row r="1993" spans="21:25" x14ac:dyDescent="0.2">
      <c r="U1993" s="209" t="str">
        <f t="shared" si="33"/>
        <v>1w</v>
      </c>
      <c r="V1993" s="207">
        <f>_xll.qlCalendarAdvance(Calendar,V1992,U1993,"f",FALSE)</f>
        <v>52818</v>
      </c>
      <c r="W1993" s="210">
        <f>_xll.qlCalendarAdvance(Calendar,V1993,NDays&amp;"D")</f>
        <v>52818</v>
      </c>
      <c r="X1993" s="211">
        <v>2.2821209179761937E-2</v>
      </c>
      <c r="Y1993" s="232"/>
    </row>
    <row r="1994" spans="21:25" x14ac:dyDescent="0.2">
      <c r="U1994" s="209" t="str">
        <f t="shared" si="33"/>
        <v>1w</v>
      </c>
      <c r="V1994" s="207">
        <f>_xll.qlCalendarAdvance(Calendar,V1993,U1994,"f",FALSE)</f>
        <v>52825</v>
      </c>
      <c r="W1994" s="210">
        <f>_xll.qlCalendarAdvance(Calendar,V1994,NDays&amp;"D")</f>
        <v>52825</v>
      </c>
      <c r="X1994" s="211">
        <v>2.2826853081587828E-2</v>
      </c>
      <c r="Y1994" s="232"/>
    </row>
    <row r="1995" spans="21:25" x14ac:dyDescent="0.2">
      <c r="U1995" s="209" t="str">
        <f t="shared" si="33"/>
        <v>1w</v>
      </c>
      <c r="V1995" s="207">
        <f>_xll.qlCalendarAdvance(Calendar,V1994,U1995,"f",FALSE)</f>
        <v>52832</v>
      </c>
      <c r="W1995" s="210">
        <f>_xll.qlCalendarAdvance(Calendar,V1995,NDays&amp;"D")</f>
        <v>52832</v>
      </c>
      <c r="X1995" s="211">
        <v>2.2832475879654979E-2</v>
      </c>
      <c r="Y1995" s="232"/>
    </row>
    <row r="1996" spans="21:25" x14ac:dyDescent="0.2">
      <c r="U1996" s="209" t="str">
        <f t="shared" si="33"/>
        <v>1w</v>
      </c>
      <c r="V1996" s="207">
        <f>_xll.qlCalendarAdvance(Calendar,V1995,U1996,"f",FALSE)</f>
        <v>52839</v>
      </c>
      <c r="W1996" s="210">
        <f>_xll.qlCalendarAdvance(Calendar,V1996,NDays&amp;"D")</f>
        <v>52839</v>
      </c>
      <c r="X1996" s="211">
        <v>2.2838077574203197E-2</v>
      </c>
      <c r="Y1996" s="232"/>
    </row>
    <row r="1997" spans="21:25" x14ac:dyDescent="0.2">
      <c r="U1997" s="209" t="str">
        <f t="shared" ref="U1997:U2060" si="34">U1996</f>
        <v>1w</v>
      </c>
      <c r="V1997" s="207">
        <f>_xll.qlCalendarAdvance(Calendar,V1996,U1997,"f",FALSE)</f>
        <v>52846</v>
      </c>
      <c r="W1997" s="210">
        <f>_xll.qlCalendarAdvance(Calendar,V1997,NDays&amp;"D")</f>
        <v>52846</v>
      </c>
      <c r="X1997" s="211">
        <v>2.2843658165072611E-2</v>
      </c>
      <c r="Y1997" s="232"/>
    </row>
    <row r="1998" spans="21:25" x14ac:dyDescent="0.2">
      <c r="U1998" s="209" t="str">
        <f t="shared" si="34"/>
        <v>1w</v>
      </c>
      <c r="V1998" s="207">
        <f>_xll.qlCalendarAdvance(Calendar,V1997,U1998,"f",FALSE)</f>
        <v>52853</v>
      </c>
      <c r="W1998" s="210">
        <f>_xll.qlCalendarAdvance(Calendar,V1998,NDays&amp;"D")</f>
        <v>52853</v>
      </c>
      <c r="X1998" s="211">
        <v>2.2849217652343157E-2</v>
      </c>
      <c r="Y1998" s="232"/>
    </row>
    <row r="1999" spans="21:25" x14ac:dyDescent="0.2">
      <c r="U1999" s="209" t="str">
        <f t="shared" si="34"/>
        <v>1w</v>
      </c>
      <c r="V1999" s="207">
        <f>_xll.qlCalendarAdvance(Calendar,V1998,U1999,"f",FALSE)</f>
        <v>52860</v>
      </c>
      <c r="W1999" s="210">
        <f>_xll.qlCalendarAdvance(Calendar,V1999,NDays&amp;"D")</f>
        <v>52860</v>
      </c>
      <c r="X1999" s="211">
        <v>2.2854756036174706E-2</v>
      </c>
      <c r="Y1999" s="232"/>
    </row>
    <row r="2000" spans="21:25" x14ac:dyDescent="0.2">
      <c r="U2000" s="209" t="str">
        <f t="shared" si="34"/>
        <v>1w</v>
      </c>
      <c r="V2000" s="207">
        <f>_xll.qlCalendarAdvance(Calendar,V1999,U2000,"f",FALSE)</f>
        <v>52867</v>
      </c>
      <c r="W2000" s="210">
        <f>_xll.qlCalendarAdvance(Calendar,V2000,NDays&amp;"D")</f>
        <v>52867</v>
      </c>
      <c r="X2000" s="211">
        <v>2.2860273316407387E-2</v>
      </c>
      <c r="Y2000" s="232"/>
    </row>
    <row r="2001" spans="21:25" x14ac:dyDescent="0.2">
      <c r="U2001" s="209" t="str">
        <f t="shared" si="34"/>
        <v>1w</v>
      </c>
      <c r="V2001" s="207">
        <f>_xll.qlCalendarAdvance(Calendar,V2000,U2001,"f",FALSE)</f>
        <v>52874</v>
      </c>
      <c r="W2001" s="210">
        <f>_xll.qlCalendarAdvance(Calendar,V2001,NDays&amp;"D")</f>
        <v>52874</v>
      </c>
      <c r="X2001" s="211">
        <v>2.2865769492961263E-2</v>
      </c>
      <c r="Y2001" s="232"/>
    </row>
    <row r="2002" spans="21:25" x14ac:dyDescent="0.2">
      <c r="U2002" s="209" t="str">
        <f t="shared" si="34"/>
        <v>1w</v>
      </c>
      <c r="V2002" s="207">
        <f>_xll.qlCalendarAdvance(Calendar,V2001,U2002,"f",FALSE)</f>
        <v>52881</v>
      </c>
      <c r="W2002" s="210">
        <f>_xll.qlCalendarAdvance(Calendar,V2002,NDays&amp;"D")</f>
        <v>52881</v>
      </c>
      <c r="X2002" s="211">
        <v>2.2871244565916271E-2</v>
      </c>
      <c r="Y2002" s="232"/>
    </row>
    <row r="2003" spans="21:25" x14ac:dyDescent="0.2">
      <c r="U2003" s="209" t="str">
        <f t="shared" si="34"/>
        <v>1w</v>
      </c>
      <c r="V2003" s="207">
        <f>_xll.qlCalendarAdvance(Calendar,V2002,U2003,"f",FALSE)</f>
        <v>52888</v>
      </c>
      <c r="W2003" s="210">
        <f>_xll.qlCalendarAdvance(Calendar,V2003,NDays&amp;"D")</f>
        <v>52888</v>
      </c>
      <c r="X2003" s="211">
        <v>2.2876698535352347E-2</v>
      </c>
      <c r="Y2003" s="232"/>
    </row>
    <row r="2004" spans="21:25" x14ac:dyDescent="0.2">
      <c r="U2004" s="209" t="str">
        <f t="shared" si="34"/>
        <v>1w</v>
      </c>
      <c r="V2004" s="207">
        <f>_xll.qlCalendarAdvance(Calendar,V2003,U2004,"f",FALSE)</f>
        <v>52895</v>
      </c>
      <c r="W2004" s="210">
        <f>_xll.qlCalendarAdvance(Calendar,V2004,NDays&amp;"D")</f>
        <v>52895</v>
      </c>
      <c r="X2004" s="211">
        <v>2.2882131401029682E-2</v>
      </c>
      <c r="Y2004" s="232"/>
    </row>
    <row r="2005" spans="21:25" x14ac:dyDescent="0.2">
      <c r="U2005" s="209" t="str">
        <f t="shared" si="34"/>
        <v>1w</v>
      </c>
      <c r="V2005" s="207">
        <f>_xll.qlCalendarAdvance(Calendar,V2004,U2005,"f",FALSE)</f>
        <v>52902</v>
      </c>
      <c r="W2005" s="210">
        <f>_xll.qlCalendarAdvance(Calendar,V2005,NDays&amp;"D")</f>
        <v>52902</v>
      </c>
      <c r="X2005" s="211">
        <v>2.288754316326802E-2</v>
      </c>
      <c r="Y2005" s="232"/>
    </row>
    <row r="2006" spans="21:25" x14ac:dyDescent="0.2">
      <c r="U2006" s="209" t="str">
        <f t="shared" si="34"/>
        <v>1w</v>
      </c>
      <c r="V2006" s="207">
        <f>_xll.qlCalendarAdvance(Calendar,V2005,U2006,"f",FALSE)</f>
        <v>52909</v>
      </c>
      <c r="W2006" s="210">
        <f>_xll.qlCalendarAdvance(Calendar,V2006,NDays&amp;"D")</f>
        <v>52909</v>
      </c>
      <c r="X2006" s="211">
        <v>2.2892933821827555E-2</v>
      </c>
      <c r="Y2006" s="232"/>
    </row>
    <row r="2007" spans="21:25" x14ac:dyDescent="0.2">
      <c r="U2007" s="209" t="str">
        <f t="shared" si="34"/>
        <v>1w</v>
      </c>
      <c r="V2007" s="207">
        <f>_xll.qlCalendarAdvance(Calendar,V2006,U2007,"f",FALSE)</f>
        <v>52916</v>
      </c>
      <c r="W2007" s="210">
        <f>_xll.qlCalendarAdvance(Calendar,V2007,NDays&amp;"D")</f>
        <v>52916</v>
      </c>
      <c r="X2007" s="211">
        <v>2.2898303376868157E-2</v>
      </c>
      <c r="Y2007" s="232"/>
    </row>
    <row r="2008" spans="21:25" x14ac:dyDescent="0.2">
      <c r="U2008" s="209" t="str">
        <f t="shared" si="34"/>
        <v>1w</v>
      </c>
      <c r="V2008" s="207">
        <f>_xll.qlCalendarAdvance(Calendar,V2007,U2008,"f",FALSE)</f>
        <v>52923</v>
      </c>
      <c r="W2008" s="210">
        <f>_xll.qlCalendarAdvance(Calendar,V2008,NDays&amp;"D")</f>
        <v>52923</v>
      </c>
      <c r="X2008" s="211">
        <v>2.2903651828229954E-2</v>
      </c>
      <c r="Y2008" s="232"/>
    </row>
    <row r="2009" spans="21:25" x14ac:dyDescent="0.2">
      <c r="U2009" s="209" t="str">
        <f t="shared" si="34"/>
        <v>1w</v>
      </c>
      <c r="V2009" s="207">
        <f>_xll.qlCalendarAdvance(Calendar,V2008,U2009,"f",FALSE)</f>
        <v>52930</v>
      </c>
      <c r="W2009" s="210">
        <f>_xll.qlCalendarAdvance(Calendar,V2009,NDays&amp;"D")</f>
        <v>52930</v>
      </c>
      <c r="X2009" s="211">
        <v>2.2908979176072819E-2</v>
      </c>
      <c r="Y2009" s="232"/>
    </row>
    <row r="2010" spans="21:25" x14ac:dyDescent="0.2">
      <c r="U2010" s="209" t="str">
        <f t="shared" si="34"/>
        <v>1w</v>
      </c>
      <c r="V2010" s="207">
        <f>_xll.qlCalendarAdvance(Calendar,V2009,U2010,"f",FALSE)</f>
        <v>52937</v>
      </c>
      <c r="W2010" s="210">
        <f>_xll.qlCalendarAdvance(Calendar,V2010,NDays&amp;"D")</f>
        <v>52937</v>
      </c>
      <c r="X2010" s="211">
        <v>2.2914285420156943E-2</v>
      </c>
      <c r="Y2010" s="232"/>
    </row>
    <row r="2011" spans="21:25" x14ac:dyDescent="0.2">
      <c r="U2011" s="209" t="str">
        <f t="shared" si="34"/>
        <v>1w</v>
      </c>
      <c r="V2011" s="207">
        <f>_xll.qlCalendarAdvance(Calendar,V2010,U2011,"f",FALSE)</f>
        <v>52944</v>
      </c>
      <c r="W2011" s="210">
        <f>_xll.qlCalendarAdvance(Calendar,V2011,NDays&amp;"D")</f>
        <v>52944</v>
      </c>
      <c r="X2011" s="211">
        <v>2.2919570560802072E-2</v>
      </c>
      <c r="Y2011" s="232"/>
    </row>
    <row r="2012" spans="21:25" x14ac:dyDescent="0.2">
      <c r="U2012" s="209" t="str">
        <f t="shared" si="34"/>
        <v>1w</v>
      </c>
      <c r="V2012" s="207">
        <f>_xll.qlCalendarAdvance(Calendar,V2011,U2012,"f",FALSE)</f>
        <v>52951</v>
      </c>
      <c r="W2012" s="210">
        <f>_xll.qlCalendarAdvance(Calendar,V2012,NDays&amp;"D")</f>
        <v>52951</v>
      </c>
      <c r="X2012" s="211">
        <v>2.2924834597688459E-2</v>
      </c>
      <c r="Y2012" s="232"/>
    </row>
    <row r="2013" spans="21:25" x14ac:dyDescent="0.2">
      <c r="U2013" s="209" t="str">
        <f t="shared" si="34"/>
        <v>1w</v>
      </c>
      <c r="V2013" s="207">
        <f>_xll.qlCalendarAdvance(Calendar,V2012,U2013,"f",FALSE)</f>
        <v>52958</v>
      </c>
      <c r="W2013" s="210">
        <f>_xll.qlCalendarAdvance(Calendar,V2013,NDays&amp;"D")</f>
        <v>52958</v>
      </c>
      <c r="X2013" s="211">
        <v>2.2930077531135851E-2</v>
      </c>
      <c r="Y2013" s="232"/>
    </row>
    <row r="2014" spans="21:25" x14ac:dyDescent="0.2">
      <c r="U2014" s="209" t="str">
        <f t="shared" si="34"/>
        <v>1w</v>
      </c>
      <c r="V2014" s="207">
        <f>_xll.qlCalendarAdvance(Calendar,V2013,U2014,"f",FALSE)</f>
        <v>52965</v>
      </c>
      <c r="W2014" s="210">
        <f>_xll.qlCalendarAdvance(Calendar,V2014,NDays&amp;"D")</f>
        <v>52965</v>
      </c>
      <c r="X2014" s="211">
        <v>2.2935299360904438E-2</v>
      </c>
      <c r="Y2014" s="232"/>
    </row>
    <row r="2015" spans="21:25" x14ac:dyDescent="0.2">
      <c r="U2015" s="209" t="str">
        <f t="shared" si="34"/>
        <v>1w</v>
      </c>
      <c r="V2015" s="207">
        <f>_xll.qlCalendarAdvance(Calendar,V2014,U2015,"f",FALSE)</f>
        <v>52972</v>
      </c>
      <c r="W2015" s="210">
        <f>_xll.qlCalendarAdvance(Calendar,V2015,NDays&amp;"D")</f>
        <v>52972</v>
      </c>
      <c r="X2015" s="211">
        <v>2.2940500087074156E-2</v>
      </c>
      <c r="Y2015" s="232"/>
    </row>
    <row r="2016" spans="21:25" x14ac:dyDescent="0.2">
      <c r="U2016" s="209" t="str">
        <f t="shared" si="34"/>
        <v>1w</v>
      </c>
      <c r="V2016" s="207">
        <f>_xll.qlCalendarAdvance(Calendar,V2015,U2016,"f",FALSE)</f>
        <v>52979</v>
      </c>
      <c r="W2016" s="210">
        <f>_xll.qlCalendarAdvance(Calendar,V2016,NDays&amp;"D")</f>
        <v>52979</v>
      </c>
      <c r="X2016" s="211">
        <v>2.2945679709645006E-2</v>
      </c>
      <c r="Y2016" s="232"/>
    </row>
    <row r="2017" spans="21:25" x14ac:dyDescent="0.2">
      <c r="U2017" s="209" t="str">
        <f t="shared" si="34"/>
        <v>1w</v>
      </c>
      <c r="V2017" s="207">
        <f>_xll.qlCalendarAdvance(Calendar,V2016,U2017,"f",FALSE)</f>
        <v>52986</v>
      </c>
      <c r="W2017" s="210">
        <f>_xll.qlCalendarAdvance(Calendar,V2017,NDays&amp;"D")</f>
        <v>52986</v>
      </c>
      <c r="X2017" s="211">
        <v>2.2950838228537052E-2</v>
      </c>
      <c r="Y2017" s="232"/>
    </row>
    <row r="2018" spans="21:25" x14ac:dyDescent="0.2">
      <c r="U2018" s="209" t="str">
        <f t="shared" si="34"/>
        <v>1w</v>
      </c>
      <c r="V2018" s="207">
        <f>_xll.qlCalendarAdvance(Calendar,V2017,U2018,"f",FALSE)</f>
        <v>52993</v>
      </c>
      <c r="W2018" s="210">
        <f>_xll.qlCalendarAdvance(Calendar,V2018,NDays&amp;"D")</f>
        <v>52993</v>
      </c>
      <c r="X2018" s="211">
        <v>2.2955975643990101E-2</v>
      </c>
      <c r="Y2018" s="232"/>
    </row>
    <row r="2019" spans="21:25" x14ac:dyDescent="0.2">
      <c r="U2019" s="209" t="str">
        <f t="shared" si="34"/>
        <v>1w</v>
      </c>
      <c r="V2019" s="207">
        <f>_xll.qlCalendarAdvance(Calendar,V2018,U2019,"f",FALSE)</f>
        <v>53000</v>
      </c>
      <c r="W2019" s="210">
        <f>_xll.qlCalendarAdvance(Calendar,V2019,NDays&amp;"D")</f>
        <v>53000</v>
      </c>
      <c r="X2019" s="211">
        <v>2.2961091955604473E-2</v>
      </c>
      <c r="Y2019" s="232"/>
    </row>
    <row r="2020" spans="21:25" x14ac:dyDescent="0.2">
      <c r="U2020" s="209" t="str">
        <f t="shared" si="34"/>
        <v>1w</v>
      </c>
      <c r="V2020" s="207">
        <f>_xll.qlCalendarAdvance(Calendar,V2019,U2020,"f",FALSE)</f>
        <v>53007</v>
      </c>
      <c r="W2020" s="210">
        <f>_xll.qlCalendarAdvance(Calendar,V2020,NDays&amp;"D")</f>
        <v>53007</v>
      </c>
      <c r="X2020" s="211">
        <v>2.2966187163699914E-2</v>
      </c>
      <c r="Y2020" s="232"/>
    </row>
    <row r="2021" spans="21:25" x14ac:dyDescent="0.2">
      <c r="U2021" s="209" t="str">
        <f t="shared" si="34"/>
        <v>1w</v>
      </c>
      <c r="V2021" s="207">
        <f>_xll.qlCalendarAdvance(Calendar,V2020,U2021,"f",FALSE)</f>
        <v>53014</v>
      </c>
      <c r="W2021" s="210">
        <f>_xll.qlCalendarAdvance(Calendar,V2021,NDays&amp;"D")</f>
        <v>53014</v>
      </c>
      <c r="X2021" s="211">
        <v>2.297126126811655E-2</v>
      </c>
      <c r="Y2021" s="232"/>
    </row>
    <row r="2022" spans="21:25" x14ac:dyDescent="0.2">
      <c r="U2022" s="209" t="str">
        <f t="shared" si="34"/>
        <v>1w</v>
      </c>
      <c r="V2022" s="207">
        <f>_xll.qlCalendarAdvance(Calendar,V2021,U2022,"f",FALSE)</f>
        <v>53021</v>
      </c>
      <c r="W2022" s="210">
        <f>_xll.qlCalendarAdvance(Calendar,V2022,NDays&amp;"D")</f>
        <v>53021</v>
      </c>
      <c r="X2022" s="211">
        <v>2.2976314269014253E-2</v>
      </c>
      <c r="Y2022" s="232"/>
    </row>
    <row r="2023" spans="21:25" x14ac:dyDescent="0.2">
      <c r="U2023" s="209" t="str">
        <f t="shared" si="34"/>
        <v>1w</v>
      </c>
      <c r="V2023" s="207">
        <f>_xll.qlCalendarAdvance(Calendar,V2022,U2023,"f",FALSE)</f>
        <v>53028</v>
      </c>
      <c r="W2023" s="210">
        <f>_xll.qlCalendarAdvance(Calendar,V2023,NDays&amp;"D")</f>
        <v>53028</v>
      </c>
      <c r="X2023" s="211">
        <v>2.2981346166393024E-2</v>
      </c>
      <c r="Y2023" s="232"/>
    </row>
    <row r="2024" spans="21:25" x14ac:dyDescent="0.2">
      <c r="U2024" s="209" t="str">
        <f t="shared" si="34"/>
        <v>1w</v>
      </c>
      <c r="V2024" s="207">
        <f>_xll.qlCalendarAdvance(Calendar,V2023,U2024,"f",FALSE)</f>
        <v>53035</v>
      </c>
      <c r="W2024" s="210">
        <f>_xll.qlCalendarAdvance(Calendar,V2024,NDays&amp;"D")</f>
        <v>53035</v>
      </c>
      <c r="X2024" s="211">
        <v>2.2986356960013055E-2</v>
      </c>
      <c r="Y2024" s="232"/>
    </row>
    <row r="2025" spans="21:25" x14ac:dyDescent="0.2">
      <c r="U2025" s="209" t="str">
        <f t="shared" si="34"/>
        <v>1w</v>
      </c>
      <c r="V2025" s="207">
        <f>_xll.qlCalendarAdvance(Calendar,V2024,U2025,"f",FALSE)</f>
        <v>53042</v>
      </c>
      <c r="W2025" s="210">
        <f>_xll.qlCalendarAdvance(Calendar,V2025,NDays&amp;"D")</f>
        <v>53042</v>
      </c>
      <c r="X2025" s="211">
        <v>2.2991346650114153E-2</v>
      </c>
      <c r="Y2025" s="232"/>
    </row>
    <row r="2026" spans="21:25" x14ac:dyDescent="0.2">
      <c r="U2026" s="209" t="str">
        <f t="shared" si="34"/>
        <v>1w</v>
      </c>
      <c r="V2026" s="207">
        <f>_xll.qlCalendarAdvance(Calendar,V2025,U2026,"f",FALSE)</f>
        <v>53049</v>
      </c>
      <c r="W2026" s="210">
        <f>_xll.qlCalendarAdvance(Calendar,V2026,NDays&amp;"D")</f>
        <v>53049</v>
      </c>
      <c r="X2026" s="211">
        <v>2.2996315236376574E-2</v>
      </c>
      <c r="Y2026" s="232"/>
    </row>
    <row r="2027" spans="21:25" x14ac:dyDescent="0.2">
      <c r="U2027" s="209" t="str">
        <f t="shared" si="34"/>
        <v>1w</v>
      </c>
      <c r="V2027" s="207">
        <f>_xll.qlCalendarAdvance(Calendar,V2026,U2027,"f",FALSE)</f>
        <v>53056</v>
      </c>
      <c r="W2027" s="210">
        <f>_xll.qlCalendarAdvance(Calendar,V2027,NDays&amp;"D")</f>
        <v>53056</v>
      </c>
      <c r="X2027" s="211">
        <v>2.30012627192E-2</v>
      </c>
      <c r="Y2027" s="232"/>
    </row>
    <row r="2028" spans="21:25" x14ac:dyDescent="0.2">
      <c r="U2028" s="209" t="str">
        <f t="shared" si="34"/>
        <v>1w</v>
      </c>
      <c r="V2028" s="207">
        <f>_xll.qlCalendarAdvance(Calendar,V2027,U2028,"f",FALSE)</f>
        <v>53063</v>
      </c>
      <c r="W2028" s="210">
        <f>_xll.qlCalendarAdvance(Calendar,V2028,NDays&amp;"D")</f>
        <v>53063</v>
      </c>
      <c r="X2028" s="211">
        <v>2.3006189098424557E-2</v>
      </c>
      <c r="Y2028" s="232"/>
    </row>
    <row r="2029" spans="21:25" x14ac:dyDescent="0.2">
      <c r="U2029" s="209" t="str">
        <f t="shared" si="34"/>
        <v>1w</v>
      </c>
      <c r="V2029" s="207">
        <f>_xll.qlCalendarAdvance(Calendar,V2028,U2029,"f",FALSE)</f>
        <v>53070</v>
      </c>
      <c r="W2029" s="210">
        <f>_xll.qlCalendarAdvance(Calendar,V2029,NDays&amp;"D")</f>
        <v>53070</v>
      </c>
      <c r="X2029" s="211">
        <v>2.3011094373970309E-2</v>
      </c>
      <c r="Y2029" s="232"/>
    </row>
    <row r="2030" spans="21:25" x14ac:dyDescent="0.2">
      <c r="U2030" s="209" t="str">
        <f t="shared" si="34"/>
        <v>1w</v>
      </c>
      <c r="V2030" s="207">
        <f>_xll.qlCalendarAdvance(Calendar,V2029,U2030,"f",FALSE)</f>
        <v>53077</v>
      </c>
      <c r="W2030" s="210">
        <f>_xll.qlCalendarAdvance(Calendar,V2030,NDays&amp;"D")</f>
        <v>53077</v>
      </c>
      <c r="X2030" s="211">
        <v>2.3015978545917193E-2</v>
      </c>
      <c r="Y2030" s="232"/>
    </row>
    <row r="2031" spans="21:25" x14ac:dyDescent="0.2">
      <c r="U2031" s="209" t="str">
        <f t="shared" si="34"/>
        <v>1w</v>
      </c>
      <c r="V2031" s="207">
        <f>_xll.qlCalendarAdvance(Calendar,V2030,U2031,"f",FALSE)</f>
        <v>53084</v>
      </c>
      <c r="W2031" s="210">
        <f>_xll.qlCalendarAdvance(Calendar,V2031,NDays&amp;"D")</f>
        <v>53084</v>
      </c>
      <c r="X2031" s="211">
        <v>2.3020841614185272E-2</v>
      </c>
      <c r="Y2031" s="232"/>
    </row>
    <row r="2032" spans="21:25" x14ac:dyDescent="0.2">
      <c r="U2032" s="209" t="str">
        <f t="shared" si="34"/>
        <v>1w</v>
      </c>
      <c r="V2032" s="207">
        <f>_xll.qlCalendarAdvance(Calendar,V2031,U2032,"f",FALSE)</f>
        <v>53091</v>
      </c>
      <c r="W2032" s="210">
        <f>_xll.qlCalendarAdvance(Calendar,V2032,NDays&amp;"D")</f>
        <v>53091</v>
      </c>
      <c r="X2032" s="211">
        <v>2.3025683579014355E-2</v>
      </c>
      <c r="Y2032" s="232"/>
    </row>
    <row r="2033" spans="21:25" x14ac:dyDescent="0.2">
      <c r="U2033" s="209" t="str">
        <f t="shared" si="34"/>
        <v>1w</v>
      </c>
      <c r="V2033" s="207">
        <f>_xll.qlCalendarAdvance(Calendar,V2032,U2033,"f",FALSE)</f>
        <v>53098</v>
      </c>
      <c r="W2033" s="210">
        <f>_xll.qlCalendarAdvance(Calendar,V2033,NDays&amp;"D")</f>
        <v>53098</v>
      </c>
      <c r="X2033" s="211">
        <v>2.3030504440084698E-2</v>
      </c>
      <c r="Y2033" s="232"/>
    </row>
    <row r="2034" spans="21:25" x14ac:dyDescent="0.2">
      <c r="U2034" s="209" t="str">
        <f t="shared" si="34"/>
        <v>1w</v>
      </c>
      <c r="V2034" s="207">
        <f>_xll.qlCalendarAdvance(Calendar,V2033,U2034,"f",FALSE)</f>
        <v>53105</v>
      </c>
      <c r="W2034" s="210">
        <f>_xll.qlCalendarAdvance(Calendar,V2034,NDays&amp;"D")</f>
        <v>53105</v>
      </c>
      <c r="X2034" s="211">
        <v>2.3035304197556172E-2</v>
      </c>
      <c r="Y2034" s="232"/>
    </row>
    <row r="2035" spans="21:25" x14ac:dyDescent="0.2">
      <c r="U2035" s="209" t="str">
        <f t="shared" si="34"/>
        <v>1w</v>
      </c>
      <c r="V2035" s="207">
        <f>_xll.qlCalendarAdvance(Calendar,V2034,U2035,"f",FALSE)</f>
        <v>53112</v>
      </c>
      <c r="W2035" s="210">
        <f>_xll.qlCalendarAdvance(Calendar,V2035,NDays&amp;"D")</f>
        <v>53112</v>
      </c>
      <c r="X2035" s="211">
        <v>2.3040082851268906E-2</v>
      </c>
      <c r="Y2035" s="232"/>
    </row>
    <row r="2036" spans="21:25" x14ac:dyDescent="0.2">
      <c r="U2036" s="209" t="str">
        <f t="shared" si="34"/>
        <v>1w</v>
      </c>
      <c r="V2036" s="207">
        <f>_xll.qlCalendarAdvance(Calendar,V2035,U2036,"f",FALSE)</f>
        <v>53119</v>
      </c>
      <c r="W2036" s="210">
        <f>_xll.qlCalendarAdvance(Calendar,V2036,NDays&amp;"D")</f>
        <v>53119</v>
      </c>
      <c r="X2036" s="211">
        <v>2.3044840401462707E-2</v>
      </c>
      <c r="Y2036" s="232"/>
    </row>
    <row r="2037" spans="21:25" x14ac:dyDescent="0.2">
      <c r="U2037" s="209" t="str">
        <f t="shared" si="34"/>
        <v>1w</v>
      </c>
      <c r="V2037" s="207">
        <f>_xll.qlCalendarAdvance(Calendar,V2036,U2037,"f",FALSE)</f>
        <v>53126</v>
      </c>
      <c r="W2037" s="210">
        <f>_xll.qlCalendarAdvance(Calendar,V2037,NDays&amp;"D")</f>
        <v>53126</v>
      </c>
      <c r="X2037" s="211">
        <v>2.3049576848137576E-2</v>
      </c>
      <c r="Y2037" s="232"/>
    </row>
    <row r="2038" spans="21:25" x14ac:dyDescent="0.2">
      <c r="U2038" s="209" t="str">
        <f t="shared" si="34"/>
        <v>1w</v>
      </c>
      <c r="V2038" s="207">
        <f>_xll.qlCalendarAdvance(Calendar,V2037,U2038,"f",FALSE)</f>
        <v>53133</v>
      </c>
      <c r="W2038" s="210">
        <f>_xll.qlCalendarAdvance(Calendar,V2038,NDays&amp;"D")</f>
        <v>53133</v>
      </c>
      <c r="X2038" s="211">
        <v>2.3054292191053705E-2</v>
      </c>
      <c r="Y2038" s="232"/>
    </row>
    <row r="2039" spans="21:25" x14ac:dyDescent="0.2">
      <c r="U2039" s="209" t="str">
        <f t="shared" si="34"/>
        <v>1w</v>
      </c>
      <c r="V2039" s="207">
        <f>_xll.qlCalendarAdvance(Calendar,V2038,U2039,"f",FALSE)</f>
        <v>53140</v>
      </c>
      <c r="W2039" s="210">
        <f>_xll.qlCalendarAdvance(Calendar,V2039,NDays&amp;"D")</f>
        <v>53140</v>
      </c>
      <c r="X2039" s="211">
        <v>2.3058986430370965E-2</v>
      </c>
      <c r="Y2039" s="232"/>
    </row>
    <row r="2040" spans="21:25" x14ac:dyDescent="0.2">
      <c r="U2040" s="209" t="str">
        <f t="shared" si="34"/>
        <v>1w</v>
      </c>
      <c r="V2040" s="207">
        <f>_xll.qlCalendarAdvance(Calendar,V2039,U2040,"f",FALSE)</f>
        <v>53147</v>
      </c>
      <c r="W2040" s="210">
        <f>_xll.qlCalendarAdvance(Calendar,V2040,NDays&amp;"D")</f>
        <v>53147</v>
      </c>
      <c r="X2040" s="211">
        <v>2.306365956600942E-2</v>
      </c>
      <c r="Y2040" s="232"/>
    </row>
    <row r="2041" spans="21:25" x14ac:dyDescent="0.2">
      <c r="U2041" s="209" t="str">
        <f t="shared" si="34"/>
        <v>1w</v>
      </c>
      <c r="V2041" s="207">
        <f>_xll.qlCalendarAdvance(Calendar,V2040,U2041,"f",FALSE)</f>
        <v>53154</v>
      </c>
      <c r="W2041" s="210">
        <f>_xll.qlCalendarAdvance(Calendar,V2041,NDays&amp;"D")</f>
        <v>53154</v>
      </c>
      <c r="X2041" s="211">
        <v>2.3068311598128943E-2</v>
      </c>
      <c r="Y2041" s="232"/>
    </row>
    <row r="2042" spans="21:25" x14ac:dyDescent="0.2">
      <c r="U2042" s="209" t="str">
        <f t="shared" si="34"/>
        <v>1w</v>
      </c>
      <c r="V2042" s="207">
        <f>_xll.qlCalendarAdvance(Calendar,V2041,U2042,"f",FALSE)</f>
        <v>53161</v>
      </c>
      <c r="W2042" s="210">
        <f>_xll.qlCalendarAdvance(Calendar,V2042,NDays&amp;"D")</f>
        <v>53161</v>
      </c>
      <c r="X2042" s="211">
        <v>2.3072942526489726E-2</v>
      </c>
      <c r="Y2042" s="232"/>
    </row>
    <row r="2043" spans="21:25" x14ac:dyDescent="0.2">
      <c r="U2043" s="209" t="str">
        <f t="shared" si="34"/>
        <v>1w</v>
      </c>
      <c r="V2043" s="207">
        <f>_xll.qlCalendarAdvance(Calendar,V2042,U2043,"f",FALSE)</f>
        <v>53168</v>
      </c>
      <c r="W2043" s="210">
        <f>_xll.qlCalendarAdvance(Calendar,V2043,NDays&amp;"D")</f>
        <v>53168</v>
      </c>
      <c r="X2043" s="211">
        <v>2.3077552351331576E-2</v>
      </c>
      <c r="Y2043" s="232"/>
    </row>
    <row r="2044" spans="21:25" x14ac:dyDescent="0.2">
      <c r="U2044" s="209" t="str">
        <f t="shared" si="34"/>
        <v>1w</v>
      </c>
      <c r="V2044" s="207">
        <f>_xll.qlCalendarAdvance(Calendar,V2043,U2044,"f",FALSE)</f>
        <v>53175</v>
      </c>
      <c r="W2044" s="210">
        <f>_xll.qlCalendarAdvance(Calendar,V2044,NDays&amp;"D")</f>
        <v>53175</v>
      </c>
      <c r="X2044" s="211">
        <v>2.3082141072494622E-2</v>
      </c>
      <c r="Y2044" s="232"/>
    </row>
    <row r="2045" spans="21:25" x14ac:dyDescent="0.2">
      <c r="U2045" s="209" t="str">
        <f t="shared" si="34"/>
        <v>1w</v>
      </c>
      <c r="V2045" s="207">
        <f>_xll.qlCalendarAdvance(Calendar,V2044,U2045,"f",FALSE)</f>
        <v>53182</v>
      </c>
      <c r="W2045" s="210">
        <f>_xll.qlCalendarAdvance(Calendar,V2045,NDays&amp;"D")</f>
        <v>53182</v>
      </c>
      <c r="X2045" s="211">
        <v>2.3086708690058799E-2</v>
      </c>
      <c r="Y2045" s="232"/>
    </row>
    <row r="2046" spans="21:25" x14ac:dyDescent="0.2">
      <c r="U2046" s="209" t="str">
        <f t="shared" si="34"/>
        <v>1w</v>
      </c>
      <c r="V2046" s="207">
        <f>_xll.qlCalendarAdvance(Calendar,V2045,U2046,"f",FALSE)</f>
        <v>53189</v>
      </c>
      <c r="W2046" s="210">
        <f>_xll.qlCalendarAdvance(Calendar,V2046,NDays&amp;"D")</f>
        <v>53189</v>
      </c>
      <c r="X2046" s="211">
        <v>2.3091255203864236E-2</v>
      </c>
      <c r="Y2046" s="232"/>
    </row>
    <row r="2047" spans="21:25" x14ac:dyDescent="0.2">
      <c r="U2047" s="209" t="str">
        <f t="shared" si="34"/>
        <v>1w</v>
      </c>
      <c r="V2047" s="207">
        <f>_xll.qlCalendarAdvance(Calendar,V2046,U2047,"f",FALSE)</f>
        <v>53196</v>
      </c>
      <c r="W2047" s="210">
        <f>_xll.qlCalendarAdvance(Calendar,V2047,NDays&amp;"D")</f>
        <v>53196</v>
      </c>
      <c r="X2047" s="211">
        <v>2.309578061415074E-2</v>
      </c>
      <c r="Y2047" s="232"/>
    </row>
    <row r="2048" spans="21:25" x14ac:dyDescent="0.2">
      <c r="U2048" s="209" t="str">
        <f t="shared" si="34"/>
        <v>1w</v>
      </c>
      <c r="V2048" s="207">
        <f>_xll.qlCalendarAdvance(Calendar,V2047,U2048,"f",FALSE)</f>
        <v>53203</v>
      </c>
      <c r="W2048" s="210">
        <f>_xll.qlCalendarAdvance(Calendar,V2048,NDays&amp;"D")</f>
        <v>53203</v>
      </c>
      <c r="X2048" s="211">
        <v>2.3100284920838376E-2</v>
      </c>
      <c r="Y2048" s="232"/>
    </row>
    <row r="2049" spans="21:25" x14ac:dyDescent="0.2">
      <c r="U2049" s="209" t="str">
        <f t="shared" si="34"/>
        <v>1w</v>
      </c>
      <c r="V2049" s="207">
        <f>_xll.qlCalendarAdvance(Calendar,V2048,U2049,"f",FALSE)</f>
        <v>53210</v>
      </c>
      <c r="W2049" s="210">
        <f>_xll.qlCalendarAdvance(Calendar,V2049,NDays&amp;"D")</f>
        <v>53210</v>
      </c>
      <c r="X2049" s="211">
        <v>2.3104768123767272E-2</v>
      </c>
      <c r="Y2049" s="232"/>
    </row>
    <row r="2050" spans="21:25" x14ac:dyDescent="0.2">
      <c r="U2050" s="209" t="str">
        <f t="shared" si="34"/>
        <v>1w</v>
      </c>
      <c r="V2050" s="207">
        <f>_xll.qlCalendarAdvance(Calendar,V2049,U2050,"f",FALSE)</f>
        <v>53217</v>
      </c>
      <c r="W2050" s="210">
        <f>_xll.qlCalendarAdvance(Calendar,V2050,NDays&amp;"D")</f>
        <v>53217</v>
      </c>
      <c r="X2050" s="211">
        <v>2.3109230223177235E-2</v>
      </c>
      <c r="Y2050" s="232"/>
    </row>
    <row r="2051" spans="21:25" x14ac:dyDescent="0.2">
      <c r="U2051" s="209" t="str">
        <f t="shared" si="34"/>
        <v>1w</v>
      </c>
      <c r="V2051" s="207">
        <f>_xll.qlCalendarAdvance(Calendar,V2050,U2051,"f",FALSE)</f>
        <v>53224</v>
      </c>
      <c r="W2051" s="210">
        <f>_xll.qlCalendarAdvance(Calendar,V2051,NDays&amp;"D")</f>
        <v>53224</v>
      </c>
      <c r="X2051" s="211">
        <v>2.3113671218908394E-2</v>
      </c>
      <c r="Y2051" s="232"/>
    </row>
    <row r="2052" spans="21:25" x14ac:dyDescent="0.2">
      <c r="U2052" s="209" t="str">
        <f t="shared" si="34"/>
        <v>1w</v>
      </c>
      <c r="V2052" s="207">
        <f>_xll.qlCalendarAdvance(Calendar,V2051,U2052,"f",FALSE)</f>
        <v>53231</v>
      </c>
      <c r="W2052" s="210">
        <f>_xll.qlCalendarAdvance(Calendar,V2052,NDays&amp;"D")</f>
        <v>53231</v>
      </c>
      <c r="X2052" s="211">
        <v>2.3118091111040684E-2</v>
      </c>
      <c r="Y2052" s="232"/>
    </row>
    <row r="2053" spans="21:25" x14ac:dyDescent="0.2">
      <c r="U2053" s="209" t="str">
        <f t="shared" si="34"/>
        <v>1w</v>
      </c>
      <c r="V2053" s="207">
        <f>_xll.qlCalendarAdvance(Calendar,V2052,U2053,"f",FALSE)</f>
        <v>53238</v>
      </c>
      <c r="W2053" s="210">
        <f>_xll.qlCalendarAdvance(Calendar,V2053,NDays&amp;"D")</f>
        <v>53238</v>
      </c>
      <c r="X2053" s="211">
        <v>2.3122489899414234E-2</v>
      </c>
      <c r="Y2053" s="232"/>
    </row>
    <row r="2054" spans="21:25" x14ac:dyDescent="0.2">
      <c r="U2054" s="209" t="str">
        <f t="shared" si="34"/>
        <v>1w</v>
      </c>
      <c r="V2054" s="207">
        <f>_xll.qlCalendarAdvance(Calendar,V2053,U2054,"f",FALSE)</f>
        <v>53245</v>
      </c>
      <c r="W2054" s="210">
        <f>_xll.qlCalendarAdvance(Calendar,V2054,NDays&amp;"D")</f>
        <v>53245</v>
      </c>
      <c r="X2054" s="211">
        <v>2.3126867584188915E-2</v>
      </c>
      <c r="Y2054" s="232"/>
    </row>
    <row r="2055" spans="21:25" x14ac:dyDescent="0.2">
      <c r="U2055" s="209" t="str">
        <f t="shared" si="34"/>
        <v>1w</v>
      </c>
      <c r="V2055" s="207">
        <f>_xll.qlCalendarAdvance(Calendar,V2054,U2055,"f",FALSE)</f>
        <v>53252</v>
      </c>
      <c r="W2055" s="210">
        <f>_xll.qlCalendarAdvance(Calendar,V2055,NDays&amp;"D")</f>
        <v>53252</v>
      </c>
      <c r="X2055" s="211">
        <v>2.3131224165364728E-2</v>
      </c>
      <c r="Y2055" s="232"/>
    </row>
    <row r="2056" spans="21:25" x14ac:dyDescent="0.2">
      <c r="U2056" s="209" t="str">
        <f t="shared" si="34"/>
        <v>1w</v>
      </c>
      <c r="V2056" s="207">
        <f>_xll.qlCalendarAdvance(Calendar,V2055,U2056,"f",FALSE)</f>
        <v>53259</v>
      </c>
      <c r="W2056" s="210">
        <f>_xll.qlCalendarAdvance(Calendar,V2056,NDays&amp;"D")</f>
        <v>53259</v>
      </c>
      <c r="X2056" s="211">
        <v>2.3135559642861736E-2</v>
      </c>
      <c r="Y2056" s="232"/>
    </row>
    <row r="2057" spans="21:25" x14ac:dyDescent="0.2">
      <c r="U2057" s="209" t="str">
        <f t="shared" si="34"/>
        <v>1w</v>
      </c>
      <c r="V2057" s="207">
        <f>_xll.qlCalendarAdvance(Calendar,V2056,U2057,"f",FALSE)</f>
        <v>53266</v>
      </c>
      <c r="W2057" s="210">
        <f>_xll.qlCalendarAdvance(Calendar,V2057,NDays&amp;"D")</f>
        <v>53266</v>
      </c>
      <c r="X2057" s="211">
        <v>2.313987401667994E-2</v>
      </c>
      <c r="Y2057" s="232"/>
    </row>
    <row r="2058" spans="21:25" x14ac:dyDescent="0.2">
      <c r="U2058" s="209" t="str">
        <f t="shared" si="34"/>
        <v>1w</v>
      </c>
      <c r="V2058" s="207">
        <f>_xll.qlCalendarAdvance(Calendar,V2057,U2058,"f",FALSE)</f>
        <v>53273</v>
      </c>
      <c r="W2058" s="210">
        <f>_xll.qlCalendarAdvance(Calendar,V2058,NDays&amp;"D")</f>
        <v>53273</v>
      </c>
      <c r="X2058" s="211">
        <v>2.3144167286979211E-2</v>
      </c>
      <c r="Y2058" s="232"/>
    </row>
    <row r="2059" spans="21:25" x14ac:dyDescent="0.2">
      <c r="U2059" s="209" t="str">
        <f t="shared" si="34"/>
        <v>1w</v>
      </c>
      <c r="V2059" s="207">
        <f>_xll.qlCalendarAdvance(Calendar,V2058,U2059,"f",FALSE)</f>
        <v>53280</v>
      </c>
      <c r="W2059" s="210">
        <f>_xll.qlCalendarAdvance(Calendar,V2059,NDays&amp;"D")</f>
        <v>53280</v>
      </c>
      <c r="X2059" s="211">
        <v>2.3148439453599678E-2</v>
      </c>
      <c r="Y2059" s="232"/>
    </row>
    <row r="2060" spans="21:25" x14ac:dyDescent="0.2">
      <c r="U2060" s="209" t="str">
        <f t="shared" si="34"/>
        <v>1w</v>
      </c>
      <c r="V2060" s="207">
        <f>_xll.qlCalendarAdvance(Calendar,V2059,U2060,"f",FALSE)</f>
        <v>53287</v>
      </c>
      <c r="W2060" s="210">
        <f>_xll.qlCalendarAdvance(Calendar,V2060,NDays&amp;"D")</f>
        <v>53287</v>
      </c>
      <c r="X2060" s="211">
        <v>2.3152690516541341E-2</v>
      </c>
      <c r="Y2060" s="232"/>
    </row>
    <row r="2061" spans="21:25" x14ac:dyDescent="0.2">
      <c r="U2061" s="209" t="str">
        <f t="shared" ref="U2061:U2124" si="35">U2060</f>
        <v>1w</v>
      </c>
      <c r="V2061" s="207">
        <f>_xll.qlCalendarAdvance(Calendar,V2060,U2061,"f",FALSE)</f>
        <v>53294</v>
      </c>
      <c r="W2061" s="210">
        <f>_xll.qlCalendarAdvance(Calendar,V2061,NDays&amp;"D")</f>
        <v>53294</v>
      </c>
      <c r="X2061" s="211">
        <v>2.3156920475884135E-2</v>
      </c>
      <c r="Y2061" s="232"/>
    </row>
    <row r="2062" spans="21:25" x14ac:dyDescent="0.2">
      <c r="U2062" s="209" t="str">
        <f t="shared" si="35"/>
        <v>1w</v>
      </c>
      <c r="V2062" s="207">
        <f>_xll.qlCalendarAdvance(Calendar,V2061,U2062,"f",FALSE)</f>
        <v>53301</v>
      </c>
      <c r="W2062" s="210">
        <f>_xll.qlCalendarAdvance(Calendar,V2062,NDays&amp;"D")</f>
        <v>53301</v>
      </c>
      <c r="X2062" s="211">
        <v>2.3161129331468189E-2</v>
      </c>
      <c r="Y2062" s="232"/>
    </row>
    <row r="2063" spans="21:25" x14ac:dyDescent="0.2">
      <c r="U2063" s="209" t="str">
        <f t="shared" si="35"/>
        <v>1w</v>
      </c>
      <c r="V2063" s="207">
        <f>_xll.qlCalendarAdvance(Calendar,V2062,U2063,"f",FALSE)</f>
        <v>53308</v>
      </c>
      <c r="W2063" s="210">
        <f>_xll.qlCalendarAdvance(Calendar,V2063,NDays&amp;"D")</f>
        <v>53308</v>
      </c>
      <c r="X2063" s="211">
        <v>2.316531708353331E-2</v>
      </c>
      <c r="Y2063" s="232"/>
    </row>
    <row r="2064" spans="21:25" x14ac:dyDescent="0.2">
      <c r="U2064" s="209" t="str">
        <f t="shared" si="35"/>
        <v>1w</v>
      </c>
      <c r="V2064" s="207">
        <f>_xll.qlCalendarAdvance(Calendar,V2063,U2064,"f",FALSE)</f>
        <v>53315</v>
      </c>
      <c r="W2064" s="210">
        <f>_xll.qlCalendarAdvance(Calendar,V2064,NDays&amp;"D")</f>
        <v>53315</v>
      </c>
      <c r="X2064" s="211">
        <v>2.3169483731839691E-2</v>
      </c>
      <c r="Y2064" s="232"/>
    </row>
    <row r="2065" spans="21:25" x14ac:dyDescent="0.2">
      <c r="U2065" s="209" t="str">
        <f t="shared" si="35"/>
        <v>1w</v>
      </c>
      <c r="V2065" s="207">
        <f>_xll.qlCalendarAdvance(Calendar,V2064,U2065,"f",FALSE)</f>
        <v>53323</v>
      </c>
      <c r="W2065" s="210">
        <f>_xll.qlCalendarAdvance(Calendar,V2065,NDays&amp;"D")</f>
        <v>53323</v>
      </c>
      <c r="X2065" s="211">
        <v>2.3174219774517724E-2</v>
      </c>
      <c r="Y2065" s="232"/>
    </row>
    <row r="2066" spans="21:25" x14ac:dyDescent="0.2">
      <c r="U2066" s="209" t="str">
        <f t="shared" si="35"/>
        <v>1w</v>
      </c>
      <c r="V2066" s="207">
        <f>_xll.qlCalendarAdvance(Calendar,V2065,U2066,"f",FALSE)</f>
        <v>53330</v>
      </c>
      <c r="W2066" s="210">
        <f>_xll.qlCalendarAdvance(Calendar,V2066,NDays&amp;"D")</f>
        <v>53330</v>
      </c>
      <c r="X2066" s="211">
        <v>2.3178341200758013E-2</v>
      </c>
      <c r="Y2066" s="232"/>
    </row>
    <row r="2067" spans="21:25" x14ac:dyDescent="0.2">
      <c r="U2067" s="209" t="str">
        <f t="shared" si="35"/>
        <v>1w</v>
      </c>
      <c r="V2067" s="207">
        <f>_xll.qlCalendarAdvance(Calendar,V2066,U2067,"f",FALSE)</f>
        <v>53337</v>
      </c>
      <c r="W2067" s="210">
        <f>_xll.qlCalendarAdvance(Calendar,V2067,NDays&amp;"D")</f>
        <v>53337</v>
      </c>
      <c r="X2067" s="211">
        <v>2.3182441523399433E-2</v>
      </c>
      <c r="Y2067" s="232"/>
    </row>
    <row r="2068" spans="21:25" x14ac:dyDescent="0.2">
      <c r="U2068" s="209" t="str">
        <f t="shared" si="35"/>
        <v>1w</v>
      </c>
      <c r="V2068" s="207">
        <f>_xll.qlCalendarAdvance(Calendar,V2067,U2068,"f",FALSE)</f>
        <v>53344</v>
      </c>
      <c r="W2068" s="210">
        <f>_xll.qlCalendarAdvance(Calendar,V2068,NDays&amp;"D")</f>
        <v>53344</v>
      </c>
      <c r="X2068" s="211">
        <v>2.3186520742282113E-2</v>
      </c>
      <c r="Y2068" s="232"/>
    </row>
    <row r="2069" spans="21:25" x14ac:dyDescent="0.2">
      <c r="U2069" s="209" t="str">
        <f t="shared" si="35"/>
        <v>1w</v>
      </c>
      <c r="V2069" s="207">
        <f>_xll.qlCalendarAdvance(Calendar,V2068,U2069,"f",FALSE)</f>
        <v>53351</v>
      </c>
      <c r="W2069" s="210">
        <f>_xll.qlCalendarAdvance(Calendar,V2069,NDays&amp;"D")</f>
        <v>53351</v>
      </c>
      <c r="X2069" s="211">
        <v>2.3190578857565924E-2</v>
      </c>
      <c r="Y2069" s="232"/>
    </row>
    <row r="2070" spans="21:25" x14ac:dyDescent="0.2">
      <c r="U2070" s="209" t="str">
        <f t="shared" si="35"/>
        <v>1w</v>
      </c>
      <c r="V2070" s="207">
        <f>_xll.qlCalendarAdvance(Calendar,V2069,U2070,"f",FALSE)</f>
        <v>53358</v>
      </c>
      <c r="W2070" s="210">
        <f>_xll.qlCalendarAdvance(Calendar,V2070,NDays&amp;"D")</f>
        <v>53358</v>
      </c>
      <c r="X2070" s="211">
        <v>2.3194615869250867E-2</v>
      </c>
      <c r="Y2070" s="232"/>
    </row>
    <row r="2071" spans="21:25" x14ac:dyDescent="0.2">
      <c r="U2071" s="209" t="str">
        <f t="shared" si="35"/>
        <v>1w</v>
      </c>
      <c r="V2071" s="207">
        <f>_xll.qlCalendarAdvance(Calendar,V2070,U2071,"f",FALSE)</f>
        <v>53365</v>
      </c>
      <c r="W2071" s="210">
        <f>_xll.qlCalendarAdvance(Calendar,V2071,NDays&amp;"D")</f>
        <v>53365</v>
      </c>
      <c r="X2071" s="211">
        <v>2.3198631777257006E-2</v>
      </c>
      <c r="Y2071" s="232"/>
    </row>
    <row r="2072" spans="21:25" x14ac:dyDescent="0.2">
      <c r="U2072" s="209" t="str">
        <f t="shared" si="35"/>
        <v>1w</v>
      </c>
      <c r="V2072" s="207">
        <f>_xll.qlCalendarAdvance(Calendar,V2071,U2072,"f",FALSE)</f>
        <v>53372</v>
      </c>
      <c r="W2072" s="210">
        <f>_xll.qlCalendarAdvance(Calendar,V2072,NDays&amp;"D")</f>
        <v>53372</v>
      </c>
      <c r="X2072" s="211">
        <v>2.320262658158434E-2</v>
      </c>
      <c r="Y2072" s="232"/>
    </row>
    <row r="2073" spans="21:25" x14ac:dyDescent="0.2">
      <c r="U2073" s="209" t="str">
        <f t="shared" si="35"/>
        <v>1w</v>
      </c>
      <c r="V2073" s="207">
        <f>_xll.qlCalendarAdvance(Calendar,V2072,U2073,"f",FALSE)</f>
        <v>53379</v>
      </c>
      <c r="W2073" s="210">
        <f>_xll.qlCalendarAdvance(Calendar,V2073,NDays&amp;"D")</f>
        <v>53379</v>
      </c>
      <c r="X2073" s="211">
        <v>2.3206600282312806E-2</v>
      </c>
      <c r="Y2073" s="232"/>
    </row>
    <row r="2074" spans="21:25" x14ac:dyDescent="0.2">
      <c r="U2074" s="209" t="str">
        <f t="shared" si="35"/>
        <v>1w</v>
      </c>
      <c r="V2074" s="207">
        <f>_xll.qlCalendarAdvance(Calendar,V2073,U2074,"f",FALSE)</f>
        <v>53386</v>
      </c>
      <c r="W2074" s="210">
        <f>_xll.qlCalendarAdvance(Calendar,V2074,NDays&amp;"D")</f>
        <v>53386</v>
      </c>
      <c r="X2074" s="211">
        <v>2.3210552879362467E-2</v>
      </c>
      <c r="Y2074" s="232"/>
    </row>
    <row r="2075" spans="21:25" x14ac:dyDescent="0.2">
      <c r="U2075" s="209" t="str">
        <f t="shared" si="35"/>
        <v>1w</v>
      </c>
      <c r="V2075" s="207">
        <f>_xll.qlCalendarAdvance(Calendar,V2074,U2075,"f",FALSE)</f>
        <v>53393</v>
      </c>
      <c r="W2075" s="210">
        <f>_xll.qlCalendarAdvance(Calendar,V2075,NDays&amp;"D")</f>
        <v>53393</v>
      </c>
      <c r="X2075" s="211">
        <v>2.3214484372733324E-2</v>
      </c>
      <c r="Y2075" s="232"/>
    </row>
    <row r="2076" spans="21:25" x14ac:dyDescent="0.2">
      <c r="U2076" s="209" t="str">
        <f t="shared" si="35"/>
        <v>1w</v>
      </c>
      <c r="V2076" s="207">
        <f>_xll.qlCalendarAdvance(Calendar,V2075,U2076,"f",FALSE)</f>
        <v>53400</v>
      </c>
      <c r="W2076" s="210">
        <f>_xll.qlCalendarAdvance(Calendar,V2076,NDays&amp;"D")</f>
        <v>53400</v>
      </c>
      <c r="X2076" s="211">
        <v>2.321839476234544E-2</v>
      </c>
      <c r="Y2076" s="232"/>
    </row>
    <row r="2077" spans="21:25" x14ac:dyDescent="0.2">
      <c r="U2077" s="209" t="str">
        <f t="shared" si="35"/>
        <v>1w</v>
      </c>
      <c r="V2077" s="207">
        <f>_xll.qlCalendarAdvance(Calendar,V2076,U2077,"f",FALSE)</f>
        <v>53407</v>
      </c>
      <c r="W2077" s="210">
        <f>_xll.qlCalendarAdvance(Calendar,V2077,NDays&amp;"D")</f>
        <v>53407</v>
      </c>
      <c r="X2077" s="211">
        <v>2.3222284048598496E-2</v>
      </c>
      <c r="Y2077" s="232"/>
    </row>
    <row r="2078" spans="21:25" x14ac:dyDescent="0.2">
      <c r="U2078" s="209" t="str">
        <f t="shared" si="35"/>
        <v>1w</v>
      </c>
      <c r="V2078" s="207">
        <f>_xll.qlCalendarAdvance(Calendar,V2077,U2078,"f",FALSE)</f>
        <v>53414</v>
      </c>
      <c r="W2078" s="210">
        <f>_xll.qlCalendarAdvance(Calendar,V2078,NDays&amp;"D")</f>
        <v>53414</v>
      </c>
      <c r="X2078" s="211">
        <v>2.3226152230853003E-2</v>
      </c>
      <c r="Y2078" s="232"/>
    </row>
    <row r="2079" spans="21:25" x14ac:dyDescent="0.2">
      <c r="U2079" s="209" t="str">
        <f t="shared" si="35"/>
        <v>1w</v>
      </c>
      <c r="V2079" s="207">
        <f>_xll.qlCalendarAdvance(Calendar,V2078,U2079,"f",FALSE)</f>
        <v>53421</v>
      </c>
      <c r="W2079" s="210">
        <f>_xll.qlCalendarAdvance(Calendar,V2079,NDays&amp;"D")</f>
        <v>53421</v>
      </c>
      <c r="X2079" s="211">
        <v>2.3229999309668514E-2</v>
      </c>
      <c r="Y2079" s="232"/>
    </row>
    <row r="2080" spans="21:25" x14ac:dyDescent="0.2">
      <c r="U2080" s="209" t="str">
        <f t="shared" si="35"/>
        <v>1w</v>
      </c>
      <c r="V2080" s="207">
        <f>_xll.qlCalendarAdvance(Calendar,V2079,U2080,"f",FALSE)</f>
        <v>53428</v>
      </c>
      <c r="W2080" s="210">
        <f>_xll.qlCalendarAdvance(Calendar,V2080,NDays&amp;"D")</f>
        <v>53428</v>
      </c>
      <c r="X2080" s="211">
        <v>2.3233825284725285E-2</v>
      </c>
      <c r="Y2080" s="232"/>
    </row>
    <row r="2081" spans="21:25" x14ac:dyDescent="0.2">
      <c r="U2081" s="209" t="str">
        <f t="shared" si="35"/>
        <v>1w</v>
      </c>
      <c r="V2081" s="207">
        <f>_xll.qlCalendarAdvance(Calendar,V2080,U2081,"f",FALSE)</f>
        <v>53435</v>
      </c>
      <c r="W2081" s="210">
        <f>_xll.qlCalendarAdvance(Calendar,V2081,NDays&amp;"D")</f>
        <v>53435</v>
      </c>
      <c r="X2081" s="211">
        <v>2.3237630156183187E-2</v>
      </c>
      <c r="Y2081" s="232"/>
    </row>
    <row r="2082" spans="21:25" x14ac:dyDescent="0.2">
      <c r="U2082" s="209" t="str">
        <f t="shared" si="35"/>
        <v>1w</v>
      </c>
      <c r="V2082" s="207">
        <f>_xll.qlCalendarAdvance(Calendar,V2081,U2082,"f",FALSE)</f>
        <v>53442</v>
      </c>
      <c r="W2082" s="210">
        <f>_xll.qlCalendarAdvance(Calendar,V2082,NDays&amp;"D")</f>
        <v>53442</v>
      </c>
      <c r="X2082" s="211">
        <v>2.3241413923962284E-2</v>
      </c>
      <c r="Y2082" s="232"/>
    </row>
    <row r="2083" spans="21:25" x14ac:dyDescent="0.2">
      <c r="U2083" s="209" t="str">
        <f t="shared" si="35"/>
        <v>1w</v>
      </c>
      <c r="V2083" s="207">
        <f>_xll.qlCalendarAdvance(Calendar,V2082,U2083,"f",FALSE)</f>
        <v>53449</v>
      </c>
      <c r="W2083" s="210">
        <f>_xll.qlCalendarAdvance(Calendar,V2083,NDays&amp;"D")</f>
        <v>53449</v>
      </c>
      <c r="X2083" s="211">
        <v>2.3245176588062577E-2</v>
      </c>
      <c r="Y2083" s="232"/>
    </row>
    <row r="2084" spans="21:25" x14ac:dyDescent="0.2">
      <c r="U2084" s="209" t="str">
        <f t="shared" si="35"/>
        <v>1w</v>
      </c>
      <c r="V2084" s="207">
        <f>_xll.qlCalendarAdvance(Calendar,V2083,U2084,"f",FALSE)</f>
        <v>53456</v>
      </c>
      <c r="W2084" s="210">
        <f>_xll.qlCalendarAdvance(Calendar,V2084,NDays&amp;"D")</f>
        <v>53456</v>
      </c>
      <c r="X2084" s="211">
        <v>2.3248918148564002E-2</v>
      </c>
      <c r="Y2084" s="232"/>
    </row>
    <row r="2085" spans="21:25" x14ac:dyDescent="0.2">
      <c r="U2085" s="209" t="str">
        <f t="shared" si="35"/>
        <v>1w</v>
      </c>
      <c r="V2085" s="207">
        <f>_xll.qlCalendarAdvance(Calendar,V2084,U2085,"f",FALSE)</f>
        <v>53463</v>
      </c>
      <c r="W2085" s="210">
        <f>_xll.qlCalendarAdvance(Calendar,V2085,NDays&amp;"D")</f>
        <v>53463</v>
      </c>
      <c r="X2085" s="211">
        <v>2.3252638605306686E-2</v>
      </c>
      <c r="Y2085" s="232"/>
    </row>
    <row r="2086" spans="21:25" x14ac:dyDescent="0.2">
      <c r="U2086" s="209" t="str">
        <f t="shared" si="35"/>
        <v>1w</v>
      </c>
      <c r="V2086" s="207">
        <f>_xll.qlCalendarAdvance(Calendar,V2085,U2086,"f",FALSE)</f>
        <v>53470</v>
      </c>
      <c r="W2086" s="210">
        <f>_xll.qlCalendarAdvance(Calendar,V2086,NDays&amp;"D")</f>
        <v>53470</v>
      </c>
      <c r="X2086" s="211">
        <v>2.3256337958450501E-2</v>
      </c>
      <c r="Y2086" s="232"/>
    </row>
    <row r="2087" spans="21:25" x14ac:dyDescent="0.2">
      <c r="U2087" s="209" t="str">
        <f t="shared" si="35"/>
        <v>1w</v>
      </c>
      <c r="V2087" s="207">
        <f>_xll.qlCalendarAdvance(Calendar,V2086,U2087,"f",FALSE)</f>
        <v>53477</v>
      </c>
      <c r="W2087" s="210">
        <f>_xll.qlCalendarAdvance(Calendar,V2087,NDays&amp;"D")</f>
        <v>53477</v>
      </c>
      <c r="X2087" s="211">
        <v>2.3260016207915513E-2</v>
      </c>
      <c r="Y2087" s="232"/>
    </row>
    <row r="2088" spans="21:25" x14ac:dyDescent="0.2">
      <c r="U2088" s="209" t="str">
        <f t="shared" si="35"/>
        <v>1w</v>
      </c>
      <c r="V2088" s="207">
        <f>_xll.qlCalendarAdvance(Calendar,V2087,U2088,"f",FALSE)</f>
        <v>53484</v>
      </c>
      <c r="W2088" s="210">
        <f>_xll.qlCalendarAdvance(Calendar,V2088,NDays&amp;"D")</f>
        <v>53484</v>
      </c>
      <c r="X2088" s="211">
        <v>2.3263673353701719E-2</v>
      </c>
      <c r="Y2088" s="232"/>
    </row>
    <row r="2089" spans="21:25" x14ac:dyDescent="0.2">
      <c r="U2089" s="209" t="str">
        <f t="shared" si="35"/>
        <v>1w</v>
      </c>
      <c r="V2089" s="207">
        <f>_xll.qlCalendarAdvance(Calendar,V2088,U2089,"f",FALSE)</f>
        <v>53491</v>
      </c>
      <c r="W2089" s="210">
        <f>_xll.qlCalendarAdvance(Calendar,V2089,NDays&amp;"D")</f>
        <v>53491</v>
      </c>
      <c r="X2089" s="211">
        <v>2.3267309395809121E-2</v>
      </c>
      <c r="Y2089" s="232"/>
    </row>
    <row r="2090" spans="21:25" x14ac:dyDescent="0.2">
      <c r="U2090" s="209" t="str">
        <f t="shared" si="35"/>
        <v>1w</v>
      </c>
      <c r="V2090" s="207">
        <f>_xll.qlCalendarAdvance(Calendar,V2089,U2090,"f",FALSE)</f>
        <v>53498</v>
      </c>
      <c r="W2090" s="210">
        <f>_xll.qlCalendarAdvance(Calendar,V2090,NDays&amp;"D")</f>
        <v>53498</v>
      </c>
      <c r="X2090" s="211">
        <v>2.3270924334317655E-2</v>
      </c>
      <c r="Y2090" s="232"/>
    </row>
    <row r="2091" spans="21:25" x14ac:dyDescent="0.2">
      <c r="U2091" s="209" t="str">
        <f t="shared" si="35"/>
        <v>1w</v>
      </c>
      <c r="V2091" s="207">
        <f>_xll.qlCalendarAdvance(Calendar,V2090,U2091,"f",FALSE)</f>
        <v>53505</v>
      </c>
      <c r="W2091" s="210">
        <f>_xll.qlCalendarAdvance(Calendar,V2091,NDays&amp;"D")</f>
        <v>53505</v>
      </c>
      <c r="X2091" s="211">
        <v>2.3274518168987512E-2</v>
      </c>
      <c r="Y2091" s="232"/>
    </row>
    <row r="2092" spans="21:25" x14ac:dyDescent="0.2">
      <c r="U2092" s="209" t="str">
        <f t="shared" si="35"/>
        <v>1w</v>
      </c>
      <c r="V2092" s="207">
        <f>_xll.qlCalendarAdvance(Calendar,V2091,U2092,"f",FALSE)</f>
        <v>53512</v>
      </c>
      <c r="W2092" s="210">
        <f>_xll.qlCalendarAdvance(Calendar,V2092,NDays&amp;"D")</f>
        <v>53512</v>
      </c>
      <c r="X2092" s="211">
        <v>2.3278090900138437E-2</v>
      </c>
      <c r="Y2092" s="232"/>
    </row>
    <row r="2093" spans="21:25" x14ac:dyDescent="0.2">
      <c r="U2093" s="209" t="str">
        <f t="shared" si="35"/>
        <v>1w</v>
      </c>
      <c r="V2093" s="207">
        <f>_xll.qlCalendarAdvance(Calendar,V2092,U2093,"f",FALSE)</f>
        <v>53519</v>
      </c>
      <c r="W2093" s="210">
        <f>_xll.qlCalendarAdvance(Calendar,V2093,NDays&amp;"D")</f>
        <v>53519</v>
      </c>
      <c r="X2093" s="211">
        <v>2.3281642527690494E-2</v>
      </c>
      <c r="Y2093" s="232"/>
    </row>
    <row r="2094" spans="21:25" x14ac:dyDescent="0.2">
      <c r="U2094" s="209" t="str">
        <f t="shared" si="35"/>
        <v>1w</v>
      </c>
      <c r="V2094" s="207">
        <f>_xll.qlCalendarAdvance(Calendar,V2093,U2094,"f",FALSE)</f>
        <v>53526</v>
      </c>
      <c r="W2094" s="210">
        <f>_xll.qlCalendarAdvance(Calendar,V2094,NDays&amp;"D")</f>
        <v>53526</v>
      </c>
      <c r="X2094" s="211">
        <v>2.328517305148381E-2</v>
      </c>
      <c r="Y2094" s="232"/>
    </row>
    <row r="2095" spans="21:25" x14ac:dyDescent="0.2">
      <c r="U2095" s="209" t="str">
        <f t="shared" si="35"/>
        <v>1w</v>
      </c>
      <c r="V2095" s="207">
        <f>_xll.qlCalendarAdvance(Calendar,V2094,U2095,"f",FALSE)</f>
        <v>53533</v>
      </c>
      <c r="W2095" s="210">
        <f>_xll.qlCalendarAdvance(Calendar,V2095,NDays&amp;"D")</f>
        <v>53533</v>
      </c>
      <c r="X2095" s="211">
        <v>2.3288682471518385E-2</v>
      </c>
      <c r="Y2095" s="232"/>
    </row>
    <row r="2096" spans="21:25" x14ac:dyDescent="0.2">
      <c r="U2096" s="209" t="str">
        <f t="shared" si="35"/>
        <v>1w</v>
      </c>
      <c r="V2096" s="207">
        <f>_xll.qlCalendarAdvance(Calendar,V2095,U2096,"f",FALSE)</f>
        <v>53540</v>
      </c>
      <c r="W2096" s="210">
        <f>_xll.qlCalendarAdvance(Calendar,V2096,NDays&amp;"D")</f>
        <v>53540</v>
      </c>
      <c r="X2096" s="211">
        <v>2.3292170788113964E-2</v>
      </c>
      <c r="Y2096" s="232"/>
    </row>
    <row r="2097" spans="21:25" x14ac:dyDescent="0.2">
      <c r="U2097" s="209" t="str">
        <f t="shared" si="35"/>
        <v>1w</v>
      </c>
      <c r="V2097" s="207">
        <f>_xll.qlCalendarAdvance(Calendar,V2096,U2097,"f",FALSE)</f>
        <v>53547</v>
      </c>
      <c r="W2097" s="210">
        <f>_xll.qlCalendarAdvance(Calendar,V2097,NDays&amp;"D")</f>
        <v>53547</v>
      </c>
      <c r="X2097" s="211">
        <v>2.3295638000870866E-2</v>
      </c>
      <c r="Y2097" s="232"/>
    </row>
    <row r="2098" spans="21:25" x14ac:dyDescent="0.2">
      <c r="U2098" s="209" t="str">
        <f t="shared" si="35"/>
        <v>1w</v>
      </c>
      <c r="V2098" s="207">
        <f>_xll.qlCalendarAdvance(Calendar,V2097,U2098,"f",FALSE)</f>
        <v>53554</v>
      </c>
      <c r="W2098" s="210">
        <f>_xll.qlCalendarAdvance(Calendar,V2098,NDays&amp;"D")</f>
        <v>53554</v>
      </c>
      <c r="X2098" s="211">
        <v>2.3299084109869028E-2</v>
      </c>
      <c r="Y2098" s="232"/>
    </row>
    <row r="2099" spans="21:25" x14ac:dyDescent="0.2">
      <c r="U2099" s="209" t="str">
        <f t="shared" si="35"/>
        <v>1w</v>
      </c>
      <c r="V2099" s="207">
        <f>_xll.qlCalendarAdvance(Calendar,V2098,U2099,"f",FALSE)</f>
        <v>53561</v>
      </c>
      <c r="W2099" s="210">
        <f>_xll.qlCalendarAdvance(Calendar,V2099,NDays&amp;"D")</f>
        <v>53561</v>
      </c>
      <c r="X2099" s="211">
        <v>2.3302509115348258E-2</v>
      </c>
      <c r="Y2099" s="232"/>
    </row>
    <row r="2100" spans="21:25" x14ac:dyDescent="0.2">
      <c r="U2100" s="209" t="str">
        <f t="shared" si="35"/>
        <v>1w</v>
      </c>
      <c r="V2100" s="207">
        <f>_xll.qlCalendarAdvance(Calendar,V2099,U2100,"f",FALSE)</f>
        <v>53568</v>
      </c>
      <c r="W2100" s="210">
        <f>_xll.qlCalendarAdvance(Calendar,V2100,NDays&amp;"D")</f>
        <v>53568</v>
      </c>
      <c r="X2100" s="211">
        <v>2.3305913017148683E-2</v>
      </c>
      <c r="Y2100" s="232"/>
    </row>
    <row r="2101" spans="21:25" x14ac:dyDescent="0.2">
      <c r="U2101" s="209" t="str">
        <f t="shared" si="35"/>
        <v>1w</v>
      </c>
      <c r="V2101" s="207">
        <f>_xll.qlCalendarAdvance(Calendar,V2100,U2101,"f",FALSE)</f>
        <v>53575</v>
      </c>
      <c r="W2101" s="210">
        <f>_xll.qlCalendarAdvance(Calendar,V2101,NDays&amp;"D")</f>
        <v>53575</v>
      </c>
      <c r="X2101" s="211">
        <v>2.3309295815270303E-2</v>
      </c>
      <c r="Y2101" s="232"/>
    </row>
    <row r="2102" spans="21:25" x14ac:dyDescent="0.2">
      <c r="U2102" s="209" t="str">
        <f t="shared" si="35"/>
        <v>1w</v>
      </c>
      <c r="V2102" s="207">
        <f>_xll.qlCalendarAdvance(Calendar,V2101,U2102,"f",FALSE)</f>
        <v>53582</v>
      </c>
      <c r="W2102" s="210">
        <f>_xll.qlCalendarAdvance(Calendar,V2102,NDays&amp;"D")</f>
        <v>53582</v>
      </c>
      <c r="X2102" s="211">
        <v>2.3312657509633183E-2</v>
      </c>
      <c r="Y2102" s="232"/>
    </row>
    <row r="2103" spans="21:25" x14ac:dyDescent="0.2">
      <c r="U2103" s="209" t="str">
        <f t="shared" si="35"/>
        <v>1w</v>
      </c>
      <c r="V2103" s="207">
        <f>_xll.qlCalendarAdvance(Calendar,V2102,U2103,"f",FALSE)</f>
        <v>53589</v>
      </c>
      <c r="W2103" s="210">
        <f>_xll.qlCalendarAdvance(Calendar,V2103,NDays&amp;"D")</f>
        <v>53589</v>
      </c>
      <c r="X2103" s="211">
        <v>2.3315998100477131E-2</v>
      </c>
      <c r="Y2103" s="232"/>
    </row>
    <row r="2104" spans="21:25" x14ac:dyDescent="0.2">
      <c r="U2104" s="209" t="str">
        <f t="shared" si="35"/>
        <v>1w</v>
      </c>
      <c r="V2104" s="207">
        <f>_xll.qlCalendarAdvance(Calendar,V2103,U2104,"f",FALSE)</f>
        <v>53596</v>
      </c>
      <c r="W2104" s="210">
        <f>_xll.qlCalendarAdvance(Calendar,V2104,NDays&amp;"D")</f>
        <v>53596</v>
      </c>
      <c r="X2104" s="211">
        <v>2.3319317587642274E-2</v>
      </c>
      <c r="Y2104" s="232"/>
    </row>
    <row r="2105" spans="21:25" x14ac:dyDescent="0.2">
      <c r="U2105" s="209" t="str">
        <f t="shared" si="35"/>
        <v>1w</v>
      </c>
      <c r="V2105" s="207">
        <f>_xll.qlCalendarAdvance(Calendar,V2104,U2105,"f",FALSE)</f>
        <v>53603</v>
      </c>
      <c r="W2105" s="210">
        <f>_xll.qlCalendarAdvance(Calendar,V2105,NDays&amp;"D")</f>
        <v>53603</v>
      </c>
      <c r="X2105" s="211">
        <v>2.3322615970968741E-2</v>
      </c>
      <c r="Y2105" s="232"/>
    </row>
    <row r="2106" spans="21:25" x14ac:dyDescent="0.2">
      <c r="U2106" s="209" t="str">
        <f t="shared" si="35"/>
        <v>1w</v>
      </c>
      <c r="V2106" s="207">
        <f>_xll.qlCalendarAdvance(Calendar,V2105,U2106,"f",FALSE)</f>
        <v>53610</v>
      </c>
      <c r="W2106" s="210">
        <f>_xll.qlCalendarAdvance(Calendar,V2106,NDays&amp;"D")</f>
        <v>53610</v>
      </c>
      <c r="X2106" s="211">
        <v>2.3325893250696339E-2</v>
      </c>
      <c r="Y2106" s="232"/>
    </row>
    <row r="2107" spans="21:25" x14ac:dyDescent="0.2">
      <c r="U2107" s="209" t="str">
        <f t="shared" si="35"/>
        <v>1w</v>
      </c>
      <c r="V2107" s="207">
        <f>_xll.qlCalendarAdvance(Calendar,V2106,U2107,"f",FALSE)</f>
        <v>53617</v>
      </c>
      <c r="W2107" s="210">
        <f>_xll.qlCalendarAdvance(Calendar,V2107,NDays&amp;"D")</f>
        <v>53617</v>
      </c>
      <c r="X2107" s="211">
        <v>2.3329149426825069E-2</v>
      </c>
      <c r="Y2107" s="232"/>
    </row>
    <row r="2108" spans="21:25" x14ac:dyDescent="0.2">
      <c r="U2108" s="209" t="str">
        <f t="shared" si="35"/>
        <v>1w</v>
      </c>
      <c r="V2108" s="207">
        <f>_xll.qlCalendarAdvance(Calendar,V2107,U2108,"f",FALSE)</f>
        <v>53624</v>
      </c>
      <c r="W2108" s="210">
        <f>_xll.qlCalendarAdvance(Calendar,V2108,NDays&amp;"D")</f>
        <v>53624</v>
      </c>
      <c r="X2108" s="211">
        <v>2.3332384499195058E-2</v>
      </c>
      <c r="Y2108" s="232"/>
    </row>
    <row r="2109" spans="21:25" x14ac:dyDescent="0.2">
      <c r="U2109" s="209" t="str">
        <f t="shared" si="35"/>
        <v>1w</v>
      </c>
      <c r="V2109" s="207">
        <f>_xll.qlCalendarAdvance(Calendar,V2108,U2109,"f",FALSE)</f>
        <v>53631</v>
      </c>
      <c r="W2109" s="210">
        <f>_xll.qlCalendarAdvance(Calendar,V2109,NDays&amp;"D")</f>
        <v>53631</v>
      </c>
      <c r="X2109" s="211">
        <v>2.3335598467806307E-2</v>
      </c>
      <c r="Y2109" s="232"/>
    </row>
    <row r="2110" spans="21:25" x14ac:dyDescent="0.2">
      <c r="U2110" s="209" t="str">
        <f t="shared" si="35"/>
        <v>1w</v>
      </c>
      <c r="V2110" s="207">
        <f>_xll.qlCalendarAdvance(Calendar,V2109,U2110,"f",FALSE)</f>
        <v>53638</v>
      </c>
      <c r="W2110" s="210">
        <f>_xll.qlCalendarAdvance(Calendar,V2110,NDays&amp;"D")</f>
        <v>53638</v>
      </c>
      <c r="X2110" s="211">
        <v>2.3338791332818687E-2</v>
      </c>
      <c r="Y2110" s="232"/>
    </row>
    <row r="2111" spans="21:25" x14ac:dyDescent="0.2">
      <c r="U2111" s="209" t="str">
        <f t="shared" si="35"/>
        <v>1w</v>
      </c>
      <c r="V2111" s="207">
        <f>_xll.qlCalendarAdvance(Calendar,V2110,U2111,"f",FALSE)</f>
        <v>53645</v>
      </c>
      <c r="W2111" s="210">
        <f>_xll.qlCalendarAdvance(Calendar,V2111,NDays&amp;"D")</f>
        <v>53645</v>
      </c>
      <c r="X2111" s="211">
        <v>2.3341963094232199E-2</v>
      </c>
      <c r="Y2111" s="232"/>
    </row>
    <row r="2112" spans="21:25" x14ac:dyDescent="0.2">
      <c r="U2112" s="209" t="str">
        <f t="shared" si="35"/>
        <v>1w</v>
      </c>
      <c r="V2112" s="207">
        <f>_xll.qlCalendarAdvance(Calendar,V2111,U2112,"f",FALSE)</f>
        <v>53652</v>
      </c>
      <c r="W2112" s="210">
        <f>_xll.qlCalendarAdvance(Calendar,V2112,NDays&amp;"D")</f>
        <v>53652</v>
      </c>
      <c r="X2112" s="211">
        <v>2.334511375188697E-2</v>
      </c>
      <c r="Y2112" s="232"/>
    </row>
    <row r="2113" spans="21:25" x14ac:dyDescent="0.2">
      <c r="U2113" s="209" t="str">
        <f t="shared" si="35"/>
        <v>1w</v>
      </c>
      <c r="V2113" s="207">
        <f>_xll.qlCalendarAdvance(Calendar,V2112,U2113,"f",FALSE)</f>
        <v>53659</v>
      </c>
      <c r="W2113" s="210">
        <f>_xll.qlCalendarAdvance(Calendar,V2113,NDays&amp;"D")</f>
        <v>53659</v>
      </c>
      <c r="X2113" s="211">
        <v>2.3348243305783001E-2</v>
      </c>
      <c r="Y2113" s="232"/>
    </row>
    <row r="2114" spans="21:25" x14ac:dyDescent="0.2">
      <c r="U2114" s="209" t="str">
        <f t="shared" si="35"/>
        <v>1w</v>
      </c>
      <c r="V2114" s="207">
        <f>_xll.qlCalendarAdvance(Calendar,V2113,U2114,"f",FALSE)</f>
        <v>53666</v>
      </c>
      <c r="W2114" s="210">
        <f>_xll.qlCalendarAdvance(Calendar,V2114,NDays&amp;"D")</f>
        <v>53666</v>
      </c>
      <c r="X2114" s="211">
        <v>2.3351351756160099E-2</v>
      </c>
      <c r="Y2114" s="232"/>
    </row>
    <row r="2115" spans="21:25" x14ac:dyDescent="0.2">
      <c r="U2115" s="209" t="str">
        <f t="shared" si="35"/>
        <v>1w</v>
      </c>
      <c r="V2115" s="207">
        <f>_xll.qlCalendarAdvance(Calendar,V2114,U2115,"f",FALSE)</f>
        <v>53673</v>
      </c>
      <c r="W2115" s="210">
        <f>_xll.qlCalendarAdvance(Calendar,V2115,NDays&amp;"D")</f>
        <v>53673</v>
      </c>
      <c r="X2115" s="211">
        <v>2.3354439102858393E-2</v>
      </c>
      <c r="Y2115" s="232"/>
    </row>
    <row r="2116" spans="21:25" x14ac:dyDescent="0.2">
      <c r="U2116" s="209" t="str">
        <f t="shared" si="35"/>
        <v>1w</v>
      </c>
      <c r="V2116" s="207">
        <f>_xll.qlCalendarAdvance(Calendar,V2115,U2116,"f",FALSE)</f>
        <v>53680</v>
      </c>
      <c r="W2116" s="210">
        <f>_xll.qlCalendarAdvance(Calendar,V2116,NDays&amp;"D")</f>
        <v>53680</v>
      </c>
      <c r="X2116" s="211">
        <v>2.335750534571801E-2</v>
      </c>
      <c r="Y2116" s="232"/>
    </row>
    <row r="2117" spans="21:25" x14ac:dyDescent="0.2">
      <c r="U2117" s="209" t="str">
        <f t="shared" si="35"/>
        <v>1w</v>
      </c>
      <c r="V2117" s="207">
        <f>_xll.qlCalendarAdvance(Calendar,V2116,U2117,"f",FALSE)</f>
        <v>53688</v>
      </c>
      <c r="W2117" s="210">
        <f>_xll.qlCalendarAdvance(Calendar,V2117,NDays&amp;"D")</f>
        <v>53688</v>
      </c>
      <c r="X2117" s="211">
        <v>2.3360983782216849E-2</v>
      </c>
      <c r="Y2117" s="232"/>
    </row>
    <row r="2118" spans="21:25" x14ac:dyDescent="0.2">
      <c r="U2118" s="209" t="str">
        <f t="shared" si="35"/>
        <v>1w</v>
      </c>
      <c r="V2118" s="207">
        <f>_xll.qlCalendarAdvance(Calendar,V2117,U2118,"f",FALSE)</f>
        <v>53695</v>
      </c>
      <c r="W2118" s="210">
        <f>_xll.qlCalendarAdvance(Calendar,V2118,NDays&amp;"D")</f>
        <v>53695</v>
      </c>
      <c r="X2118" s="211">
        <v>2.3364004802930438E-2</v>
      </c>
      <c r="Y2118" s="232"/>
    </row>
    <row r="2119" spans="21:25" x14ac:dyDescent="0.2">
      <c r="U2119" s="209" t="str">
        <f t="shared" si="35"/>
        <v>1w</v>
      </c>
      <c r="V2119" s="207">
        <f>_xll.qlCalendarAdvance(Calendar,V2118,U2119,"f",FALSE)</f>
        <v>53702</v>
      </c>
      <c r="W2119" s="210">
        <f>_xll.qlCalendarAdvance(Calendar,V2119,NDays&amp;"D")</f>
        <v>53702</v>
      </c>
      <c r="X2119" s="211">
        <v>2.3367004720045159E-2</v>
      </c>
      <c r="Y2119" s="232"/>
    </row>
    <row r="2120" spans="21:25" x14ac:dyDescent="0.2">
      <c r="U2120" s="209" t="str">
        <f t="shared" si="35"/>
        <v>1w</v>
      </c>
      <c r="V2120" s="207">
        <f>_xll.qlCalendarAdvance(Calendar,V2119,U2120,"f",FALSE)</f>
        <v>53709</v>
      </c>
      <c r="W2120" s="210">
        <f>_xll.qlCalendarAdvance(Calendar,V2120,NDays&amp;"D")</f>
        <v>53709</v>
      </c>
      <c r="X2120" s="211">
        <v>2.3369983533481076E-2</v>
      </c>
      <c r="Y2120" s="232"/>
    </row>
    <row r="2121" spans="21:25" x14ac:dyDescent="0.2">
      <c r="U2121" s="209" t="str">
        <f t="shared" si="35"/>
        <v>1w</v>
      </c>
      <c r="V2121" s="207">
        <f>_xll.qlCalendarAdvance(Calendar,V2120,U2121,"f",FALSE)</f>
        <v>53716</v>
      </c>
      <c r="W2121" s="210">
        <f>_xll.qlCalendarAdvance(Calendar,V2121,NDays&amp;"D")</f>
        <v>53716</v>
      </c>
      <c r="X2121" s="211">
        <v>2.3372941243078316E-2</v>
      </c>
      <c r="Y2121" s="232"/>
    </row>
    <row r="2122" spans="21:25" x14ac:dyDescent="0.2">
      <c r="U2122" s="209" t="str">
        <f t="shared" si="35"/>
        <v>1w</v>
      </c>
      <c r="V2122" s="207">
        <f>_xll.qlCalendarAdvance(Calendar,V2121,U2122,"f",FALSE)</f>
        <v>53723</v>
      </c>
      <c r="W2122" s="210">
        <f>_xll.qlCalendarAdvance(Calendar,V2122,NDays&amp;"D")</f>
        <v>53723</v>
      </c>
      <c r="X2122" s="211">
        <v>2.3375877849156623E-2</v>
      </c>
      <c r="Y2122" s="232"/>
    </row>
    <row r="2123" spans="21:25" x14ac:dyDescent="0.2">
      <c r="U2123" s="209" t="str">
        <f t="shared" si="35"/>
        <v>1w</v>
      </c>
      <c r="V2123" s="207">
        <f>_xll.qlCalendarAdvance(Calendar,V2122,U2123,"f",FALSE)</f>
        <v>53730</v>
      </c>
      <c r="W2123" s="210">
        <f>_xll.qlCalendarAdvance(Calendar,V2123,NDays&amp;"D")</f>
        <v>53730</v>
      </c>
      <c r="X2123" s="211">
        <v>2.3378793351556126E-2</v>
      </c>
      <c r="Y2123" s="232"/>
    </row>
    <row r="2124" spans="21:25" x14ac:dyDescent="0.2">
      <c r="U2124" s="209" t="str">
        <f t="shared" si="35"/>
        <v>1w</v>
      </c>
      <c r="V2124" s="207">
        <f>_xll.qlCalendarAdvance(Calendar,V2123,U2124,"f",FALSE)</f>
        <v>53737</v>
      </c>
      <c r="W2124" s="210">
        <f>_xll.qlCalendarAdvance(Calendar,V2124,NDays&amp;"D")</f>
        <v>53737</v>
      </c>
      <c r="X2124" s="211">
        <v>2.3381687750276825E-2</v>
      </c>
      <c r="Y2124" s="232"/>
    </row>
    <row r="2125" spans="21:25" x14ac:dyDescent="0.2">
      <c r="U2125" s="209" t="str">
        <f t="shared" ref="U2125:U2188" si="36">U2124</f>
        <v>1w</v>
      </c>
      <c r="V2125" s="207">
        <f>_xll.qlCalendarAdvance(Calendar,V2124,U2125,"f",FALSE)</f>
        <v>53744</v>
      </c>
      <c r="W2125" s="210">
        <f>_xll.qlCalendarAdvance(Calendar,V2125,NDays&amp;"D")</f>
        <v>53744</v>
      </c>
      <c r="X2125" s="211">
        <v>2.3384561045158847E-2</v>
      </c>
      <c r="Y2125" s="232"/>
    </row>
    <row r="2126" spans="21:25" x14ac:dyDescent="0.2">
      <c r="U2126" s="209" t="str">
        <f t="shared" si="36"/>
        <v>1w</v>
      </c>
      <c r="V2126" s="207">
        <f>_xll.qlCalendarAdvance(Calendar,V2125,U2126,"f",FALSE)</f>
        <v>53751</v>
      </c>
      <c r="W2126" s="210">
        <f>_xll.qlCalendarAdvance(Calendar,V2126,NDays&amp;"D")</f>
        <v>53751</v>
      </c>
      <c r="X2126" s="211">
        <v>2.3387413236521937E-2</v>
      </c>
      <c r="Y2126" s="232"/>
    </row>
    <row r="2127" spans="21:25" x14ac:dyDescent="0.2">
      <c r="U2127" s="209" t="str">
        <f t="shared" si="36"/>
        <v>1w</v>
      </c>
      <c r="V2127" s="207">
        <f>_xll.qlCalendarAdvance(Calendar,V2126,U2127,"f",FALSE)</f>
        <v>53758</v>
      </c>
      <c r="W2127" s="210">
        <f>_xll.qlCalendarAdvance(Calendar,V2127,NDays&amp;"D")</f>
        <v>53758</v>
      </c>
      <c r="X2127" s="211">
        <v>2.3390244324126286E-2</v>
      </c>
      <c r="Y2127" s="232"/>
    </row>
    <row r="2128" spans="21:25" x14ac:dyDescent="0.2">
      <c r="U2128" s="209" t="str">
        <f t="shared" si="36"/>
        <v>1w</v>
      </c>
      <c r="V2128" s="207">
        <f>_xll.qlCalendarAdvance(Calendar,V2127,U2128,"f",FALSE)</f>
        <v>53765</v>
      </c>
      <c r="W2128" s="210">
        <f>_xll.qlCalendarAdvance(Calendar,V2128,NDays&amp;"D")</f>
        <v>53765</v>
      </c>
      <c r="X2128" s="211">
        <v>2.3393054308051831E-2</v>
      </c>
      <c r="Y2128" s="232"/>
    </row>
    <row r="2129" spans="21:25" x14ac:dyDescent="0.2">
      <c r="U2129" s="209" t="str">
        <f t="shared" si="36"/>
        <v>1w</v>
      </c>
      <c r="V2129" s="207">
        <f>_xll.qlCalendarAdvance(Calendar,V2128,U2129,"f",FALSE)</f>
        <v>53772</v>
      </c>
      <c r="W2129" s="210">
        <f>_xll.qlCalendarAdvance(Calendar,V2129,NDays&amp;"D")</f>
        <v>53772</v>
      </c>
      <c r="X2129" s="211">
        <v>2.3395843188218635E-2</v>
      </c>
      <c r="Y2129" s="232"/>
    </row>
    <row r="2130" spans="21:25" x14ac:dyDescent="0.2">
      <c r="U2130" s="209" t="str">
        <f t="shared" si="36"/>
        <v>1w</v>
      </c>
      <c r="V2130" s="207">
        <f>_xll.qlCalendarAdvance(Calendar,V2129,U2130,"f",FALSE)</f>
        <v>53779</v>
      </c>
      <c r="W2130" s="210">
        <f>_xll.qlCalendarAdvance(Calendar,V2130,NDays&amp;"D")</f>
        <v>53779</v>
      </c>
      <c r="X2130" s="211">
        <v>2.339861096478657E-2</v>
      </c>
      <c r="Y2130" s="232"/>
    </row>
    <row r="2131" spans="21:25" x14ac:dyDescent="0.2">
      <c r="U2131" s="209" t="str">
        <f t="shared" si="36"/>
        <v>1w</v>
      </c>
      <c r="V2131" s="207">
        <f>_xll.qlCalendarAdvance(Calendar,V2130,U2131,"f",FALSE)</f>
        <v>53786</v>
      </c>
      <c r="W2131" s="210">
        <f>_xll.qlCalendarAdvance(Calendar,V2131,NDays&amp;"D")</f>
        <v>53786</v>
      </c>
      <c r="X2131" s="211">
        <v>2.3401357637675702E-2</v>
      </c>
      <c r="Y2131" s="232"/>
    </row>
    <row r="2132" spans="21:25" x14ac:dyDescent="0.2">
      <c r="U2132" s="209" t="str">
        <f t="shared" si="36"/>
        <v>1w</v>
      </c>
      <c r="V2132" s="207">
        <f>_xll.qlCalendarAdvance(Calendar,V2131,U2132,"f",FALSE)</f>
        <v>53793</v>
      </c>
      <c r="W2132" s="210">
        <f>_xll.qlCalendarAdvance(Calendar,V2132,NDays&amp;"D")</f>
        <v>53793</v>
      </c>
      <c r="X2132" s="211">
        <v>2.3407901095019668E-2</v>
      </c>
      <c r="Y2132" s="232"/>
    </row>
    <row r="2133" spans="21:25" x14ac:dyDescent="0.2">
      <c r="U2133" s="209" t="str">
        <f t="shared" si="36"/>
        <v>1w</v>
      </c>
      <c r="V2133" s="207">
        <f>_xll.qlCalendarAdvance(Calendar,V2132,U2133,"f",FALSE)</f>
        <v>53800</v>
      </c>
      <c r="W2133" s="210">
        <f>_xll.qlCalendarAdvance(Calendar,V2133,NDays&amp;"D")</f>
        <v>53800</v>
      </c>
      <c r="X2133" s="211">
        <v>2.3406787672337614E-2</v>
      </c>
      <c r="Y2133" s="232"/>
    </row>
    <row r="2134" spans="21:25" x14ac:dyDescent="0.2">
      <c r="U2134" s="209" t="str">
        <f t="shared" si="36"/>
        <v>1w</v>
      </c>
      <c r="V2134" s="207">
        <f>_xll.qlCalendarAdvance(Calendar,V2133,U2134,"f",FALSE)</f>
        <v>53807</v>
      </c>
      <c r="W2134" s="210">
        <f>_xll.qlCalendarAdvance(Calendar,V2134,NDays&amp;"D")</f>
        <v>53807</v>
      </c>
      <c r="X2134" s="211">
        <v>2.3409471034190332E-2</v>
      </c>
      <c r="Y2134" s="232"/>
    </row>
    <row r="2135" spans="21:25" x14ac:dyDescent="0.2">
      <c r="U2135" s="209" t="str">
        <f t="shared" si="36"/>
        <v>1w</v>
      </c>
      <c r="V2135" s="207">
        <f>_xll.qlCalendarAdvance(Calendar,V2134,U2135,"f",FALSE)</f>
        <v>53814</v>
      </c>
      <c r="W2135" s="210">
        <f>_xll.qlCalendarAdvance(Calendar,V2135,NDays&amp;"D")</f>
        <v>53814</v>
      </c>
      <c r="X2135" s="211">
        <v>2.3412133292204373E-2</v>
      </c>
      <c r="Y2135" s="232"/>
    </row>
    <row r="2136" spans="21:25" x14ac:dyDescent="0.2">
      <c r="U2136" s="209" t="str">
        <f t="shared" si="36"/>
        <v>1w</v>
      </c>
      <c r="V2136" s="207">
        <f>_xll.qlCalendarAdvance(Calendar,V2135,U2136,"f",FALSE)</f>
        <v>53821</v>
      </c>
      <c r="W2136" s="210">
        <f>_xll.qlCalendarAdvance(Calendar,V2136,NDays&amp;"D")</f>
        <v>53821</v>
      </c>
      <c r="X2136" s="211">
        <v>2.3414774446619546E-2</v>
      </c>
      <c r="Y2136" s="232"/>
    </row>
    <row r="2137" spans="21:25" x14ac:dyDescent="0.2">
      <c r="U2137" s="209" t="str">
        <f t="shared" si="36"/>
        <v>1w</v>
      </c>
      <c r="V2137" s="207">
        <f>_xll.qlCalendarAdvance(Calendar,V2136,U2137,"f",FALSE)</f>
        <v>53828</v>
      </c>
      <c r="W2137" s="210">
        <f>_xll.qlCalendarAdvance(Calendar,V2137,NDays&amp;"D")</f>
        <v>53828</v>
      </c>
      <c r="X2137" s="211">
        <v>2.3417394497355914E-2</v>
      </c>
      <c r="Y2137" s="232"/>
    </row>
    <row r="2138" spans="21:25" x14ac:dyDescent="0.2">
      <c r="U2138" s="209" t="str">
        <f t="shared" si="36"/>
        <v>1w</v>
      </c>
      <c r="V2138" s="207">
        <f>_xll.qlCalendarAdvance(Calendar,V2137,U2138,"f",FALSE)</f>
        <v>53835</v>
      </c>
      <c r="W2138" s="210">
        <f>_xll.qlCalendarAdvance(Calendar,V2138,NDays&amp;"D")</f>
        <v>53835</v>
      </c>
      <c r="X2138" s="211">
        <v>2.3419993444413478E-2</v>
      </c>
      <c r="Y2138" s="232"/>
    </row>
    <row r="2139" spans="21:25" x14ac:dyDescent="0.2">
      <c r="U2139" s="209" t="str">
        <f t="shared" si="36"/>
        <v>1w</v>
      </c>
      <c r="V2139" s="207">
        <f>_xll.qlCalendarAdvance(Calendar,V2138,U2139,"f",FALSE)</f>
        <v>53842</v>
      </c>
      <c r="W2139" s="210">
        <f>_xll.qlCalendarAdvance(Calendar,V2139,NDays&amp;"D")</f>
        <v>53842</v>
      </c>
      <c r="X2139" s="211">
        <v>2.3422571287712302E-2</v>
      </c>
      <c r="Y2139" s="232"/>
    </row>
    <row r="2140" spans="21:25" x14ac:dyDescent="0.2">
      <c r="U2140" s="209" t="str">
        <f t="shared" si="36"/>
        <v>1w</v>
      </c>
      <c r="V2140" s="207">
        <f>_xll.qlCalendarAdvance(Calendar,V2139,U2140,"f",FALSE)</f>
        <v>53849</v>
      </c>
      <c r="W2140" s="210">
        <f>_xll.qlCalendarAdvance(Calendar,V2140,NDays&amp;"D")</f>
        <v>53849</v>
      </c>
      <c r="X2140" s="211">
        <v>2.342512802733232E-2</v>
      </c>
      <c r="Y2140" s="232"/>
    </row>
    <row r="2141" spans="21:25" x14ac:dyDescent="0.2">
      <c r="U2141" s="209" t="str">
        <f t="shared" si="36"/>
        <v>1w</v>
      </c>
      <c r="V2141" s="207">
        <f>_xll.qlCalendarAdvance(Calendar,V2140,U2141,"f",FALSE)</f>
        <v>53856</v>
      </c>
      <c r="W2141" s="210">
        <f>_xll.qlCalendarAdvance(Calendar,V2141,NDays&amp;"D")</f>
        <v>53856</v>
      </c>
      <c r="X2141" s="211">
        <v>2.3427663663353471E-2</v>
      </c>
      <c r="Y2141" s="232"/>
    </row>
    <row r="2142" spans="21:25" x14ac:dyDescent="0.2">
      <c r="U2142" s="209" t="str">
        <f t="shared" si="36"/>
        <v>1w</v>
      </c>
      <c r="V2142" s="207">
        <f>_xll.qlCalendarAdvance(Calendar,V2141,U2142,"f",FALSE)</f>
        <v>53863</v>
      </c>
      <c r="W2142" s="210">
        <f>_xll.qlCalendarAdvance(Calendar,V2142,NDays&amp;"D")</f>
        <v>53863</v>
      </c>
      <c r="X2142" s="211">
        <v>2.3430178195615881E-2</v>
      </c>
      <c r="Y2142" s="232"/>
    </row>
    <row r="2143" spans="21:25" x14ac:dyDescent="0.2">
      <c r="U2143" s="209" t="str">
        <f t="shared" si="36"/>
        <v>1w</v>
      </c>
      <c r="V2143" s="207">
        <f>_xll.qlCalendarAdvance(Calendar,V2142,U2143,"f",FALSE)</f>
        <v>53870</v>
      </c>
      <c r="W2143" s="210">
        <f>_xll.qlCalendarAdvance(Calendar,V2143,NDays&amp;"D")</f>
        <v>53870</v>
      </c>
      <c r="X2143" s="211">
        <v>2.343267162411955E-2</v>
      </c>
      <c r="Y2143" s="232"/>
    </row>
    <row r="2144" spans="21:25" x14ac:dyDescent="0.2">
      <c r="U2144" s="209" t="str">
        <f t="shared" si="36"/>
        <v>1w</v>
      </c>
      <c r="V2144" s="207">
        <f>_xll.qlCalendarAdvance(Calendar,V2143,U2144,"f",FALSE)</f>
        <v>53877</v>
      </c>
      <c r="W2144" s="210">
        <f>_xll.qlCalendarAdvance(Calendar,V2144,NDays&amp;"D")</f>
        <v>53877</v>
      </c>
      <c r="X2144" s="211">
        <v>2.3435143948944415E-2</v>
      </c>
      <c r="Y2144" s="232"/>
    </row>
    <row r="2145" spans="21:25" x14ac:dyDescent="0.2">
      <c r="U2145" s="209" t="str">
        <f t="shared" si="36"/>
        <v>1w</v>
      </c>
      <c r="V2145" s="207">
        <f>_xll.qlCalendarAdvance(Calendar,V2144,U2145,"f",FALSE)</f>
        <v>53884</v>
      </c>
      <c r="W2145" s="210">
        <f>_xll.qlCalendarAdvance(Calendar,V2145,NDays&amp;"D")</f>
        <v>53884</v>
      </c>
      <c r="X2145" s="211">
        <v>2.3437595170170411E-2</v>
      </c>
      <c r="Y2145" s="232"/>
    </row>
    <row r="2146" spans="21:25" x14ac:dyDescent="0.2">
      <c r="U2146" s="209" t="str">
        <f t="shared" si="36"/>
        <v>1w</v>
      </c>
      <c r="V2146" s="207">
        <f>_xll.qlCalendarAdvance(Calendar,V2145,U2146,"f",FALSE)</f>
        <v>53891</v>
      </c>
      <c r="W2146" s="210">
        <f>_xll.qlCalendarAdvance(Calendar,V2146,NDays&amp;"D")</f>
        <v>53891</v>
      </c>
      <c r="X2146" s="211">
        <v>2.3440025287637667E-2</v>
      </c>
      <c r="Y2146" s="232"/>
    </row>
    <row r="2147" spans="21:25" x14ac:dyDescent="0.2">
      <c r="U2147" s="209" t="str">
        <f t="shared" si="36"/>
        <v>1w</v>
      </c>
      <c r="V2147" s="207">
        <f>_xll.qlCalendarAdvance(Calendar,V2146,U2147,"f",FALSE)</f>
        <v>53898</v>
      </c>
      <c r="W2147" s="210">
        <f>_xll.qlCalendarAdvance(Calendar,V2147,NDays&amp;"D")</f>
        <v>53898</v>
      </c>
      <c r="X2147" s="211">
        <v>2.3442434301346182E-2</v>
      </c>
      <c r="Y2147" s="232"/>
    </row>
    <row r="2148" spans="21:25" x14ac:dyDescent="0.2">
      <c r="U2148" s="209" t="str">
        <f t="shared" si="36"/>
        <v>1w</v>
      </c>
      <c r="V2148" s="207">
        <f>_xll.qlCalendarAdvance(Calendar,V2147,U2148,"f",FALSE)</f>
        <v>53905</v>
      </c>
      <c r="W2148" s="210">
        <f>_xll.qlCalendarAdvance(Calendar,V2148,NDays&amp;"D")</f>
        <v>53905</v>
      </c>
      <c r="X2148" s="211">
        <v>2.3444822211535765E-2</v>
      </c>
      <c r="Y2148" s="232"/>
    </row>
    <row r="2149" spans="21:25" x14ac:dyDescent="0.2">
      <c r="U2149" s="209" t="str">
        <f t="shared" si="36"/>
        <v>1w</v>
      </c>
      <c r="V2149" s="207">
        <f>_xll.qlCalendarAdvance(Calendar,V2148,U2149,"f",FALSE)</f>
        <v>53912</v>
      </c>
      <c r="W2149" s="210">
        <f>_xll.qlCalendarAdvance(Calendar,V2149,NDays&amp;"D")</f>
        <v>53912</v>
      </c>
      <c r="X2149" s="211">
        <v>2.3447189017886672E-2</v>
      </c>
      <c r="Y2149" s="232"/>
    </row>
    <row r="2150" spans="21:25" x14ac:dyDescent="0.2">
      <c r="U2150" s="209" t="str">
        <f t="shared" si="36"/>
        <v>1w</v>
      </c>
      <c r="V2150" s="207">
        <f>_xll.qlCalendarAdvance(Calendar,V2149,U2150,"f",FALSE)</f>
        <v>53919</v>
      </c>
      <c r="W2150" s="210">
        <f>_xll.qlCalendarAdvance(Calendar,V2150,NDays&amp;"D")</f>
        <v>53919</v>
      </c>
      <c r="X2150" s="211">
        <v>2.3449534720478837E-2</v>
      </c>
      <c r="Y2150" s="232"/>
    </row>
    <row r="2151" spans="21:25" x14ac:dyDescent="0.2">
      <c r="U2151" s="209" t="str">
        <f t="shared" si="36"/>
        <v>1w</v>
      </c>
      <c r="V2151" s="207">
        <f>_xll.qlCalendarAdvance(Calendar,V2150,U2151,"f",FALSE)</f>
        <v>53926</v>
      </c>
      <c r="W2151" s="210">
        <f>_xll.qlCalendarAdvance(Calendar,V2151,NDays&amp;"D")</f>
        <v>53926</v>
      </c>
      <c r="X2151" s="211">
        <v>2.3451859319552071E-2</v>
      </c>
      <c r="Y2151" s="232"/>
    </row>
    <row r="2152" spans="21:25" x14ac:dyDescent="0.2">
      <c r="U2152" s="209" t="str">
        <f t="shared" si="36"/>
        <v>1w</v>
      </c>
      <c r="V2152" s="207">
        <f>_xll.qlCalendarAdvance(Calendar,V2151,U2152,"f",FALSE)</f>
        <v>53933</v>
      </c>
      <c r="W2152" s="210">
        <f>_xll.qlCalendarAdvance(Calendar,V2152,NDays&amp;"D")</f>
        <v>53933</v>
      </c>
      <c r="X2152" s="211">
        <v>2.3454162814866564E-2</v>
      </c>
      <c r="Y2152" s="232"/>
    </row>
    <row r="2153" spans="21:25" x14ac:dyDescent="0.2">
      <c r="U2153" s="209" t="str">
        <f t="shared" si="36"/>
        <v>1w</v>
      </c>
      <c r="V2153" s="207">
        <f>_xll.qlCalendarAdvance(Calendar,V2152,U2153,"f",FALSE)</f>
        <v>53940</v>
      </c>
      <c r="W2153" s="210">
        <f>_xll.qlCalendarAdvance(Calendar,V2153,NDays&amp;"D")</f>
        <v>53940</v>
      </c>
      <c r="X2153" s="211">
        <v>2.3456445206502252E-2</v>
      </c>
      <c r="Y2153" s="232"/>
    </row>
    <row r="2154" spans="21:25" x14ac:dyDescent="0.2">
      <c r="U2154" s="209" t="str">
        <f t="shared" si="36"/>
        <v>1w</v>
      </c>
      <c r="V2154" s="207">
        <f>_xll.qlCalendarAdvance(Calendar,V2153,U2154,"f",FALSE)</f>
        <v>53947</v>
      </c>
      <c r="W2154" s="210">
        <f>_xll.qlCalendarAdvance(Calendar,V2154,NDays&amp;"D")</f>
        <v>53947</v>
      </c>
      <c r="X2154" s="211">
        <v>2.3458706494299264E-2</v>
      </c>
      <c r="Y2154" s="232"/>
    </row>
    <row r="2155" spans="21:25" x14ac:dyDescent="0.2">
      <c r="U2155" s="209" t="str">
        <f t="shared" si="36"/>
        <v>1w</v>
      </c>
      <c r="V2155" s="207">
        <f>_xll.qlCalendarAdvance(Calendar,V2154,U2155,"f",FALSE)</f>
        <v>53954</v>
      </c>
      <c r="W2155" s="210">
        <f>_xll.qlCalendarAdvance(Calendar,V2155,NDays&amp;"D")</f>
        <v>53954</v>
      </c>
      <c r="X2155" s="211">
        <v>2.3460946678577344E-2</v>
      </c>
      <c r="Y2155" s="232"/>
    </row>
    <row r="2156" spans="21:25" x14ac:dyDescent="0.2">
      <c r="U2156" s="209" t="str">
        <f t="shared" si="36"/>
        <v>1w</v>
      </c>
      <c r="V2156" s="207">
        <f>_xll.qlCalendarAdvance(Calendar,V2155,U2156,"f",FALSE)</f>
        <v>53961</v>
      </c>
      <c r="W2156" s="210">
        <f>_xll.qlCalendarAdvance(Calendar,V2156,NDays&amp;"D")</f>
        <v>53961</v>
      </c>
      <c r="X2156" s="211">
        <v>2.3463165759016746E-2</v>
      </c>
      <c r="Y2156" s="232"/>
    </row>
    <row r="2157" spans="21:25" x14ac:dyDescent="0.2">
      <c r="U2157" s="209" t="str">
        <f t="shared" si="36"/>
        <v>1w</v>
      </c>
      <c r="V2157" s="207">
        <f>_xll.qlCalendarAdvance(Calendar,V2156,U2157,"f",FALSE)</f>
        <v>53968</v>
      </c>
      <c r="W2157" s="210">
        <f>_xll.qlCalendarAdvance(Calendar,V2157,NDays&amp;"D")</f>
        <v>53968</v>
      </c>
      <c r="X2157" s="211">
        <v>2.3465363735857281E-2</v>
      </c>
      <c r="Y2157" s="232"/>
    </row>
    <row r="2158" spans="21:25" x14ac:dyDescent="0.2">
      <c r="U2158" s="209" t="str">
        <f t="shared" si="36"/>
        <v>1w</v>
      </c>
      <c r="V2158" s="207">
        <f>_xll.qlCalendarAdvance(Calendar,V2157,U2158,"f",FALSE)</f>
        <v>53975</v>
      </c>
      <c r="W2158" s="210">
        <f>_xll.qlCalendarAdvance(Calendar,V2158,NDays&amp;"D")</f>
        <v>53975</v>
      </c>
      <c r="X2158" s="211">
        <v>2.3467540608939075E-2</v>
      </c>
      <c r="Y2158" s="232"/>
    </row>
    <row r="2159" spans="21:25" x14ac:dyDescent="0.2">
      <c r="U2159" s="209" t="str">
        <f t="shared" si="36"/>
        <v>1w</v>
      </c>
      <c r="V2159" s="207">
        <f>_xll.qlCalendarAdvance(Calendar,V2158,U2159,"f",FALSE)</f>
        <v>53982</v>
      </c>
      <c r="W2159" s="210">
        <f>_xll.qlCalendarAdvance(Calendar,V2159,NDays&amp;"D")</f>
        <v>53982</v>
      </c>
      <c r="X2159" s="211">
        <v>2.3469696378422E-2</v>
      </c>
      <c r="Y2159" s="232"/>
    </row>
    <row r="2160" spans="21:25" x14ac:dyDescent="0.2">
      <c r="U2160" s="209" t="str">
        <f t="shared" si="36"/>
        <v>1w</v>
      </c>
      <c r="V2160" s="207">
        <f>_xll.qlCalendarAdvance(Calendar,V2159,U2160,"f",FALSE)</f>
        <v>53989</v>
      </c>
      <c r="W2160" s="210">
        <f>_xll.qlCalendarAdvance(Calendar,V2160,NDays&amp;"D")</f>
        <v>53989</v>
      </c>
      <c r="X2160" s="211">
        <v>2.3471831043986313E-2</v>
      </c>
      <c r="Y2160" s="232"/>
    </row>
    <row r="2161" spans="21:25" x14ac:dyDescent="0.2">
      <c r="U2161" s="209" t="str">
        <f t="shared" si="36"/>
        <v>1w</v>
      </c>
      <c r="V2161" s="207">
        <f>_xll.qlCalendarAdvance(Calendar,V2160,U2161,"f",FALSE)</f>
        <v>53996</v>
      </c>
      <c r="W2161" s="210">
        <f>_xll.qlCalendarAdvance(Calendar,V2161,NDays&amp;"D")</f>
        <v>53996</v>
      </c>
      <c r="X2161" s="211">
        <v>2.3473944605951758E-2</v>
      </c>
      <c r="Y2161" s="232"/>
    </row>
    <row r="2162" spans="21:25" x14ac:dyDescent="0.2">
      <c r="U2162" s="209" t="str">
        <f t="shared" si="36"/>
        <v>1w</v>
      </c>
      <c r="V2162" s="207">
        <f>_xll.qlCalendarAdvance(Calendar,V2161,U2162,"f",FALSE)</f>
        <v>54003</v>
      </c>
      <c r="W2162" s="210">
        <f>_xll.qlCalendarAdvance(Calendar,V2162,NDays&amp;"D")</f>
        <v>54003</v>
      </c>
      <c r="X2162" s="211">
        <v>2.3476037064238398E-2</v>
      </c>
      <c r="Y2162" s="232"/>
    </row>
    <row r="2163" spans="21:25" x14ac:dyDescent="0.2">
      <c r="U2163" s="209" t="str">
        <f t="shared" si="36"/>
        <v>1w</v>
      </c>
      <c r="V2163" s="207">
        <f>_xll.qlCalendarAdvance(Calendar,V2162,U2163,"f",FALSE)</f>
        <v>54010</v>
      </c>
      <c r="W2163" s="210">
        <f>_xll.qlCalendarAdvance(Calendar,V2163,NDays&amp;"D")</f>
        <v>54010</v>
      </c>
      <c r="X2163" s="211">
        <v>2.3478108418926169E-2</v>
      </c>
      <c r="Y2163" s="232"/>
    </row>
    <row r="2164" spans="21:25" x14ac:dyDescent="0.2">
      <c r="U2164" s="209" t="str">
        <f t="shared" si="36"/>
        <v>1w</v>
      </c>
      <c r="V2164" s="207">
        <f>_xll.qlCalendarAdvance(Calendar,V2163,U2164,"f",FALSE)</f>
        <v>54017</v>
      </c>
      <c r="W2164" s="210">
        <f>_xll.qlCalendarAdvance(Calendar,V2164,NDays&amp;"D")</f>
        <v>54017</v>
      </c>
      <c r="X2164" s="211">
        <v>2.3480158669775264E-2</v>
      </c>
      <c r="Y2164" s="232"/>
    </row>
    <row r="2165" spans="21:25" x14ac:dyDescent="0.2">
      <c r="U2165" s="209" t="str">
        <f t="shared" si="36"/>
        <v>1w</v>
      </c>
      <c r="V2165" s="207">
        <f>_xll.qlCalendarAdvance(Calendar,V2164,U2165,"f",FALSE)</f>
        <v>54024</v>
      </c>
      <c r="W2165" s="210">
        <f>_xll.qlCalendarAdvance(Calendar,V2165,NDays&amp;"D")</f>
        <v>54024</v>
      </c>
      <c r="X2165" s="211">
        <v>2.3482187816945554E-2</v>
      </c>
      <c r="Y2165" s="232"/>
    </row>
    <row r="2166" spans="21:25" x14ac:dyDescent="0.2">
      <c r="U2166" s="209" t="str">
        <f t="shared" si="36"/>
        <v>1w</v>
      </c>
      <c r="V2166" s="207">
        <f>_xll.qlCalendarAdvance(Calendar,V2165,U2166,"f",FALSE)</f>
        <v>54031</v>
      </c>
      <c r="W2166" s="210">
        <f>_xll.qlCalendarAdvance(Calendar,V2166,NDays&amp;"D")</f>
        <v>54031</v>
      </c>
      <c r="X2166" s="211">
        <v>2.348419586043704E-2</v>
      </c>
      <c r="Y2166" s="232"/>
    </row>
    <row r="2167" spans="21:25" x14ac:dyDescent="0.2">
      <c r="U2167" s="209" t="str">
        <f t="shared" si="36"/>
        <v>1w</v>
      </c>
      <c r="V2167" s="207">
        <f>_xll.qlCalendarAdvance(Calendar,V2166,U2167,"f",FALSE)</f>
        <v>54038</v>
      </c>
      <c r="W2167" s="210">
        <f>_xll.qlCalendarAdvance(Calendar,V2167,NDays&amp;"D")</f>
        <v>54038</v>
      </c>
      <c r="X2167" s="211">
        <v>2.3486182800249722E-2</v>
      </c>
      <c r="Y2167" s="232"/>
    </row>
    <row r="2168" spans="21:25" x14ac:dyDescent="0.2">
      <c r="U2168" s="209" t="str">
        <f t="shared" si="36"/>
        <v>1w</v>
      </c>
      <c r="V2168" s="207">
        <f>_xll.qlCalendarAdvance(Calendar,V2167,U2168,"f",FALSE)</f>
        <v>54045</v>
      </c>
      <c r="W2168" s="210">
        <f>_xll.qlCalendarAdvance(Calendar,V2168,NDays&amp;"D")</f>
        <v>54045</v>
      </c>
      <c r="X2168" s="211">
        <v>2.3488148636303663E-2</v>
      </c>
      <c r="Y2168" s="232"/>
    </row>
    <row r="2169" spans="21:25" x14ac:dyDescent="0.2">
      <c r="U2169" s="209" t="str">
        <f t="shared" si="36"/>
        <v>1w</v>
      </c>
      <c r="V2169" s="207">
        <f>_xll.qlCalendarAdvance(Calendar,V2168,U2169,"f",FALSE)</f>
        <v>54053</v>
      </c>
      <c r="W2169" s="210">
        <f>_xll.qlCalendarAdvance(Calendar,V2169,NDays&amp;"D")</f>
        <v>54053</v>
      </c>
      <c r="X2169" s="211">
        <v>2.3492177826751615E-2</v>
      </c>
      <c r="Y2169" s="232"/>
    </row>
    <row r="2170" spans="21:25" x14ac:dyDescent="0.2">
      <c r="U2170" s="209" t="str">
        <f t="shared" si="36"/>
        <v>1w</v>
      </c>
      <c r="V2170" s="207">
        <f>_xll.qlCalendarAdvance(Calendar,V2169,U2170,"f",FALSE)</f>
        <v>54060</v>
      </c>
      <c r="W2170" s="210">
        <f>_xll.qlCalendarAdvance(Calendar,V2170,NDays&amp;"D")</f>
        <v>54060</v>
      </c>
      <c r="X2170" s="211">
        <v>2.349409567607097E-2</v>
      </c>
      <c r="Y2170" s="232"/>
    </row>
    <row r="2171" spans="21:25" x14ac:dyDescent="0.2">
      <c r="U2171" s="209" t="str">
        <f t="shared" si="36"/>
        <v>1w</v>
      </c>
      <c r="V2171" s="207">
        <f>_xll.qlCalendarAdvance(Calendar,V2170,U2171,"f",FALSE)</f>
        <v>54067</v>
      </c>
      <c r="W2171" s="210">
        <f>_xll.qlCalendarAdvance(Calendar,V2171,NDays&amp;"D")</f>
        <v>54067</v>
      </c>
      <c r="X2171" s="211">
        <v>2.3495992418913758E-2</v>
      </c>
      <c r="Y2171" s="232"/>
    </row>
    <row r="2172" spans="21:25" x14ac:dyDescent="0.2">
      <c r="U2172" s="209" t="str">
        <f t="shared" si="36"/>
        <v>1w</v>
      </c>
      <c r="V2172" s="207">
        <f>_xll.qlCalendarAdvance(Calendar,V2171,U2172,"f",FALSE)</f>
        <v>54074</v>
      </c>
      <c r="W2172" s="210">
        <f>_xll.qlCalendarAdvance(Calendar,V2172,NDays&amp;"D")</f>
        <v>54074</v>
      </c>
      <c r="X2172" s="211">
        <v>2.3497868055359916E-2</v>
      </c>
      <c r="Y2172" s="232"/>
    </row>
    <row r="2173" spans="21:25" x14ac:dyDescent="0.2">
      <c r="U2173" s="209" t="str">
        <f t="shared" si="36"/>
        <v>1w</v>
      </c>
      <c r="V2173" s="207">
        <f>_xll.qlCalendarAdvance(Calendar,V2172,U2173,"f",FALSE)</f>
        <v>54081</v>
      </c>
      <c r="W2173" s="210">
        <f>_xll.qlCalendarAdvance(Calendar,V2173,NDays&amp;"D")</f>
        <v>54081</v>
      </c>
      <c r="X2173" s="211">
        <v>2.3499722585329508E-2</v>
      </c>
      <c r="Y2173" s="232"/>
    </row>
    <row r="2174" spans="21:25" x14ac:dyDescent="0.2">
      <c r="U2174" s="209" t="str">
        <f t="shared" si="36"/>
        <v>1w</v>
      </c>
      <c r="V2174" s="207">
        <f>_xll.qlCalendarAdvance(Calendar,V2173,U2174,"f",FALSE)</f>
        <v>54088</v>
      </c>
      <c r="W2174" s="210">
        <f>_xll.qlCalendarAdvance(Calendar,V2174,NDays&amp;"D")</f>
        <v>54088</v>
      </c>
      <c r="X2174" s="211">
        <v>2.3501556008875824E-2</v>
      </c>
      <c r="Y2174" s="232"/>
    </row>
    <row r="2175" spans="21:25" x14ac:dyDescent="0.2">
      <c r="U2175" s="209" t="str">
        <f t="shared" si="36"/>
        <v>1w</v>
      </c>
      <c r="V2175" s="207">
        <f>_xll.qlCalendarAdvance(Calendar,V2174,U2175,"f",FALSE)</f>
        <v>54095</v>
      </c>
      <c r="W2175" s="210">
        <f>_xll.qlCalendarAdvance(Calendar,V2175,NDays&amp;"D")</f>
        <v>54095</v>
      </c>
      <c r="X2175" s="211">
        <v>2.3503368325972218E-2</v>
      </c>
      <c r="Y2175" s="232"/>
    </row>
    <row r="2176" spans="21:25" x14ac:dyDescent="0.2">
      <c r="U2176" s="209" t="str">
        <f t="shared" si="36"/>
        <v>1w</v>
      </c>
      <c r="V2176" s="207">
        <f>_xll.qlCalendarAdvance(Calendar,V2175,U2176,"f",FALSE)</f>
        <v>54102</v>
      </c>
      <c r="W2176" s="210">
        <f>_xll.qlCalendarAdvance(Calendar,V2176,NDays&amp;"D")</f>
        <v>54102</v>
      </c>
      <c r="X2176" s="211">
        <v>2.3505159536645337E-2</v>
      </c>
      <c r="Y2176" s="232"/>
    </row>
    <row r="2177" spans="21:25" x14ac:dyDescent="0.2">
      <c r="U2177" s="209" t="str">
        <f t="shared" si="36"/>
        <v>1w</v>
      </c>
      <c r="V2177" s="207">
        <f>_xll.qlCalendarAdvance(Calendar,V2176,U2177,"f",FALSE)</f>
        <v>54109</v>
      </c>
      <c r="W2177" s="210">
        <f>_xll.qlCalendarAdvance(Calendar,V2177,NDays&amp;"D")</f>
        <v>54109</v>
      </c>
      <c r="X2177" s="211">
        <v>2.3506929640815244E-2</v>
      </c>
      <c r="Y2177" s="232"/>
    </row>
    <row r="2178" spans="21:25" x14ac:dyDescent="0.2">
      <c r="U2178" s="209" t="str">
        <f t="shared" si="36"/>
        <v>1w</v>
      </c>
      <c r="V2178" s="207">
        <f>_xll.qlCalendarAdvance(Calendar,V2177,U2178,"f",FALSE)</f>
        <v>54116</v>
      </c>
      <c r="W2178" s="210">
        <f>_xll.qlCalendarAdvance(Calendar,V2178,NDays&amp;"D")</f>
        <v>54116</v>
      </c>
      <c r="X2178" s="211">
        <v>2.3508678638615166E-2</v>
      </c>
      <c r="Y2178" s="232"/>
    </row>
    <row r="2179" spans="21:25" x14ac:dyDescent="0.2">
      <c r="U2179" s="209" t="str">
        <f t="shared" si="36"/>
        <v>1w</v>
      </c>
      <c r="V2179" s="207">
        <f>_xll.qlCalendarAdvance(Calendar,V2178,U2179,"f",FALSE)</f>
        <v>54123</v>
      </c>
      <c r="W2179" s="210">
        <f>_xll.qlCalendarAdvance(Calendar,V2179,NDays&amp;"D")</f>
        <v>54123</v>
      </c>
      <c r="X2179" s="211">
        <v>2.3510406529911876E-2</v>
      </c>
      <c r="Y2179" s="232"/>
    </row>
    <row r="2180" spans="21:25" x14ac:dyDescent="0.2">
      <c r="U2180" s="209" t="str">
        <f t="shared" si="36"/>
        <v>1w</v>
      </c>
      <c r="V2180" s="207">
        <f>_xll.qlCalendarAdvance(Calendar,V2179,U2180,"f",FALSE)</f>
        <v>54130</v>
      </c>
      <c r="W2180" s="210">
        <f>_xll.qlCalendarAdvance(Calendar,V2180,NDays&amp;"D")</f>
        <v>54130</v>
      </c>
      <c r="X2180" s="211">
        <v>2.351211331478531E-2</v>
      </c>
      <c r="Y2180" s="232"/>
    </row>
    <row r="2181" spans="21:25" x14ac:dyDescent="0.2">
      <c r="U2181" s="209" t="str">
        <f t="shared" si="36"/>
        <v>1w</v>
      </c>
      <c r="V2181" s="207">
        <f>_xll.qlCalendarAdvance(Calendar,V2180,U2181,"f",FALSE)</f>
        <v>54137</v>
      </c>
      <c r="W2181" s="210">
        <f>_xll.qlCalendarAdvance(Calendar,V2181,NDays&amp;"D")</f>
        <v>54137</v>
      </c>
      <c r="X2181" s="211">
        <v>2.3513798993208823E-2</v>
      </c>
      <c r="Y2181" s="232"/>
    </row>
    <row r="2182" spans="21:25" x14ac:dyDescent="0.2">
      <c r="U2182" s="209" t="str">
        <f t="shared" si="36"/>
        <v>1w</v>
      </c>
      <c r="V2182" s="207">
        <f>_xll.qlCalendarAdvance(Calendar,V2181,U2182,"f",FALSE)</f>
        <v>54144</v>
      </c>
      <c r="W2182" s="210">
        <f>_xll.qlCalendarAdvance(Calendar,V2182,NDays&amp;"D")</f>
        <v>54144</v>
      </c>
      <c r="X2182" s="211">
        <v>2.3515463565182415E-2</v>
      </c>
      <c r="Y2182" s="232"/>
    </row>
    <row r="2183" spans="21:25" x14ac:dyDescent="0.2">
      <c r="U2183" s="209" t="str">
        <f t="shared" si="36"/>
        <v>1w</v>
      </c>
      <c r="V2183" s="207">
        <f>_xll.qlCalendarAdvance(Calendar,V2182,U2183,"f",FALSE)</f>
        <v>54155</v>
      </c>
      <c r="W2183" s="210">
        <f>_xll.qlCalendarAdvance(Calendar,V2183,NDays&amp;"D")</f>
        <v>54155</v>
      </c>
      <c r="X2183" s="211">
        <v>2.3516268869485657E-2</v>
      </c>
      <c r="Y2183" s="232"/>
    </row>
    <row r="2184" spans="21:25" x14ac:dyDescent="0.2">
      <c r="U2184" s="209" t="str">
        <f t="shared" si="36"/>
        <v>1w</v>
      </c>
      <c r="V2184" s="207">
        <f>_xll.qlCalendarAdvance(Calendar,V2183,U2184,"f",FALSE)</f>
        <v>54162</v>
      </c>
      <c r="W2184" s="210">
        <f>_xll.qlCalendarAdvance(Calendar,V2184,NDays&amp;"D")</f>
        <v>54162</v>
      </c>
      <c r="X2184" s="211">
        <v>2.3517881972257015E-2</v>
      </c>
      <c r="Y2184" s="232"/>
    </row>
    <row r="2185" spans="21:25" x14ac:dyDescent="0.2">
      <c r="U2185" s="209" t="str">
        <f t="shared" si="36"/>
        <v>1w</v>
      </c>
      <c r="V2185" s="207">
        <f>_xll.qlCalendarAdvance(Calendar,V2184,U2185,"f",FALSE)</f>
        <v>54169</v>
      </c>
      <c r="W2185" s="210">
        <f>_xll.qlCalendarAdvance(Calendar,V2185,NDays&amp;"D")</f>
        <v>54169</v>
      </c>
      <c r="X2185" s="211">
        <v>2.3519473971189697E-2</v>
      </c>
      <c r="Y2185" s="232"/>
    </row>
    <row r="2186" spans="21:25" x14ac:dyDescent="0.2">
      <c r="U2186" s="209" t="str">
        <f t="shared" si="36"/>
        <v>1w</v>
      </c>
      <c r="V2186" s="207">
        <f>_xll.qlCalendarAdvance(Calendar,V2185,U2186,"f",FALSE)</f>
        <v>54176</v>
      </c>
      <c r="W2186" s="210">
        <f>_xll.qlCalendarAdvance(Calendar,V2186,NDays&amp;"D")</f>
        <v>54176</v>
      </c>
      <c r="X2186" s="211">
        <v>2.3521044866443575E-2</v>
      </c>
      <c r="Y2186" s="232"/>
    </row>
    <row r="2187" spans="21:25" x14ac:dyDescent="0.2">
      <c r="U2187" s="209" t="str">
        <f t="shared" si="36"/>
        <v>1w</v>
      </c>
      <c r="V2187" s="207">
        <f>_xll.qlCalendarAdvance(Calendar,V2186,U2187,"f",FALSE)</f>
        <v>54183</v>
      </c>
      <c r="W2187" s="210">
        <f>_xll.qlCalendarAdvance(Calendar,V2187,NDays&amp;"D")</f>
        <v>54183</v>
      </c>
      <c r="X2187" s="211">
        <v>2.3522594658018647E-2</v>
      </c>
      <c r="Y2187" s="232"/>
    </row>
    <row r="2188" spans="21:25" x14ac:dyDescent="0.2">
      <c r="U2188" s="209" t="str">
        <f t="shared" si="36"/>
        <v>1w</v>
      </c>
      <c r="V2188" s="207">
        <f>_xll.qlCalendarAdvance(Calendar,V2187,U2188,"f",FALSE)</f>
        <v>54190</v>
      </c>
      <c r="W2188" s="210">
        <f>_xll.qlCalendarAdvance(Calendar,V2188,NDays&amp;"D")</f>
        <v>54190</v>
      </c>
      <c r="X2188" s="211">
        <v>2.3524123345914916E-2</v>
      </c>
      <c r="Y2188" s="232"/>
    </row>
    <row r="2189" spans="21:25" x14ac:dyDescent="0.2">
      <c r="U2189" s="209" t="str">
        <f t="shared" ref="U2189:U2252" si="37">U2188</f>
        <v>1w</v>
      </c>
      <c r="V2189" s="207">
        <f>_xll.qlCalendarAdvance(Calendar,V2188,U2189,"f",FALSE)</f>
        <v>54197</v>
      </c>
      <c r="W2189" s="210">
        <f>_xll.qlCalendarAdvance(Calendar,V2189,NDays&amp;"D")</f>
        <v>54197</v>
      </c>
      <c r="X2189" s="211">
        <v>2.3525630930052444E-2</v>
      </c>
      <c r="Y2189" s="232"/>
    </row>
    <row r="2190" spans="21:25" x14ac:dyDescent="0.2">
      <c r="U2190" s="209" t="str">
        <f t="shared" si="37"/>
        <v>1w</v>
      </c>
      <c r="V2190" s="207">
        <f>_xll.qlCalendarAdvance(Calendar,V2189,U2190,"f",FALSE)</f>
        <v>54204</v>
      </c>
      <c r="W2190" s="210">
        <f>_xll.qlCalendarAdvance(Calendar,V2190,NDays&amp;"D")</f>
        <v>54204</v>
      </c>
      <c r="X2190" s="211">
        <v>2.3527117410351295E-2</v>
      </c>
      <c r="Y2190" s="232"/>
    </row>
    <row r="2191" spans="21:25" x14ac:dyDescent="0.2">
      <c r="U2191" s="209" t="str">
        <f t="shared" si="37"/>
        <v>1w</v>
      </c>
      <c r="V2191" s="207">
        <f>_xll.qlCalendarAdvance(Calendar,V2190,U2191,"f",FALSE)</f>
        <v>54211</v>
      </c>
      <c r="W2191" s="210">
        <f>_xll.qlCalendarAdvance(Calendar,V2191,NDays&amp;"D")</f>
        <v>54211</v>
      </c>
      <c r="X2191" s="211">
        <v>2.3528582787131214E-2</v>
      </c>
      <c r="Y2191" s="232"/>
    </row>
    <row r="2192" spans="21:25" x14ac:dyDescent="0.2">
      <c r="U2192" s="209" t="str">
        <f t="shared" si="37"/>
        <v>1w</v>
      </c>
      <c r="V2192" s="207">
        <f>_xll.qlCalendarAdvance(Calendar,V2191,U2192,"f",FALSE)</f>
        <v>54218</v>
      </c>
      <c r="W2192" s="210">
        <f>_xll.qlCalendarAdvance(Calendar,V2192,NDays&amp;"D")</f>
        <v>54218</v>
      </c>
      <c r="X2192" s="211">
        <v>2.3530027060152392E-2</v>
      </c>
      <c r="Y2192" s="232"/>
    </row>
    <row r="2193" spans="21:25" x14ac:dyDescent="0.2">
      <c r="U2193" s="209" t="str">
        <f t="shared" si="37"/>
        <v>1w</v>
      </c>
      <c r="V2193" s="207">
        <f>_xll.qlCalendarAdvance(Calendar,V2192,U2193,"f",FALSE)</f>
        <v>54225</v>
      </c>
      <c r="W2193" s="210">
        <f>_xll.qlCalendarAdvance(Calendar,V2193,NDays&amp;"D")</f>
        <v>54225</v>
      </c>
      <c r="X2193" s="211">
        <v>2.353145022941483E-2</v>
      </c>
      <c r="Y2193" s="232"/>
    </row>
    <row r="2194" spans="21:25" x14ac:dyDescent="0.2">
      <c r="U2194" s="209" t="str">
        <f t="shared" si="37"/>
        <v>1w</v>
      </c>
      <c r="V2194" s="207">
        <f>_xll.qlCalendarAdvance(Calendar,V2193,U2194,"f",FALSE)</f>
        <v>54232</v>
      </c>
      <c r="W2194" s="210">
        <f>_xll.qlCalendarAdvance(Calendar,V2194,NDays&amp;"D")</f>
        <v>54232</v>
      </c>
      <c r="X2194" s="211">
        <v>2.3532852294918527E-2</v>
      </c>
      <c r="Y2194" s="232"/>
    </row>
    <row r="2195" spans="21:25" x14ac:dyDescent="0.2">
      <c r="U2195" s="209" t="str">
        <f t="shared" si="37"/>
        <v>1w</v>
      </c>
      <c r="V2195" s="207">
        <f>_xll.qlCalendarAdvance(Calendar,V2194,U2195,"f",FALSE)</f>
        <v>54239</v>
      </c>
      <c r="W2195" s="210">
        <f>_xll.qlCalendarAdvance(Calendar,V2195,NDays&amp;"D")</f>
        <v>54239</v>
      </c>
      <c r="X2195" s="211">
        <v>2.3534233256903292E-2</v>
      </c>
      <c r="Y2195" s="232"/>
    </row>
    <row r="2196" spans="21:25" x14ac:dyDescent="0.2">
      <c r="U2196" s="209" t="str">
        <f t="shared" si="37"/>
        <v>1w</v>
      </c>
      <c r="V2196" s="207">
        <f>_xll.qlCalendarAdvance(Calendar,V2195,U2196,"f",FALSE)</f>
        <v>54246</v>
      </c>
      <c r="W2196" s="210">
        <f>_xll.qlCalendarAdvance(Calendar,V2196,NDays&amp;"D")</f>
        <v>54246</v>
      </c>
      <c r="X2196" s="211">
        <v>2.353559311504938E-2</v>
      </c>
      <c r="Y2196" s="232"/>
    </row>
    <row r="2197" spans="21:25" x14ac:dyDescent="0.2">
      <c r="U2197" s="209" t="str">
        <f t="shared" si="37"/>
        <v>1w</v>
      </c>
      <c r="V2197" s="207">
        <f>_xll.qlCalendarAdvance(Calendar,V2196,U2197,"f",FALSE)</f>
        <v>54253</v>
      </c>
      <c r="W2197" s="210">
        <f>_xll.qlCalendarAdvance(Calendar,V2197,NDays&amp;"D")</f>
        <v>54253</v>
      </c>
      <c r="X2197" s="211">
        <v>2.3536931869436728E-2</v>
      </c>
      <c r="Y2197" s="232"/>
    </row>
    <row r="2198" spans="21:25" x14ac:dyDescent="0.2">
      <c r="U2198" s="209" t="str">
        <f t="shared" si="37"/>
        <v>1w</v>
      </c>
      <c r="V2198" s="207">
        <f>_xll.qlCalendarAdvance(Calendar,V2197,U2198,"f",FALSE)</f>
        <v>54260</v>
      </c>
      <c r="W2198" s="210">
        <f>_xll.qlCalendarAdvance(Calendar,V2198,NDays&amp;"D")</f>
        <v>54260</v>
      </c>
      <c r="X2198" s="211">
        <v>2.3538249520145271E-2</v>
      </c>
      <c r="Y2198" s="232"/>
    </row>
    <row r="2199" spans="21:25" x14ac:dyDescent="0.2">
      <c r="U2199" s="209" t="str">
        <f t="shared" si="37"/>
        <v>1w</v>
      </c>
      <c r="V2199" s="207">
        <f>_xll.qlCalendarAdvance(Calendar,V2198,U2199,"f",FALSE)</f>
        <v>54267</v>
      </c>
      <c r="W2199" s="210">
        <f>_xll.qlCalendarAdvance(Calendar,V2199,NDays&amp;"D")</f>
        <v>54267</v>
      </c>
      <c r="X2199" s="211">
        <v>2.3539546067254946E-2</v>
      </c>
      <c r="Y2199" s="232"/>
    </row>
    <row r="2200" spans="21:25" x14ac:dyDescent="0.2">
      <c r="U2200" s="209" t="str">
        <f t="shared" si="37"/>
        <v>1w</v>
      </c>
      <c r="V2200" s="207">
        <f>_xll.qlCalendarAdvance(Calendar,V2199,U2200,"f",FALSE)</f>
        <v>54274</v>
      </c>
      <c r="W2200" s="210">
        <f>_xll.qlCalendarAdvance(Calendar,V2200,NDays&amp;"D")</f>
        <v>54274</v>
      </c>
      <c r="X2200" s="211">
        <v>2.3540821510525944E-2</v>
      </c>
      <c r="Y2200" s="232"/>
    </row>
    <row r="2201" spans="21:25" x14ac:dyDescent="0.2">
      <c r="U2201" s="209" t="str">
        <f t="shared" si="37"/>
        <v>1w</v>
      </c>
      <c r="V2201" s="207">
        <f>_xll.qlCalendarAdvance(Calendar,V2200,U2201,"f",FALSE)</f>
        <v>54281</v>
      </c>
      <c r="W2201" s="210">
        <f>_xll.qlCalendarAdvance(Calendar,V2201,NDays&amp;"D")</f>
        <v>54281</v>
      </c>
      <c r="X2201" s="211">
        <v>2.3542075850038202E-2</v>
      </c>
      <c r="Y2201" s="232"/>
    </row>
    <row r="2202" spans="21:25" x14ac:dyDescent="0.2">
      <c r="U2202" s="209" t="str">
        <f t="shared" si="37"/>
        <v>1w</v>
      </c>
      <c r="V2202" s="207">
        <f>_xll.qlCalendarAdvance(Calendar,V2201,U2202,"f",FALSE)</f>
        <v>54288</v>
      </c>
      <c r="W2202" s="210">
        <f>_xll.qlCalendarAdvance(Calendar,V2202,NDays&amp;"D")</f>
        <v>54288</v>
      </c>
      <c r="X2202" s="211">
        <v>2.3543309085951591E-2</v>
      </c>
      <c r="Y2202" s="232"/>
    </row>
    <row r="2203" spans="21:25" x14ac:dyDescent="0.2">
      <c r="U2203" s="209" t="str">
        <f t="shared" si="37"/>
        <v>1w</v>
      </c>
      <c r="V2203" s="207">
        <f>_xll.qlCalendarAdvance(Calendar,V2202,U2203,"f",FALSE)</f>
        <v>54295</v>
      </c>
      <c r="W2203" s="210">
        <f>_xll.qlCalendarAdvance(Calendar,V2203,NDays&amp;"D")</f>
        <v>54295</v>
      </c>
      <c r="X2203" s="211">
        <v>2.354452121810624E-2</v>
      </c>
      <c r="Y2203" s="232"/>
    </row>
    <row r="2204" spans="21:25" x14ac:dyDescent="0.2">
      <c r="U2204" s="209" t="str">
        <f t="shared" si="37"/>
        <v>1w</v>
      </c>
      <c r="V2204" s="207">
        <f>_xll.qlCalendarAdvance(Calendar,V2203,U2204,"f",FALSE)</f>
        <v>54302</v>
      </c>
      <c r="W2204" s="210">
        <f>_xll.qlCalendarAdvance(Calendar,V2204,NDays&amp;"D")</f>
        <v>54302</v>
      </c>
      <c r="X2204" s="211">
        <v>2.3545712246502148E-2</v>
      </c>
      <c r="Y2204" s="232"/>
    </row>
    <row r="2205" spans="21:25" x14ac:dyDescent="0.2">
      <c r="U2205" s="209" t="str">
        <f t="shared" si="37"/>
        <v>1w</v>
      </c>
      <c r="V2205" s="207">
        <f>_xll.qlCalendarAdvance(Calendar,V2204,U2205,"f",FALSE)</f>
        <v>54309</v>
      </c>
      <c r="W2205" s="210">
        <f>_xll.qlCalendarAdvance(Calendar,V2205,NDays&amp;"D")</f>
        <v>54309</v>
      </c>
      <c r="X2205" s="211">
        <v>2.3546882171219252E-2</v>
      </c>
      <c r="Y2205" s="232"/>
    </row>
    <row r="2206" spans="21:25" x14ac:dyDescent="0.2">
      <c r="U2206" s="209" t="str">
        <f t="shared" si="37"/>
        <v>1w</v>
      </c>
      <c r="V2206" s="207">
        <f>_xll.qlCalendarAdvance(Calendar,V2205,U2206,"f",FALSE)</f>
        <v>54316</v>
      </c>
      <c r="W2206" s="210">
        <f>_xll.qlCalendarAdvance(Calendar,V2206,NDays&amp;"D")</f>
        <v>54316</v>
      </c>
      <c r="X2206" s="211">
        <v>2.3548030992337488E-2</v>
      </c>
      <c r="Y2206" s="232"/>
    </row>
    <row r="2207" spans="21:25" x14ac:dyDescent="0.2">
      <c r="U2207" s="209" t="str">
        <f t="shared" si="37"/>
        <v>1w</v>
      </c>
      <c r="V2207" s="207">
        <f>_xll.qlCalendarAdvance(Calendar,V2206,U2207,"f",FALSE)</f>
        <v>54323</v>
      </c>
      <c r="W2207" s="210">
        <f>_xll.qlCalendarAdvance(Calendar,V2207,NDays&amp;"D")</f>
        <v>54323</v>
      </c>
      <c r="X2207" s="211">
        <v>2.3549158709617046E-2</v>
      </c>
      <c r="Y2207" s="232"/>
    </row>
    <row r="2208" spans="21:25" x14ac:dyDescent="0.2">
      <c r="U2208" s="209" t="str">
        <f t="shared" si="37"/>
        <v>1w</v>
      </c>
      <c r="V2208" s="207">
        <f>_xll.qlCalendarAdvance(Calendar,V2207,U2208,"f",FALSE)</f>
        <v>54330</v>
      </c>
      <c r="W2208" s="210">
        <f>_xll.qlCalendarAdvance(Calendar,V2208,NDays&amp;"D")</f>
        <v>54330</v>
      </c>
      <c r="X2208" s="211">
        <v>2.3550265323137864E-2</v>
      </c>
      <c r="Y2208" s="232"/>
    </row>
    <row r="2209" spans="21:25" x14ac:dyDescent="0.2">
      <c r="U2209" s="209" t="str">
        <f t="shared" si="37"/>
        <v>1w</v>
      </c>
      <c r="V2209" s="207">
        <f>_xll.qlCalendarAdvance(Calendar,V2208,U2209,"f",FALSE)</f>
        <v>54337</v>
      </c>
      <c r="W2209" s="210">
        <f>_xll.qlCalendarAdvance(Calendar,V2209,NDays&amp;"D")</f>
        <v>54337</v>
      </c>
      <c r="X2209" s="211">
        <v>2.3551350833059814E-2</v>
      </c>
      <c r="Y2209" s="232"/>
    </row>
    <row r="2210" spans="21:25" x14ac:dyDescent="0.2">
      <c r="U2210" s="209" t="str">
        <f t="shared" si="37"/>
        <v>1w</v>
      </c>
      <c r="V2210" s="207">
        <f>_xll.qlCalendarAdvance(Calendar,V2209,U2210,"f",FALSE)</f>
        <v>54344</v>
      </c>
      <c r="W2210" s="210">
        <f>_xll.qlCalendarAdvance(Calendar,V2210,NDays&amp;"D")</f>
        <v>54344</v>
      </c>
      <c r="X2210" s="211">
        <v>2.355241523930296E-2</v>
      </c>
      <c r="Y2210" s="232"/>
    </row>
    <row r="2211" spans="21:25" x14ac:dyDescent="0.2">
      <c r="U2211" s="209" t="str">
        <f t="shared" si="37"/>
        <v>1w</v>
      </c>
      <c r="V2211" s="207">
        <f>_xll.qlCalendarAdvance(Calendar,V2210,U2211,"f",FALSE)</f>
        <v>54351</v>
      </c>
      <c r="W2211" s="210">
        <f>_xll.qlCalendarAdvance(Calendar,V2211,NDays&amp;"D")</f>
        <v>54351</v>
      </c>
      <c r="X2211" s="211">
        <v>2.3553458541707428E-2</v>
      </c>
      <c r="Y2211" s="232"/>
    </row>
    <row r="2212" spans="21:25" x14ac:dyDescent="0.2">
      <c r="U2212" s="209" t="str">
        <f t="shared" si="37"/>
        <v>1w</v>
      </c>
      <c r="V2212" s="207">
        <f>_xll.qlCalendarAdvance(Calendar,V2211,U2212,"f",FALSE)</f>
        <v>54358</v>
      </c>
      <c r="W2212" s="210">
        <f>_xll.qlCalendarAdvance(Calendar,V2212,NDays&amp;"D")</f>
        <v>54358</v>
      </c>
      <c r="X2212" s="211">
        <v>2.3554480740353156E-2</v>
      </c>
      <c r="Y2212" s="232"/>
    </row>
    <row r="2213" spans="21:25" x14ac:dyDescent="0.2">
      <c r="U2213" s="209" t="str">
        <f t="shared" si="37"/>
        <v>1w</v>
      </c>
      <c r="V2213" s="207">
        <f>_xll.qlCalendarAdvance(Calendar,V2212,U2213,"f",FALSE)</f>
        <v>54365</v>
      </c>
      <c r="W2213" s="210">
        <f>_xll.qlCalendarAdvance(Calendar,V2213,NDays&amp;"D")</f>
        <v>54365</v>
      </c>
      <c r="X2213" s="211">
        <v>2.3555481835400016E-2</v>
      </c>
      <c r="Y2213" s="232"/>
    </row>
    <row r="2214" spans="21:25" x14ac:dyDescent="0.2">
      <c r="U2214" s="209" t="str">
        <f t="shared" si="37"/>
        <v>1w</v>
      </c>
      <c r="V2214" s="207">
        <f>_xll.qlCalendarAdvance(Calendar,V2213,U2214,"f",FALSE)</f>
        <v>54372</v>
      </c>
      <c r="W2214" s="210">
        <f>_xll.qlCalendarAdvance(Calendar,V2214,NDays&amp;"D")</f>
        <v>54372</v>
      </c>
      <c r="X2214" s="211">
        <v>2.3556461826688135E-2</v>
      </c>
      <c r="Y2214" s="232"/>
    </row>
    <row r="2215" spans="21:25" x14ac:dyDescent="0.2">
      <c r="U2215" s="209" t="str">
        <f t="shared" si="37"/>
        <v>1w</v>
      </c>
      <c r="V2215" s="207">
        <f>_xll.qlCalendarAdvance(Calendar,V2214,U2215,"f",FALSE)</f>
        <v>54379</v>
      </c>
      <c r="W2215" s="210">
        <f>_xll.qlCalendarAdvance(Calendar,V2215,NDays&amp;"D")</f>
        <v>54379</v>
      </c>
      <c r="X2215" s="211">
        <v>2.3557420714217514E-2</v>
      </c>
      <c r="Y2215" s="232"/>
    </row>
    <row r="2216" spans="21:25" x14ac:dyDescent="0.2">
      <c r="U2216" s="209" t="str">
        <f t="shared" si="37"/>
        <v>1w</v>
      </c>
      <c r="V2216" s="207">
        <f>_xll.qlCalendarAdvance(Calendar,V2215,U2216,"f",FALSE)</f>
        <v>54386</v>
      </c>
      <c r="W2216" s="210">
        <f>_xll.qlCalendarAdvance(Calendar,V2216,NDays&amp;"D")</f>
        <v>54386</v>
      </c>
      <c r="X2216" s="211">
        <v>2.3558358498068088E-2</v>
      </c>
      <c r="Y2216" s="232"/>
    </row>
    <row r="2217" spans="21:25" x14ac:dyDescent="0.2">
      <c r="U2217" s="209" t="str">
        <f t="shared" si="37"/>
        <v>1w</v>
      </c>
      <c r="V2217" s="207">
        <f>_xll.qlCalendarAdvance(Calendar,V2216,U2217,"f",FALSE)</f>
        <v>54393</v>
      </c>
      <c r="W2217" s="210">
        <f>_xll.qlCalendarAdvance(Calendar,V2217,NDays&amp;"D")</f>
        <v>54393</v>
      </c>
      <c r="X2217" s="211">
        <v>2.3559275178239858E-2</v>
      </c>
      <c r="Y2217" s="232"/>
    </row>
    <row r="2218" spans="21:25" x14ac:dyDescent="0.2">
      <c r="U2218" s="209" t="str">
        <f t="shared" si="37"/>
        <v>1w</v>
      </c>
      <c r="V2218" s="207">
        <f>_xll.qlCalendarAdvance(Calendar,V2217,U2218,"f",FALSE)</f>
        <v>54400</v>
      </c>
      <c r="W2218" s="210">
        <f>_xll.qlCalendarAdvance(Calendar,V2218,NDays&amp;"D")</f>
        <v>54400</v>
      </c>
      <c r="X2218" s="211">
        <v>2.3560170754652887E-2</v>
      </c>
      <c r="Y2218" s="232"/>
    </row>
    <row r="2219" spans="21:25" x14ac:dyDescent="0.2">
      <c r="U2219" s="209" t="str">
        <f t="shared" si="37"/>
        <v>1w</v>
      </c>
      <c r="V2219" s="207">
        <f>_xll.qlCalendarAdvance(Calendar,V2218,U2219,"f",FALSE)</f>
        <v>54407</v>
      </c>
      <c r="W2219" s="210">
        <f>_xll.qlCalendarAdvance(Calendar,V2219,NDays&amp;"D")</f>
        <v>54407</v>
      </c>
      <c r="X2219" s="211">
        <v>2.3561045227307176E-2</v>
      </c>
      <c r="Y2219" s="232"/>
    </row>
    <row r="2220" spans="21:25" x14ac:dyDescent="0.2">
      <c r="U2220" s="209" t="str">
        <f t="shared" si="37"/>
        <v>1w</v>
      </c>
      <c r="V2220" s="207">
        <f>_xll.qlCalendarAdvance(Calendar,V2219,U2220,"f",FALSE)</f>
        <v>54414</v>
      </c>
      <c r="W2220" s="210">
        <f>_xll.qlCalendarAdvance(Calendar,V2220,NDays&amp;"D")</f>
        <v>54414</v>
      </c>
      <c r="X2220" s="211">
        <v>2.3561898596362596E-2</v>
      </c>
      <c r="Y2220" s="232"/>
    </row>
    <row r="2221" spans="21:25" x14ac:dyDescent="0.2">
      <c r="U2221" s="209" t="str">
        <f t="shared" si="37"/>
        <v>1w</v>
      </c>
      <c r="V2221" s="207">
        <f>_xll.qlCalendarAdvance(Calendar,V2220,U2221,"f",FALSE)</f>
        <v>54421</v>
      </c>
      <c r="W2221" s="210">
        <f>_xll.qlCalendarAdvance(Calendar,V2221,NDays&amp;"D")</f>
        <v>54421</v>
      </c>
      <c r="X2221" s="211">
        <v>2.3562730861659276E-2</v>
      </c>
      <c r="Y2221" s="232"/>
    </row>
    <row r="2222" spans="21:25" x14ac:dyDescent="0.2">
      <c r="U2222" s="209" t="str">
        <f t="shared" si="37"/>
        <v>1w</v>
      </c>
      <c r="V2222" s="207">
        <f>_xll.qlCalendarAdvance(Calendar,V2221,U2222,"f",FALSE)</f>
        <v>54428</v>
      </c>
      <c r="W2222" s="210">
        <f>_xll.qlCalendarAdvance(Calendar,V2222,NDays&amp;"D")</f>
        <v>54428</v>
      </c>
      <c r="X2222" s="211">
        <v>2.3563542023117279E-2</v>
      </c>
      <c r="Y2222" s="232"/>
    </row>
    <row r="2223" spans="21:25" x14ac:dyDescent="0.2">
      <c r="U2223" s="209" t="str">
        <f t="shared" si="37"/>
        <v>1w</v>
      </c>
      <c r="V2223" s="207">
        <f>_xll.qlCalendarAdvance(Calendar,V2222,U2223,"f",FALSE)</f>
        <v>54435</v>
      </c>
      <c r="W2223" s="210">
        <f>_xll.qlCalendarAdvance(Calendar,V2223,NDays&amp;"D")</f>
        <v>54435</v>
      </c>
      <c r="X2223" s="211">
        <v>2.3564332080976413E-2</v>
      </c>
      <c r="Y2223" s="232"/>
    </row>
    <row r="2224" spans="21:25" x14ac:dyDescent="0.2">
      <c r="U2224" s="209" t="str">
        <f t="shared" si="37"/>
        <v>1w</v>
      </c>
      <c r="V2224" s="207">
        <f>_xll.qlCalendarAdvance(Calendar,V2223,U2224,"f",FALSE)</f>
        <v>54442</v>
      </c>
      <c r="W2224" s="210">
        <f>_xll.qlCalendarAdvance(Calendar,V2224,NDays&amp;"D")</f>
        <v>54442</v>
      </c>
      <c r="X2224" s="211">
        <v>2.3565101035156744E-2</v>
      </c>
      <c r="Y2224" s="232"/>
    </row>
    <row r="2225" spans="21:25" x14ac:dyDescent="0.2">
      <c r="U2225" s="209" t="str">
        <f t="shared" si="37"/>
        <v>1w</v>
      </c>
      <c r="V2225" s="207">
        <f>_xll.qlCalendarAdvance(Calendar,V2224,U2225,"f",FALSE)</f>
        <v>54449</v>
      </c>
      <c r="W2225" s="210">
        <f>_xll.qlCalendarAdvance(Calendar,V2225,NDays&amp;"D")</f>
        <v>54449</v>
      </c>
      <c r="X2225" s="211">
        <v>2.3565848885578333E-2</v>
      </c>
      <c r="Y2225" s="232"/>
    </row>
    <row r="2226" spans="21:25" x14ac:dyDescent="0.2">
      <c r="U2226" s="209" t="str">
        <f t="shared" si="37"/>
        <v>1w</v>
      </c>
      <c r="V2226" s="207">
        <f>_xll.qlCalendarAdvance(Calendar,V2225,U2226,"f",FALSE)</f>
        <v>54456</v>
      </c>
      <c r="W2226" s="210">
        <f>_xll.qlCalendarAdvance(Calendar,V2226,NDays&amp;"D")</f>
        <v>54456</v>
      </c>
      <c r="X2226" s="211">
        <v>2.3566575632161246E-2</v>
      </c>
      <c r="Y2226" s="232"/>
    </row>
    <row r="2227" spans="21:25" x14ac:dyDescent="0.2">
      <c r="U2227" s="209" t="str">
        <f t="shared" si="37"/>
        <v>1w</v>
      </c>
      <c r="V2227" s="207">
        <f>_xll.qlCalendarAdvance(Calendar,V2226,U2227,"f",FALSE)</f>
        <v>54463</v>
      </c>
      <c r="W2227" s="210">
        <f>_xll.qlCalendarAdvance(Calendar,V2227,NDays&amp;"D")</f>
        <v>54463</v>
      </c>
      <c r="X2227" s="211">
        <v>2.3567281275225227E-2</v>
      </c>
      <c r="Y2227" s="232"/>
    </row>
    <row r="2228" spans="21:25" x14ac:dyDescent="0.2">
      <c r="U2228" s="209" t="str">
        <f t="shared" si="37"/>
        <v>1w</v>
      </c>
      <c r="V2228" s="207">
        <f>_xll.qlCalendarAdvance(Calendar,V2227,U2228,"f",FALSE)</f>
        <v>54470</v>
      </c>
      <c r="W2228" s="210">
        <f>_xll.qlCalendarAdvance(Calendar,V2228,NDays&amp;"D")</f>
        <v>54470</v>
      </c>
      <c r="X2228" s="211">
        <v>2.3567965814450531E-2</v>
      </c>
      <c r="Y2228" s="232"/>
    </row>
    <row r="2229" spans="21:25" x14ac:dyDescent="0.2">
      <c r="U2229" s="209" t="str">
        <f t="shared" si="37"/>
        <v>1w</v>
      </c>
      <c r="V2229" s="207">
        <f>_xll.qlCalendarAdvance(Calendar,V2228,U2229,"f",FALSE)</f>
        <v>54477</v>
      </c>
      <c r="W2229" s="210">
        <f>_xll.qlCalendarAdvance(Calendar,V2229,NDays&amp;"D")</f>
        <v>54477</v>
      </c>
      <c r="X2229" s="211">
        <v>2.3568629249997031E-2</v>
      </c>
      <c r="Y2229" s="232"/>
    </row>
    <row r="2230" spans="21:25" x14ac:dyDescent="0.2">
      <c r="U2230" s="209" t="str">
        <f t="shared" si="37"/>
        <v>1w</v>
      </c>
      <c r="V2230" s="207">
        <f>_xll.qlCalendarAdvance(Calendar,V2229,U2230,"f",FALSE)</f>
        <v>54484</v>
      </c>
      <c r="W2230" s="210">
        <f>_xll.qlCalendarAdvance(Calendar,V2230,NDays&amp;"D")</f>
        <v>54484</v>
      </c>
      <c r="X2230" s="211">
        <v>2.3569271581704854E-2</v>
      </c>
      <c r="Y2230" s="232"/>
    </row>
    <row r="2231" spans="21:25" x14ac:dyDescent="0.2">
      <c r="U2231" s="209" t="str">
        <f t="shared" si="37"/>
        <v>1w</v>
      </c>
      <c r="V2231" s="207">
        <f>_xll.qlCalendarAdvance(Calendar,V2230,U2231,"f",FALSE)</f>
        <v>54491</v>
      </c>
      <c r="W2231" s="210">
        <f>_xll.qlCalendarAdvance(Calendar,V2231,NDays&amp;"D")</f>
        <v>54491</v>
      </c>
      <c r="X2231" s="211">
        <v>2.3569892809893744E-2</v>
      </c>
      <c r="Y2231" s="232"/>
    </row>
    <row r="2232" spans="21:25" x14ac:dyDescent="0.2">
      <c r="U2232" s="209" t="str">
        <f t="shared" si="37"/>
        <v>1w</v>
      </c>
      <c r="V2232" s="207">
        <f>_xll.qlCalendarAdvance(Calendar,V2231,U2232,"f",FALSE)</f>
        <v>54498</v>
      </c>
      <c r="W2232" s="210">
        <f>_xll.qlCalendarAdvance(Calendar,V2232,NDays&amp;"D")</f>
        <v>54498</v>
      </c>
      <c r="X2232" s="211">
        <v>2.3570492934323894E-2</v>
      </c>
      <c r="Y2232" s="232"/>
    </row>
    <row r="2233" spans="21:25" x14ac:dyDescent="0.2">
      <c r="U2233" s="209" t="str">
        <f t="shared" si="37"/>
        <v>1w</v>
      </c>
      <c r="V2233" s="207">
        <f>_xll.qlCalendarAdvance(Calendar,V2232,U2233,"f",FALSE)</f>
        <v>54505</v>
      </c>
      <c r="W2233" s="210">
        <f>_xll.qlCalendarAdvance(Calendar,V2233,NDays&amp;"D")</f>
        <v>54505</v>
      </c>
      <c r="X2233" s="211">
        <v>2.3571071954835432E-2</v>
      </c>
      <c r="Y2233" s="232"/>
    </row>
    <row r="2234" spans="21:25" x14ac:dyDescent="0.2">
      <c r="U2234" s="209" t="str">
        <f t="shared" si="37"/>
        <v>1w</v>
      </c>
      <c r="V2234" s="207">
        <f>_xll.qlCalendarAdvance(Calendar,V2233,U2234,"f",FALSE)</f>
        <v>54512</v>
      </c>
      <c r="W2234" s="210">
        <f>_xll.qlCalendarAdvance(Calendar,V2234,NDays&amp;"D")</f>
        <v>54512</v>
      </c>
      <c r="X2234" s="211">
        <v>2.3571629871748101E-2</v>
      </c>
      <c r="Y2234" s="232"/>
    </row>
    <row r="2235" spans="21:25" x14ac:dyDescent="0.2">
      <c r="U2235" s="209" t="str">
        <f t="shared" si="37"/>
        <v>1w</v>
      </c>
      <c r="V2235" s="207">
        <f>_xll.qlCalendarAdvance(Calendar,V2234,U2235,"f",FALSE)</f>
        <v>54519</v>
      </c>
      <c r="W2235" s="210">
        <f>_xll.qlCalendarAdvance(Calendar,V2235,NDays&amp;"D")</f>
        <v>54519</v>
      </c>
      <c r="X2235" s="211">
        <v>2.3572166685141838E-2</v>
      </c>
      <c r="Y2235" s="232"/>
    </row>
    <row r="2236" spans="21:25" x14ac:dyDescent="0.2">
      <c r="U2236" s="209" t="str">
        <f t="shared" si="37"/>
        <v>1w</v>
      </c>
      <c r="V2236" s="207">
        <f>_xll.qlCalendarAdvance(Calendar,V2235,U2236,"f",FALSE)</f>
        <v>54526</v>
      </c>
      <c r="W2236" s="210">
        <f>_xll.qlCalendarAdvance(Calendar,V2236,NDays&amp;"D")</f>
        <v>54526</v>
      </c>
      <c r="X2236" s="211">
        <v>2.3572682394537026E-2</v>
      </c>
      <c r="Y2236" s="232"/>
    </row>
    <row r="2237" spans="21:25" x14ac:dyDescent="0.2">
      <c r="U2237" s="209" t="str">
        <f t="shared" si="37"/>
        <v>1w</v>
      </c>
      <c r="V2237" s="207">
        <f>_xll.qlCalendarAdvance(Calendar,V2236,U2237,"f",FALSE)</f>
        <v>54533</v>
      </c>
      <c r="W2237" s="210">
        <f>_xll.qlCalendarAdvance(Calendar,V2237,NDays&amp;"D")</f>
        <v>54533</v>
      </c>
      <c r="X2237" s="211">
        <v>2.3573177000253409E-2</v>
      </c>
      <c r="Y2237" s="232"/>
    </row>
    <row r="2238" spans="21:25" x14ac:dyDescent="0.2">
      <c r="U2238" s="209" t="str">
        <f t="shared" si="37"/>
        <v>1w</v>
      </c>
      <c r="V2238" s="207">
        <f>_xll.qlCalendarAdvance(Calendar,V2237,U2238,"f",FALSE)</f>
        <v>54540</v>
      </c>
      <c r="W2238" s="210">
        <f>_xll.qlCalendarAdvance(Calendar,V2238,NDays&amp;"D")</f>
        <v>54540</v>
      </c>
      <c r="X2238" s="211">
        <v>2.3573650502370924E-2</v>
      </c>
      <c r="Y2238" s="232"/>
    </row>
    <row r="2239" spans="21:25" x14ac:dyDescent="0.2">
      <c r="U2239" s="209" t="str">
        <f t="shared" si="37"/>
        <v>1w</v>
      </c>
      <c r="V2239" s="207">
        <f>_xll.qlCalendarAdvance(Calendar,V2238,U2239,"f",FALSE)</f>
        <v>54547</v>
      </c>
      <c r="W2239" s="210">
        <f>_xll.qlCalendarAdvance(Calendar,V2239,NDays&amp;"D")</f>
        <v>54547</v>
      </c>
      <c r="X2239" s="211">
        <v>2.3574102900729699E-2</v>
      </c>
      <c r="Y2239" s="232"/>
    </row>
    <row r="2240" spans="21:25" x14ac:dyDescent="0.2">
      <c r="U2240" s="209" t="str">
        <f t="shared" si="37"/>
        <v>1w</v>
      </c>
      <c r="V2240" s="207">
        <f>_xll.qlCalendarAdvance(Calendar,V2239,U2240,"f",FALSE)</f>
        <v>54554</v>
      </c>
      <c r="W2240" s="210">
        <f>_xll.qlCalendarAdvance(Calendar,V2240,NDays&amp;"D")</f>
        <v>54554</v>
      </c>
      <c r="X2240" s="211">
        <v>2.3574534195329733E-2</v>
      </c>
      <c r="Y2240" s="232"/>
    </row>
    <row r="2241" spans="21:25" x14ac:dyDescent="0.2">
      <c r="U2241" s="209" t="str">
        <f t="shared" si="37"/>
        <v>1w</v>
      </c>
      <c r="V2241" s="207">
        <f>_xll.qlCalendarAdvance(Calendar,V2240,U2241,"f",FALSE)</f>
        <v>54561</v>
      </c>
      <c r="W2241" s="210">
        <f>_xll.qlCalendarAdvance(Calendar,V2241,NDays&amp;"D")</f>
        <v>54561</v>
      </c>
      <c r="X2241" s="211">
        <v>2.3574944386250962E-2</v>
      </c>
      <c r="Y2241" s="232"/>
    </row>
    <row r="2242" spans="21:25" x14ac:dyDescent="0.2">
      <c r="U2242" s="209" t="str">
        <f t="shared" si="37"/>
        <v>1w</v>
      </c>
      <c r="V2242" s="207">
        <f>_xll.qlCalendarAdvance(Calendar,V2241,U2242,"f",FALSE)</f>
        <v>54568</v>
      </c>
      <c r="W2242" s="210">
        <f>_xll.qlCalendarAdvance(Calendar,V2242,NDays&amp;"D")</f>
        <v>54568</v>
      </c>
      <c r="X2242" s="211">
        <v>2.3575333473493387E-2</v>
      </c>
      <c r="Y2242" s="232"/>
    </row>
    <row r="2243" spans="21:25" x14ac:dyDescent="0.2">
      <c r="U2243" s="209" t="str">
        <f t="shared" si="37"/>
        <v>1w</v>
      </c>
      <c r="V2243" s="207">
        <f>_xll.qlCalendarAdvance(Calendar,V2242,U2243,"f",FALSE)</f>
        <v>54575</v>
      </c>
      <c r="W2243" s="210">
        <f>_xll.qlCalendarAdvance(Calendar,V2243,NDays&amp;"D")</f>
        <v>54575</v>
      </c>
      <c r="X2243" s="211">
        <v>2.3575701456897136E-2</v>
      </c>
      <c r="Y2243" s="232"/>
    </row>
    <row r="2244" spans="21:25" x14ac:dyDescent="0.2">
      <c r="U2244" s="209" t="str">
        <f t="shared" si="37"/>
        <v>1w</v>
      </c>
      <c r="V2244" s="207">
        <f>_xll.qlCalendarAdvance(Calendar,V2243,U2244,"f",FALSE)</f>
        <v>54582</v>
      </c>
      <c r="W2244" s="210">
        <f>_xll.qlCalendarAdvance(Calendar,V2244,NDays&amp;"D")</f>
        <v>54582</v>
      </c>
      <c r="X2244" s="211">
        <v>2.3576048336542144E-2</v>
      </c>
      <c r="Y2244" s="232"/>
    </row>
    <row r="2245" spans="21:25" x14ac:dyDescent="0.2">
      <c r="U2245" s="209" t="str">
        <f t="shared" si="37"/>
        <v>1w</v>
      </c>
      <c r="V2245" s="207">
        <f>_xll.qlCalendarAdvance(Calendar,V2244,U2245,"f",FALSE)</f>
        <v>54589</v>
      </c>
      <c r="W2245" s="210">
        <f>_xll.qlCalendarAdvance(Calendar,V2245,NDays&amp;"D")</f>
        <v>54589</v>
      </c>
      <c r="X2245" s="211">
        <v>2.3576374112588283E-2</v>
      </c>
      <c r="Y2245" s="232"/>
    </row>
    <row r="2246" spans="21:25" x14ac:dyDescent="0.2">
      <c r="U2246" s="209" t="str">
        <f t="shared" si="37"/>
        <v>1w</v>
      </c>
      <c r="V2246" s="207">
        <f>_xll.qlCalendarAdvance(Calendar,V2245,U2246,"f",FALSE)</f>
        <v>54596</v>
      </c>
      <c r="W2246" s="210">
        <f>_xll.qlCalendarAdvance(Calendar,V2246,NDays&amp;"D")</f>
        <v>54596</v>
      </c>
      <c r="X2246" s="211">
        <v>2.3576678784955618E-2</v>
      </c>
      <c r="Y2246" s="232"/>
    </row>
    <row r="2247" spans="21:25" x14ac:dyDescent="0.2">
      <c r="U2247" s="209" t="str">
        <f t="shared" si="37"/>
        <v>1w</v>
      </c>
      <c r="V2247" s="207">
        <f>_xll.qlCalendarAdvance(Calendar,V2246,U2247,"f",FALSE)</f>
        <v>54603</v>
      </c>
      <c r="W2247" s="210">
        <f>_xll.qlCalendarAdvance(Calendar,V2247,NDays&amp;"D")</f>
        <v>54603</v>
      </c>
      <c r="X2247" s="211">
        <v>2.3576962353564213E-2</v>
      </c>
      <c r="Y2247" s="232"/>
    </row>
    <row r="2248" spans="21:25" x14ac:dyDescent="0.2">
      <c r="U2248" s="209" t="str">
        <f t="shared" si="37"/>
        <v>1w</v>
      </c>
      <c r="V2248" s="207">
        <f>_xll.qlCalendarAdvance(Calendar,V2247,U2248,"f",FALSE)</f>
        <v>54610</v>
      </c>
      <c r="W2248" s="210">
        <f>_xll.qlCalendarAdvance(Calendar,V2248,NDays&amp;"D")</f>
        <v>54610</v>
      </c>
      <c r="X2248" s="211">
        <v>2.357722481833413E-2</v>
      </c>
      <c r="Y2248" s="232"/>
    </row>
    <row r="2249" spans="21:25" x14ac:dyDescent="0.2">
      <c r="U2249" s="209" t="str">
        <f t="shared" si="37"/>
        <v>1w</v>
      </c>
      <c r="V2249" s="207">
        <f>_xll.qlCalendarAdvance(Calendar,V2248,U2249,"f",FALSE)</f>
        <v>54617</v>
      </c>
      <c r="W2249" s="210">
        <f>_xll.qlCalendarAdvance(Calendar,V2249,NDays&amp;"D")</f>
        <v>54617</v>
      </c>
      <c r="X2249" s="211">
        <v>2.3577466179585116E-2</v>
      </c>
      <c r="Y2249" s="232"/>
    </row>
    <row r="2250" spans="21:25" x14ac:dyDescent="0.2">
      <c r="U2250" s="209" t="str">
        <f t="shared" si="37"/>
        <v>1w</v>
      </c>
      <c r="V2250" s="207">
        <f>_xll.qlCalendarAdvance(Calendar,V2249,U2250,"f",FALSE)</f>
        <v>54624</v>
      </c>
      <c r="W2250" s="210">
        <f>_xll.qlCalendarAdvance(Calendar,V2250,NDays&amp;"D")</f>
        <v>54624</v>
      </c>
      <c r="X2250" s="211">
        <v>2.3577686436997425E-2</v>
      </c>
      <c r="Y2250" s="232"/>
    </row>
    <row r="2251" spans="21:25" x14ac:dyDescent="0.2">
      <c r="U2251" s="209" t="str">
        <f t="shared" si="37"/>
        <v>1w</v>
      </c>
      <c r="V2251" s="207">
        <f>_xll.qlCalendarAdvance(Calendar,V2250,U2251,"f",FALSE)</f>
        <v>54631</v>
      </c>
      <c r="W2251" s="210">
        <f>_xll.qlCalendarAdvance(Calendar,V2251,NDays&amp;"D")</f>
        <v>54631</v>
      </c>
      <c r="X2251" s="211">
        <v>2.3577885590571057E-2</v>
      </c>
      <c r="Y2251" s="232"/>
    </row>
    <row r="2252" spans="21:25" x14ac:dyDescent="0.2">
      <c r="U2252" s="209" t="str">
        <f t="shared" si="37"/>
        <v>1w</v>
      </c>
      <c r="V2252" s="207">
        <f>_xll.qlCalendarAdvance(Calendar,V2251,U2252,"f",FALSE)</f>
        <v>54638</v>
      </c>
      <c r="W2252" s="210">
        <f>_xll.qlCalendarAdvance(Calendar,V2252,NDays&amp;"D")</f>
        <v>54638</v>
      </c>
      <c r="X2252" s="211">
        <v>2.3578063640625757E-2</v>
      </c>
      <c r="Y2252" s="232"/>
    </row>
    <row r="2253" spans="21:25" x14ac:dyDescent="0.2">
      <c r="U2253" s="209" t="str">
        <f t="shared" ref="U2253:U2316" si="38">U2252</f>
        <v>1w</v>
      </c>
      <c r="V2253" s="207">
        <f>_xll.qlCalendarAdvance(Calendar,V2252,U2253,"f",FALSE)</f>
        <v>54645</v>
      </c>
      <c r="W2253" s="210">
        <f>_xll.qlCalendarAdvance(Calendar,V2253,NDays&amp;"D")</f>
        <v>54645</v>
      </c>
      <c r="X2253" s="211">
        <v>2.3578220586921717E-2</v>
      </c>
      <c r="Y2253" s="232"/>
    </row>
    <row r="2254" spans="21:25" x14ac:dyDescent="0.2">
      <c r="U2254" s="209" t="str">
        <f t="shared" si="38"/>
        <v>1w</v>
      </c>
      <c r="V2254" s="207">
        <f>_xll.qlCalendarAdvance(Calendar,V2253,U2254,"f",FALSE)</f>
        <v>54652</v>
      </c>
      <c r="W2254" s="210">
        <f>_xll.qlCalendarAdvance(Calendar,V2254,NDays&amp;"D")</f>
        <v>54652</v>
      </c>
      <c r="X2254" s="211">
        <v>2.3578356429458935E-2</v>
      </c>
      <c r="Y2254" s="232"/>
    </row>
    <row r="2255" spans="21:25" x14ac:dyDescent="0.2">
      <c r="U2255" s="209" t="str">
        <f t="shared" si="38"/>
        <v>1w</v>
      </c>
      <c r="V2255" s="207">
        <f>_xll.qlCalendarAdvance(Calendar,V2254,U2255,"f",FALSE)</f>
        <v>54659</v>
      </c>
      <c r="W2255" s="210">
        <f>_xll.qlCalendarAdvance(Calendar,V2255,NDays&amp;"D")</f>
        <v>54659</v>
      </c>
      <c r="X2255" s="211">
        <v>2.3578471168237414E-2</v>
      </c>
      <c r="Y2255" s="232"/>
    </row>
    <row r="2256" spans="21:25" x14ac:dyDescent="0.2">
      <c r="U2256" s="209" t="str">
        <f t="shared" si="38"/>
        <v>1w</v>
      </c>
      <c r="V2256" s="207">
        <f>_xll.qlCalendarAdvance(Calendar,V2255,U2256,"f",FALSE)</f>
        <v>54666</v>
      </c>
      <c r="W2256" s="210">
        <f>_xll.qlCalendarAdvance(Calendar,V2256,NDays&amp;"D")</f>
        <v>54666</v>
      </c>
      <c r="X2256" s="211">
        <v>2.3578564803337088E-2</v>
      </c>
      <c r="Y2256" s="232"/>
    </row>
    <row r="2257" spans="21:25" x14ac:dyDescent="0.2">
      <c r="U2257" s="209" t="str">
        <f t="shared" si="38"/>
        <v>1w</v>
      </c>
      <c r="V2257" s="207">
        <f>_xll.qlCalendarAdvance(Calendar,V2256,U2257,"f",FALSE)</f>
        <v>54673</v>
      </c>
      <c r="W2257" s="210">
        <f>_xll.qlCalendarAdvance(Calendar,V2257,NDays&amp;"D")</f>
        <v>54673</v>
      </c>
      <c r="X2257" s="211">
        <v>2.3578637334757957E-2</v>
      </c>
      <c r="Y2257" s="232"/>
    </row>
    <row r="2258" spans="21:25" x14ac:dyDescent="0.2">
      <c r="U2258" s="209" t="str">
        <f t="shared" si="38"/>
        <v>1w</v>
      </c>
      <c r="V2258" s="207">
        <f>_xll.qlCalendarAdvance(Calendar,V2257,U2258,"f",FALSE)</f>
        <v>54680</v>
      </c>
      <c r="W2258" s="210">
        <f>_xll.qlCalendarAdvance(Calendar,V2258,NDays&amp;"D")</f>
        <v>54680</v>
      </c>
      <c r="X2258" s="211">
        <v>2.3578688762420086E-2</v>
      </c>
      <c r="Y2258" s="232"/>
    </row>
    <row r="2259" spans="21:25" x14ac:dyDescent="0.2">
      <c r="U2259" s="209" t="str">
        <f t="shared" si="38"/>
        <v>1w</v>
      </c>
      <c r="V2259" s="207">
        <f>_xll.qlCalendarAdvance(Calendar,V2258,U2259,"f",FALSE)</f>
        <v>54687</v>
      </c>
      <c r="W2259" s="210">
        <f>_xll.qlCalendarAdvance(Calendar,V2259,NDays&amp;"D")</f>
        <v>54687</v>
      </c>
      <c r="X2259" s="211">
        <v>2.3578719086243538E-2</v>
      </c>
      <c r="Y2259" s="232"/>
    </row>
    <row r="2260" spans="21:25" x14ac:dyDescent="0.2">
      <c r="U2260" s="209" t="str">
        <f t="shared" si="38"/>
        <v>1w</v>
      </c>
      <c r="V2260" s="207">
        <f>_xll.qlCalendarAdvance(Calendar,V2259,U2260,"f",FALSE)</f>
        <v>54694</v>
      </c>
      <c r="W2260" s="210">
        <f>_xll.qlCalendarAdvance(Calendar,V2260,NDays&amp;"D")</f>
        <v>54694</v>
      </c>
      <c r="X2260" s="211">
        <v>2.3578728306548058E-2</v>
      </c>
      <c r="Y2260" s="232"/>
    </row>
    <row r="2261" spans="21:25" x14ac:dyDescent="0.2">
      <c r="U2261" s="209" t="str">
        <f t="shared" si="38"/>
        <v>1w</v>
      </c>
      <c r="V2261" s="207">
        <f>_xll.qlCalendarAdvance(Calendar,V2260,U2261,"f",FALSE)</f>
        <v>54701</v>
      </c>
      <c r="W2261" s="210">
        <f>_xll.qlCalendarAdvance(Calendar,V2261,NDays&amp;"D")</f>
        <v>54701</v>
      </c>
      <c r="X2261" s="211">
        <v>2.3578716423093837E-2</v>
      </c>
      <c r="Y2261" s="232"/>
    </row>
    <row r="2262" spans="21:25" x14ac:dyDescent="0.2">
      <c r="U2262" s="209" t="str">
        <f t="shared" si="38"/>
        <v>1w</v>
      </c>
      <c r="V2262" s="207">
        <f>_xll.qlCalendarAdvance(Calendar,V2261,U2262,"f",FALSE)</f>
        <v>54708</v>
      </c>
      <c r="W2262" s="210">
        <f>_xll.qlCalendarAdvance(Calendar,V2262,NDays&amp;"D")</f>
        <v>54708</v>
      </c>
      <c r="X2262" s="211">
        <v>2.357868343580094E-2</v>
      </c>
      <c r="Y2262" s="232"/>
    </row>
    <row r="2263" spans="21:25" x14ac:dyDescent="0.2">
      <c r="U2263" s="209" t="str">
        <f t="shared" si="38"/>
        <v>1w</v>
      </c>
      <c r="V2263" s="207">
        <f>_xll.qlCalendarAdvance(Calendar,V2262,U2263,"f",FALSE)</f>
        <v>54715</v>
      </c>
      <c r="W2263" s="210">
        <f>_xll.qlCalendarAdvance(Calendar,V2263,NDays&amp;"D")</f>
        <v>54715</v>
      </c>
      <c r="X2263" s="211">
        <v>2.3578629344829238E-2</v>
      </c>
      <c r="Y2263" s="232"/>
    </row>
    <row r="2264" spans="21:25" x14ac:dyDescent="0.2">
      <c r="U2264" s="209" t="str">
        <f t="shared" si="38"/>
        <v>1w</v>
      </c>
      <c r="V2264" s="207">
        <f>_xll.qlCalendarAdvance(Calendar,V2263,U2264,"f",FALSE)</f>
        <v>54722</v>
      </c>
      <c r="W2264" s="210">
        <f>_xll.qlCalendarAdvance(Calendar,V2264,NDays&amp;"D")</f>
        <v>54722</v>
      </c>
      <c r="X2264" s="211">
        <v>2.3578554150178732E-2</v>
      </c>
      <c r="Y2264" s="232"/>
    </row>
    <row r="2265" spans="21:25" x14ac:dyDescent="0.2">
      <c r="U2265" s="209" t="str">
        <f t="shared" si="38"/>
        <v>1w</v>
      </c>
      <c r="V2265" s="207">
        <f>_xll.qlCalendarAdvance(Calendar,V2264,U2265,"f",FALSE)</f>
        <v>54729</v>
      </c>
      <c r="W2265" s="210">
        <f>_xll.qlCalendarAdvance(Calendar,V2265,NDays&amp;"D")</f>
        <v>54729</v>
      </c>
      <c r="X2265" s="211">
        <v>2.3578457851849421E-2</v>
      </c>
      <c r="Y2265" s="232"/>
    </row>
    <row r="2266" spans="21:25" x14ac:dyDescent="0.2">
      <c r="U2266" s="209" t="str">
        <f t="shared" si="38"/>
        <v>1w</v>
      </c>
      <c r="V2266" s="207">
        <f>_xll.qlCalendarAdvance(Calendar,V2265,U2266,"f",FALSE)</f>
        <v>54736</v>
      </c>
      <c r="W2266" s="210">
        <f>_xll.qlCalendarAdvance(Calendar,V2266,NDays&amp;"D")</f>
        <v>54736</v>
      </c>
      <c r="X2266" s="211">
        <v>2.3578340449601498E-2</v>
      </c>
      <c r="Y2266" s="232"/>
    </row>
    <row r="2267" spans="21:25" x14ac:dyDescent="0.2">
      <c r="U2267" s="209" t="str">
        <f t="shared" si="38"/>
        <v>1w</v>
      </c>
      <c r="V2267" s="207">
        <f>_xll.qlCalendarAdvance(Calendar,V2266,U2267,"f",FALSE)</f>
        <v>54743</v>
      </c>
      <c r="W2267" s="210">
        <f>_xll.qlCalendarAdvance(Calendar,V2267,NDays&amp;"D")</f>
        <v>54743</v>
      </c>
      <c r="X2267" s="211">
        <v>2.3578201943914578E-2</v>
      </c>
      <c r="Y2267" s="232"/>
    </row>
    <row r="2268" spans="21:25" x14ac:dyDescent="0.2">
      <c r="U2268" s="209" t="str">
        <f t="shared" si="38"/>
        <v>1w</v>
      </c>
      <c r="V2268" s="207">
        <f>_xll.qlCalendarAdvance(Calendar,V2267,U2268,"f",FALSE)</f>
        <v>54750</v>
      </c>
      <c r="W2268" s="210">
        <f>_xll.qlCalendarAdvance(Calendar,V2268,NDays&amp;"D")</f>
        <v>54750</v>
      </c>
      <c r="X2268" s="211">
        <v>2.3578042334388982E-2</v>
      </c>
      <c r="Y2268" s="232"/>
    </row>
    <row r="2269" spans="21:25" x14ac:dyDescent="0.2">
      <c r="U2269" s="209" t="str">
        <f t="shared" si="38"/>
        <v>1w</v>
      </c>
      <c r="V2269" s="207">
        <f>_xll.qlCalendarAdvance(Calendar,V2268,U2269,"f",FALSE)</f>
        <v>54757</v>
      </c>
      <c r="W2269" s="210">
        <f>_xll.qlCalendarAdvance(Calendar,V2269,NDays&amp;"D")</f>
        <v>54757</v>
      </c>
      <c r="X2269" s="211">
        <v>2.3577861621104645E-2</v>
      </c>
      <c r="Y2269" s="232"/>
    </row>
    <row r="2270" spans="21:25" x14ac:dyDescent="0.2">
      <c r="U2270" s="209" t="str">
        <f t="shared" si="38"/>
        <v>1w</v>
      </c>
      <c r="V2270" s="207">
        <f>_xll.qlCalendarAdvance(Calendar,V2269,U2270,"f",FALSE)</f>
        <v>54764</v>
      </c>
      <c r="W2270" s="210">
        <f>_xll.qlCalendarAdvance(Calendar,V2270,NDays&amp;"D")</f>
        <v>54764</v>
      </c>
      <c r="X2270" s="211">
        <v>2.3577659804061568E-2</v>
      </c>
      <c r="Y2270" s="232"/>
    </row>
    <row r="2271" spans="21:25" x14ac:dyDescent="0.2">
      <c r="U2271" s="209" t="str">
        <f t="shared" si="38"/>
        <v>1w</v>
      </c>
      <c r="V2271" s="207">
        <f>_xll.qlCalendarAdvance(Calendar,V2270,U2271,"f",FALSE)</f>
        <v>54771</v>
      </c>
      <c r="W2271" s="210">
        <f>_xll.qlCalendarAdvance(Calendar,V2271,NDays&amp;"D")</f>
        <v>54771</v>
      </c>
      <c r="X2271" s="211">
        <v>2.3577436883419622E-2</v>
      </c>
      <c r="Y2271" s="232"/>
    </row>
    <row r="2272" spans="21:25" x14ac:dyDescent="0.2">
      <c r="U2272" s="209" t="str">
        <f t="shared" si="38"/>
        <v>1w</v>
      </c>
      <c r="V2272" s="207">
        <f>_xll.qlCalendarAdvance(Calendar,V2271,U2272,"f",FALSE)</f>
        <v>54778</v>
      </c>
      <c r="W2272" s="210">
        <f>_xll.qlCalendarAdvance(Calendar,V2272,NDays&amp;"D")</f>
        <v>54778</v>
      </c>
      <c r="X2272" s="211">
        <v>2.3577192859018936E-2</v>
      </c>
      <c r="Y2272" s="232"/>
    </row>
    <row r="2273" spans="21:25" x14ac:dyDescent="0.2">
      <c r="U2273" s="209" t="str">
        <f t="shared" si="38"/>
        <v>1w</v>
      </c>
      <c r="V2273" s="207">
        <f>_xll.qlCalendarAdvance(Calendar,V2272,U2273,"f",FALSE)</f>
        <v>54785</v>
      </c>
      <c r="W2273" s="210">
        <f>_xll.qlCalendarAdvance(Calendar,V2273,NDays&amp;"D")</f>
        <v>54785</v>
      </c>
      <c r="X2273" s="211">
        <v>2.3576927730779573E-2</v>
      </c>
      <c r="Y2273" s="232"/>
    </row>
    <row r="2274" spans="21:25" x14ac:dyDescent="0.2">
      <c r="U2274" s="209" t="str">
        <f t="shared" si="38"/>
        <v>1w</v>
      </c>
      <c r="V2274" s="207">
        <f>_xll.qlCalendarAdvance(Calendar,V2273,U2274,"f",FALSE)</f>
        <v>54792</v>
      </c>
      <c r="W2274" s="210">
        <f>_xll.qlCalendarAdvance(Calendar,V2274,NDays&amp;"D")</f>
        <v>54792</v>
      </c>
      <c r="X2274" s="211">
        <v>2.3576641499021278E-2</v>
      </c>
      <c r="Y2274" s="232"/>
    </row>
    <row r="2275" spans="21:25" x14ac:dyDescent="0.2">
      <c r="U2275" s="209" t="str">
        <f t="shared" si="38"/>
        <v>1w</v>
      </c>
      <c r="V2275" s="207">
        <f>_xll.qlCalendarAdvance(Calendar,V2274,U2275,"f",FALSE)</f>
        <v>54799</v>
      </c>
      <c r="W2275" s="210">
        <f>_xll.qlCalendarAdvance(Calendar,V2275,NDays&amp;"D")</f>
        <v>54799</v>
      </c>
      <c r="X2275" s="211">
        <v>2.3576334163424306E-2</v>
      </c>
      <c r="Y2275" s="232"/>
    </row>
    <row r="2276" spans="21:25" x14ac:dyDescent="0.2">
      <c r="U2276" s="209" t="str">
        <f t="shared" si="38"/>
        <v>1w</v>
      </c>
      <c r="V2276" s="207">
        <f>_xll.qlCalendarAdvance(Calendar,V2275,U2276,"f",FALSE)</f>
        <v>54806</v>
      </c>
      <c r="W2276" s="210">
        <f>_xll.qlCalendarAdvance(Calendar,V2276,NDays&amp;"D")</f>
        <v>54806</v>
      </c>
      <c r="X2276" s="211">
        <v>2.3576005724068594E-2</v>
      </c>
      <c r="Y2276" s="232"/>
    </row>
    <row r="2277" spans="21:25" x14ac:dyDescent="0.2">
      <c r="U2277" s="209" t="str">
        <f t="shared" si="38"/>
        <v>1w</v>
      </c>
      <c r="V2277" s="207">
        <f>_xll.qlCalendarAdvance(Calendar,V2276,U2277,"f",FALSE)</f>
        <v>54813</v>
      </c>
      <c r="W2277" s="210">
        <f>_xll.qlCalendarAdvance(Calendar,V2277,NDays&amp;"D")</f>
        <v>54813</v>
      </c>
      <c r="X2277" s="211">
        <v>2.3575656181034077E-2</v>
      </c>
      <c r="Y2277" s="232"/>
    </row>
    <row r="2278" spans="21:25" x14ac:dyDescent="0.2">
      <c r="U2278" s="209" t="str">
        <f t="shared" si="38"/>
        <v>1w</v>
      </c>
      <c r="V2278" s="207">
        <f>_xll.qlCalendarAdvance(Calendar,V2277,U2278,"f",FALSE)</f>
        <v>54820</v>
      </c>
      <c r="W2278" s="210">
        <f>_xll.qlCalendarAdvance(Calendar,V2278,NDays&amp;"D")</f>
        <v>54820</v>
      </c>
      <c r="X2278" s="211">
        <v>2.3575285534320756E-2</v>
      </c>
      <c r="Y2278" s="232"/>
    </row>
    <row r="2279" spans="21:25" x14ac:dyDescent="0.2">
      <c r="U2279" s="209" t="str">
        <f t="shared" si="38"/>
        <v>1w</v>
      </c>
      <c r="V2279" s="207">
        <f>_xll.qlCalendarAdvance(Calendar,V2278,U2279,"f",FALSE)</f>
        <v>54827</v>
      </c>
      <c r="W2279" s="210">
        <f>_xll.qlCalendarAdvance(Calendar,V2279,NDays&amp;"D")</f>
        <v>54827</v>
      </c>
      <c r="X2279" s="211">
        <v>2.357489378392863E-2</v>
      </c>
      <c r="Y2279" s="232"/>
    </row>
    <row r="2280" spans="21:25" x14ac:dyDescent="0.2">
      <c r="U2280" s="209" t="str">
        <f t="shared" si="38"/>
        <v>1w</v>
      </c>
      <c r="V2280" s="207">
        <f>_xll.qlCalendarAdvance(Calendar,V2279,U2280,"f",FALSE)</f>
        <v>54834</v>
      </c>
      <c r="W2280" s="210">
        <f>_xll.qlCalendarAdvance(Calendar,V2280,NDays&amp;"D")</f>
        <v>54834</v>
      </c>
      <c r="X2280" s="211">
        <v>2.3574480929617891E-2</v>
      </c>
      <c r="Y2280" s="232"/>
    </row>
    <row r="2281" spans="21:25" x14ac:dyDescent="0.2">
      <c r="U2281" s="209" t="str">
        <f t="shared" si="38"/>
        <v>1w</v>
      </c>
      <c r="V2281" s="207">
        <f>_xll.qlCalendarAdvance(Calendar,V2280,U2281,"f",FALSE)</f>
        <v>54841</v>
      </c>
      <c r="W2281" s="210">
        <f>_xll.qlCalendarAdvance(Calendar,V2281,NDays&amp;"D")</f>
        <v>54841</v>
      </c>
      <c r="X2281" s="211">
        <v>2.3574046971708285E-2</v>
      </c>
      <c r="Y2281" s="232"/>
    </row>
    <row r="2282" spans="21:25" x14ac:dyDescent="0.2">
      <c r="U2282" s="209" t="str">
        <f t="shared" si="38"/>
        <v>1w</v>
      </c>
      <c r="V2282" s="207">
        <f>_xll.qlCalendarAdvance(Calendar,V2281,U2282,"f",FALSE)</f>
        <v>54848</v>
      </c>
      <c r="W2282" s="210">
        <f>_xll.qlCalendarAdvance(Calendar,V2282,NDays&amp;"D")</f>
        <v>54848</v>
      </c>
      <c r="X2282" s="211">
        <v>2.3573591910199809E-2</v>
      </c>
      <c r="Y2282" s="232"/>
    </row>
    <row r="2283" spans="21:25" x14ac:dyDescent="0.2">
      <c r="U2283" s="209" t="str">
        <f t="shared" si="38"/>
        <v>1w</v>
      </c>
      <c r="V2283" s="207">
        <f>_xll.qlCalendarAdvance(Calendar,V2282,U2283,"f",FALSE)</f>
        <v>54855</v>
      </c>
      <c r="W2283" s="210">
        <f>_xll.qlCalendarAdvance(Calendar,V2283,NDays&amp;"D")</f>
        <v>54855</v>
      </c>
      <c r="X2283" s="211">
        <v>2.3573115744772721E-2</v>
      </c>
      <c r="Y2283" s="232"/>
    </row>
    <row r="2284" spans="21:25" x14ac:dyDescent="0.2">
      <c r="U2284" s="209" t="str">
        <f t="shared" si="38"/>
        <v>1w</v>
      </c>
      <c r="V2284" s="207">
        <f>_xll.qlCalendarAdvance(Calendar,V2283,U2284,"f",FALSE)</f>
        <v>54862</v>
      </c>
      <c r="W2284" s="210">
        <f>_xll.qlCalendarAdvance(Calendar,V2284,NDays&amp;"D")</f>
        <v>54862</v>
      </c>
      <c r="X2284" s="211">
        <v>2.3572618475746765E-2</v>
      </c>
      <c r="Y2284" s="232"/>
    </row>
    <row r="2285" spans="21:25" x14ac:dyDescent="0.2">
      <c r="U2285" s="209" t="str">
        <f t="shared" si="38"/>
        <v>1w</v>
      </c>
      <c r="V2285" s="207">
        <f>_xll.qlCalendarAdvance(Calendar,V2284,U2285,"f",FALSE)</f>
        <v>54869</v>
      </c>
      <c r="W2285" s="210">
        <f>_xll.qlCalendarAdvance(Calendar,V2285,NDays&amp;"D")</f>
        <v>54869</v>
      </c>
      <c r="X2285" s="211">
        <v>2.3572100102962068E-2</v>
      </c>
      <c r="Y2285" s="232"/>
    </row>
    <row r="2286" spans="21:25" x14ac:dyDescent="0.2">
      <c r="U2286" s="209" t="str">
        <f t="shared" si="38"/>
        <v>1w</v>
      </c>
      <c r="V2286" s="207">
        <f>_xll.qlCalendarAdvance(Calendar,V2285,U2286,"f",FALSE)</f>
        <v>54876</v>
      </c>
      <c r="W2286" s="210">
        <f>_xll.qlCalendarAdvance(Calendar,V2286,NDays&amp;"D")</f>
        <v>54876</v>
      </c>
      <c r="X2286" s="211">
        <v>2.3571560626498567E-2</v>
      </c>
      <c r="Y2286" s="232"/>
    </row>
    <row r="2287" spans="21:25" x14ac:dyDescent="0.2">
      <c r="U2287" s="209" t="str">
        <f t="shared" si="38"/>
        <v>1w</v>
      </c>
      <c r="V2287" s="207">
        <f>_xll.qlCalendarAdvance(Calendar,V2286,U2287,"f",FALSE)</f>
        <v>54883</v>
      </c>
      <c r="W2287" s="210">
        <f>_xll.qlCalendarAdvance(Calendar,V2287,NDays&amp;"D")</f>
        <v>54883</v>
      </c>
      <c r="X2287" s="211">
        <v>2.3571000046276325E-2</v>
      </c>
      <c r="Y2287" s="232"/>
    </row>
    <row r="2288" spans="21:25" x14ac:dyDescent="0.2">
      <c r="U2288" s="209" t="str">
        <f t="shared" si="38"/>
        <v>1w</v>
      </c>
      <c r="V2288" s="207">
        <f>_xll.qlCalendarAdvance(Calendar,V2287,U2288,"f",FALSE)</f>
        <v>54890</v>
      </c>
      <c r="W2288" s="210">
        <f>_xll.qlCalendarAdvance(Calendar,V2288,NDays&amp;"D")</f>
        <v>54890</v>
      </c>
      <c r="X2288" s="211">
        <v>2.3570418362215406E-2</v>
      </c>
      <c r="Y2288" s="232"/>
    </row>
    <row r="2289" spans="21:25" x14ac:dyDescent="0.2">
      <c r="U2289" s="209" t="str">
        <f t="shared" si="38"/>
        <v>1w</v>
      </c>
      <c r="V2289" s="207">
        <f>_xll.qlCalendarAdvance(Calendar,V2288,U2289,"f",FALSE)</f>
        <v>54897</v>
      </c>
      <c r="W2289" s="210">
        <f>_xll.qlCalendarAdvance(Calendar,V2289,NDays&amp;"D")</f>
        <v>54897</v>
      </c>
      <c r="X2289" s="211">
        <v>2.3569815574635555E-2</v>
      </c>
      <c r="Y2289" s="232"/>
    </row>
    <row r="2290" spans="21:25" x14ac:dyDescent="0.2">
      <c r="U2290" s="209" t="str">
        <f t="shared" si="38"/>
        <v>1w</v>
      </c>
      <c r="V2290" s="207">
        <f>_xll.qlCalendarAdvance(Calendar,V2289,U2290,"f",FALSE)</f>
        <v>54904</v>
      </c>
      <c r="W2290" s="210">
        <f>_xll.qlCalendarAdvance(Calendar,V2290,NDays&amp;"D")</f>
        <v>54904</v>
      </c>
      <c r="X2290" s="211">
        <v>2.35691916833769E-2</v>
      </c>
      <c r="Y2290" s="232"/>
    </row>
    <row r="2291" spans="21:25" x14ac:dyDescent="0.2">
      <c r="U2291" s="209" t="str">
        <f t="shared" si="38"/>
        <v>1w</v>
      </c>
      <c r="V2291" s="207">
        <f>_xll.qlCalendarAdvance(Calendar,V2290,U2291,"f",FALSE)</f>
        <v>54911</v>
      </c>
      <c r="W2291" s="210">
        <f>_xll.qlCalendarAdvance(Calendar,V2291,NDays&amp;"D")</f>
        <v>54911</v>
      </c>
      <c r="X2291" s="211">
        <v>2.3568546688119696E-2</v>
      </c>
      <c r="Y2291" s="232"/>
    </row>
    <row r="2292" spans="21:25" x14ac:dyDescent="0.2">
      <c r="U2292" s="209" t="str">
        <f t="shared" si="38"/>
        <v>1w</v>
      </c>
      <c r="V2292" s="207">
        <f>_xll.qlCalendarAdvance(Calendar,V2291,U2292,"f",FALSE)</f>
        <v>54918</v>
      </c>
      <c r="W2292" s="210">
        <f>_xll.qlCalendarAdvance(Calendar,V2292,NDays&amp;"D")</f>
        <v>54918</v>
      </c>
      <c r="X2292" s="211">
        <v>2.3567880589343559E-2</v>
      </c>
      <c r="Y2292" s="232"/>
    </row>
    <row r="2293" spans="21:25" x14ac:dyDescent="0.2">
      <c r="U2293" s="209" t="str">
        <f t="shared" si="38"/>
        <v>1w</v>
      </c>
      <c r="V2293" s="207">
        <f>_xll.qlCalendarAdvance(Calendar,V2292,U2293,"f",FALSE)</f>
        <v>54925</v>
      </c>
      <c r="W2293" s="210">
        <f>_xll.qlCalendarAdvance(Calendar,V2293,NDays&amp;"D")</f>
        <v>54925</v>
      </c>
      <c r="X2293" s="211">
        <v>2.3567193386888619E-2</v>
      </c>
      <c r="Y2293" s="232"/>
    </row>
    <row r="2294" spans="21:25" x14ac:dyDescent="0.2">
      <c r="U2294" s="209" t="str">
        <f t="shared" si="38"/>
        <v>1w</v>
      </c>
      <c r="V2294" s="207">
        <f>_xll.qlCalendarAdvance(Calendar,V2293,U2294,"f",FALSE)</f>
        <v>54932</v>
      </c>
      <c r="W2294" s="210">
        <f>_xll.qlCalendarAdvance(Calendar,V2294,NDays&amp;"D")</f>
        <v>54932</v>
      </c>
      <c r="X2294" s="211">
        <v>2.3566485080595001E-2</v>
      </c>
      <c r="Y2294" s="232"/>
    </row>
    <row r="2295" spans="21:25" x14ac:dyDescent="0.2">
      <c r="U2295" s="209" t="str">
        <f t="shared" si="38"/>
        <v>1w</v>
      </c>
      <c r="V2295" s="207">
        <f>_xll.qlCalendarAdvance(Calendar,V2294,U2295,"f",FALSE)</f>
        <v>54939</v>
      </c>
      <c r="W2295" s="210">
        <f>_xll.qlCalendarAdvance(Calendar,V2295,NDays&amp;"D")</f>
        <v>54939</v>
      </c>
      <c r="X2295" s="211">
        <v>2.3565755670542643E-2</v>
      </c>
      <c r="Y2295" s="232"/>
    </row>
    <row r="2296" spans="21:25" x14ac:dyDescent="0.2">
      <c r="U2296" s="209" t="str">
        <f t="shared" si="38"/>
        <v>1w</v>
      </c>
      <c r="V2296" s="207">
        <f>_xll.qlCalendarAdvance(Calendar,V2295,U2296,"f",FALSE)</f>
        <v>54946</v>
      </c>
      <c r="W2296" s="210">
        <f>_xll.qlCalendarAdvance(Calendar,V2296,NDays&amp;"D")</f>
        <v>54946</v>
      </c>
      <c r="X2296" s="211">
        <v>2.3565005156971353E-2</v>
      </c>
      <c r="Y2296" s="232"/>
    </row>
    <row r="2297" spans="21:25" x14ac:dyDescent="0.2">
      <c r="U2297" s="209" t="str">
        <f t="shared" si="38"/>
        <v>1w</v>
      </c>
      <c r="V2297" s="207">
        <f>_xll.qlCalendarAdvance(Calendar,V2296,U2297,"f",FALSE)</f>
        <v>54953</v>
      </c>
      <c r="W2297" s="210">
        <f>_xll.qlCalendarAdvance(Calendar,V2297,NDays&amp;"D")</f>
        <v>54953</v>
      </c>
      <c r="X2297" s="211">
        <v>2.3564233539641322E-2</v>
      </c>
      <c r="Y2297" s="232"/>
    </row>
    <row r="2298" spans="21:25" x14ac:dyDescent="0.2">
      <c r="U2298" s="209" t="str">
        <f t="shared" si="38"/>
        <v>1w</v>
      </c>
      <c r="V2298" s="207">
        <f>_xll.qlCalendarAdvance(Calendar,V2297,U2298,"f",FALSE)</f>
        <v>54960</v>
      </c>
      <c r="W2298" s="210">
        <f>_xll.qlCalendarAdvance(Calendar,V2298,NDays&amp;"D")</f>
        <v>54960</v>
      </c>
      <c r="X2298" s="211">
        <v>2.3563440818392678E-2</v>
      </c>
      <c r="Y2298" s="232"/>
    </row>
    <row r="2299" spans="21:25" x14ac:dyDescent="0.2">
      <c r="U2299" s="209" t="str">
        <f t="shared" si="38"/>
        <v>1w</v>
      </c>
      <c r="V2299" s="207">
        <f>_xll.qlCalendarAdvance(Calendar,V2298,U2299,"f",FALSE)</f>
        <v>54967</v>
      </c>
      <c r="W2299" s="210">
        <f>_xll.qlCalendarAdvance(Calendar,V2299,NDays&amp;"D")</f>
        <v>54967</v>
      </c>
      <c r="X2299" s="211">
        <v>2.3562626993545166E-2</v>
      </c>
      <c r="Y2299" s="232"/>
    </row>
    <row r="2300" spans="21:25" x14ac:dyDescent="0.2">
      <c r="U2300" s="209" t="str">
        <f t="shared" si="38"/>
        <v>1w</v>
      </c>
      <c r="V2300" s="207">
        <f>_xll.qlCalendarAdvance(Calendar,V2299,U2300,"f",FALSE)</f>
        <v>54974</v>
      </c>
      <c r="W2300" s="210">
        <f>_xll.qlCalendarAdvance(Calendar,V2300,NDays&amp;"D")</f>
        <v>54974</v>
      </c>
      <c r="X2300" s="211">
        <v>2.3561792065018849E-2</v>
      </c>
      <c r="Y2300" s="232"/>
    </row>
    <row r="2301" spans="21:25" x14ac:dyDescent="0.2">
      <c r="U2301" s="209" t="str">
        <f t="shared" si="38"/>
        <v>1w</v>
      </c>
      <c r="V2301" s="207">
        <f>_xll.qlCalendarAdvance(Calendar,V2300,U2301,"f",FALSE)</f>
        <v>54981</v>
      </c>
      <c r="W2301" s="210">
        <f>_xll.qlCalendarAdvance(Calendar,V2301,NDays&amp;"D")</f>
        <v>54981</v>
      </c>
      <c r="X2301" s="211">
        <v>2.3560936032813729E-2</v>
      </c>
      <c r="Y2301" s="232"/>
    </row>
    <row r="2302" spans="21:25" x14ac:dyDescent="0.2">
      <c r="U2302" s="209" t="str">
        <f t="shared" si="38"/>
        <v>1w</v>
      </c>
      <c r="V2302" s="207">
        <f>_xll.qlCalendarAdvance(Calendar,V2301,U2302,"f",FALSE)</f>
        <v>54988</v>
      </c>
      <c r="W2302" s="210">
        <f>_xll.qlCalendarAdvance(Calendar,V2302,NDays&amp;"D")</f>
        <v>54988</v>
      </c>
      <c r="X2302" s="211">
        <v>2.3560058896769931E-2</v>
      </c>
      <c r="Y2302" s="232"/>
    </row>
    <row r="2303" spans="21:25" x14ac:dyDescent="0.2">
      <c r="U2303" s="209" t="str">
        <f t="shared" si="38"/>
        <v>1w</v>
      </c>
      <c r="V2303" s="207">
        <f>_xll.qlCalendarAdvance(Calendar,V2302,U2303,"f",FALSE)</f>
        <v>54995</v>
      </c>
      <c r="W2303" s="210">
        <f>_xll.qlCalendarAdvance(Calendar,V2303,NDays&amp;"D")</f>
        <v>54995</v>
      </c>
      <c r="X2303" s="211">
        <v>2.3559160657047329E-2</v>
      </c>
      <c r="Y2303" s="232"/>
    </row>
    <row r="2304" spans="21:25" x14ac:dyDescent="0.2">
      <c r="U2304" s="209" t="str">
        <f t="shared" si="38"/>
        <v>1w</v>
      </c>
      <c r="V2304" s="207">
        <f>_xll.qlCalendarAdvance(Calendar,V2303,U2304,"f",FALSE)</f>
        <v>55002</v>
      </c>
      <c r="W2304" s="210">
        <f>_xll.qlCalendarAdvance(Calendar,V2304,NDays&amp;"D")</f>
        <v>55002</v>
      </c>
      <c r="X2304" s="211">
        <v>2.3558241313645922E-2</v>
      </c>
      <c r="Y2304" s="232"/>
    </row>
    <row r="2305" spans="21:25" x14ac:dyDescent="0.2">
      <c r="U2305" s="209" t="str">
        <f t="shared" si="38"/>
        <v>1w</v>
      </c>
      <c r="V2305" s="207">
        <f>_xll.qlCalendarAdvance(Calendar,V2304,U2305,"f",FALSE)</f>
        <v>55009</v>
      </c>
      <c r="W2305" s="210">
        <f>_xll.qlCalendarAdvance(Calendar,V2305,NDays&amp;"D")</f>
        <v>55009</v>
      </c>
      <c r="X2305" s="211">
        <v>2.3557300866485775E-2</v>
      </c>
      <c r="Y2305" s="232"/>
    </row>
    <row r="2306" spans="21:25" x14ac:dyDescent="0.2">
      <c r="U2306" s="209" t="str">
        <f t="shared" si="38"/>
        <v>1w</v>
      </c>
      <c r="V2306" s="207">
        <f>_xll.qlCalendarAdvance(Calendar,V2305,U2306,"f",FALSE)</f>
        <v>55016</v>
      </c>
      <c r="W2306" s="210">
        <f>_xll.qlCalendarAdvance(Calendar,V2306,NDays&amp;"D")</f>
        <v>55016</v>
      </c>
      <c r="X2306" s="211">
        <v>2.3556339315566888E-2</v>
      </c>
      <c r="Y2306" s="232"/>
    </row>
    <row r="2307" spans="21:25" x14ac:dyDescent="0.2">
      <c r="U2307" s="209" t="str">
        <f t="shared" si="38"/>
        <v>1w</v>
      </c>
      <c r="V2307" s="207">
        <f>_xll.qlCalendarAdvance(Calendar,V2306,U2307,"f",FALSE)</f>
        <v>55023</v>
      </c>
      <c r="W2307" s="210">
        <f>_xll.qlCalendarAdvance(Calendar,V2307,NDays&amp;"D")</f>
        <v>55023</v>
      </c>
      <c r="X2307" s="211">
        <v>2.3555356661049132E-2</v>
      </c>
      <c r="Y2307" s="232"/>
    </row>
    <row r="2308" spans="21:25" x14ac:dyDescent="0.2">
      <c r="U2308" s="209" t="str">
        <f t="shared" si="38"/>
        <v>1w</v>
      </c>
      <c r="V2308" s="207">
        <f>_xll.qlCalendarAdvance(Calendar,V2307,U2308,"f",FALSE)</f>
        <v>55030</v>
      </c>
      <c r="W2308" s="210">
        <f>_xll.qlCalendarAdvance(Calendar,V2308,NDays&amp;"D")</f>
        <v>55030</v>
      </c>
      <c r="X2308" s="211">
        <v>2.3554352902772635E-2</v>
      </c>
      <c r="Y2308" s="232"/>
    </row>
    <row r="2309" spans="21:25" x14ac:dyDescent="0.2">
      <c r="U2309" s="209" t="str">
        <f t="shared" si="38"/>
        <v>1w</v>
      </c>
      <c r="V2309" s="207">
        <f>_xll.qlCalendarAdvance(Calendar,V2308,U2309,"f",FALSE)</f>
        <v>55037</v>
      </c>
      <c r="W2309" s="210">
        <f>_xll.qlCalendarAdvance(Calendar,V2309,NDays&amp;"D")</f>
        <v>55037</v>
      </c>
      <c r="X2309" s="211">
        <v>2.3553328040737398E-2</v>
      </c>
      <c r="Y2309" s="232"/>
    </row>
    <row r="2310" spans="21:25" x14ac:dyDescent="0.2">
      <c r="U2310" s="209" t="str">
        <f t="shared" si="38"/>
        <v>1w</v>
      </c>
      <c r="V2310" s="207">
        <f>_xll.qlCalendarAdvance(Calendar,V2309,U2310,"f",FALSE)</f>
        <v>55044</v>
      </c>
      <c r="W2310" s="210">
        <f>_xll.qlCalendarAdvance(Calendar,V2310,NDays&amp;"D")</f>
        <v>55044</v>
      </c>
      <c r="X2310" s="211">
        <v>2.3552282075023356E-2</v>
      </c>
      <c r="Y2310" s="232"/>
    </row>
    <row r="2311" spans="21:25" x14ac:dyDescent="0.2">
      <c r="U2311" s="209" t="str">
        <f t="shared" si="38"/>
        <v>1w</v>
      </c>
      <c r="V2311" s="207">
        <f>_xll.qlCalendarAdvance(Calendar,V2310,U2311,"f",FALSE)</f>
        <v>55051</v>
      </c>
      <c r="W2311" s="210">
        <f>_xll.qlCalendarAdvance(Calendar,V2311,NDays&amp;"D")</f>
        <v>55051</v>
      </c>
      <c r="X2311" s="211">
        <v>2.355121500563051E-2</v>
      </c>
      <c r="Y2311" s="232"/>
    </row>
    <row r="2312" spans="21:25" x14ac:dyDescent="0.2">
      <c r="U2312" s="209" t="str">
        <f t="shared" si="38"/>
        <v>1w</v>
      </c>
      <c r="V2312" s="207">
        <f>_xll.qlCalendarAdvance(Calendar,V2311,U2312,"f",FALSE)</f>
        <v>55058</v>
      </c>
      <c r="W2312" s="210">
        <f>_xll.qlCalendarAdvance(Calendar,V2312,NDays&amp;"D")</f>
        <v>55058</v>
      </c>
      <c r="X2312" s="211">
        <v>2.3550126832478924E-2</v>
      </c>
      <c r="Y2312" s="232"/>
    </row>
    <row r="2313" spans="21:25" x14ac:dyDescent="0.2">
      <c r="U2313" s="209" t="str">
        <f t="shared" si="38"/>
        <v>1w</v>
      </c>
      <c r="V2313" s="207">
        <f>_xll.qlCalendarAdvance(Calendar,V2312,U2313,"f",FALSE)</f>
        <v>55065</v>
      </c>
      <c r="W2313" s="210">
        <f>_xll.qlCalendarAdvance(Calendar,V2313,NDays&amp;"D")</f>
        <v>55065</v>
      </c>
      <c r="X2313" s="211">
        <v>2.3549017555568597E-2</v>
      </c>
      <c r="Y2313" s="232"/>
    </row>
    <row r="2314" spans="21:25" x14ac:dyDescent="0.2">
      <c r="U2314" s="209" t="str">
        <f t="shared" si="38"/>
        <v>1w</v>
      </c>
      <c r="V2314" s="207">
        <f>_xll.qlCalendarAdvance(Calendar,V2313,U2314,"f",FALSE)</f>
        <v>55072</v>
      </c>
      <c r="W2314" s="210">
        <f>_xll.qlCalendarAdvance(Calendar,V2314,NDays&amp;"D")</f>
        <v>55072</v>
      </c>
      <c r="X2314" s="211">
        <v>2.3547887175059401E-2</v>
      </c>
      <c r="Y2314" s="232"/>
    </row>
    <row r="2315" spans="21:25" x14ac:dyDescent="0.2">
      <c r="U2315" s="209" t="str">
        <f t="shared" si="38"/>
        <v>1w</v>
      </c>
      <c r="V2315" s="207">
        <f>_xll.qlCalendarAdvance(Calendar,V2314,U2315,"f",FALSE)</f>
        <v>55079</v>
      </c>
      <c r="W2315" s="210">
        <f>_xll.qlCalendarAdvance(Calendar,V2315,NDays&amp;"D")</f>
        <v>55079</v>
      </c>
      <c r="X2315" s="211">
        <v>2.3546735690711529E-2</v>
      </c>
      <c r="Y2315" s="232"/>
    </row>
    <row r="2316" spans="21:25" x14ac:dyDescent="0.2">
      <c r="U2316" s="209" t="str">
        <f t="shared" si="38"/>
        <v>1w</v>
      </c>
      <c r="V2316" s="207">
        <f>_xll.qlCalendarAdvance(Calendar,V2315,U2316,"f",FALSE)</f>
        <v>55086</v>
      </c>
      <c r="W2316" s="210">
        <f>_xll.qlCalendarAdvance(Calendar,V2316,NDays&amp;"D")</f>
        <v>55086</v>
      </c>
      <c r="X2316" s="211">
        <v>2.3545563102604916E-2</v>
      </c>
      <c r="Y2316" s="232"/>
    </row>
    <row r="2317" spans="21:25" x14ac:dyDescent="0.2">
      <c r="U2317" s="209" t="str">
        <f t="shared" ref="U2317:U2380" si="39">U2316</f>
        <v>1w</v>
      </c>
      <c r="V2317" s="207">
        <f>_xll.qlCalendarAdvance(Calendar,V2316,U2317,"f",FALSE)</f>
        <v>55093</v>
      </c>
      <c r="W2317" s="210">
        <f>_xll.qlCalendarAdvance(Calendar,V2317,NDays&amp;"D")</f>
        <v>55093</v>
      </c>
      <c r="X2317" s="211">
        <v>2.3544369410899435E-2</v>
      </c>
      <c r="Y2317" s="232"/>
    </row>
    <row r="2318" spans="21:25" x14ac:dyDescent="0.2">
      <c r="U2318" s="209" t="str">
        <f t="shared" si="39"/>
        <v>1w</v>
      </c>
      <c r="V2318" s="207">
        <f>_xll.qlCalendarAdvance(Calendar,V2317,U2318,"f",FALSE)</f>
        <v>55100</v>
      </c>
      <c r="W2318" s="210">
        <f>_xll.qlCalendarAdvance(Calendar,V2318,NDays&amp;"D")</f>
        <v>55100</v>
      </c>
      <c r="X2318" s="211">
        <v>2.3543154615595085E-2</v>
      </c>
      <c r="Y2318" s="232"/>
    </row>
    <row r="2319" spans="21:25" x14ac:dyDescent="0.2">
      <c r="U2319" s="209" t="str">
        <f t="shared" si="39"/>
        <v>1w</v>
      </c>
      <c r="V2319" s="207">
        <f>_xll.qlCalendarAdvance(Calendar,V2318,U2319,"f",FALSE)</f>
        <v>55107</v>
      </c>
      <c r="W2319" s="210">
        <f>_xll.qlCalendarAdvance(Calendar,V2319,NDays&amp;"D")</f>
        <v>55107</v>
      </c>
      <c r="X2319" s="211">
        <v>2.3541918716372123E-2</v>
      </c>
      <c r="Y2319" s="232"/>
    </row>
    <row r="2320" spans="21:25" x14ac:dyDescent="0.2">
      <c r="U2320" s="209" t="str">
        <f t="shared" si="39"/>
        <v>1w</v>
      </c>
      <c r="V2320" s="207">
        <f>_xll.qlCalendarAdvance(Calendar,V2319,U2320,"f",FALSE)</f>
        <v>55114</v>
      </c>
      <c r="W2320" s="210">
        <f>_xll.qlCalendarAdvance(Calendar,V2320,NDays&amp;"D")</f>
        <v>55114</v>
      </c>
      <c r="X2320" s="211">
        <v>2.3540661713470357E-2</v>
      </c>
      <c r="Y2320" s="232"/>
    </row>
    <row r="2321" spans="21:25" x14ac:dyDescent="0.2">
      <c r="U2321" s="209" t="str">
        <f t="shared" si="39"/>
        <v>1w</v>
      </c>
      <c r="V2321" s="207">
        <f>_xll.qlCalendarAdvance(Calendar,V2320,U2321,"f",FALSE)</f>
        <v>55121</v>
      </c>
      <c r="W2321" s="210">
        <f>_xll.qlCalendarAdvance(Calendar,V2321,NDays&amp;"D")</f>
        <v>55121</v>
      </c>
      <c r="X2321" s="211">
        <v>2.3539383606889785E-2</v>
      </c>
      <c r="Y2321" s="232"/>
    </row>
    <row r="2322" spans="21:25" x14ac:dyDescent="0.2">
      <c r="U2322" s="209" t="str">
        <f t="shared" si="39"/>
        <v>1w</v>
      </c>
      <c r="V2322" s="207">
        <f>_xll.qlCalendarAdvance(Calendar,V2321,U2322,"f",FALSE)</f>
        <v>55128</v>
      </c>
      <c r="W2322" s="210">
        <f>_xll.qlCalendarAdvance(Calendar,V2322,NDays&amp;"D")</f>
        <v>55128</v>
      </c>
      <c r="X2322" s="211">
        <v>2.353808439663041E-2</v>
      </c>
      <c r="Y2322" s="232"/>
    </row>
    <row r="2323" spans="21:25" x14ac:dyDescent="0.2">
      <c r="U2323" s="209" t="str">
        <f t="shared" si="39"/>
        <v>1w</v>
      </c>
      <c r="V2323" s="207">
        <f>_xll.qlCalendarAdvance(Calendar,V2322,U2323,"f",FALSE)</f>
        <v>55135</v>
      </c>
      <c r="W2323" s="210">
        <f>_xll.qlCalendarAdvance(Calendar,V2323,NDays&amp;"D")</f>
        <v>55135</v>
      </c>
      <c r="X2323" s="211">
        <v>2.3536764082612294E-2</v>
      </c>
      <c r="Y2323" s="232"/>
    </row>
    <row r="2324" spans="21:25" x14ac:dyDescent="0.2">
      <c r="U2324" s="209" t="str">
        <f t="shared" si="39"/>
        <v>1w</v>
      </c>
      <c r="V2324" s="207">
        <f>_xll.qlCalendarAdvance(Calendar,V2323,U2324,"f",FALSE)</f>
        <v>55142</v>
      </c>
      <c r="W2324" s="210">
        <f>_xll.qlCalendarAdvance(Calendar,V2324,NDays&amp;"D")</f>
        <v>55142</v>
      </c>
      <c r="X2324" s="211">
        <v>2.3535422664835437E-2</v>
      </c>
      <c r="Y2324" s="232"/>
    </row>
    <row r="2325" spans="21:25" x14ac:dyDescent="0.2">
      <c r="U2325" s="209" t="str">
        <f t="shared" si="39"/>
        <v>1w</v>
      </c>
      <c r="V2325" s="207">
        <f>_xll.qlCalendarAdvance(Calendar,V2324,U2325,"f",FALSE)</f>
        <v>55149</v>
      </c>
      <c r="W2325" s="210">
        <f>_xll.qlCalendarAdvance(Calendar,V2325,NDays&amp;"D")</f>
        <v>55149</v>
      </c>
      <c r="X2325" s="211">
        <v>2.3534060143459712E-2</v>
      </c>
      <c r="Y2325" s="232"/>
    </row>
    <row r="2326" spans="21:25" x14ac:dyDescent="0.2">
      <c r="U2326" s="209" t="str">
        <f t="shared" si="39"/>
        <v>1w</v>
      </c>
      <c r="V2326" s="207">
        <f>_xll.qlCalendarAdvance(Calendar,V2325,U2326,"f",FALSE)</f>
        <v>55156</v>
      </c>
      <c r="W2326" s="210">
        <f>_xll.qlCalendarAdvance(Calendar,V2326,NDays&amp;"D")</f>
        <v>55156</v>
      </c>
      <c r="X2326" s="211">
        <v>2.3532676518325246E-2</v>
      </c>
      <c r="Y2326" s="232"/>
    </row>
    <row r="2327" spans="21:25" x14ac:dyDescent="0.2">
      <c r="U2327" s="209" t="str">
        <f t="shared" si="39"/>
        <v>1w</v>
      </c>
      <c r="V2327" s="207">
        <f>_xll.qlCalendarAdvance(Calendar,V2326,U2327,"f",FALSE)</f>
        <v>55163</v>
      </c>
      <c r="W2327" s="210">
        <f>_xll.qlCalendarAdvance(Calendar,V2327,NDays&amp;"D")</f>
        <v>55163</v>
      </c>
      <c r="X2327" s="211">
        <v>2.3531271789352104E-2</v>
      </c>
      <c r="Y2327" s="232"/>
    </row>
    <row r="2328" spans="21:25" x14ac:dyDescent="0.2">
      <c r="U2328" s="209" t="str">
        <f t="shared" si="39"/>
        <v>1w</v>
      </c>
      <c r="V2328" s="207">
        <f>_xll.qlCalendarAdvance(Calendar,V2327,U2328,"f",FALSE)</f>
        <v>55170</v>
      </c>
      <c r="W2328" s="210">
        <f>_xll.qlCalendarAdvance(Calendar,V2328,NDays&amp;"D")</f>
        <v>55170</v>
      </c>
      <c r="X2328" s="211">
        <v>2.3529845956780093E-2</v>
      </c>
      <c r="Y2328" s="232"/>
    </row>
    <row r="2329" spans="21:25" x14ac:dyDescent="0.2">
      <c r="U2329" s="209" t="str">
        <f t="shared" si="39"/>
        <v>1w</v>
      </c>
      <c r="V2329" s="207">
        <f>_xll.qlCalendarAdvance(Calendar,V2328,U2329,"f",FALSE)</f>
        <v>55177</v>
      </c>
      <c r="W2329" s="210">
        <f>_xll.qlCalendarAdvance(Calendar,V2329,NDays&amp;"D")</f>
        <v>55177</v>
      </c>
      <c r="X2329" s="211">
        <v>2.3528399020609214E-2</v>
      </c>
      <c r="Y2329" s="232"/>
    </row>
    <row r="2330" spans="21:25" x14ac:dyDescent="0.2">
      <c r="U2330" s="209" t="str">
        <f t="shared" si="39"/>
        <v>1w</v>
      </c>
      <c r="V2330" s="207">
        <f>_xll.qlCalendarAdvance(Calendar,V2329,U2330,"f",FALSE)</f>
        <v>55184</v>
      </c>
      <c r="W2330" s="210">
        <f>_xll.qlCalendarAdvance(Calendar,V2330,NDays&amp;"D")</f>
        <v>55184</v>
      </c>
      <c r="X2330" s="211">
        <v>2.3526930980599658E-2</v>
      </c>
      <c r="Y2330" s="232"/>
    </row>
    <row r="2331" spans="21:25" x14ac:dyDescent="0.2">
      <c r="U2331" s="209" t="str">
        <f t="shared" si="39"/>
        <v>1w</v>
      </c>
      <c r="V2331" s="207">
        <f>_xll.qlCalendarAdvance(Calendar,V2330,U2331,"f",FALSE)</f>
        <v>55191</v>
      </c>
      <c r="W2331" s="210">
        <f>_xll.qlCalendarAdvance(Calendar,V2331,NDays&amp;"D")</f>
        <v>55191</v>
      </c>
      <c r="X2331" s="211">
        <v>2.3525441836831362E-2</v>
      </c>
      <c r="Y2331" s="232"/>
    </row>
    <row r="2332" spans="21:25" x14ac:dyDescent="0.2">
      <c r="U2332" s="209" t="str">
        <f t="shared" si="39"/>
        <v>1w</v>
      </c>
      <c r="V2332" s="207">
        <f>_xll.qlCalendarAdvance(Calendar,V2331,U2332,"f",FALSE)</f>
        <v>55198</v>
      </c>
      <c r="W2332" s="210">
        <f>_xll.qlCalendarAdvance(Calendar,V2332,NDays&amp;"D")</f>
        <v>55198</v>
      </c>
      <c r="X2332" s="211">
        <v>2.3523931589464198E-2</v>
      </c>
      <c r="Y2332" s="232"/>
    </row>
    <row r="2333" spans="21:25" x14ac:dyDescent="0.2">
      <c r="U2333" s="209" t="str">
        <f t="shared" si="39"/>
        <v>1w</v>
      </c>
      <c r="V2333" s="207">
        <f>_xll.qlCalendarAdvance(Calendar,V2332,U2333,"f",FALSE)</f>
        <v>55205</v>
      </c>
      <c r="W2333" s="210">
        <f>_xll.qlCalendarAdvance(Calendar,V2333,NDays&amp;"D")</f>
        <v>55205</v>
      </c>
      <c r="X2333" s="211">
        <v>2.3522400238418228E-2</v>
      </c>
      <c r="Y2333" s="232"/>
    </row>
    <row r="2334" spans="21:25" x14ac:dyDescent="0.2">
      <c r="U2334" s="209" t="str">
        <f t="shared" si="39"/>
        <v>1w</v>
      </c>
      <c r="V2334" s="207">
        <f>_xll.qlCalendarAdvance(Calendar,V2333,U2334,"f",FALSE)</f>
        <v>55212</v>
      </c>
      <c r="W2334" s="210">
        <f>_xll.qlCalendarAdvance(Calendar,V2334,NDays&amp;"D")</f>
        <v>55212</v>
      </c>
      <c r="X2334" s="211">
        <v>2.3520847783453647E-2</v>
      </c>
      <c r="Y2334" s="232"/>
    </row>
    <row r="2335" spans="21:25" x14ac:dyDescent="0.2">
      <c r="U2335" s="209" t="str">
        <f t="shared" si="39"/>
        <v>1w</v>
      </c>
      <c r="V2335" s="207">
        <f>_xll.qlCalendarAdvance(Calendar,V2334,U2335,"f",FALSE)</f>
        <v>55219</v>
      </c>
      <c r="W2335" s="210">
        <f>_xll.qlCalendarAdvance(Calendar,V2335,NDays&amp;"D")</f>
        <v>55219</v>
      </c>
      <c r="X2335" s="211">
        <v>2.3519274224890196E-2</v>
      </c>
      <c r="Y2335" s="232"/>
    </row>
    <row r="2336" spans="21:25" x14ac:dyDescent="0.2">
      <c r="U2336" s="209" t="str">
        <f t="shared" si="39"/>
        <v>1w</v>
      </c>
      <c r="V2336" s="207">
        <f>_xll.qlCalendarAdvance(Calendar,V2335,U2336,"f",FALSE)</f>
        <v>55226</v>
      </c>
      <c r="W2336" s="210">
        <f>_xll.qlCalendarAdvance(Calendar,V2336,NDays&amp;"D")</f>
        <v>55226</v>
      </c>
      <c r="X2336" s="211">
        <v>2.3517679562727878E-2</v>
      </c>
      <c r="Y2336" s="232"/>
    </row>
    <row r="2337" spans="21:25" x14ac:dyDescent="0.2">
      <c r="U2337" s="209" t="str">
        <f t="shared" si="39"/>
        <v>1w</v>
      </c>
      <c r="V2337" s="207">
        <f>_xll.qlCalendarAdvance(Calendar,V2336,U2337,"f",FALSE)</f>
        <v>55233</v>
      </c>
      <c r="W2337" s="210">
        <f>_xll.qlCalendarAdvance(Calendar,V2337,NDays&amp;"D")</f>
        <v>55233</v>
      </c>
      <c r="X2337" s="211">
        <v>2.3516063796806819E-2</v>
      </c>
      <c r="Y2337" s="232"/>
    </row>
    <row r="2338" spans="21:25" x14ac:dyDescent="0.2">
      <c r="U2338" s="209" t="str">
        <f t="shared" si="39"/>
        <v>1w</v>
      </c>
      <c r="V2338" s="207">
        <f>_xll.qlCalendarAdvance(Calendar,V2337,U2338,"f",FALSE)</f>
        <v>55240</v>
      </c>
      <c r="W2338" s="210">
        <f>_xll.qlCalendarAdvance(Calendar,V2338,NDays&amp;"D")</f>
        <v>55240</v>
      </c>
      <c r="X2338" s="211">
        <v>2.3514426927047083E-2</v>
      </c>
      <c r="Y2338" s="232"/>
    </row>
    <row r="2339" spans="21:25" x14ac:dyDescent="0.2">
      <c r="U2339" s="209" t="str">
        <f t="shared" si="39"/>
        <v>1w</v>
      </c>
      <c r="V2339" s="207">
        <f>_xll.qlCalendarAdvance(Calendar,V2338,U2339,"f",FALSE)</f>
        <v>55247</v>
      </c>
      <c r="W2339" s="210">
        <f>_xll.qlCalendarAdvance(Calendar,V2339,NDays&amp;"D")</f>
        <v>55247</v>
      </c>
      <c r="X2339" s="211">
        <v>2.3512768953688479E-2</v>
      </c>
      <c r="Y2339" s="232"/>
    </row>
    <row r="2340" spans="21:25" x14ac:dyDescent="0.2">
      <c r="U2340" s="209" t="str">
        <f t="shared" si="39"/>
        <v>1w</v>
      </c>
      <c r="V2340" s="207">
        <f>_xll.qlCalendarAdvance(Calendar,V2339,U2340,"f",FALSE)</f>
        <v>55254</v>
      </c>
      <c r="W2340" s="210">
        <f>_xll.qlCalendarAdvance(Calendar,V2340,NDays&amp;"D")</f>
        <v>55254</v>
      </c>
      <c r="X2340" s="211">
        <v>2.3511089876571134E-2</v>
      </c>
      <c r="Y2340" s="232"/>
    </row>
    <row r="2341" spans="21:25" x14ac:dyDescent="0.2">
      <c r="U2341" s="209" t="str">
        <f t="shared" si="39"/>
        <v>1w</v>
      </c>
      <c r="V2341" s="207">
        <f>_xll.qlCalendarAdvance(Calendar,V2340,U2341,"f",FALSE)</f>
        <v>55261</v>
      </c>
      <c r="W2341" s="210">
        <f>_xll.qlCalendarAdvance(Calendar,V2341,NDays&amp;"D")</f>
        <v>55261</v>
      </c>
      <c r="X2341" s="211">
        <v>2.3509389695774985E-2</v>
      </c>
      <c r="Y2341" s="232"/>
    </row>
    <row r="2342" spans="21:25" x14ac:dyDescent="0.2">
      <c r="U2342" s="209" t="str">
        <f t="shared" si="39"/>
        <v>1w</v>
      </c>
      <c r="V2342" s="207">
        <f>_xll.qlCalendarAdvance(Calendar,V2341,U2342,"f",FALSE)</f>
        <v>55268</v>
      </c>
      <c r="W2342" s="210">
        <f>_xll.qlCalendarAdvance(Calendar,V2342,NDays&amp;"D")</f>
        <v>55268</v>
      </c>
      <c r="X2342" s="211">
        <v>2.3507668411220095E-2</v>
      </c>
      <c r="Y2342" s="232"/>
    </row>
    <row r="2343" spans="21:25" x14ac:dyDescent="0.2">
      <c r="U2343" s="209" t="str">
        <f t="shared" si="39"/>
        <v>1w</v>
      </c>
      <c r="V2343" s="207">
        <f>_xll.qlCalendarAdvance(Calendar,V2342,U2343,"f",FALSE)</f>
        <v>55275</v>
      </c>
      <c r="W2343" s="210">
        <f>_xll.qlCalendarAdvance(Calendar,V2343,NDays&amp;"D")</f>
        <v>55275</v>
      </c>
      <c r="X2343" s="211">
        <v>2.3505926023066337E-2</v>
      </c>
      <c r="Y2343" s="232"/>
    </row>
    <row r="2344" spans="21:25" x14ac:dyDescent="0.2">
      <c r="U2344" s="209" t="str">
        <f t="shared" si="39"/>
        <v>1w</v>
      </c>
      <c r="V2344" s="207">
        <f>_xll.qlCalendarAdvance(Calendar,V2343,U2344,"f",FALSE)</f>
        <v>55282</v>
      </c>
      <c r="W2344" s="210">
        <f>_xll.qlCalendarAdvance(Calendar,V2344,NDays&amp;"D")</f>
        <v>55282</v>
      </c>
      <c r="X2344" s="211">
        <v>2.3504162531153838E-2</v>
      </c>
      <c r="Y2344" s="232"/>
    </row>
    <row r="2345" spans="21:25" x14ac:dyDescent="0.2">
      <c r="U2345" s="209" t="str">
        <f t="shared" si="39"/>
        <v>1w</v>
      </c>
      <c r="V2345" s="207">
        <f>_xll.qlCalendarAdvance(Calendar,V2344,U2345,"f",FALSE)</f>
        <v>55289</v>
      </c>
      <c r="W2345" s="210">
        <f>_xll.qlCalendarAdvance(Calendar,V2345,NDays&amp;"D")</f>
        <v>55289</v>
      </c>
      <c r="X2345" s="211">
        <v>2.3502377935482599E-2</v>
      </c>
      <c r="Y2345" s="232"/>
    </row>
    <row r="2346" spans="21:25" x14ac:dyDescent="0.2">
      <c r="U2346" s="209" t="str">
        <f t="shared" si="39"/>
        <v>1w</v>
      </c>
      <c r="V2346" s="207">
        <f>_xll.qlCalendarAdvance(Calendar,V2345,U2346,"f",FALSE)</f>
        <v>55296</v>
      </c>
      <c r="W2346" s="210">
        <f>_xll.qlCalendarAdvance(Calendar,V2346,NDays&amp;"D")</f>
        <v>55296</v>
      </c>
      <c r="X2346" s="211">
        <v>2.3500572236132555E-2</v>
      </c>
      <c r="Y2346" s="232"/>
    </row>
    <row r="2347" spans="21:25" x14ac:dyDescent="0.2">
      <c r="U2347" s="209" t="str">
        <f t="shared" si="39"/>
        <v>1w</v>
      </c>
      <c r="V2347" s="207">
        <f>_xll.qlCalendarAdvance(Calendar,V2346,U2347,"f",FALSE)</f>
        <v>55303</v>
      </c>
      <c r="W2347" s="210">
        <f>_xll.qlCalendarAdvance(Calendar,V2347,NDays&amp;"D")</f>
        <v>55303</v>
      </c>
      <c r="X2347" s="211">
        <v>2.3498745433103707E-2</v>
      </c>
      <c r="Y2347" s="232"/>
    </row>
    <row r="2348" spans="21:25" x14ac:dyDescent="0.2">
      <c r="U2348" s="209" t="str">
        <f t="shared" si="39"/>
        <v>1w</v>
      </c>
      <c r="V2348" s="207">
        <f>_xll.qlCalendarAdvance(Calendar,V2347,U2348,"f",FALSE)</f>
        <v>55310</v>
      </c>
      <c r="W2348" s="210">
        <f>_xll.qlCalendarAdvance(Calendar,V2348,NDays&amp;"D")</f>
        <v>55310</v>
      </c>
      <c r="X2348" s="211">
        <v>2.3496897526396054E-2</v>
      </c>
      <c r="Y2348" s="232"/>
    </row>
    <row r="2349" spans="21:25" x14ac:dyDescent="0.2">
      <c r="U2349" s="209" t="str">
        <f t="shared" si="39"/>
        <v>1w</v>
      </c>
      <c r="V2349" s="207">
        <f>_xll.qlCalendarAdvance(Calendar,V2348,U2349,"f",FALSE)</f>
        <v>55317</v>
      </c>
      <c r="W2349" s="210">
        <f>_xll.qlCalendarAdvance(Calendar,V2349,NDays&amp;"D")</f>
        <v>55317</v>
      </c>
      <c r="X2349" s="211">
        <v>2.3495028515849725E-2</v>
      </c>
      <c r="Y2349" s="232"/>
    </row>
    <row r="2350" spans="21:25" x14ac:dyDescent="0.2">
      <c r="U2350" s="209" t="str">
        <f t="shared" si="39"/>
        <v>1w</v>
      </c>
      <c r="V2350" s="207">
        <f>_xll.qlCalendarAdvance(Calendar,V2349,U2350,"f",FALSE)</f>
        <v>55324</v>
      </c>
      <c r="W2350" s="210">
        <f>_xll.qlCalendarAdvance(Calendar,V2350,NDays&amp;"D")</f>
        <v>55324</v>
      </c>
      <c r="X2350" s="211">
        <v>2.3493138401784464E-2</v>
      </c>
      <c r="Y2350" s="232"/>
    </row>
    <row r="2351" spans="21:25" x14ac:dyDescent="0.2">
      <c r="U2351" s="209" t="str">
        <f t="shared" si="39"/>
        <v>1w</v>
      </c>
      <c r="V2351" s="207">
        <f>_xll.qlCalendarAdvance(Calendar,V2350,U2351,"f",FALSE)</f>
        <v>55331</v>
      </c>
      <c r="W2351" s="210">
        <f>_xll.qlCalendarAdvance(Calendar,V2351,NDays&amp;"D")</f>
        <v>55331</v>
      </c>
      <c r="X2351" s="211">
        <v>2.3491227183880525E-2</v>
      </c>
      <c r="Y2351" s="232"/>
    </row>
    <row r="2352" spans="21:25" x14ac:dyDescent="0.2">
      <c r="U2352" s="209" t="str">
        <f t="shared" si="39"/>
        <v>1w</v>
      </c>
      <c r="V2352" s="207">
        <f>_xll.qlCalendarAdvance(Calendar,V2351,U2352,"f",FALSE)</f>
        <v>55338</v>
      </c>
      <c r="W2352" s="210">
        <f>_xll.qlCalendarAdvance(Calendar,V2352,NDays&amp;"D")</f>
        <v>55338</v>
      </c>
      <c r="X2352" s="211">
        <v>2.3489294862297783E-2</v>
      </c>
      <c r="Y2352" s="232"/>
    </row>
    <row r="2353" spans="21:25" x14ac:dyDescent="0.2">
      <c r="U2353" s="209" t="str">
        <f t="shared" si="39"/>
        <v>1w</v>
      </c>
      <c r="V2353" s="207">
        <f>_xll.qlCalendarAdvance(Calendar,V2352,U2353,"f",FALSE)</f>
        <v>55345</v>
      </c>
      <c r="W2353" s="210">
        <f>_xll.qlCalendarAdvance(Calendar,V2353,NDays&amp;"D")</f>
        <v>55345</v>
      </c>
      <c r="X2353" s="211">
        <v>2.3487341436956299E-2</v>
      </c>
      <c r="Y2353" s="232"/>
    </row>
    <row r="2354" spans="21:25" x14ac:dyDescent="0.2">
      <c r="U2354" s="209" t="str">
        <f t="shared" si="39"/>
        <v>1w</v>
      </c>
      <c r="V2354" s="207">
        <f>_xll.qlCalendarAdvance(Calendar,V2353,U2354,"f",FALSE)</f>
        <v>55352</v>
      </c>
      <c r="W2354" s="210">
        <f>_xll.qlCalendarAdvance(Calendar,V2354,NDays&amp;"D")</f>
        <v>55352</v>
      </c>
      <c r="X2354" s="211">
        <v>2.3485366908015948E-2</v>
      </c>
      <c r="Y2354" s="232"/>
    </row>
    <row r="2355" spans="21:25" x14ac:dyDescent="0.2">
      <c r="U2355" s="209" t="str">
        <f t="shared" si="39"/>
        <v>1w</v>
      </c>
      <c r="V2355" s="207">
        <f>_xll.qlCalendarAdvance(Calendar,V2354,U2355,"f",FALSE)</f>
        <v>55359</v>
      </c>
      <c r="W2355" s="210">
        <f>_xll.qlCalendarAdvance(Calendar,V2355,NDays&amp;"D")</f>
        <v>55359</v>
      </c>
      <c r="X2355" s="211">
        <v>2.3483371275396792E-2</v>
      </c>
      <c r="Y2355" s="232"/>
    </row>
    <row r="2356" spans="21:25" x14ac:dyDescent="0.2">
      <c r="U2356" s="209" t="str">
        <f t="shared" si="39"/>
        <v>1w</v>
      </c>
      <c r="V2356" s="207">
        <f>_xll.qlCalendarAdvance(Calendar,V2355,U2356,"f",FALSE)</f>
        <v>55366</v>
      </c>
      <c r="W2356" s="210">
        <f>_xll.qlCalendarAdvance(Calendar,V2356,NDays&amp;"D")</f>
        <v>55366</v>
      </c>
      <c r="X2356" s="211">
        <v>2.3481354538938959E-2</v>
      </c>
      <c r="Y2356" s="232"/>
    </row>
    <row r="2357" spans="21:25" x14ac:dyDescent="0.2">
      <c r="U2357" s="209" t="str">
        <f t="shared" si="39"/>
        <v>1w</v>
      </c>
      <c r="V2357" s="207">
        <f>_xll.qlCalendarAdvance(Calendar,V2356,U2357,"f",FALSE)</f>
        <v>55373</v>
      </c>
      <c r="W2357" s="210">
        <f>_xll.qlCalendarAdvance(Calendar,V2357,NDays&amp;"D")</f>
        <v>55373</v>
      </c>
      <c r="X2357" s="211">
        <v>2.3479316698802322E-2</v>
      </c>
      <c r="Y2357" s="232"/>
    </row>
    <row r="2358" spans="21:25" x14ac:dyDescent="0.2">
      <c r="U2358" s="209" t="str">
        <f t="shared" si="39"/>
        <v>1w</v>
      </c>
      <c r="V2358" s="207">
        <f>_xll.qlCalendarAdvance(Calendar,V2357,U2358,"f",FALSE)</f>
        <v>55380</v>
      </c>
      <c r="W2358" s="210">
        <f>_xll.qlCalendarAdvance(Calendar,V2358,NDays&amp;"D")</f>
        <v>55380</v>
      </c>
      <c r="X2358" s="211">
        <v>2.3477257755066816E-2</v>
      </c>
      <c r="Y2358" s="232"/>
    </row>
    <row r="2359" spans="21:25" x14ac:dyDescent="0.2">
      <c r="U2359" s="209" t="str">
        <f t="shared" si="39"/>
        <v>1w</v>
      </c>
      <c r="V2359" s="207">
        <f>_xll.qlCalendarAdvance(Calendar,V2358,U2359,"f",FALSE)</f>
        <v>55387</v>
      </c>
      <c r="W2359" s="210">
        <f>_xll.qlCalendarAdvance(Calendar,V2359,NDays&amp;"D")</f>
        <v>55387</v>
      </c>
      <c r="X2359" s="211">
        <v>2.347517770757257E-2</v>
      </c>
      <c r="Y2359" s="232"/>
    </row>
    <row r="2360" spans="21:25" x14ac:dyDescent="0.2">
      <c r="U2360" s="209" t="str">
        <f t="shared" si="39"/>
        <v>1w</v>
      </c>
      <c r="V2360" s="207">
        <f>_xll.qlCalendarAdvance(Calendar,V2359,U2360,"f",FALSE)</f>
        <v>55394</v>
      </c>
      <c r="W2360" s="210">
        <f>_xll.qlCalendarAdvance(Calendar,V2360,NDays&amp;"D")</f>
        <v>55394</v>
      </c>
      <c r="X2360" s="211">
        <v>2.3473076556239647E-2</v>
      </c>
      <c r="Y2360" s="232"/>
    </row>
    <row r="2361" spans="21:25" x14ac:dyDescent="0.2">
      <c r="U2361" s="209" t="str">
        <f t="shared" si="39"/>
        <v>1w</v>
      </c>
      <c r="V2361" s="207">
        <f>_xll.qlCalendarAdvance(Calendar,V2360,U2361,"f",FALSE)</f>
        <v>55401</v>
      </c>
      <c r="W2361" s="210">
        <f>_xll.qlCalendarAdvance(Calendar,V2361,NDays&amp;"D")</f>
        <v>55401</v>
      </c>
      <c r="X2361" s="211">
        <v>2.3470954301467728E-2</v>
      </c>
      <c r="Y2361" s="232"/>
    </row>
    <row r="2362" spans="21:25" x14ac:dyDescent="0.2">
      <c r="U2362" s="209" t="str">
        <f t="shared" si="39"/>
        <v>1w</v>
      </c>
      <c r="V2362" s="207">
        <f>_xll.qlCalendarAdvance(Calendar,V2361,U2362,"f",FALSE)</f>
        <v>55408</v>
      </c>
      <c r="W2362" s="210">
        <f>_xll.qlCalendarAdvance(Calendar,V2362,NDays&amp;"D")</f>
        <v>55408</v>
      </c>
      <c r="X2362" s="211">
        <v>2.3468810942937068E-2</v>
      </c>
      <c r="Y2362" s="232"/>
    </row>
    <row r="2363" spans="21:25" x14ac:dyDescent="0.2">
      <c r="U2363" s="209" t="str">
        <f t="shared" si="39"/>
        <v>1w</v>
      </c>
      <c r="V2363" s="207">
        <f>_xll.qlCalendarAdvance(Calendar,V2362,U2363,"f",FALSE)</f>
        <v>55415</v>
      </c>
      <c r="W2363" s="210">
        <f>_xll.qlCalendarAdvance(Calendar,V2363,NDays&amp;"D")</f>
        <v>55415</v>
      </c>
      <c r="X2363" s="211">
        <v>2.3466646480487796E-2</v>
      </c>
      <c r="Y2363" s="232"/>
    </row>
    <row r="2364" spans="21:25" x14ac:dyDescent="0.2">
      <c r="U2364" s="209" t="str">
        <f t="shared" si="39"/>
        <v>1w</v>
      </c>
      <c r="V2364" s="207">
        <f>_xll.qlCalendarAdvance(Calendar,V2363,U2364,"f",FALSE)</f>
        <v>55422</v>
      </c>
      <c r="W2364" s="210">
        <f>_xll.qlCalendarAdvance(Calendar,V2364,NDays&amp;"D")</f>
        <v>55422</v>
      </c>
      <c r="X2364" s="211">
        <v>2.3464460914519591E-2</v>
      </c>
      <c r="Y2364" s="232"/>
    </row>
    <row r="2365" spans="21:25" x14ac:dyDescent="0.2">
      <c r="U2365" s="209" t="str">
        <f t="shared" si="39"/>
        <v>1w</v>
      </c>
      <c r="V2365" s="207">
        <f>_xll.qlCalendarAdvance(Calendar,V2364,U2365,"f",FALSE)</f>
        <v>55429</v>
      </c>
      <c r="W2365" s="210">
        <f>_xll.qlCalendarAdvance(Calendar,V2365,NDays&amp;"D")</f>
        <v>55429</v>
      </c>
      <c r="X2365" s="211">
        <v>2.3462254244792646E-2</v>
      </c>
      <c r="Y2365" s="232"/>
    </row>
    <row r="2366" spans="21:25" x14ac:dyDescent="0.2">
      <c r="U2366" s="209" t="str">
        <f t="shared" si="39"/>
        <v>1w</v>
      </c>
      <c r="V2366" s="207">
        <f>_xll.qlCalendarAdvance(Calendar,V2365,U2366,"f",FALSE)</f>
        <v>55436</v>
      </c>
      <c r="W2366" s="210">
        <f>_xll.qlCalendarAdvance(Calendar,V2366,NDays&amp;"D")</f>
        <v>55436</v>
      </c>
      <c r="X2366" s="211">
        <v>2.3460026471466833E-2</v>
      </c>
      <c r="Y2366" s="232"/>
    </row>
    <row r="2367" spans="21:25" x14ac:dyDescent="0.2">
      <c r="U2367" s="209" t="str">
        <f t="shared" si="39"/>
        <v>1w</v>
      </c>
      <c r="V2367" s="207">
        <f>_xll.qlCalendarAdvance(Calendar,V2366,U2367,"f",FALSE)</f>
        <v>55443</v>
      </c>
      <c r="W2367" s="210">
        <f>_xll.qlCalendarAdvance(Calendar,V2367,NDays&amp;"D")</f>
        <v>55443</v>
      </c>
      <c r="X2367" s="211">
        <v>2.3457777594222406E-2</v>
      </c>
      <c r="Y2367" s="232"/>
    </row>
    <row r="2368" spans="21:25" x14ac:dyDescent="0.2">
      <c r="U2368" s="209" t="str">
        <f t="shared" si="39"/>
        <v>1w</v>
      </c>
      <c r="V2368" s="207">
        <f>_xll.qlCalendarAdvance(Calendar,V2367,U2368,"f",FALSE)</f>
        <v>55450</v>
      </c>
      <c r="W2368" s="210">
        <f>_xll.qlCalendarAdvance(Calendar,V2368,NDays&amp;"D")</f>
        <v>55450</v>
      </c>
      <c r="X2368" s="211">
        <v>2.3455507613538984E-2</v>
      </c>
      <c r="Y2368" s="232"/>
    </row>
    <row r="2369" spans="21:25" x14ac:dyDescent="0.2">
      <c r="U2369" s="209" t="str">
        <f t="shared" si="39"/>
        <v>1w</v>
      </c>
      <c r="V2369" s="207">
        <f>_xll.qlCalendarAdvance(Calendar,V2368,U2369,"f",FALSE)</f>
        <v>55457</v>
      </c>
      <c r="W2369" s="210">
        <f>_xll.qlCalendarAdvance(Calendar,V2369,NDays&amp;"D")</f>
        <v>55457</v>
      </c>
      <c r="X2369" s="211">
        <v>2.3453216529016885E-2</v>
      </c>
      <c r="Y2369" s="232"/>
    </row>
    <row r="2370" spans="21:25" x14ac:dyDescent="0.2">
      <c r="U2370" s="209" t="str">
        <f t="shared" si="39"/>
        <v>1w</v>
      </c>
      <c r="V2370" s="207">
        <f>_xll.qlCalendarAdvance(Calendar,V2369,U2370,"f",FALSE)</f>
        <v>55464</v>
      </c>
      <c r="W2370" s="210">
        <f>_xll.qlCalendarAdvance(Calendar,V2370,NDays&amp;"D")</f>
        <v>55464</v>
      </c>
      <c r="X2370" s="211">
        <v>2.3450904340895917E-2</v>
      </c>
      <c r="Y2370" s="232"/>
    </row>
    <row r="2371" spans="21:25" x14ac:dyDescent="0.2">
      <c r="U2371" s="209" t="str">
        <f t="shared" si="39"/>
        <v>1w</v>
      </c>
      <c r="V2371" s="207">
        <f>_xll.qlCalendarAdvance(Calendar,V2370,U2371,"f",FALSE)</f>
        <v>55471</v>
      </c>
      <c r="W2371" s="210">
        <f>_xll.qlCalendarAdvance(Calendar,V2371,NDays&amp;"D")</f>
        <v>55471</v>
      </c>
      <c r="X2371" s="211">
        <v>2.3448571048856337E-2</v>
      </c>
      <c r="Y2371" s="232"/>
    </row>
    <row r="2372" spans="21:25" x14ac:dyDescent="0.2">
      <c r="U2372" s="209" t="str">
        <f t="shared" si="39"/>
        <v>1w</v>
      </c>
      <c r="V2372" s="207">
        <f>_xll.qlCalendarAdvance(Calendar,V2371,U2372,"f",FALSE)</f>
        <v>55478</v>
      </c>
      <c r="W2372" s="210">
        <f>_xll.qlCalendarAdvance(Calendar,V2372,NDays&amp;"D")</f>
        <v>55478</v>
      </c>
      <c r="X2372" s="211">
        <v>2.3446216653297824E-2</v>
      </c>
      <c r="Y2372" s="232"/>
    </row>
    <row r="2373" spans="21:25" x14ac:dyDescent="0.2">
      <c r="U2373" s="209" t="str">
        <f t="shared" si="39"/>
        <v>1w</v>
      </c>
      <c r="V2373" s="207">
        <f>_xll.qlCalendarAdvance(Calendar,V2372,U2373,"f",FALSE)</f>
        <v>55485</v>
      </c>
      <c r="W2373" s="210">
        <f>_xll.qlCalendarAdvance(Calendar,V2373,NDays&amp;"D")</f>
        <v>55485</v>
      </c>
      <c r="X2373" s="211">
        <v>2.3443841153980571E-2</v>
      </c>
      <c r="Y2373" s="232"/>
    </row>
    <row r="2374" spans="21:25" x14ac:dyDescent="0.2">
      <c r="U2374" s="209" t="str">
        <f t="shared" si="39"/>
        <v>1w</v>
      </c>
      <c r="V2374" s="207">
        <f>_xll.qlCalendarAdvance(Calendar,V2373,U2374,"f",FALSE)</f>
        <v>55492</v>
      </c>
      <c r="W2374" s="210">
        <f>_xll.qlCalendarAdvance(Calendar,V2374,NDays&amp;"D")</f>
        <v>55492</v>
      </c>
      <c r="X2374" s="211">
        <v>2.3441444550984514E-2</v>
      </c>
      <c r="Y2374" s="232"/>
    </row>
    <row r="2375" spans="21:25" x14ac:dyDescent="0.2">
      <c r="U2375" s="209" t="str">
        <f t="shared" si="39"/>
        <v>1w</v>
      </c>
      <c r="V2375" s="207">
        <f>_xll.qlCalendarAdvance(Calendar,V2374,U2375,"f",FALSE)</f>
        <v>55499</v>
      </c>
      <c r="W2375" s="210">
        <f>_xll.qlCalendarAdvance(Calendar,V2375,NDays&amp;"D")</f>
        <v>55499</v>
      </c>
      <c r="X2375" s="211">
        <v>2.3439026844309652E-2</v>
      </c>
      <c r="Y2375" s="232"/>
    </row>
    <row r="2376" spans="21:25" x14ac:dyDescent="0.2">
      <c r="U2376" s="209" t="str">
        <f t="shared" si="39"/>
        <v>1w</v>
      </c>
      <c r="V2376" s="207">
        <f>_xll.qlCalendarAdvance(Calendar,V2375,U2376,"f",FALSE)</f>
        <v>55506</v>
      </c>
      <c r="W2376" s="210">
        <f>_xll.qlCalendarAdvance(Calendar,V2376,NDays&amp;"D")</f>
        <v>55506</v>
      </c>
      <c r="X2376" s="211">
        <v>2.3436588033876049E-2</v>
      </c>
      <c r="Y2376" s="232"/>
    </row>
    <row r="2377" spans="21:25" x14ac:dyDescent="0.2">
      <c r="U2377" s="209" t="str">
        <f t="shared" si="39"/>
        <v>1w</v>
      </c>
      <c r="V2377" s="207">
        <f>_xll.qlCalendarAdvance(Calendar,V2376,U2377,"f",FALSE)</f>
        <v>55514</v>
      </c>
      <c r="W2377" s="210">
        <f>_xll.qlCalendarAdvance(Calendar,V2377,NDays&amp;"D")</f>
        <v>55514</v>
      </c>
      <c r="X2377" s="211">
        <v>2.3433774980805566E-2</v>
      </c>
      <c r="Y2377" s="232"/>
    </row>
    <row r="2378" spans="21:25" x14ac:dyDescent="0.2">
      <c r="U2378" s="209" t="str">
        <f t="shared" si="39"/>
        <v>1w</v>
      </c>
      <c r="V2378" s="207">
        <f>_xll.qlCalendarAdvance(Calendar,V2377,U2378,"f",FALSE)</f>
        <v>55521</v>
      </c>
      <c r="W2378" s="210">
        <f>_xll.qlCalendarAdvance(Calendar,V2378,NDays&amp;"D")</f>
        <v>55521</v>
      </c>
      <c r="X2378" s="211">
        <v>2.3431290948225936E-2</v>
      </c>
      <c r="Y2378" s="232"/>
    </row>
    <row r="2379" spans="21:25" x14ac:dyDescent="0.2">
      <c r="U2379" s="209" t="str">
        <f t="shared" si="39"/>
        <v>1w</v>
      </c>
      <c r="V2379" s="207">
        <f>_xll.qlCalendarAdvance(Calendar,V2378,U2379,"f",FALSE)</f>
        <v>55528</v>
      </c>
      <c r="W2379" s="210">
        <f>_xll.qlCalendarAdvance(Calendar,V2379,NDays&amp;"D")</f>
        <v>55528</v>
      </c>
      <c r="X2379" s="211">
        <v>2.3428785811887565E-2</v>
      </c>
      <c r="Y2379" s="232"/>
    </row>
    <row r="2380" spans="21:25" x14ac:dyDescent="0.2">
      <c r="U2380" s="209" t="str">
        <f t="shared" si="39"/>
        <v>1w</v>
      </c>
      <c r="V2380" s="207">
        <f>_xll.qlCalendarAdvance(Calendar,V2379,U2380,"f",FALSE)</f>
        <v>55535</v>
      </c>
      <c r="W2380" s="210">
        <f>_xll.qlCalendarAdvance(Calendar,V2380,NDays&amp;"D")</f>
        <v>55535</v>
      </c>
      <c r="X2380" s="211">
        <v>2.3426259571950325E-2</v>
      </c>
      <c r="Y2380" s="232"/>
    </row>
    <row r="2381" spans="21:25" x14ac:dyDescent="0.2">
      <c r="U2381" s="209" t="str">
        <f t="shared" ref="U2381:U2444" si="40">U2380</f>
        <v>1w</v>
      </c>
      <c r="V2381" s="207">
        <f>_xll.qlCalendarAdvance(Calendar,V2380,U2381,"f",FALSE)</f>
        <v>55542</v>
      </c>
      <c r="W2381" s="210">
        <f>_xll.qlCalendarAdvance(Calendar,V2381,NDays&amp;"D")</f>
        <v>55542</v>
      </c>
      <c r="X2381" s="211">
        <v>2.3423712228334281E-2</v>
      </c>
      <c r="Y2381" s="232"/>
    </row>
    <row r="2382" spans="21:25" x14ac:dyDescent="0.2">
      <c r="U2382" s="209" t="str">
        <f t="shared" si="40"/>
        <v>1w</v>
      </c>
      <c r="V2382" s="207">
        <f>_xll.qlCalendarAdvance(Calendar,V2381,U2382,"f",FALSE)</f>
        <v>55549</v>
      </c>
      <c r="W2382" s="210">
        <f>_xll.qlCalendarAdvance(Calendar,V2382,NDays&amp;"D")</f>
        <v>55549</v>
      </c>
      <c r="X2382" s="211">
        <v>2.3421143780959497E-2</v>
      </c>
      <c r="Y2382" s="232"/>
    </row>
    <row r="2383" spans="21:25" x14ac:dyDescent="0.2">
      <c r="U2383" s="209" t="str">
        <f t="shared" si="40"/>
        <v>1w</v>
      </c>
      <c r="V2383" s="207">
        <f>_xll.qlCalendarAdvance(Calendar,V2382,U2383,"f",FALSE)</f>
        <v>55556</v>
      </c>
      <c r="W2383" s="210">
        <f>_xll.qlCalendarAdvance(Calendar,V2383,NDays&amp;"D")</f>
        <v>55556</v>
      </c>
      <c r="X2383" s="211">
        <v>2.3418554229905908E-2</v>
      </c>
      <c r="Y2383" s="232"/>
    </row>
    <row r="2384" spans="21:25" x14ac:dyDescent="0.2">
      <c r="U2384" s="209" t="str">
        <f t="shared" si="40"/>
        <v>1w</v>
      </c>
      <c r="V2384" s="207">
        <f>_xll.qlCalendarAdvance(Calendar,V2383,U2384,"f",FALSE)</f>
        <v>55563</v>
      </c>
      <c r="W2384" s="210">
        <f>_xll.qlCalendarAdvance(Calendar,V2384,NDays&amp;"D")</f>
        <v>55563</v>
      </c>
      <c r="X2384" s="211">
        <v>2.3415943575093578E-2</v>
      </c>
      <c r="Y2384" s="232"/>
    </row>
    <row r="2385" spans="21:25" x14ac:dyDescent="0.2">
      <c r="U2385" s="209" t="str">
        <f t="shared" si="40"/>
        <v>1w</v>
      </c>
      <c r="V2385" s="207">
        <f>_xll.qlCalendarAdvance(Calendar,V2384,U2385,"f",FALSE)</f>
        <v>55570</v>
      </c>
      <c r="W2385" s="210">
        <f>_xll.qlCalendarAdvance(Calendar,V2385,NDays&amp;"D")</f>
        <v>55570</v>
      </c>
      <c r="X2385" s="211">
        <v>2.3413311816762317E-2</v>
      </c>
      <c r="Y2385" s="232"/>
    </row>
    <row r="2386" spans="21:25" x14ac:dyDescent="0.2">
      <c r="U2386" s="209" t="str">
        <f t="shared" si="40"/>
        <v>1w</v>
      </c>
      <c r="V2386" s="207">
        <f>_xll.qlCalendarAdvance(Calendar,V2385,U2386,"f",FALSE)</f>
        <v>55577</v>
      </c>
      <c r="W2386" s="210">
        <f>_xll.qlCalendarAdvance(Calendar,V2386,NDays&amp;"D")</f>
        <v>55577</v>
      </c>
      <c r="X2386" s="211">
        <v>2.3410658954512442E-2</v>
      </c>
      <c r="Y2386" s="232"/>
    </row>
    <row r="2387" spans="21:25" x14ac:dyDescent="0.2">
      <c r="U2387" s="209" t="str">
        <f t="shared" si="40"/>
        <v>1w</v>
      </c>
      <c r="V2387" s="207">
        <f>_xll.qlCalendarAdvance(Calendar,V2386,U2387,"f",FALSE)</f>
        <v>55584</v>
      </c>
      <c r="W2387" s="210">
        <f>_xll.qlCalendarAdvance(Calendar,V2387,NDays&amp;"D")</f>
        <v>55584</v>
      </c>
      <c r="X2387" s="211">
        <v>2.3407984988743635E-2</v>
      </c>
      <c r="Y2387" s="232"/>
    </row>
    <row r="2388" spans="21:25" x14ac:dyDescent="0.2">
      <c r="U2388" s="209" t="str">
        <f t="shared" si="40"/>
        <v>1w</v>
      </c>
      <c r="V2388" s="207">
        <f>_xll.qlCalendarAdvance(Calendar,V2387,U2388,"f",FALSE)</f>
        <v>55591</v>
      </c>
      <c r="W2388" s="210">
        <f>_xll.qlCalendarAdvance(Calendar,V2388,NDays&amp;"D")</f>
        <v>55591</v>
      </c>
      <c r="X2388" s="211">
        <v>2.3405289919296024E-2</v>
      </c>
      <c r="Y2388" s="232"/>
    </row>
    <row r="2389" spans="21:25" x14ac:dyDescent="0.2">
      <c r="U2389" s="209" t="str">
        <f t="shared" si="40"/>
        <v>1w</v>
      </c>
      <c r="V2389" s="207">
        <f>_xll.qlCalendarAdvance(Calendar,V2388,U2389,"f",FALSE)</f>
        <v>55598</v>
      </c>
      <c r="W2389" s="210">
        <f>_xll.qlCalendarAdvance(Calendar,V2389,NDays&amp;"D")</f>
        <v>55598</v>
      </c>
      <c r="X2389" s="211">
        <v>2.3402573746089672E-2</v>
      </c>
      <c r="Y2389" s="232"/>
    </row>
    <row r="2390" spans="21:25" x14ac:dyDescent="0.2">
      <c r="U2390" s="209" t="str">
        <f t="shared" si="40"/>
        <v>1w</v>
      </c>
      <c r="V2390" s="207">
        <f>_xll.qlCalendarAdvance(Calendar,V2389,U2390,"f",FALSE)</f>
        <v>55605</v>
      </c>
      <c r="W2390" s="210">
        <f>_xll.qlCalendarAdvance(Calendar,V2390,NDays&amp;"D")</f>
        <v>55605</v>
      </c>
      <c r="X2390" s="211">
        <v>2.339983646912458E-2</v>
      </c>
      <c r="Y2390" s="232"/>
    </row>
    <row r="2391" spans="21:25" x14ac:dyDescent="0.2">
      <c r="U2391" s="209" t="str">
        <f t="shared" si="40"/>
        <v>1w</v>
      </c>
      <c r="V2391" s="207">
        <f>_xll.qlCalendarAdvance(Calendar,V2390,U2391,"f",FALSE)</f>
        <v>55612</v>
      </c>
      <c r="W2391" s="210">
        <f>_xll.qlCalendarAdvance(Calendar,V2391,NDays&amp;"D")</f>
        <v>55612</v>
      </c>
      <c r="X2391" s="211">
        <v>2.3397078088640555E-2</v>
      </c>
      <c r="Y2391" s="232"/>
    </row>
    <row r="2392" spans="21:25" x14ac:dyDescent="0.2">
      <c r="U2392" s="209" t="str">
        <f t="shared" si="40"/>
        <v>1w</v>
      </c>
      <c r="V2392" s="207">
        <f>_xll.qlCalendarAdvance(Calendar,V2391,U2392,"f",FALSE)</f>
        <v>55619</v>
      </c>
      <c r="W2392" s="210">
        <f>_xll.qlCalendarAdvance(Calendar,V2392,NDays&amp;"D")</f>
        <v>55619</v>
      </c>
      <c r="X2392" s="211">
        <v>2.3394298604317854E-2</v>
      </c>
      <c r="Y2392" s="232"/>
    </row>
    <row r="2393" spans="21:25" x14ac:dyDescent="0.2">
      <c r="U2393" s="209" t="str">
        <f t="shared" si="40"/>
        <v>1w</v>
      </c>
      <c r="V2393" s="207">
        <f>_xll.qlCalendarAdvance(Calendar,V2392,U2393,"f",FALSE)</f>
        <v>55626</v>
      </c>
      <c r="W2393" s="210">
        <f>_xll.qlCalendarAdvance(Calendar,V2393,NDays&amp;"D")</f>
        <v>55626</v>
      </c>
      <c r="X2393" s="211">
        <v>2.3391498016396284E-2</v>
      </c>
      <c r="Y2393" s="232"/>
    </row>
    <row r="2394" spans="21:25" x14ac:dyDescent="0.2">
      <c r="U2394" s="209" t="str">
        <f t="shared" si="40"/>
        <v>1w</v>
      </c>
      <c r="V2394" s="207">
        <f>_xll.qlCalendarAdvance(Calendar,V2393,U2394,"f",FALSE)</f>
        <v>55633</v>
      </c>
      <c r="W2394" s="210">
        <f>_xll.qlCalendarAdvance(Calendar,V2394,NDays&amp;"D")</f>
        <v>55633</v>
      </c>
      <c r="X2394" s="211">
        <v>2.3388676324715973E-2</v>
      </c>
      <c r="Y2394" s="232"/>
    </row>
    <row r="2395" spans="21:25" x14ac:dyDescent="0.2">
      <c r="U2395" s="209" t="str">
        <f t="shared" si="40"/>
        <v>1w</v>
      </c>
      <c r="V2395" s="207">
        <f>_xll.qlCalendarAdvance(Calendar,V2394,U2395,"f",FALSE)</f>
        <v>55641</v>
      </c>
      <c r="W2395" s="210">
        <f>_xll.qlCalendarAdvance(Calendar,V2395,NDays&amp;"D")</f>
        <v>55641</v>
      </c>
      <c r="X2395" s="211">
        <v>2.3385425692952211E-2</v>
      </c>
      <c r="Y2395" s="232"/>
    </row>
    <row r="2396" spans="21:25" x14ac:dyDescent="0.2">
      <c r="U2396" s="209" t="str">
        <f t="shared" si="40"/>
        <v>1w</v>
      </c>
      <c r="V2396" s="207">
        <f>_xll.qlCalendarAdvance(Calendar,V2395,U2396,"f",FALSE)</f>
        <v>55648</v>
      </c>
      <c r="W2396" s="210">
        <f>_xll.qlCalendarAdvance(Calendar,V2396,NDays&amp;"D")</f>
        <v>55648</v>
      </c>
      <c r="X2396" s="211">
        <v>2.3382558779205809E-2</v>
      </c>
      <c r="Y2396" s="232"/>
    </row>
    <row r="2397" spans="21:25" x14ac:dyDescent="0.2">
      <c r="U2397" s="209" t="str">
        <f t="shared" si="40"/>
        <v>1w</v>
      </c>
      <c r="V2397" s="207">
        <f>_xll.qlCalendarAdvance(Calendar,V2396,U2397,"f",FALSE)</f>
        <v>55655</v>
      </c>
      <c r="W2397" s="210">
        <f>_xll.qlCalendarAdvance(Calendar,V2397,NDays&amp;"D")</f>
        <v>55655</v>
      </c>
      <c r="X2397" s="211">
        <v>2.3379670761700666E-2</v>
      </c>
      <c r="Y2397" s="232"/>
    </row>
    <row r="2398" spans="21:25" x14ac:dyDescent="0.2">
      <c r="U2398" s="209" t="str">
        <f t="shared" si="40"/>
        <v>1w</v>
      </c>
      <c r="V2398" s="207">
        <f>_xll.qlCalendarAdvance(Calendar,V2397,U2398,"f",FALSE)</f>
        <v>55662</v>
      </c>
      <c r="W2398" s="210">
        <f>_xll.qlCalendarAdvance(Calendar,V2398,NDays&amp;"D")</f>
        <v>55662</v>
      </c>
      <c r="X2398" s="211">
        <v>2.3376761640516719E-2</v>
      </c>
      <c r="Y2398" s="232"/>
    </row>
    <row r="2399" spans="21:25" x14ac:dyDescent="0.2">
      <c r="U2399" s="209" t="str">
        <f t="shared" si="40"/>
        <v>1w</v>
      </c>
      <c r="V2399" s="207">
        <f>_xll.qlCalendarAdvance(Calendar,V2398,U2399,"f",FALSE)</f>
        <v>55669</v>
      </c>
      <c r="W2399" s="210">
        <f>_xll.qlCalendarAdvance(Calendar,V2399,NDays&amp;"D")</f>
        <v>55669</v>
      </c>
      <c r="X2399" s="211">
        <v>2.3373831415574031E-2</v>
      </c>
      <c r="Y2399" s="232"/>
    </row>
    <row r="2400" spans="21:25" x14ac:dyDescent="0.2">
      <c r="U2400" s="209" t="str">
        <f t="shared" si="40"/>
        <v>1w</v>
      </c>
      <c r="V2400" s="207">
        <f>_xll.qlCalendarAdvance(Calendar,V2399,U2400,"f",FALSE)</f>
        <v>55676</v>
      </c>
      <c r="W2400" s="210">
        <f>_xll.qlCalendarAdvance(Calendar,V2400,NDays&amp;"D")</f>
        <v>55676</v>
      </c>
      <c r="X2400" s="211">
        <v>2.3370880087032475E-2</v>
      </c>
      <c r="Y2400" s="232"/>
    </row>
    <row r="2401" spans="21:25" x14ac:dyDescent="0.2">
      <c r="U2401" s="209" t="str">
        <f t="shared" si="40"/>
        <v>1w</v>
      </c>
      <c r="V2401" s="207">
        <f>_xll.qlCalendarAdvance(Calendar,V2400,U2401,"f",FALSE)</f>
        <v>55683</v>
      </c>
      <c r="W2401" s="210">
        <f>_xll.qlCalendarAdvance(Calendar,V2401,NDays&amp;"D")</f>
        <v>55683</v>
      </c>
      <c r="X2401" s="211">
        <v>2.3367907654812115E-2</v>
      </c>
      <c r="Y2401" s="232"/>
    </row>
    <row r="2402" spans="21:25" x14ac:dyDescent="0.2">
      <c r="U2402" s="209" t="str">
        <f t="shared" si="40"/>
        <v>1w</v>
      </c>
      <c r="V2402" s="207">
        <f>_xll.qlCalendarAdvance(Calendar,V2401,U2402,"f",FALSE)</f>
        <v>55690</v>
      </c>
      <c r="W2402" s="210">
        <f>_xll.qlCalendarAdvance(Calendar,V2402,NDays&amp;"D")</f>
        <v>55690</v>
      </c>
      <c r="X2402" s="211">
        <v>2.3364914118753077E-2</v>
      </c>
      <c r="Y2402" s="232"/>
    </row>
    <row r="2403" spans="21:25" x14ac:dyDescent="0.2">
      <c r="U2403" s="209" t="str">
        <f t="shared" si="40"/>
        <v>1w</v>
      </c>
      <c r="V2403" s="207">
        <f>_xll.qlCalendarAdvance(Calendar,V2402,U2403,"f",FALSE)</f>
        <v>55697</v>
      </c>
      <c r="W2403" s="210">
        <f>_xll.qlCalendarAdvance(Calendar,V2403,NDays&amp;"D")</f>
        <v>55697</v>
      </c>
      <c r="X2403" s="211">
        <v>2.3361899479175108E-2</v>
      </c>
      <c r="Y2403" s="232"/>
    </row>
    <row r="2404" spans="21:25" x14ac:dyDescent="0.2">
      <c r="U2404" s="209" t="str">
        <f t="shared" si="40"/>
        <v>1w</v>
      </c>
      <c r="V2404" s="207">
        <f>_xll.qlCalendarAdvance(Calendar,V2403,U2404,"f",FALSE)</f>
        <v>55704</v>
      </c>
      <c r="W2404" s="210">
        <f>_xll.qlCalendarAdvance(Calendar,V2404,NDays&amp;"D")</f>
        <v>55704</v>
      </c>
      <c r="X2404" s="211">
        <v>2.3358863735918334E-2</v>
      </c>
      <c r="Y2404" s="232"/>
    </row>
    <row r="2405" spans="21:25" x14ac:dyDescent="0.2">
      <c r="U2405" s="209" t="str">
        <f t="shared" si="40"/>
        <v>1w</v>
      </c>
      <c r="V2405" s="207">
        <f>_xll.qlCalendarAdvance(Calendar,V2404,U2405,"f",FALSE)</f>
        <v>55711</v>
      </c>
      <c r="W2405" s="210">
        <f>_xll.qlCalendarAdvance(Calendar,V2405,NDays&amp;"D")</f>
        <v>55711</v>
      </c>
      <c r="X2405" s="211">
        <v>2.3355806888902819E-2</v>
      </c>
      <c r="Y2405" s="232"/>
    </row>
    <row r="2406" spans="21:25" x14ac:dyDescent="0.2">
      <c r="U2406" s="209" t="str">
        <f t="shared" si="40"/>
        <v>1w</v>
      </c>
      <c r="V2406" s="207">
        <f>_xll.qlCalendarAdvance(Calendar,V2405,U2406,"f",FALSE)</f>
        <v>55718</v>
      </c>
      <c r="W2406" s="210">
        <f>_xll.qlCalendarAdvance(Calendar,V2406,NDays&amp;"D")</f>
        <v>55718</v>
      </c>
      <c r="X2406" s="211">
        <v>2.3352728938288436E-2</v>
      </c>
      <c r="Y2406" s="232"/>
    </row>
    <row r="2407" spans="21:25" x14ac:dyDescent="0.2">
      <c r="U2407" s="209" t="str">
        <f t="shared" si="40"/>
        <v>1w</v>
      </c>
      <c r="V2407" s="207">
        <f>_xll.qlCalendarAdvance(Calendar,V2406,U2407,"f",FALSE)</f>
        <v>55725</v>
      </c>
      <c r="W2407" s="210">
        <f>_xll.qlCalendarAdvance(Calendar,V2407,NDays&amp;"D")</f>
        <v>55725</v>
      </c>
      <c r="X2407" s="211">
        <v>2.3349629883995249E-2</v>
      </c>
      <c r="Y2407" s="232"/>
    </row>
    <row r="2408" spans="21:25" x14ac:dyDescent="0.2">
      <c r="U2408" s="209" t="str">
        <f t="shared" si="40"/>
        <v>1w</v>
      </c>
      <c r="V2408" s="207">
        <f>_xll.qlCalendarAdvance(Calendar,V2407,U2408,"f",FALSE)</f>
        <v>55732</v>
      </c>
      <c r="W2408" s="210">
        <f>_xll.qlCalendarAdvance(Calendar,V2408,NDays&amp;"D")</f>
        <v>55732</v>
      </c>
      <c r="X2408" s="211">
        <v>2.3346509725943321E-2</v>
      </c>
      <c r="Y2408" s="232"/>
    </row>
    <row r="2409" spans="21:25" x14ac:dyDescent="0.2">
      <c r="U2409" s="209" t="str">
        <f t="shared" si="40"/>
        <v>1w</v>
      </c>
      <c r="V2409" s="207">
        <f>_xll.qlCalendarAdvance(Calendar,V2408,U2409,"f",FALSE)</f>
        <v>55739</v>
      </c>
      <c r="W2409" s="210">
        <f>_xll.qlCalendarAdvance(Calendar,V2409,NDays&amp;"D")</f>
        <v>55739</v>
      </c>
      <c r="X2409" s="211">
        <v>2.3343368464292524E-2</v>
      </c>
      <c r="Y2409" s="232"/>
    </row>
    <row r="2410" spans="21:25" x14ac:dyDescent="0.2">
      <c r="U2410" s="209" t="str">
        <f t="shared" si="40"/>
        <v>1w</v>
      </c>
      <c r="V2410" s="207">
        <f>_xll.qlCalendarAdvance(Calendar,V2409,U2410,"f",FALSE)</f>
        <v>55746</v>
      </c>
      <c r="W2410" s="210">
        <f>_xll.qlCalendarAdvance(Calendar,V2410,NDays&amp;"D")</f>
        <v>55746</v>
      </c>
      <c r="X2410" s="211">
        <v>2.3340206098803051E-2</v>
      </c>
      <c r="Y2410" s="232"/>
    </row>
    <row r="2411" spans="21:25" x14ac:dyDescent="0.2">
      <c r="U2411" s="209" t="str">
        <f t="shared" si="40"/>
        <v>1w</v>
      </c>
      <c r="V2411" s="207">
        <f>_xll.qlCalendarAdvance(Calendar,V2410,U2411,"f",FALSE)</f>
        <v>55753</v>
      </c>
      <c r="W2411" s="210">
        <f>_xll.qlCalendarAdvance(Calendar,V2411,NDays&amp;"D")</f>
        <v>55753</v>
      </c>
      <c r="X2411" s="211">
        <v>2.3337022629794646E-2</v>
      </c>
      <c r="Y2411" s="232"/>
    </row>
    <row r="2412" spans="21:25" x14ac:dyDescent="0.2">
      <c r="U2412" s="209" t="str">
        <f t="shared" si="40"/>
        <v>1w</v>
      </c>
      <c r="V2412" s="207">
        <f>_xll.qlCalendarAdvance(Calendar,V2411,U2412,"f",FALSE)</f>
        <v>55760</v>
      </c>
      <c r="W2412" s="210">
        <f>_xll.qlCalendarAdvance(Calendar,V2412,NDays&amp;"D")</f>
        <v>55760</v>
      </c>
      <c r="X2412" s="211">
        <v>2.3333818057107436E-2</v>
      </c>
      <c r="Y2412" s="232"/>
    </row>
    <row r="2413" spans="21:25" x14ac:dyDescent="0.2">
      <c r="U2413" s="209" t="str">
        <f t="shared" si="40"/>
        <v>1w</v>
      </c>
      <c r="V2413" s="207">
        <f>_xll.qlCalendarAdvance(Calendar,V2412,U2413,"f",FALSE)</f>
        <v>55767</v>
      </c>
      <c r="W2413" s="210">
        <f>_xll.qlCalendarAdvance(Calendar,V2413,NDays&amp;"D")</f>
        <v>55767</v>
      </c>
      <c r="X2413" s="211">
        <v>2.3330592380661486E-2</v>
      </c>
      <c r="Y2413" s="232"/>
    </row>
    <row r="2414" spans="21:25" x14ac:dyDescent="0.2">
      <c r="U2414" s="209" t="str">
        <f t="shared" si="40"/>
        <v>1w</v>
      </c>
      <c r="V2414" s="207">
        <f>_xll.qlCalendarAdvance(Calendar,V2413,U2414,"f",FALSE)</f>
        <v>55774</v>
      </c>
      <c r="W2414" s="210">
        <f>_xll.qlCalendarAdvance(Calendar,V2414,NDays&amp;"D")</f>
        <v>55774</v>
      </c>
      <c r="X2414" s="211">
        <v>2.3327345600536731E-2</v>
      </c>
      <c r="Y2414" s="232"/>
    </row>
    <row r="2415" spans="21:25" x14ac:dyDescent="0.2">
      <c r="U2415" s="209" t="str">
        <f t="shared" si="40"/>
        <v>1w</v>
      </c>
      <c r="V2415" s="207">
        <f>_xll.qlCalendarAdvance(Calendar,V2414,U2415,"f",FALSE)</f>
        <v>55781</v>
      </c>
      <c r="W2415" s="210">
        <f>_xll.qlCalendarAdvance(Calendar,V2415,NDays&amp;"D")</f>
        <v>55781</v>
      </c>
      <c r="X2415" s="211">
        <v>2.3324077716733171E-2</v>
      </c>
      <c r="Y2415" s="232"/>
    </row>
    <row r="2416" spans="21:25" x14ac:dyDescent="0.2">
      <c r="U2416" s="209" t="str">
        <f t="shared" si="40"/>
        <v>1w</v>
      </c>
      <c r="V2416" s="207">
        <f>_xll.qlCalendarAdvance(Calendar,V2415,U2416,"f",FALSE)</f>
        <v>55788</v>
      </c>
      <c r="W2416" s="210">
        <f>_xll.qlCalendarAdvance(Calendar,V2416,NDays&amp;"D")</f>
        <v>55788</v>
      </c>
      <c r="X2416" s="211">
        <v>2.3320788729330744E-2</v>
      </c>
      <c r="Y2416" s="232"/>
    </row>
    <row r="2417" spans="21:25" x14ac:dyDescent="0.2">
      <c r="U2417" s="209" t="str">
        <f t="shared" si="40"/>
        <v>1w</v>
      </c>
      <c r="V2417" s="207">
        <f>_xll.qlCalendarAdvance(Calendar,V2416,U2417,"f",FALSE)</f>
        <v>55795</v>
      </c>
      <c r="W2417" s="210">
        <f>_xll.qlCalendarAdvance(Calendar,V2417,NDays&amp;"D")</f>
        <v>55795</v>
      </c>
      <c r="X2417" s="211">
        <v>2.3317478638169575E-2</v>
      </c>
      <c r="Y2417" s="232"/>
    </row>
    <row r="2418" spans="21:25" x14ac:dyDescent="0.2">
      <c r="U2418" s="209" t="str">
        <f t="shared" si="40"/>
        <v>1w</v>
      </c>
      <c r="V2418" s="207">
        <f>_xll.qlCalendarAdvance(Calendar,V2417,U2418,"f",FALSE)</f>
        <v>55802</v>
      </c>
      <c r="W2418" s="210">
        <f>_xll.qlCalendarAdvance(Calendar,V2418,NDays&amp;"D")</f>
        <v>55802</v>
      </c>
      <c r="X2418" s="211">
        <v>2.3314147443409539E-2</v>
      </c>
      <c r="Y2418" s="232"/>
    </row>
    <row r="2419" spans="21:25" x14ac:dyDescent="0.2">
      <c r="U2419" s="209" t="str">
        <f t="shared" si="40"/>
        <v>1w</v>
      </c>
      <c r="V2419" s="207">
        <f>_xll.qlCalendarAdvance(Calendar,V2418,U2419,"f",FALSE)</f>
        <v>55809</v>
      </c>
      <c r="W2419" s="210">
        <f>_xll.qlCalendarAdvance(Calendar,V2419,NDays&amp;"D")</f>
        <v>55809</v>
      </c>
      <c r="X2419" s="211">
        <v>2.3310795144970697E-2</v>
      </c>
      <c r="Y2419" s="232"/>
    </row>
    <row r="2420" spans="21:25" x14ac:dyDescent="0.2">
      <c r="U2420" s="209" t="str">
        <f t="shared" si="40"/>
        <v>1w</v>
      </c>
      <c r="V2420" s="207">
        <f>_xll.qlCalendarAdvance(Calendar,V2419,U2420,"f",FALSE)</f>
        <v>55816</v>
      </c>
      <c r="W2420" s="210">
        <f>_xll.qlCalendarAdvance(Calendar,V2420,NDays&amp;"D")</f>
        <v>55816</v>
      </c>
      <c r="X2420" s="211">
        <v>2.3307421742773116E-2</v>
      </c>
      <c r="Y2420" s="232"/>
    </row>
    <row r="2421" spans="21:25" x14ac:dyDescent="0.2">
      <c r="U2421" s="209" t="str">
        <f t="shared" si="40"/>
        <v>1w</v>
      </c>
      <c r="V2421" s="207">
        <f>_xll.qlCalendarAdvance(Calendar,V2420,U2421,"f",FALSE)</f>
        <v>55823</v>
      </c>
      <c r="W2421" s="210">
        <f>_xll.qlCalendarAdvance(Calendar,V2421,NDays&amp;"D")</f>
        <v>55823</v>
      </c>
      <c r="X2421" s="211">
        <v>2.3304027236976665E-2</v>
      </c>
      <c r="Y2421" s="232"/>
    </row>
    <row r="2422" spans="21:25" x14ac:dyDescent="0.2">
      <c r="U2422" s="209" t="str">
        <f t="shared" si="40"/>
        <v>1w</v>
      </c>
      <c r="V2422" s="207">
        <f>_xll.qlCalendarAdvance(Calendar,V2421,U2422,"f",FALSE)</f>
        <v>55830</v>
      </c>
      <c r="W2422" s="210">
        <f>_xll.qlCalendarAdvance(Calendar,V2422,NDays&amp;"D")</f>
        <v>55830</v>
      </c>
      <c r="X2422" s="211">
        <v>2.3300611627501411E-2</v>
      </c>
      <c r="Y2422" s="232"/>
    </row>
    <row r="2423" spans="21:25" x14ac:dyDescent="0.2">
      <c r="U2423" s="209" t="str">
        <f t="shared" si="40"/>
        <v>1w</v>
      </c>
      <c r="V2423" s="207">
        <f>_xll.qlCalendarAdvance(Calendar,V2422,U2423,"f",FALSE)</f>
        <v>55837</v>
      </c>
      <c r="W2423" s="210">
        <f>_xll.qlCalendarAdvance(Calendar,V2423,NDays&amp;"D")</f>
        <v>55837</v>
      </c>
      <c r="X2423" s="211">
        <v>2.3297174914347352E-2</v>
      </c>
      <c r="Y2423" s="232"/>
    </row>
    <row r="2424" spans="21:25" x14ac:dyDescent="0.2">
      <c r="U2424" s="209" t="str">
        <f t="shared" si="40"/>
        <v>1w</v>
      </c>
      <c r="V2424" s="207">
        <f>_xll.qlCalendarAdvance(Calendar,V2423,U2424,"f",FALSE)</f>
        <v>55844</v>
      </c>
      <c r="W2424" s="210">
        <f>_xll.qlCalendarAdvance(Calendar,V2424,NDays&amp;"D")</f>
        <v>55844</v>
      </c>
      <c r="X2424" s="211">
        <v>2.3293717097434552E-2</v>
      </c>
      <c r="Y2424" s="232"/>
    </row>
    <row r="2425" spans="21:25" x14ac:dyDescent="0.2">
      <c r="U2425" s="209" t="str">
        <f t="shared" si="40"/>
        <v>1w</v>
      </c>
      <c r="V2425" s="207">
        <f>_xll.qlCalendarAdvance(Calendar,V2424,U2425,"f",FALSE)</f>
        <v>55851</v>
      </c>
      <c r="W2425" s="210">
        <f>_xll.qlCalendarAdvance(Calendar,V2425,NDays&amp;"D")</f>
        <v>55851</v>
      </c>
      <c r="X2425" s="211">
        <v>2.3290238177082756E-2</v>
      </c>
      <c r="Y2425" s="232"/>
    </row>
    <row r="2426" spans="21:25" x14ac:dyDescent="0.2">
      <c r="U2426" s="209" t="str">
        <f t="shared" si="40"/>
        <v>1w</v>
      </c>
      <c r="V2426" s="207">
        <f>_xll.qlCalendarAdvance(Calendar,V2425,U2426,"f",FALSE)</f>
        <v>55858</v>
      </c>
      <c r="W2426" s="210">
        <f>_xll.qlCalendarAdvance(Calendar,V2426,NDays&amp;"D")</f>
        <v>55858</v>
      </c>
      <c r="X2426" s="211">
        <v>2.3286738152892283E-2</v>
      </c>
      <c r="Y2426" s="232"/>
    </row>
    <row r="2427" spans="21:25" x14ac:dyDescent="0.2">
      <c r="U2427" s="209" t="str">
        <f t="shared" si="40"/>
        <v>1w</v>
      </c>
      <c r="V2427" s="207">
        <f>_xll.qlCalendarAdvance(Calendar,V2426,U2427,"f",FALSE)</f>
        <v>55865</v>
      </c>
      <c r="W2427" s="210">
        <f>_xll.qlCalendarAdvance(Calendar,V2427,NDays&amp;"D")</f>
        <v>55865</v>
      </c>
      <c r="X2427" s="211">
        <v>2.3283217025102942E-2</v>
      </c>
      <c r="Y2427" s="232"/>
    </row>
    <row r="2428" spans="21:25" x14ac:dyDescent="0.2">
      <c r="U2428" s="209" t="str">
        <f t="shared" si="40"/>
        <v>1w</v>
      </c>
      <c r="V2428" s="207">
        <f>_xll.qlCalendarAdvance(Calendar,V2427,U2428,"f",FALSE)</f>
        <v>55872</v>
      </c>
      <c r="W2428" s="210">
        <f>_xll.qlCalendarAdvance(Calendar,V2428,NDays&amp;"D")</f>
        <v>55872</v>
      </c>
      <c r="X2428" s="211">
        <v>2.3279674793474925E-2</v>
      </c>
      <c r="Y2428" s="232"/>
    </row>
    <row r="2429" spans="21:25" x14ac:dyDescent="0.2">
      <c r="U2429" s="209" t="str">
        <f t="shared" si="40"/>
        <v>1w</v>
      </c>
      <c r="V2429" s="207">
        <f>_xll.qlCalendarAdvance(Calendar,V2428,U2429,"f",FALSE)</f>
        <v>55880</v>
      </c>
      <c r="W2429" s="210">
        <f>_xll.qlCalendarAdvance(Calendar,V2429,NDays&amp;"D")</f>
        <v>55880</v>
      </c>
      <c r="X2429" s="211">
        <v>2.3276594180217103E-2</v>
      </c>
      <c r="Y2429" s="232"/>
    </row>
    <row r="2430" spans="21:25" x14ac:dyDescent="0.2">
      <c r="U2430" s="209" t="str">
        <f t="shared" si="40"/>
        <v>1w</v>
      </c>
      <c r="V2430" s="207">
        <f>_xll.qlCalendarAdvance(Calendar,V2429,U2430,"f",FALSE)</f>
        <v>55887</v>
      </c>
      <c r="W2430" s="210">
        <f>_xll.qlCalendarAdvance(Calendar,V2430,NDays&amp;"D")</f>
        <v>55887</v>
      </c>
      <c r="X2430" s="211">
        <v>2.3273003247545887E-2</v>
      </c>
      <c r="Y2430" s="232"/>
    </row>
    <row r="2431" spans="21:25" x14ac:dyDescent="0.2">
      <c r="U2431" s="209" t="str">
        <f t="shared" si="40"/>
        <v>1w</v>
      </c>
      <c r="V2431" s="207">
        <f>_xll.qlCalendarAdvance(Calendar,V2430,U2431,"f",FALSE)</f>
        <v>55894</v>
      </c>
      <c r="W2431" s="210">
        <f>_xll.qlCalendarAdvance(Calendar,V2431,NDays&amp;"D")</f>
        <v>55894</v>
      </c>
      <c r="X2431" s="211">
        <v>2.3269391208504686E-2</v>
      </c>
      <c r="Y2431" s="232"/>
    </row>
    <row r="2432" spans="21:25" x14ac:dyDescent="0.2">
      <c r="U2432" s="209" t="str">
        <f t="shared" si="40"/>
        <v>1w</v>
      </c>
      <c r="V2432" s="207">
        <f>_xll.qlCalendarAdvance(Calendar,V2431,U2432,"f",FALSE)</f>
        <v>55901</v>
      </c>
      <c r="W2432" s="210">
        <f>_xll.qlCalendarAdvance(Calendar,V2432,NDays&amp;"D")</f>
        <v>55901</v>
      </c>
      <c r="X2432" s="211">
        <v>2.3265758063173436E-2</v>
      </c>
      <c r="Y2432" s="232"/>
    </row>
    <row r="2433" spans="21:25" x14ac:dyDescent="0.2">
      <c r="U2433" s="209" t="str">
        <f t="shared" si="40"/>
        <v>1w</v>
      </c>
      <c r="V2433" s="207">
        <f>_xll.qlCalendarAdvance(Calendar,V2432,U2433,"f",FALSE)</f>
        <v>55908</v>
      </c>
      <c r="W2433" s="210">
        <f>_xll.qlCalendarAdvance(Calendar,V2433,NDays&amp;"D")</f>
        <v>55908</v>
      </c>
      <c r="X2433" s="211">
        <v>2.3262103811498847E-2</v>
      </c>
      <c r="Y2433" s="232"/>
    </row>
    <row r="2434" spans="21:25" x14ac:dyDescent="0.2">
      <c r="U2434" s="209" t="str">
        <f t="shared" si="40"/>
        <v>1w</v>
      </c>
      <c r="V2434" s="207">
        <f>_xll.qlCalendarAdvance(Calendar,V2433,U2434,"f",FALSE)</f>
        <v>55915</v>
      </c>
      <c r="W2434" s="210">
        <f>_xll.qlCalendarAdvance(Calendar,V2434,NDays&amp;"D")</f>
        <v>55915</v>
      </c>
      <c r="X2434" s="211">
        <v>2.3258428453507562E-2</v>
      </c>
      <c r="Y2434" s="232"/>
    </row>
    <row r="2435" spans="21:25" x14ac:dyDescent="0.2">
      <c r="U2435" s="209" t="str">
        <f t="shared" si="40"/>
        <v>1w</v>
      </c>
      <c r="V2435" s="207">
        <f>_xll.qlCalendarAdvance(Calendar,V2434,U2435,"f",FALSE)</f>
        <v>55922</v>
      </c>
      <c r="W2435" s="210">
        <f>_xll.qlCalendarAdvance(Calendar,V2435,NDays&amp;"D")</f>
        <v>55922</v>
      </c>
      <c r="X2435" s="211">
        <v>2.3254731989226229E-2</v>
      </c>
      <c r="Y2435" s="232"/>
    </row>
    <row r="2436" spans="21:25" x14ac:dyDescent="0.2">
      <c r="U2436" s="209" t="str">
        <f t="shared" si="40"/>
        <v>1w</v>
      </c>
      <c r="V2436" s="207">
        <f>_xll.qlCalendarAdvance(Calendar,V2435,U2436,"f",FALSE)</f>
        <v>55929</v>
      </c>
      <c r="W2436" s="210">
        <f>_xll.qlCalendarAdvance(Calendar,V2436,NDays&amp;"D")</f>
        <v>55929</v>
      </c>
      <c r="X2436" s="211">
        <v>2.3251014418574911E-2</v>
      </c>
      <c r="Y2436" s="232"/>
    </row>
    <row r="2437" spans="21:25" x14ac:dyDescent="0.2">
      <c r="U2437" s="209" t="str">
        <f t="shared" si="40"/>
        <v>1w</v>
      </c>
      <c r="V2437" s="207">
        <f>_xll.qlCalendarAdvance(Calendar,V2436,U2437,"f",FALSE)</f>
        <v>55936</v>
      </c>
      <c r="W2437" s="210">
        <f>_xll.qlCalendarAdvance(Calendar,V2437,NDays&amp;"D")</f>
        <v>55936</v>
      </c>
      <c r="X2437" s="211">
        <v>2.3247275741686835E-2</v>
      </c>
      <c r="Y2437" s="232"/>
    </row>
    <row r="2438" spans="21:25" x14ac:dyDescent="0.2">
      <c r="U2438" s="209" t="str">
        <f t="shared" si="40"/>
        <v>1w</v>
      </c>
      <c r="V2438" s="207">
        <f>_xll.qlCalendarAdvance(Calendar,V2437,U2438,"f",FALSE)</f>
        <v>55943</v>
      </c>
      <c r="W2438" s="210">
        <f>_xll.qlCalendarAdvance(Calendar,V2438,NDays&amp;"D")</f>
        <v>55943</v>
      </c>
      <c r="X2438" s="211">
        <v>2.3243515958428773E-2</v>
      </c>
      <c r="Y2438" s="232"/>
    </row>
    <row r="2439" spans="21:25" x14ac:dyDescent="0.2">
      <c r="U2439" s="209" t="str">
        <f t="shared" si="40"/>
        <v>1w</v>
      </c>
      <c r="V2439" s="207">
        <f>_xll.qlCalendarAdvance(Calendar,V2438,U2439,"f",FALSE)</f>
        <v>55950</v>
      </c>
      <c r="W2439" s="210">
        <f>_xll.qlCalendarAdvance(Calendar,V2439,NDays&amp;"D")</f>
        <v>55950</v>
      </c>
      <c r="X2439" s="211">
        <v>2.3239735068907308E-2</v>
      </c>
      <c r="Y2439" s="232"/>
    </row>
    <row r="2440" spans="21:25" x14ac:dyDescent="0.2">
      <c r="U2440" s="209" t="str">
        <f t="shared" si="40"/>
        <v>1w</v>
      </c>
      <c r="V2440" s="207">
        <f>_xll.qlCalendarAdvance(Calendar,V2439,U2440,"f",FALSE)</f>
        <v>55957</v>
      </c>
      <c r="W2440" s="210">
        <f>_xll.qlCalendarAdvance(Calendar,V2440,NDays&amp;"D")</f>
        <v>55957</v>
      </c>
      <c r="X2440" s="211">
        <v>2.3235933073069148E-2</v>
      </c>
      <c r="Y2440" s="232"/>
    </row>
    <row r="2441" spans="21:25" x14ac:dyDescent="0.2">
      <c r="U2441" s="209" t="str">
        <f t="shared" si="40"/>
        <v>1w</v>
      </c>
      <c r="V2441" s="207">
        <f>_xll.qlCalendarAdvance(Calendar,V2440,U2441,"f",FALSE)</f>
        <v>55964</v>
      </c>
      <c r="W2441" s="210">
        <f>_xll.qlCalendarAdvance(Calendar,V2441,NDays&amp;"D")</f>
        <v>55964</v>
      </c>
      <c r="X2441" s="211">
        <v>2.3232109970887649E-2</v>
      </c>
      <c r="Y2441" s="232"/>
    </row>
    <row r="2442" spans="21:25" x14ac:dyDescent="0.2">
      <c r="U2442" s="209" t="str">
        <f t="shared" si="40"/>
        <v>1w</v>
      </c>
      <c r="V2442" s="207">
        <f>_xll.qlCalendarAdvance(Calendar,V2441,U2442,"f",FALSE)</f>
        <v>55971</v>
      </c>
      <c r="W2442" s="210">
        <f>_xll.qlCalendarAdvance(Calendar,V2442,NDays&amp;"D")</f>
        <v>55971</v>
      </c>
      <c r="X2442" s="211">
        <v>2.3228265762469391E-2</v>
      </c>
      <c r="Y2442" s="232"/>
    </row>
    <row r="2443" spans="21:25" x14ac:dyDescent="0.2">
      <c r="U2443" s="209" t="str">
        <f t="shared" si="40"/>
        <v>1w</v>
      </c>
      <c r="V2443" s="207">
        <f>_xll.qlCalendarAdvance(Calendar,V2442,U2443,"f",FALSE)</f>
        <v>55982</v>
      </c>
      <c r="W2443" s="210">
        <f>_xll.qlCalendarAdvance(Calendar,V2443,NDays&amp;"D")</f>
        <v>55982</v>
      </c>
      <c r="X2443" s="211">
        <v>2.3221239684563244E-2</v>
      </c>
      <c r="Y2443" s="232"/>
    </row>
    <row r="2444" spans="21:25" x14ac:dyDescent="0.2">
      <c r="U2444" s="209" t="str">
        <f t="shared" si="40"/>
        <v>1w</v>
      </c>
      <c r="V2444" s="207">
        <f>_xll.qlCalendarAdvance(Calendar,V2443,U2444,"f",FALSE)</f>
        <v>55989</v>
      </c>
      <c r="W2444" s="210">
        <f>_xll.qlCalendarAdvance(Calendar,V2444,NDays&amp;"D")</f>
        <v>55989</v>
      </c>
      <c r="X2444" s="211">
        <v>2.3217344720452004E-2</v>
      </c>
      <c r="Y2444" s="232"/>
    </row>
    <row r="2445" spans="21:25" x14ac:dyDescent="0.2">
      <c r="U2445" s="209" t="str">
        <f t="shared" ref="U2445:U2508" si="41">U2444</f>
        <v>1w</v>
      </c>
      <c r="V2445" s="207">
        <f>_xll.qlCalendarAdvance(Calendar,V2444,U2445,"f",FALSE)</f>
        <v>55996</v>
      </c>
      <c r="W2445" s="210">
        <f>_xll.qlCalendarAdvance(Calendar,V2445,NDays&amp;"D")</f>
        <v>55996</v>
      </c>
      <c r="X2445" s="211">
        <v>2.3213428652582024E-2</v>
      </c>
      <c r="Y2445" s="232"/>
    </row>
    <row r="2446" spans="21:25" x14ac:dyDescent="0.2">
      <c r="U2446" s="209" t="str">
        <f t="shared" si="41"/>
        <v>1w</v>
      </c>
      <c r="V2446" s="207">
        <f>_xll.qlCalendarAdvance(Calendar,V2445,U2446,"f",FALSE)</f>
        <v>56003</v>
      </c>
      <c r="W2446" s="210">
        <f>_xll.qlCalendarAdvance(Calendar,V2446,NDays&amp;"D")</f>
        <v>56003</v>
      </c>
      <c r="X2446" s="211">
        <v>2.3209491481113176E-2</v>
      </c>
      <c r="Y2446" s="232"/>
    </row>
    <row r="2447" spans="21:25" x14ac:dyDescent="0.2">
      <c r="U2447" s="209" t="str">
        <f t="shared" si="41"/>
        <v>1w</v>
      </c>
      <c r="V2447" s="207">
        <f>_xll.qlCalendarAdvance(Calendar,V2446,U2447,"f",FALSE)</f>
        <v>56010</v>
      </c>
      <c r="W2447" s="210">
        <f>_xll.qlCalendarAdvance(Calendar,V2447,NDays&amp;"D")</f>
        <v>56010</v>
      </c>
      <c r="X2447" s="211">
        <v>2.3205533206045459E-2</v>
      </c>
      <c r="Y2447" s="232"/>
    </row>
    <row r="2448" spans="21:25" x14ac:dyDescent="0.2">
      <c r="U2448" s="209" t="str">
        <f t="shared" si="41"/>
        <v>1w</v>
      </c>
      <c r="V2448" s="207">
        <f>_xll.qlCalendarAdvance(Calendar,V2447,U2448,"f",FALSE)</f>
        <v>56017</v>
      </c>
      <c r="W2448" s="210">
        <f>_xll.qlCalendarAdvance(Calendar,V2448,NDays&amp;"D")</f>
        <v>56017</v>
      </c>
      <c r="X2448" s="211">
        <v>2.3201553827219001E-2</v>
      </c>
      <c r="Y2448" s="232"/>
    </row>
    <row r="2449" spans="21:25" x14ac:dyDescent="0.2">
      <c r="U2449" s="209" t="str">
        <f t="shared" si="41"/>
        <v>1w</v>
      </c>
      <c r="V2449" s="207">
        <f>_xll.qlCalendarAdvance(Calendar,V2448,U2449,"f",FALSE)</f>
        <v>56024</v>
      </c>
      <c r="W2449" s="210">
        <f>_xll.qlCalendarAdvance(Calendar,V2449,NDays&amp;"D")</f>
        <v>56024</v>
      </c>
      <c r="X2449" s="211">
        <v>2.3197553344793675E-2</v>
      </c>
      <c r="Y2449" s="232"/>
    </row>
    <row r="2450" spans="21:25" x14ac:dyDescent="0.2">
      <c r="U2450" s="209" t="str">
        <f t="shared" si="41"/>
        <v>1w</v>
      </c>
      <c r="V2450" s="207">
        <f>_xll.qlCalendarAdvance(Calendar,V2449,U2450,"f",FALSE)</f>
        <v>56031</v>
      </c>
      <c r="W2450" s="210">
        <f>_xll.qlCalendarAdvance(Calendar,V2450,NDays&amp;"D")</f>
        <v>56031</v>
      </c>
      <c r="X2450" s="211">
        <v>2.3193531758689545E-2</v>
      </c>
      <c r="Y2450" s="232"/>
    </row>
    <row r="2451" spans="21:25" x14ac:dyDescent="0.2">
      <c r="U2451" s="209" t="str">
        <f t="shared" si="41"/>
        <v>1w</v>
      </c>
      <c r="V2451" s="207">
        <f>_xll.qlCalendarAdvance(Calendar,V2450,U2451,"f",FALSE)</f>
        <v>56038</v>
      </c>
      <c r="W2451" s="210">
        <f>_xll.qlCalendarAdvance(Calendar,V2451,NDays&amp;"D")</f>
        <v>56038</v>
      </c>
      <c r="X2451" s="211">
        <v>2.3189489069066482E-2</v>
      </c>
      <c r="Y2451" s="232"/>
    </row>
    <row r="2452" spans="21:25" x14ac:dyDescent="0.2">
      <c r="U2452" s="209" t="str">
        <f t="shared" si="41"/>
        <v>1w</v>
      </c>
      <c r="V2452" s="207">
        <f>_xll.qlCalendarAdvance(Calendar,V2451,U2452,"f",FALSE)</f>
        <v>56045</v>
      </c>
      <c r="W2452" s="210">
        <f>_xll.qlCalendarAdvance(Calendar,V2452,NDays&amp;"D")</f>
        <v>56045</v>
      </c>
      <c r="X2452" s="211">
        <v>2.3185425275684679E-2</v>
      </c>
      <c r="Y2452" s="232"/>
    </row>
    <row r="2453" spans="21:25" x14ac:dyDescent="0.2">
      <c r="U2453" s="209" t="str">
        <f t="shared" si="41"/>
        <v>1w</v>
      </c>
      <c r="V2453" s="207">
        <f>_xll.qlCalendarAdvance(Calendar,V2452,U2453,"f",FALSE)</f>
        <v>56052</v>
      </c>
      <c r="W2453" s="210">
        <f>_xll.qlCalendarAdvance(Calendar,V2453,NDays&amp;"D")</f>
        <v>56052</v>
      </c>
      <c r="X2453" s="211">
        <v>2.3181340378544135E-2</v>
      </c>
      <c r="Y2453" s="232"/>
    </row>
    <row r="2454" spans="21:25" x14ac:dyDescent="0.2">
      <c r="U2454" s="209" t="str">
        <f t="shared" si="41"/>
        <v>1w</v>
      </c>
      <c r="V2454" s="207">
        <f>_xll.qlCalendarAdvance(Calendar,V2453,U2454,"f",FALSE)</f>
        <v>56059</v>
      </c>
      <c r="W2454" s="210">
        <f>_xll.qlCalendarAdvance(Calendar,V2454,NDays&amp;"D")</f>
        <v>56059</v>
      </c>
      <c r="X2454" s="211">
        <v>2.3177234377964595E-2</v>
      </c>
      <c r="Y2454" s="232"/>
    </row>
    <row r="2455" spans="21:25" x14ac:dyDescent="0.2">
      <c r="U2455" s="209" t="str">
        <f t="shared" si="41"/>
        <v>1w</v>
      </c>
      <c r="V2455" s="207">
        <f>_xll.qlCalendarAdvance(Calendar,V2454,U2455,"f",FALSE)</f>
        <v>56066</v>
      </c>
      <c r="W2455" s="210">
        <f>_xll.qlCalendarAdvance(Calendar,V2455,NDays&amp;"D")</f>
        <v>56066</v>
      </c>
      <c r="X2455" s="211">
        <v>2.3173107273626314E-2</v>
      </c>
      <c r="Y2455" s="232"/>
    </row>
    <row r="2456" spans="21:25" x14ac:dyDescent="0.2">
      <c r="U2456" s="209" t="str">
        <f t="shared" si="41"/>
        <v>1w</v>
      </c>
      <c r="V2456" s="207">
        <f>_xll.qlCalendarAdvance(Calendar,V2455,U2456,"f",FALSE)</f>
        <v>56073</v>
      </c>
      <c r="W2456" s="210">
        <f>_xll.qlCalendarAdvance(Calendar,V2456,NDays&amp;"D")</f>
        <v>56073</v>
      </c>
      <c r="X2456" s="211">
        <v>2.3168959065609229E-2</v>
      </c>
      <c r="Y2456" s="232"/>
    </row>
    <row r="2457" spans="21:25" x14ac:dyDescent="0.2">
      <c r="U2457" s="209" t="str">
        <f t="shared" si="41"/>
        <v>1w</v>
      </c>
      <c r="V2457" s="207">
        <f>_xll.qlCalendarAdvance(Calendar,V2456,U2457,"f",FALSE)</f>
        <v>56080</v>
      </c>
      <c r="W2457" s="210">
        <f>_xll.qlCalendarAdvance(Calendar,V2457,NDays&amp;"D")</f>
        <v>56080</v>
      </c>
      <c r="X2457" s="211">
        <v>2.316478975391334E-2</v>
      </c>
      <c r="Y2457" s="232"/>
    </row>
    <row r="2458" spans="21:25" x14ac:dyDescent="0.2">
      <c r="U2458" s="209" t="str">
        <f t="shared" si="41"/>
        <v>1w</v>
      </c>
      <c r="V2458" s="207">
        <f>_xll.qlCalendarAdvance(Calendar,V2457,U2458,"f",FALSE)</f>
        <v>56087</v>
      </c>
      <c r="W2458" s="210">
        <f>_xll.qlCalendarAdvance(Calendar,V2458,NDays&amp;"D")</f>
        <v>56087</v>
      </c>
      <c r="X2458" s="211">
        <v>2.3160599338778454E-2</v>
      </c>
      <c r="Y2458" s="232"/>
    </row>
    <row r="2459" spans="21:25" x14ac:dyDescent="0.2">
      <c r="U2459" s="209" t="str">
        <f t="shared" si="41"/>
        <v>1w</v>
      </c>
      <c r="V2459" s="207">
        <f>_xll.qlCalendarAdvance(Calendar,V2458,U2459,"f",FALSE)</f>
        <v>56094</v>
      </c>
      <c r="W2459" s="210">
        <f>_xll.qlCalendarAdvance(Calendar,V2459,NDays&amp;"D")</f>
        <v>56094</v>
      </c>
      <c r="X2459" s="211">
        <v>2.3156387819804891E-2</v>
      </c>
      <c r="Y2459" s="232"/>
    </row>
    <row r="2460" spans="21:25" x14ac:dyDescent="0.2">
      <c r="U2460" s="209" t="str">
        <f t="shared" si="41"/>
        <v>1w</v>
      </c>
      <c r="V2460" s="207">
        <f>_xll.qlCalendarAdvance(Calendar,V2459,U2460,"f",FALSE)</f>
        <v>56101</v>
      </c>
      <c r="W2460" s="210">
        <f>_xll.qlCalendarAdvance(Calendar,V2460,NDays&amp;"D")</f>
        <v>56101</v>
      </c>
      <c r="X2460" s="211">
        <v>2.3152155197152524E-2</v>
      </c>
      <c r="Y2460" s="232"/>
    </row>
    <row r="2461" spans="21:25" x14ac:dyDescent="0.2">
      <c r="U2461" s="209" t="str">
        <f t="shared" si="41"/>
        <v>1w</v>
      </c>
      <c r="V2461" s="207">
        <f>_xll.qlCalendarAdvance(Calendar,V2460,U2461,"f",FALSE)</f>
        <v>56108</v>
      </c>
      <c r="W2461" s="210">
        <f>_xll.qlCalendarAdvance(Calendar,V2461,NDays&amp;"D")</f>
        <v>56108</v>
      </c>
      <c r="X2461" s="211">
        <v>2.3147901471061161E-2</v>
      </c>
      <c r="Y2461" s="232"/>
    </row>
    <row r="2462" spans="21:25" x14ac:dyDescent="0.2">
      <c r="U2462" s="209" t="str">
        <f t="shared" si="41"/>
        <v>1w</v>
      </c>
      <c r="V2462" s="207">
        <f>_xll.qlCalendarAdvance(Calendar,V2461,U2462,"f",FALSE)</f>
        <v>56115</v>
      </c>
      <c r="W2462" s="210">
        <f>_xll.qlCalendarAdvance(Calendar,V2462,NDays&amp;"D")</f>
        <v>56115</v>
      </c>
      <c r="X2462" s="211">
        <v>2.3143626641131121E-2</v>
      </c>
      <c r="Y2462" s="232"/>
    </row>
    <row r="2463" spans="21:25" x14ac:dyDescent="0.2">
      <c r="U2463" s="209" t="str">
        <f t="shared" si="41"/>
        <v>1w</v>
      </c>
      <c r="V2463" s="207">
        <f>_xll.qlCalendarAdvance(Calendar,V2462,U2463,"f",FALSE)</f>
        <v>56122</v>
      </c>
      <c r="W2463" s="210">
        <f>_xll.qlCalendarAdvance(Calendar,V2463,NDays&amp;"D")</f>
        <v>56122</v>
      </c>
      <c r="X2463" s="211">
        <v>2.3139330707602213E-2</v>
      </c>
      <c r="Y2463" s="232"/>
    </row>
    <row r="2464" spans="21:25" x14ac:dyDescent="0.2">
      <c r="U2464" s="209" t="str">
        <f t="shared" si="41"/>
        <v>1w</v>
      </c>
      <c r="V2464" s="207">
        <f>_xll.qlCalendarAdvance(Calendar,V2463,U2464,"f",FALSE)</f>
        <v>56129</v>
      </c>
      <c r="W2464" s="210">
        <f>_xll.qlCalendarAdvance(Calendar,V2464,NDays&amp;"D")</f>
        <v>56129</v>
      </c>
      <c r="X2464" s="211">
        <v>2.31350136703945E-2</v>
      </c>
      <c r="Y2464" s="232"/>
    </row>
    <row r="2465" spans="21:25" x14ac:dyDescent="0.2">
      <c r="U2465" s="209" t="str">
        <f t="shared" si="41"/>
        <v>1w</v>
      </c>
      <c r="V2465" s="207">
        <f>_xll.qlCalendarAdvance(Calendar,V2464,U2465,"f",FALSE)</f>
        <v>56136</v>
      </c>
      <c r="W2465" s="210">
        <f>_xll.qlCalendarAdvance(Calendar,V2465,NDays&amp;"D")</f>
        <v>56136</v>
      </c>
      <c r="X2465" s="211">
        <v>2.3130675529667855E-2</v>
      </c>
      <c r="Y2465" s="232"/>
    </row>
    <row r="2466" spans="21:25" x14ac:dyDescent="0.2">
      <c r="U2466" s="209" t="str">
        <f t="shared" si="41"/>
        <v>1w</v>
      </c>
      <c r="V2466" s="207">
        <f>_xll.qlCalendarAdvance(Calendar,V2465,U2466,"f",FALSE)</f>
        <v>56143</v>
      </c>
      <c r="W2466" s="210">
        <f>_xll.qlCalendarAdvance(Calendar,V2466,NDays&amp;"D")</f>
        <v>56143</v>
      </c>
      <c r="X2466" s="211">
        <v>2.3126316285262405E-2</v>
      </c>
      <c r="Y2466" s="232"/>
    </row>
    <row r="2467" spans="21:25" x14ac:dyDescent="0.2">
      <c r="U2467" s="209" t="str">
        <f t="shared" si="41"/>
        <v>1w</v>
      </c>
      <c r="V2467" s="207">
        <f>_xll.qlCalendarAdvance(Calendar,V2466,U2467,"f",FALSE)</f>
        <v>56150</v>
      </c>
      <c r="W2467" s="210">
        <f>_xll.qlCalendarAdvance(Calendar,V2467,NDays&amp;"D")</f>
        <v>56150</v>
      </c>
      <c r="X2467" s="211">
        <v>2.3121935937098215E-2</v>
      </c>
      <c r="Y2467" s="232"/>
    </row>
    <row r="2468" spans="21:25" x14ac:dyDescent="0.2">
      <c r="U2468" s="209" t="str">
        <f t="shared" si="41"/>
        <v>1w</v>
      </c>
      <c r="V2468" s="207">
        <f>_xll.qlCalendarAdvance(Calendar,V2467,U2468,"f",FALSE)</f>
        <v>56157</v>
      </c>
      <c r="W2468" s="210">
        <f>_xll.qlCalendarAdvance(Calendar,V2468,NDays&amp;"D")</f>
        <v>56157</v>
      </c>
      <c r="X2468" s="211">
        <v>2.3117534485415092E-2</v>
      </c>
      <c r="Y2468" s="232"/>
    </row>
    <row r="2469" spans="21:25" x14ac:dyDescent="0.2">
      <c r="U2469" s="209" t="str">
        <f t="shared" si="41"/>
        <v>1w</v>
      </c>
      <c r="V2469" s="207">
        <f>_xll.qlCalendarAdvance(Calendar,V2468,U2469,"f",FALSE)</f>
        <v>56164</v>
      </c>
      <c r="W2469" s="210">
        <f>_xll.qlCalendarAdvance(Calendar,V2469,NDays&amp;"D")</f>
        <v>56164</v>
      </c>
      <c r="X2469" s="211">
        <v>2.3113111930133101E-2</v>
      </c>
      <c r="Y2469" s="232"/>
    </row>
    <row r="2470" spans="21:25" x14ac:dyDescent="0.2">
      <c r="U2470" s="209" t="str">
        <f t="shared" si="41"/>
        <v>1w</v>
      </c>
      <c r="V2470" s="207">
        <f>_xll.qlCalendarAdvance(Calendar,V2469,U2470,"f",FALSE)</f>
        <v>56171</v>
      </c>
      <c r="W2470" s="210">
        <f>_xll.qlCalendarAdvance(Calendar,V2470,NDays&amp;"D")</f>
        <v>56171</v>
      </c>
      <c r="X2470" s="211">
        <v>2.310866827109237E-2</v>
      </c>
      <c r="Y2470" s="232"/>
    </row>
    <row r="2471" spans="21:25" x14ac:dyDescent="0.2">
      <c r="U2471" s="209" t="str">
        <f t="shared" si="41"/>
        <v>1w</v>
      </c>
      <c r="V2471" s="207">
        <f>_xll.qlCalendarAdvance(Calendar,V2470,U2471,"f",FALSE)</f>
        <v>56178</v>
      </c>
      <c r="W2471" s="210">
        <f>_xll.qlCalendarAdvance(Calendar,V2471,NDays&amp;"D")</f>
        <v>56178</v>
      </c>
      <c r="X2471" s="211">
        <v>2.3104203508372834E-2</v>
      </c>
      <c r="Y2471" s="232"/>
    </row>
    <row r="2472" spans="21:25" x14ac:dyDescent="0.2">
      <c r="U2472" s="209" t="str">
        <f t="shared" si="41"/>
        <v>1w</v>
      </c>
      <c r="V2472" s="207">
        <f>_xll.qlCalendarAdvance(Calendar,V2471,U2472,"f",FALSE)</f>
        <v>56185</v>
      </c>
      <c r="W2472" s="210">
        <f>_xll.qlCalendarAdvance(Calendar,V2472,NDays&amp;"D")</f>
        <v>56185</v>
      </c>
      <c r="X2472" s="211">
        <v>2.3099717642214301E-2</v>
      </c>
      <c r="Y2472" s="232"/>
    </row>
    <row r="2473" spans="21:25" x14ac:dyDescent="0.2">
      <c r="U2473" s="209" t="str">
        <f t="shared" si="41"/>
        <v>1w</v>
      </c>
      <c r="V2473" s="207">
        <f>_xll.qlCalendarAdvance(Calendar,V2472,U2473,"f",FALSE)</f>
        <v>56192</v>
      </c>
      <c r="W2473" s="210">
        <f>_xll.qlCalendarAdvance(Calendar,V2473,NDays&amp;"D")</f>
        <v>56192</v>
      </c>
      <c r="X2473" s="211">
        <v>2.3095210672297029E-2</v>
      </c>
      <c r="Y2473" s="232"/>
    </row>
    <row r="2474" spans="21:25" x14ac:dyDescent="0.2">
      <c r="U2474" s="209" t="str">
        <f t="shared" si="41"/>
        <v>1w</v>
      </c>
      <c r="V2474" s="207">
        <f>_xll.qlCalendarAdvance(Calendar,V2473,U2474,"f",FALSE)</f>
        <v>56199</v>
      </c>
      <c r="W2474" s="210">
        <f>_xll.qlCalendarAdvance(Calendar,V2474,NDays&amp;"D")</f>
        <v>56199</v>
      </c>
      <c r="X2474" s="211">
        <v>2.3090682598700951E-2</v>
      </c>
      <c r="Y2474" s="232"/>
    </row>
    <row r="2475" spans="21:25" x14ac:dyDescent="0.2">
      <c r="U2475" s="209" t="str">
        <f t="shared" si="41"/>
        <v>1w</v>
      </c>
      <c r="V2475" s="207">
        <f>_xll.qlCalendarAdvance(Calendar,V2474,U2475,"f",FALSE)</f>
        <v>56206</v>
      </c>
      <c r="W2475" s="210">
        <f>_xll.qlCalendarAdvance(Calendar,V2475,NDays&amp;"D")</f>
        <v>56206</v>
      </c>
      <c r="X2475" s="211">
        <v>2.3086133421506005E-2</v>
      </c>
      <c r="Y2475" s="232"/>
    </row>
    <row r="2476" spans="21:25" x14ac:dyDescent="0.2">
      <c r="U2476" s="209" t="str">
        <f t="shared" si="41"/>
        <v>1w</v>
      </c>
      <c r="V2476" s="207">
        <f>_xll.qlCalendarAdvance(Calendar,V2475,U2476,"f",FALSE)</f>
        <v>56213</v>
      </c>
      <c r="W2476" s="210">
        <f>_xll.qlCalendarAdvance(Calendar,V2476,NDays&amp;"D")</f>
        <v>56213</v>
      </c>
      <c r="X2476" s="211">
        <v>2.3081563140792127E-2</v>
      </c>
      <c r="Y2476" s="232"/>
    </row>
    <row r="2477" spans="21:25" x14ac:dyDescent="0.2">
      <c r="U2477" s="209" t="str">
        <f t="shared" si="41"/>
        <v>1w</v>
      </c>
      <c r="V2477" s="207">
        <f>_xll.qlCalendarAdvance(Calendar,V2476,U2477,"f",FALSE)</f>
        <v>56220</v>
      </c>
      <c r="W2477" s="210">
        <f>_xll.qlCalendarAdvance(Calendar,V2477,NDays&amp;"D")</f>
        <v>56220</v>
      </c>
      <c r="X2477" s="211">
        <v>2.3076971756319509E-2</v>
      </c>
      <c r="Y2477" s="232"/>
    </row>
    <row r="2478" spans="21:25" x14ac:dyDescent="0.2">
      <c r="U2478" s="209" t="str">
        <f t="shared" si="41"/>
        <v>1w</v>
      </c>
      <c r="V2478" s="207">
        <f>_xll.qlCalendarAdvance(Calendar,V2477,U2478,"f",FALSE)</f>
        <v>56227</v>
      </c>
      <c r="W2478" s="210">
        <f>_xll.qlCalendarAdvance(Calendar,V2478,NDays&amp;"D")</f>
        <v>56227</v>
      </c>
      <c r="X2478" s="211">
        <v>2.3072359268168086E-2</v>
      </c>
      <c r="Y2478" s="232"/>
    </row>
    <row r="2479" spans="21:25" x14ac:dyDescent="0.2">
      <c r="U2479" s="209" t="str">
        <f t="shared" si="41"/>
        <v>1w</v>
      </c>
      <c r="V2479" s="207">
        <f>_xll.qlCalendarAdvance(Calendar,V2478,U2479,"f",FALSE)</f>
        <v>56234</v>
      </c>
      <c r="W2479" s="210">
        <f>_xll.qlCalendarAdvance(Calendar,V2479,NDays&amp;"D")</f>
        <v>56234</v>
      </c>
      <c r="X2479" s="211">
        <v>2.3067725676577666E-2</v>
      </c>
      <c r="Y2479" s="232"/>
    </row>
    <row r="2480" spans="21:25" x14ac:dyDescent="0.2">
      <c r="U2480" s="209" t="str">
        <f t="shared" si="41"/>
        <v>1w</v>
      </c>
      <c r="V2480" s="207">
        <f>_xll.qlCalendarAdvance(Calendar,V2479,U2480,"f",FALSE)</f>
        <v>56241</v>
      </c>
      <c r="W2480" s="210">
        <f>_xll.qlCalendarAdvance(Calendar,V2480,NDays&amp;"D")</f>
        <v>56241</v>
      </c>
      <c r="X2480" s="211">
        <v>2.3063070981308442E-2</v>
      </c>
      <c r="Y2480" s="232"/>
    </row>
    <row r="2481" spans="21:25" x14ac:dyDescent="0.2">
      <c r="U2481" s="209" t="str">
        <f t="shared" si="41"/>
        <v>1w</v>
      </c>
      <c r="V2481" s="207">
        <f>_xll.qlCalendarAdvance(Calendar,V2480,U2481,"f",FALSE)</f>
        <v>56248</v>
      </c>
      <c r="W2481" s="210">
        <f>_xll.qlCalendarAdvance(Calendar,V2481,NDays&amp;"D")</f>
        <v>56248</v>
      </c>
      <c r="X2481" s="211">
        <v>2.3058395182280478E-2</v>
      </c>
      <c r="Y2481" s="232"/>
    </row>
    <row r="2482" spans="21:25" x14ac:dyDescent="0.2">
      <c r="U2482" s="209" t="str">
        <f t="shared" si="41"/>
        <v>1w</v>
      </c>
      <c r="V2482" s="207">
        <f>_xll.qlCalendarAdvance(Calendar,V2481,U2482,"f",FALSE)</f>
        <v>56255</v>
      </c>
      <c r="W2482" s="210">
        <f>_xll.qlCalendarAdvance(Calendar,V2482,NDays&amp;"D")</f>
        <v>56255</v>
      </c>
      <c r="X2482" s="211">
        <v>2.3053698279653645E-2</v>
      </c>
      <c r="Y2482" s="232"/>
    </row>
    <row r="2483" spans="21:25" x14ac:dyDescent="0.2">
      <c r="U2483" s="209" t="str">
        <f t="shared" si="41"/>
        <v>1w</v>
      </c>
      <c r="V2483" s="207">
        <f>_xll.qlCalendarAdvance(Calendar,V2482,U2483,"f",FALSE)</f>
        <v>56262</v>
      </c>
      <c r="W2483" s="210">
        <f>_xll.qlCalendarAdvance(Calendar,V2483,NDays&amp;"D")</f>
        <v>56262</v>
      </c>
      <c r="X2483" s="211">
        <v>2.3048980273427944E-2</v>
      </c>
      <c r="Y2483" s="232"/>
    </row>
    <row r="2484" spans="21:25" x14ac:dyDescent="0.2">
      <c r="U2484" s="209" t="str">
        <f t="shared" si="41"/>
        <v>1w</v>
      </c>
      <c r="V2484" s="207">
        <f>_xll.qlCalendarAdvance(Calendar,V2483,U2484,"f",FALSE)</f>
        <v>56269</v>
      </c>
      <c r="W2484" s="210">
        <f>_xll.qlCalendarAdvance(Calendar,V2484,NDays&amp;"D")</f>
        <v>56269</v>
      </c>
      <c r="X2484" s="211">
        <v>2.304424116368331E-2</v>
      </c>
      <c r="Y2484" s="232"/>
    </row>
    <row r="2485" spans="21:25" x14ac:dyDescent="0.2">
      <c r="U2485" s="209" t="str">
        <f t="shared" si="41"/>
        <v>1w</v>
      </c>
      <c r="V2485" s="207">
        <f>_xll.qlCalendarAdvance(Calendar,V2484,U2485,"f",FALSE)</f>
        <v>56276</v>
      </c>
      <c r="W2485" s="210">
        <f>_xll.qlCalendarAdvance(Calendar,V2485,NDays&amp;"D")</f>
        <v>56276</v>
      </c>
      <c r="X2485" s="211">
        <v>2.30394809501E-2</v>
      </c>
      <c r="Y2485" s="232"/>
    </row>
    <row r="2486" spans="21:25" x14ac:dyDescent="0.2">
      <c r="U2486" s="209" t="str">
        <f t="shared" si="41"/>
        <v>1w</v>
      </c>
      <c r="V2486" s="207">
        <f>_xll.qlCalendarAdvance(Calendar,V2485,U2486,"f",FALSE)</f>
        <v>56283</v>
      </c>
      <c r="W2486" s="210">
        <f>_xll.qlCalendarAdvance(Calendar,V2486,NDays&amp;"D")</f>
        <v>56283</v>
      </c>
      <c r="X2486" s="211">
        <v>2.3034699632997757E-2</v>
      </c>
      <c r="Y2486" s="232"/>
    </row>
    <row r="2487" spans="21:25" x14ac:dyDescent="0.2">
      <c r="U2487" s="209" t="str">
        <f t="shared" si="41"/>
        <v>1w</v>
      </c>
      <c r="V2487" s="207">
        <f>_xll.qlCalendarAdvance(Calendar,V2486,U2487,"f",FALSE)</f>
        <v>56290</v>
      </c>
      <c r="W2487" s="210">
        <f>_xll.qlCalendarAdvance(Calendar,V2487,NDays&amp;"D")</f>
        <v>56290</v>
      </c>
      <c r="X2487" s="211">
        <v>2.3029897212296646E-2</v>
      </c>
      <c r="Y2487" s="232"/>
    </row>
    <row r="2488" spans="21:25" x14ac:dyDescent="0.2">
      <c r="U2488" s="209" t="str">
        <f t="shared" si="41"/>
        <v>1w</v>
      </c>
      <c r="V2488" s="207">
        <f>_xll.qlCalendarAdvance(Calendar,V2487,U2488,"f",FALSE)</f>
        <v>56297</v>
      </c>
      <c r="W2488" s="210">
        <f>_xll.qlCalendarAdvance(Calendar,V2488,NDays&amp;"D")</f>
        <v>56297</v>
      </c>
      <c r="X2488" s="211">
        <v>2.3025073687996667E-2</v>
      </c>
      <c r="Y2488" s="232"/>
    </row>
    <row r="2489" spans="21:25" x14ac:dyDescent="0.2">
      <c r="U2489" s="209" t="str">
        <f t="shared" si="41"/>
        <v>1w</v>
      </c>
      <c r="V2489" s="207">
        <f>_xll.qlCalendarAdvance(Calendar,V2488,U2489,"f",FALSE)</f>
        <v>56304</v>
      </c>
      <c r="W2489" s="210">
        <f>_xll.qlCalendarAdvance(Calendar,V2489,NDays&amp;"D")</f>
        <v>56304</v>
      </c>
      <c r="X2489" s="211">
        <v>2.3020229060017883E-2</v>
      </c>
      <c r="Y2489" s="232"/>
    </row>
    <row r="2490" spans="21:25" x14ac:dyDescent="0.2">
      <c r="U2490" s="209" t="str">
        <f t="shared" si="41"/>
        <v>1w</v>
      </c>
      <c r="V2490" s="207">
        <f>_xll.qlCalendarAdvance(Calendar,V2489,U2490,"f",FALSE)</f>
        <v>56311</v>
      </c>
      <c r="W2490" s="210">
        <f>_xll.qlCalendarAdvance(Calendar,V2490,NDays&amp;"D")</f>
        <v>56311</v>
      </c>
      <c r="X2490" s="211">
        <v>2.301536332844023E-2</v>
      </c>
      <c r="Y2490" s="232"/>
    </row>
    <row r="2491" spans="21:25" x14ac:dyDescent="0.2">
      <c r="U2491" s="209" t="str">
        <f t="shared" si="41"/>
        <v>1w</v>
      </c>
      <c r="V2491" s="207">
        <f>_xll.qlCalendarAdvance(Calendar,V2490,U2491,"f",FALSE)</f>
        <v>56318</v>
      </c>
      <c r="W2491" s="210">
        <f>_xll.qlCalendarAdvance(Calendar,V2491,NDays&amp;"D")</f>
        <v>56318</v>
      </c>
      <c r="X2491" s="211">
        <v>2.3010476493183774E-2</v>
      </c>
      <c r="Y2491" s="232"/>
    </row>
    <row r="2492" spans="21:25" x14ac:dyDescent="0.2">
      <c r="U2492" s="209" t="str">
        <f t="shared" si="41"/>
        <v>1w</v>
      </c>
      <c r="V2492" s="207">
        <f>_xll.qlCalendarAdvance(Calendar,V2491,U2492,"f",FALSE)</f>
        <v>56325</v>
      </c>
      <c r="W2492" s="210">
        <f>_xll.qlCalendarAdvance(Calendar,V2492,NDays&amp;"D")</f>
        <v>56325</v>
      </c>
      <c r="X2492" s="211">
        <v>2.3005568554328448E-2</v>
      </c>
      <c r="Y2492" s="232"/>
    </row>
    <row r="2493" spans="21:25" x14ac:dyDescent="0.2">
      <c r="U2493" s="209" t="str">
        <f t="shared" si="41"/>
        <v>1w</v>
      </c>
      <c r="V2493" s="207">
        <f>_xll.qlCalendarAdvance(Calendar,V2492,U2493,"f",FALSE)</f>
        <v>56332</v>
      </c>
      <c r="W2493" s="210">
        <f>_xll.qlCalendarAdvance(Calendar,V2493,NDays&amp;"D")</f>
        <v>56332</v>
      </c>
      <c r="X2493" s="211">
        <v>2.3000639511874255E-2</v>
      </c>
      <c r="Y2493" s="232"/>
    </row>
    <row r="2494" spans="21:25" x14ac:dyDescent="0.2">
      <c r="U2494" s="209" t="str">
        <f t="shared" si="41"/>
        <v>1w</v>
      </c>
      <c r="V2494" s="207">
        <f>_xll.qlCalendarAdvance(Calendar,V2493,U2494,"f",FALSE)</f>
        <v>56339</v>
      </c>
      <c r="W2494" s="210">
        <f>_xll.qlCalendarAdvance(Calendar,V2494,NDays&amp;"D")</f>
        <v>56339</v>
      </c>
      <c r="X2494" s="211">
        <v>2.2995689365821192E-2</v>
      </c>
      <c r="Y2494" s="232"/>
    </row>
    <row r="2495" spans="21:25" x14ac:dyDescent="0.2">
      <c r="U2495" s="209" t="str">
        <f t="shared" si="41"/>
        <v>1w</v>
      </c>
      <c r="V2495" s="207">
        <f>_xll.qlCalendarAdvance(Calendar,V2494,U2495,"f",FALSE)</f>
        <v>56346</v>
      </c>
      <c r="W2495" s="210">
        <f>_xll.qlCalendarAdvance(Calendar,V2495,NDays&amp;"D")</f>
        <v>56346</v>
      </c>
      <c r="X2495" s="211">
        <v>2.2990718116169262E-2</v>
      </c>
      <c r="Y2495" s="232"/>
    </row>
    <row r="2496" spans="21:25" x14ac:dyDescent="0.2">
      <c r="U2496" s="209" t="str">
        <f t="shared" si="41"/>
        <v>1w</v>
      </c>
      <c r="V2496" s="207">
        <f>_xll.qlCalendarAdvance(Calendar,V2495,U2496,"f",FALSE)</f>
        <v>56353</v>
      </c>
      <c r="W2496" s="210">
        <f>_xll.qlCalendarAdvance(Calendar,V2496,NDays&amp;"D")</f>
        <v>56353</v>
      </c>
      <c r="X2496" s="211">
        <v>2.2985725762838527E-2</v>
      </c>
      <c r="Y2496" s="232"/>
    </row>
    <row r="2497" spans="21:25" x14ac:dyDescent="0.2">
      <c r="U2497" s="209" t="str">
        <f t="shared" si="41"/>
        <v>1w</v>
      </c>
      <c r="V2497" s="207">
        <f>_xll.qlCalendarAdvance(Calendar,V2496,U2497,"f",FALSE)</f>
        <v>56360</v>
      </c>
      <c r="W2497" s="210">
        <f>_xll.qlCalendarAdvance(Calendar,V2497,NDays&amp;"D")</f>
        <v>56360</v>
      </c>
      <c r="X2497" s="211">
        <v>2.2980712305908924E-2</v>
      </c>
      <c r="Y2497" s="232"/>
    </row>
    <row r="2498" spans="21:25" x14ac:dyDescent="0.2">
      <c r="U2498" s="209" t="str">
        <f t="shared" si="41"/>
        <v>1w</v>
      </c>
      <c r="V2498" s="207">
        <f>_xll.qlCalendarAdvance(Calendar,V2497,U2498,"f",FALSE)</f>
        <v>56367</v>
      </c>
      <c r="W2498" s="210">
        <f>_xll.qlCalendarAdvance(Calendar,V2498,NDays&amp;"D")</f>
        <v>56367</v>
      </c>
      <c r="X2498" s="211">
        <v>2.2975677745380452E-2</v>
      </c>
      <c r="Y2498" s="232"/>
    </row>
    <row r="2499" spans="21:25" x14ac:dyDescent="0.2">
      <c r="U2499" s="209" t="str">
        <f t="shared" si="41"/>
        <v>1w</v>
      </c>
      <c r="V2499" s="207">
        <f>_xll.qlCalendarAdvance(Calendar,V2498,U2499,"f",FALSE)</f>
        <v>56374</v>
      </c>
      <c r="W2499" s="210">
        <f>_xll.qlCalendarAdvance(Calendar,V2499,NDays&amp;"D")</f>
        <v>56374</v>
      </c>
      <c r="X2499" s="211">
        <v>2.2970622081253111E-2</v>
      </c>
      <c r="Y2499" s="232"/>
    </row>
    <row r="2500" spans="21:25" x14ac:dyDescent="0.2">
      <c r="U2500" s="209" t="str">
        <f t="shared" si="41"/>
        <v>1w</v>
      </c>
      <c r="V2500" s="207">
        <f>_xll.qlCalendarAdvance(Calendar,V2499,U2500,"f",FALSE)</f>
        <v>56381</v>
      </c>
      <c r="W2500" s="210">
        <f>_xll.qlCalendarAdvance(Calendar,V2500,NDays&amp;"D")</f>
        <v>56381</v>
      </c>
      <c r="X2500" s="211">
        <v>2.2965545313446967E-2</v>
      </c>
      <c r="Y2500" s="232"/>
    </row>
    <row r="2501" spans="21:25" x14ac:dyDescent="0.2">
      <c r="U2501" s="209" t="str">
        <f t="shared" si="41"/>
        <v>1w</v>
      </c>
      <c r="V2501" s="207">
        <f>_xll.qlCalendarAdvance(Calendar,V2500,U2501,"f",FALSE)</f>
        <v>56388</v>
      </c>
      <c r="W2501" s="210">
        <f>_xll.qlCalendarAdvance(Calendar,V2501,NDays&amp;"D")</f>
        <v>56388</v>
      </c>
      <c r="X2501" s="211">
        <v>2.296044744212189E-2</v>
      </c>
      <c r="Y2501" s="232"/>
    </row>
    <row r="2502" spans="21:25" x14ac:dyDescent="0.2">
      <c r="U2502" s="209" t="str">
        <f t="shared" si="41"/>
        <v>1w</v>
      </c>
      <c r="V2502" s="207">
        <f>_xll.qlCalendarAdvance(Calendar,V2501,U2502,"f",FALSE)</f>
        <v>56395</v>
      </c>
      <c r="W2502" s="210">
        <f>_xll.qlCalendarAdvance(Calendar,V2502,NDays&amp;"D")</f>
        <v>56395</v>
      </c>
      <c r="X2502" s="211">
        <v>2.2955328467197944E-2</v>
      </c>
      <c r="Y2502" s="232"/>
    </row>
    <row r="2503" spans="21:25" x14ac:dyDescent="0.2">
      <c r="U2503" s="209" t="str">
        <f t="shared" si="41"/>
        <v>1w</v>
      </c>
      <c r="V2503" s="207">
        <f>_xll.qlCalendarAdvance(Calendar,V2502,U2503,"f",FALSE)</f>
        <v>56402</v>
      </c>
      <c r="W2503" s="210">
        <f>_xll.qlCalendarAdvance(Calendar,V2503,NDays&amp;"D")</f>
        <v>56402</v>
      </c>
      <c r="X2503" s="211">
        <v>2.2950188531201121E-2</v>
      </c>
      <c r="Y2503" s="232"/>
    </row>
    <row r="2504" spans="21:25" x14ac:dyDescent="0.2">
      <c r="U2504" s="209" t="str">
        <f t="shared" si="41"/>
        <v>1w</v>
      </c>
      <c r="V2504" s="207">
        <f>_xll.qlCalendarAdvance(Calendar,V2503,U2504,"f",FALSE)</f>
        <v>56409</v>
      </c>
      <c r="W2504" s="210">
        <f>_xll.qlCalendarAdvance(Calendar,V2504,NDays&amp;"D")</f>
        <v>56409</v>
      </c>
      <c r="X2504" s="211">
        <v>2.2945051339888778E-2</v>
      </c>
      <c r="Y2504" s="232"/>
    </row>
    <row r="2505" spans="21:25" x14ac:dyDescent="0.2">
      <c r="U2505" s="209" t="str">
        <f t="shared" si="41"/>
        <v>1w</v>
      </c>
      <c r="V2505" s="207">
        <f>_xll.qlCalendarAdvance(Calendar,V2504,U2505,"f",FALSE)</f>
        <v>56416</v>
      </c>
      <c r="W2505" s="210">
        <f>_xll.qlCalendarAdvance(Calendar,V2505,NDays&amp;"D")</f>
        <v>56416</v>
      </c>
      <c r="X2505" s="211">
        <v>2.2939935028754022E-2</v>
      </c>
      <c r="Y2505" s="232"/>
    </row>
    <row r="2506" spans="21:25" x14ac:dyDescent="0.2">
      <c r="U2506" s="209" t="str">
        <f t="shared" si="41"/>
        <v>1w</v>
      </c>
      <c r="V2506" s="207">
        <f>_xll.qlCalendarAdvance(Calendar,V2505,U2506,"f",FALSE)</f>
        <v>56423</v>
      </c>
      <c r="W2506" s="210">
        <f>_xll.qlCalendarAdvance(Calendar,V2506,NDays&amp;"D")</f>
        <v>56423</v>
      </c>
      <c r="X2506" s="211">
        <v>2.2934839597876788E-2</v>
      </c>
      <c r="Y2506" s="232"/>
    </row>
    <row r="2507" spans="21:25" x14ac:dyDescent="0.2">
      <c r="U2507" s="209" t="str">
        <f t="shared" si="41"/>
        <v>1w</v>
      </c>
      <c r="V2507" s="207">
        <f>_xll.qlCalendarAdvance(Calendar,V2506,U2507,"f",FALSE)</f>
        <v>56430</v>
      </c>
      <c r="W2507" s="210">
        <f>_xll.qlCalendarAdvance(Calendar,V2507,NDays&amp;"D")</f>
        <v>56430</v>
      </c>
      <c r="X2507" s="211">
        <v>2.2929765047257078E-2</v>
      </c>
      <c r="Y2507" s="232"/>
    </row>
    <row r="2508" spans="21:25" x14ac:dyDescent="0.2">
      <c r="U2508" s="209" t="str">
        <f t="shared" si="41"/>
        <v>1w</v>
      </c>
      <c r="V2508" s="207">
        <f>_xll.qlCalendarAdvance(Calendar,V2507,U2508,"f",FALSE)</f>
        <v>56437</v>
      </c>
      <c r="W2508" s="210">
        <f>_xll.qlCalendarAdvance(Calendar,V2508,NDays&amp;"D")</f>
        <v>56437</v>
      </c>
      <c r="X2508" s="211">
        <v>2.2924711376974827E-2</v>
      </c>
      <c r="Y2508" s="232"/>
    </row>
    <row r="2509" spans="21:25" x14ac:dyDescent="0.2">
      <c r="U2509" s="209" t="str">
        <f t="shared" ref="U2509:U2572" si="42">U2508</f>
        <v>1w</v>
      </c>
      <c r="V2509" s="207">
        <f>_xll.qlCalendarAdvance(Calendar,V2508,U2509,"f",FALSE)</f>
        <v>56444</v>
      </c>
      <c r="W2509" s="210">
        <f>_xll.qlCalendarAdvance(Calendar,V2509,NDays&amp;"D")</f>
        <v>56444</v>
      </c>
      <c r="X2509" s="211">
        <v>2.2919678586870162E-2</v>
      </c>
      <c r="Y2509" s="232"/>
    </row>
    <row r="2510" spans="21:25" x14ac:dyDescent="0.2">
      <c r="U2510" s="209" t="str">
        <f t="shared" si="42"/>
        <v>1w</v>
      </c>
      <c r="V2510" s="207">
        <f>_xll.qlCalendarAdvance(Calendar,V2509,U2510,"f",FALSE)</f>
        <v>56451</v>
      </c>
      <c r="W2510" s="210">
        <f>_xll.qlCalendarAdvance(Calendar,V2510,NDays&amp;"D")</f>
        <v>56451</v>
      </c>
      <c r="X2510" s="211">
        <v>2.2914666677182893E-2</v>
      </c>
      <c r="Y2510" s="232"/>
    </row>
    <row r="2511" spans="21:25" x14ac:dyDescent="0.2">
      <c r="U2511" s="209" t="str">
        <f t="shared" si="42"/>
        <v>1w</v>
      </c>
      <c r="V2511" s="207">
        <f>_xll.qlCalendarAdvance(Calendar,V2510,U2511,"f",FALSE)</f>
        <v>56458</v>
      </c>
      <c r="W2511" s="210">
        <f>_xll.qlCalendarAdvance(Calendar,V2511,NDays&amp;"D")</f>
        <v>56458</v>
      </c>
      <c r="X2511" s="211">
        <v>2.2909675647513339E-2</v>
      </c>
      <c r="Y2511" s="232"/>
    </row>
    <row r="2512" spans="21:25" x14ac:dyDescent="0.2">
      <c r="U2512" s="209" t="str">
        <f t="shared" si="42"/>
        <v>1w</v>
      </c>
      <c r="V2512" s="207">
        <f>_xll.qlCalendarAdvance(Calendar,V2511,U2512,"f",FALSE)</f>
        <v>56465</v>
      </c>
      <c r="W2512" s="210">
        <f>_xll.qlCalendarAdvance(Calendar,V2512,NDays&amp;"D")</f>
        <v>56465</v>
      </c>
      <c r="X2512" s="211">
        <v>2.2904705498341116E-2</v>
      </c>
      <c r="Y2512" s="232"/>
    </row>
    <row r="2513" spans="21:25" x14ac:dyDescent="0.2">
      <c r="U2513" s="209" t="str">
        <f t="shared" si="42"/>
        <v>1w</v>
      </c>
      <c r="V2513" s="207">
        <f>_xll.qlCalendarAdvance(Calendar,V2512,U2513,"f",FALSE)</f>
        <v>56472</v>
      </c>
      <c r="W2513" s="210">
        <f>_xll.qlCalendarAdvance(Calendar,V2513,NDays&amp;"D")</f>
        <v>56472</v>
      </c>
      <c r="X2513" s="211">
        <v>2.289975622934648E-2</v>
      </c>
      <c r="Y2513" s="232"/>
    </row>
    <row r="2514" spans="21:25" x14ac:dyDescent="0.2">
      <c r="U2514" s="209" t="str">
        <f t="shared" si="42"/>
        <v>1w</v>
      </c>
      <c r="V2514" s="207">
        <f>_xll.qlCalendarAdvance(Calendar,V2513,U2514,"f",FALSE)</f>
        <v>56479</v>
      </c>
      <c r="W2514" s="210">
        <f>_xll.qlCalendarAdvance(Calendar,V2514,NDays&amp;"D")</f>
        <v>56479</v>
      </c>
      <c r="X2514" s="211">
        <v>2.2894827840609366E-2</v>
      </c>
      <c r="Y2514" s="232"/>
    </row>
    <row r="2515" spans="21:25" x14ac:dyDescent="0.2">
      <c r="U2515" s="209" t="str">
        <f t="shared" si="42"/>
        <v>1w</v>
      </c>
      <c r="V2515" s="207">
        <f>_xll.qlCalendarAdvance(Calendar,V2514,U2515,"f",FALSE)</f>
        <v>56486</v>
      </c>
      <c r="W2515" s="210">
        <f>_xll.qlCalendarAdvance(Calendar,V2515,NDays&amp;"D")</f>
        <v>56486</v>
      </c>
      <c r="X2515" s="211">
        <v>2.2889920332209712E-2</v>
      </c>
      <c r="Y2515" s="232"/>
    </row>
    <row r="2516" spans="21:25" x14ac:dyDescent="0.2">
      <c r="U2516" s="209" t="str">
        <f t="shared" si="42"/>
        <v>1w</v>
      </c>
      <c r="V2516" s="207">
        <f>_xll.qlCalendarAdvance(Calendar,V2515,U2516,"f",FALSE)</f>
        <v>56493</v>
      </c>
      <c r="W2516" s="210">
        <f>_xll.qlCalendarAdvance(Calendar,V2516,NDays&amp;"D")</f>
        <v>56493</v>
      </c>
      <c r="X2516" s="211">
        <v>2.2885033704067581E-2</v>
      </c>
      <c r="Y2516" s="232"/>
    </row>
    <row r="2517" spans="21:25" x14ac:dyDescent="0.2">
      <c r="U2517" s="209" t="str">
        <f t="shared" si="42"/>
        <v>1w</v>
      </c>
      <c r="V2517" s="207">
        <f>_xll.qlCalendarAdvance(Calendar,V2516,U2517,"f",FALSE)</f>
        <v>56500</v>
      </c>
      <c r="W2517" s="210">
        <f>_xll.qlCalendarAdvance(Calendar,V2517,NDays&amp;"D")</f>
        <v>56500</v>
      </c>
      <c r="X2517" s="211">
        <v>2.2880167956182973E-2</v>
      </c>
      <c r="Y2517" s="232"/>
    </row>
    <row r="2518" spans="21:25" x14ac:dyDescent="0.2">
      <c r="U2518" s="209" t="str">
        <f t="shared" si="42"/>
        <v>1w</v>
      </c>
      <c r="V2518" s="207">
        <f>_xll.qlCalendarAdvance(Calendar,V2517,U2518,"f",FALSE)</f>
        <v>56507</v>
      </c>
      <c r="W2518" s="210">
        <f>_xll.qlCalendarAdvance(Calendar,V2518,NDays&amp;"D")</f>
        <v>56507</v>
      </c>
      <c r="X2518" s="211">
        <v>2.2875323088396016E-2</v>
      </c>
      <c r="Y2518" s="232"/>
    </row>
    <row r="2519" spans="21:25" x14ac:dyDescent="0.2">
      <c r="U2519" s="209" t="str">
        <f t="shared" si="42"/>
        <v>1w</v>
      </c>
      <c r="V2519" s="207">
        <f>_xll.qlCalendarAdvance(Calendar,V2518,U2519,"f",FALSE)</f>
        <v>56514</v>
      </c>
      <c r="W2519" s="210">
        <f>_xll.qlCalendarAdvance(Calendar,V2519,NDays&amp;"D")</f>
        <v>56514</v>
      </c>
      <c r="X2519" s="211">
        <v>2.287049910110639E-2</v>
      </c>
      <c r="Y2519" s="232"/>
    </row>
    <row r="2520" spans="21:25" x14ac:dyDescent="0.2">
      <c r="U2520" s="209" t="str">
        <f t="shared" si="42"/>
        <v>1w</v>
      </c>
      <c r="V2520" s="207">
        <f>_xll.qlCalendarAdvance(Calendar,V2519,U2520,"f",FALSE)</f>
        <v>56521</v>
      </c>
      <c r="W2520" s="210">
        <f>_xll.qlCalendarAdvance(Calendar,V2520,NDays&amp;"D")</f>
        <v>56521</v>
      </c>
      <c r="X2520" s="211">
        <v>2.2865695993914414E-2</v>
      </c>
      <c r="Y2520" s="232"/>
    </row>
    <row r="2521" spans="21:25" x14ac:dyDescent="0.2">
      <c r="U2521" s="209" t="str">
        <f t="shared" si="42"/>
        <v>1w</v>
      </c>
      <c r="V2521" s="207">
        <f>_xll.qlCalendarAdvance(Calendar,V2520,U2521,"f",FALSE)</f>
        <v>56528</v>
      </c>
      <c r="W2521" s="210">
        <f>_xll.qlCalendarAdvance(Calendar,V2521,NDays&amp;"D")</f>
        <v>56528</v>
      </c>
      <c r="X2521" s="211">
        <v>2.2860913767059898E-2</v>
      </c>
      <c r="Y2521" s="232"/>
    </row>
    <row r="2522" spans="21:25" x14ac:dyDescent="0.2">
      <c r="U2522" s="209" t="str">
        <f t="shared" si="42"/>
        <v>1w</v>
      </c>
      <c r="V2522" s="207">
        <f>_xll.qlCalendarAdvance(Calendar,V2521,U2522,"f",FALSE)</f>
        <v>56535</v>
      </c>
      <c r="W2522" s="210">
        <f>_xll.qlCalendarAdvance(Calendar,V2522,NDays&amp;"D")</f>
        <v>56535</v>
      </c>
      <c r="X2522" s="211">
        <v>2.2856152420382969E-2</v>
      </c>
      <c r="Y2522" s="232"/>
    </row>
    <row r="2523" spans="21:25" x14ac:dyDescent="0.2">
      <c r="U2523" s="209" t="str">
        <f t="shared" si="42"/>
        <v>1w</v>
      </c>
      <c r="V2523" s="207">
        <f>_xll.qlCalendarAdvance(Calendar,V2522,U2523,"f",FALSE)</f>
        <v>56542</v>
      </c>
      <c r="W2523" s="210">
        <f>_xll.qlCalendarAdvance(Calendar,V2523,NDays&amp;"D")</f>
        <v>56542</v>
      </c>
      <c r="X2523" s="211">
        <v>2.2851411954123435E-2</v>
      </c>
      <c r="Y2523" s="232"/>
    </row>
    <row r="2524" spans="21:25" x14ac:dyDescent="0.2">
      <c r="U2524" s="209" t="str">
        <f t="shared" si="42"/>
        <v>1w</v>
      </c>
      <c r="V2524" s="207">
        <f>_xll.qlCalendarAdvance(Calendar,V2523,U2524,"f",FALSE)</f>
        <v>56549</v>
      </c>
      <c r="W2524" s="210">
        <f>_xll.qlCalendarAdvance(Calendar,V2524,NDays&amp;"D")</f>
        <v>56549</v>
      </c>
      <c r="X2524" s="211">
        <v>2.2846692368041488E-2</v>
      </c>
      <c r="Y2524" s="232"/>
    </row>
    <row r="2525" spans="21:25" x14ac:dyDescent="0.2">
      <c r="U2525" s="209" t="str">
        <f t="shared" si="42"/>
        <v>1w</v>
      </c>
      <c r="V2525" s="207">
        <f>_xll.qlCalendarAdvance(Calendar,V2524,U2525,"f",FALSE)</f>
        <v>56556</v>
      </c>
      <c r="W2525" s="210">
        <f>_xll.qlCalendarAdvance(Calendar,V2525,NDays&amp;"D")</f>
        <v>56556</v>
      </c>
      <c r="X2525" s="211">
        <v>2.2841993662217064E-2</v>
      </c>
      <c r="Y2525" s="232"/>
    </row>
    <row r="2526" spans="21:25" x14ac:dyDescent="0.2">
      <c r="U2526" s="209" t="str">
        <f t="shared" si="42"/>
        <v>1w</v>
      </c>
      <c r="V2526" s="207">
        <f>_xll.qlCalendarAdvance(Calendar,V2525,U2526,"f",FALSE)</f>
        <v>56563</v>
      </c>
      <c r="W2526" s="210">
        <f>_xll.qlCalendarAdvance(Calendar,V2526,NDays&amp;"D")</f>
        <v>56563</v>
      </c>
      <c r="X2526" s="211">
        <v>2.2837315836650163E-2</v>
      </c>
      <c r="Y2526" s="232"/>
    </row>
    <row r="2527" spans="21:25" x14ac:dyDescent="0.2">
      <c r="U2527" s="209" t="str">
        <f t="shared" si="42"/>
        <v>1w</v>
      </c>
      <c r="V2527" s="207">
        <f>_xll.qlCalendarAdvance(Calendar,V2526,U2527,"f",FALSE)</f>
        <v>56570</v>
      </c>
      <c r="W2527" s="210">
        <f>_xll.qlCalendarAdvance(Calendar,V2527,NDays&amp;"D")</f>
        <v>56570</v>
      </c>
      <c r="X2527" s="211">
        <v>2.2832658891420721E-2</v>
      </c>
      <c r="Y2527" s="232"/>
    </row>
    <row r="2528" spans="21:25" x14ac:dyDescent="0.2">
      <c r="U2528" s="209" t="str">
        <f t="shared" si="42"/>
        <v>1w</v>
      </c>
      <c r="V2528" s="207">
        <f>_xll.qlCalendarAdvance(Calendar,V2527,U2528,"f",FALSE)</f>
        <v>56577</v>
      </c>
      <c r="W2528" s="210">
        <f>_xll.qlCalendarAdvance(Calendar,V2528,NDays&amp;"D")</f>
        <v>56577</v>
      </c>
      <c r="X2528" s="211">
        <v>2.282802282628893E-2</v>
      </c>
      <c r="Y2528" s="232"/>
    </row>
    <row r="2529" spans="21:25" x14ac:dyDescent="0.2">
      <c r="U2529" s="209" t="str">
        <f t="shared" si="42"/>
        <v>1w</v>
      </c>
      <c r="V2529" s="207">
        <f>_xll.qlCalendarAdvance(Calendar,V2528,U2529,"f",FALSE)</f>
        <v>56584</v>
      </c>
      <c r="W2529" s="210">
        <f>_xll.qlCalendarAdvance(Calendar,V2529,NDays&amp;"D")</f>
        <v>56584</v>
      </c>
      <c r="X2529" s="211">
        <v>2.2823407641494597E-2</v>
      </c>
      <c r="Y2529" s="232"/>
    </row>
    <row r="2530" spans="21:25" x14ac:dyDescent="0.2">
      <c r="U2530" s="209" t="str">
        <f t="shared" si="42"/>
        <v>1w</v>
      </c>
      <c r="V2530" s="207">
        <f>_xll.qlCalendarAdvance(Calendar,V2529,U2530,"f",FALSE)</f>
        <v>56591</v>
      </c>
      <c r="W2530" s="210">
        <f>_xll.qlCalendarAdvance(Calendar,V2530,NDays&amp;"D")</f>
        <v>56591</v>
      </c>
      <c r="X2530" s="211">
        <v>2.2818813336877852E-2</v>
      </c>
      <c r="Y2530" s="232"/>
    </row>
    <row r="2531" spans="21:25" x14ac:dyDescent="0.2">
      <c r="U2531" s="209" t="str">
        <f t="shared" si="42"/>
        <v>1w</v>
      </c>
      <c r="V2531" s="207">
        <f>_xll.qlCalendarAdvance(Calendar,V2530,U2531,"f",FALSE)</f>
        <v>56598</v>
      </c>
      <c r="W2531" s="210">
        <f>_xll.qlCalendarAdvance(Calendar,V2531,NDays&amp;"D")</f>
        <v>56598</v>
      </c>
      <c r="X2531" s="211">
        <v>2.2814239912678502E-2</v>
      </c>
      <c r="Y2531" s="232"/>
    </row>
    <row r="2532" spans="21:25" x14ac:dyDescent="0.2">
      <c r="U2532" s="209" t="str">
        <f t="shared" si="42"/>
        <v>1w</v>
      </c>
      <c r="V2532" s="207">
        <f>_xll.qlCalendarAdvance(Calendar,V2531,U2532,"f",FALSE)</f>
        <v>56605</v>
      </c>
      <c r="W2532" s="210">
        <f>_xll.qlCalendarAdvance(Calendar,V2532,NDays&amp;"D")</f>
        <v>56605</v>
      </c>
      <c r="X2532" s="211">
        <v>2.2809687368496867E-2</v>
      </c>
      <c r="Y2532" s="232"/>
    </row>
    <row r="2533" spans="21:25" x14ac:dyDescent="0.2">
      <c r="U2533" s="209" t="str">
        <f t="shared" si="42"/>
        <v>1w</v>
      </c>
      <c r="V2533" s="207">
        <f>_xll.qlCalendarAdvance(Calendar,V2532,U2533,"f",FALSE)</f>
        <v>56612</v>
      </c>
      <c r="W2533" s="210">
        <f>_xll.qlCalendarAdvance(Calendar,V2533,NDays&amp;"D")</f>
        <v>56612</v>
      </c>
      <c r="X2533" s="211">
        <v>2.2805155704652691E-2</v>
      </c>
      <c r="Y2533" s="232"/>
    </row>
    <row r="2534" spans="21:25" x14ac:dyDescent="0.2">
      <c r="U2534" s="209" t="str">
        <f t="shared" si="42"/>
        <v>1w</v>
      </c>
      <c r="V2534" s="207">
        <f>_xll.qlCalendarAdvance(Calendar,V2533,U2534,"f",FALSE)</f>
        <v>56619</v>
      </c>
      <c r="W2534" s="210">
        <f>_xll.qlCalendarAdvance(Calendar,V2534,NDays&amp;"D")</f>
        <v>56619</v>
      </c>
      <c r="X2534" s="211">
        <v>2.280064492122591E-2</v>
      </c>
      <c r="Y2534" s="232"/>
    </row>
    <row r="2535" spans="21:25" x14ac:dyDescent="0.2">
      <c r="U2535" s="209" t="str">
        <f t="shared" si="42"/>
        <v>1w</v>
      </c>
      <c r="V2535" s="207">
        <f>_xll.qlCalendarAdvance(Calendar,V2534,U2535,"f",FALSE)</f>
        <v>56626</v>
      </c>
      <c r="W2535" s="210">
        <f>_xll.qlCalendarAdvance(Calendar,V2535,NDays&amp;"D")</f>
        <v>56626</v>
      </c>
      <c r="X2535" s="211">
        <v>2.279615501789678E-2</v>
      </c>
      <c r="Y2535" s="232"/>
    </row>
    <row r="2536" spans="21:25" x14ac:dyDescent="0.2">
      <c r="U2536" s="209" t="str">
        <f t="shared" si="42"/>
        <v>1w</v>
      </c>
      <c r="V2536" s="207">
        <f>_xll.qlCalendarAdvance(Calendar,V2535,U2536,"f",FALSE)</f>
        <v>56633</v>
      </c>
      <c r="W2536" s="210">
        <f>_xll.qlCalendarAdvance(Calendar,V2536,NDays&amp;"D")</f>
        <v>56633</v>
      </c>
      <c r="X2536" s="211">
        <v>2.2791685994825173E-2</v>
      </c>
      <c r="Y2536" s="232"/>
    </row>
    <row r="2537" spans="21:25" x14ac:dyDescent="0.2">
      <c r="U2537" s="209" t="str">
        <f t="shared" si="42"/>
        <v>1w</v>
      </c>
      <c r="V2537" s="207">
        <f>_xll.qlCalendarAdvance(Calendar,V2536,U2537,"f",FALSE)</f>
        <v>56640</v>
      </c>
      <c r="W2537" s="210">
        <f>_xll.qlCalendarAdvance(Calendar,V2537,NDays&amp;"D")</f>
        <v>56640</v>
      </c>
      <c r="X2537" s="211">
        <v>2.2787237852011089E-2</v>
      </c>
      <c r="Y2537" s="232"/>
    </row>
    <row r="2538" spans="21:25" x14ac:dyDescent="0.2">
      <c r="U2538" s="209" t="str">
        <f t="shared" si="42"/>
        <v>1w</v>
      </c>
      <c r="V2538" s="207">
        <f>_xll.qlCalendarAdvance(Calendar,V2537,U2538,"f",FALSE)</f>
        <v>56647</v>
      </c>
      <c r="W2538" s="210">
        <f>_xll.qlCalendarAdvance(Calendar,V2538,NDays&amp;"D")</f>
        <v>56647</v>
      </c>
      <c r="X2538" s="211">
        <v>2.2782810589454527E-2</v>
      </c>
      <c r="Y2538" s="232"/>
    </row>
    <row r="2539" spans="21:25" x14ac:dyDescent="0.2">
      <c r="U2539" s="209" t="str">
        <f t="shared" si="42"/>
        <v>1w</v>
      </c>
      <c r="V2539" s="207">
        <f>_xll.qlCalendarAdvance(Calendar,V2538,U2539,"f",FALSE)</f>
        <v>56654</v>
      </c>
      <c r="W2539" s="210">
        <f>_xll.qlCalendarAdvance(Calendar,V2539,NDays&amp;"D")</f>
        <v>56654</v>
      </c>
      <c r="X2539" s="211">
        <v>2.2778404207075553E-2</v>
      </c>
      <c r="Y2539" s="232"/>
    </row>
    <row r="2540" spans="21:25" x14ac:dyDescent="0.2">
      <c r="U2540" s="209" t="str">
        <f t="shared" si="42"/>
        <v>1w</v>
      </c>
      <c r="V2540" s="207">
        <f>_xll.qlCalendarAdvance(Calendar,V2539,U2540,"f",FALSE)</f>
        <v>56661</v>
      </c>
      <c r="W2540" s="210">
        <f>_xll.qlCalendarAdvance(Calendar,V2540,NDays&amp;"D")</f>
        <v>56661</v>
      </c>
      <c r="X2540" s="211">
        <v>2.2774018705034038E-2</v>
      </c>
      <c r="Y2540" s="232"/>
    </row>
    <row r="2541" spans="21:25" x14ac:dyDescent="0.2">
      <c r="U2541" s="209" t="str">
        <f t="shared" si="42"/>
        <v>1w</v>
      </c>
      <c r="V2541" s="207">
        <f>_xll.qlCalendarAdvance(Calendar,V2540,U2541,"f",FALSE)</f>
        <v>56668</v>
      </c>
      <c r="W2541" s="210">
        <f>_xll.qlCalendarAdvance(Calendar,V2541,NDays&amp;"D")</f>
        <v>56668</v>
      </c>
      <c r="X2541" s="211">
        <v>2.2769654083329982E-2</v>
      </c>
      <c r="Y2541" s="232"/>
    </row>
    <row r="2542" spans="21:25" x14ac:dyDescent="0.2">
      <c r="U2542" s="209" t="str">
        <f t="shared" si="42"/>
        <v>1w</v>
      </c>
      <c r="V2542" s="207">
        <f>_xll.qlCalendarAdvance(Calendar,V2541,U2542,"f",FALSE)</f>
        <v>56675</v>
      </c>
      <c r="W2542" s="210">
        <f>_xll.qlCalendarAdvance(Calendar,V2542,NDays&amp;"D")</f>
        <v>56675</v>
      </c>
      <c r="X2542" s="211">
        <v>2.2765310341723577E-2</v>
      </c>
      <c r="Y2542" s="232"/>
    </row>
    <row r="2543" spans="21:25" x14ac:dyDescent="0.2">
      <c r="U2543" s="209" t="str">
        <f t="shared" si="42"/>
        <v>1w</v>
      </c>
      <c r="V2543" s="207">
        <f>_xll.qlCalendarAdvance(Calendar,V2542,U2543,"f",FALSE)</f>
        <v>56682</v>
      </c>
      <c r="W2543" s="210">
        <f>_xll.qlCalendarAdvance(Calendar,V2543,NDays&amp;"D")</f>
        <v>56682</v>
      </c>
      <c r="X2543" s="211">
        <v>2.2760987480374695E-2</v>
      </c>
      <c r="Y2543" s="232"/>
    </row>
    <row r="2544" spans="21:25" x14ac:dyDescent="0.2">
      <c r="U2544" s="209" t="str">
        <f t="shared" si="42"/>
        <v>1w</v>
      </c>
      <c r="V2544" s="207">
        <f>_xll.qlCalendarAdvance(Calendar,V2543,U2544,"f",FALSE)</f>
        <v>56689</v>
      </c>
      <c r="W2544" s="210">
        <f>_xll.qlCalendarAdvance(Calendar,V2544,NDays&amp;"D")</f>
        <v>56689</v>
      </c>
      <c r="X2544" s="211">
        <v>2.2756685499283336E-2</v>
      </c>
      <c r="Y2544" s="232"/>
    </row>
    <row r="2545" spans="21:25" x14ac:dyDescent="0.2">
      <c r="U2545" s="209" t="str">
        <f t="shared" si="42"/>
        <v>1w</v>
      </c>
      <c r="V2545" s="207">
        <f>_xll.qlCalendarAdvance(Calendar,V2544,U2545,"f",FALSE)</f>
        <v>56696</v>
      </c>
      <c r="W2545" s="210">
        <f>_xll.qlCalendarAdvance(Calendar,V2545,NDays&amp;"D")</f>
        <v>56696</v>
      </c>
      <c r="X2545" s="211">
        <v>2.2752404398449499E-2</v>
      </c>
      <c r="Y2545" s="232"/>
    </row>
    <row r="2546" spans="21:25" x14ac:dyDescent="0.2">
      <c r="U2546" s="209" t="str">
        <f t="shared" si="42"/>
        <v>1w</v>
      </c>
      <c r="V2546" s="207">
        <f>_xll.qlCalendarAdvance(Calendar,V2545,U2546,"f",FALSE)</f>
        <v>56703</v>
      </c>
      <c r="W2546" s="210">
        <f>_xll.qlCalendarAdvance(Calendar,V2546,NDays&amp;"D")</f>
        <v>56703</v>
      </c>
      <c r="X2546" s="211">
        <v>2.2748144177873186E-2</v>
      </c>
      <c r="Y2546" s="232"/>
    </row>
    <row r="2547" spans="21:25" x14ac:dyDescent="0.2">
      <c r="U2547" s="209" t="str">
        <f t="shared" si="42"/>
        <v>1w</v>
      </c>
      <c r="V2547" s="207">
        <f>_xll.qlCalendarAdvance(Calendar,V2546,U2547,"f",FALSE)</f>
        <v>56710</v>
      </c>
      <c r="W2547" s="210">
        <f>_xll.qlCalendarAdvance(Calendar,V2547,NDays&amp;"D")</f>
        <v>56710</v>
      </c>
      <c r="X2547" s="211">
        <v>2.2743904837394524E-2</v>
      </c>
      <c r="Y2547" s="232"/>
    </row>
    <row r="2548" spans="21:25" x14ac:dyDescent="0.2">
      <c r="U2548" s="209" t="str">
        <f t="shared" si="42"/>
        <v>1w</v>
      </c>
      <c r="V2548" s="207">
        <f>_xll.qlCalendarAdvance(Calendar,V2547,U2548,"f",FALSE)</f>
        <v>56717</v>
      </c>
      <c r="W2548" s="210">
        <f>_xll.qlCalendarAdvance(Calendar,V2548,NDays&amp;"D")</f>
        <v>56717</v>
      </c>
      <c r="X2548" s="211">
        <v>2.2739686377333257E-2</v>
      </c>
      <c r="Y2548" s="232"/>
    </row>
    <row r="2549" spans="21:25" x14ac:dyDescent="0.2">
      <c r="U2549" s="209" t="str">
        <f t="shared" si="42"/>
        <v>1w</v>
      </c>
      <c r="V2549" s="207">
        <f>_xll.qlCalendarAdvance(Calendar,V2548,U2549,"f",FALSE)</f>
        <v>56724</v>
      </c>
      <c r="W2549" s="210">
        <f>_xll.qlCalendarAdvance(Calendar,V2549,NDays&amp;"D")</f>
        <v>56724</v>
      </c>
      <c r="X2549" s="211">
        <v>2.2735488797369641E-2</v>
      </c>
      <c r="Y2549" s="232"/>
    </row>
    <row r="2550" spans="21:25" x14ac:dyDescent="0.2">
      <c r="U2550" s="209" t="str">
        <f t="shared" si="42"/>
        <v>1w</v>
      </c>
      <c r="V2550" s="207">
        <f>_xll.qlCalendarAdvance(Calendar,V2549,U2550,"f",FALSE)</f>
        <v>56731</v>
      </c>
      <c r="W2550" s="210">
        <f>_xll.qlCalendarAdvance(Calendar,V2550,NDays&amp;"D")</f>
        <v>56731</v>
      </c>
      <c r="X2550" s="211">
        <v>2.2731312097743483E-2</v>
      </c>
      <c r="Y2550" s="232"/>
    </row>
    <row r="2551" spans="21:25" x14ac:dyDescent="0.2">
      <c r="U2551" s="209" t="str">
        <f t="shared" si="42"/>
        <v>1w</v>
      </c>
      <c r="V2551" s="207">
        <f>_xll.qlCalendarAdvance(Calendar,V2550,U2551,"f",FALSE)</f>
        <v>56738</v>
      </c>
      <c r="W2551" s="210">
        <f>_xll.qlCalendarAdvance(Calendar,V2551,NDays&amp;"D")</f>
        <v>56738</v>
      </c>
      <c r="X2551" s="211">
        <v>2.2727156278374849E-2</v>
      </c>
      <c r="Y2551" s="232"/>
    </row>
    <row r="2552" spans="21:25" x14ac:dyDescent="0.2">
      <c r="U2552" s="209" t="str">
        <f t="shared" si="42"/>
        <v>1w</v>
      </c>
      <c r="V2552" s="207">
        <f>_xll.qlCalendarAdvance(Calendar,V2551,U2552,"f",FALSE)</f>
        <v>56745</v>
      </c>
      <c r="W2552" s="210">
        <f>_xll.qlCalendarAdvance(Calendar,V2552,NDays&amp;"D")</f>
        <v>56745</v>
      </c>
      <c r="X2552" s="211">
        <v>2.2723021339183802E-2</v>
      </c>
      <c r="Y2552" s="232"/>
    </row>
    <row r="2553" spans="21:25" x14ac:dyDescent="0.2">
      <c r="U2553" s="209" t="str">
        <f t="shared" si="42"/>
        <v>1w</v>
      </c>
      <c r="V2553" s="207">
        <f>_xll.qlCalendarAdvance(Calendar,V2552,U2553,"f",FALSE)</f>
        <v>56752</v>
      </c>
      <c r="W2553" s="210">
        <f>_xll.qlCalendarAdvance(Calendar,V2553,NDays&amp;"D")</f>
        <v>56752</v>
      </c>
      <c r="X2553" s="211">
        <v>2.2718907280330214E-2</v>
      </c>
      <c r="Y2553" s="232"/>
    </row>
    <row r="2554" spans="21:25" x14ac:dyDescent="0.2">
      <c r="U2554" s="209" t="str">
        <f t="shared" si="42"/>
        <v>1w</v>
      </c>
      <c r="V2554" s="207">
        <f>_xll.qlCalendarAdvance(Calendar,V2553,U2554,"f",FALSE)</f>
        <v>56759</v>
      </c>
      <c r="W2554" s="210">
        <f>_xll.qlCalendarAdvance(Calendar,V2554,NDays&amp;"D")</f>
        <v>56759</v>
      </c>
      <c r="X2554" s="211">
        <v>2.2714814101494341E-2</v>
      </c>
      <c r="Y2554" s="232"/>
    </row>
    <row r="2555" spans="21:25" x14ac:dyDescent="0.2">
      <c r="U2555" s="209" t="str">
        <f t="shared" si="42"/>
        <v>1w</v>
      </c>
      <c r="V2555" s="207">
        <f>_xll.qlCalendarAdvance(Calendar,V2554,U2555,"f",FALSE)</f>
        <v>56766</v>
      </c>
      <c r="W2555" s="210">
        <f>_xll.qlCalendarAdvance(Calendar,V2555,NDays&amp;"D")</f>
        <v>56766</v>
      </c>
      <c r="X2555" s="211">
        <v>2.2710741803155798E-2</v>
      </c>
      <c r="Y2555" s="232"/>
    </row>
    <row r="2556" spans="21:25" x14ac:dyDescent="0.2">
      <c r="U2556" s="209" t="str">
        <f t="shared" si="42"/>
        <v>1w</v>
      </c>
      <c r="V2556" s="207">
        <f>_xll.qlCalendarAdvance(Calendar,V2555,U2556,"f",FALSE)</f>
        <v>56773</v>
      </c>
      <c r="W2556" s="210">
        <f>_xll.qlCalendarAdvance(Calendar,V2556,NDays&amp;"D")</f>
        <v>56773</v>
      </c>
      <c r="X2556" s="211">
        <v>2.2706690384914907E-2</v>
      </c>
      <c r="Y2556" s="232"/>
    </row>
    <row r="2557" spans="21:25" x14ac:dyDescent="0.2">
      <c r="U2557" s="209" t="str">
        <f t="shared" si="42"/>
        <v>1w</v>
      </c>
      <c r="V2557" s="207">
        <f>_xll.qlCalendarAdvance(Calendar,V2556,U2557,"f",FALSE)</f>
        <v>56780</v>
      </c>
      <c r="W2557" s="210">
        <f>_xll.qlCalendarAdvance(Calendar,V2557,NDays&amp;"D")</f>
        <v>56780</v>
      </c>
      <c r="X2557" s="211">
        <v>2.2702659846931539E-2</v>
      </c>
      <c r="Y2557" s="232"/>
    </row>
    <row r="2558" spans="21:25" x14ac:dyDescent="0.2">
      <c r="U2558" s="209" t="str">
        <f t="shared" si="42"/>
        <v>1w</v>
      </c>
      <c r="V2558" s="207">
        <f>_xll.qlCalendarAdvance(Calendar,V2557,U2558,"f",FALSE)</f>
        <v>56787</v>
      </c>
      <c r="W2558" s="210">
        <f>_xll.qlCalendarAdvance(Calendar,V2558,NDays&amp;"D")</f>
        <v>56787</v>
      </c>
      <c r="X2558" s="211">
        <v>2.2698650189045821E-2</v>
      </c>
      <c r="Y2558" s="232"/>
    </row>
    <row r="2559" spans="21:25" x14ac:dyDescent="0.2">
      <c r="U2559" s="209" t="str">
        <f t="shared" si="42"/>
        <v>1w</v>
      </c>
      <c r="V2559" s="207">
        <f>_xll.qlCalendarAdvance(Calendar,V2558,U2559,"f",FALSE)</f>
        <v>56794</v>
      </c>
      <c r="W2559" s="210">
        <f>_xll.qlCalendarAdvance(Calendar,V2559,NDays&amp;"D")</f>
        <v>56794</v>
      </c>
      <c r="X2559" s="211">
        <v>2.2694661411577499E-2</v>
      </c>
      <c r="Y2559" s="232"/>
    </row>
    <row r="2560" spans="21:25" x14ac:dyDescent="0.2">
      <c r="U2560" s="209" t="str">
        <f t="shared" si="42"/>
        <v>1w</v>
      </c>
      <c r="V2560" s="207">
        <f>_xll.qlCalendarAdvance(Calendar,V2559,U2560,"f",FALSE)</f>
        <v>56801</v>
      </c>
      <c r="W2560" s="210">
        <f>_xll.qlCalendarAdvance(Calendar,V2560,NDays&amp;"D")</f>
        <v>56801</v>
      </c>
      <c r="X2560" s="211">
        <v>2.2690693514286764E-2</v>
      </c>
      <c r="Y2560" s="232"/>
    </row>
    <row r="2561" spans="21:25" x14ac:dyDescent="0.2">
      <c r="U2561" s="209" t="str">
        <f t="shared" si="42"/>
        <v>1w</v>
      </c>
      <c r="V2561" s="207">
        <f>_xll.qlCalendarAdvance(Calendar,V2560,U2561,"f",FALSE)</f>
        <v>56808</v>
      </c>
      <c r="W2561" s="210">
        <f>_xll.qlCalendarAdvance(Calendar,V2561,NDays&amp;"D")</f>
        <v>56808</v>
      </c>
      <c r="X2561" s="211">
        <v>2.2686746497173615E-2</v>
      </c>
      <c r="Y2561" s="232"/>
    </row>
    <row r="2562" spans="21:25" x14ac:dyDescent="0.2">
      <c r="U2562" s="209" t="str">
        <f t="shared" si="42"/>
        <v>1w</v>
      </c>
      <c r="V2562" s="207">
        <f>_xll.qlCalendarAdvance(Calendar,V2561,U2562,"f",FALSE)</f>
        <v>56815</v>
      </c>
      <c r="W2562" s="210">
        <f>_xll.qlCalendarAdvance(Calendar,V2562,NDays&amp;"D")</f>
        <v>56815</v>
      </c>
      <c r="X2562" s="211">
        <v>2.2682820360238054E-2</v>
      </c>
      <c r="Y2562" s="232"/>
    </row>
    <row r="2563" spans="21:25" x14ac:dyDescent="0.2">
      <c r="U2563" s="209" t="str">
        <f t="shared" si="42"/>
        <v>1w</v>
      </c>
      <c r="V2563" s="207">
        <f>_xll.qlCalendarAdvance(Calendar,V2562,U2563,"f",FALSE)</f>
        <v>56822</v>
      </c>
      <c r="W2563" s="210">
        <f>_xll.qlCalendarAdvance(Calendar,V2563,NDays&amp;"D")</f>
        <v>56822</v>
      </c>
      <c r="X2563" s="211">
        <v>2.2678915103719888E-2</v>
      </c>
      <c r="Y2563" s="232"/>
    </row>
    <row r="2564" spans="21:25" x14ac:dyDescent="0.2">
      <c r="U2564" s="209" t="str">
        <f t="shared" si="42"/>
        <v>1w</v>
      </c>
      <c r="V2564" s="207">
        <f>_xll.qlCalendarAdvance(Calendar,V2563,U2564,"f",FALSE)</f>
        <v>56829</v>
      </c>
      <c r="W2564" s="210">
        <f>_xll.qlCalendarAdvance(Calendar,V2564,NDays&amp;"D")</f>
        <v>56829</v>
      </c>
      <c r="X2564" s="211">
        <v>2.2675030727379308E-2</v>
      </c>
      <c r="Y2564" s="232"/>
    </row>
    <row r="2565" spans="21:25" x14ac:dyDescent="0.2">
      <c r="U2565" s="209" t="str">
        <f t="shared" si="42"/>
        <v>1w</v>
      </c>
      <c r="V2565" s="207">
        <f>_xll.qlCalendarAdvance(Calendar,V2564,U2565,"f",FALSE)</f>
        <v>56836</v>
      </c>
      <c r="W2565" s="210">
        <f>_xll.qlCalendarAdvance(Calendar,V2565,NDays&amp;"D")</f>
        <v>56836</v>
      </c>
      <c r="X2565" s="211">
        <v>2.267116723113638E-2</v>
      </c>
      <c r="Y2565" s="232"/>
    </row>
    <row r="2566" spans="21:25" x14ac:dyDescent="0.2">
      <c r="U2566" s="209" t="str">
        <f t="shared" si="42"/>
        <v>1w</v>
      </c>
      <c r="V2566" s="207">
        <f>_xll.qlCalendarAdvance(Calendar,V2565,U2566,"f",FALSE)</f>
        <v>56843</v>
      </c>
      <c r="W2566" s="210">
        <f>_xll.qlCalendarAdvance(Calendar,V2566,NDays&amp;"D")</f>
        <v>56843</v>
      </c>
      <c r="X2566" s="211">
        <v>2.266732461523091E-2</v>
      </c>
      <c r="Y2566" s="232"/>
    </row>
    <row r="2567" spans="21:25" x14ac:dyDescent="0.2">
      <c r="U2567" s="209" t="str">
        <f t="shared" si="42"/>
        <v>1w</v>
      </c>
      <c r="V2567" s="207">
        <f>_xll.qlCalendarAdvance(Calendar,V2566,U2567,"f",FALSE)</f>
        <v>56850</v>
      </c>
      <c r="W2567" s="210">
        <f>_xll.qlCalendarAdvance(Calendar,V2567,NDays&amp;"D")</f>
        <v>56850</v>
      </c>
      <c r="X2567" s="211">
        <v>2.2663502879582964E-2</v>
      </c>
      <c r="Y2567" s="232"/>
    </row>
    <row r="2568" spans="21:25" x14ac:dyDescent="0.2">
      <c r="U2568" s="209" t="str">
        <f t="shared" si="42"/>
        <v>1w</v>
      </c>
      <c r="V2568" s="207">
        <f>_xll.qlCalendarAdvance(Calendar,V2567,U2568,"f",FALSE)</f>
        <v>56857</v>
      </c>
      <c r="W2568" s="210">
        <f>_xll.qlCalendarAdvance(Calendar,V2568,NDays&amp;"D")</f>
        <v>56857</v>
      </c>
      <c r="X2568" s="211">
        <v>2.2659702024032669E-2</v>
      </c>
      <c r="Y2568" s="232"/>
    </row>
    <row r="2569" spans="21:25" x14ac:dyDescent="0.2">
      <c r="U2569" s="209" t="str">
        <f t="shared" si="42"/>
        <v>1w</v>
      </c>
      <c r="V2569" s="207">
        <f>_xll.qlCalendarAdvance(Calendar,V2568,U2569,"f",FALSE)</f>
        <v>56864</v>
      </c>
      <c r="W2569" s="210">
        <f>_xll.qlCalendarAdvance(Calendar,V2569,NDays&amp;"D")</f>
        <v>56864</v>
      </c>
      <c r="X2569" s="211">
        <v>2.2655922048739896E-2</v>
      </c>
      <c r="Y2569" s="232"/>
    </row>
    <row r="2570" spans="21:25" x14ac:dyDescent="0.2">
      <c r="U2570" s="209" t="str">
        <f t="shared" si="42"/>
        <v>1w</v>
      </c>
      <c r="V2570" s="207">
        <f>_xll.qlCalendarAdvance(Calendar,V2569,U2570,"f",FALSE)</f>
        <v>56871</v>
      </c>
      <c r="W2570" s="210">
        <f>_xll.qlCalendarAdvance(Calendar,V2570,NDays&amp;"D")</f>
        <v>56871</v>
      </c>
      <c r="X2570" s="211">
        <v>2.2652162953784583E-2</v>
      </c>
      <c r="Y2570" s="232"/>
    </row>
    <row r="2571" spans="21:25" x14ac:dyDescent="0.2">
      <c r="U2571" s="209" t="str">
        <f t="shared" si="42"/>
        <v>1w</v>
      </c>
      <c r="V2571" s="207">
        <f>_xll.qlCalendarAdvance(Calendar,V2570,U2571,"f",FALSE)</f>
        <v>56878</v>
      </c>
      <c r="W2571" s="210">
        <f>_xll.qlCalendarAdvance(Calendar,V2571,NDays&amp;"D")</f>
        <v>56878</v>
      </c>
      <c r="X2571" s="211">
        <v>2.2648424739006856E-2</v>
      </c>
      <c r="Y2571" s="232"/>
    </row>
    <row r="2572" spans="21:25" x14ac:dyDescent="0.2">
      <c r="U2572" s="209" t="str">
        <f t="shared" si="42"/>
        <v>1w</v>
      </c>
      <c r="V2572" s="207">
        <f>_xll.qlCalendarAdvance(Calendar,V2571,U2572,"f",FALSE)</f>
        <v>56885</v>
      </c>
      <c r="W2572" s="210">
        <f>_xll.qlCalendarAdvance(Calendar,V2572,NDays&amp;"D")</f>
        <v>56885</v>
      </c>
      <c r="X2572" s="211">
        <v>2.264470740432678E-2</v>
      </c>
      <c r="Y2572" s="232"/>
    </row>
    <row r="2573" spans="21:25" x14ac:dyDescent="0.2">
      <c r="U2573" s="209" t="str">
        <f t="shared" ref="U2573:U2636" si="43">U2572</f>
        <v>1w</v>
      </c>
      <c r="V2573" s="207">
        <f>_xll.qlCalendarAdvance(Calendar,V2572,U2573,"f",FALSE)</f>
        <v>56892</v>
      </c>
      <c r="W2573" s="210">
        <f>_xll.qlCalendarAdvance(Calendar,V2573,NDays&amp;"D")</f>
        <v>56892</v>
      </c>
      <c r="X2573" s="211">
        <v>2.2641010949984164E-2</v>
      </c>
      <c r="Y2573" s="232"/>
    </row>
    <row r="2574" spans="21:25" x14ac:dyDescent="0.2">
      <c r="U2574" s="209" t="str">
        <f t="shared" si="43"/>
        <v>1w</v>
      </c>
      <c r="V2574" s="207">
        <f>_xll.qlCalendarAdvance(Calendar,V2573,U2574,"f",FALSE)</f>
        <v>56899</v>
      </c>
      <c r="W2574" s="210">
        <f>_xll.qlCalendarAdvance(Calendar,V2574,NDays&amp;"D")</f>
        <v>56899</v>
      </c>
      <c r="X2574" s="211">
        <v>2.2637335375819134E-2</v>
      </c>
      <c r="Y2574" s="232"/>
    </row>
    <row r="2575" spans="21:25" x14ac:dyDescent="0.2">
      <c r="U2575" s="209" t="str">
        <f t="shared" si="43"/>
        <v>1w</v>
      </c>
      <c r="V2575" s="207">
        <f>_xll.qlCalendarAdvance(Calendar,V2574,U2575,"f",FALSE)</f>
        <v>56906</v>
      </c>
      <c r="W2575" s="210">
        <f>_xll.qlCalendarAdvance(Calendar,V2575,NDays&amp;"D")</f>
        <v>56906</v>
      </c>
      <c r="X2575" s="211">
        <v>2.2633680681911628E-2</v>
      </c>
      <c r="Y2575" s="232"/>
    </row>
    <row r="2576" spans="21:25" x14ac:dyDescent="0.2">
      <c r="U2576" s="209" t="str">
        <f t="shared" si="43"/>
        <v>1w</v>
      </c>
      <c r="V2576" s="207">
        <f>_xll.qlCalendarAdvance(Calendar,V2575,U2576,"f",FALSE)</f>
        <v>56913</v>
      </c>
      <c r="W2576" s="210">
        <f>_xll.qlCalendarAdvance(Calendar,V2576,NDays&amp;"D")</f>
        <v>56913</v>
      </c>
      <c r="X2576" s="211">
        <v>2.2630046868181708E-2</v>
      </c>
      <c r="Y2576" s="232"/>
    </row>
    <row r="2577" spans="21:25" x14ac:dyDescent="0.2">
      <c r="U2577" s="209" t="str">
        <f t="shared" si="43"/>
        <v>1w</v>
      </c>
      <c r="V2577" s="207">
        <f>_xll.qlCalendarAdvance(Calendar,V2576,U2577,"f",FALSE)</f>
        <v>56920</v>
      </c>
      <c r="W2577" s="210">
        <f>_xll.qlCalendarAdvance(Calendar,V2577,NDays&amp;"D")</f>
        <v>56920</v>
      </c>
      <c r="X2577" s="211">
        <v>2.2626433934789247E-2</v>
      </c>
      <c r="Y2577" s="232"/>
    </row>
    <row r="2578" spans="21:25" x14ac:dyDescent="0.2">
      <c r="U2578" s="209" t="str">
        <f t="shared" si="43"/>
        <v>1w</v>
      </c>
      <c r="V2578" s="207">
        <f>_xll.qlCalendarAdvance(Calendar,V2577,U2578,"f",FALSE)</f>
        <v>56927</v>
      </c>
      <c r="W2578" s="210">
        <f>_xll.qlCalendarAdvance(Calendar,V2578,NDays&amp;"D")</f>
        <v>56927</v>
      </c>
      <c r="X2578" s="211">
        <v>2.2622841881494438E-2</v>
      </c>
      <c r="Y2578" s="232"/>
    </row>
    <row r="2579" spans="21:25" x14ac:dyDescent="0.2">
      <c r="U2579" s="209" t="str">
        <f t="shared" si="43"/>
        <v>1w</v>
      </c>
      <c r="V2579" s="207">
        <f>_xll.qlCalendarAdvance(Calendar,V2578,U2579,"f",FALSE)</f>
        <v>56934</v>
      </c>
      <c r="W2579" s="210">
        <f>_xll.qlCalendarAdvance(Calendar,V2579,NDays&amp;"D")</f>
        <v>56934</v>
      </c>
      <c r="X2579" s="211">
        <v>2.2619270708377215E-2</v>
      </c>
      <c r="Y2579" s="232"/>
    </row>
    <row r="2580" spans="21:25" x14ac:dyDescent="0.2">
      <c r="U2580" s="209" t="str">
        <f t="shared" si="43"/>
        <v>1w</v>
      </c>
      <c r="V2580" s="207">
        <f>_xll.qlCalendarAdvance(Calendar,V2579,U2580,"f",FALSE)</f>
        <v>56941</v>
      </c>
      <c r="W2580" s="210">
        <f>_xll.qlCalendarAdvance(Calendar,V2580,NDays&amp;"D")</f>
        <v>56941</v>
      </c>
      <c r="X2580" s="211">
        <v>2.2615720415517515E-2</v>
      </c>
      <c r="Y2580" s="232"/>
    </row>
    <row r="2581" spans="21:25" x14ac:dyDescent="0.2">
      <c r="U2581" s="209" t="str">
        <f t="shared" si="43"/>
        <v>1w</v>
      </c>
      <c r="V2581" s="207">
        <f>_xll.qlCalendarAdvance(Calendar,V2580,U2581,"f",FALSE)</f>
        <v>56948</v>
      </c>
      <c r="W2581" s="210">
        <f>_xll.qlCalendarAdvance(Calendar,V2581,NDays&amp;"D")</f>
        <v>56948</v>
      </c>
      <c r="X2581" s="211">
        <v>2.261219100307521E-2</v>
      </c>
      <c r="Y2581" s="232"/>
    </row>
    <row r="2582" spans="21:25" x14ac:dyDescent="0.2">
      <c r="U2582" s="209" t="str">
        <f t="shared" si="43"/>
        <v>1w</v>
      </c>
      <c r="V2582" s="207">
        <f>_xll.qlCalendarAdvance(Calendar,V2581,U2582,"f",FALSE)</f>
        <v>56955</v>
      </c>
      <c r="W2582" s="210">
        <f>_xll.qlCalendarAdvance(Calendar,V2582,NDays&amp;"D")</f>
        <v>56955</v>
      </c>
      <c r="X2582" s="211">
        <v>2.2608682470650621E-2</v>
      </c>
      <c r="Y2582" s="232"/>
    </row>
    <row r="2583" spans="21:25" x14ac:dyDescent="0.2">
      <c r="U2583" s="209" t="str">
        <f t="shared" si="43"/>
        <v>1w</v>
      </c>
      <c r="V2583" s="207">
        <f>_xll.qlCalendarAdvance(Calendar,V2582,U2583,"f",FALSE)</f>
        <v>56962</v>
      </c>
      <c r="W2583" s="210">
        <f>_xll.qlCalendarAdvance(Calendar,V2583,NDays&amp;"D")</f>
        <v>56962</v>
      </c>
      <c r="X2583" s="211">
        <v>2.2605194818403618E-2</v>
      </c>
      <c r="Y2583" s="232"/>
    </row>
    <row r="2584" spans="21:25" x14ac:dyDescent="0.2">
      <c r="U2584" s="209" t="str">
        <f t="shared" si="43"/>
        <v>1w</v>
      </c>
      <c r="V2584" s="207">
        <f>_xll.qlCalendarAdvance(Calendar,V2583,U2584,"f",FALSE)</f>
        <v>56969</v>
      </c>
      <c r="W2584" s="210">
        <f>_xll.qlCalendarAdvance(Calendar,V2584,NDays&amp;"D")</f>
        <v>56969</v>
      </c>
      <c r="X2584" s="211">
        <v>2.260172804657401E-2</v>
      </c>
      <c r="Y2584" s="232"/>
    </row>
    <row r="2585" spans="21:25" x14ac:dyDescent="0.2">
      <c r="U2585" s="209" t="str">
        <f t="shared" si="43"/>
        <v>1w</v>
      </c>
      <c r="V2585" s="207">
        <f>_xll.qlCalendarAdvance(Calendar,V2584,U2585,"f",FALSE)</f>
        <v>56976</v>
      </c>
      <c r="W2585" s="210">
        <f>_xll.qlCalendarAdvance(Calendar,V2585,NDays&amp;"D")</f>
        <v>56976</v>
      </c>
      <c r="X2585" s="211">
        <v>2.2598282154762117E-2</v>
      </c>
      <c r="Y2585" s="232"/>
    </row>
    <row r="2586" spans="21:25" x14ac:dyDescent="0.2">
      <c r="U2586" s="209" t="str">
        <f t="shared" si="43"/>
        <v>1w</v>
      </c>
      <c r="V2586" s="207">
        <f>_xll.qlCalendarAdvance(Calendar,V2585,U2586,"f",FALSE)</f>
        <v>56983</v>
      </c>
      <c r="W2586" s="210">
        <f>_xll.qlCalendarAdvance(Calendar,V2586,NDays&amp;"D")</f>
        <v>56983</v>
      </c>
      <c r="X2586" s="211">
        <v>2.2594857143127811E-2</v>
      </c>
      <c r="Y2586" s="232"/>
    </row>
    <row r="2587" spans="21:25" x14ac:dyDescent="0.2">
      <c r="U2587" s="209" t="str">
        <f t="shared" si="43"/>
        <v>1w</v>
      </c>
      <c r="V2587" s="207">
        <f>_xll.qlCalendarAdvance(Calendar,V2586,U2587,"f",FALSE)</f>
        <v>56990</v>
      </c>
      <c r="W2587" s="210">
        <f>_xll.qlCalendarAdvance(Calendar,V2587,NDays&amp;"D")</f>
        <v>56990</v>
      </c>
      <c r="X2587" s="211">
        <v>2.25914530119109E-2</v>
      </c>
      <c r="Y2587" s="232"/>
    </row>
    <row r="2588" spans="21:25" x14ac:dyDescent="0.2">
      <c r="U2588" s="209" t="str">
        <f t="shared" si="43"/>
        <v>1w</v>
      </c>
      <c r="V2588" s="207">
        <f>_xll.qlCalendarAdvance(Calendar,V2587,U2588,"f",FALSE)</f>
        <v>56997</v>
      </c>
      <c r="W2588" s="210">
        <f>_xll.qlCalendarAdvance(Calendar,V2588,NDays&amp;"D")</f>
        <v>56997</v>
      </c>
      <c r="X2588" s="211">
        <v>2.2588069760871576E-2</v>
      </c>
      <c r="Y2588" s="232"/>
    </row>
    <row r="2589" spans="21:25" x14ac:dyDescent="0.2">
      <c r="U2589" s="209" t="str">
        <f t="shared" si="43"/>
        <v>1w</v>
      </c>
      <c r="V2589" s="207">
        <f>_xll.qlCalendarAdvance(Calendar,V2588,U2589,"f",FALSE)</f>
        <v>57004</v>
      </c>
      <c r="W2589" s="210">
        <f>_xll.qlCalendarAdvance(Calendar,V2589,NDays&amp;"D")</f>
        <v>57004</v>
      </c>
      <c r="X2589" s="211">
        <v>2.2584707389929903E-2</v>
      </c>
      <c r="Y2589" s="232"/>
    </row>
    <row r="2590" spans="21:25" x14ac:dyDescent="0.2">
      <c r="U2590" s="209" t="str">
        <f t="shared" si="43"/>
        <v>1w</v>
      </c>
      <c r="V2590" s="207">
        <f>_xll.qlCalendarAdvance(Calendar,V2589,U2590,"f",FALSE)</f>
        <v>57011</v>
      </c>
      <c r="W2590" s="210">
        <f>_xll.qlCalendarAdvance(Calendar,V2590,NDays&amp;"D")</f>
        <v>57011</v>
      </c>
      <c r="X2590" s="211">
        <v>2.2581365899245753E-2</v>
      </c>
      <c r="Y2590" s="232"/>
    </row>
    <row r="2591" spans="21:25" x14ac:dyDescent="0.2">
      <c r="U2591" s="209" t="str">
        <f t="shared" si="43"/>
        <v>1w</v>
      </c>
      <c r="V2591" s="207">
        <f>_xll.qlCalendarAdvance(Calendar,V2590,U2591,"f",FALSE)</f>
        <v>57018</v>
      </c>
      <c r="W2591" s="210">
        <f>_xll.qlCalendarAdvance(Calendar,V2591,NDays&amp;"D")</f>
        <v>57018</v>
      </c>
      <c r="X2591" s="211">
        <v>2.257804528873919E-2</v>
      </c>
      <c r="Y2591" s="232"/>
    </row>
    <row r="2592" spans="21:25" x14ac:dyDescent="0.2">
      <c r="U2592" s="209" t="str">
        <f t="shared" si="43"/>
        <v>1w</v>
      </c>
      <c r="V2592" s="207">
        <f>_xll.qlCalendarAdvance(Calendar,V2591,U2592,"f",FALSE)</f>
        <v>57025</v>
      </c>
      <c r="W2592" s="210">
        <f>_xll.qlCalendarAdvance(Calendar,V2592,NDays&amp;"D")</f>
        <v>57025</v>
      </c>
      <c r="X2592" s="211">
        <v>2.257474555849015E-2</v>
      </c>
      <c r="Y2592" s="232"/>
    </row>
    <row r="2593" spans="21:25" x14ac:dyDescent="0.2">
      <c r="U2593" s="209" t="str">
        <f t="shared" si="43"/>
        <v>1w</v>
      </c>
      <c r="V2593" s="207">
        <f>_xll.qlCalendarAdvance(Calendar,V2592,U2593,"f",FALSE)</f>
        <v>57032</v>
      </c>
      <c r="W2593" s="210">
        <f>_xll.qlCalendarAdvance(Calendar,V2593,NDays&amp;"D")</f>
        <v>57032</v>
      </c>
      <c r="X2593" s="211">
        <v>2.2571466708498633E-2</v>
      </c>
      <c r="Y2593" s="232"/>
    </row>
    <row r="2594" spans="21:25" x14ac:dyDescent="0.2">
      <c r="U2594" s="209" t="str">
        <f t="shared" si="43"/>
        <v>1w</v>
      </c>
      <c r="V2594" s="207">
        <f>_xll.qlCalendarAdvance(Calendar,V2593,U2594,"f",FALSE)</f>
        <v>57039</v>
      </c>
      <c r="W2594" s="210">
        <f>_xll.qlCalendarAdvance(Calendar,V2594,NDays&amp;"D")</f>
        <v>57039</v>
      </c>
      <c r="X2594" s="211">
        <v>2.2568208738604767E-2</v>
      </c>
      <c r="Y2594" s="232"/>
    </row>
    <row r="2595" spans="21:25" x14ac:dyDescent="0.2">
      <c r="U2595" s="209" t="str">
        <f t="shared" si="43"/>
        <v>1w</v>
      </c>
      <c r="V2595" s="207">
        <f>_xll.qlCalendarAdvance(Calendar,V2594,U2595,"f",FALSE)</f>
        <v>57046</v>
      </c>
      <c r="W2595" s="210">
        <f>_xll.qlCalendarAdvance(Calendar,V2595,NDays&amp;"D")</f>
        <v>57046</v>
      </c>
      <c r="X2595" s="211">
        <v>2.256497164904836E-2</v>
      </c>
      <c r="Y2595" s="232"/>
    </row>
    <row r="2596" spans="21:25" x14ac:dyDescent="0.2">
      <c r="U2596" s="209" t="str">
        <f t="shared" si="43"/>
        <v>1w</v>
      </c>
      <c r="V2596" s="207">
        <f>_xll.qlCalendarAdvance(Calendar,V2595,U2596,"f",FALSE)</f>
        <v>57053</v>
      </c>
      <c r="W2596" s="210">
        <f>_xll.qlCalendarAdvance(Calendar,V2596,NDays&amp;"D")</f>
        <v>57053</v>
      </c>
      <c r="X2596" s="211">
        <v>2.256175543966954E-2</v>
      </c>
      <c r="Y2596" s="232"/>
    </row>
    <row r="2597" spans="21:25" x14ac:dyDescent="0.2">
      <c r="U2597" s="209" t="str">
        <f t="shared" si="43"/>
        <v>1w</v>
      </c>
      <c r="V2597" s="207">
        <f>_xll.qlCalendarAdvance(Calendar,V2596,U2597,"f",FALSE)</f>
        <v>57060</v>
      </c>
      <c r="W2597" s="210">
        <f>_xll.qlCalendarAdvance(Calendar,V2597,NDays&amp;"D")</f>
        <v>57060</v>
      </c>
      <c r="X2597" s="211">
        <v>2.2558560110308434E-2</v>
      </c>
      <c r="Y2597" s="232"/>
    </row>
    <row r="2598" spans="21:25" x14ac:dyDescent="0.2">
      <c r="U2598" s="209" t="str">
        <f t="shared" si="43"/>
        <v>1w</v>
      </c>
      <c r="V2598" s="207">
        <f>_xll.qlCalendarAdvance(Calendar,V2597,U2598,"f",FALSE)</f>
        <v>57067</v>
      </c>
      <c r="W2598" s="210">
        <f>_xll.qlCalendarAdvance(Calendar,V2598,NDays&amp;"D")</f>
        <v>57067</v>
      </c>
      <c r="X2598" s="211">
        <v>2.2555385661284788E-2</v>
      </c>
      <c r="Y2598" s="232"/>
    </row>
    <row r="2599" spans="21:25" x14ac:dyDescent="0.2">
      <c r="U2599" s="209" t="str">
        <f t="shared" si="43"/>
        <v>1w</v>
      </c>
      <c r="V2599" s="207">
        <f>_xll.qlCalendarAdvance(Calendar,V2598,U2599,"f",FALSE)</f>
        <v>57074</v>
      </c>
      <c r="W2599" s="210">
        <f>_xll.qlCalendarAdvance(Calendar,V2599,NDays&amp;"D")</f>
        <v>57074</v>
      </c>
      <c r="X2599" s="211">
        <v>2.2552232092598601E-2</v>
      </c>
      <c r="Y2599" s="232"/>
    </row>
    <row r="2600" spans="21:25" x14ac:dyDescent="0.2">
      <c r="U2600" s="209" t="str">
        <f t="shared" si="43"/>
        <v>1w</v>
      </c>
      <c r="V2600" s="207">
        <f>_xll.qlCalendarAdvance(Calendar,V2599,U2600,"f",FALSE)</f>
        <v>57081</v>
      </c>
      <c r="W2600" s="210">
        <f>_xll.qlCalendarAdvance(Calendar,V2600,NDays&amp;"D")</f>
        <v>57081</v>
      </c>
      <c r="X2600" s="211">
        <v>2.2549099403930128E-2</v>
      </c>
      <c r="Y2600" s="232"/>
    </row>
    <row r="2601" spans="21:25" x14ac:dyDescent="0.2">
      <c r="U2601" s="209" t="str">
        <f t="shared" si="43"/>
        <v>1w</v>
      </c>
      <c r="V2601" s="207">
        <f>_xll.qlCalendarAdvance(Calendar,V2600,U2601,"f",FALSE)</f>
        <v>57088</v>
      </c>
      <c r="W2601" s="210">
        <f>_xll.qlCalendarAdvance(Calendar,V2601,NDays&amp;"D")</f>
        <v>57088</v>
      </c>
      <c r="X2601" s="211">
        <v>2.2545987595599115E-2</v>
      </c>
      <c r="Y2601" s="232"/>
    </row>
    <row r="2602" spans="21:25" x14ac:dyDescent="0.2">
      <c r="U2602" s="209" t="str">
        <f t="shared" si="43"/>
        <v>1w</v>
      </c>
      <c r="V2602" s="207">
        <f>_xll.qlCalendarAdvance(Calendar,V2601,U2602,"f",FALSE)</f>
        <v>57095</v>
      </c>
      <c r="W2602" s="210">
        <f>_xll.qlCalendarAdvance(Calendar,V2602,NDays&amp;"D")</f>
        <v>57095</v>
      </c>
      <c r="X2602" s="211">
        <v>2.2542896667445689E-2</v>
      </c>
      <c r="Y2602" s="232"/>
    </row>
    <row r="2603" spans="21:25" x14ac:dyDescent="0.2">
      <c r="U2603" s="209" t="str">
        <f t="shared" si="43"/>
        <v>1w</v>
      </c>
      <c r="V2603" s="207">
        <f>_xll.qlCalendarAdvance(Calendar,V2602,U2603,"f",FALSE)</f>
        <v>57102</v>
      </c>
      <c r="W2603" s="210">
        <f>_xll.qlCalendarAdvance(Calendar,V2603,NDays&amp;"D")</f>
        <v>57102</v>
      </c>
      <c r="X2603" s="211">
        <v>2.2539826619469849E-2</v>
      </c>
      <c r="Y2603" s="232"/>
    </row>
    <row r="2604" spans="21:25" x14ac:dyDescent="0.2">
      <c r="U2604" s="209" t="str">
        <f t="shared" si="43"/>
        <v>1w</v>
      </c>
      <c r="V2604" s="207">
        <f>_xll.qlCalendarAdvance(Calendar,V2603,U2604,"f",FALSE)</f>
        <v>57109</v>
      </c>
      <c r="W2604" s="210">
        <f>_xll.qlCalendarAdvance(Calendar,V2604,NDays&amp;"D")</f>
        <v>57109</v>
      </c>
      <c r="X2604" s="211">
        <v>2.2536777451591661E-2</v>
      </c>
      <c r="Y2604" s="232"/>
    </row>
    <row r="2605" spans="21:25" x14ac:dyDescent="0.2">
      <c r="U2605" s="209" t="str">
        <f t="shared" si="43"/>
        <v>1w</v>
      </c>
      <c r="V2605" s="207">
        <f>_xll.qlCalendarAdvance(Calendar,V2604,U2605,"f",FALSE)</f>
        <v>57116</v>
      </c>
      <c r="W2605" s="210">
        <f>_xll.qlCalendarAdvance(Calendar,V2605,NDays&amp;"D")</f>
        <v>57116</v>
      </c>
      <c r="X2605" s="211">
        <v>2.2533749164130867E-2</v>
      </c>
      <c r="Y2605" s="232"/>
    </row>
    <row r="2606" spans="21:25" x14ac:dyDescent="0.2">
      <c r="U2606" s="209" t="str">
        <f t="shared" si="43"/>
        <v>1w</v>
      </c>
      <c r="V2606" s="207">
        <f>_xll.qlCalendarAdvance(Calendar,V2605,U2606,"f",FALSE)</f>
        <v>57123</v>
      </c>
      <c r="W2606" s="210">
        <f>_xll.qlCalendarAdvance(Calendar,V2606,NDays&amp;"D")</f>
        <v>57123</v>
      </c>
      <c r="X2606" s="211">
        <v>2.2530741756767725E-2</v>
      </c>
      <c r="Y2606" s="232"/>
    </row>
    <row r="2607" spans="21:25" x14ac:dyDescent="0.2">
      <c r="U2607" s="209" t="str">
        <f t="shared" si="43"/>
        <v>1w</v>
      </c>
      <c r="V2607" s="207">
        <f>_xll.qlCalendarAdvance(Calendar,V2606,U2607,"f",FALSE)</f>
        <v>57130</v>
      </c>
      <c r="W2607" s="210">
        <f>_xll.qlCalendarAdvance(Calendar,V2607,NDays&amp;"D")</f>
        <v>57130</v>
      </c>
      <c r="X2607" s="211">
        <v>2.2527755229582169E-2</v>
      </c>
      <c r="Y2607" s="232"/>
    </row>
    <row r="2608" spans="21:25" x14ac:dyDescent="0.2">
      <c r="U2608" s="209" t="str">
        <f t="shared" si="43"/>
        <v>1w</v>
      </c>
      <c r="V2608" s="207">
        <f>_xll.qlCalendarAdvance(Calendar,V2607,U2608,"f",FALSE)</f>
        <v>57137</v>
      </c>
      <c r="W2608" s="210">
        <f>_xll.qlCalendarAdvance(Calendar,V2608,NDays&amp;"D")</f>
        <v>57137</v>
      </c>
      <c r="X2608" s="211">
        <v>2.2524789582574201E-2</v>
      </c>
      <c r="Y2608" s="232"/>
    </row>
    <row r="2609" spans="21:25" x14ac:dyDescent="0.2">
      <c r="U2609" s="209" t="str">
        <f t="shared" si="43"/>
        <v>1w</v>
      </c>
      <c r="V2609" s="207">
        <f>_xll.qlCalendarAdvance(Calendar,V2608,U2609,"f",FALSE)</f>
        <v>57144</v>
      </c>
      <c r="W2609" s="210">
        <f>_xll.qlCalendarAdvance(Calendar,V2609,NDays&amp;"D")</f>
        <v>57144</v>
      </c>
      <c r="X2609" s="211">
        <v>2.2521844815903691E-2</v>
      </c>
      <c r="Y2609" s="232"/>
    </row>
    <row r="2610" spans="21:25" x14ac:dyDescent="0.2">
      <c r="U2610" s="209" t="str">
        <f t="shared" si="43"/>
        <v>1w</v>
      </c>
      <c r="V2610" s="207">
        <f>_xll.qlCalendarAdvance(Calendar,V2609,U2610,"f",FALSE)</f>
        <v>57151</v>
      </c>
      <c r="W2610" s="210">
        <f>_xll.qlCalendarAdvance(Calendar,V2610,NDays&amp;"D")</f>
        <v>57151</v>
      </c>
      <c r="X2610" s="211">
        <v>2.2518920929330832E-2</v>
      </c>
      <c r="Y2610" s="232"/>
    </row>
    <row r="2611" spans="21:25" x14ac:dyDescent="0.2">
      <c r="U2611" s="209" t="str">
        <f t="shared" si="43"/>
        <v>1w</v>
      </c>
      <c r="V2611" s="207">
        <f>_xll.qlCalendarAdvance(Calendar,V2610,U2611,"f",FALSE)</f>
        <v>57158</v>
      </c>
      <c r="W2611" s="210">
        <f>_xll.qlCalendarAdvance(Calendar,V2611,NDays&amp;"D")</f>
        <v>57158</v>
      </c>
      <c r="X2611" s="211">
        <v>2.2516017923015497E-2</v>
      </c>
      <c r="Y2611" s="232"/>
    </row>
    <row r="2612" spans="21:25" x14ac:dyDescent="0.2">
      <c r="U2612" s="209" t="str">
        <f t="shared" si="43"/>
        <v>1w</v>
      </c>
      <c r="V2612" s="207">
        <f>_xll.qlCalendarAdvance(Calendar,V2611,U2612,"f",FALSE)</f>
        <v>57165</v>
      </c>
      <c r="W2612" s="210">
        <f>_xll.qlCalendarAdvance(Calendar,V2612,NDays&amp;"D")</f>
        <v>57165</v>
      </c>
      <c r="X2612" s="211">
        <v>2.2513135796797812E-2</v>
      </c>
      <c r="Y2612" s="232"/>
    </row>
    <row r="2613" spans="21:25" x14ac:dyDescent="0.2">
      <c r="U2613" s="209" t="str">
        <f t="shared" si="43"/>
        <v>1w</v>
      </c>
      <c r="V2613" s="207">
        <f>_xll.qlCalendarAdvance(Calendar,V2612,U2613,"f",FALSE)</f>
        <v>57172</v>
      </c>
      <c r="W2613" s="210">
        <f>_xll.qlCalendarAdvance(Calendar,V2613,NDays&amp;"D")</f>
        <v>57172</v>
      </c>
      <c r="X2613" s="211">
        <v>2.2510274550917586E-2</v>
      </c>
      <c r="Y2613" s="232"/>
    </row>
    <row r="2614" spans="21:25" x14ac:dyDescent="0.2">
      <c r="U2614" s="209" t="str">
        <f t="shared" si="43"/>
        <v>1w</v>
      </c>
      <c r="V2614" s="207">
        <f>_xll.qlCalendarAdvance(Calendar,V2613,U2614,"f",FALSE)</f>
        <v>57179</v>
      </c>
      <c r="W2614" s="210">
        <f>_xll.qlCalendarAdvance(Calendar,V2614,NDays&amp;"D")</f>
        <v>57179</v>
      </c>
      <c r="X2614" s="211">
        <v>2.2507434185135011E-2</v>
      </c>
      <c r="Y2614" s="232"/>
    </row>
    <row r="2615" spans="21:25" x14ac:dyDescent="0.2">
      <c r="U2615" s="209" t="str">
        <f t="shared" si="43"/>
        <v>1w</v>
      </c>
      <c r="V2615" s="207">
        <f>_xll.qlCalendarAdvance(Calendar,V2614,U2615,"f",FALSE)</f>
        <v>57186</v>
      </c>
      <c r="W2615" s="210">
        <f>_xll.qlCalendarAdvance(Calendar,V2615,NDays&amp;"D")</f>
        <v>57186</v>
      </c>
      <c r="X2615" s="211">
        <v>2.2504614699530023E-2</v>
      </c>
      <c r="Y2615" s="232"/>
    </row>
    <row r="2616" spans="21:25" x14ac:dyDescent="0.2">
      <c r="U2616" s="209" t="str">
        <f t="shared" si="43"/>
        <v>1w</v>
      </c>
      <c r="V2616" s="207">
        <f>_xll.qlCalendarAdvance(Calendar,V2615,U2616,"f",FALSE)</f>
        <v>57193</v>
      </c>
      <c r="W2616" s="210">
        <f>_xll.qlCalendarAdvance(Calendar,V2616,NDays&amp;"D")</f>
        <v>57193</v>
      </c>
      <c r="X2616" s="211">
        <v>2.2501816094182558E-2</v>
      </c>
      <c r="Y2616" s="232"/>
    </row>
    <row r="2617" spans="21:25" x14ac:dyDescent="0.2">
      <c r="U2617" s="209" t="str">
        <f t="shared" si="43"/>
        <v>1w</v>
      </c>
      <c r="V2617" s="207">
        <f>_xll.qlCalendarAdvance(Calendar,V2616,U2617,"f",FALSE)</f>
        <v>57200</v>
      </c>
      <c r="W2617" s="210">
        <f>_xll.qlCalendarAdvance(Calendar,V2617,NDays&amp;"D")</f>
        <v>57200</v>
      </c>
      <c r="X2617" s="211">
        <v>2.2499038369092617E-2</v>
      </c>
      <c r="Y2617" s="232"/>
    </row>
    <row r="2618" spans="21:25" x14ac:dyDescent="0.2">
      <c r="U2618" s="209" t="str">
        <f t="shared" si="43"/>
        <v>1w</v>
      </c>
      <c r="V2618" s="207">
        <f>_xll.qlCalendarAdvance(Calendar,V2617,U2618,"f",FALSE)</f>
        <v>57207</v>
      </c>
      <c r="W2618" s="210">
        <f>_xll.qlCalendarAdvance(Calendar,V2618,NDays&amp;"D")</f>
        <v>57207</v>
      </c>
      <c r="X2618" s="211">
        <v>2.2496281524100326E-2</v>
      </c>
      <c r="Y2618" s="232"/>
    </row>
    <row r="2619" spans="21:25" x14ac:dyDescent="0.2">
      <c r="U2619" s="209" t="str">
        <f t="shared" si="43"/>
        <v>1w</v>
      </c>
      <c r="V2619" s="207">
        <f>_xll.qlCalendarAdvance(Calendar,V2618,U2619,"f",FALSE)</f>
        <v>57214</v>
      </c>
      <c r="W2619" s="210">
        <f>_xll.qlCalendarAdvance(Calendar,V2619,NDays&amp;"D")</f>
        <v>57214</v>
      </c>
      <c r="X2619" s="211">
        <v>2.2493545559205685E-2</v>
      </c>
      <c r="Y2619" s="232"/>
    </row>
    <row r="2620" spans="21:25" x14ac:dyDescent="0.2">
      <c r="U2620" s="209" t="str">
        <f t="shared" si="43"/>
        <v>1w</v>
      </c>
      <c r="V2620" s="207">
        <f>_xll.qlCalendarAdvance(Calendar,V2619,U2620,"f",FALSE)</f>
        <v>57221</v>
      </c>
      <c r="W2620" s="210">
        <f>_xll.qlCalendarAdvance(Calendar,V2620,NDays&amp;"D")</f>
        <v>57221</v>
      </c>
      <c r="X2620" s="211">
        <v>2.249083047472844E-2</v>
      </c>
      <c r="Y2620" s="232"/>
    </row>
    <row r="2621" spans="21:25" x14ac:dyDescent="0.2">
      <c r="U2621" s="209" t="str">
        <f t="shared" si="43"/>
        <v>1w</v>
      </c>
      <c r="V2621" s="207">
        <f>_xll.qlCalendarAdvance(Calendar,V2620,U2621,"f",FALSE)</f>
        <v>57228</v>
      </c>
      <c r="W2621" s="210">
        <f>_xll.qlCalendarAdvance(Calendar,V2621,NDays&amp;"D")</f>
        <v>57228</v>
      </c>
      <c r="X2621" s="211">
        <v>2.2488136270348846E-2</v>
      </c>
      <c r="Y2621" s="232"/>
    </row>
    <row r="2622" spans="21:25" x14ac:dyDescent="0.2">
      <c r="U2622" s="209" t="str">
        <f t="shared" si="43"/>
        <v>1w</v>
      </c>
      <c r="V2622" s="207">
        <f>_xll.qlCalendarAdvance(Calendar,V2621,U2622,"f",FALSE)</f>
        <v>57235</v>
      </c>
      <c r="W2622" s="210">
        <f>_xll.qlCalendarAdvance(Calendar,V2622,NDays&amp;"D")</f>
        <v>57235</v>
      </c>
      <c r="X2622" s="211">
        <v>2.2485462946226775E-2</v>
      </c>
      <c r="Y2622" s="232"/>
    </row>
    <row r="2623" spans="21:25" x14ac:dyDescent="0.2">
      <c r="U2623" s="209" t="str">
        <f t="shared" si="43"/>
        <v>1w</v>
      </c>
      <c r="V2623" s="207">
        <f>_xll.qlCalendarAdvance(Calendar,V2622,U2623,"f",FALSE)</f>
        <v>57242</v>
      </c>
      <c r="W2623" s="210">
        <f>_xll.qlCalendarAdvance(Calendar,V2623,NDays&amp;"D")</f>
        <v>57242</v>
      </c>
      <c r="X2623" s="211">
        <v>2.2482810502202355E-2</v>
      </c>
      <c r="Y2623" s="232"/>
    </row>
    <row r="2624" spans="21:25" x14ac:dyDescent="0.2">
      <c r="U2624" s="209" t="str">
        <f t="shared" si="43"/>
        <v>1w</v>
      </c>
      <c r="V2624" s="207">
        <f>_xll.qlCalendarAdvance(Calendar,V2623,U2624,"f",FALSE)</f>
        <v>57249</v>
      </c>
      <c r="W2624" s="210">
        <f>_xll.qlCalendarAdvance(Calendar,V2624,NDays&amp;"D")</f>
        <v>57249</v>
      </c>
      <c r="X2624" s="211">
        <v>2.2480178938355522E-2</v>
      </c>
      <c r="Y2624" s="232"/>
    </row>
    <row r="2625" spans="21:25" x14ac:dyDescent="0.2">
      <c r="U2625" s="209" t="str">
        <f t="shared" si="43"/>
        <v>1w</v>
      </c>
      <c r="V2625" s="207">
        <f>_xll.qlCalendarAdvance(Calendar,V2624,U2625,"f",FALSE)</f>
        <v>57256</v>
      </c>
      <c r="W2625" s="210">
        <f>_xll.qlCalendarAdvance(Calendar,V2625,NDays&amp;"D")</f>
        <v>57256</v>
      </c>
      <c r="X2625" s="211">
        <v>2.2477568254846148E-2</v>
      </c>
      <c r="Y2625" s="232"/>
    </row>
    <row r="2626" spans="21:25" x14ac:dyDescent="0.2">
      <c r="U2626" s="209" t="str">
        <f t="shared" si="43"/>
        <v>1w</v>
      </c>
      <c r="V2626" s="207">
        <f>_xll.qlCalendarAdvance(Calendar,V2625,U2626,"f",FALSE)</f>
        <v>57263</v>
      </c>
      <c r="W2626" s="210">
        <f>_xll.qlCalendarAdvance(Calendar,V2626,NDays&amp;"D")</f>
        <v>57263</v>
      </c>
      <c r="X2626" s="211">
        <v>2.2474978451354488E-2</v>
      </c>
      <c r="Y2626" s="232"/>
    </row>
    <row r="2627" spans="21:25" x14ac:dyDescent="0.2">
      <c r="U2627" s="209" t="str">
        <f t="shared" si="43"/>
        <v>1w</v>
      </c>
      <c r="V2627" s="207">
        <f>_xll.qlCalendarAdvance(Calendar,V2626,U2627,"f",FALSE)</f>
        <v>57270</v>
      </c>
      <c r="W2627" s="210">
        <f>_xll.qlCalendarAdvance(Calendar,V2627,NDays&amp;"D")</f>
        <v>57270</v>
      </c>
      <c r="X2627" s="211">
        <v>2.2472409528120352E-2</v>
      </c>
      <c r="Y2627" s="232"/>
    </row>
    <row r="2628" spans="21:25" x14ac:dyDescent="0.2">
      <c r="U2628" s="209" t="str">
        <f t="shared" si="43"/>
        <v>1w</v>
      </c>
      <c r="V2628" s="207">
        <f>_xll.qlCalendarAdvance(Calendar,V2627,U2628,"f",FALSE)</f>
        <v>57277</v>
      </c>
      <c r="W2628" s="210">
        <f>_xll.qlCalendarAdvance(Calendar,V2628,NDays&amp;"D")</f>
        <v>57277</v>
      </c>
      <c r="X2628" s="211">
        <v>2.2469861485223674E-2</v>
      </c>
      <c r="Y2628" s="232"/>
    </row>
    <row r="2629" spans="21:25" x14ac:dyDescent="0.2">
      <c r="U2629" s="209" t="str">
        <f t="shared" si="43"/>
        <v>1w</v>
      </c>
      <c r="V2629" s="207">
        <f>_xll.qlCalendarAdvance(Calendar,V2628,U2629,"f",FALSE)</f>
        <v>57284</v>
      </c>
      <c r="W2629" s="210">
        <f>_xll.qlCalendarAdvance(Calendar,V2629,NDays&amp;"D")</f>
        <v>57284</v>
      </c>
      <c r="X2629" s="211">
        <v>2.2467334322344712E-2</v>
      </c>
      <c r="Y2629" s="232"/>
    </row>
    <row r="2630" spans="21:25" x14ac:dyDescent="0.2">
      <c r="U2630" s="209" t="str">
        <f t="shared" si="43"/>
        <v>1w</v>
      </c>
      <c r="V2630" s="207">
        <f>_xll.qlCalendarAdvance(Calendar,V2629,U2630,"f",FALSE)</f>
        <v>57291</v>
      </c>
      <c r="W2630" s="210">
        <f>_xll.qlCalendarAdvance(Calendar,V2630,NDays&amp;"D")</f>
        <v>57291</v>
      </c>
      <c r="X2630" s="211">
        <v>2.2464828039643336E-2</v>
      </c>
      <c r="Y2630" s="232"/>
    </row>
    <row r="2631" spans="21:25" x14ac:dyDescent="0.2">
      <c r="U2631" s="209" t="str">
        <f t="shared" si="43"/>
        <v>1w</v>
      </c>
      <c r="V2631" s="207">
        <f>_xll.qlCalendarAdvance(Calendar,V2630,U2631,"f",FALSE)</f>
        <v>57298</v>
      </c>
      <c r="W2631" s="210">
        <f>_xll.qlCalendarAdvance(Calendar,V2631,NDays&amp;"D")</f>
        <v>57298</v>
      </c>
      <c r="X2631" s="211">
        <v>2.2462342637199484E-2</v>
      </c>
      <c r="Y2631" s="232"/>
    </row>
    <row r="2632" spans="21:25" x14ac:dyDescent="0.2">
      <c r="U2632" s="209" t="str">
        <f t="shared" si="43"/>
        <v>1w</v>
      </c>
      <c r="V2632" s="207">
        <f>_xll.qlCalendarAdvance(Calendar,V2631,U2632,"f",FALSE)</f>
        <v>57305</v>
      </c>
      <c r="W2632" s="210">
        <f>_xll.qlCalendarAdvance(Calendar,V2632,NDays&amp;"D")</f>
        <v>57305</v>
      </c>
      <c r="X2632" s="211">
        <v>2.2459878115013154E-2</v>
      </c>
      <c r="Y2632" s="232"/>
    </row>
    <row r="2633" spans="21:25" x14ac:dyDescent="0.2">
      <c r="U2633" s="209" t="str">
        <f t="shared" si="43"/>
        <v>1w</v>
      </c>
      <c r="V2633" s="207">
        <f>_xll.qlCalendarAdvance(Calendar,V2632,U2633,"f",FALSE)</f>
        <v>57312</v>
      </c>
      <c r="W2633" s="210">
        <f>_xll.qlCalendarAdvance(Calendar,V2633,NDays&amp;"D")</f>
        <v>57312</v>
      </c>
      <c r="X2633" s="211">
        <v>2.2457434472924476E-2</v>
      </c>
      <c r="Y2633" s="232"/>
    </row>
    <row r="2634" spans="21:25" x14ac:dyDescent="0.2">
      <c r="U2634" s="209" t="str">
        <f t="shared" si="43"/>
        <v>1w</v>
      </c>
      <c r="V2634" s="207">
        <f>_xll.qlCalendarAdvance(Calendar,V2633,U2634,"f",FALSE)</f>
        <v>57319</v>
      </c>
      <c r="W2634" s="210">
        <f>_xll.qlCalendarAdvance(Calendar,V2634,NDays&amp;"D")</f>
        <v>57319</v>
      </c>
      <c r="X2634" s="211">
        <v>2.2455011711013384E-2</v>
      </c>
      <c r="Y2634" s="232"/>
    </row>
    <row r="2635" spans="21:25" x14ac:dyDescent="0.2">
      <c r="U2635" s="209" t="str">
        <f t="shared" si="43"/>
        <v>1w</v>
      </c>
      <c r="V2635" s="207">
        <f>_xll.qlCalendarAdvance(Calendar,V2634,U2635,"f",FALSE)</f>
        <v>57326</v>
      </c>
      <c r="W2635" s="210">
        <f>_xll.qlCalendarAdvance(Calendar,V2635,NDays&amp;"D")</f>
        <v>57326</v>
      </c>
      <c r="X2635" s="211">
        <v>2.2452609829359815E-2</v>
      </c>
      <c r="Y2635" s="232"/>
    </row>
    <row r="2636" spans="21:25" x14ac:dyDescent="0.2">
      <c r="U2636" s="209" t="str">
        <f t="shared" si="43"/>
        <v>1w</v>
      </c>
      <c r="V2636" s="207">
        <f>_xll.qlCalendarAdvance(Calendar,V2635,U2636,"f",FALSE)</f>
        <v>57333</v>
      </c>
      <c r="W2636" s="210">
        <f>_xll.qlCalendarAdvance(Calendar,V2636,NDays&amp;"D")</f>
        <v>57333</v>
      </c>
      <c r="X2636" s="211">
        <v>2.2450228827883834E-2</v>
      </c>
      <c r="Y2636" s="232"/>
    </row>
    <row r="2637" spans="21:25" x14ac:dyDescent="0.2">
      <c r="U2637" s="209" t="str">
        <f t="shared" ref="U2637:U2700" si="44">U2636</f>
        <v>1w</v>
      </c>
      <c r="V2637" s="207">
        <f>_xll.qlCalendarAdvance(Calendar,V2636,U2637,"f",FALSE)</f>
        <v>57341</v>
      </c>
      <c r="W2637" s="210">
        <f>_xll.qlCalendarAdvance(Calendar,V2637,NDays&amp;"D")</f>
        <v>57341</v>
      </c>
      <c r="X2637" s="211">
        <v>2.2447533250922191E-2</v>
      </c>
      <c r="Y2637" s="232"/>
    </row>
    <row r="2638" spans="21:25" x14ac:dyDescent="0.2">
      <c r="U2638" s="209" t="str">
        <f t="shared" si="44"/>
        <v>1w</v>
      </c>
      <c r="V2638" s="207">
        <f>_xll.qlCalendarAdvance(Calendar,V2637,U2638,"f",FALSE)</f>
        <v>57348</v>
      </c>
      <c r="W2638" s="210">
        <f>_xll.qlCalendarAdvance(Calendar,V2638,NDays&amp;"D")</f>
        <v>57348</v>
      </c>
      <c r="X2638" s="211">
        <v>2.2445196992535443E-2</v>
      </c>
      <c r="Y2638" s="232"/>
    </row>
    <row r="2639" spans="21:25" x14ac:dyDescent="0.2">
      <c r="U2639" s="209" t="str">
        <f t="shared" si="44"/>
        <v>1w</v>
      </c>
      <c r="V2639" s="207">
        <f>_xll.qlCalendarAdvance(Calendar,V2638,U2639,"f",FALSE)</f>
        <v>57355</v>
      </c>
      <c r="W2639" s="210">
        <f>_xll.qlCalendarAdvance(Calendar,V2639,NDays&amp;"D")</f>
        <v>57355</v>
      </c>
      <c r="X2639" s="211">
        <v>2.244288161456609E-2</v>
      </c>
      <c r="Y2639" s="232"/>
    </row>
    <row r="2640" spans="21:25" x14ac:dyDescent="0.2">
      <c r="U2640" s="209" t="str">
        <f t="shared" si="44"/>
        <v>1w</v>
      </c>
      <c r="V2640" s="207">
        <f>_xll.qlCalendarAdvance(Calendar,V2639,U2640,"f",FALSE)</f>
        <v>57362</v>
      </c>
      <c r="W2640" s="210">
        <f>_xll.qlCalendarAdvance(Calendar,V2640,NDays&amp;"D")</f>
        <v>57362</v>
      </c>
      <c r="X2640" s="211">
        <v>2.2440587116774324E-2</v>
      </c>
      <c r="Y2640" s="232"/>
    </row>
    <row r="2641" spans="21:25" x14ac:dyDescent="0.2">
      <c r="U2641" s="209" t="str">
        <f t="shared" si="44"/>
        <v>1w</v>
      </c>
      <c r="V2641" s="207">
        <f>_xll.qlCalendarAdvance(Calendar,V2640,U2641,"f",FALSE)</f>
        <v>57369</v>
      </c>
      <c r="W2641" s="210">
        <f>_xll.qlCalendarAdvance(Calendar,V2641,NDays&amp;"D")</f>
        <v>57369</v>
      </c>
      <c r="X2641" s="211">
        <v>2.2438313499080209E-2</v>
      </c>
      <c r="Y2641" s="232"/>
    </row>
    <row r="2642" spans="21:25" x14ac:dyDescent="0.2">
      <c r="U2642" s="209" t="str">
        <f t="shared" si="44"/>
        <v>1w</v>
      </c>
      <c r="V2642" s="207">
        <f>_xll.qlCalendarAdvance(Calendar,V2641,U2642,"f",FALSE)</f>
        <v>57376</v>
      </c>
      <c r="W2642" s="210">
        <f>_xll.qlCalendarAdvance(Calendar,V2642,NDays&amp;"D")</f>
        <v>57376</v>
      </c>
      <c r="X2642" s="211">
        <v>2.2436060761563681E-2</v>
      </c>
      <c r="Y2642" s="232"/>
    </row>
    <row r="2643" spans="21:25" x14ac:dyDescent="0.2">
      <c r="U2643" s="209" t="str">
        <f t="shared" si="44"/>
        <v>1w</v>
      </c>
      <c r="V2643" s="207">
        <f>_xll.qlCalendarAdvance(Calendar,V2642,U2643,"f",FALSE)</f>
        <v>57383</v>
      </c>
      <c r="W2643" s="210">
        <f>_xll.qlCalendarAdvance(Calendar,V2643,NDays&amp;"D")</f>
        <v>57383</v>
      </c>
      <c r="X2643" s="211">
        <v>2.2433828904304676E-2</v>
      </c>
      <c r="Y2643" s="232"/>
    </row>
    <row r="2644" spans="21:25" x14ac:dyDescent="0.2">
      <c r="U2644" s="209" t="str">
        <f t="shared" si="44"/>
        <v>1w</v>
      </c>
      <c r="V2644" s="207">
        <f>_xll.qlCalendarAdvance(Calendar,V2643,U2644,"f",FALSE)</f>
        <v>57390</v>
      </c>
      <c r="W2644" s="210">
        <f>_xll.qlCalendarAdvance(Calendar,V2644,NDays&amp;"D")</f>
        <v>57390</v>
      </c>
      <c r="X2644" s="211">
        <v>2.2431617927223257E-2</v>
      </c>
      <c r="Y2644" s="232"/>
    </row>
    <row r="2645" spans="21:25" x14ac:dyDescent="0.2">
      <c r="U2645" s="209" t="str">
        <f t="shared" si="44"/>
        <v>1w</v>
      </c>
      <c r="V2645" s="207">
        <f>_xll.qlCalendarAdvance(Calendar,V2644,U2645,"f",FALSE)</f>
        <v>57397</v>
      </c>
      <c r="W2645" s="210">
        <f>_xll.qlCalendarAdvance(Calendar,V2645,NDays&amp;"D")</f>
        <v>57397</v>
      </c>
      <c r="X2645" s="211">
        <v>2.242942783023949E-2</v>
      </c>
      <c r="Y2645" s="232"/>
    </row>
    <row r="2646" spans="21:25" x14ac:dyDescent="0.2">
      <c r="U2646" s="209" t="str">
        <f t="shared" si="44"/>
        <v>1w</v>
      </c>
      <c r="V2646" s="207">
        <f>_xll.qlCalendarAdvance(Calendar,V2645,U2646,"f",FALSE)</f>
        <v>57404</v>
      </c>
      <c r="W2646" s="210">
        <f>_xll.qlCalendarAdvance(Calendar,V2646,NDays&amp;"D")</f>
        <v>57404</v>
      </c>
      <c r="X2646" s="211">
        <v>2.242725861343331E-2</v>
      </c>
      <c r="Y2646" s="232"/>
    </row>
    <row r="2647" spans="21:25" x14ac:dyDescent="0.2">
      <c r="U2647" s="209" t="str">
        <f t="shared" si="44"/>
        <v>1w</v>
      </c>
      <c r="V2647" s="207">
        <f>_xll.qlCalendarAdvance(Calendar,V2646,U2647,"f",FALSE)</f>
        <v>57411</v>
      </c>
      <c r="W2647" s="210">
        <f>_xll.qlCalendarAdvance(Calendar,V2647,NDays&amp;"D")</f>
        <v>57411</v>
      </c>
      <c r="X2647" s="211">
        <v>2.2425110276964588E-2</v>
      </c>
      <c r="Y2647" s="232"/>
    </row>
    <row r="2648" spans="21:25" x14ac:dyDescent="0.2">
      <c r="U2648" s="209" t="str">
        <f t="shared" si="44"/>
        <v>1w</v>
      </c>
      <c r="V2648" s="207">
        <f>_xll.qlCalendarAdvance(Calendar,V2647,U2648,"f",FALSE)</f>
        <v>57418</v>
      </c>
      <c r="W2648" s="210">
        <f>_xll.qlCalendarAdvance(Calendar,V2648,NDays&amp;"D")</f>
        <v>57418</v>
      </c>
      <c r="X2648" s="211">
        <v>2.2422982820513582E-2</v>
      </c>
      <c r="Y2648" s="232"/>
    </row>
    <row r="2649" spans="21:25" x14ac:dyDescent="0.2">
      <c r="U2649" s="209" t="str">
        <f t="shared" si="44"/>
        <v>1w</v>
      </c>
      <c r="V2649" s="207">
        <f>_xll.qlCalendarAdvance(Calendar,V2648,U2649,"f",FALSE)</f>
        <v>57425</v>
      </c>
      <c r="W2649" s="210">
        <f>_xll.qlCalendarAdvance(Calendar,V2649,NDays&amp;"D")</f>
        <v>57425</v>
      </c>
      <c r="X2649" s="211">
        <v>2.2420876244320098E-2</v>
      </c>
      <c r="Y2649" s="232"/>
    </row>
    <row r="2650" spans="21:25" x14ac:dyDescent="0.2">
      <c r="U2650" s="209" t="str">
        <f t="shared" si="44"/>
        <v>1w</v>
      </c>
      <c r="V2650" s="207">
        <f>_xll.qlCalendarAdvance(Calendar,V2649,U2650,"f",FALSE)</f>
        <v>57432</v>
      </c>
      <c r="W2650" s="210">
        <f>_xll.qlCalendarAdvance(Calendar,V2650,NDays&amp;"D")</f>
        <v>57432</v>
      </c>
      <c r="X2650" s="211">
        <v>2.2418790548384138E-2</v>
      </c>
      <c r="Y2650" s="232"/>
    </row>
    <row r="2651" spans="21:25" x14ac:dyDescent="0.2">
      <c r="U2651" s="209" t="str">
        <f t="shared" si="44"/>
        <v>1w</v>
      </c>
      <c r="V2651" s="207">
        <f>_xll.qlCalendarAdvance(Calendar,V2650,U2651,"f",FALSE)</f>
        <v>57439</v>
      </c>
      <c r="W2651" s="210">
        <f>_xll.qlCalendarAdvance(Calendar,V2651,NDays&amp;"D")</f>
        <v>57439</v>
      </c>
      <c r="X2651" s="211">
        <v>2.2416725732545828E-2</v>
      </c>
      <c r="Y2651" s="232"/>
    </row>
    <row r="2652" spans="21:25" x14ac:dyDescent="0.2">
      <c r="U2652" s="209" t="str">
        <f t="shared" si="44"/>
        <v>1w</v>
      </c>
      <c r="V2652" s="207">
        <f>_xll.qlCalendarAdvance(Calendar,V2651,U2652,"f",FALSE)</f>
        <v>57446</v>
      </c>
      <c r="W2652" s="210">
        <f>_xll.qlCalendarAdvance(Calendar,V2652,NDays&amp;"D")</f>
        <v>57446</v>
      </c>
      <c r="X2652" s="211">
        <v>2.2414681796965041E-2</v>
      </c>
      <c r="Y2652" s="232"/>
    </row>
    <row r="2653" spans="21:25" x14ac:dyDescent="0.2">
      <c r="U2653" s="209" t="str">
        <f t="shared" si="44"/>
        <v>1w</v>
      </c>
      <c r="V2653" s="207">
        <f>_xll.qlCalendarAdvance(Calendar,V2652,U2653,"f",FALSE)</f>
        <v>57453</v>
      </c>
      <c r="W2653" s="210">
        <f>_xll.qlCalendarAdvance(Calendar,V2653,NDays&amp;"D")</f>
        <v>57453</v>
      </c>
      <c r="X2653" s="211">
        <v>2.241265874140197E-2</v>
      </c>
      <c r="Y2653" s="232"/>
    </row>
    <row r="2654" spans="21:25" x14ac:dyDescent="0.2">
      <c r="U2654" s="209" t="str">
        <f t="shared" si="44"/>
        <v>1w</v>
      </c>
      <c r="V2654" s="207">
        <f>_xll.qlCalendarAdvance(Calendar,V2653,U2654,"f",FALSE)</f>
        <v>57460</v>
      </c>
      <c r="W2654" s="210">
        <f>_xll.qlCalendarAdvance(Calendar,V2654,NDays&amp;"D")</f>
        <v>57460</v>
      </c>
      <c r="X2654" s="211">
        <v>2.2410656566096421E-2</v>
      </c>
      <c r="Y2654" s="232"/>
    </row>
    <row r="2655" spans="21:25" x14ac:dyDescent="0.2">
      <c r="U2655" s="209" t="str">
        <f t="shared" si="44"/>
        <v>1w</v>
      </c>
      <c r="V2655" s="207">
        <f>_xll.qlCalendarAdvance(Calendar,V2654,U2655,"f",FALSE)</f>
        <v>57467</v>
      </c>
      <c r="W2655" s="210">
        <f>_xll.qlCalendarAdvance(Calendar,V2655,NDays&amp;"D")</f>
        <v>57467</v>
      </c>
      <c r="X2655" s="211">
        <v>2.2408675271048395E-2</v>
      </c>
      <c r="Y2655" s="232"/>
    </row>
    <row r="2656" spans="21:25" x14ac:dyDescent="0.2">
      <c r="U2656" s="209" t="str">
        <f t="shared" si="44"/>
        <v>1w</v>
      </c>
      <c r="V2656" s="207">
        <f>_xll.qlCalendarAdvance(Calendar,V2655,U2656,"f",FALSE)</f>
        <v>57474</v>
      </c>
      <c r="W2656" s="210">
        <f>_xll.qlCalendarAdvance(Calendar,V2656,NDays&amp;"D")</f>
        <v>57474</v>
      </c>
      <c r="X2656" s="211">
        <v>2.240671485609802E-2</v>
      </c>
      <c r="Y2656" s="232"/>
    </row>
    <row r="2657" spans="21:25" x14ac:dyDescent="0.2">
      <c r="U2657" s="209" t="str">
        <f t="shared" si="44"/>
        <v>1w</v>
      </c>
      <c r="V2657" s="207">
        <f>_xll.qlCalendarAdvance(Calendar,V2656,U2657,"f",FALSE)</f>
        <v>57481</v>
      </c>
      <c r="W2657" s="210">
        <f>_xll.qlCalendarAdvance(Calendar,V2657,NDays&amp;"D")</f>
        <v>57481</v>
      </c>
      <c r="X2657" s="211">
        <v>2.2404775321325232E-2</v>
      </c>
      <c r="Y2657" s="232"/>
    </row>
    <row r="2658" spans="21:25" x14ac:dyDescent="0.2">
      <c r="U2658" s="209" t="str">
        <f t="shared" si="44"/>
        <v>1w</v>
      </c>
      <c r="V2658" s="207">
        <f>_xll.qlCalendarAdvance(Calendar,V2657,U2658,"f",FALSE)</f>
        <v>57488</v>
      </c>
      <c r="W2658" s="210">
        <f>_xll.qlCalendarAdvance(Calendar,V2658,NDays&amp;"D")</f>
        <v>57488</v>
      </c>
      <c r="X2658" s="211">
        <v>2.2402856666889903E-2</v>
      </c>
      <c r="Y2658" s="232"/>
    </row>
    <row r="2659" spans="21:25" x14ac:dyDescent="0.2">
      <c r="U2659" s="209" t="str">
        <f t="shared" si="44"/>
        <v>1w</v>
      </c>
      <c r="V2659" s="207">
        <f>_xll.qlCalendarAdvance(Calendar,V2658,U2659,"f",FALSE)</f>
        <v>57495</v>
      </c>
      <c r="W2659" s="210">
        <f>_xll.qlCalendarAdvance(Calendar,V2659,NDays&amp;"D")</f>
        <v>57495</v>
      </c>
      <c r="X2659" s="211">
        <v>2.2400958892552225E-2</v>
      </c>
      <c r="Y2659" s="232"/>
    </row>
    <row r="2660" spans="21:25" x14ac:dyDescent="0.2">
      <c r="U2660" s="209" t="str">
        <f t="shared" si="44"/>
        <v>1w</v>
      </c>
      <c r="V2660" s="207">
        <f>_xll.qlCalendarAdvance(Calendar,V2659,U2660,"f",FALSE)</f>
        <v>57502</v>
      </c>
      <c r="W2660" s="210">
        <f>_xll.qlCalendarAdvance(Calendar,V2660,NDays&amp;"D")</f>
        <v>57502</v>
      </c>
      <c r="X2660" s="211">
        <v>2.2399081998232262E-2</v>
      </c>
      <c r="Y2660" s="232"/>
    </row>
    <row r="2661" spans="21:25" x14ac:dyDescent="0.2">
      <c r="U2661" s="209" t="str">
        <f t="shared" si="44"/>
        <v>1w</v>
      </c>
      <c r="V2661" s="207">
        <f>_xll.qlCalendarAdvance(Calendar,V2660,U2661,"f",FALSE)</f>
        <v>57509</v>
      </c>
      <c r="W2661" s="210">
        <f>_xll.qlCalendarAdvance(Calendar,V2661,NDays&amp;"D")</f>
        <v>57509</v>
      </c>
      <c r="X2661" s="211">
        <v>2.2397225984169822E-2</v>
      </c>
      <c r="Y2661" s="232"/>
    </row>
    <row r="2662" spans="21:25" x14ac:dyDescent="0.2">
      <c r="U2662" s="209" t="str">
        <f t="shared" si="44"/>
        <v>1w</v>
      </c>
      <c r="V2662" s="207">
        <f>_xll.qlCalendarAdvance(Calendar,V2661,U2662,"f",FALSE)</f>
        <v>57516</v>
      </c>
      <c r="W2662" s="210">
        <f>_xll.qlCalendarAdvance(Calendar,V2662,NDays&amp;"D")</f>
        <v>57516</v>
      </c>
      <c r="X2662" s="211">
        <v>2.2395390850444841E-2</v>
      </c>
      <c r="Y2662" s="232"/>
    </row>
    <row r="2663" spans="21:25" x14ac:dyDescent="0.2">
      <c r="U2663" s="209" t="str">
        <f t="shared" si="44"/>
        <v>1w</v>
      </c>
      <c r="V2663" s="207">
        <f>_xll.qlCalendarAdvance(Calendar,V2662,U2663,"f",FALSE)</f>
        <v>57523</v>
      </c>
      <c r="W2663" s="210">
        <f>_xll.qlCalendarAdvance(Calendar,V2663,NDays&amp;"D")</f>
        <v>57523</v>
      </c>
      <c r="X2663" s="211">
        <v>2.239357659681751E-2</v>
      </c>
      <c r="Y2663" s="232"/>
    </row>
    <row r="2664" spans="21:25" x14ac:dyDescent="0.2">
      <c r="U2664" s="209" t="str">
        <f t="shared" si="44"/>
        <v>1w</v>
      </c>
      <c r="V2664" s="207">
        <f>_xll.qlCalendarAdvance(Calendar,V2663,U2664,"f",FALSE)</f>
        <v>57530</v>
      </c>
      <c r="W2664" s="210">
        <f>_xll.qlCalendarAdvance(Calendar,V2664,NDays&amp;"D")</f>
        <v>57530</v>
      </c>
      <c r="X2664" s="211">
        <v>2.2391783223287831E-2</v>
      </c>
      <c r="Y2664" s="232"/>
    </row>
    <row r="2665" spans="21:25" x14ac:dyDescent="0.2">
      <c r="U2665" s="209" t="str">
        <f t="shared" si="44"/>
        <v>1w</v>
      </c>
      <c r="V2665" s="207">
        <f>_xll.qlCalendarAdvance(Calendar,V2664,U2665,"f",FALSE)</f>
        <v>57537</v>
      </c>
      <c r="W2665" s="210">
        <f>_xll.qlCalendarAdvance(Calendar,V2665,NDays&amp;"D")</f>
        <v>57537</v>
      </c>
      <c r="X2665" s="211">
        <v>2.2390010730015675E-2</v>
      </c>
      <c r="Y2665" s="232"/>
    </row>
    <row r="2666" spans="21:25" x14ac:dyDescent="0.2">
      <c r="U2666" s="209" t="str">
        <f t="shared" si="44"/>
        <v>1w</v>
      </c>
      <c r="V2666" s="207">
        <f>_xll.qlCalendarAdvance(Calendar,V2665,U2666,"f",FALSE)</f>
        <v>57544</v>
      </c>
      <c r="W2666" s="210">
        <f>_xll.qlCalendarAdvance(Calendar,V2666,NDays&amp;"D")</f>
        <v>57544</v>
      </c>
      <c r="X2666" s="211">
        <v>2.2388259116921105E-2</v>
      </c>
      <c r="Y2666" s="232"/>
    </row>
    <row r="2667" spans="21:25" x14ac:dyDescent="0.2">
      <c r="U2667" s="209" t="str">
        <f t="shared" si="44"/>
        <v>1w</v>
      </c>
      <c r="V2667" s="207">
        <f>_xll.qlCalendarAdvance(Calendar,V2666,U2667,"f",FALSE)</f>
        <v>57551</v>
      </c>
      <c r="W2667" s="210">
        <f>_xll.qlCalendarAdvance(Calendar,V2667,NDays&amp;"D")</f>
        <v>57551</v>
      </c>
      <c r="X2667" s="211">
        <v>2.2386528383924187E-2</v>
      </c>
      <c r="Y2667" s="232"/>
    </row>
    <row r="2668" spans="21:25" x14ac:dyDescent="0.2">
      <c r="U2668" s="209" t="str">
        <f t="shared" si="44"/>
        <v>1w</v>
      </c>
      <c r="V2668" s="207">
        <f>_xll.qlCalendarAdvance(Calendar,V2667,U2668,"f",FALSE)</f>
        <v>57558</v>
      </c>
      <c r="W2668" s="210">
        <f>_xll.qlCalendarAdvance(Calendar,V2668,NDays&amp;"D")</f>
        <v>57558</v>
      </c>
      <c r="X2668" s="211">
        <v>2.2384818531104855E-2</v>
      </c>
      <c r="Y2668" s="232"/>
    </row>
    <row r="2669" spans="21:25" x14ac:dyDescent="0.2">
      <c r="U2669" s="209" t="str">
        <f t="shared" si="44"/>
        <v>1w</v>
      </c>
      <c r="V2669" s="207">
        <f>_xll.qlCalendarAdvance(Calendar,V2668,U2669,"f",FALSE)</f>
        <v>57565</v>
      </c>
      <c r="W2669" s="210">
        <f>_xll.qlCalendarAdvance(Calendar,V2669,NDays&amp;"D")</f>
        <v>57565</v>
      </c>
      <c r="X2669" s="211">
        <v>2.2383129558543047E-2</v>
      </c>
      <c r="Y2669" s="232"/>
    </row>
    <row r="2670" spans="21:25" x14ac:dyDescent="0.2">
      <c r="U2670" s="209" t="str">
        <f t="shared" si="44"/>
        <v>1w</v>
      </c>
      <c r="V2670" s="207">
        <f>_xll.qlCalendarAdvance(Calendar,V2669,U2670,"f",FALSE)</f>
        <v>57572</v>
      </c>
      <c r="W2670" s="210">
        <f>_xll.qlCalendarAdvance(Calendar,V2670,NDays&amp;"D")</f>
        <v>57572</v>
      </c>
      <c r="X2670" s="211">
        <v>2.2381461466238761E-2</v>
      </c>
      <c r="Y2670" s="232"/>
    </row>
    <row r="2671" spans="21:25" x14ac:dyDescent="0.2">
      <c r="U2671" s="209" t="str">
        <f t="shared" si="44"/>
        <v>1w</v>
      </c>
      <c r="V2671" s="207">
        <f>_xll.qlCalendarAdvance(Calendar,V2670,U2671,"f",FALSE)</f>
        <v>57579</v>
      </c>
      <c r="W2671" s="210">
        <f>_xll.qlCalendarAdvance(Calendar,V2671,NDays&amp;"D")</f>
        <v>57579</v>
      </c>
      <c r="X2671" s="211">
        <v>2.2379814253872254E-2</v>
      </c>
      <c r="Y2671" s="232"/>
    </row>
    <row r="2672" spans="21:25" x14ac:dyDescent="0.2">
      <c r="U2672" s="209" t="str">
        <f t="shared" si="44"/>
        <v>1w</v>
      </c>
      <c r="V2672" s="207">
        <f>_xll.qlCalendarAdvance(Calendar,V2671,U2672,"f",FALSE)</f>
        <v>57586</v>
      </c>
      <c r="W2672" s="210">
        <f>_xll.qlCalendarAdvance(Calendar,V2672,NDays&amp;"D")</f>
        <v>57586</v>
      </c>
      <c r="X2672" s="211">
        <v>2.2378187921923143E-2</v>
      </c>
      <c r="Y2672" s="232"/>
    </row>
    <row r="2673" spans="21:25" x14ac:dyDescent="0.2">
      <c r="U2673" s="209" t="str">
        <f t="shared" si="44"/>
        <v>1w</v>
      </c>
      <c r="V2673" s="207">
        <f>_xll.qlCalendarAdvance(Calendar,V2672,U2673,"f",FALSE)</f>
        <v>57593</v>
      </c>
      <c r="W2673" s="210">
        <f>_xll.qlCalendarAdvance(Calendar,V2673,NDays&amp;"D")</f>
        <v>57593</v>
      </c>
      <c r="X2673" s="211">
        <v>2.2376582470071682E-2</v>
      </c>
      <c r="Y2673" s="232"/>
    </row>
    <row r="2674" spans="21:25" x14ac:dyDescent="0.2">
      <c r="U2674" s="209" t="str">
        <f t="shared" si="44"/>
        <v>1w</v>
      </c>
      <c r="V2674" s="207">
        <f>_xll.qlCalendarAdvance(Calendar,V2673,U2674,"f",FALSE)</f>
        <v>57600</v>
      </c>
      <c r="W2674" s="210">
        <f>_xll.qlCalendarAdvance(Calendar,V2674,NDays&amp;"D")</f>
        <v>57600</v>
      </c>
      <c r="X2674" s="211">
        <v>2.2374997898317872E-2</v>
      </c>
      <c r="Y2674" s="232"/>
    </row>
    <row r="2675" spans="21:25" x14ac:dyDescent="0.2">
      <c r="U2675" s="209" t="str">
        <f t="shared" si="44"/>
        <v>1w</v>
      </c>
      <c r="V2675" s="207">
        <f>_xll.qlCalendarAdvance(Calendar,V2674,U2675,"f",FALSE)</f>
        <v>57607</v>
      </c>
      <c r="W2675" s="210">
        <f>_xll.qlCalendarAdvance(Calendar,V2675,NDays&amp;"D")</f>
        <v>57607</v>
      </c>
      <c r="X2675" s="211">
        <v>2.2373434206741649E-2</v>
      </c>
      <c r="Y2675" s="232"/>
    </row>
    <row r="2676" spans="21:25" x14ac:dyDescent="0.2">
      <c r="U2676" s="209" t="str">
        <f t="shared" si="44"/>
        <v>1w</v>
      </c>
      <c r="V2676" s="207">
        <f>_xll.qlCalendarAdvance(Calendar,V2675,U2676,"f",FALSE)</f>
        <v>57614</v>
      </c>
      <c r="W2676" s="210">
        <f>_xll.qlCalendarAdvance(Calendar,V2676,NDays&amp;"D")</f>
        <v>57614</v>
      </c>
      <c r="X2676" s="211">
        <v>2.2371891395422949E-2</v>
      </c>
      <c r="Y2676" s="232"/>
    </row>
    <row r="2677" spans="21:25" x14ac:dyDescent="0.2">
      <c r="U2677" s="209" t="str">
        <f t="shared" si="44"/>
        <v>1w</v>
      </c>
      <c r="V2677" s="207">
        <f>_xll.qlCalendarAdvance(Calendar,V2676,U2677,"f",FALSE)</f>
        <v>57621</v>
      </c>
      <c r="W2677" s="210">
        <f>_xll.qlCalendarAdvance(Calendar,V2677,NDays&amp;"D")</f>
        <v>57621</v>
      </c>
      <c r="X2677" s="211">
        <v>2.2370369464281836E-2</v>
      </c>
      <c r="Y2677" s="232"/>
    </row>
    <row r="2678" spans="21:25" x14ac:dyDescent="0.2">
      <c r="U2678" s="209" t="str">
        <f t="shared" si="44"/>
        <v>1w</v>
      </c>
      <c r="V2678" s="207">
        <f>_xll.qlCalendarAdvance(Calendar,V2677,U2678,"f",FALSE)</f>
        <v>57628</v>
      </c>
      <c r="W2678" s="210">
        <f>_xll.qlCalendarAdvance(Calendar,V2678,NDays&amp;"D")</f>
        <v>57628</v>
      </c>
      <c r="X2678" s="211">
        <v>2.2368868413158438E-2</v>
      </c>
      <c r="Y2678" s="232"/>
    </row>
    <row r="2679" spans="21:25" x14ac:dyDescent="0.2">
      <c r="U2679" s="209" t="str">
        <f t="shared" si="44"/>
        <v>1w</v>
      </c>
      <c r="V2679" s="207">
        <f>_xll.qlCalendarAdvance(Calendar,V2678,U2679,"f",FALSE)</f>
        <v>57635</v>
      </c>
      <c r="W2679" s="210">
        <f>_xll.qlCalendarAdvance(Calendar,V2679,NDays&amp;"D")</f>
        <v>57635</v>
      </c>
      <c r="X2679" s="211">
        <v>2.2367388242372499E-2</v>
      </c>
      <c r="Y2679" s="232"/>
    </row>
    <row r="2680" spans="21:25" x14ac:dyDescent="0.2">
      <c r="U2680" s="209" t="str">
        <f t="shared" si="44"/>
        <v>1w</v>
      </c>
      <c r="V2680" s="207">
        <f>_xll.qlCalendarAdvance(Calendar,V2679,U2680,"f",FALSE)</f>
        <v>57642</v>
      </c>
      <c r="W2680" s="210">
        <f>_xll.qlCalendarAdvance(Calendar,V2680,NDays&amp;"D")</f>
        <v>57642</v>
      </c>
      <c r="X2680" s="211">
        <v>2.2365928951764147E-2</v>
      </c>
      <c r="Y2680" s="232"/>
    </row>
    <row r="2681" spans="21:25" x14ac:dyDescent="0.2">
      <c r="U2681" s="209" t="str">
        <f t="shared" si="44"/>
        <v>1w</v>
      </c>
      <c r="V2681" s="207">
        <f>_xll.qlCalendarAdvance(Calendar,V2680,U2681,"f",FALSE)</f>
        <v>57649</v>
      </c>
      <c r="W2681" s="210">
        <f>_xll.qlCalendarAdvance(Calendar,V2681,NDays&amp;"D")</f>
        <v>57649</v>
      </c>
      <c r="X2681" s="211">
        <v>2.2364490541253446E-2</v>
      </c>
      <c r="Y2681" s="232"/>
    </row>
    <row r="2682" spans="21:25" x14ac:dyDescent="0.2">
      <c r="U2682" s="209" t="str">
        <f t="shared" si="44"/>
        <v>1w</v>
      </c>
      <c r="V2682" s="207">
        <f>_xll.qlCalendarAdvance(Calendar,V2681,U2682,"f",FALSE)</f>
        <v>57656</v>
      </c>
      <c r="W2682" s="210">
        <f>_xll.qlCalendarAdvance(Calendar,V2682,NDays&amp;"D")</f>
        <v>57656</v>
      </c>
      <c r="X2682" s="211">
        <v>2.2363073010920331E-2</v>
      </c>
      <c r="Y2682" s="232"/>
    </row>
    <row r="2683" spans="21:25" x14ac:dyDescent="0.2">
      <c r="U2683" s="209" t="str">
        <f t="shared" si="44"/>
        <v>1w</v>
      </c>
      <c r="V2683" s="207">
        <f>_xll.qlCalendarAdvance(Calendar,V2682,U2683,"f",FALSE)</f>
        <v>57663</v>
      </c>
      <c r="W2683" s="210">
        <f>_xll.qlCalendarAdvance(Calendar,V2683,NDays&amp;"D")</f>
        <v>57663</v>
      </c>
      <c r="X2683" s="211">
        <v>2.236167636084474E-2</v>
      </c>
      <c r="Y2683" s="232"/>
    </row>
    <row r="2684" spans="21:25" x14ac:dyDescent="0.2">
      <c r="U2684" s="209" t="str">
        <f t="shared" si="44"/>
        <v>1w</v>
      </c>
      <c r="V2684" s="207">
        <f>_xll.qlCalendarAdvance(Calendar,V2683,U2684,"f",FALSE)</f>
        <v>57670</v>
      </c>
      <c r="W2684" s="210">
        <f>_xll.qlCalendarAdvance(Calendar,V2684,NDays&amp;"D")</f>
        <v>57670</v>
      </c>
      <c r="X2684" s="211">
        <v>2.23603005908668E-2</v>
      </c>
      <c r="Y2684" s="232"/>
    </row>
    <row r="2685" spans="21:25" x14ac:dyDescent="0.2">
      <c r="U2685" s="209" t="str">
        <f t="shared" si="44"/>
        <v>1w</v>
      </c>
      <c r="V2685" s="207">
        <f>_xll.qlCalendarAdvance(Calendar,V2684,U2685,"f",FALSE)</f>
        <v>57677</v>
      </c>
      <c r="W2685" s="210">
        <f>_xll.qlCalendarAdvance(Calendar,V2685,NDays&amp;"D")</f>
        <v>57677</v>
      </c>
      <c r="X2685" s="211">
        <v>2.2358945701066446E-2</v>
      </c>
      <c r="Y2685" s="232"/>
    </row>
    <row r="2686" spans="21:25" x14ac:dyDescent="0.2">
      <c r="U2686" s="209" t="str">
        <f t="shared" si="44"/>
        <v>1w</v>
      </c>
      <c r="V2686" s="207">
        <f>_xll.qlCalendarAdvance(Calendar,V2685,U2686,"f",FALSE)</f>
        <v>57684</v>
      </c>
      <c r="W2686" s="210">
        <f>_xll.qlCalendarAdvance(Calendar,V2686,NDays&amp;"D")</f>
        <v>57684</v>
      </c>
      <c r="X2686" s="211">
        <v>2.235761169144368E-2</v>
      </c>
      <c r="Y2686" s="232"/>
    </row>
    <row r="2687" spans="21:25" x14ac:dyDescent="0.2">
      <c r="U2687" s="209" t="str">
        <f t="shared" si="44"/>
        <v>1w</v>
      </c>
      <c r="V2687" s="207">
        <f>_xll.qlCalendarAdvance(Calendar,V2686,U2687,"f",FALSE)</f>
        <v>57691</v>
      </c>
      <c r="W2687" s="210">
        <f>_xll.qlCalendarAdvance(Calendar,V2687,NDays&amp;"D")</f>
        <v>57691</v>
      </c>
      <c r="X2687" s="211">
        <v>2.2356298562078436E-2</v>
      </c>
      <c r="Y2687" s="232"/>
    </row>
    <row r="2688" spans="21:25" x14ac:dyDescent="0.2">
      <c r="U2688" s="209" t="str">
        <f t="shared" si="44"/>
        <v>1w</v>
      </c>
      <c r="V2688" s="207">
        <f>_xll.qlCalendarAdvance(Calendar,V2687,U2688,"f",FALSE)</f>
        <v>57698</v>
      </c>
      <c r="W2688" s="210">
        <f>_xll.qlCalendarAdvance(Calendar,V2688,NDays&amp;"D")</f>
        <v>57698</v>
      </c>
      <c r="X2688" s="211">
        <v>2.2355006312730907E-2</v>
      </c>
      <c r="Y2688" s="232"/>
    </row>
    <row r="2689" spans="21:25" x14ac:dyDescent="0.2">
      <c r="U2689" s="209" t="str">
        <f t="shared" si="44"/>
        <v>1w</v>
      </c>
      <c r="V2689" s="207">
        <f>_xll.qlCalendarAdvance(Calendar,V2688,U2689,"f",FALSE)</f>
        <v>57706</v>
      </c>
      <c r="W2689" s="210">
        <f>_xll.qlCalendarAdvance(Calendar,V2689,NDays&amp;"D")</f>
        <v>57706</v>
      </c>
      <c r="X2689" s="211">
        <v>2.2353555023961746E-2</v>
      </c>
      <c r="Y2689" s="232"/>
    </row>
    <row r="2690" spans="21:25" x14ac:dyDescent="0.2">
      <c r="U2690" s="209" t="str">
        <f t="shared" si="44"/>
        <v>1w</v>
      </c>
      <c r="V2690" s="207">
        <f>_xll.qlCalendarAdvance(Calendar,V2689,U2690,"f",FALSE)</f>
        <v>57713</v>
      </c>
      <c r="W2690" s="210">
        <f>_xll.qlCalendarAdvance(Calendar,V2690,NDays&amp;"D")</f>
        <v>57713</v>
      </c>
      <c r="X2690" s="211">
        <v>2.2352307517863323E-2</v>
      </c>
      <c r="Y2690" s="232"/>
    </row>
    <row r="2691" spans="21:25" x14ac:dyDescent="0.2">
      <c r="U2691" s="209" t="str">
        <f t="shared" si="44"/>
        <v>1w</v>
      </c>
      <c r="V2691" s="207">
        <f>_xll.qlCalendarAdvance(Calendar,V2690,U2691,"f",FALSE)</f>
        <v>57720</v>
      </c>
      <c r="W2691" s="210">
        <f>_xll.qlCalendarAdvance(Calendar,V2691,NDays&amp;"D")</f>
        <v>57720</v>
      </c>
      <c r="X2691" s="211">
        <v>2.2351080892022424E-2</v>
      </c>
      <c r="Y2691" s="232"/>
    </row>
    <row r="2692" spans="21:25" x14ac:dyDescent="0.2">
      <c r="U2692" s="209" t="str">
        <f t="shared" si="44"/>
        <v>1w</v>
      </c>
      <c r="V2692" s="207">
        <f>_xll.qlCalendarAdvance(Calendar,V2691,U2692,"f",FALSE)</f>
        <v>57727</v>
      </c>
      <c r="W2692" s="210">
        <f>_xll.qlCalendarAdvance(Calendar,V2692,NDays&amp;"D")</f>
        <v>57727</v>
      </c>
      <c r="X2692" s="211">
        <v>2.2349875146279174E-2</v>
      </c>
      <c r="Y2692" s="232"/>
    </row>
    <row r="2693" spans="21:25" x14ac:dyDescent="0.2">
      <c r="U2693" s="209" t="str">
        <f t="shared" si="44"/>
        <v>1w</v>
      </c>
      <c r="V2693" s="207">
        <f>_xll.qlCalendarAdvance(Calendar,V2692,U2693,"f",FALSE)</f>
        <v>57734</v>
      </c>
      <c r="W2693" s="210">
        <f>_xll.qlCalendarAdvance(Calendar,V2693,NDays&amp;"D")</f>
        <v>57734</v>
      </c>
      <c r="X2693" s="211">
        <v>2.2348690280793448E-2</v>
      </c>
      <c r="Y2693" s="232"/>
    </row>
    <row r="2694" spans="21:25" x14ac:dyDescent="0.2">
      <c r="U2694" s="209" t="str">
        <f t="shared" si="44"/>
        <v>1w</v>
      </c>
      <c r="V2694" s="207">
        <f>_xll.qlCalendarAdvance(Calendar,V2693,U2694,"f",FALSE)</f>
        <v>57741</v>
      </c>
      <c r="W2694" s="210">
        <f>_xll.qlCalendarAdvance(Calendar,V2694,NDays&amp;"D")</f>
        <v>57741</v>
      </c>
      <c r="X2694" s="211">
        <v>2.2347526295405373E-2</v>
      </c>
      <c r="Y2694" s="232"/>
    </row>
    <row r="2695" spans="21:25" x14ac:dyDescent="0.2">
      <c r="U2695" s="209" t="str">
        <f t="shared" si="44"/>
        <v>1w</v>
      </c>
      <c r="V2695" s="207">
        <f>_xll.qlCalendarAdvance(Calendar,V2694,U2695,"f",FALSE)</f>
        <v>57748</v>
      </c>
      <c r="W2695" s="210">
        <f>_xll.qlCalendarAdvance(Calendar,V2695,NDays&amp;"D")</f>
        <v>57748</v>
      </c>
      <c r="X2695" s="211">
        <v>2.2346383190274821E-2</v>
      </c>
      <c r="Y2695" s="232"/>
    </row>
    <row r="2696" spans="21:25" x14ac:dyDescent="0.2">
      <c r="U2696" s="209" t="str">
        <f t="shared" si="44"/>
        <v>1w</v>
      </c>
      <c r="V2696" s="207">
        <f>_xll.qlCalendarAdvance(Calendar,V2695,U2696,"f",FALSE)</f>
        <v>57755</v>
      </c>
      <c r="W2696" s="210">
        <f>_xll.qlCalendarAdvance(Calendar,V2696,NDays&amp;"D")</f>
        <v>57755</v>
      </c>
      <c r="X2696" s="211">
        <v>2.2345260965321856E-2</v>
      </c>
      <c r="Y2696" s="232"/>
    </row>
    <row r="2697" spans="21:25" x14ac:dyDescent="0.2">
      <c r="U2697" s="209" t="str">
        <f t="shared" si="44"/>
        <v>1w</v>
      </c>
      <c r="V2697" s="207">
        <f>_xll.qlCalendarAdvance(Calendar,V2696,U2697,"f",FALSE)</f>
        <v>57762</v>
      </c>
      <c r="W2697" s="210">
        <f>_xll.qlCalendarAdvance(Calendar,V2697,NDays&amp;"D")</f>
        <v>57762</v>
      </c>
      <c r="X2697" s="211">
        <v>2.2344159620466542E-2</v>
      </c>
      <c r="Y2697" s="232"/>
    </row>
    <row r="2698" spans="21:25" x14ac:dyDescent="0.2">
      <c r="U2698" s="209" t="str">
        <f t="shared" si="44"/>
        <v>1w</v>
      </c>
      <c r="V2698" s="207">
        <f>_xll.qlCalendarAdvance(Calendar,V2697,U2698,"f",FALSE)</f>
        <v>57769</v>
      </c>
      <c r="W2698" s="210">
        <f>_xll.qlCalendarAdvance(Calendar,V2698,NDays&amp;"D")</f>
        <v>57769</v>
      </c>
      <c r="X2698" s="211">
        <v>2.2343079155628942E-2</v>
      </c>
      <c r="Y2698" s="232"/>
    </row>
    <row r="2699" spans="21:25" x14ac:dyDescent="0.2">
      <c r="U2699" s="209" t="str">
        <f t="shared" si="44"/>
        <v>1w</v>
      </c>
      <c r="V2699" s="207">
        <f>_xll.qlCalendarAdvance(Calendar,V2698,U2699,"f",FALSE)</f>
        <v>57776</v>
      </c>
      <c r="W2699" s="210">
        <f>_xll.qlCalendarAdvance(Calendar,V2699,NDays&amp;"D")</f>
        <v>57776</v>
      </c>
      <c r="X2699" s="211">
        <v>2.2342019571208738E-2</v>
      </c>
      <c r="Y2699" s="232"/>
    </row>
    <row r="2700" spans="21:25" x14ac:dyDescent="0.2">
      <c r="U2700" s="209" t="str">
        <f t="shared" si="44"/>
        <v>1w</v>
      </c>
      <c r="V2700" s="207">
        <f>_xll.qlCalendarAdvance(Calendar,V2699,U2700,"f",FALSE)</f>
        <v>57783</v>
      </c>
      <c r="W2700" s="210">
        <f>_xll.qlCalendarAdvance(Calendar,V2700,NDays&amp;"D")</f>
        <v>57783</v>
      </c>
      <c r="X2700" s="211">
        <v>2.2340980866886184E-2</v>
      </c>
      <c r="Y2700" s="232"/>
    </row>
    <row r="2701" spans="21:25" x14ac:dyDescent="0.2">
      <c r="U2701" s="209" t="str">
        <f t="shared" ref="U2701:U2764" si="45">U2700</f>
        <v>1w</v>
      </c>
      <c r="V2701" s="207">
        <f>_xll.qlCalendarAdvance(Calendar,V2700,U2701,"f",FALSE)</f>
        <v>57790</v>
      </c>
      <c r="W2701" s="210">
        <f>_xll.qlCalendarAdvance(Calendar,V2701,NDays&amp;"D")</f>
        <v>57790</v>
      </c>
      <c r="X2701" s="211">
        <v>2.2339963042661282E-2</v>
      </c>
      <c r="Y2701" s="232"/>
    </row>
    <row r="2702" spans="21:25" x14ac:dyDescent="0.2">
      <c r="U2702" s="209" t="str">
        <f t="shared" si="45"/>
        <v>1w</v>
      </c>
      <c r="V2702" s="207">
        <f>_xll.qlCalendarAdvance(Calendar,V2701,U2702,"f",FALSE)</f>
        <v>57797</v>
      </c>
      <c r="W2702" s="210">
        <f>_xll.qlCalendarAdvance(Calendar,V2702,NDays&amp;"D")</f>
        <v>57797</v>
      </c>
      <c r="X2702" s="211">
        <v>2.2338966098693902E-2</v>
      </c>
      <c r="Y2702" s="232"/>
    </row>
    <row r="2703" spans="21:25" x14ac:dyDescent="0.2">
      <c r="U2703" s="209" t="str">
        <f t="shared" si="45"/>
        <v>1w</v>
      </c>
      <c r="V2703" s="207">
        <f>_xll.qlCalendarAdvance(Calendar,V2702,U2703,"f",FALSE)</f>
        <v>57804</v>
      </c>
      <c r="W2703" s="210">
        <f>_xll.qlCalendarAdvance(Calendar,V2703,NDays&amp;"D")</f>
        <v>57804</v>
      </c>
      <c r="X2703" s="211">
        <v>2.2337990034904109E-2</v>
      </c>
      <c r="Y2703" s="232"/>
    </row>
    <row r="2704" spans="21:25" x14ac:dyDescent="0.2">
      <c r="U2704" s="209" t="str">
        <f t="shared" si="45"/>
        <v>1w</v>
      </c>
      <c r="V2704" s="207">
        <f>_xll.qlCalendarAdvance(Calendar,V2703,U2704,"f",FALSE)</f>
        <v>57811</v>
      </c>
      <c r="W2704" s="210">
        <f>_xll.qlCalendarAdvance(Calendar,V2704,NDays&amp;"D")</f>
        <v>57811</v>
      </c>
      <c r="X2704" s="211">
        <v>2.2339538214408705E-2</v>
      </c>
      <c r="Y2704" s="232"/>
    </row>
    <row r="2705" spans="21:25" x14ac:dyDescent="0.2">
      <c r="U2705" s="209" t="str">
        <f t="shared" si="45"/>
        <v>1w</v>
      </c>
      <c r="V2705" s="207">
        <f>_xll.qlCalendarAdvance(Calendar,V2704,U2705,"f",FALSE)</f>
        <v>57818</v>
      </c>
      <c r="W2705" s="210">
        <f>_xll.qlCalendarAdvance(Calendar,V2705,NDays&amp;"D")</f>
        <v>57818</v>
      </c>
      <c r="X2705" s="211">
        <v>2.2336100547697413E-2</v>
      </c>
      <c r="Y2705" s="232"/>
    </row>
    <row r="2706" spans="21:25" x14ac:dyDescent="0.2">
      <c r="U2706" s="209" t="str">
        <f t="shared" si="45"/>
        <v>1w</v>
      </c>
      <c r="V2706" s="207">
        <f>_xll.qlCalendarAdvance(Calendar,V2705,U2706,"f",FALSE)</f>
        <v>57825</v>
      </c>
      <c r="W2706" s="210">
        <f>_xll.qlCalendarAdvance(Calendar,V2706,NDays&amp;"D")</f>
        <v>57825</v>
      </c>
      <c r="X2706" s="211">
        <v>2.2335187124360445E-2</v>
      </c>
      <c r="Y2706" s="232"/>
    </row>
    <row r="2707" spans="21:25" x14ac:dyDescent="0.2">
      <c r="U2707" s="209" t="str">
        <f t="shared" si="45"/>
        <v>1w</v>
      </c>
      <c r="V2707" s="207">
        <f>_xll.qlCalendarAdvance(Calendar,V2706,U2707,"f",FALSE)</f>
        <v>57832</v>
      </c>
      <c r="W2707" s="210">
        <f>_xll.qlCalendarAdvance(Calendar,V2707,NDays&amp;"D")</f>
        <v>57832</v>
      </c>
      <c r="X2707" s="211">
        <v>2.2334294581281E-2</v>
      </c>
      <c r="Y2707" s="232"/>
    </row>
    <row r="2708" spans="21:25" x14ac:dyDescent="0.2">
      <c r="U2708" s="209" t="str">
        <f t="shared" si="45"/>
        <v>1w</v>
      </c>
      <c r="V2708" s="207">
        <f>_xll.qlCalendarAdvance(Calendar,V2707,U2708,"f",FALSE)</f>
        <v>57839</v>
      </c>
      <c r="W2708" s="210">
        <f>_xll.qlCalendarAdvance(Calendar,V2708,NDays&amp;"D")</f>
        <v>57839</v>
      </c>
      <c r="X2708" s="211">
        <v>2.2333422918139334E-2</v>
      </c>
      <c r="Y2708" s="232"/>
    </row>
    <row r="2709" spans="21:25" x14ac:dyDescent="0.2">
      <c r="U2709" s="209" t="str">
        <f t="shared" si="45"/>
        <v>1w</v>
      </c>
      <c r="V2709" s="207">
        <f>_xll.qlCalendarAdvance(Calendar,V2708,U2709,"f",FALSE)</f>
        <v>57846</v>
      </c>
      <c r="W2709" s="210">
        <f>_xll.qlCalendarAdvance(Calendar,V2709,NDays&amp;"D")</f>
        <v>57846</v>
      </c>
      <c r="X2709" s="211">
        <v>2.2332572135415063E-2</v>
      </c>
      <c r="Y2709" s="232"/>
    </row>
    <row r="2710" spans="21:25" x14ac:dyDescent="0.2">
      <c r="U2710" s="209" t="str">
        <f t="shared" si="45"/>
        <v>1w</v>
      </c>
      <c r="V2710" s="207">
        <f>_xll.qlCalendarAdvance(Calendar,V2709,U2710,"f",FALSE)</f>
        <v>57853</v>
      </c>
      <c r="W2710" s="210">
        <f>_xll.qlCalendarAdvance(Calendar,V2710,NDays&amp;"D")</f>
        <v>57853</v>
      </c>
      <c r="X2710" s="211">
        <v>2.2331742232788443E-2</v>
      </c>
      <c r="Y2710" s="232"/>
    </row>
    <row r="2711" spans="21:25" x14ac:dyDescent="0.2">
      <c r="U2711" s="209" t="str">
        <f t="shared" si="45"/>
        <v>1w</v>
      </c>
      <c r="V2711" s="207">
        <f>_xll.qlCalendarAdvance(Calendar,V2710,U2711,"f",FALSE)</f>
        <v>57860</v>
      </c>
      <c r="W2711" s="210">
        <f>_xll.qlCalendarAdvance(Calendar,V2711,NDays&amp;"D")</f>
        <v>57860</v>
      </c>
      <c r="X2711" s="211">
        <v>2.2330933210259474E-2</v>
      </c>
      <c r="Y2711" s="232"/>
    </row>
    <row r="2712" spans="21:25" x14ac:dyDescent="0.2">
      <c r="U2712" s="209" t="str">
        <f t="shared" si="45"/>
        <v>1w</v>
      </c>
      <c r="V2712" s="207">
        <f>_xll.qlCalendarAdvance(Calendar,V2711,U2712,"f",FALSE)</f>
        <v>57867</v>
      </c>
      <c r="W2712" s="210">
        <f>_xll.qlCalendarAdvance(Calendar,V2712,NDays&amp;"D")</f>
        <v>57867</v>
      </c>
      <c r="X2712" s="211">
        <v>2.2330145067908092E-2</v>
      </c>
      <c r="Y2712" s="232"/>
    </row>
    <row r="2713" spans="21:25" x14ac:dyDescent="0.2">
      <c r="U2713" s="209" t="str">
        <f t="shared" si="45"/>
        <v>1w</v>
      </c>
      <c r="V2713" s="207">
        <f>_xll.qlCalendarAdvance(Calendar,V2712,U2713,"f",FALSE)</f>
        <v>57874</v>
      </c>
      <c r="W2713" s="210">
        <f>_xll.qlCalendarAdvance(Calendar,V2713,NDays&amp;"D")</f>
        <v>57874</v>
      </c>
      <c r="X2713" s="211">
        <v>2.2329377805734296E-2</v>
      </c>
      <c r="Y2713" s="232"/>
    </row>
    <row r="2714" spans="21:25" x14ac:dyDescent="0.2">
      <c r="U2714" s="209" t="str">
        <f t="shared" si="45"/>
        <v>1w</v>
      </c>
      <c r="V2714" s="207">
        <f>_xll.qlCalendarAdvance(Calendar,V2713,U2714,"f",FALSE)</f>
        <v>57881</v>
      </c>
      <c r="W2714" s="210">
        <f>_xll.qlCalendarAdvance(Calendar,V2714,NDays&amp;"D")</f>
        <v>57881</v>
      </c>
      <c r="X2714" s="211">
        <v>2.2328631423818024E-2</v>
      </c>
      <c r="Y2714" s="232"/>
    </row>
    <row r="2715" spans="21:25" x14ac:dyDescent="0.2">
      <c r="U2715" s="209" t="str">
        <f t="shared" si="45"/>
        <v>1w</v>
      </c>
      <c r="V2715" s="207">
        <f>_xll.qlCalendarAdvance(Calendar,V2714,U2715,"f",FALSE)</f>
        <v>57888</v>
      </c>
      <c r="W2715" s="210">
        <f>_xll.qlCalendarAdvance(Calendar,V2715,NDays&amp;"D")</f>
        <v>57888</v>
      </c>
      <c r="X2715" s="211">
        <v>2.2327905922079339E-2</v>
      </c>
      <c r="Y2715" s="232"/>
    </row>
    <row r="2716" spans="21:25" x14ac:dyDescent="0.2">
      <c r="U2716" s="209" t="str">
        <f t="shared" si="45"/>
        <v>1w</v>
      </c>
      <c r="V2716" s="207">
        <f>_xll.qlCalendarAdvance(Calendar,V2715,U2716,"f",FALSE)</f>
        <v>57895</v>
      </c>
      <c r="W2716" s="210">
        <f>_xll.qlCalendarAdvance(Calendar,V2716,NDays&amp;"D")</f>
        <v>57895</v>
      </c>
      <c r="X2716" s="211">
        <v>2.2327201300358368E-2</v>
      </c>
      <c r="Y2716" s="232"/>
    </row>
    <row r="2717" spans="21:25" x14ac:dyDescent="0.2">
      <c r="U2717" s="209" t="str">
        <f t="shared" si="45"/>
        <v>1w</v>
      </c>
      <c r="V2717" s="207">
        <f>_xll.qlCalendarAdvance(Calendar,V2716,U2717,"f",FALSE)</f>
        <v>57902</v>
      </c>
      <c r="W2717" s="210">
        <f>_xll.qlCalendarAdvance(Calendar,V2717,NDays&amp;"D")</f>
        <v>57902</v>
      </c>
      <c r="X2717" s="211">
        <v>2.2326517558974857E-2</v>
      </c>
      <c r="Y2717" s="232"/>
    </row>
    <row r="2718" spans="21:25" x14ac:dyDescent="0.2">
      <c r="U2718" s="209" t="str">
        <f t="shared" si="45"/>
        <v>1w</v>
      </c>
      <c r="V2718" s="207">
        <f>_xll.qlCalendarAdvance(Calendar,V2717,U2718,"f",FALSE)</f>
        <v>57909</v>
      </c>
      <c r="W2718" s="210">
        <f>_xll.qlCalendarAdvance(Calendar,V2718,NDays&amp;"D")</f>
        <v>57909</v>
      </c>
      <c r="X2718" s="211">
        <v>2.2325854697529124E-2</v>
      </c>
      <c r="Y2718" s="232"/>
    </row>
    <row r="2719" spans="21:25" x14ac:dyDescent="0.2">
      <c r="U2719" s="209" t="str">
        <f t="shared" si="45"/>
        <v>1w</v>
      </c>
      <c r="V2719" s="207">
        <f>_xll.qlCalendarAdvance(Calendar,V2718,U2719,"f",FALSE)</f>
        <v>57916</v>
      </c>
      <c r="W2719" s="210">
        <f>_xll.qlCalendarAdvance(Calendar,V2719,NDays&amp;"D")</f>
        <v>57916</v>
      </c>
      <c r="X2719" s="211">
        <v>2.232521271642085E-2</v>
      </c>
      <c r="Y2719" s="232"/>
    </row>
    <row r="2720" spans="21:25" x14ac:dyDescent="0.2">
      <c r="U2720" s="209" t="str">
        <f t="shared" si="45"/>
        <v>1w</v>
      </c>
      <c r="V2720" s="207">
        <f>_xll.qlCalendarAdvance(Calendar,V2719,U2720,"f",FALSE)</f>
        <v>57923</v>
      </c>
      <c r="W2720" s="210">
        <f>_xll.qlCalendarAdvance(Calendar,V2720,NDays&amp;"D")</f>
        <v>57923</v>
      </c>
      <c r="X2720" s="211">
        <v>2.2324591615410228E-2</v>
      </c>
      <c r="Y2720" s="232"/>
    </row>
    <row r="2721" spans="21:25" x14ac:dyDescent="0.2">
      <c r="U2721" s="209" t="str">
        <f t="shared" si="45"/>
        <v>1w</v>
      </c>
      <c r="V2721" s="207">
        <f>_xll.qlCalendarAdvance(Calendar,V2720,U2721,"f",FALSE)</f>
        <v>57930</v>
      </c>
      <c r="W2721" s="210">
        <f>_xll.qlCalendarAdvance(Calendar,V2721,NDays&amp;"D")</f>
        <v>57930</v>
      </c>
      <c r="X2721" s="211">
        <v>2.2323991394657128E-2</v>
      </c>
      <c r="Y2721" s="232"/>
    </row>
    <row r="2722" spans="21:25" x14ac:dyDescent="0.2">
      <c r="U2722" s="209" t="str">
        <f t="shared" si="45"/>
        <v>1w</v>
      </c>
      <c r="V2722" s="207">
        <f>_xll.qlCalendarAdvance(Calendar,V2721,U2722,"f",FALSE)</f>
        <v>57937</v>
      </c>
      <c r="W2722" s="210">
        <f>_xll.qlCalendarAdvance(Calendar,V2722,NDays&amp;"D")</f>
        <v>57937</v>
      </c>
      <c r="X2722" s="211">
        <v>2.2323412054001679E-2</v>
      </c>
      <c r="Y2722" s="232"/>
    </row>
    <row r="2723" spans="21:25" x14ac:dyDescent="0.2">
      <c r="U2723" s="209" t="str">
        <f t="shared" si="45"/>
        <v>1w</v>
      </c>
      <c r="V2723" s="207">
        <f>_xll.qlCalendarAdvance(Calendar,V2722,U2723,"f",FALSE)</f>
        <v>57944</v>
      </c>
      <c r="W2723" s="210">
        <f>_xll.qlCalendarAdvance(Calendar,V2723,NDays&amp;"D")</f>
        <v>57944</v>
      </c>
      <c r="X2723" s="211">
        <v>2.2322853593443881E-2</v>
      </c>
      <c r="Y2723" s="232"/>
    </row>
    <row r="2724" spans="21:25" x14ac:dyDescent="0.2">
      <c r="U2724" s="209" t="str">
        <f t="shared" si="45"/>
        <v>1w</v>
      </c>
      <c r="V2724" s="207">
        <f>_xll.qlCalendarAdvance(Calendar,V2723,U2724,"f",FALSE)</f>
        <v>57951</v>
      </c>
      <c r="W2724" s="210">
        <f>_xll.qlCalendarAdvance(Calendar,V2724,NDays&amp;"D")</f>
        <v>57951</v>
      </c>
      <c r="X2724" s="211">
        <v>2.2322316013223542E-2</v>
      </c>
      <c r="Y2724" s="232"/>
    </row>
    <row r="2725" spans="21:25" x14ac:dyDescent="0.2">
      <c r="U2725" s="209" t="str">
        <f t="shared" si="45"/>
        <v>1w</v>
      </c>
      <c r="V2725" s="207">
        <f>_xll.qlCalendarAdvance(Calendar,V2724,U2725,"f",FALSE)</f>
        <v>57958</v>
      </c>
      <c r="W2725" s="210">
        <f>_xll.qlCalendarAdvance(Calendar,V2725,NDays&amp;"D")</f>
        <v>57958</v>
      </c>
      <c r="X2725" s="211">
        <v>2.2321799313100854E-2</v>
      </c>
      <c r="Y2725" s="232"/>
    </row>
    <row r="2726" spans="21:25" x14ac:dyDescent="0.2">
      <c r="U2726" s="209" t="str">
        <f t="shared" si="45"/>
        <v>1w</v>
      </c>
      <c r="V2726" s="207">
        <f>_xll.qlCalendarAdvance(Calendar,V2725,U2726,"f",FALSE)</f>
        <v>57965</v>
      </c>
      <c r="W2726" s="210">
        <f>_xll.qlCalendarAdvance(Calendar,V2726,NDays&amp;"D")</f>
        <v>57965</v>
      </c>
      <c r="X2726" s="211">
        <v>2.2321303493155753E-2</v>
      </c>
      <c r="Y2726" s="232"/>
    </row>
    <row r="2727" spans="21:25" x14ac:dyDescent="0.2">
      <c r="U2727" s="209" t="str">
        <f t="shared" si="45"/>
        <v>1w</v>
      </c>
      <c r="V2727" s="207">
        <f>_xll.qlCalendarAdvance(Calendar,V2726,U2727,"f",FALSE)</f>
        <v>57972</v>
      </c>
      <c r="W2727" s="210">
        <f>_xll.qlCalendarAdvance(Calendar,V2727,NDays&amp;"D")</f>
        <v>57972</v>
      </c>
      <c r="X2727" s="211">
        <v>2.2320828553228367E-2</v>
      </c>
      <c r="Y2727" s="232"/>
    </row>
    <row r="2728" spans="21:25" x14ac:dyDescent="0.2">
      <c r="U2728" s="209" t="str">
        <f t="shared" si="45"/>
        <v>1w</v>
      </c>
      <c r="V2728" s="207">
        <f>_xll.qlCalendarAdvance(Calendar,V2727,U2728,"f",FALSE)</f>
        <v>57979</v>
      </c>
      <c r="W2728" s="210">
        <f>_xll.qlCalendarAdvance(Calendar,V2728,NDays&amp;"D")</f>
        <v>57979</v>
      </c>
      <c r="X2728" s="211">
        <v>2.232037449363844E-2</v>
      </c>
      <c r="Y2728" s="232"/>
    </row>
    <row r="2729" spans="21:25" x14ac:dyDescent="0.2">
      <c r="U2729" s="209" t="str">
        <f t="shared" si="45"/>
        <v>1w</v>
      </c>
      <c r="V2729" s="207">
        <f>_xll.qlCalendarAdvance(Calendar,V2728,U2729,"f",FALSE)</f>
        <v>57986</v>
      </c>
      <c r="W2729" s="210">
        <f>_xll.qlCalendarAdvance(Calendar,V2729,NDays&amp;"D")</f>
        <v>57986</v>
      </c>
      <c r="X2729" s="211">
        <v>2.2319941314146163E-2</v>
      </c>
      <c r="Y2729" s="232"/>
    </row>
    <row r="2730" spans="21:25" x14ac:dyDescent="0.2">
      <c r="U2730" s="209" t="str">
        <f t="shared" si="45"/>
        <v>1w</v>
      </c>
      <c r="V2730" s="207">
        <f>_xll.qlCalendarAdvance(Calendar,V2729,U2730,"f",FALSE)</f>
        <v>57993</v>
      </c>
      <c r="W2730" s="210">
        <f>_xll.qlCalendarAdvance(Calendar,V2730,NDays&amp;"D")</f>
        <v>57993</v>
      </c>
      <c r="X2730" s="211">
        <v>2.2319529014831474E-2</v>
      </c>
      <c r="Y2730" s="232"/>
    </row>
    <row r="2731" spans="21:25" x14ac:dyDescent="0.2">
      <c r="U2731" s="209" t="str">
        <f t="shared" si="45"/>
        <v>1w</v>
      </c>
      <c r="V2731" s="207">
        <f>_xll.qlCalendarAdvance(Calendar,V2730,U2731,"f",FALSE)</f>
        <v>58000</v>
      </c>
      <c r="W2731" s="210">
        <f>_xll.qlCalendarAdvance(Calendar,V2731,NDays&amp;"D")</f>
        <v>58000</v>
      </c>
      <c r="X2731" s="211">
        <v>2.2319137595614436E-2</v>
      </c>
      <c r="Y2731" s="232"/>
    </row>
    <row r="2732" spans="21:25" x14ac:dyDescent="0.2">
      <c r="U2732" s="209" t="str">
        <f t="shared" si="45"/>
        <v>1w</v>
      </c>
      <c r="V2732" s="207">
        <f>_xll.qlCalendarAdvance(Calendar,V2731,U2732,"f",FALSE)</f>
        <v>58007</v>
      </c>
      <c r="W2732" s="210">
        <f>_xll.qlCalendarAdvance(Calendar,V2732,NDays&amp;"D")</f>
        <v>58007</v>
      </c>
      <c r="X2732" s="211">
        <v>2.2318767056734856E-2</v>
      </c>
      <c r="Y2732" s="232"/>
    </row>
    <row r="2733" spans="21:25" x14ac:dyDescent="0.2">
      <c r="U2733" s="209" t="str">
        <f t="shared" si="45"/>
        <v>1w</v>
      </c>
      <c r="V2733" s="207">
        <f>_xll.qlCalendarAdvance(Calendar,V2732,U2733,"f",FALSE)</f>
        <v>58014</v>
      </c>
      <c r="W2733" s="210">
        <f>_xll.qlCalendarAdvance(Calendar,V2733,NDays&amp;"D")</f>
        <v>58014</v>
      </c>
      <c r="X2733" s="211">
        <v>2.2318417397952928E-2</v>
      </c>
      <c r="Y2733" s="232"/>
    </row>
    <row r="2734" spans="21:25" x14ac:dyDescent="0.2">
      <c r="U2734" s="209" t="str">
        <f t="shared" si="45"/>
        <v>1w</v>
      </c>
      <c r="V2734" s="207">
        <f>_xll.qlCalendarAdvance(Calendar,V2733,U2734,"f",FALSE)</f>
        <v>58021</v>
      </c>
      <c r="W2734" s="210">
        <f>_xll.qlCalendarAdvance(Calendar,V2734,NDays&amp;"D")</f>
        <v>58021</v>
      </c>
      <c r="X2734" s="211">
        <v>2.2318088619188714E-2</v>
      </c>
      <c r="Y2734" s="232"/>
    </row>
    <row r="2735" spans="21:25" x14ac:dyDescent="0.2">
      <c r="U2735" s="209" t="str">
        <f t="shared" si="45"/>
        <v>1w</v>
      </c>
      <c r="V2735" s="207">
        <f>_xll.qlCalendarAdvance(Calendar,V2734,U2735,"f",FALSE)</f>
        <v>58028</v>
      </c>
      <c r="W2735" s="210">
        <f>_xll.qlCalendarAdvance(Calendar,V2735,NDays&amp;"D")</f>
        <v>58028</v>
      </c>
      <c r="X2735" s="211">
        <v>2.2317780720761959E-2</v>
      </c>
      <c r="Y2735" s="232"/>
    </row>
    <row r="2736" spans="21:25" x14ac:dyDescent="0.2">
      <c r="U2736" s="209" t="str">
        <f t="shared" si="45"/>
        <v>1w</v>
      </c>
      <c r="V2736" s="207">
        <f>_xll.qlCalendarAdvance(Calendar,V2735,U2736,"f",FALSE)</f>
        <v>58035</v>
      </c>
      <c r="W2736" s="210">
        <f>_xll.qlCalendarAdvance(Calendar,V2736,NDays&amp;"D")</f>
        <v>58035</v>
      </c>
      <c r="X2736" s="211">
        <v>2.2317493702432856E-2</v>
      </c>
      <c r="Y2736" s="232"/>
    </row>
    <row r="2737" spans="21:25" x14ac:dyDescent="0.2">
      <c r="U2737" s="209" t="str">
        <f t="shared" si="45"/>
        <v>1w</v>
      </c>
      <c r="V2737" s="207">
        <f>_xll.qlCalendarAdvance(Calendar,V2736,U2737,"f",FALSE)</f>
        <v>58042</v>
      </c>
      <c r="W2737" s="210">
        <f>_xll.qlCalendarAdvance(Calendar,V2737,NDays&amp;"D")</f>
        <v>58042</v>
      </c>
      <c r="X2737" s="211">
        <v>2.2317227564201403E-2</v>
      </c>
      <c r="Y2737" s="232"/>
    </row>
    <row r="2738" spans="21:25" x14ac:dyDescent="0.2">
      <c r="U2738" s="209" t="str">
        <f t="shared" si="45"/>
        <v>1w</v>
      </c>
      <c r="V2738" s="207">
        <f>_xll.qlCalendarAdvance(Calendar,V2737,U2738,"f",FALSE)</f>
        <v>58049</v>
      </c>
      <c r="W2738" s="210">
        <f>_xll.qlCalendarAdvance(Calendar,V2738,NDays&amp;"D")</f>
        <v>58049</v>
      </c>
      <c r="X2738" s="211">
        <v>2.2316982306307409E-2</v>
      </c>
      <c r="Y2738" s="232"/>
    </row>
    <row r="2739" spans="21:25" x14ac:dyDescent="0.2">
      <c r="U2739" s="209" t="str">
        <f t="shared" si="45"/>
        <v>1w</v>
      </c>
      <c r="V2739" s="207">
        <f>_xll.qlCalendarAdvance(Calendar,V2738,U2739,"f",FALSE)</f>
        <v>58056</v>
      </c>
      <c r="W2739" s="210">
        <f>_xll.qlCalendarAdvance(Calendar,V2739,NDays&amp;"D")</f>
        <v>58056</v>
      </c>
      <c r="X2739" s="211">
        <v>2.2316757928511066E-2</v>
      </c>
      <c r="Y2739" s="232"/>
    </row>
    <row r="2740" spans="21:25" x14ac:dyDescent="0.2">
      <c r="U2740" s="209" t="str">
        <f t="shared" si="45"/>
        <v>1w</v>
      </c>
      <c r="V2740" s="207">
        <f>_xll.qlCalendarAdvance(Calendar,V2739,U2740,"f",FALSE)</f>
        <v>58063</v>
      </c>
      <c r="W2740" s="210">
        <f>_xll.qlCalendarAdvance(Calendar,V2740,NDays&amp;"D")</f>
        <v>58063</v>
      </c>
      <c r="X2740" s="211">
        <v>2.231655443089231E-2</v>
      </c>
      <c r="Y2740" s="232"/>
    </row>
    <row r="2741" spans="21:25" x14ac:dyDescent="0.2">
      <c r="U2741" s="209" t="str">
        <f t="shared" si="45"/>
        <v>1w</v>
      </c>
      <c r="V2741" s="207">
        <f>_xll.qlCalendarAdvance(Calendar,V2740,U2741,"f",FALSE)</f>
        <v>58071</v>
      </c>
      <c r="W2741" s="210">
        <f>_xll.qlCalendarAdvance(Calendar,V2741,NDays&amp;"D")</f>
        <v>58071</v>
      </c>
      <c r="X2741" s="211">
        <v>2.2317707026804356E-2</v>
      </c>
      <c r="Y2741" s="232"/>
    </row>
    <row r="2742" spans="21:25" x14ac:dyDescent="0.2">
      <c r="U2742" s="209" t="str">
        <f t="shared" si="45"/>
        <v>1w</v>
      </c>
      <c r="V2742" s="207">
        <f>_xll.qlCalendarAdvance(Calendar,V2741,U2742,"f",FALSE)</f>
        <v>58078</v>
      </c>
      <c r="W2742" s="210">
        <f>_xll.qlCalendarAdvance(Calendar,V2742,NDays&amp;"D")</f>
        <v>58078</v>
      </c>
      <c r="X2742" s="211">
        <v>2.2317551235930821E-2</v>
      </c>
      <c r="Y2742" s="232"/>
    </row>
    <row r="2743" spans="21:25" x14ac:dyDescent="0.2">
      <c r="U2743" s="209" t="str">
        <f t="shared" si="45"/>
        <v>1w</v>
      </c>
      <c r="V2743" s="207">
        <f>_xll.qlCalendarAdvance(Calendar,V2742,U2743,"f",FALSE)</f>
        <v>58085</v>
      </c>
      <c r="W2743" s="210">
        <f>_xll.qlCalendarAdvance(Calendar,V2743,NDays&amp;"D")</f>
        <v>58085</v>
      </c>
      <c r="X2743" s="211">
        <v>2.2317416327819473E-2</v>
      </c>
      <c r="Y2743" s="232"/>
    </row>
    <row r="2744" spans="21:25" x14ac:dyDescent="0.2">
      <c r="U2744" s="209" t="str">
        <f t="shared" si="45"/>
        <v>1w</v>
      </c>
      <c r="V2744" s="207">
        <f>_xll.qlCalendarAdvance(Calendar,V2743,U2744,"f",FALSE)</f>
        <v>58092</v>
      </c>
      <c r="W2744" s="210">
        <f>_xll.qlCalendarAdvance(Calendar,V2744,NDays&amp;"D")</f>
        <v>58092</v>
      </c>
      <c r="X2744" s="211">
        <v>2.2317302302417019E-2</v>
      </c>
      <c r="Y2744" s="232"/>
    </row>
    <row r="2745" spans="21:25" x14ac:dyDescent="0.2">
      <c r="U2745" s="209" t="str">
        <f t="shared" si="45"/>
        <v>1w</v>
      </c>
      <c r="V2745" s="207">
        <f>_xll.qlCalendarAdvance(Calendar,V2744,U2745,"f",FALSE)</f>
        <v>58099</v>
      </c>
      <c r="W2745" s="210">
        <f>_xll.qlCalendarAdvance(Calendar,V2745,NDays&amp;"D")</f>
        <v>58099</v>
      </c>
      <c r="X2745" s="211">
        <v>2.2317209159803397E-2</v>
      </c>
      <c r="Y2745" s="232"/>
    </row>
    <row r="2746" spans="21:25" x14ac:dyDescent="0.2">
      <c r="U2746" s="209" t="str">
        <f t="shared" si="45"/>
        <v>1w</v>
      </c>
      <c r="V2746" s="207">
        <f>_xll.qlCalendarAdvance(Calendar,V2745,U2746,"f",FALSE)</f>
        <v>58106</v>
      </c>
      <c r="W2746" s="210">
        <f>_xll.qlCalendarAdvance(Calendar,V2746,NDays&amp;"D")</f>
        <v>58106</v>
      </c>
      <c r="X2746" s="211">
        <v>2.2317136899925316E-2</v>
      </c>
      <c r="Y2746" s="232"/>
    </row>
    <row r="2747" spans="21:25" x14ac:dyDescent="0.2">
      <c r="U2747" s="209" t="str">
        <f t="shared" si="45"/>
        <v>1w</v>
      </c>
      <c r="V2747" s="207">
        <f>_xll.qlCalendarAdvance(Calendar,V2746,U2747,"f",FALSE)</f>
        <v>58113</v>
      </c>
      <c r="W2747" s="210">
        <f>_xll.qlCalendarAdvance(Calendar,V2747,NDays&amp;"D")</f>
        <v>58113</v>
      </c>
      <c r="X2747" s="211">
        <v>2.2317085522836067E-2</v>
      </c>
      <c r="Y2747" s="232"/>
    </row>
    <row r="2748" spans="21:25" x14ac:dyDescent="0.2">
      <c r="U2748" s="209" t="str">
        <f t="shared" si="45"/>
        <v>1w</v>
      </c>
      <c r="V2748" s="207">
        <f>_xll.qlCalendarAdvance(Calendar,V2747,U2748,"f",FALSE)</f>
        <v>58120</v>
      </c>
      <c r="W2748" s="210">
        <f>_xll.qlCalendarAdvance(Calendar,V2748,NDays&amp;"D")</f>
        <v>58120</v>
      </c>
      <c r="X2748" s="211">
        <v>2.2317055028482358E-2</v>
      </c>
      <c r="Y2748" s="232"/>
    </row>
    <row r="2749" spans="21:25" x14ac:dyDescent="0.2">
      <c r="U2749" s="209" t="str">
        <f t="shared" si="45"/>
        <v>1w</v>
      </c>
      <c r="V2749" s="207">
        <f>_xll.qlCalendarAdvance(Calendar,V2748,U2749,"f",FALSE)</f>
        <v>58127</v>
      </c>
      <c r="W2749" s="210">
        <f>_xll.qlCalendarAdvance(Calendar,V2749,NDays&amp;"D")</f>
        <v>58127</v>
      </c>
      <c r="X2749" s="211">
        <v>2.231704541686419E-2</v>
      </c>
      <c r="Y2749" s="232"/>
    </row>
    <row r="2750" spans="21:25" x14ac:dyDescent="0.2">
      <c r="U2750" s="209" t="str">
        <f t="shared" si="45"/>
        <v>1w</v>
      </c>
      <c r="V2750" s="207">
        <f>_xll.qlCalendarAdvance(Calendar,V2749,U2750,"f",FALSE)</f>
        <v>58134</v>
      </c>
      <c r="W2750" s="210">
        <f>_xll.qlCalendarAdvance(Calendar,V2750,NDays&amp;"D")</f>
        <v>58134</v>
      </c>
      <c r="X2750" s="211">
        <v>2.2317056688008208E-2</v>
      </c>
      <c r="Y2750" s="232"/>
    </row>
    <row r="2751" spans="21:25" x14ac:dyDescent="0.2">
      <c r="U2751" s="209" t="str">
        <f t="shared" si="45"/>
        <v>1w</v>
      </c>
      <c r="V2751" s="207">
        <f>_xll.qlCalendarAdvance(Calendar,V2750,U2751,"f",FALSE)</f>
        <v>58141</v>
      </c>
      <c r="W2751" s="210">
        <f>_xll.qlCalendarAdvance(Calendar,V2751,NDays&amp;"D")</f>
        <v>58141</v>
      </c>
      <c r="X2751" s="211">
        <v>2.2317088841941057E-2</v>
      </c>
      <c r="Y2751" s="232"/>
    </row>
    <row r="2752" spans="21:25" x14ac:dyDescent="0.2">
      <c r="U2752" s="209" t="str">
        <f t="shared" si="45"/>
        <v>1w</v>
      </c>
      <c r="V2752" s="207">
        <f>_xll.qlCalendarAdvance(Calendar,V2751,U2752,"f",FALSE)</f>
        <v>58148</v>
      </c>
      <c r="W2752" s="210">
        <f>_xll.qlCalendarAdvance(Calendar,V2752,NDays&amp;"D")</f>
        <v>58148</v>
      </c>
      <c r="X2752" s="211">
        <v>2.2317141878582802E-2</v>
      </c>
      <c r="Y2752" s="232"/>
    </row>
    <row r="2753" spans="21:25" x14ac:dyDescent="0.2">
      <c r="U2753" s="209" t="str">
        <f t="shared" si="45"/>
        <v>1w</v>
      </c>
      <c r="V2753" s="207">
        <f>_xll.qlCalendarAdvance(Calendar,V2752,U2753,"f",FALSE)</f>
        <v>58155</v>
      </c>
      <c r="W2753" s="210">
        <f>_xll.qlCalendarAdvance(Calendar,V2753,NDays&amp;"D")</f>
        <v>58155</v>
      </c>
      <c r="X2753" s="211">
        <v>2.2317215797960088E-2</v>
      </c>
      <c r="Y2753" s="232"/>
    </row>
    <row r="2754" spans="21:25" x14ac:dyDescent="0.2">
      <c r="U2754" s="209" t="str">
        <f t="shared" si="45"/>
        <v>1w</v>
      </c>
      <c r="V2754" s="207">
        <f>_xll.qlCalendarAdvance(Calendar,V2753,U2754,"f",FALSE)</f>
        <v>58166</v>
      </c>
      <c r="W2754" s="210">
        <f>_xll.qlCalendarAdvance(Calendar,V2754,NDays&amp;"D")</f>
        <v>58166</v>
      </c>
      <c r="X2754" s="211">
        <v>2.2315974110780346E-2</v>
      </c>
      <c r="Y2754" s="232"/>
    </row>
    <row r="2755" spans="21:25" x14ac:dyDescent="0.2">
      <c r="U2755" s="209" t="str">
        <f t="shared" si="45"/>
        <v>1w</v>
      </c>
      <c r="V2755" s="207">
        <f>_xll.qlCalendarAdvance(Calendar,V2754,U2755,"f",FALSE)</f>
        <v>58173</v>
      </c>
      <c r="W2755" s="210">
        <f>_xll.qlCalendarAdvance(Calendar,V2755,NDays&amp;"D")</f>
        <v>58173</v>
      </c>
      <c r="X2755" s="211">
        <v>2.2316098730055245E-2</v>
      </c>
      <c r="Y2755" s="232"/>
    </row>
    <row r="2756" spans="21:25" x14ac:dyDescent="0.2">
      <c r="U2756" s="209" t="str">
        <f t="shared" si="45"/>
        <v>1w</v>
      </c>
      <c r="V2756" s="207">
        <f>_xll.qlCalendarAdvance(Calendar,V2755,U2756,"f",FALSE)</f>
        <v>58180</v>
      </c>
      <c r="W2756" s="210">
        <f>_xll.qlCalendarAdvance(Calendar,V2756,NDays&amp;"D")</f>
        <v>58180</v>
      </c>
      <c r="X2756" s="211">
        <v>2.2316244229427795E-2</v>
      </c>
      <c r="Y2756" s="232"/>
    </row>
    <row r="2757" spans="21:25" x14ac:dyDescent="0.2">
      <c r="U2757" s="209" t="str">
        <f t="shared" si="45"/>
        <v>1w</v>
      </c>
      <c r="V2757" s="207">
        <f>_xll.qlCalendarAdvance(Calendar,V2756,U2757,"f",FALSE)</f>
        <v>58187</v>
      </c>
      <c r="W2757" s="210">
        <f>_xll.qlCalendarAdvance(Calendar,V2757,NDays&amp;"D")</f>
        <v>58187</v>
      </c>
      <c r="X2757" s="211">
        <v>2.2316410609057868E-2</v>
      </c>
      <c r="Y2757" s="232"/>
    </row>
    <row r="2758" spans="21:25" x14ac:dyDescent="0.2">
      <c r="U2758" s="209" t="str">
        <f t="shared" si="45"/>
        <v>1w</v>
      </c>
      <c r="V2758" s="207">
        <f>_xll.qlCalendarAdvance(Calendar,V2757,U2758,"f",FALSE)</f>
        <v>58194</v>
      </c>
      <c r="W2758" s="210">
        <f>_xll.qlCalendarAdvance(Calendar,V2758,NDays&amp;"D")</f>
        <v>58194</v>
      </c>
      <c r="X2758" s="211">
        <v>2.2316597868865529E-2</v>
      </c>
      <c r="Y2758" s="232"/>
    </row>
    <row r="2759" spans="21:25" x14ac:dyDescent="0.2">
      <c r="U2759" s="209" t="str">
        <f t="shared" si="45"/>
        <v>1w</v>
      </c>
      <c r="V2759" s="207">
        <f>_xll.qlCalendarAdvance(Calendar,V2758,U2759,"f",FALSE)</f>
        <v>58201</v>
      </c>
      <c r="W2759" s="210">
        <f>_xll.qlCalendarAdvance(Calendar,V2759,NDays&amp;"D")</f>
        <v>58201</v>
      </c>
      <c r="X2759" s="211">
        <v>2.2316806008610968E-2</v>
      </c>
      <c r="Y2759" s="232"/>
    </row>
    <row r="2760" spans="21:25" x14ac:dyDescent="0.2">
      <c r="U2760" s="209" t="str">
        <f t="shared" si="45"/>
        <v>1w</v>
      </c>
      <c r="V2760" s="207">
        <f>_xll.qlCalendarAdvance(Calendar,V2759,U2760,"f",FALSE)</f>
        <v>58208</v>
      </c>
      <c r="W2760" s="210">
        <f>_xll.qlCalendarAdvance(Calendar,V2760,NDays&amp;"D")</f>
        <v>58208</v>
      </c>
      <c r="X2760" s="211">
        <v>2.2317035028693866E-2</v>
      </c>
      <c r="Y2760" s="232"/>
    </row>
    <row r="2761" spans="21:25" x14ac:dyDescent="0.2">
      <c r="U2761" s="209" t="str">
        <f t="shared" si="45"/>
        <v>1w</v>
      </c>
      <c r="V2761" s="207">
        <f>_xll.qlCalendarAdvance(Calendar,V2760,U2761,"f",FALSE)</f>
        <v>58215</v>
      </c>
      <c r="W2761" s="210">
        <f>_xll.qlCalendarAdvance(Calendar,V2761,NDays&amp;"D")</f>
        <v>58215</v>
      </c>
      <c r="X2761" s="211">
        <v>2.2317284928874415E-2</v>
      </c>
      <c r="Y2761" s="232"/>
    </row>
    <row r="2762" spans="21:25" x14ac:dyDescent="0.2">
      <c r="U2762" s="209" t="str">
        <f t="shared" si="45"/>
        <v>1w</v>
      </c>
      <c r="V2762" s="207">
        <f>_xll.qlCalendarAdvance(Calendar,V2761,U2762,"f",FALSE)</f>
        <v>58222</v>
      </c>
      <c r="W2762" s="210">
        <f>_xll.qlCalendarAdvance(Calendar,V2762,NDays&amp;"D")</f>
        <v>58222</v>
      </c>
      <c r="X2762" s="211">
        <v>2.2317555709312487E-2</v>
      </c>
      <c r="Y2762" s="232"/>
    </row>
    <row r="2763" spans="21:25" x14ac:dyDescent="0.2">
      <c r="U2763" s="209" t="str">
        <f t="shared" si="45"/>
        <v>1w</v>
      </c>
      <c r="V2763" s="207">
        <f>_xll.qlCalendarAdvance(Calendar,V2762,U2763,"f",FALSE)</f>
        <v>58229</v>
      </c>
      <c r="W2763" s="210">
        <f>_xll.qlCalendarAdvance(Calendar,V2763,NDays&amp;"D")</f>
        <v>58229</v>
      </c>
      <c r="X2763" s="211">
        <v>2.2317847369848209E-2</v>
      </c>
      <c r="Y2763" s="232"/>
    </row>
    <row r="2764" spans="21:25" x14ac:dyDescent="0.2">
      <c r="U2764" s="209" t="str">
        <f t="shared" si="45"/>
        <v>1w</v>
      </c>
      <c r="V2764" s="207">
        <f>_xll.qlCalendarAdvance(Calendar,V2763,U2764,"f",FALSE)</f>
        <v>58236</v>
      </c>
      <c r="W2764" s="210">
        <f>_xll.qlCalendarAdvance(Calendar,V2764,NDays&amp;"D")</f>
        <v>58236</v>
      </c>
      <c r="X2764" s="211">
        <v>2.2318159910641455E-2</v>
      </c>
      <c r="Y2764" s="232"/>
    </row>
    <row r="2765" spans="21:25" x14ac:dyDescent="0.2">
      <c r="U2765" s="209" t="str">
        <f t="shared" ref="U2765:U2828" si="46">U2764</f>
        <v>1w</v>
      </c>
      <c r="V2765" s="207">
        <f>_xll.qlCalendarAdvance(Calendar,V2764,U2765,"f",FALSE)</f>
        <v>58243</v>
      </c>
      <c r="W2765" s="210">
        <f>_xll.qlCalendarAdvance(Calendar,V2765,NDays&amp;"D")</f>
        <v>58243</v>
      </c>
      <c r="X2765" s="211">
        <v>2.2318493331452416E-2</v>
      </c>
      <c r="Y2765" s="232"/>
    </row>
    <row r="2766" spans="21:25" x14ac:dyDescent="0.2">
      <c r="U2766" s="209" t="str">
        <f t="shared" si="46"/>
        <v>1w</v>
      </c>
      <c r="V2766" s="207">
        <f>_xll.qlCalendarAdvance(Calendar,V2765,U2766,"f",FALSE)</f>
        <v>58250</v>
      </c>
      <c r="W2766" s="210">
        <f>_xll.qlCalendarAdvance(Calendar,V2766,NDays&amp;"D")</f>
        <v>58250</v>
      </c>
      <c r="X2766" s="211">
        <v>2.2318847632440963E-2</v>
      </c>
      <c r="Y2766" s="232"/>
    </row>
    <row r="2767" spans="21:25" x14ac:dyDescent="0.2">
      <c r="U2767" s="209" t="str">
        <f t="shared" si="46"/>
        <v>1w</v>
      </c>
      <c r="V2767" s="207">
        <f>_xll.qlCalendarAdvance(Calendar,V2766,U2767,"f",FALSE)</f>
        <v>58257</v>
      </c>
      <c r="W2767" s="210">
        <f>_xll.qlCalendarAdvance(Calendar,V2767,NDays&amp;"D")</f>
        <v>58257</v>
      </c>
      <c r="X2767" s="211">
        <v>2.2319222813607098E-2</v>
      </c>
      <c r="Y2767" s="232"/>
    </row>
    <row r="2768" spans="21:25" x14ac:dyDescent="0.2">
      <c r="U2768" s="209" t="str">
        <f t="shared" si="46"/>
        <v>1w</v>
      </c>
      <c r="V2768" s="207">
        <f>_xll.qlCalendarAdvance(Calendar,V2767,U2768,"f",FALSE)</f>
        <v>58264</v>
      </c>
      <c r="W2768" s="210">
        <f>_xll.qlCalendarAdvance(Calendar,V2768,NDays&amp;"D")</f>
        <v>58264</v>
      </c>
      <c r="X2768" s="211">
        <v>2.2319618875030756E-2</v>
      </c>
      <c r="Y2768" s="232"/>
    </row>
    <row r="2769" spans="21:25" x14ac:dyDescent="0.2">
      <c r="U2769" s="209" t="str">
        <f t="shared" si="46"/>
        <v>1w</v>
      </c>
      <c r="V2769" s="207">
        <f>_xll.qlCalendarAdvance(Calendar,V2768,U2769,"f",FALSE)</f>
        <v>58271</v>
      </c>
      <c r="W2769" s="210">
        <f>_xll.qlCalendarAdvance(Calendar,V2769,NDays&amp;"D")</f>
        <v>58271</v>
      </c>
      <c r="X2769" s="211">
        <v>2.2320035816632E-2</v>
      </c>
      <c r="Y2769" s="232"/>
    </row>
    <row r="2770" spans="21:25" x14ac:dyDescent="0.2">
      <c r="U2770" s="209" t="str">
        <f t="shared" si="46"/>
        <v>1w</v>
      </c>
      <c r="V2770" s="207">
        <f>_xll.qlCalendarAdvance(Calendar,V2769,U2770,"f",FALSE)</f>
        <v>58278</v>
      </c>
      <c r="W2770" s="210">
        <f>_xll.qlCalendarAdvance(Calendar,V2770,NDays&amp;"D")</f>
        <v>58278</v>
      </c>
      <c r="X2770" s="211">
        <v>2.2320473638250959E-2</v>
      </c>
      <c r="Y2770" s="232"/>
    </row>
    <row r="2771" spans="21:25" x14ac:dyDescent="0.2">
      <c r="U2771" s="209" t="str">
        <f t="shared" si="46"/>
        <v>1w</v>
      </c>
      <c r="V2771" s="207">
        <f>_xll.qlCalendarAdvance(Calendar,V2770,U2771,"f",FALSE)</f>
        <v>58285</v>
      </c>
      <c r="W2771" s="210">
        <f>_xll.qlCalendarAdvance(Calendar,V2771,NDays&amp;"D")</f>
        <v>58285</v>
      </c>
      <c r="X2771" s="211">
        <v>2.2320932340127442E-2</v>
      </c>
      <c r="Y2771" s="232"/>
    </row>
    <row r="2772" spans="21:25" x14ac:dyDescent="0.2">
      <c r="U2772" s="209" t="str">
        <f t="shared" si="46"/>
        <v>1w</v>
      </c>
      <c r="V2772" s="207">
        <f>_xll.qlCalendarAdvance(Calendar,V2771,U2772,"f",FALSE)</f>
        <v>58292</v>
      </c>
      <c r="W2772" s="210">
        <f>_xll.qlCalendarAdvance(Calendar,V2772,NDays&amp;"D")</f>
        <v>58292</v>
      </c>
      <c r="X2772" s="211">
        <v>2.2321411922181511E-2</v>
      </c>
      <c r="Y2772" s="232"/>
    </row>
    <row r="2773" spans="21:25" x14ac:dyDescent="0.2">
      <c r="U2773" s="209" t="str">
        <f t="shared" si="46"/>
        <v>1w</v>
      </c>
      <c r="V2773" s="207">
        <f>_xll.qlCalendarAdvance(Calendar,V2772,U2773,"f",FALSE)</f>
        <v>58299</v>
      </c>
      <c r="W2773" s="210">
        <f>_xll.qlCalendarAdvance(Calendar,V2773,NDays&amp;"D")</f>
        <v>58299</v>
      </c>
      <c r="X2773" s="211">
        <v>2.2321912384413167E-2</v>
      </c>
      <c r="Y2773" s="232"/>
    </row>
    <row r="2774" spans="21:25" x14ac:dyDescent="0.2">
      <c r="U2774" s="209" t="str">
        <f t="shared" si="46"/>
        <v>1w</v>
      </c>
      <c r="V2774" s="207">
        <f>_xll.qlCalendarAdvance(Calendar,V2773,U2774,"f",FALSE)</f>
        <v>58306</v>
      </c>
      <c r="W2774" s="210">
        <f>_xll.qlCalendarAdvance(Calendar,V2774,NDays&amp;"D")</f>
        <v>58306</v>
      </c>
      <c r="X2774" s="211">
        <v>2.2322433726742474E-2</v>
      </c>
      <c r="Y2774" s="232"/>
    </row>
    <row r="2775" spans="21:25" x14ac:dyDescent="0.2">
      <c r="U2775" s="209" t="str">
        <f t="shared" si="46"/>
        <v>1w</v>
      </c>
      <c r="V2775" s="207">
        <f>_xll.qlCalendarAdvance(Calendar,V2774,U2775,"f",FALSE)</f>
        <v>58313</v>
      </c>
      <c r="W2775" s="210">
        <f>_xll.qlCalendarAdvance(Calendar,V2775,NDays&amp;"D")</f>
        <v>58313</v>
      </c>
      <c r="X2775" s="211">
        <v>2.2322975949329305E-2</v>
      </c>
      <c r="Y2775" s="232"/>
    </row>
    <row r="2776" spans="21:25" x14ac:dyDescent="0.2">
      <c r="U2776" s="209" t="str">
        <f t="shared" si="46"/>
        <v>1w</v>
      </c>
      <c r="V2776" s="207">
        <f>_xll.qlCalendarAdvance(Calendar,V2775,U2776,"f",FALSE)</f>
        <v>58320</v>
      </c>
      <c r="W2776" s="210">
        <f>_xll.qlCalendarAdvance(Calendar,V2776,NDays&amp;"D")</f>
        <v>58320</v>
      </c>
      <c r="X2776" s="211">
        <v>2.2323539052013786E-2</v>
      </c>
      <c r="Y2776" s="232"/>
    </row>
    <row r="2777" spans="21:25" x14ac:dyDescent="0.2">
      <c r="U2777" s="209" t="str">
        <f t="shared" si="46"/>
        <v>1w</v>
      </c>
      <c r="V2777" s="207">
        <f>_xll.qlCalendarAdvance(Calendar,V2776,U2777,"f",FALSE)</f>
        <v>58327</v>
      </c>
      <c r="W2777" s="210">
        <f>_xll.qlCalendarAdvance(Calendar,V2777,NDays&amp;"D")</f>
        <v>58327</v>
      </c>
      <c r="X2777" s="211">
        <v>2.2324123034875853E-2</v>
      </c>
      <c r="Y2777" s="232"/>
    </row>
    <row r="2778" spans="21:25" x14ac:dyDescent="0.2">
      <c r="U2778" s="209" t="str">
        <f t="shared" si="46"/>
        <v>1w</v>
      </c>
      <c r="V2778" s="207">
        <f>_xll.qlCalendarAdvance(Calendar,V2777,U2778,"f",FALSE)</f>
        <v>58334</v>
      </c>
      <c r="W2778" s="210">
        <f>_xll.qlCalendarAdvance(Calendar,V2778,NDays&amp;"D")</f>
        <v>58334</v>
      </c>
      <c r="X2778" s="211">
        <v>2.2324727897915508E-2</v>
      </c>
      <c r="Y2778" s="232"/>
    </row>
    <row r="2779" spans="21:25" x14ac:dyDescent="0.2">
      <c r="U2779" s="209" t="str">
        <f t="shared" si="46"/>
        <v>1w</v>
      </c>
      <c r="V2779" s="207">
        <f>_xll.qlCalendarAdvance(Calendar,V2778,U2779,"f",FALSE)</f>
        <v>58341</v>
      </c>
      <c r="W2779" s="210">
        <f>_xll.qlCalendarAdvance(Calendar,V2779,NDays&amp;"D")</f>
        <v>58341</v>
      </c>
      <c r="X2779" s="211">
        <v>2.2325353641052814E-2</v>
      </c>
      <c r="Y2779" s="232"/>
    </row>
    <row r="2780" spans="21:25" x14ac:dyDescent="0.2">
      <c r="U2780" s="209" t="str">
        <f t="shared" si="46"/>
        <v>1w</v>
      </c>
      <c r="V2780" s="207">
        <f>_xll.qlCalendarAdvance(Calendar,V2779,U2780,"f",FALSE)</f>
        <v>58348</v>
      </c>
      <c r="W2780" s="210">
        <f>_xll.qlCalendarAdvance(Calendar,V2780,NDays&amp;"D")</f>
        <v>58348</v>
      </c>
      <c r="X2780" s="211">
        <v>2.2326000264607515E-2</v>
      </c>
      <c r="Y2780" s="232"/>
    </row>
    <row r="2781" spans="21:25" x14ac:dyDescent="0.2">
      <c r="U2781" s="209" t="str">
        <f t="shared" si="46"/>
        <v>1w</v>
      </c>
      <c r="V2781" s="207">
        <f>_xll.qlCalendarAdvance(Calendar,V2780,U2781,"f",FALSE)</f>
        <v>58355</v>
      </c>
      <c r="W2781" s="210">
        <f>_xll.qlCalendarAdvance(Calendar,V2781,NDays&amp;"D")</f>
        <v>58355</v>
      </c>
      <c r="X2781" s="211">
        <v>2.2326667768020059E-2</v>
      </c>
      <c r="Y2781" s="232"/>
    </row>
    <row r="2782" spans="21:25" x14ac:dyDescent="0.2">
      <c r="U2782" s="209" t="str">
        <f t="shared" si="46"/>
        <v>1w</v>
      </c>
      <c r="V2782" s="207">
        <f>_xll.qlCalendarAdvance(Calendar,V2781,U2782,"f",FALSE)</f>
        <v>58362</v>
      </c>
      <c r="W2782" s="210">
        <f>_xll.qlCalendarAdvance(Calendar,V2782,NDays&amp;"D")</f>
        <v>58362</v>
      </c>
      <c r="X2782" s="211">
        <v>2.2327356151690125E-2</v>
      </c>
      <c r="Y2782" s="232"/>
    </row>
    <row r="2783" spans="21:25" x14ac:dyDescent="0.2">
      <c r="U2783" s="209" t="str">
        <f t="shared" si="46"/>
        <v>1w</v>
      </c>
      <c r="V2783" s="207">
        <f>_xll.qlCalendarAdvance(Calendar,V2782,U2783,"f",FALSE)</f>
        <v>58369</v>
      </c>
      <c r="W2783" s="210">
        <f>_xll.qlCalendarAdvance(Calendar,V2783,NDays&amp;"D")</f>
        <v>58369</v>
      </c>
      <c r="X2783" s="211">
        <v>2.2328065415617715E-2</v>
      </c>
      <c r="Y2783" s="232"/>
    </row>
    <row r="2784" spans="21:25" x14ac:dyDescent="0.2">
      <c r="U2784" s="209" t="str">
        <f t="shared" si="46"/>
        <v>1w</v>
      </c>
      <c r="V2784" s="207">
        <f>_xll.qlCalendarAdvance(Calendar,V2783,U2784,"f",FALSE)</f>
        <v>58376</v>
      </c>
      <c r="W2784" s="210">
        <f>_xll.qlCalendarAdvance(Calendar,V2784,NDays&amp;"D")</f>
        <v>58376</v>
      </c>
      <c r="X2784" s="211">
        <v>2.2328795559642955E-2</v>
      </c>
      <c r="Y2784" s="232"/>
    </row>
    <row r="2785" spans="21:25" x14ac:dyDescent="0.2">
      <c r="U2785" s="209" t="str">
        <f t="shared" si="46"/>
        <v>1w</v>
      </c>
      <c r="V2785" s="207">
        <f>_xll.qlCalendarAdvance(Calendar,V2784,U2785,"f",FALSE)</f>
        <v>58383</v>
      </c>
      <c r="W2785" s="210">
        <f>_xll.qlCalendarAdvance(Calendar,V2785,NDays&amp;"D")</f>
        <v>58383</v>
      </c>
      <c r="X2785" s="211">
        <v>2.2329546583765847E-2</v>
      </c>
      <c r="Y2785" s="232"/>
    </row>
    <row r="2786" spans="21:25" x14ac:dyDescent="0.2">
      <c r="U2786" s="209" t="str">
        <f t="shared" si="46"/>
        <v>1w</v>
      </c>
      <c r="V2786" s="207">
        <f>_xll.qlCalendarAdvance(Calendar,V2785,U2786,"f",FALSE)</f>
        <v>58390</v>
      </c>
      <c r="W2786" s="210">
        <f>_xll.qlCalendarAdvance(Calendar,V2786,NDays&amp;"D")</f>
        <v>58390</v>
      </c>
      <c r="X2786" s="211">
        <v>2.2330318488226197E-2</v>
      </c>
      <c r="Y2786" s="232"/>
    </row>
    <row r="2787" spans="21:25" x14ac:dyDescent="0.2">
      <c r="U2787" s="209" t="str">
        <f t="shared" si="46"/>
        <v>1w</v>
      </c>
      <c r="V2787" s="207">
        <f>_xll.qlCalendarAdvance(Calendar,V2786,U2787,"f",FALSE)</f>
        <v>58397</v>
      </c>
      <c r="W2787" s="210">
        <f>_xll.qlCalendarAdvance(Calendar,V2787,NDays&amp;"D")</f>
        <v>58397</v>
      </c>
      <c r="X2787" s="211">
        <v>2.2331111272704263E-2</v>
      </c>
      <c r="Y2787" s="232"/>
    </row>
    <row r="2788" spans="21:25" x14ac:dyDescent="0.2">
      <c r="U2788" s="209" t="str">
        <f t="shared" si="46"/>
        <v>1w</v>
      </c>
      <c r="V2788" s="207">
        <f>_xll.qlCalendarAdvance(Calendar,V2787,U2788,"f",FALSE)</f>
        <v>58404</v>
      </c>
      <c r="W2788" s="210">
        <f>_xll.qlCalendarAdvance(Calendar,V2788,NDays&amp;"D")</f>
        <v>58404</v>
      </c>
      <c r="X2788" s="211">
        <v>2.2331924937439851E-2</v>
      </c>
      <c r="Y2788" s="232"/>
    </row>
    <row r="2789" spans="21:25" x14ac:dyDescent="0.2">
      <c r="U2789" s="209" t="str">
        <f t="shared" si="46"/>
        <v>1w</v>
      </c>
      <c r="V2789" s="207">
        <f>_xll.qlCalendarAdvance(Calendar,V2788,U2789,"f",FALSE)</f>
        <v>58411</v>
      </c>
      <c r="W2789" s="210">
        <f>_xll.qlCalendarAdvance(Calendar,V2789,NDays&amp;"D")</f>
        <v>58411</v>
      </c>
      <c r="X2789" s="211">
        <v>2.233275948227309E-2</v>
      </c>
      <c r="Y2789" s="232"/>
    </row>
    <row r="2790" spans="21:25" x14ac:dyDescent="0.2">
      <c r="U2790" s="209" t="str">
        <f t="shared" si="46"/>
        <v>1w</v>
      </c>
      <c r="V2790" s="207">
        <f>_xll.qlCalendarAdvance(Calendar,V2789,U2790,"f",FALSE)</f>
        <v>58418</v>
      </c>
      <c r="W2790" s="210">
        <f>_xll.qlCalendarAdvance(Calendar,V2790,NDays&amp;"D")</f>
        <v>58418</v>
      </c>
      <c r="X2790" s="211">
        <v>2.2333614907443788E-2</v>
      </c>
      <c r="Y2790" s="232"/>
    </row>
    <row r="2791" spans="21:25" x14ac:dyDescent="0.2">
      <c r="U2791" s="209" t="str">
        <f t="shared" si="46"/>
        <v>1w</v>
      </c>
      <c r="V2791" s="207">
        <f>_xll.qlCalendarAdvance(Calendar,V2790,U2791,"f",FALSE)</f>
        <v>58425</v>
      </c>
      <c r="W2791" s="210">
        <f>_xll.qlCalendarAdvance(Calendar,V2791,NDays&amp;"D")</f>
        <v>58425</v>
      </c>
      <c r="X2791" s="211">
        <v>2.2334491212472329E-2</v>
      </c>
      <c r="Y2791" s="232"/>
    </row>
    <row r="2792" spans="21:25" x14ac:dyDescent="0.2">
      <c r="U2792" s="209" t="str">
        <f t="shared" si="46"/>
        <v>1w</v>
      </c>
      <c r="V2792" s="207">
        <f>_xll.qlCalendarAdvance(Calendar,V2791,U2792,"f",FALSE)</f>
        <v>58432</v>
      </c>
      <c r="W2792" s="210">
        <f>_xll.qlCalendarAdvance(Calendar,V2792,NDays&amp;"D")</f>
        <v>58432</v>
      </c>
      <c r="X2792" s="211">
        <v>2.2335388397918265E-2</v>
      </c>
      <c r="Y2792" s="232"/>
    </row>
    <row r="2793" spans="21:25" x14ac:dyDescent="0.2">
      <c r="U2793" s="209" t="str">
        <f t="shared" si="46"/>
        <v>1w</v>
      </c>
      <c r="V2793" s="207">
        <f>_xll.qlCalendarAdvance(Calendar,V2792,U2793,"f",FALSE)</f>
        <v>58439</v>
      </c>
      <c r="W2793" s="210">
        <f>_xll.qlCalendarAdvance(Calendar,V2793,NDays&amp;"D")</f>
        <v>58439</v>
      </c>
      <c r="X2793" s="211">
        <v>2.2336306463541789E-2</v>
      </c>
      <c r="Y2793" s="232"/>
    </row>
    <row r="2794" spans="21:25" x14ac:dyDescent="0.2">
      <c r="U2794" s="209" t="str">
        <f t="shared" si="46"/>
        <v>1w</v>
      </c>
      <c r="V2794" s="207">
        <f>_xll.qlCalendarAdvance(Calendar,V2793,U2794,"f",FALSE)</f>
        <v>58446</v>
      </c>
      <c r="W2794" s="210">
        <f>_xll.qlCalendarAdvance(Calendar,V2794,NDays&amp;"D")</f>
        <v>58446</v>
      </c>
      <c r="X2794" s="211">
        <v>2.2337245409262962E-2</v>
      </c>
      <c r="Y2794" s="232"/>
    </row>
    <row r="2795" spans="21:25" x14ac:dyDescent="0.2">
      <c r="U2795" s="209" t="str">
        <f t="shared" si="46"/>
        <v>1w</v>
      </c>
      <c r="V2795" s="207">
        <f>_xll.qlCalendarAdvance(Calendar,V2794,U2795,"f",FALSE)</f>
        <v>58453</v>
      </c>
      <c r="W2795" s="210">
        <f>_xll.qlCalendarAdvance(Calendar,V2795,NDays&amp;"D")</f>
        <v>58453</v>
      </c>
      <c r="X2795" s="211">
        <v>2.2338205235081787E-2</v>
      </c>
      <c r="Y2795" s="232"/>
    </row>
    <row r="2796" spans="21:25" x14ac:dyDescent="0.2">
      <c r="U2796" s="209" t="str">
        <f t="shared" si="46"/>
        <v>1w</v>
      </c>
      <c r="V2796" s="207">
        <f>_xll.qlCalendarAdvance(Calendar,V2795,U2796,"f",FALSE)</f>
        <v>58460</v>
      </c>
      <c r="W2796" s="210">
        <f>_xll.qlCalendarAdvance(Calendar,V2796,NDays&amp;"D")</f>
        <v>58460</v>
      </c>
      <c r="X2796" s="211">
        <v>2.2339185941238071E-2</v>
      </c>
      <c r="Y2796" s="232"/>
    </row>
    <row r="2797" spans="21:25" x14ac:dyDescent="0.2">
      <c r="U2797" s="209" t="str">
        <f t="shared" si="46"/>
        <v>1w</v>
      </c>
      <c r="V2797" s="207">
        <f>_xll.qlCalendarAdvance(Calendar,V2796,U2797,"f",FALSE)</f>
        <v>58467</v>
      </c>
      <c r="W2797" s="210">
        <f>_xll.qlCalendarAdvance(Calendar,V2797,NDays&amp;"D")</f>
        <v>58467</v>
      </c>
      <c r="X2797" s="211">
        <v>2.2340187527332134E-2</v>
      </c>
      <c r="Y2797" s="232"/>
    </row>
    <row r="2798" spans="21:25" x14ac:dyDescent="0.2">
      <c r="U2798" s="209" t="str">
        <f t="shared" si="46"/>
        <v>1w</v>
      </c>
      <c r="V2798" s="207">
        <f>_xll.qlCalendarAdvance(Calendar,V2797,U2798,"f",FALSE)</f>
        <v>58474</v>
      </c>
      <c r="W2798" s="210">
        <f>_xll.qlCalendarAdvance(Calendar,V2798,NDays&amp;"D")</f>
        <v>58474</v>
      </c>
      <c r="X2798" s="211">
        <v>2.2341209993763655E-2</v>
      </c>
      <c r="Y2798" s="232"/>
    </row>
    <row r="2799" spans="21:25" x14ac:dyDescent="0.2">
      <c r="U2799" s="209" t="str">
        <f t="shared" si="46"/>
        <v>1w</v>
      </c>
      <c r="V2799" s="207">
        <f>_xll.qlCalendarAdvance(Calendar,V2798,U2799,"f",FALSE)</f>
        <v>58481</v>
      </c>
      <c r="W2799" s="210">
        <f>_xll.qlCalendarAdvance(Calendar,V2799,NDays&amp;"D")</f>
        <v>58481</v>
      </c>
      <c r="X2799" s="211">
        <v>2.2342253340292828E-2</v>
      </c>
      <c r="Y2799" s="232"/>
    </row>
    <row r="2800" spans="21:25" x14ac:dyDescent="0.2">
      <c r="U2800" s="209" t="str">
        <f t="shared" si="46"/>
        <v>1w</v>
      </c>
      <c r="V2800" s="207">
        <f>_xll.qlCalendarAdvance(Calendar,V2799,U2800,"f",FALSE)</f>
        <v>58488</v>
      </c>
      <c r="W2800" s="210">
        <f>_xll.qlCalendarAdvance(Calendar,V2800,NDays&amp;"D")</f>
        <v>58488</v>
      </c>
      <c r="X2800" s="211">
        <v>2.234331756715946E-2</v>
      </c>
      <c r="Y2800" s="232"/>
    </row>
    <row r="2801" spans="21:25" x14ac:dyDescent="0.2">
      <c r="U2801" s="209" t="str">
        <f t="shared" si="46"/>
        <v>1w</v>
      </c>
      <c r="V2801" s="207">
        <f>_xll.qlCalendarAdvance(Calendar,V2800,U2801,"f",FALSE)</f>
        <v>58495</v>
      </c>
      <c r="W2801" s="210">
        <f>_xll.qlCalendarAdvance(Calendar,V2801,NDays&amp;"D")</f>
        <v>58495</v>
      </c>
      <c r="X2801" s="211">
        <v>2.2344402674043806E-2</v>
      </c>
      <c r="Y2801" s="232"/>
    </row>
    <row r="2802" spans="21:25" x14ac:dyDescent="0.2">
      <c r="U2802" s="209" t="str">
        <f t="shared" si="46"/>
        <v>1w</v>
      </c>
      <c r="V2802" s="207">
        <f>_xll.qlCalendarAdvance(Calendar,V2801,U2802,"f",FALSE)</f>
        <v>58502</v>
      </c>
      <c r="W2802" s="210">
        <f>_xll.qlCalendarAdvance(Calendar,V2802,NDays&amp;"D")</f>
        <v>58502</v>
      </c>
      <c r="X2802" s="211">
        <v>2.234550866110574E-2</v>
      </c>
      <c r="Y2802" s="232"/>
    </row>
    <row r="2803" spans="21:25" x14ac:dyDescent="0.2">
      <c r="U2803" s="209" t="str">
        <f t="shared" si="46"/>
        <v>1w</v>
      </c>
      <c r="V2803" s="207">
        <f>_xll.qlCalendarAdvance(Calendar,V2802,U2803,"f",FALSE)</f>
        <v>58509</v>
      </c>
      <c r="W2803" s="210">
        <f>_xll.qlCalendarAdvance(Calendar,V2803,NDays&amp;"D")</f>
        <v>58509</v>
      </c>
      <c r="X2803" s="211">
        <v>2.234663552834526E-2</v>
      </c>
      <c r="Y2803" s="232"/>
    </row>
    <row r="2804" spans="21:25" x14ac:dyDescent="0.2">
      <c r="U2804" s="209" t="str">
        <f t="shared" si="46"/>
        <v>1w</v>
      </c>
      <c r="V2804" s="207">
        <f>_xll.qlCalendarAdvance(Calendar,V2803,U2804,"f",FALSE)</f>
        <v>58516</v>
      </c>
      <c r="W2804" s="210">
        <f>_xll.qlCalendarAdvance(Calendar,V2804,NDays&amp;"D")</f>
        <v>58516</v>
      </c>
      <c r="X2804" s="211">
        <v>2.2347783275682431E-2</v>
      </c>
      <c r="Y2804" s="232"/>
    </row>
    <row r="2805" spans="21:25" x14ac:dyDescent="0.2">
      <c r="U2805" s="209" t="str">
        <f t="shared" si="46"/>
        <v>1w</v>
      </c>
      <c r="V2805" s="207">
        <f>_xll.qlCalendarAdvance(Calendar,V2804,U2805,"f",FALSE)</f>
        <v>58523</v>
      </c>
      <c r="W2805" s="210">
        <f>_xll.qlCalendarAdvance(Calendar,V2805,NDays&amp;"D")</f>
        <v>58523</v>
      </c>
      <c r="X2805" s="211">
        <v>2.2348951903436998E-2</v>
      </c>
      <c r="Y2805" s="232"/>
    </row>
    <row r="2806" spans="21:25" x14ac:dyDescent="0.2">
      <c r="U2806" s="209" t="str">
        <f t="shared" si="46"/>
        <v>1w</v>
      </c>
      <c r="V2806" s="207">
        <f>_xll.qlCalendarAdvance(Calendar,V2805,U2806,"f",FALSE)</f>
        <v>58530</v>
      </c>
      <c r="W2806" s="210">
        <f>_xll.qlCalendarAdvance(Calendar,V2806,NDays&amp;"D")</f>
        <v>58530</v>
      </c>
      <c r="X2806" s="211">
        <v>2.2350141411049407E-2</v>
      </c>
      <c r="Y2806" s="232"/>
    </row>
    <row r="2807" spans="21:25" x14ac:dyDescent="0.2">
      <c r="U2807" s="209" t="str">
        <f t="shared" si="46"/>
        <v>1w</v>
      </c>
      <c r="V2807" s="207">
        <f>_xll.qlCalendarAdvance(Calendar,V2806,U2807,"f",FALSE)</f>
        <v>58537</v>
      </c>
      <c r="W2807" s="210">
        <f>_xll.qlCalendarAdvance(Calendar,V2807,NDays&amp;"D")</f>
        <v>58537</v>
      </c>
      <c r="X2807" s="211">
        <v>2.2351351798999275E-2</v>
      </c>
      <c r="Y2807" s="232"/>
    </row>
    <row r="2808" spans="21:25" x14ac:dyDescent="0.2">
      <c r="U2808" s="209" t="str">
        <f t="shared" si="46"/>
        <v>1w</v>
      </c>
      <c r="V2808" s="207">
        <f>_xll.qlCalendarAdvance(Calendar,V2807,U2808,"f",FALSE)</f>
        <v>58544</v>
      </c>
      <c r="W2808" s="210">
        <f>_xll.qlCalendarAdvance(Calendar,V2808,NDays&amp;"D")</f>
        <v>58544</v>
      </c>
      <c r="X2808" s="211">
        <v>2.235258306712673E-2</v>
      </c>
      <c r="Y2808" s="232"/>
    </row>
    <row r="2809" spans="21:25" x14ac:dyDescent="0.2">
      <c r="U2809" s="209" t="str">
        <f t="shared" si="46"/>
        <v>1w</v>
      </c>
      <c r="V2809" s="207">
        <f>_xll.qlCalendarAdvance(Calendar,V2808,U2809,"f",FALSE)</f>
        <v>58551</v>
      </c>
      <c r="W2809" s="210">
        <f>_xll.qlCalendarAdvance(Calendar,V2809,NDays&amp;"D")</f>
        <v>58551</v>
      </c>
      <c r="X2809" s="211">
        <v>2.2353835215431772E-2</v>
      </c>
      <c r="Y2809" s="232"/>
    </row>
    <row r="2810" spans="21:25" x14ac:dyDescent="0.2">
      <c r="U2810" s="209" t="str">
        <f t="shared" si="46"/>
        <v>1w</v>
      </c>
      <c r="V2810" s="207">
        <f>_xll.qlCalendarAdvance(Calendar,V2809,U2810,"f",FALSE)</f>
        <v>58558</v>
      </c>
      <c r="W2810" s="210">
        <f>_xll.qlCalendarAdvance(Calendar,V2810,NDays&amp;"D")</f>
        <v>58558</v>
      </c>
      <c r="X2810" s="211">
        <v>2.2355108243754529E-2</v>
      </c>
      <c r="Y2810" s="232"/>
    </row>
    <row r="2811" spans="21:25" x14ac:dyDescent="0.2">
      <c r="U2811" s="209" t="str">
        <f t="shared" si="46"/>
        <v>1w</v>
      </c>
      <c r="V2811" s="207">
        <f>_xll.qlCalendarAdvance(Calendar,V2810,U2811,"f",FALSE)</f>
        <v>58565</v>
      </c>
      <c r="W2811" s="210">
        <f>_xll.qlCalendarAdvance(Calendar,V2811,NDays&amp;"D")</f>
        <v>58565</v>
      </c>
      <c r="X2811" s="211">
        <v>2.2356402152494681E-2</v>
      </c>
      <c r="Y2811" s="232"/>
    </row>
    <row r="2812" spans="21:25" x14ac:dyDescent="0.2">
      <c r="U2812" s="209" t="str">
        <f t="shared" si="46"/>
        <v>1w</v>
      </c>
      <c r="V2812" s="207">
        <f>_xll.qlCalendarAdvance(Calendar,V2811,U2812,"f",FALSE)</f>
        <v>58572</v>
      </c>
      <c r="W2812" s="210">
        <f>_xll.qlCalendarAdvance(Calendar,V2812,NDays&amp;"D")</f>
        <v>58572</v>
      </c>
      <c r="X2812" s="211">
        <v>2.2357716941332484E-2</v>
      </c>
      <c r="Y2812" s="232"/>
    </row>
    <row r="2813" spans="21:25" x14ac:dyDescent="0.2">
      <c r="U2813" s="209" t="str">
        <f t="shared" si="46"/>
        <v>1w</v>
      </c>
      <c r="V2813" s="207">
        <f>_xll.qlCalendarAdvance(Calendar,V2812,U2813,"f",FALSE)</f>
        <v>58579</v>
      </c>
      <c r="W2813" s="210">
        <f>_xll.qlCalendarAdvance(Calendar,V2813,NDays&amp;"D")</f>
        <v>58579</v>
      </c>
      <c r="X2813" s="211">
        <v>2.2359052610108066E-2</v>
      </c>
      <c r="Y2813" s="232"/>
    </row>
    <row r="2814" spans="21:25" x14ac:dyDescent="0.2">
      <c r="U2814" s="209" t="str">
        <f t="shared" si="46"/>
        <v>1w</v>
      </c>
      <c r="V2814" s="207">
        <f>_xll.qlCalendarAdvance(Calendar,V2813,U2814,"f",FALSE)</f>
        <v>58586</v>
      </c>
      <c r="W2814" s="210">
        <f>_xll.qlCalendarAdvance(Calendar,V2814,NDays&amp;"D")</f>
        <v>58586</v>
      </c>
      <c r="X2814" s="211">
        <v>2.2360409159380978E-2</v>
      </c>
      <c r="Y2814" s="232"/>
    </row>
    <row r="2815" spans="21:25" x14ac:dyDescent="0.2">
      <c r="U2815" s="209" t="str">
        <f t="shared" si="46"/>
        <v>1w</v>
      </c>
      <c r="V2815" s="207">
        <f>_xll.qlCalendarAdvance(Calendar,V2814,U2815,"f",FALSE)</f>
        <v>58593</v>
      </c>
      <c r="W2815" s="210">
        <f>_xll.qlCalendarAdvance(Calendar,V2815,NDays&amp;"D")</f>
        <v>58593</v>
      </c>
      <c r="X2815" s="211">
        <v>2.2361786588671606E-2</v>
      </c>
      <c r="Y2815" s="232"/>
    </row>
    <row r="2816" spans="21:25" x14ac:dyDescent="0.2">
      <c r="U2816" s="209" t="str">
        <f t="shared" si="46"/>
        <v>1w</v>
      </c>
      <c r="V2816" s="207">
        <f>_xll.qlCalendarAdvance(Calendar,V2815,U2816,"f",FALSE)</f>
        <v>58600</v>
      </c>
      <c r="W2816" s="210">
        <f>_xll.qlCalendarAdvance(Calendar,V2816,NDays&amp;"D")</f>
        <v>58600</v>
      </c>
      <c r="X2816" s="211">
        <v>2.2363184898139821E-2</v>
      </c>
      <c r="Y2816" s="232"/>
    </row>
    <row r="2817" spans="21:25" x14ac:dyDescent="0.2">
      <c r="U2817" s="209" t="str">
        <f t="shared" si="46"/>
        <v>1w</v>
      </c>
      <c r="V2817" s="207">
        <f>_xll.qlCalendarAdvance(Calendar,V2816,U2817,"f",FALSE)</f>
        <v>58607</v>
      </c>
      <c r="W2817" s="210">
        <f>_xll.qlCalendarAdvance(Calendar,V2817,NDays&amp;"D")</f>
        <v>58607</v>
      </c>
      <c r="X2817" s="211">
        <v>2.2364604087705686E-2</v>
      </c>
      <c r="Y2817" s="232"/>
    </row>
    <row r="2818" spans="21:25" x14ac:dyDescent="0.2">
      <c r="U2818" s="209" t="str">
        <f t="shared" si="46"/>
        <v>1w</v>
      </c>
      <c r="V2818" s="207">
        <f>_xll.qlCalendarAdvance(Calendar,V2817,U2818,"f",FALSE)</f>
        <v>58614</v>
      </c>
      <c r="W2818" s="210">
        <f>_xll.qlCalendarAdvance(Calendar,V2818,NDays&amp;"D")</f>
        <v>58614</v>
      </c>
      <c r="X2818" s="211">
        <v>2.2366044157609011E-2</v>
      </c>
      <c r="Y2818" s="232"/>
    </row>
    <row r="2819" spans="21:25" x14ac:dyDescent="0.2">
      <c r="U2819" s="209" t="str">
        <f t="shared" si="46"/>
        <v>1w</v>
      </c>
      <c r="V2819" s="207">
        <f>_xll.qlCalendarAdvance(Calendar,V2818,U2819,"f",FALSE)</f>
        <v>58621</v>
      </c>
      <c r="W2819" s="210">
        <f>_xll.qlCalendarAdvance(Calendar,V2819,NDays&amp;"D")</f>
        <v>58621</v>
      </c>
      <c r="X2819" s="211">
        <v>2.236750510753005E-2</v>
      </c>
      <c r="Y2819" s="232"/>
    </row>
    <row r="2820" spans="21:25" x14ac:dyDescent="0.2">
      <c r="U2820" s="209" t="str">
        <f t="shared" si="46"/>
        <v>1w</v>
      </c>
      <c r="V2820" s="207">
        <f>_xll.qlCalendarAdvance(Calendar,V2819,U2820,"f",FALSE)</f>
        <v>58628</v>
      </c>
      <c r="W2820" s="210">
        <f>_xll.qlCalendarAdvance(Calendar,V2820,NDays&amp;"D")</f>
        <v>58628</v>
      </c>
      <c r="X2820" s="211">
        <v>2.2368986937708613E-2</v>
      </c>
      <c r="Y2820" s="232"/>
    </row>
    <row r="2821" spans="21:25" x14ac:dyDescent="0.2">
      <c r="U2821" s="209" t="str">
        <f t="shared" si="46"/>
        <v>1w</v>
      </c>
      <c r="V2821" s="207">
        <f>_xll.qlCalendarAdvance(Calendar,V2820,U2821,"f",FALSE)</f>
        <v>58635</v>
      </c>
      <c r="W2821" s="210">
        <f>_xll.qlCalendarAdvance(Calendar,V2821,NDays&amp;"D")</f>
        <v>58635</v>
      </c>
      <c r="X2821" s="211">
        <v>2.2370489648144698E-2</v>
      </c>
      <c r="Y2821" s="232"/>
    </row>
    <row r="2822" spans="21:25" x14ac:dyDescent="0.2">
      <c r="U2822" s="209" t="str">
        <f t="shared" si="46"/>
        <v>1w</v>
      </c>
      <c r="V2822" s="207">
        <f>_xll.qlCalendarAdvance(Calendar,V2821,U2822,"f",FALSE)</f>
        <v>58642</v>
      </c>
      <c r="W2822" s="210">
        <f>_xll.qlCalendarAdvance(Calendar,V2822,NDays&amp;"D")</f>
        <v>58642</v>
      </c>
      <c r="X2822" s="211">
        <v>2.2372013238678434E-2</v>
      </c>
      <c r="Y2822" s="232"/>
    </row>
    <row r="2823" spans="21:25" x14ac:dyDescent="0.2">
      <c r="U2823" s="209" t="str">
        <f t="shared" si="46"/>
        <v>1w</v>
      </c>
      <c r="V2823" s="207">
        <f>_xll.qlCalendarAdvance(Calendar,V2822,U2823,"f",FALSE)</f>
        <v>58649</v>
      </c>
      <c r="W2823" s="210">
        <f>_xll.qlCalendarAdvance(Calendar,V2823,NDays&amp;"D")</f>
        <v>58649</v>
      </c>
      <c r="X2823" s="211">
        <v>2.2373557709389758E-2</v>
      </c>
      <c r="Y2823" s="232"/>
    </row>
    <row r="2824" spans="21:25" x14ac:dyDescent="0.2">
      <c r="U2824" s="209" t="str">
        <f t="shared" si="46"/>
        <v>1w</v>
      </c>
      <c r="V2824" s="207">
        <f>_xll.qlCalendarAdvance(Calendar,V2823,U2824,"f",FALSE)</f>
        <v>58656</v>
      </c>
      <c r="W2824" s="210">
        <f>_xll.qlCalendarAdvance(Calendar,V2824,NDays&amp;"D")</f>
        <v>58656</v>
      </c>
      <c r="X2824" s="211">
        <v>2.2375123060198732E-2</v>
      </c>
      <c r="Y2824" s="232"/>
    </row>
    <row r="2825" spans="21:25" x14ac:dyDescent="0.2">
      <c r="U2825" s="209" t="str">
        <f t="shared" si="46"/>
        <v>1w</v>
      </c>
      <c r="V2825" s="207">
        <f>_xll.qlCalendarAdvance(Calendar,V2824,U2825,"f",FALSE)</f>
        <v>58663</v>
      </c>
      <c r="W2825" s="210">
        <f>_xll.qlCalendarAdvance(Calendar,V2825,NDays&amp;"D")</f>
        <v>58663</v>
      </c>
      <c r="X2825" s="211">
        <v>2.2376709291345165E-2</v>
      </c>
      <c r="Y2825" s="232"/>
    </row>
    <row r="2826" spans="21:25" x14ac:dyDescent="0.2">
      <c r="U2826" s="209" t="str">
        <f t="shared" si="46"/>
        <v>1w</v>
      </c>
      <c r="V2826" s="207">
        <f>_xll.qlCalendarAdvance(Calendar,V2825,U2826,"f",FALSE)</f>
        <v>58670</v>
      </c>
      <c r="W2826" s="210">
        <f>_xll.qlCalendarAdvance(Calendar,V2826,NDays&amp;"D")</f>
        <v>58670</v>
      </c>
      <c r="X2826" s="211">
        <v>2.2378316402509313E-2</v>
      </c>
      <c r="Y2826" s="232"/>
    </row>
    <row r="2827" spans="21:25" x14ac:dyDescent="0.2">
      <c r="U2827" s="209" t="str">
        <f t="shared" si="46"/>
        <v>1w</v>
      </c>
      <c r="V2827" s="207">
        <f>_xll.qlCalendarAdvance(Calendar,V2826,U2827,"f",FALSE)</f>
        <v>58677</v>
      </c>
      <c r="W2827" s="210">
        <f>_xll.qlCalendarAdvance(Calendar,V2827,NDays&amp;"D")</f>
        <v>58677</v>
      </c>
      <c r="X2827" s="211">
        <v>2.237994439401092E-2</v>
      </c>
      <c r="Y2827" s="232"/>
    </row>
    <row r="2828" spans="21:25" x14ac:dyDescent="0.2">
      <c r="U2828" s="209" t="str">
        <f t="shared" si="46"/>
        <v>1w</v>
      </c>
      <c r="V2828" s="207">
        <f>_xll.qlCalendarAdvance(Calendar,V2827,U2828,"f",FALSE)</f>
        <v>58684</v>
      </c>
      <c r="W2828" s="210">
        <f>_xll.qlCalendarAdvance(Calendar,V2828,NDays&amp;"D")</f>
        <v>58684</v>
      </c>
      <c r="X2828" s="211">
        <v>2.2381593265450306E-2</v>
      </c>
      <c r="Y2828" s="232"/>
    </row>
    <row r="2829" spans="21:25" x14ac:dyDescent="0.2">
      <c r="U2829" s="209" t="str">
        <f t="shared" ref="U2829:U2892" si="47">U2828</f>
        <v>1w</v>
      </c>
      <c r="V2829" s="207">
        <f>_xll.qlCalendarAdvance(Calendar,V2828,U2829,"f",FALSE)</f>
        <v>58691</v>
      </c>
      <c r="W2829" s="210">
        <f>_xll.qlCalendarAdvance(Calendar,V2829,NDays&amp;"D")</f>
        <v>58691</v>
      </c>
      <c r="X2829" s="211">
        <v>2.2383263017227151E-2</v>
      </c>
      <c r="Y2829" s="232"/>
    </row>
    <row r="2830" spans="21:25" x14ac:dyDescent="0.2">
      <c r="U2830" s="209" t="str">
        <f t="shared" si="47"/>
        <v>1w</v>
      </c>
      <c r="V2830" s="207">
        <f>_xll.qlCalendarAdvance(Calendar,V2829,U2830,"f",FALSE)</f>
        <v>58698</v>
      </c>
      <c r="W2830" s="210">
        <f>_xll.qlCalendarAdvance(Calendar,V2830,NDays&amp;"D")</f>
        <v>58698</v>
      </c>
      <c r="X2830" s="211">
        <v>2.2384953649181583E-2</v>
      </c>
      <c r="Y2830" s="232"/>
    </row>
    <row r="2831" spans="21:25" x14ac:dyDescent="0.2">
      <c r="U2831" s="209" t="str">
        <f t="shared" si="47"/>
        <v>1w</v>
      </c>
      <c r="V2831" s="207">
        <f>_xll.qlCalendarAdvance(Calendar,V2830,U2831,"f",FALSE)</f>
        <v>58705</v>
      </c>
      <c r="W2831" s="210">
        <f>_xll.qlCalendarAdvance(Calendar,V2831,NDays&amp;"D")</f>
        <v>58705</v>
      </c>
      <c r="X2831" s="211">
        <v>2.2386665161313601E-2</v>
      </c>
      <c r="Y2831" s="232"/>
    </row>
    <row r="2832" spans="21:25" x14ac:dyDescent="0.2">
      <c r="U2832" s="209" t="str">
        <f t="shared" si="47"/>
        <v>1w</v>
      </c>
      <c r="V2832" s="207">
        <f>_xll.qlCalendarAdvance(Calendar,V2831,U2832,"f",FALSE)</f>
        <v>58712</v>
      </c>
      <c r="W2832" s="210">
        <f>_xll.qlCalendarAdvance(Calendar,V2832,NDays&amp;"D")</f>
        <v>58712</v>
      </c>
      <c r="X2832" s="211">
        <v>2.2388397553543271E-2</v>
      </c>
      <c r="Y2832" s="232"/>
    </row>
    <row r="2833" spans="21:25" x14ac:dyDescent="0.2">
      <c r="U2833" s="209" t="str">
        <f t="shared" si="47"/>
        <v>1w</v>
      </c>
      <c r="V2833" s="207">
        <f>_xll.qlCalendarAdvance(Calendar,V2832,U2833,"f",FALSE)</f>
        <v>58719</v>
      </c>
      <c r="W2833" s="210">
        <f>_xll.qlCalendarAdvance(Calendar,V2833,NDays&amp;"D")</f>
        <v>58719</v>
      </c>
      <c r="X2833" s="211">
        <v>2.23901508261104E-2</v>
      </c>
      <c r="Y2833" s="232"/>
    </row>
    <row r="2834" spans="21:25" x14ac:dyDescent="0.2">
      <c r="U2834" s="209" t="str">
        <f t="shared" si="47"/>
        <v>1w</v>
      </c>
      <c r="V2834" s="207">
        <f>_xll.qlCalendarAdvance(Calendar,V2833,U2834,"f",FALSE)</f>
        <v>58726</v>
      </c>
      <c r="W2834" s="210">
        <f>_xll.qlCalendarAdvance(Calendar,V2834,NDays&amp;"D")</f>
        <v>58726</v>
      </c>
      <c r="X2834" s="211">
        <v>2.2391924978615307E-2</v>
      </c>
      <c r="Y2834" s="232"/>
    </row>
    <row r="2835" spans="21:25" x14ac:dyDescent="0.2">
      <c r="U2835" s="209" t="str">
        <f t="shared" si="47"/>
        <v>1w</v>
      </c>
      <c r="V2835" s="207">
        <f>_xll.qlCalendarAdvance(Calendar,V2834,U2835,"f",FALSE)</f>
        <v>58733</v>
      </c>
      <c r="W2835" s="210">
        <f>_xll.qlCalendarAdvance(Calendar,V2835,NDays&amp;"D")</f>
        <v>58733</v>
      </c>
      <c r="X2835" s="211">
        <v>2.2393720011377738E-2</v>
      </c>
      <c r="Y2835" s="232"/>
    </row>
    <row r="2836" spans="21:25" x14ac:dyDescent="0.2">
      <c r="U2836" s="209" t="str">
        <f t="shared" si="47"/>
        <v>1w</v>
      </c>
      <c r="V2836" s="207">
        <f>_xll.qlCalendarAdvance(Calendar,V2835,U2836,"f",FALSE)</f>
        <v>58740</v>
      </c>
      <c r="W2836" s="210">
        <f>_xll.qlCalendarAdvance(Calendar,V2836,NDays&amp;"D")</f>
        <v>58740</v>
      </c>
      <c r="X2836" s="211">
        <v>2.2395535924557564E-2</v>
      </c>
      <c r="Y2836" s="232"/>
    </row>
    <row r="2837" spans="21:25" x14ac:dyDescent="0.2">
      <c r="U2837" s="209" t="str">
        <f t="shared" si="47"/>
        <v>1w</v>
      </c>
      <c r="V2837" s="207">
        <f>_xll.qlCalendarAdvance(Calendar,V2836,U2837,"f",FALSE)</f>
        <v>58747</v>
      </c>
      <c r="W2837" s="210">
        <f>_xll.qlCalendarAdvance(Calendar,V2837,NDays&amp;"D")</f>
        <v>58747</v>
      </c>
      <c r="X2837" s="211">
        <v>2.2397372717675168E-2</v>
      </c>
      <c r="Y2837" s="232"/>
    </row>
    <row r="2838" spans="21:25" x14ac:dyDescent="0.2">
      <c r="U2838" s="209" t="str">
        <f t="shared" si="47"/>
        <v>1w</v>
      </c>
      <c r="V2838" s="207">
        <f>_xll.qlCalendarAdvance(Calendar,V2837,U2838,"f",FALSE)</f>
        <v>58754</v>
      </c>
      <c r="W2838" s="210">
        <f>_xll.qlCalendarAdvance(Calendar,V2838,NDays&amp;"D")</f>
        <v>58754</v>
      </c>
      <c r="X2838" s="211">
        <v>2.2399230390970359E-2</v>
      </c>
      <c r="Y2838" s="232"/>
    </row>
    <row r="2839" spans="21:25" x14ac:dyDescent="0.2">
      <c r="U2839" s="209" t="str">
        <f t="shared" si="47"/>
        <v>1w</v>
      </c>
      <c r="V2839" s="207">
        <f>_xll.qlCalendarAdvance(Calendar,V2838,U2839,"f",FALSE)</f>
        <v>58761</v>
      </c>
      <c r="W2839" s="210">
        <f>_xll.qlCalendarAdvance(Calendar,V2839,NDays&amp;"D")</f>
        <v>58761</v>
      </c>
      <c r="X2839" s="211">
        <v>2.2401108944443138E-2</v>
      </c>
      <c r="Y2839" s="232"/>
    </row>
    <row r="2840" spans="21:25" x14ac:dyDescent="0.2">
      <c r="U2840" s="209" t="str">
        <f t="shared" si="47"/>
        <v>1w</v>
      </c>
      <c r="V2840" s="207">
        <f>_xll.qlCalendarAdvance(Calendar,V2839,U2840,"f",FALSE)</f>
        <v>58768</v>
      </c>
      <c r="W2840" s="210">
        <f>_xll.qlCalendarAdvance(Calendar,V2840,NDays&amp;"D")</f>
        <v>58768</v>
      </c>
      <c r="X2840" s="211">
        <v>2.2403008378333311E-2</v>
      </c>
      <c r="Y2840" s="232"/>
    </row>
    <row r="2841" spans="21:25" x14ac:dyDescent="0.2">
      <c r="U2841" s="209" t="str">
        <f t="shared" si="47"/>
        <v>1w</v>
      </c>
      <c r="V2841" s="207">
        <f>_xll.qlCalendarAdvance(Calendar,V2840,U2841,"f",FALSE)</f>
        <v>58775</v>
      </c>
      <c r="W2841" s="210">
        <f>_xll.qlCalendarAdvance(Calendar,V2841,NDays&amp;"D")</f>
        <v>58775</v>
      </c>
      <c r="X2841" s="211">
        <v>2.2404928692161263E-2</v>
      </c>
      <c r="Y2841" s="232"/>
    </row>
    <row r="2842" spans="21:25" x14ac:dyDescent="0.2">
      <c r="U2842" s="209" t="str">
        <f t="shared" si="47"/>
        <v>1w</v>
      </c>
      <c r="V2842" s="207">
        <f>_xll.qlCalendarAdvance(Calendar,V2841,U2842,"f",FALSE)</f>
        <v>58782</v>
      </c>
      <c r="W2842" s="210">
        <f>_xll.qlCalendarAdvance(Calendar,V2842,NDays&amp;"D")</f>
        <v>58782</v>
      </c>
      <c r="X2842" s="211">
        <v>2.2406869886166803E-2</v>
      </c>
      <c r="Y2842" s="232"/>
    </row>
    <row r="2843" spans="21:25" x14ac:dyDescent="0.2">
      <c r="U2843" s="209" t="str">
        <f t="shared" si="47"/>
        <v>1w</v>
      </c>
      <c r="V2843" s="207">
        <f>_xll.qlCalendarAdvance(Calendar,V2842,U2843,"f",FALSE)</f>
        <v>58789</v>
      </c>
      <c r="W2843" s="210">
        <f>_xll.qlCalendarAdvance(Calendar,V2843,NDays&amp;"D")</f>
        <v>58789</v>
      </c>
      <c r="X2843" s="211">
        <v>2.2408831960509801E-2</v>
      </c>
      <c r="Y2843" s="232"/>
    </row>
    <row r="2844" spans="21:25" x14ac:dyDescent="0.2">
      <c r="U2844" s="209" t="str">
        <f t="shared" si="47"/>
        <v>1w</v>
      </c>
      <c r="V2844" s="207">
        <f>_xll.qlCalendarAdvance(Calendar,V2843,U2844,"f",FALSE)</f>
        <v>58796</v>
      </c>
      <c r="W2844" s="210">
        <f>_xll.qlCalendarAdvance(Calendar,V2844,NDays&amp;"D")</f>
        <v>58796</v>
      </c>
      <c r="X2844" s="211">
        <v>2.241081491495045E-2</v>
      </c>
      <c r="Y2844" s="232"/>
    </row>
    <row r="2845" spans="21:25" x14ac:dyDescent="0.2">
      <c r="U2845" s="209" t="str">
        <f t="shared" si="47"/>
        <v>1w</v>
      </c>
      <c r="V2845" s="207">
        <f>_xll.qlCalendarAdvance(Calendar,V2844,U2845,"f",FALSE)</f>
        <v>58803</v>
      </c>
      <c r="W2845" s="210">
        <f>_xll.qlCalendarAdvance(Calendar,V2845,NDays&amp;"D")</f>
        <v>58803</v>
      </c>
      <c r="X2845" s="211">
        <v>2.2412818749648622E-2</v>
      </c>
      <c r="Y2845" s="232"/>
    </row>
    <row r="2846" spans="21:25" x14ac:dyDescent="0.2">
      <c r="U2846" s="209" t="str">
        <f t="shared" si="47"/>
        <v>1w</v>
      </c>
      <c r="V2846" s="207">
        <f>_xll.qlCalendarAdvance(Calendar,V2845,U2846,"f",FALSE)</f>
        <v>58810</v>
      </c>
      <c r="W2846" s="210">
        <f>_xll.qlCalendarAdvance(Calendar,V2846,NDays&amp;"D")</f>
        <v>58810</v>
      </c>
      <c r="X2846" s="211">
        <v>2.2414843464364509E-2</v>
      </c>
      <c r="Y2846" s="232"/>
    </row>
    <row r="2847" spans="21:25" x14ac:dyDescent="0.2">
      <c r="U2847" s="209" t="str">
        <f t="shared" si="47"/>
        <v>1w</v>
      </c>
      <c r="V2847" s="207">
        <f>_xll.qlCalendarAdvance(Calendar,V2846,U2847,"f",FALSE)</f>
        <v>58817</v>
      </c>
      <c r="W2847" s="210">
        <f>_xll.qlCalendarAdvance(Calendar,V2847,NDays&amp;"D")</f>
        <v>58817</v>
      </c>
      <c r="X2847" s="211">
        <v>2.2416889059417855E-2</v>
      </c>
      <c r="Y2847" s="232"/>
    </row>
    <row r="2848" spans="21:25" x14ac:dyDescent="0.2">
      <c r="U2848" s="209" t="str">
        <f t="shared" si="47"/>
        <v>1w</v>
      </c>
      <c r="V2848" s="207">
        <f>_xll.qlCalendarAdvance(Calendar,V2847,U2848,"f",FALSE)</f>
        <v>58824</v>
      </c>
      <c r="W2848" s="210">
        <f>_xll.qlCalendarAdvance(Calendar,V2848,NDays&amp;"D")</f>
        <v>58824</v>
      </c>
      <c r="X2848" s="211">
        <v>2.2418955534568852E-2</v>
      </c>
      <c r="Y2848" s="232"/>
    </row>
    <row r="2849" spans="21:25" x14ac:dyDescent="0.2">
      <c r="U2849" s="209" t="str">
        <f t="shared" si="47"/>
        <v>1w</v>
      </c>
      <c r="V2849" s="207">
        <f>_xll.qlCalendarAdvance(Calendar,V2848,U2849,"f",FALSE)</f>
        <v>58831</v>
      </c>
      <c r="W2849" s="210">
        <f>_xll.qlCalendarAdvance(Calendar,V2849,NDays&amp;"D")</f>
        <v>58831</v>
      </c>
      <c r="X2849" s="211">
        <v>2.24210428898175E-2</v>
      </c>
      <c r="Y2849" s="232"/>
    </row>
    <row r="2850" spans="21:25" x14ac:dyDescent="0.2">
      <c r="U2850" s="209" t="str">
        <f t="shared" si="47"/>
        <v>1w</v>
      </c>
      <c r="V2850" s="207">
        <f>_xll.qlCalendarAdvance(Calendar,V2849,U2850,"f",FALSE)</f>
        <v>58838</v>
      </c>
      <c r="W2850" s="210">
        <f>_xll.qlCalendarAdvance(Calendar,V2850,NDays&amp;"D")</f>
        <v>58838</v>
      </c>
      <c r="X2850" s="211">
        <v>2.242315112532367E-2</v>
      </c>
      <c r="Y2850" s="232"/>
    </row>
    <row r="2851" spans="21:25" x14ac:dyDescent="0.2">
      <c r="U2851" s="209" t="str">
        <f t="shared" si="47"/>
        <v>1w</v>
      </c>
      <c r="V2851" s="207">
        <f>_xll.qlCalendarAdvance(Calendar,V2850,U2851,"f",FALSE)</f>
        <v>58845</v>
      </c>
      <c r="W2851" s="210">
        <f>_xll.qlCalendarAdvance(Calendar,V2851,NDays&amp;"D")</f>
        <v>58845</v>
      </c>
      <c r="X2851" s="211">
        <v>2.2425280241247236E-2</v>
      </c>
      <c r="Y2851" s="232"/>
    </row>
    <row r="2852" spans="21:25" x14ac:dyDescent="0.2">
      <c r="U2852" s="209" t="str">
        <f t="shared" si="47"/>
        <v>1w</v>
      </c>
      <c r="V2852" s="207">
        <f>_xll.qlCalendarAdvance(Calendar,V2851,U2852,"f",FALSE)</f>
        <v>58852</v>
      </c>
      <c r="W2852" s="210">
        <f>_xll.qlCalendarAdvance(Calendar,V2852,NDays&amp;"D")</f>
        <v>58852</v>
      </c>
      <c r="X2852" s="211">
        <v>2.2427430237108581E-2</v>
      </c>
      <c r="Y2852" s="232"/>
    </row>
    <row r="2853" spans="21:25" x14ac:dyDescent="0.2">
      <c r="U2853" s="209" t="str">
        <f t="shared" si="47"/>
        <v>1w</v>
      </c>
      <c r="V2853" s="207">
        <f>_xll.qlCalendarAdvance(Calendar,V2852,U2853,"f",FALSE)</f>
        <v>58859</v>
      </c>
      <c r="W2853" s="210">
        <f>_xll.qlCalendarAdvance(Calendar,V2853,NDays&amp;"D")</f>
        <v>58859</v>
      </c>
      <c r="X2853" s="211">
        <v>2.2429601113067577E-2</v>
      </c>
      <c r="Y2853" s="232"/>
    </row>
    <row r="2854" spans="21:25" x14ac:dyDescent="0.2">
      <c r="U2854" s="209" t="str">
        <f t="shared" si="47"/>
        <v>1w</v>
      </c>
      <c r="V2854" s="207">
        <f>_xll.qlCalendarAdvance(Calendar,V2853,U2854,"f",FALSE)</f>
        <v>58866</v>
      </c>
      <c r="W2854" s="210">
        <f>_xll.qlCalendarAdvance(Calendar,V2854,NDays&amp;"D")</f>
        <v>58866</v>
      </c>
      <c r="X2854" s="211">
        <v>2.2431792869443967E-2</v>
      </c>
      <c r="Y2854" s="232"/>
    </row>
    <row r="2855" spans="21:25" x14ac:dyDescent="0.2">
      <c r="U2855" s="209" t="str">
        <f t="shared" si="47"/>
        <v>1w</v>
      </c>
      <c r="V2855" s="207">
        <f>_xll.qlCalendarAdvance(Calendar,V2854,U2855,"f",FALSE)</f>
        <v>58873</v>
      </c>
      <c r="W2855" s="210">
        <f>_xll.qlCalendarAdvance(Calendar,V2855,NDays&amp;"D")</f>
        <v>58873</v>
      </c>
      <c r="X2855" s="211">
        <v>2.2434005505918009E-2</v>
      </c>
      <c r="Y2855" s="232"/>
    </row>
    <row r="2856" spans="21:25" x14ac:dyDescent="0.2">
      <c r="U2856" s="209" t="str">
        <f t="shared" si="47"/>
        <v>1w</v>
      </c>
      <c r="V2856" s="207">
        <f>_xll.qlCalendarAdvance(Calendar,V2855,U2856,"f",FALSE)</f>
        <v>58880</v>
      </c>
      <c r="W2856" s="210">
        <f>_xll.qlCalendarAdvance(Calendar,V2856,NDays&amp;"D")</f>
        <v>58880</v>
      </c>
      <c r="X2856" s="211">
        <v>2.2436239022569637E-2</v>
      </c>
      <c r="Y2856" s="232"/>
    </row>
    <row r="2857" spans="21:25" x14ac:dyDescent="0.2">
      <c r="U2857" s="209" t="str">
        <f t="shared" si="47"/>
        <v>1w</v>
      </c>
      <c r="V2857" s="207">
        <f>_xll.qlCalendarAdvance(Calendar,V2856,U2857,"f",FALSE)</f>
        <v>58887</v>
      </c>
      <c r="W2857" s="210">
        <f>_xll.qlCalendarAdvance(Calendar,V2857,NDays&amp;"D")</f>
        <v>58887</v>
      </c>
      <c r="X2857" s="211">
        <v>2.2438493419318917E-2</v>
      </c>
      <c r="Y2857" s="232"/>
    </row>
    <row r="2858" spans="21:25" x14ac:dyDescent="0.2">
      <c r="U2858" s="209" t="str">
        <f t="shared" si="47"/>
        <v>1w</v>
      </c>
      <c r="V2858" s="207">
        <f>_xll.qlCalendarAdvance(Calendar,V2857,U2858,"f",FALSE)</f>
        <v>58894</v>
      </c>
      <c r="W2858" s="210">
        <f>_xll.qlCalendarAdvance(Calendar,V2858,NDays&amp;"D")</f>
        <v>58894</v>
      </c>
      <c r="X2858" s="211">
        <v>2.2440768696405655E-2</v>
      </c>
      <c r="Y2858" s="232"/>
    </row>
    <row r="2859" spans="21:25" x14ac:dyDescent="0.2">
      <c r="U2859" s="209" t="str">
        <f t="shared" si="47"/>
        <v>1w</v>
      </c>
      <c r="V2859" s="207">
        <f>_xll.qlCalendarAdvance(Calendar,V2858,U2859,"f",FALSE)</f>
        <v>58901</v>
      </c>
      <c r="W2859" s="210">
        <f>_xll.qlCalendarAdvance(Calendar,V2859,NDays&amp;"D")</f>
        <v>58901</v>
      </c>
      <c r="X2859" s="211">
        <v>2.2443064853590045E-2</v>
      </c>
      <c r="Y2859" s="232"/>
    </row>
    <row r="2860" spans="21:25" x14ac:dyDescent="0.2">
      <c r="U2860" s="209" t="str">
        <f t="shared" si="47"/>
        <v>1w</v>
      </c>
      <c r="V2860" s="207">
        <f>_xll.qlCalendarAdvance(Calendar,V2859,U2860,"f",FALSE)</f>
        <v>58908</v>
      </c>
      <c r="W2860" s="210">
        <f>_xll.qlCalendarAdvance(Calendar,V2860,NDays&amp;"D")</f>
        <v>58908</v>
      </c>
      <c r="X2860" s="211">
        <v>2.2445381890872085E-2</v>
      </c>
      <c r="Y2860" s="232"/>
    </row>
    <row r="2861" spans="21:25" x14ac:dyDescent="0.2">
      <c r="U2861" s="209" t="str">
        <f t="shared" si="47"/>
        <v>1w</v>
      </c>
      <c r="V2861" s="207">
        <f>_xll.qlCalendarAdvance(Calendar,V2860,U2861,"f",FALSE)</f>
        <v>58915</v>
      </c>
      <c r="W2861" s="210">
        <f>_xll.qlCalendarAdvance(Calendar,V2861,NDays&amp;"D")</f>
        <v>58915</v>
      </c>
      <c r="X2861" s="211">
        <v>2.244771980857152E-2</v>
      </c>
      <c r="Y2861" s="232"/>
    </row>
    <row r="2862" spans="21:25" x14ac:dyDescent="0.2">
      <c r="U2862" s="209" t="str">
        <f t="shared" si="47"/>
        <v>1w</v>
      </c>
      <c r="V2862" s="207">
        <f>_xll.qlCalendarAdvance(Calendar,V2861,U2862,"f",FALSE)</f>
        <v>58922</v>
      </c>
      <c r="W2862" s="210">
        <f>_xll.qlCalendarAdvance(Calendar,V2862,NDays&amp;"D")</f>
        <v>58922</v>
      </c>
      <c r="X2862" s="211">
        <v>2.2450078606368606E-2</v>
      </c>
      <c r="Y2862" s="232"/>
    </row>
    <row r="2863" spans="21:25" x14ac:dyDescent="0.2">
      <c r="U2863" s="209" t="str">
        <f t="shared" si="47"/>
        <v>1w</v>
      </c>
      <c r="V2863" s="207">
        <f>_xll.qlCalendarAdvance(Calendar,V2862,U2863,"f",FALSE)</f>
        <v>58929</v>
      </c>
      <c r="W2863" s="210">
        <f>_xll.qlCalendarAdvance(Calendar,V2863,NDays&amp;"D")</f>
        <v>58929</v>
      </c>
      <c r="X2863" s="211">
        <v>2.245245828434328E-2</v>
      </c>
      <c r="Y2863" s="232"/>
    </row>
    <row r="2864" spans="21:25" x14ac:dyDescent="0.2">
      <c r="U2864" s="209" t="str">
        <f t="shared" si="47"/>
        <v>1w</v>
      </c>
      <c r="V2864" s="207">
        <f>_xll.qlCalendarAdvance(Calendar,V2863,U2864,"f",FALSE)</f>
        <v>58936</v>
      </c>
      <c r="W2864" s="210">
        <f>_xll.qlCalendarAdvance(Calendar,V2864,NDays&amp;"D")</f>
        <v>58936</v>
      </c>
      <c r="X2864" s="211">
        <v>2.245485884249554E-2</v>
      </c>
      <c r="Y2864" s="232"/>
    </row>
    <row r="2865" spans="21:25" x14ac:dyDescent="0.2">
      <c r="U2865" s="209" t="str">
        <f t="shared" si="47"/>
        <v>1w</v>
      </c>
      <c r="V2865" s="207">
        <f>_xll.qlCalendarAdvance(Calendar,V2864,U2865,"f",FALSE)</f>
        <v>58943</v>
      </c>
      <c r="W2865" s="210">
        <f>_xll.qlCalendarAdvance(Calendar,V2865,NDays&amp;"D")</f>
        <v>58943</v>
      </c>
      <c r="X2865" s="211">
        <v>2.2457280280825387E-2</v>
      </c>
      <c r="Y2865" s="232"/>
    </row>
    <row r="2866" spans="21:25" x14ac:dyDescent="0.2">
      <c r="U2866" s="209" t="str">
        <f t="shared" si="47"/>
        <v>1w</v>
      </c>
      <c r="V2866" s="207">
        <f>_xll.qlCalendarAdvance(Calendar,V2865,U2866,"f",FALSE)</f>
        <v>58950</v>
      </c>
      <c r="W2866" s="210">
        <f>_xll.qlCalendarAdvance(Calendar,V2866,NDays&amp;"D")</f>
        <v>58950</v>
      </c>
      <c r="X2866" s="211">
        <v>2.2459722599332821E-2</v>
      </c>
      <c r="Y2866" s="232"/>
    </row>
    <row r="2867" spans="21:25" x14ac:dyDescent="0.2">
      <c r="U2867" s="209" t="str">
        <f t="shared" si="47"/>
        <v>1w</v>
      </c>
      <c r="V2867" s="207">
        <f>_xll.qlCalendarAdvance(Calendar,V2866,U2867,"f",FALSE)</f>
        <v>58957</v>
      </c>
      <c r="W2867" s="210">
        <f>_xll.qlCalendarAdvance(Calendar,V2867,NDays&amp;"D")</f>
        <v>58957</v>
      </c>
      <c r="X2867" s="211">
        <v>2.2462185798017842E-2</v>
      </c>
      <c r="Y2867" s="232"/>
    </row>
    <row r="2868" spans="21:25" x14ac:dyDescent="0.2">
      <c r="U2868" s="209" t="str">
        <f t="shared" si="47"/>
        <v>1w</v>
      </c>
      <c r="V2868" s="207">
        <f>_xll.qlCalendarAdvance(Calendar,V2867,U2868,"f",FALSE)</f>
        <v>58964</v>
      </c>
      <c r="W2868" s="210">
        <f>_xll.qlCalendarAdvance(Calendar,V2868,NDays&amp;"D")</f>
        <v>58964</v>
      </c>
      <c r="X2868" s="211">
        <v>2.246466987688045E-2</v>
      </c>
      <c r="Y2868" s="232"/>
    </row>
    <row r="2869" spans="21:25" x14ac:dyDescent="0.2">
      <c r="U2869" s="209" t="str">
        <f t="shared" si="47"/>
        <v>1w</v>
      </c>
      <c r="V2869" s="207">
        <f>_xll.qlCalendarAdvance(Calendar,V2868,U2869,"f",FALSE)</f>
        <v>58971</v>
      </c>
      <c r="W2869" s="210">
        <f>_xll.qlCalendarAdvance(Calendar,V2869,NDays&amp;"D")</f>
        <v>58971</v>
      </c>
      <c r="X2869" s="211">
        <v>2.2467174836080517E-2</v>
      </c>
      <c r="Y2869" s="232"/>
    </row>
    <row r="2870" spans="21:25" x14ac:dyDescent="0.2">
      <c r="U2870" s="209" t="str">
        <f t="shared" si="47"/>
        <v>1w</v>
      </c>
      <c r="V2870" s="207">
        <f>_xll.qlCalendarAdvance(Calendar,V2869,U2870,"f",FALSE)</f>
        <v>58978</v>
      </c>
      <c r="W2870" s="210">
        <f>_xll.qlCalendarAdvance(Calendar,V2870,NDays&amp;"D")</f>
        <v>58978</v>
      </c>
      <c r="X2870" s="211">
        <v>2.2469700675298299E-2</v>
      </c>
      <c r="Y2870" s="232"/>
    </row>
    <row r="2871" spans="21:25" x14ac:dyDescent="0.2">
      <c r="U2871" s="209" t="str">
        <f t="shared" si="47"/>
        <v>1w</v>
      </c>
      <c r="V2871" s="207">
        <f>_xll.qlCalendarAdvance(Calendar,V2870,U2871,"f",FALSE)</f>
        <v>58985</v>
      </c>
      <c r="W2871" s="210">
        <f>_xll.qlCalendarAdvance(Calendar,V2871,NDays&amp;"D")</f>
        <v>58985</v>
      </c>
      <c r="X2871" s="211">
        <v>2.2472247394773603E-2</v>
      </c>
      <c r="Y2871" s="232"/>
    </row>
    <row r="2872" spans="21:25" x14ac:dyDescent="0.2">
      <c r="U2872" s="209" t="str">
        <f t="shared" si="47"/>
        <v>1w</v>
      </c>
      <c r="V2872" s="207">
        <f>_xll.qlCalendarAdvance(Calendar,V2871,U2872,"f",FALSE)</f>
        <v>58992</v>
      </c>
      <c r="W2872" s="210">
        <f>_xll.qlCalendarAdvance(Calendar,V2872,NDays&amp;"D")</f>
        <v>58992</v>
      </c>
      <c r="X2872" s="211">
        <v>2.2474814994426495E-2</v>
      </c>
      <c r="Y2872" s="232"/>
    </row>
    <row r="2873" spans="21:25" x14ac:dyDescent="0.2">
      <c r="U2873" s="209" t="str">
        <f t="shared" si="47"/>
        <v>1w</v>
      </c>
      <c r="V2873" s="207">
        <f>_xll.qlCalendarAdvance(Calendar,V2872,U2873,"f",FALSE)</f>
        <v>58999</v>
      </c>
      <c r="W2873" s="210">
        <f>_xll.qlCalendarAdvance(Calendar,V2873,NDays&amp;"D")</f>
        <v>58999</v>
      </c>
      <c r="X2873" s="211">
        <v>2.247740347433691E-2</v>
      </c>
      <c r="Y2873" s="232"/>
    </row>
    <row r="2874" spans="21:25" x14ac:dyDescent="0.2">
      <c r="U2874" s="209" t="str">
        <f t="shared" si="47"/>
        <v>1w</v>
      </c>
      <c r="V2874" s="207">
        <f>_xll.qlCalendarAdvance(Calendar,V2873,U2874,"f",FALSE)</f>
        <v>59006</v>
      </c>
      <c r="W2874" s="210">
        <f>_xll.qlCalendarAdvance(Calendar,V2874,NDays&amp;"D")</f>
        <v>59006</v>
      </c>
      <c r="X2874" s="211">
        <v>2.2480012834424912E-2</v>
      </c>
      <c r="Y2874" s="232"/>
    </row>
    <row r="2875" spans="21:25" x14ac:dyDescent="0.2">
      <c r="U2875" s="209" t="str">
        <f t="shared" si="47"/>
        <v>1w</v>
      </c>
      <c r="V2875" s="207">
        <f>_xll.qlCalendarAdvance(Calendar,V2874,U2875,"f",FALSE)</f>
        <v>59013</v>
      </c>
      <c r="W2875" s="210">
        <f>_xll.qlCalendarAdvance(Calendar,V2875,NDays&amp;"D")</f>
        <v>59013</v>
      </c>
      <c r="X2875" s="211">
        <v>2.2482643074610564E-2</v>
      </c>
      <c r="Y2875" s="232"/>
    </row>
    <row r="2876" spans="21:25" x14ac:dyDescent="0.2">
      <c r="U2876" s="209" t="str">
        <f t="shared" si="47"/>
        <v>1w</v>
      </c>
      <c r="V2876" s="207">
        <f>_xll.qlCalendarAdvance(Calendar,V2875,U2876,"f",FALSE)</f>
        <v>59020</v>
      </c>
      <c r="W2876" s="210">
        <f>_xll.qlCalendarAdvance(Calendar,V2876,NDays&amp;"D")</f>
        <v>59020</v>
      </c>
      <c r="X2876" s="211">
        <v>2.2485294195133676E-2</v>
      </c>
      <c r="Y2876" s="232"/>
    </row>
    <row r="2877" spans="21:25" x14ac:dyDescent="0.2">
      <c r="U2877" s="209" t="str">
        <f t="shared" si="47"/>
        <v>1w</v>
      </c>
      <c r="V2877" s="207">
        <f>_xll.qlCalendarAdvance(Calendar,V2876,U2877,"f",FALSE)</f>
        <v>59027</v>
      </c>
      <c r="W2877" s="210">
        <f>_xll.qlCalendarAdvance(Calendar,V2877,NDays&amp;"D")</f>
        <v>59027</v>
      </c>
      <c r="X2877" s="211">
        <v>2.2487966195834375E-2</v>
      </c>
      <c r="Y2877" s="232"/>
    </row>
    <row r="2878" spans="21:25" x14ac:dyDescent="0.2">
      <c r="U2878" s="209" t="str">
        <f t="shared" si="47"/>
        <v>1w</v>
      </c>
      <c r="V2878" s="207">
        <f>_xll.qlCalendarAdvance(Calendar,V2877,U2878,"f",FALSE)</f>
        <v>59034</v>
      </c>
      <c r="W2878" s="210">
        <f>_xll.qlCalendarAdvance(Calendar,V2878,NDays&amp;"D")</f>
        <v>59034</v>
      </c>
      <c r="X2878" s="211">
        <v>2.2490659076552788E-2</v>
      </c>
      <c r="Y2878" s="232"/>
    </row>
    <row r="2879" spans="21:25" x14ac:dyDescent="0.2">
      <c r="U2879" s="209" t="str">
        <f t="shared" si="47"/>
        <v>1w</v>
      </c>
      <c r="V2879" s="207">
        <f>_xll.qlCalendarAdvance(Calendar,V2878,U2879,"f",FALSE)</f>
        <v>59041</v>
      </c>
      <c r="W2879" s="210">
        <f>_xll.qlCalendarAdvance(Calendar,V2879,NDays&amp;"D")</f>
        <v>59041</v>
      </c>
      <c r="X2879" s="211">
        <v>2.2493372837528725E-2</v>
      </c>
      <c r="Y2879" s="232"/>
    </row>
    <row r="2880" spans="21:25" x14ac:dyDescent="0.2">
      <c r="U2880" s="209" t="str">
        <f t="shared" si="47"/>
        <v>1w</v>
      </c>
      <c r="V2880" s="207">
        <f>_xll.qlCalendarAdvance(Calendar,V2879,U2880,"f",FALSE)</f>
        <v>59048</v>
      </c>
      <c r="W2880" s="210">
        <f>_xll.qlCalendarAdvance(Calendar,V2880,NDays&amp;"D")</f>
        <v>59048</v>
      </c>
      <c r="X2880" s="211">
        <v>2.2496107478762184E-2</v>
      </c>
      <c r="Y2880" s="232"/>
    </row>
    <row r="2881" spans="21:25" x14ac:dyDescent="0.2">
      <c r="U2881" s="209" t="str">
        <f t="shared" si="47"/>
        <v>1w</v>
      </c>
      <c r="V2881" s="207">
        <f>_xll.qlCalendarAdvance(Calendar,V2880,U2881,"f",FALSE)</f>
        <v>59055</v>
      </c>
      <c r="W2881" s="210">
        <f>_xll.qlCalendarAdvance(Calendar,V2881,NDays&amp;"D")</f>
        <v>59055</v>
      </c>
      <c r="X2881" s="211">
        <v>2.2498863000333102E-2</v>
      </c>
      <c r="Y2881" s="232"/>
    </row>
    <row r="2882" spans="21:25" x14ac:dyDescent="0.2">
      <c r="U2882" s="209" t="str">
        <f t="shared" si="47"/>
        <v>1w</v>
      </c>
      <c r="V2882" s="207">
        <f>_xll.qlCalendarAdvance(Calendar,V2881,U2882,"f",FALSE)</f>
        <v>59062</v>
      </c>
      <c r="W2882" s="210">
        <f>_xll.qlCalendarAdvance(Calendar,V2882,NDays&amp;"D")</f>
        <v>59062</v>
      </c>
      <c r="X2882" s="211">
        <v>2.2501639401921736E-2</v>
      </c>
      <c r="Y2882" s="232"/>
    </row>
    <row r="2883" spans="21:25" x14ac:dyDescent="0.2">
      <c r="U2883" s="209" t="str">
        <f t="shared" si="47"/>
        <v>1w</v>
      </c>
      <c r="V2883" s="207">
        <f>_xll.qlCalendarAdvance(Calendar,V2882,U2883,"f",FALSE)</f>
        <v>59069</v>
      </c>
      <c r="W2883" s="210">
        <f>_xll.qlCalendarAdvance(Calendar,V2883,NDays&amp;"D")</f>
        <v>59069</v>
      </c>
      <c r="X2883" s="211">
        <v>2.2504436683767892E-2</v>
      </c>
      <c r="Y2883" s="232"/>
    </row>
    <row r="2884" spans="21:25" x14ac:dyDescent="0.2">
      <c r="U2884" s="209" t="str">
        <f t="shared" si="47"/>
        <v>1w</v>
      </c>
      <c r="V2884" s="207">
        <f>_xll.qlCalendarAdvance(Calendar,V2883,U2884,"f",FALSE)</f>
        <v>59076</v>
      </c>
      <c r="W2884" s="210">
        <f>_xll.qlCalendarAdvance(Calendar,V2884,NDays&amp;"D")</f>
        <v>59076</v>
      </c>
      <c r="X2884" s="211">
        <v>2.2507254845711699E-2</v>
      </c>
      <c r="Y2884" s="232"/>
    </row>
    <row r="2885" spans="21:25" x14ac:dyDescent="0.2">
      <c r="U2885" s="209" t="str">
        <f t="shared" si="47"/>
        <v>1w</v>
      </c>
      <c r="V2885" s="207">
        <f>_xll.qlCalendarAdvance(Calendar,V2884,U2885,"f",FALSE)</f>
        <v>59083</v>
      </c>
      <c r="W2885" s="210">
        <f>_xll.qlCalendarAdvance(Calendar,V2885,NDays&amp;"D")</f>
        <v>59083</v>
      </c>
      <c r="X2885" s="211">
        <v>2.251009388791303E-2</v>
      </c>
      <c r="Y2885" s="232"/>
    </row>
    <row r="2886" spans="21:25" x14ac:dyDescent="0.2">
      <c r="U2886" s="209" t="str">
        <f t="shared" si="47"/>
        <v>1w</v>
      </c>
      <c r="V2886" s="207">
        <f>_xll.qlCalendarAdvance(Calendar,V2885,U2886,"f",FALSE)</f>
        <v>59090</v>
      </c>
      <c r="W2886" s="210">
        <f>_xll.qlCalendarAdvance(Calendar,V2886,NDays&amp;"D")</f>
        <v>59090</v>
      </c>
      <c r="X2886" s="211">
        <v>2.2512953810371883E-2</v>
      </c>
      <c r="Y2886" s="232"/>
    </row>
    <row r="2887" spans="21:25" x14ac:dyDescent="0.2">
      <c r="U2887" s="209" t="str">
        <f t="shared" si="47"/>
        <v>1w</v>
      </c>
      <c r="V2887" s="207">
        <f>_xll.qlCalendarAdvance(Calendar,V2886,U2887,"f",FALSE)</f>
        <v>59097</v>
      </c>
      <c r="W2887" s="210">
        <f>_xll.qlCalendarAdvance(Calendar,V2887,NDays&amp;"D")</f>
        <v>59097</v>
      </c>
      <c r="X2887" s="211">
        <v>2.2515834612928387E-2</v>
      </c>
      <c r="Y2887" s="232"/>
    </row>
    <row r="2888" spans="21:25" x14ac:dyDescent="0.2">
      <c r="U2888" s="209" t="str">
        <f t="shared" si="47"/>
        <v>1w</v>
      </c>
      <c r="V2888" s="207">
        <f>_xll.qlCalendarAdvance(Calendar,V2887,U2888,"f",FALSE)</f>
        <v>59104</v>
      </c>
      <c r="W2888" s="210">
        <f>_xll.qlCalendarAdvance(Calendar,V2888,NDays&amp;"D")</f>
        <v>59104</v>
      </c>
      <c r="X2888" s="211">
        <v>2.251873629582235E-2</v>
      </c>
      <c r="Y2888" s="232"/>
    </row>
    <row r="2889" spans="21:25" x14ac:dyDescent="0.2">
      <c r="U2889" s="209" t="str">
        <f t="shared" si="47"/>
        <v>1w</v>
      </c>
      <c r="V2889" s="207">
        <f>_xll.qlCalendarAdvance(Calendar,V2888,U2889,"f",FALSE)</f>
        <v>59111</v>
      </c>
      <c r="W2889" s="210">
        <f>_xll.qlCalendarAdvance(Calendar,V2889,NDays&amp;"D")</f>
        <v>59111</v>
      </c>
      <c r="X2889" s="211">
        <v>2.2521658858734028E-2</v>
      </c>
      <c r="Y2889" s="232"/>
    </row>
    <row r="2890" spans="21:25" x14ac:dyDescent="0.2">
      <c r="U2890" s="209" t="str">
        <f t="shared" si="47"/>
        <v>1w</v>
      </c>
      <c r="V2890" s="207">
        <f>_xll.qlCalendarAdvance(Calendar,V2889,U2890,"f",FALSE)</f>
        <v>59118</v>
      </c>
      <c r="W2890" s="210">
        <f>_xll.qlCalendarAdvance(Calendar,V2890,NDays&amp;"D")</f>
        <v>59118</v>
      </c>
      <c r="X2890" s="211">
        <v>2.2524602302063101E-2</v>
      </c>
      <c r="Y2890" s="232"/>
    </row>
    <row r="2891" spans="21:25" x14ac:dyDescent="0.2">
      <c r="U2891" s="209" t="str">
        <f t="shared" si="47"/>
        <v>1w</v>
      </c>
      <c r="V2891" s="207">
        <f>_xll.qlCalendarAdvance(Calendar,V2890,U2891,"f",FALSE)</f>
        <v>59125</v>
      </c>
      <c r="W2891" s="210">
        <f>_xll.qlCalendarAdvance(Calendar,V2891,NDays&amp;"D")</f>
        <v>59125</v>
      </c>
      <c r="X2891" s="211">
        <v>2.2527566625409889E-2</v>
      </c>
      <c r="Y2891" s="232"/>
    </row>
    <row r="2892" spans="21:25" x14ac:dyDescent="0.2">
      <c r="U2892" s="209" t="str">
        <f t="shared" si="47"/>
        <v>1w</v>
      </c>
      <c r="V2892" s="207">
        <f>_xll.qlCalendarAdvance(Calendar,V2891,U2892,"f",FALSE)</f>
        <v>59132</v>
      </c>
      <c r="W2892" s="210">
        <f>_xll.qlCalendarAdvance(Calendar,V2892,NDays&amp;"D")</f>
        <v>59132</v>
      </c>
      <c r="X2892" s="211">
        <v>2.25305518290142E-2</v>
      </c>
      <c r="Y2892" s="232"/>
    </row>
    <row r="2893" spans="21:25" x14ac:dyDescent="0.2">
      <c r="U2893" s="209" t="str">
        <f t="shared" ref="U2893:U2956" si="48">U2892</f>
        <v>1w</v>
      </c>
      <c r="V2893" s="207">
        <f>_xll.qlCalendarAdvance(Calendar,V2892,U2893,"f",FALSE)</f>
        <v>59139</v>
      </c>
      <c r="W2893" s="210">
        <f>_xll.qlCalendarAdvance(Calendar,V2893,NDays&amp;"D")</f>
        <v>59139</v>
      </c>
      <c r="X2893" s="211">
        <v>2.2533557912876034E-2</v>
      </c>
      <c r="Y2893" s="232"/>
    </row>
    <row r="2894" spans="21:25" x14ac:dyDescent="0.2">
      <c r="U2894" s="209" t="str">
        <f t="shared" si="48"/>
        <v>1w</v>
      </c>
      <c r="V2894" s="207">
        <f>_xll.qlCalendarAdvance(Calendar,V2893,U2894,"f",FALSE)</f>
        <v>59146</v>
      </c>
      <c r="W2894" s="210">
        <f>_xll.qlCalendarAdvance(Calendar,V2894,NDays&amp;"D")</f>
        <v>59146</v>
      </c>
      <c r="X2894" s="211">
        <v>2.2536584876835519E-2</v>
      </c>
      <c r="Y2894" s="232"/>
    </row>
    <row r="2895" spans="21:25" x14ac:dyDescent="0.2">
      <c r="U2895" s="209" t="str">
        <f t="shared" si="48"/>
        <v>1w</v>
      </c>
      <c r="V2895" s="207">
        <f>_xll.qlCalendarAdvance(Calendar,V2894,U2895,"f",FALSE)</f>
        <v>59153</v>
      </c>
      <c r="W2895" s="210">
        <f>_xll.qlCalendarAdvance(Calendar,V2895,NDays&amp;"D")</f>
        <v>59153</v>
      </c>
      <c r="X2895" s="211">
        <v>2.2539632721212399E-2</v>
      </c>
      <c r="Y2895" s="232"/>
    </row>
    <row r="2896" spans="21:25" x14ac:dyDescent="0.2">
      <c r="U2896" s="209" t="str">
        <f t="shared" si="48"/>
        <v>1w</v>
      </c>
      <c r="V2896" s="207">
        <f>_xll.qlCalendarAdvance(Calendar,V2895,U2896,"f",FALSE)</f>
        <v>59160</v>
      </c>
      <c r="W2896" s="210">
        <f>_xll.qlCalendarAdvance(Calendar,V2896,NDays&amp;"D")</f>
        <v>59160</v>
      </c>
      <c r="X2896" s="211">
        <v>2.2542701445527058E-2</v>
      </c>
      <c r="Y2896" s="232"/>
    </row>
    <row r="2897" spans="21:25" x14ac:dyDescent="0.2">
      <c r="U2897" s="209" t="str">
        <f t="shared" si="48"/>
        <v>1w</v>
      </c>
      <c r="V2897" s="207">
        <f>_xll.qlCalendarAdvance(Calendar,V2896,U2897,"f",FALSE)</f>
        <v>59167</v>
      </c>
      <c r="W2897" s="210">
        <f>_xll.qlCalendarAdvance(Calendar,V2897,NDays&amp;"D")</f>
        <v>59167</v>
      </c>
      <c r="X2897" s="211">
        <v>2.2545791050179176E-2</v>
      </c>
      <c r="Y2897" s="232"/>
    </row>
    <row r="2898" spans="21:25" x14ac:dyDescent="0.2">
      <c r="U2898" s="209" t="str">
        <f t="shared" si="48"/>
        <v>1w</v>
      </c>
      <c r="V2898" s="207">
        <f>_xll.qlCalendarAdvance(Calendar,V2897,U2898,"f",FALSE)</f>
        <v>59174</v>
      </c>
      <c r="W2898" s="210">
        <f>_xll.qlCalendarAdvance(Calendar,V2898,NDays&amp;"D")</f>
        <v>59174</v>
      </c>
      <c r="X2898" s="211">
        <v>2.2548901534928945E-2</v>
      </c>
      <c r="Y2898" s="232"/>
    </row>
    <row r="2899" spans="21:25" x14ac:dyDescent="0.2">
      <c r="U2899" s="209" t="str">
        <f t="shared" si="48"/>
        <v>1w</v>
      </c>
      <c r="V2899" s="207">
        <f>_xll.qlCalendarAdvance(Calendar,V2898,U2899,"f",FALSE)</f>
        <v>59181</v>
      </c>
      <c r="W2899" s="210">
        <f>_xll.qlCalendarAdvance(Calendar,V2899,NDays&amp;"D")</f>
        <v>59181</v>
      </c>
      <c r="X2899" s="211">
        <v>2.2552032900176044E-2</v>
      </c>
      <c r="Y2899" s="232"/>
    </row>
    <row r="2900" spans="21:25" x14ac:dyDescent="0.2">
      <c r="U2900" s="209" t="str">
        <f t="shared" si="48"/>
        <v>1w</v>
      </c>
      <c r="V2900" s="207">
        <f>_xll.qlCalendarAdvance(Calendar,V2899,U2900,"f",FALSE)</f>
        <v>59188</v>
      </c>
      <c r="W2900" s="210">
        <f>_xll.qlCalendarAdvance(Calendar,V2900,NDays&amp;"D")</f>
        <v>59188</v>
      </c>
      <c r="X2900" s="211">
        <v>2.2555185145360923E-2</v>
      </c>
      <c r="Y2900" s="232"/>
    </row>
    <row r="2901" spans="21:25" x14ac:dyDescent="0.2">
      <c r="U2901" s="209" t="str">
        <f t="shared" si="48"/>
        <v>1w</v>
      </c>
      <c r="V2901" s="207">
        <f>_xll.qlCalendarAdvance(Calendar,V2900,U2901,"f",FALSE)</f>
        <v>59195</v>
      </c>
      <c r="W2901" s="210">
        <f>_xll.qlCalendarAdvance(Calendar,V2901,NDays&amp;"D")</f>
        <v>59195</v>
      </c>
      <c r="X2901" s="211">
        <v>2.2558358270803325E-2</v>
      </c>
      <c r="Y2901" s="232"/>
    </row>
    <row r="2902" spans="21:25" x14ac:dyDescent="0.2">
      <c r="U2902" s="209" t="str">
        <f t="shared" si="48"/>
        <v>1w</v>
      </c>
      <c r="V2902" s="207">
        <f>_xll.qlCalendarAdvance(Calendar,V2901,U2902,"f",FALSE)</f>
        <v>59202</v>
      </c>
      <c r="W2902" s="210">
        <f>_xll.qlCalendarAdvance(Calendar,V2902,NDays&amp;"D")</f>
        <v>59202</v>
      </c>
      <c r="X2902" s="211">
        <v>2.2561552276503249E-2</v>
      </c>
      <c r="Y2902" s="232"/>
    </row>
    <row r="2903" spans="21:25" x14ac:dyDescent="0.2">
      <c r="U2903" s="209" t="str">
        <f t="shared" si="48"/>
        <v>1w</v>
      </c>
      <c r="V2903" s="207">
        <f>_xll.qlCalendarAdvance(Calendar,V2902,U2903,"f",FALSE)</f>
        <v>59209</v>
      </c>
      <c r="W2903" s="210">
        <f>_xll.qlCalendarAdvance(Calendar,V2903,NDays&amp;"D")</f>
        <v>59209</v>
      </c>
      <c r="X2903" s="211">
        <v>2.2564767162380761E-2</v>
      </c>
      <c r="Y2903" s="232"/>
    </row>
    <row r="2904" spans="21:25" x14ac:dyDescent="0.2">
      <c r="U2904" s="209" t="str">
        <f t="shared" si="48"/>
        <v>1w</v>
      </c>
      <c r="V2904" s="207">
        <f>_xll.qlCalendarAdvance(Calendar,V2903,U2904,"f",FALSE)</f>
        <v>59216</v>
      </c>
      <c r="W2904" s="210">
        <f>_xll.qlCalendarAdvance(Calendar,V2904,NDays&amp;"D")</f>
        <v>59216</v>
      </c>
      <c r="X2904" s="211">
        <v>2.256800292843586E-2</v>
      </c>
      <c r="Y2904" s="232"/>
    </row>
    <row r="2905" spans="21:25" x14ac:dyDescent="0.2">
      <c r="U2905" s="209" t="str">
        <f t="shared" si="48"/>
        <v>1w</v>
      </c>
      <c r="V2905" s="207">
        <f>_xll.qlCalendarAdvance(Calendar,V2904,U2905,"f",FALSE)</f>
        <v>59223</v>
      </c>
      <c r="W2905" s="210">
        <f>_xll.qlCalendarAdvance(Calendar,V2905,NDays&amp;"D")</f>
        <v>59223</v>
      </c>
      <c r="X2905" s="211">
        <v>2.2571259574828417E-2</v>
      </c>
      <c r="Y2905" s="232"/>
    </row>
    <row r="2906" spans="21:25" x14ac:dyDescent="0.2">
      <c r="U2906" s="209" t="str">
        <f t="shared" si="48"/>
        <v>1w</v>
      </c>
      <c r="V2906" s="207">
        <f>_xll.qlCalendarAdvance(Calendar,V2905,U2906,"f",FALSE)</f>
        <v>59230</v>
      </c>
      <c r="W2906" s="210">
        <f>_xll.qlCalendarAdvance(Calendar,V2906,NDays&amp;"D")</f>
        <v>59230</v>
      </c>
      <c r="X2906" s="211">
        <v>2.257453710123869E-2</v>
      </c>
      <c r="Y2906" s="232"/>
    </row>
    <row r="2907" spans="21:25" x14ac:dyDescent="0.2">
      <c r="U2907" s="209" t="str">
        <f t="shared" si="48"/>
        <v>1w</v>
      </c>
      <c r="V2907" s="207">
        <f>_xll.qlCalendarAdvance(Calendar,V2906,U2907,"f",FALSE)</f>
        <v>59237</v>
      </c>
      <c r="W2907" s="210">
        <f>_xll.qlCalendarAdvance(Calendar,V2907,NDays&amp;"D")</f>
        <v>59237</v>
      </c>
      <c r="X2907" s="211">
        <v>2.2577835507986421E-2</v>
      </c>
      <c r="Y2907" s="232"/>
    </row>
    <row r="2908" spans="21:25" x14ac:dyDescent="0.2">
      <c r="U2908" s="209" t="str">
        <f t="shared" si="48"/>
        <v>1w</v>
      </c>
      <c r="V2908" s="207">
        <f>_xll.qlCalendarAdvance(Calendar,V2907,U2908,"f",FALSE)</f>
        <v>59244</v>
      </c>
      <c r="W2908" s="210">
        <f>_xll.qlCalendarAdvance(Calendar,V2908,NDays&amp;"D")</f>
        <v>59244</v>
      </c>
      <c r="X2908" s="211">
        <v>2.2581154794831804E-2</v>
      </c>
      <c r="Y2908" s="232"/>
    </row>
    <row r="2909" spans="21:25" x14ac:dyDescent="0.2">
      <c r="U2909" s="209" t="str">
        <f t="shared" si="48"/>
        <v>1w</v>
      </c>
      <c r="V2909" s="207">
        <f>_xll.qlCalendarAdvance(Calendar,V2908,U2909,"f",FALSE)</f>
        <v>59251</v>
      </c>
      <c r="W2909" s="210">
        <f>_xll.qlCalendarAdvance(Calendar,V2909,NDays&amp;"D")</f>
        <v>59251</v>
      </c>
      <c r="X2909" s="211">
        <v>2.2584494962094581E-2</v>
      </c>
      <c r="Y2909" s="232"/>
    </row>
    <row r="2910" spans="21:25" x14ac:dyDescent="0.2">
      <c r="U2910" s="209" t="str">
        <f t="shared" si="48"/>
        <v>1w</v>
      </c>
      <c r="V2910" s="207">
        <f>_xll.qlCalendarAdvance(Calendar,V2909,U2910,"f",FALSE)</f>
        <v>59258</v>
      </c>
      <c r="W2910" s="210">
        <f>_xll.qlCalendarAdvance(Calendar,V2910,NDays&amp;"D")</f>
        <v>59258</v>
      </c>
      <c r="X2910" s="211">
        <v>2.258785600945501E-2</v>
      </c>
      <c r="Y2910" s="232"/>
    </row>
    <row r="2911" spans="21:25" x14ac:dyDescent="0.2">
      <c r="U2911" s="209" t="str">
        <f t="shared" si="48"/>
        <v>1w</v>
      </c>
      <c r="V2911" s="207">
        <f>_xll.qlCalendarAdvance(Calendar,V2910,U2911,"f",FALSE)</f>
        <v>59265</v>
      </c>
      <c r="W2911" s="210">
        <f>_xll.qlCalendarAdvance(Calendar,V2911,NDays&amp;"D")</f>
        <v>59265</v>
      </c>
      <c r="X2911" s="211">
        <v>2.2591237936833153E-2</v>
      </c>
      <c r="Y2911" s="232"/>
    </row>
    <row r="2912" spans="21:25" x14ac:dyDescent="0.2">
      <c r="U2912" s="209" t="str">
        <f t="shared" si="48"/>
        <v>1w</v>
      </c>
      <c r="V2912" s="207">
        <f>_xll.qlCalendarAdvance(Calendar,V2911,U2912,"f",FALSE)</f>
        <v>59272</v>
      </c>
      <c r="W2912" s="210">
        <f>_xll.qlCalendarAdvance(Calendar,V2912,NDays&amp;"D")</f>
        <v>59272</v>
      </c>
      <c r="X2912" s="211">
        <v>2.2594640744788563E-2</v>
      </c>
      <c r="Y2912" s="232"/>
    </row>
    <row r="2913" spans="21:25" x14ac:dyDescent="0.2">
      <c r="U2913" s="209" t="str">
        <f t="shared" si="48"/>
        <v>1w</v>
      </c>
      <c r="V2913" s="207">
        <f>_xll.qlCalendarAdvance(Calendar,V2912,U2913,"f",FALSE)</f>
        <v>59279</v>
      </c>
      <c r="W2913" s="210">
        <f>_xll.qlCalendarAdvance(Calendar,V2913,NDays&amp;"D")</f>
        <v>59279</v>
      </c>
      <c r="X2913" s="211">
        <v>2.2598064432681753E-2</v>
      </c>
      <c r="Y2913" s="232"/>
    </row>
    <row r="2914" spans="21:25" x14ac:dyDescent="0.2">
      <c r="U2914" s="209" t="str">
        <f t="shared" si="48"/>
        <v>1w</v>
      </c>
      <c r="V2914" s="207">
        <f>_xll.qlCalendarAdvance(Calendar,V2913,U2914,"f",FALSE)</f>
        <v>59286</v>
      </c>
      <c r="W2914" s="210">
        <f>_xll.qlCalendarAdvance(Calendar,V2914,NDays&amp;"D")</f>
        <v>59286</v>
      </c>
      <c r="X2914" s="211">
        <v>2.2601509000832465E-2</v>
      </c>
      <c r="Y2914" s="232"/>
    </row>
    <row r="2915" spans="21:25" x14ac:dyDescent="0.2">
      <c r="U2915" s="209" t="str">
        <f t="shared" si="48"/>
        <v>1w</v>
      </c>
      <c r="V2915" s="207">
        <f>_xll.qlCalendarAdvance(Calendar,V2914,U2915,"f",FALSE)</f>
        <v>59293</v>
      </c>
      <c r="W2915" s="210">
        <f>_xll.qlCalendarAdvance(Calendar,V2915,NDays&amp;"D")</f>
        <v>59293</v>
      </c>
      <c r="X2915" s="211">
        <v>2.26049744492407E-2</v>
      </c>
      <c r="Y2915" s="232"/>
    </row>
    <row r="2916" spans="21:25" x14ac:dyDescent="0.2">
      <c r="U2916" s="209" t="str">
        <f t="shared" si="48"/>
        <v>1w</v>
      </c>
      <c r="V2916" s="207">
        <f>_xll.qlCalendarAdvance(Calendar,V2915,U2916,"f",FALSE)</f>
        <v>59300</v>
      </c>
      <c r="W2916" s="210">
        <f>_xll.qlCalendarAdvance(Calendar,V2916,NDays&amp;"D")</f>
        <v>59300</v>
      </c>
      <c r="X2916" s="211">
        <v>2.2608460777986394E-2</v>
      </c>
      <c r="Y2916" s="232"/>
    </row>
    <row r="2917" spans="21:25" x14ac:dyDescent="0.2">
      <c r="U2917" s="209" t="str">
        <f t="shared" si="48"/>
        <v>1w</v>
      </c>
      <c r="V2917" s="207">
        <f>_xll.qlCalendarAdvance(Calendar,V2916,U2917,"f",FALSE)</f>
        <v>59307</v>
      </c>
      <c r="W2917" s="210">
        <f>_xll.qlCalendarAdvance(Calendar,V2917,NDays&amp;"D")</f>
        <v>59307</v>
      </c>
      <c r="X2917" s="211">
        <v>2.261196798682974E-2</v>
      </c>
      <c r="Y2917" s="232"/>
    </row>
    <row r="2918" spans="21:25" x14ac:dyDescent="0.2">
      <c r="U2918" s="209" t="str">
        <f t="shared" si="48"/>
        <v>1w</v>
      </c>
      <c r="V2918" s="207">
        <f>_xll.qlCalendarAdvance(Calendar,V2917,U2918,"f",FALSE)</f>
        <v>59314</v>
      </c>
      <c r="W2918" s="210">
        <f>_xll.qlCalendarAdvance(Calendar,V2918,NDays&amp;"D")</f>
        <v>59314</v>
      </c>
      <c r="X2918" s="211">
        <v>2.2615496075770736E-2</v>
      </c>
      <c r="Y2918" s="232"/>
    </row>
    <row r="2919" spans="21:25" x14ac:dyDescent="0.2">
      <c r="U2919" s="209" t="str">
        <f t="shared" si="48"/>
        <v>1w</v>
      </c>
      <c r="V2919" s="207">
        <f>_xll.qlCalendarAdvance(Calendar,V2918,U2919,"f",FALSE)</f>
        <v>59321</v>
      </c>
      <c r="W2919" s="210">
        <f>_xll.qlCalendarAdvance(Calendar,V2919,NDays&amp;"D")</f>
        <v>59321</v>
      </c>
      <c r="X2919" s="211">
        <v>2.2619045045288999E-2</v>
      </c>
      <c r="Y2919" s="232"/>
    </row>
    <row r="2920" spans="21:25" x14ac:dyDescent="0.2">
      <c r="U2920" s="209" t="str">
        <f t="shared" si="48"/>
        <v>1w</v>
      </c>
      <c r="V2920" s="207">
        <f>_xll.qlCalendarAdvance(Calendar,V2919,U2920,"f",FALSE)</f>
        <v>59328</v>
      </c>
      <c r="W2920" s="210">
        <f>_xll.qlCalendarAdvance(Calendar,V2920,NDays&amp;"D")</f>
        <v>59328</v>
      </c>
      <c r="X2920" s="211">
        <v>2.2622614894665105E-2</v>
      </c>
      <c r="Y2920" s="232"/>
    </row>
    <row r="2921" spans="21:25" x14ac:dyDescent="0.2">
      <c r="U2921" s="209" t="str">
        <f t="shared" si="48"/>
        <v>1w</v>
      </c>
      <c r="V2921" s="207">
        <f>_xll.qlCalendarAdvance(Calendar,V2920,U2921,"f",FALSE)</f>
        <v>59335</v>
      </c>
      <c r="W2921" s="210">
        <f>_xll.qlCalendarAdvance(Calendar,V2921,NDays&amp;"D")</f>
        <v>59335</v>
      </c>
      <c r="X2921" s="211">
        <v>2.262620562437867E-2</v>
      </c>
      <c r="Y2921" s="232"/>
    </row>
    <row r="2922" spans="21:25" x14ac:dyDescent="0.2">
      <c r="U2922" s="209" t="str">
        <f t="shared" si="48"/>
        <v>1w</v>
      </c>
      <c r="V2922" s="207">
        <f>_xll.qlCalendarAdvance(Calendar,V2921,U2922,"f",FALSE)</f>
        <v>59342</v>
      </c>
      <c r="W2922" s="210">
        <f>_xll.qlCalendarAdvance(Calendar,V2922,NDays&amp;"D")</f>
        <v>59342</v>
      </c>
      <c r="X2922" s="211">
        <v>2.2629817234269822E-2</v>
      </c>
      <c r="Y2922" s="232"/>
    </row>
    <row r="2923" spans="21:25" x14ac:dyDescent="0.2">
      <c r="U2923" s="209" t="str">
        <f t="shared" si="48"/>
        <v>1w</v>
      </c>
      <c r="V2923" s="207">
        <f>_xll.qlCalendarAdvance(Calendar,V2922,U2923,"f",FALSE)</f>
        <v>59349</v>
      </c>
      <c r="W2923" s="210">
        <f>_xll.qlCalendarAdvance(Calendar,V2923,NDays&amp;"D")</f>
        <v>59349</v>
      </c>
      <c r="X2923" s="211">
        <v>2.2633449724578369E-2</v>
      </c>
      <c r="Y2923" s="232"/>
    </row>
    <row r="2924" spans="21:25" x14ac:dyDescent="0.2">
      <c r="U2924" s="209" t="str">
        <f t="shared" si="48"/>
        <v>1w</v>
      </c>
      <c r="V2924" s="207">
        <f>_xll.qlCalendarAdvance(Calendar,V2923,U2924,"f",FALSE)</f>
        <v>59356</v>
      </c>
      <c r="W2924" s="210">
        <f>_xll.qlCalendarAdvance(Calendar,V2924,NDays&amp;"D")</f>
        <v>59356</v>
      </c>
      <c r="X2924" s="211">
        <v>2.2637103094904631E-2</v>
      </c>
      <c r="Y2924" s="232"/>
    </row>
    <row r="2925" spans="21:25" x14ac:dyDescent="0.2">
      <c r="U2925" s="209" t="str">
        <f t="shared" si="48"/>
        <v>1w</v>
      </c>
      <c r="V2925" s="207">
        <f>_xll.qlCalendarAdvance(Calendar,V2924,U2925,"f",FALSE)</f>
        <v>59363</v>
      </c>
      <c r="W2925" s="210">
        <f>_xll.qlCalendarAdvance(Calendar,V2925,NDays&amp;"D")</f>
        <v>59363</v>
      </c>
      <c r="X2925" s="211">
        <v>2.264077734540848E-2</v>
      </c>
      <c r="Y2925" s="232"/>
    </row>
    <row r="2926" spans="21:25" x14ac:dyDescent="0.2">
      <c r="U2926" s="209" t="str">
        <f t="shared" si="48"/>
        <v>1w</v>
      </c>
      <c r="V2926" s="207">
        <f>_xll.qlCalendarAdvance(Calendar,V2925,U2926,"f",FALSE)</f>
        <v>59370</v>
      </c>
      <c r="W2926" s="210">
        <f>_xll.qlCalendarAdvance(Calendar,V2926,NDays&amp;"D")</f>
        <v>59370</v>
      </c>
      <c r="X2926" s="211">
        <v>2.2644472476169852E-2</v>
      </c>
      <c r="Y2926" s="232"/>
    </row>
    <row r="2927" spans="21:25" x14ac:dyDescent="0.2">
      <c r="U2927" s="209" t="str">
        <f t="shared" si="48"/>
        <v>1w</v>
      </c>
      <c r="V2927" s="207">
        <f>_xll.qlCalendarAdvance(Calendar,V2926,U2927,"f",FALSE)</f>
        <v>59377</v>
      </c>
      <c r="W2927" s="210">
        <f>_xll.qlCalendarAdvance(Calendar,V2927,NDays&amp;"D")</f>
        <v>59377</v>
      </c>
      <c r="X2927" s="211">
        <v>2.2648188487348619E-2</v>
      </c>
      <c r="Y2927" s="232"/>
    </row>
    <row r="2928" spans="21:25" x14ac:dyDescent="0.2">
      <c r="U2928" s="209" t="str">
        <f t="shared" si="48"/>
        <v>1w</v>
      </c>
      <c r="V2928" s="207">
        <f>_xll.qlCalendarAdvance(Calendar,V2927,U2928,"f",FALSE)</f>
        <v>59384</v>
      </c>
      <c r="W2928" s="210">
        <f>_xll.qlCalendarAdvance(Calendar,V2928,NDays&amp;"D")</f>
        <v>59384</v>
      </c>
      <c r="X2928" s="211">
        <v>2.2651925378625037E-2</v>
      </c>
      <c r="Y2928" s="232"/>
    </row>
    <row r="2929" spans="21:25" x14ac:dyDescent="0.2">
      <c r="U2929" s="209" t="str">
        <f t="shared" si="48"/>
        <v>1w</v>
      </c>
      <c r="V2929" s="207">
        <f>_xll.qlCalendarAdvance(Calendar,V2928,U2929,"f",FALSE)</f>
        <v>59391</v>
      </c>
      <c r="W2929" s="210">
        <f>_xll.qlCalendarAdvance(Calendar,V2929,NDays&amp;"D")</f>
        <v>59391</v>
      </c>
      <c r="X2929" s="211">
        <v>2.2655683150079042E-2</v>
      </c>
      <c r="Y2929" s="232"/>
    </row>
    <row r="2930" spans="21:25" x14ac:dyDescent="0.2">
      <c r="U2930" s="209" t="str">
        <f t="shared" si="48"/>
        <v>1w</v>
      </c>
      <c r="V2930" s="207">
        <f>_xll.qlCalendarAdvance(Calendar,V2929,U2930,"f",FALSE)</f>
        <v>59398</v>
      </c>
      <c r="W2930" s="210">
        <f>_xll.qlCalendarAdvance(Calendar,V2930,NDays&amp;"D")</f>
        <v>59398</v>
      </c>
      <c r="X2930" s="211">
        <v>2.2659461801710634E-2</v>
      </c>
      <c r="Y2930" s="232"/>
    </row>
    <row r="2931" spans="21:25" x14ac:dyDescent="0.2">
      <c r="U2931" s="209" t="str">
        <f t="shared" si="48"/>
        <v>1w</v>
      </c>
      <c r="V2931" s="207">
        <f>_xll.qlCalendarAdvance(Calendar,V2930,U2931,"f",FALSE)</f>
        <v>59405</v>
      </c>
      <c r="W2931" s="210">
        <f>_xll.qlCalendarAdvance(Calendar,V2931,NDays&amp;"D")</f>
        <v>59405</v>
      </c>
      <c r="X2931" s="211">
        <v>2.2663261333839557E-2</v>
      </c>
      <c r="Y2931" s="232"/>
    </row>
    <row r="2932" spans="21:25" x14ac:dyDescent="0.2">
      <c r="U2932" s="209" t="str">
        <f t="shared" si="48"/>
        <v>1w</v>
      </c>
      <c r="V2932" s="207">
        <f>_xll.qlCalendarAdvance(Calendar,V2931,U2932,"f",FALSE)</f>
        <v>59412</v>
      </c>
      <c r="W2932" s="210">
        <f>_xll.qlCalendarAdvance(Calendar,V2932,NDays&amp;"D")</f>
        <v>59412</v>
      </c>
      <c r="X2932" s="211">
        <v>2.2667081745906259E-2</v>
      </c>
      <c r="Y2932" s="232"/>
    </row>
    <row r="2933" spans="21:25" x14ac:dyDescent="0.2">
      <c r="U2933" s="209" t="str">
        <f t="shared" si="48"/>
        <v>1w</v>
      </c>
      <c r="V2933" s="207">
        <f>_xll.qlCalendarAdvance(Calendar,V2932,U2933,"f",FALSE)</f>
        <v>59419</v>
      </c>
      <c r="W2933" s="210">
        <f>_xll.qlCalendarAdvance(Calendar,V2933,NDays&amp;"D")</f>
        <v>59419</v>
      </c>
      <c r="X2933" s="211">
        <v>2.2670923038230484E-2</v>
      </c>
      <c r="Y2933" s="232"/>
    </row>
    <row r="2934" spans="21:25" x14ac:dyDescent="0.2">
      <c r="U2934" s="209" t="str">
        <f t="shared" si="48"/>
        <v>1w</v>
      </c>
      <c r="V2934" s="207">
        <f>_xll.qlCalendarAdvance(Calendar,V2933,U2934,"f",FALSE)</f>
        <v>59426</v>
      </c>
      <c r="W2934" s="210">
        <f>_xll.qlCalendarAdvance(Calendar,V2934,NDays&amp;"D")</f>
        <v>59426</v>
      </c>
      <c r="X2934" s="211">
        <v>2.2674785210972104E-2</v>
      </c>
      <c r="Y2934" s="232"/>
    </row>
    <row r="2935" spans="21:25" x14ac:dyDescent="0.2">
      <c r="U2935" s="209" t="str">
        <f t="shared" si="48"/>
        <v>1w</v>
      </c>
      <c r="V2935" s="207">
        <f>_xll.qlCalendarAdvance(Calendar,V2934,U2935,"f",FALSE)</f>
        <v>59433</v>
      </c>
      <c r="W2935" s="210">
        <f>_xll.qlCalendarAdvance(Calendar,V2935,NDays&amp;"D")</f>
        <v>59433</v>
      </c>
      <c r="X2935" s="211">
        <v>2.2678668263811375E-2</v>
      </c>
      <c r="Y2935" s="232"/>
    </row>
    <row r="2936" spans="21:25" x14ac:dyDescent="0.2">
      <c r="U2936" s="209" t="str">
        <f t="shared" si="48"/>
        <v>1w</v>
      </c>
      <c r="V2936" s="207">
        <f>_xll.qlCalendarAdvance(Calendar,V2935,U2936,"f",FALSE)</f>
        <v>59440</v>
      </c>
      <c r="W2936" s="210">
        <f>_xll.qlCalendarAdvance(Calendar,V2936,NDays&amp;"D")</f>
        <v>59440</v>
      </c>
      <c r="X2936" s="211">
        <v>2.2682572196748296E-2</v>
      </c>
      <c r="Y2936" s="232"/>
    </row>
    <row r="2937" spans="21:25" x14ac:dyDescent="0.2">
      <c r="U2937" s="209" t="str">
        <f t="shared" si="48"/>
        <v>1w</v>
      </c>
      <c r="V2937" s="207">
        <f>_xll.qlCalendarAdvance(Calendar,V2936,U2937,"f",FALSE)</f>
        <v>59447</v>
      </c>
      <c r="W2937" s="210">
        <f>_xll.qlCalendarAdvance(Calendar,V2937,NDays&amp;"D")</f>
        <v>59447</v>
      </c>
      <c r="X2937" s="211">
        <v>2.2686497010102613E-2</v>
      </c>
      <c r="Y2937" s="232"/>
    </row>
    <row r="2938" spans="21:25" x14ac:dyDescent="0.2">
      <c r="U2938" s="209" t="str">
        <f t="shared" si="48"/>
        <v>1w</v>
      </c>
      <c r="V2938" s="207">
        <f>_xll.qlCalendarAdvance(Calendar,V2937,U2938,"f",FALSE)</f>
        <v>59454</v>
      </c>
      <c r="W2938" s="210">
        <f>_xll.qlCalendarAdvance(Calendar,V2938,NDays&amp;"D")</f>
        <v>59454</v>
      </c>
      <c r="X2938" s="211">
        <v>2.2690442703714453E-2</v>
      </c>
      <c r="Y2938" s="232"/>
    </row>
    <row r="2939" spans="21:25" x14ac:dyDescent="0.2">
      <c r="U2939" s="209" t="str">
        <f t="shared" si="48"/>
        <v>1w</v>
      </c>
      <c r="V2939" s="207">
        <f>_xll.qlCalendarAdvance(Calendar,V2938,U2939,"f",FALSE)</f>
        <v>59461</v>
      </c>
      <c r="W2939" s="210">
        <f>_xll.qlCalendarAdvance(Calendar,V2939,NDays&amp;"D")</f>
        <v>59461</v>
      </c>
      <c r="X2939" s="211">
        <v>2.2694409277423944E-2</v>
      </c>
      <c r="Y2939" s="232"/>
    </row>
    <row r="2940" spans="21:25" x14ac:dyDescent="0.2">
      <c r="U2940" s="209" t="str">
        <f t="shared" si="48"/>
        <v>1w</v>
      </c>
      <c r="V2940" s="207">
        <f>_xll.qlCalendarAdvance(Calendar,V2939,U2940,"f",FALSE)</f>
        <v>59468</v>
      </c>
      <c r="W2940" s="210">
        <f>_xll.qlCalendarAdvance(Calendar,V2940,NDays&amp;"D")</f>
        <v>59468</v>
      </c>
      <c r="X2940" s="211">
        <v>2.2698396731390957E-2</v>
      </c>
      <c r="Y2940" s="232"/>
    </row>
    <row r="2941" spans="21:25" x14ac:dyDescent="0.2">
      <c r="U2941" s="209" t="str">
        <f t="shared" si="48"/>
        <v>1w</v>
      </c>
      <c r="V2941" s="207">
        <f>_xll.qlCalendarAdvance(Calendar,V2940,U2941,"f",FALSE)</f>
        <v>59475</v>
      </c>
      <c r="W2941" s="210">
        <f>_xll.qlCalendarAdvance(Calendar,V2941,NDays&amp;"D")</f>
        <v>59475</v>
      </c>
      <c r="X2941" s="211">
        <v>2.270240506569543E-2</v>
      </c>
      <c r="Y2941" s="232"/>
    </row>
    <row r="2942" spans="21:25" x14ac:dyDescent="0.2">
      <c r="U2942" s="209" t="str">
        <f t="shared" si="48"/>
        <v>1w</v>
      </c>
      <c r="V2942" s="207">
        <f>_xll.qlCalendarAdvance(Calendar,V2941,U2942,"f",FALSE)</f>
        <v>59482</v>
      </c>
      <c r="W2942" s="210">
        <f>_xll.qlCalendarAdvance(Calendar,V2942,NDays&amp;"D")</f>
        <v>59482</v>
      </c>
      <c r="X2942" s="211">
        <v>2.270643428017749E-2</v>
      </c>
      <c r="Y2942" s="232"/>
    </row>
    <row r="2943" spans="21:25" x14ac:dyDescent="0.2">
      <c r="U2943" s="209" t="str">
        <f t="shared" si="48"/>
        <v>1w</v>
      </c>
      <c r="V2943" s="207">
        <f>_xll.qlCalendarAdvance(Calendar,V2942,U2943,"f",FALSE)</f>
        <v>59489</v>
      </c>
      <c r="W2943" s="210">
        <f>_xll.qlCalendarAdvance(Calendar,V2943,NDays&amp;"D")</f>
        <v>59489</v>
      </c>
      <c r="X2943" s="211">
        <v>2.2710484374837137E-2</v>
      </c>
      <c r="Y2943" s="232"/>
    </row>
    <row r="2944" spans="21:25" x14ac:dyDescent="0.2">
      <c r="U2944" s="209" t="str">
        <f t="shared" si="48"/>
        <v>1w</v>
      </c>
      <c r="V2944" s="207">
        <f>_xll.qlCalendarAdvance(Calendar,V2943,U2944,"f",FALSE)</f>
        <v>59496</v>
      </c>
      <c r="W2944" s="210">
        <f>_xll.qlCalendarAdvance(Calendar,V2944,NDays&amp;"D")</f>
        <v>59496</v>
      </c>
      <c r="X2944" s="211">
        <v>2.271455534967437E-2</v>
      </c>
      <c r="Y2944" s="232"/>
    </row>
    <row r="2945" spans="21:25" x14ac:dyDescent="0.2">
      <c r="U2945" s="209" t="str">
        <f t="shared" si="48"/>
        <v>1w</v>
      </c>
      <c r="V2945" s="207">
        <f>_xll.qlCalendarAdvance(Calendar,V2944,U2945,"f",FALSE)</f>
        <v>59503</v>
      </c>
      <c r="W2945" s="210">
        <f>_xll.qlCalendarAdvance(Calendar,V2945,NDays&amp;"D")</f>
        <v>59503</v>
      </c>
      <c r="X2945" s="211">
        <v>2.2718647204849063E-2</v>
      </c>
      <c r="Y2945" s="232"/>
    </row>
    <row r="2946" spans="21:25" x14ac:dyDescent="0.2">
      <c r="U2946" s="209" t="str">
        <f t="shared" si="48"/>
        <v>1w</v>
      </c>
      <c r="V2946" s="207">
        <f>_xll.qlCalendarAdvance(Calendar,V2945,U2946,"f",FALSE)</f>
        <v>59510</v>
      </c>
      <c r="W2946" s="210">
        <f>_xll.qlCalendarAdvance(Calendar,V2946,NDays&amp;"D")</f>
        <v>59510</v>
      </c>
      <c r="X2946" s="211">
        <v>2.2722759940281279E-2</v>
      </c>
      <c r="Y2946" s="232"/>
    </row>
    <row r="2947" spans="21:25" x14ac:dyDescent="0.2">
      <c r="U2947" s="209" t="str">
        <f t="shared" si="48"/>
        <v>1w</v>
      </c>
      <c r="V2947" s="207">
        <f>_xll.qlCalendarAdvance(Calendar,V2946,U2947,"f",FALSE)</f>
        <v>59517</v>
      </c>
      <c r="W2947" s="210">
        <f>_xll.qlCalendarAdvance(Calendar,V2947,NDays&amp;"D")</f>
        <v>59517</v>
      </c>
      <c r="X2947" s="211">
        <v>2.2726893555891081E-2</v>
      </c>
      <c r="Y2947" s="232"/>
    </row>
    <row r="2948" spans="21:25" x14ac:dyDescent="0.2">
      <c r="U2948" s="209" t="str">
        <f t="shared" si="48"/>
        <v>1w</v>
      </c>
      <c r="V2948" s="207">
        <f>_xll.qlCalendarAdvance(Calendar,V2947,U2948,"f",FALSE)</f>
        <v>59524</v>
      </c>
      <c r="W2948" s="210">
        <f>_xll.qlCalendarAdvance(Calendar,V2948,NDays&amp;"D")</f>
        <v>59524</v>
      </c>
      <c r="X2948" s="211">
        <v>2.2731048051838343E-2</v>
      </c>
      <c r="Y2948" s="232"/>
    </row>
    <row r="2949" spans="21:25" x14ac:dyDescent="0.2">
      <c r="U2949" s="209" t="str">
        <f t="shared" si="48"/>
        <v>1w</v>
      </c>
      <c r="V2949" s="207">
        <f>_xll.qlCalendarAdvance(Calendar,V2948,U2949,"f",FALSE)</f>
        <v>59532</v>
      </c>
      <c r="W2949" s="210">
        <f>_xll.qlCalendarAdvance(Calendar,V2949,NDays&amp;"D")</f>
        <v>59532</v>
      </c>
      <c r="X2949" s="211">
        <v>2.2735821614743301E-2</v>
      </c>
      <c r="Y2949" s="232"/>
    </row>
    <row r="2950" spans="21:25" x14ac:dyDescent="0.2">
      <c r="U2950" s="209" t="str">
        <f t="shared" si="48"/>
        <v>1w</v>
      </c>
      <c r="V2950" s="207">
        <f>_xll.qlCalendarAdvance(Calendar,V2949,U2950,"f",FALSE)</f>
        <v>59539</v>
      </c>
      <c r="W2950" s="210">
        <f>_xll.qlCalendarAdvance(Calendar,V2950,NDays&amp;"D")</f>
        <v>59539</v>
      </c>
      <c r="X2950" s="211">
        <v>2.2740020854019605E-2</v>
      </c>
      <c r="Y2950" s="232"/>
    </row>
    <row r="2951" spans="21:25" x14ac:dyDescent="0.2">
      <c r="U2951" s="209" t="str">
        <f t="shared" si="48"/>
        <v>1w</v>
      </c>
      <c r="V2951" s="207">
        <f>_xll.qlCalendarAdvance(Calendar,V2950,U2951,"f",FALSE)</f>
        <v>59546</v>
      </c>
      <c r="W2951" s="210">
        <f>_xll.qlCalendarAdvance(Calendar,V2951,NDays&amp;"D")</f>
        <v>59546</v>
      </c>
      <c r="X2951" s="211">
        <v>2.2744240973393559E-2</v>
      </c>
      <c r="Y2951" s="232"/>
    </row>
    <row r="2952" spans="21:25" x14ac:dyDescent="0.2">
      <c r="U2952" s="209" t="str">
        <f t="shared" si="48"/>
        <v>1w</v>
      </c>
      <c r="V2952" s="207">
        <f>_xll.qlCalendarAdvance(Calendar,V2951,U2952,"f",FALSE)</f>
        <v>59553</v>
      </c>
      <c r="W2952" s="210">
        <f>_xll.qlCalendarAdvance(Calendar,V2952,NDays&amp;"D")</f>
        <v>59553</v>
      </c>
      <c r="X2952" s="211">
        <v>2.2748481973184909E-2</v>
      </c>
      <c r="Y2952" s="232"/>
    </row>
    <row r="2953" spans="21:25" x14ac:dyDescent="0.2">
      <c r="U2953" s="209" t="str">
        <f t="shared" si="48"/>
        <v>1w</v>
      </c>
      <c r="V2953" s="207">
        <f>_xll.qlCalendarAdvance(Calendar,V2952,U2953,"f",FALSE)</f>
        <v>59560</v>
      </c>
      <c r="W2953" s="210">
        <f>_xll.qlCalendarAdvance(Calendar,V2953,NDays&amp;"D")</f>
        <v>59560</v>
      </c>
      <c r="X2953" s="211">
        <v>2.2752743853153845E-2</v>
      </c>
      <c r="Y2953" s="232"/>
    </row>
    <row r="2954" spans="21:25" x14ac:dyDescent="0.2">
      <c r="U2954" s="209" t="str">
        <f t="shared" si="48"/>
        <v>1w</v>
      </c>
      <c r="V2954" s="207">
        <f>_xll.qlCalendarAdvance(Calendar,V2953,U2954,"f",FALSE)</f>
        <v>59567</v>
      </c>
      <c r="W2954" s="210">
        <f>_xll.qlCalendarAdvance(Calendar,V2954,NDays&amp;"D")</f>
        <v>59567</v>
      </c>
      <c r="X2954" s="211">
        <v>2.2757026613300368E-2</v>
      </c>
      <c r="Y2954" s="232"/>
    </row>
    <row r="2955" spans="21:25" x14ac:dyDescent="0.2">
      <c r="U2955" s="209" t="str">
        <f t="shared" si="48"/>
        <v>1w</v>
      </c>
      <c r="V2955" s="207">
        <f>_xll.qlCalendarAdvance(Calendar,V2954,U2955,"f",FALSE)</f>
        <v>59574</v>
      </c>
      <c r="W2955" s="210">
        <f>_xll.qlCalendarAdvance(Calendar,V2955,NDays&amp;"D")</f>
        <v>59574</v>
      </c>
      <c r="X2955" s="211">
        <v>2.2761330253784351E-2</v>
      </c>
      <c r="Y2955" s="232"/>
    </row>
    <row r="2956" spans="21:25" x14ac:dyDescent="0.2">
      <c r="U2956" s="209" t="str">
        <f t="shared" si="48"/>
        <v>1w</v>
      </c>
      <c r="V2956" s="207">
        <f>_xll.qlCalendarAdvance(Calendar,V2955,U2956,"f",FALSE)</f>
        <v>59581</v>
      </c>
      <c r="W2956" s="210">
        <f>_xll.qlCalendarAdvance(Calendar,V2956,NDays&amp;"D")</f>
        <v>59581</v>
      </c>
      <c r="X2956" s="211">
        <v>2.276565477444592E-2</v>
      </c>
      <c r="Y2956" s="232"/>
    </row>
    <row r="2957" spans="21:25" x14ac:dyDescent="0.2">
      <c r="U2957" s="209" t="str">
        <f t="shared" ref="U2957:U3020" si="49">U2956</f>
        <v>1w</v>
      </c>
      <c r="V2957" s="207">
        <f>_xll.qlCalendarAdvance(Calendar,V2956,U2957,"f",FALSE)</f>
        <v>59588</v>
      </c>
      <c r="W2957" s="210">
        <f>_xll.qlCalendarAdvance(Calendar,V2957,NDays&amp;"D")</f>
        <v>59588</v>
      </c>
      <c r="X2957" s="211">
        <v>2.2770000175365013E-2</v>
      </c>
      <c r="Y2957" s="232"/>
    </row>
    <row r="2958" spans="21:25" x14ac:dyDescent="0.2">
      <c r="U2958" s="209" t="str">
        <f t="shared" si="49"/>
        <v>1w</v>
      </c>
      <c r="V2958" s="207">
        <f>_xll.qlCalendarAdvance(Calendar,V2957,U2958,"f",FALSE)</f>
        <v>59595</v>
      </c>
      <c r="W2958" s="210">
        <f>_xll.qlCalendarAdvance(Calendar,V2958,NDays&amp;"D")</f>
        <v>59595</v>
      </c>
      <c r="X2958" s="211">
        <v>2.2774366456541628E-2</v>
      </c>
      <c r="Y2958" s="232"/>
    </row>
    <row r="2959" spans="21:25" x14ac:dyDescent="0.2">
      <c r="U2959" s="209" t="str">
        <f t="shared" si="49"/>
        <v>1w</v>
      </c>
      <c r="V2959" s="207">
        <f>_xll.qlCalendarAdvance(Calendar,V2958,U2959,"f",FALSE)</f>
        <v>59602</v>
      </c>
      <c r="W2959" s="210">
        <f>_xll.qlCalendarAdvance(Calendar,V2959,NDays&amp;"D")</f>
        <v>59602</v>
      </c>
      <c r="X2959" s="211">
        <v>2.2778753617815894E-2</v>
      </c>
      <c r="Y2959" s="232"/>
    </row>
    <row r="2960" spans="21:25" x14ac:dyDescent="0.2">
      <c r="U2960" s="209" t="str">
        <f t="shared" si="49"/>
        <v>1w</v>
      </c>
      <c r="V2960" s="207">
        <f>_xll.qlCalendarAdvance(Calendar,V2959,U2960,"f",FALSE)</f>
        <v>59609</v>
      </c>
      <c r="W2960" s="210">
        <f>_xll.qlCalendarAdvance(Calendar,V2960,NDays&amp;"D")</f>
        <v>59609</v>
      </c>
      <c r="X2960" s="211">
        <v>2.2783161659587492E-2</v>
      </c>
      <c r="Y2960" s="232"/>
    </row>
    <row r="2961" spans="21:25" x14ac:dyDescent="0.2">
      <c r="U2961" s="209" t="str">
        <f t="shared" si="49"/>
        <v>1w</v>
      </c>
      <c r="V2961" s="207">
        <f>_xll.qlCalendarAdvance(Calendar,V2960,U2961,"f",FALSE)</f>
        <v>59616</v>
      </c>
      <c r="W2961" s="210">
        <f>_xll.qlCalendarAdvance(Calendar,V2961,NDays&amp;"D")</f>
        <v>59616</v>
      </c>
      <c r="X2961" s="211">
        <v>2.278759058145674E-2</v>
      </c>
      <c r="Y2961" s="232"/>
    </row>
    <row r="2962" spans="21:25" x14ac:dyDescent="0.2">
      <c r="U2962" s="209" t="str">
        <f t="shared" si="49"/>
        <v>1w</v>
      </c>
      <c r="V2962" s="207">
        <f>_xll.qlCalendarAdvance(Calendar,V2961,U2962,"f",FALSE)</f>
        <v>59623</v>
      </c>
      <c r="W2962" s="210">
        <f>_xll.qlCalendarAdvance(Calendar,V2962,NDays&amp;"D")</f>
        <v>59623</v>
      </c>
      <c r="X2962" s="211">
        <v>2.2792040383663448E-2</v>
      </c>
      <c r="Y2962" s="232"/>
    </row>
    <row r="2963" spans="21:25" x14ac:dyDescent="0.2">
      <c r="U2963" s="209" t="str">
        <f t="shared" si="49"/>
        <v>1w</v>
      </c>
      <c r="V2963" s="207">
        <f>_xll.qlCalendarAdvance(Calendar,V2962,U2963,"f",FALSE)</f>
        <v>59630</v>
      </c>
      <c r="W2963" s="210">
        <f>_xll.qlCalendarAdvance(Calendar,V2963,NDays&amp;"D")</f>
        <v>59630</v>
      </c>
      <c r="X2963" s="211">
        <v>2.2796511066127678E-2</v>
      </c>
      <c r="Y2963" s="232"/>
    </row>
    <row r="2964" spans="21:25" x14ac:dyDescent="0.2">
      <c r="U2964" s="209" t="str">
        <f t="shared" si="49"/>
        <v>1w</v>
      </c>
      <c r="V2964" s="207">
        <f>_xll.qlCalendarAdvance(Calendar,V2963,U2964,"f",FALSE)</f>
        <v>59637</v>
      </c>
      <c r="W2964" s="210">
        <f>_xll.qlCalendarAdvance(Calendar,V2964,NDays&amp;"D")</f>
        <v>59637</v>
      </c>
      <c r="X2964" s="211">
        <v>2.2801002628769496E-2</v>
      </c>
      <c r="Y2964" s="232"/>
    </row>
    <row r="2965" spans="21:25" x14ac:dyDescent="0.2">
      <c r="U2965" s="209" t="str">
        <f t="shared" si="49"/>
        <v>1w</v>
      </c>
      <c r="V2965" s="207">
        <f>_xll.qlCalendarAdvance(Calendar,V2964,U2965,"f",FALSE)</f>
        <v>59644</v>
      </c>
      <c r="W2965" s="210">
        <f>_xll.qlCalendarAdvance(Calendar,V2965,NDays&amp;"D")</f>
        <v>59644</v>
      </c>
      <c r="X2965" s="211">
        <v>2.2805515071668836E-2</v>
      </c>
      <c r="Y2965" s="232"/>
    </row>
    <row r="2966" spans="21:25" x14ac:dyDescent="0.2">
      <c r="U2966" s="209" t="str">
        <f t="shared" si="49"/>
        <v>1w</v>
      </c>
      <c r="V2966" s="207">
        <f>_xll.qlCalendarAdvance(Calendar,V2965,U2966,"f",FALSE)</f>
        <v>59651</v>
      </c>
      <c r="W2966" s="210">
        <f>_xll.qlCalendarAdvance(Calendar,V2966,NDays&amp;"D")</f>
        <v>59651</v>
      </c>
      <c r="X2966" s="211">
        <v>2.2810048394665827E-2</v>
      </c>
      <c r="Y2966" s="232"/>
    </row>
    <row r="2967" spans="21:25" x14ac:dyDescent="0.2">
      <c r="U2967" s="209" t="str">
        <f t="shared" si="49"/>
        <v>1w</v>
      </c>
      <c r="V2967" s="207">
        <f>_xll.qlCalendarAdvance(Calendar,V2966,U2967,"f",FALSE)</f>
        <v>59658</v>
      </c>
      <c r="W2967" s="210">
        <f>_xll.qlCalendarAdvance(Calendar,V2967,NDays&amp;"D")</f>
        <v>59658</v>
      </c>
      <c r="X2967" s="211">
        <v>2.281460259816015E-2</v>
      </c>
      <c r="Y2967" s="232"/>
    </row>
    <row r="2968" spans="21:25" x14ac:dyDescent="0.2">
      <c r="U2968" s="209" t="str">
        <f t="shared" si="49"/>
        <v>1w</v>
      </c>
      <c r="V2968" s="207">
        <f>_xll.qlCalendarAdvance(Calendar,V2967,U2968,"f",FALSE)</f>
        <v>59665</v>
      </c>
      <c r="W2968" s="210">
        <f>_xll.qlCalendarAdvance(Calendar,V2968,NDays&amp;"D")</f>
        <v>59665</v>
      </c>
      <c r="X2968" s="211">
        <v>2.2819177681832059E-2</v>
      </c>
      <c r="Y2968" s="232"/>
    </row>
    <row r="2969" spans="21:25" x14ac:dyDescent="0.2">
      <c r="U2969" s="209" t="str">
        <f t="shared" si="49"/>
        <v>1w</v>
      </c>
      <c r="V2969" s="207">
        <f>_xll.qlCalendarAdvance(Calendar,V2968,U2969,"f",FALSE)</f>
        <v>59672</v>
      </c>
      <c r="W2969" s="210">
        <f>_xll.qlCalendarAdvance(Calendar,V2969,NDays&amp;"D")</f>
        <v>59672</v>
      </c>
      <c r="X2969" s="211">
        <v>2.2823773645681555E-2</v>
      </c>
      <c r="Y2969" s="232"/>
    </row>
    <row r="2970" spans="21:25" x14ac:dyDescent="0.2">
      <c r="U2970" s="209" t="str">
        <f t="shared" si="49"/>
        <v>1w</v>
      </c>
      <c r="V2970" s="207">
        <f>_xll.qlCalendarAdvance(Calendar,V2969,U2970,"f",FALSE)</f>
        <v>59679</v>
      </c>
      <c r="W2970" s="210">
        <f>_xll.qlCalendarAdvance(Calendar,V2970,NDays&amp;"D")</f>
        <v>59679</v>
      </c>
      <c r="X2970" s="211">
        <v>2.2828390489868511E-2</v>
      </c>
      <c r="Y2970" s="232"/>
    </row>
    <row r="2971" spans="21:25" x14ac:dyDescent="0.2">
      <c r="U2971" s="209" t="str">
        <f t="shared" si="49"/>
        <v>1w</v>
      </c>
      <c r="V2971" s="207">
        <f>_xll.qlCalendarAdvance(Calendar,V2970,U2971,"f",FALSE)</f>
        <v>59686</v>
      </c>
      <c r="W2971" s="210">
        <f>_xll.qlCalendarAdvance(Calendar,V2971,NDays&amp;"D")</f>
        <v>59686</v>
      </c>
      <c r="X2971" s="211">
        <v>2.2833028214233053E-2</v>
      </c>
      <c r="Y2971" s="232"/>
    </row>
    <row r="2972" spans="21:25" x14ac:dyDescent="0.2">
      <c r="U2972" s="209" t="str">
        <f t="shared" si="49"/>
        <v>1w</v>
      </c>
      <c r="V2972" s="207">
        <f>_xll.qlCalendarAdvance(Calendar,V2971,U2972,"f",FALSE)</f>
        <v>59693</v>
      </c>
      <c r="W2972" s="210">
        <f>_xll.qlCalendarAdvance(Calendar,V2972,NDays&amp;"D")</f>
        <v>59693</v>
      </c>
      <c r="X2972" s="211">
        <v>2.2837686819014991E-2</v>
      </c>
      <c r="Y2972" s="232"/>
    </row>
    <row r="2973" spans="21:25" x14ac:dyDescent="0.2">
      <c r="U2973" s="209" t="str">
        <f t="shared" si="49"/>
        <v>1w</v>
      </c>
      <c r="V2973" s="207">
        <f>_xll.qlCalendarAdvance(Calendar,V2972,U2973,"f",FALSE)</f>
        <v>59700</v>
      </c>
      <c r="W2973" s="210">
        <f>_xll.qlCalendarAdvance(Calendar,V2973,NDays&amp;"D")</f>
        <v>59700</v>
      </c>
      <c r="X2973" s="211">
        <v>2.2842366303894579E-2</v>
      </c>
      <c r="Y2973" s="232"/>
    </row>
    <row r="2974" spans="21:25" x14ac:dyDescent="0.2">
      <c r="U2974" s="209" t="str">
        <f t="shared" si="49"/>
        <v>1w</v>
      </c>
      <c r="V2974" s="207">
        <f>_xll.qlCalendarAdvance(Calendar,V2973,U2974,"f",FALSE)</f>
        <v>59707</v>
      </c>
      <c r="W2974" s="210">
        <f>_xll.qlCalendarAdvance(Calendar,V2974,NDays&amp;"D")</f>
        <v>59707</v>
      </c>
      <c r="X2974" s="211">
        <v>2.284706666903169E-2</v>
      </c>
      <c r="Y2974" s="232"/>
    </row>
    <row r="2975" spans="21:25" x14ac:dyDescent="0.2">
      <c r="U2975" s="209" t="str">
        <f t="shared" si="49"/>
        <v>1w</v>
      </c>
      <c r="V2975" s="207">
        <f>_xll.qlCalendarAdvance(Calendar,V2974,U2975,"f",FALSE)</f>
        <v>59714</v>
      </c>
      <c r="W2975" s="210">
        <f>_xll.qlCalendarAdvance(Calendar,V2975,NDays&amp;"D")</f>
        <v>59714</v>
      </c>
      <c r="X2975" s="211">
        <v>2.2851787914586197E-2</v>
      </c>
      <c r="Y2975" s="232"/>
    </row>
    <row r="2976" spans="21:25" x14ac:dyDescent="0.2">
      <c r="U2976" s="209" t="str">
        <f t="shared" si="49"/>
        <v>1w</v>
      </c>
      <c r="V2976" s="207">
        <f>_xll.qlCalendarAdvance(Calendar,V2975,U2976,"f",FALSE)</f>
        <v>59721</v>
      </c>
      <c r="W2976" s="210">
        <f>_xll.qlCalendarAdvance(Calendar,V2976,NDays&amp;"D")</f>
        <v>59721</v>
      </c>
      <c r="X2976" s="211">
        <v>2.2856530040238354E-2</v>
      </c>
      <c r="Y2976" s="232"/>
    </row>
    <row r="2977" spans="21:25" x14ac:dyDescent="0.2">
      <c r="U2977" s="209" t="str">
        <f t="shared" si="49"/>
        <v>1w</v>
      </c>
      <c r="V2977" s="207">
        <f>_xll.qlCalendarAdvance(Calendar,V2976,U2977,"f",FALSE)</f>
        <v>59728</v>
      </c>
      <c r="W2977" s="210">
        <f>_xll.qlCalendarAdvance(Calendar,V2977,NDays&amp;"D")</f>
        <v>59728</v>
      </c>
      <c r="X2977" s="211">
        <v>2.2861293046148035E-2</v>
      </c>
      <c r="Y2977" s="232"/>
    </row>
    <row r="2978" spans="21:25" x14ac:dyDescent="0.2">
      <c r="U2978" s="209" t="str">
        <f t="shared" si="49"/>
        <v>1w</v>
      </c>
      <c r="V2978" s="207">
        <f>_xll.qlCalendarAdvance(Calendar,V2977,U2978,"f",FALSE)</f>
        <v>59735</v>
      </c>
      <c r="W2978" s="210">
        <f>_xll.qlCalendarAdvance(Calendar,V2978,NDays&amp;"D")</f>
        <v>59735</v>
      </c>
      <c r="X2978" s="211">
        <v>2.2866076932395174E-2</v>
      </c>
      <c r="Y2978" s="232"/>
    </row>
    <row r="2979" spans="21:25" x14ac:dyDescent="0.2">
      <c r="U2979" s="209" t="str">
        <f t="shared" si="49"/>
        <v>1w</v>
      </c>
      <c r="V2979" s="207">
        <f>_xll.qlCalendarAdvance(Calendar,V2978,U2979,"f",FALSE)</f>
        <v>59742</v>
      </c>
      <c r="W2979" s="210">
        <f>_xll.qlCalendarAdvance(Calendar,V2979,NDays&amp;"D")</f>
        <v>59742</v>
      </c>
      <c r="X2979" s="211">
        <v>2.2870881698899836E-2</v>
      </c>
      <c r="Y2979" s="232"/>
    </row>
    <row r="2980" spans="21:25" x14ac:dyDescent="0.2">
      <c r="U2980" s="209" t="str">
        <f t="shared" si="49"/>
        <v>1w</v>
      </c>
      <c r="V2980" s="207">
        <f>_xll.qlCalendarAdvance(Calendar,V2979,U2980,"f",FALSE)</f>
        <v>59749</v>
      </c>
      <c r="W2980" s="210">
        <f>_xll.qlCalendarAdvance(Calendar,V2980,NDays&amp;"D")</f>
        <v>59749</v>
      </c>
      <c r="X2980" s="211">
        <v>2.287570734550215E-2</v>
      </c>
      <c r="Y2980" s="232"/>
    </row>
    <row r="2981" spans="21:25" x14ac:dyDescent="0.2">
      <c r="U2981" s="209" t="str">
        <f t="shared" si="49"/>
        <v>1w</v>
      </c>
      <c r="V2981" s="207">
        <f>_xll.qlCalendarAdvance(Calendar,V2980,U2981,"f",FALSE)</f>
        <v>59756</v>
      </c>
      <c r="W2981" s="210">
        <f>_xll.qlCalendarAdvance(Calendar,V2981,NDays&amp;"D")</f>
        <v>59756</v>
      </c>
      <c r="X2981" s="211">
        <v>2.2880553872521858E-2</v>
      </c>
      <c r="Y2981" s="232"/>
    </row>
    <row r="2982" spans="21:25" x14ac:dyDescent="0.2">
      <c r="U2982" s="209" t="str">
        <f t="shared" si="49"/>
        <v>1w</v>
      </c>
      <c r="V2982" s="207">
        <f>_xll.qlCalendarAdvance(Calendar,V2981,U2982,"f",FALSE)</f>
        <v>59763</v>
      </c>
      <c r="W2982" s="210">
        <f>_xll.qlCalendarAdvance(Calendar,V2982,NDays&amp;"D")</f>
        <v>59763</v>
      </c>
      <c r="X2982" s="211">
        <v>2.2885421279879026E-2</v>
      </c>
      <c r="Y2982" s="232"/>
    </row>
    <row r="2983" spans="21:25" x14ac:dyDescent="0.2">
      <c r="U2983" s="209" t="str">
        <f t="shared" si="49"/>
        <v>1w</v>
      </c>
      <c r="V2983" s="207">
        <f>_xll.qlCalendarAdvance(Calendar,V2982,U2983,"f",FALSE)</f>
        <v>59770</v>
      </c>
      <c r="W2983" s="210">
        <f>_xll.qlCalendarAdvance(Calendar,V2983,NDays&amp;"D")</f>
        <v>59770</v>
      </c>
      <c r="X2983" s="211">
        <v>2.289030956741378E-2</v>
      </c>
      <c r="Y2983" s="232"/>
    </row>
    <row r="2984" spans="21:25" x14ac:dyDescent="0.2">
      <c r="U2984" s="209" t="str">
        <f t="shared" si="49"/>
        <v>1w</v>
      </c>
      <c r="V2984" s="207">
        <f>_xll.qlCalendarAdvance(Calendar,V2983,U2984,"f",FALSE)</f>
        <v>59777</v>
      </c>
      <c r="W2984" s="210">
        <f>_xll.qlCalendarAdvance(Calendar,V2984,NDays&amp;"D")</f>
        <v>59777</v>
      </c>
      <c r="X2984" s="211">
        <v>2.2895218735206058E-2</v>
      </c>
      <c r="Y2984" s="232"/>
    </row>
    <row r="2985" spans="21:25" x14ac:dyDescent="0.2">
      <c r="U2985" s="209" t="str">
        <f t="shared" si="49"/>
        <v>1w</v>
      </c>
      <c r="V2985" s="207">
        <f>_xll.qlCalendarAdvance(Calendar,V2984,U2985,"f",FALSE)</f>
        <v>59784</v>
      </c>
      <c r="W2985" s="210">
        <f>_xll.qlCalendarAdvance(Calendar,V2985,NDays&amp;"D")</f>
        <v>59784</v>
      </c>
      <c r="X2985" s="211">
        <v>2.2900148783335794E-2</v>
      </c>
      <c r="Y2985" s="232"/>
    </row>
    <row r="2986" spans="21:25" x14ac:dyDescent="0.2">
      <c r="U2986" s="209" t="str">
        <f t="shared" si="49"/>
        <v>1w</v>
      </c>
      <c r="V2986" s="207">
        <f>_xll.qlCalendarAdvance(Calendar,V2985,U2986,"f",FALSE)</f>
        <v>59791</v>
      </c>
      <c r="W2986" s="210">
        <f>_xll.qlCalendarAdvance(Calendar,V2986,NDays&amp;"D")</f>
        <v>59791</v>
      </c>
      <c r="X2986" s="211">
        <v>2.2905099711643118E-2</v>
      </c>
      <c r="Y2986" s="232"/>
    </row>
    <row r="2987" spans="21:25" x14ac:dyDescent="0.2">
      <c r="U2987" s="209" t="str">
        <f t="shared" si="49"/>
        <v>1w</v>
      </c>
      <c r="V2987" s="207">
        <f>_xll.qlCalendarAdvance(Calendar,V2986,U2987,"f",FALSE)</f>
        <v>59798</v>
      </c>
      <c r="W2987" s="210">
        <f>_xll.qlCalendarAdvance(Calendar,V2987,NDays&amp;"D")</f>
        <v>59798</v>
      </c>
      <c r="X2987" s="211">
        <v>2.2910071520128028E-2</v>
      </c>
      <c r="Y2987" s="232"/>
    </row>
    <row r="2988" spans="21:25" x14ac:dyDescent="0.2">
      <c r="U2988" s="209" t="str">
        <f t="shared" si="49"/>
        <v>1w</v>
      </c>
      <c r="V2988" s="207">
        <f>_xll.qlCalendarAdvance(Calendar,V2987,U2988,"f",FALSE)</f>
        <v>59805</v>
      </c>
      <c r="W2988" s="210">
        <f>_xll.qlCalendarAdvance(Calendar,V2988,NDays&amp;"D")</f>
        <v>59805</v>
      </c>
      <c r="X2988" s="211">
        <v>2.2915064209030334E-2</v>
      </c>
      <c r="Y2988" s="232"/>
    </row>
    <row r="2989" spans="21:25" x14ac:dyDescent="0.2">
      <c r="U2989" s="209" t="str">
        <f t="shared" si="49"/>
        <v>1w</v>
      </c>
      <c r="V2989" s="207">
        <f>_xll.qlCalendarAdvance(Calendar,V2988,U2989,"f",FALSE)</f>
        <v>59812</v>
      </c>
      <c r="W2989" s="210">
        <f>_xll.qlCalendarAdvance(Calendar,V2989,NDays&amp;"D")</f>
        <v>59812</v>
      </c>
      <c r="X2989" s="211">
        <v>2.2920077778190162E-2</v>
      </c>
      <c r="Y2989" s="232"/>
    </row>
    <row r="2990" spans="21:25" x14ac:dyDescent="0.2">
      <c r="U2990" s="209" t="str">
        <f t="shared" si="49"/>
        <v>1w</v>
      </c>
      <c r="V2990" s="207">
        <f>_xll.qlCalendarAdvance(Calendar,V2989,U2990,"f",FALSE)</f>
        <v>59819</v>
      </c>
      <c r="W2990" s="210">
        <f>_xll.qlCalendarAdvance(Calendar,V2990,NDays&amp;"D")</f>
        <v>59819</v>
      </c>
      <c r="X2990" s="211">
        <v>2.2925112227607514E-2</v>
      </c>
      <c r="Y2990" s="232"/>
    </row>
    <row r="2991" spans="21:25" x14ac:dyDescent="0.2">
      <c r="U2991" s="209" t="str">
        <f t="shared" si="49"/>
        <v>1w</v>
      </c>
      <c r="V2991" s="207">
        <f>_xll.qlCalendarAdvance(Calendar,V2990,U2991,"f",FALSE)</f>
        <v>59826</v>
      </c>
      <c r="W2991" s="210">
        <f>_xll.qlCalendarAdvance(Calendar,V2991,NDays&amp;"D")</f>
        <v>59826</v>
      </c>
      <c r="X2991" s="211">
        <v>2.2930167557282388E-2</v>
      </c>
      <c r="Y2991" s="232"/>
    </row>
    <row r="2992" spans="21:25" x14ac:dyDescent="0.2">
      <c r="U2992" s="209" t="str">
        <f t="shared" si="49"/>
        <v>1w</v>
      </c>
      <c r="V2992" s="207">
        <f>_xll.qlCalendarAdvance(Calendar,V2991,U2992,"f",FALSE)</f>
        <v>59833</v>
      </c>
      <c r="W2992" s="210">
        <f>_xll.qlCalendarAdvance(Calendar,V2992,NDays&amp;"D")</f>
        <v>59833</v>
      </c>
      <c r="X2992" s="211">
        <v>2.2935243767294722E-2</v>
      </c>
      <c r="Y2992" s="232"/>
    </row>
    <row r="2993" spans="21:25" x14ac:dyDescent="0.2">
      <c r="U2993" s="209" t="str">
        <f t="shared" si="49"/>
        <v>1w</v>
      </c>
      <c r="V2993" s="207">
        <f>_xll.qlCalendarAdvance(Calendar,V2992,U2993,"f",FALSE)</f>
        <v>59840</v>
      </c>
      <c r="W2993" s="210">
        <f>_xll.qlCalendarAdvance(Calendar,V2993,NDays&amp;"D")</f>
        <v>59840</v>
      </c>
      <c r="X2993" s="211">
        <v>2.2940340857484642E-2</v>
      </c>
      <c r="Y2993" s="232"/>
    </row>
    <row r="2994" spans="21:25" x14ac:dyDescent="0.2">
      <c r="U2994" s="209" t="str">
        <f t="shared" si="49"/>
        <v>1w</v>
      </c>
      <c r="V2994" s="207">
        <f>_xll.qlCalendarAdvance(Calendar,V2993,U2994,"f",FALSE)</f>
        <v>59847</v>
      </c>
      <c r="W2994" s="210">
        <f>_xll.qlCalendarAdvance(Calendar,V2994,NDays&amp;"D")</f>
        <v>59847</v>
      </c>
      <c r="X2994" s="211">
        <v>2.2945458827932086E-2</v>
      </c>
      <c r="Y2994" s="232"/>
    </row>
    <row r="2995" spans="21:25" x14ac:dyDescent="0.2">
      <c r="U2995" s="209" t="str">
        <f t="shared" si="49"/>
        <v>1w</v>
      </c>
      <c r="V2995" s="207">
        <f>_xll.qlCalendarAdvance(Calendar,V2994,U2995,"f",FALSE)</f>
        <v>59854</v>
      </c>
      <c r="W2995" s="210">
        <f>_xll.qlCalendarAdvance(Calendar,V2995,NDays&amp;"D")</f>
        <v>59854</v>
      </c>
      <c r="X2995" s="211">
        <v>2.2950597678716989E-2</v>
      </c>
      <c r="Y2995" s="232"/>
    </row>
    <row r="2996" spans="21:25" x14ac:dyDescent="0.2">
      <c r="U2996" s="209" t="str">
        <f t="shared" si="49"/>
        <v>1w</v>
      </c>
      <c r="V2996" s="207">
        <f>_xll.qlCalendarAdvance(Calendar,V2995,U2996,"f",FALSE)</f>
        <v>59861</v>
      </c>
      <c r="W2996" s="210">
        <f>_xll.qlCalendarAdvance(Calendar,V2996,NDays&amp;"D")</f>
        <v>59861</v>
      </c>
      <c r="X2996" s="211">
        <v>2.2955757409759414E-2</v>
      </c>
      <c r="Y2996" s="232"/>
    </row>
    <row r="2997" spans="21:25" x14ac:dyDescent="0.2">
      <c r="U2997" s="209" t="str">
        <f t="shared" si="49"/>
        <v>1w</v>
      </c>
      <c r="V2997" s="207">
        <f>_xll.qlCalendarAdvance(Calendar,V2996,U2997,"f",FALSE)</f>
        <v>59868</v>
      </c>
      <c r="W2997" s="210">
        <f>_xll.qlCalendarAdvance(Calendar,V2997,NDays&amp;"D")</f>
        <v>59868</v>
      </c>
      <c r="X2997" s="211">
        <v>2.2960938021059363E-2</v>
      </c>
      <c r="Y2997" s="232"/>
    </row>
    <row r="2998" spans="21:25" x14ac:dyDescent="0.2">
      <c r="U2998" s="209" t="str">
        <f t="shared" si="49"/>
        <v>1w</v>
      </c>
      <c r="V2998" s="207">
        <f>_xll.qlCalendarAdvance(Calendar,V2997,U2998,"f",FALSE)</f>
        <v>59875</v>
      </c>
      <c r="W2998" s="210">
        <f>_xll.qlCalendarAdvance(Calendar,V2998,NDays&amp;"D")</f>
        <v>59875</v>
      </c>
      <c r="X2998" s="211">
        <v>2.2966139512776707E-2</v>
      </c>
      <c r="Y2998" s="232"/>
    </row>
    <row r="2999" spans="21:25" x14ac:dyDescent="0.2">
      <c r="U2999" s="209" t="str">
        <f t="shared" si="49"/>
        <v>1w</v>
      </c>
      <c r="V2999" s="207">
        <f>_xll.qlCalendarAdvance(Calendar,V2998,U2999,"f",FALSE)</f>
        <v>59882</v>
      </c>
      <c r="W2999" s="210">
        <f>_xll.qlCalendarAdvance(Calendar,V2999,NDays&amp;"D")</f>
        <v>59882</v>
      </c>
      <c r="X2999" s="211">
        <v>2.2971361884431829E-2</v>
      </c>
      <c r="Y2999" s="232"/>
    </row>
    <row r="3000" spans="21:25" x14ac:dyDescent="0.2">
      <c r="U3000" s="209" t="str">
        <f t="shared" si="49"/>
        <v>1w</v>
      </c>
      <c r="V3000" s="207">
        <f>_xll.qlCalendarAdvance(Calendar,V2999,U3000,"f",FALSE)</f>
        <v>59889</v>
      </c>
      <c r="W3000" s="210">
        <f>_xll.qlCalendarAdvance(Calendar,V3000,NDays&amp;"D")</f>
        <v>59889</v>
      </c>
      <c r="X3000" s="211">
        <v>2.2976605136744155E-2</v>
      </c>
      <c r="Y3000" s="232"/>
    </row>
    <row r="3001" spans="21:25" x14ac:dyDescent="0.2">
      <c r="U3001" s="209" t="str">
        <f t="shared" si="49"/>
        <v>1w</v>
      </c>
      <c r="V3001" s="207">
        <f>_xll.qlCalendarAdvance(Calendar,V3000,U3001,"f",FALSE)</f>
        <v>59897</v>
      </c>
      <c r="W3001" s="210">
        <f>_xll.qlCalendarAdvance(Calendar,V3001,NDays&amp;"D")</f>
        <v>59897</v>
      </c>
      <c r="X3001" s="211">
        <v>2.2982622992477886E-2</v>
      </c>
      <c r="Y3001" s="232"/>
    </row>
    <row r="3002" spans="21:25" x14ac:dyDescent="0.2">
      <c r="U3002" s="209" t="str">
        <f t="shared" si="49"/>
        <v>1w</v>
      </c>
      <c r="V3002" s="207">
        <f>_xll.qlCalendarAdvance(Calendar,V3001,U3002,"f",FALSE)</f>
        <v>59904</v>
      </c>
      <c r="W3002" s="210">
        <f>_xll.qlCalendarAdvance(Calendar,V3002,NDays&amp;"D")</f>
        <v>59904</v>
      </c>
      <c r="X3002" s="211">
        <v>2.2987910988119253E-2</v>
      </c>
      <c r="Y3002" s="232"/>
    </row>
    <row r="3003" spans="21:25" x14ac:dyDescent="0.2">
      <c r="U3003" s="209" t="str">
        <f t="shared" si="49"/>
        <v>1w</v>
      </c>
      <c r="V3003" s="207">
        <f>_xll.qlCalendarAdvance(Calendar,V3002,U3003,"f",FALSE)</f>
        <v>59911</v>
      </c>
      <c r="W3003" s="210">
        <f>_xll.qlCalendarAdvance(Calendar,V3003,NDays&amp;"D")</f>
        <v>59911</v>
      </c>
      <c r="X3003" s="211">
        <v>2.299321986409808E-2</v>
      </c>
      <c r="Y3003" s="232"/>
    </row>
    <row r="3004" spans="21:25" x14ac:dyDescent="0.2">
      <c r="U3004" s="209" t="str">
        <f t="shared" si="49"/>
        <v>1w</v>
      </c>
      <c r="V3004" s="207">
        <f>_xll.qlCalendarAdvance(Calendar,V3003,U3004,"f",FALSE)</f>
        <v>59918</v>
      </c>
      <c r="W3004" s="210">
        <f>_xll.qlCalendarAdvance(Calendar,V3004,NDays&amp;"D")</f>
        <v>59918</v>
      </c>
      <c r="X3004" s="211">
        <v>2.2998549620174558E-2</v>
      </c>
      <c r="Y3004" s="232"/>
    </row>
    <row r="3005" spans="21:25" x14ac:dyDescent="0.2">
      <c r="U3005" s="209" t="str">
        <f t="shared" si="49"/>
        <v>1w</v>
      </c>
      <c r="V3005" s="207">
        <f>_xll.qlCalendarAdvance(Calendar,V3004,U3005,"f",FALSE)</f>
        <v>59925</v>
      </c>
      <c r="W3005" s="210">
        <f>_xll.qlCalendarAdvance(Calendar,V3005,NDays&amp;"D")</f>
        <v>59925</v>
      </c>
      <c r="X3005" s="211">
        <v>2.3003900256748366E-2</v>
      </c>
      <c r="Y3005" s="232"/>
    </row>
    <row r="3006" spans="21:25" x14ac:dyDescent="0.2">
      <c r="U3006" s="209" t="str">
        <f t="shared" si="49"/>
        <v>1w</v>
      </c>
      <c r="V3006" s="207">
        <f>_xll.qlCalendarAdvance(Calendar,V3005,U3006,"f",FALSE)</f>
        <v>59932</v>
      </c>
      <c r="W3006" s="210">
        <f>_xll.qlCalendarAdvance(Calendar,V3006,NDays&amp;"D")</f>
        <v>59932</v>
      </c>
      <c r="X3006" s="211">
        <v>2.3009271773499762E-2</v>
      </c>
      <c r="Y3006" s="232"/>
    </row>
    <row r="3007" spans="21:25" x14ac:dyDescent="0.2">
      <c r="U3007" s="209" t="str">
        <f t="shared" si="49"/>
        <v>1w</v>
      </c>
      <c r="V3007" s="207">
        <f>_xll.qlCalendarAdvance(Calendar,V3006,U3007,"f",FALSE)</f>
        <v>59939</v>
      </c>
      <c r="W3007" s="210">
        <f>_xll.qlCalendarAdvance(Calendar,V3007,NDays&amp;"D")</f>
        <v>59939</v>
      </c>
      <c r="X3007" s="211">
        <v>2.3014664170428745E-2</v>
      </c>
      <c r="Y3007" s="232"/>
    </row>
    <row r="3008" spans="21:25" x14ac:dyDescent="0.2">
      <c r="U3008" s="209" t="str">
        <f t="shared" si="49"/>
        <v>1w</v>
      </c>
      <c r="V3008" s="207">
        <f>_xll.qlCalendarAdvance(Calendar,V3007,U3008,"f",FALSE)</f>
        <v>59946</v>
      </c>
      <c r="W3008" s="210">
        <f>_xll.qlCalendarAdvance(Calendar,V3008,NDays&amp;"D")</f>
        <v>59946</v>
      </c>
      <c r="X3008" s="211">
        <v>2.3020077447775122E-2</v>
      </c>
      <c r="Y3008" s="232"/>
    </row>
    <row r="3009" spans="21:25" x14ac:dyDescent="0.2">
      <c r="U3009" s="209" t="str">
        <f t="shared" si="49"/>
        <v>1w</v>
      </c>
      <c r="V3009" s="207">
        <f>_xll.qlCalendarAdvance(Calendar,V3008,U3009,"f",FALSE)</f>
        <v>59953</v>
      </c>
      <c r="W3009" s="210">
        <f>_xll.qlCalendarAdvance(Calendar,V3009,NDays&amp;"D")</f>
        <v>59953</v>
      </c>
      <c r="X3009" s="211">
        <v>2.3025511605538895E-2</v>
      </c>
      <c r="Y3009" s="232"/>
    </row>
    <row r="3010" spans="21:25" x14ac:dyDescent="0.2">
      <c r="U3010" s="209" t="str">
        <f t="shared" si="49"/>
        <v>1w</v>
      </c>
      <c r="V3010" s="207">
        <f>_xll.qlCalendarAdvance(Calendar,V3009,U3010,"f",FALSE)</f>
        <v>59960</v>
      </c>
      <c r="W3010" s="210">
        <f>_xll.qlCalendarAdvance(Calendar,V3010,NDays&amp;"D")</f>
        <v>59960</v>
      </c>
      <c r="X3010" s="211">
        <v>2.3030966643400319E-2</v>
      </c>
      <c r="Y3010" s="232"/>
    </row>
    <row r="3011" spans="21:25" x14ac:dyDescent="0.2">
      <c r="U3011" s="209" t="str">
        <f t="shared" si="49"/>
        <v>1w</v>
      </c>
      <c r="V3011" s="207">
        <f>_xll.qlCalendarAdvance(Calendar,V3010,U3011,"f",FALSE)</f>
        <v>59967</v>
      </c>
      <c r="W3011" s="210">
        <f>_xll.qlCalendarAdvance(Calendar,V3011,NDays&amp;"D")</f>
        <v>59967</v>
      </c>
      <c r="X3011" s="211">
        <v>2.303644256143933E-2</v>
      </c>
      <c r="Y3011" s="232"/>
    </row>
    <row r="3012" spans="21:25" x14ac:dyDescent="0.2">
      <c r="U3012" s="209" t="str">
        <f t="shared" si="49"/>
        <v>1w</v>
      </c>
      <c r="V3012" s="207">
        <f>_xll.qlCalendarAdvance(Calendar,V3011,U3012,"f",FALSE)</f>
        <v>59974</v>
      </c>
      <c r="W3012" s="210">
        <f>_xll.qlCalendarAdvance(Calendar,V3012,NDays&amp;"D")</f>
        <v>59974</v>
      </c>
      <c r="X3012" s="211">
        <v>2.3041939360135544E-2</v>
      </c>
      <c r="Y3012" s="232"/>
    </row>
    <row r="3013" spans="21:25" x14ac:dyDescent="0.2">
      <c r="U3013" s="209" t="str">
        <f t="shared" si="49"/>
        <v>1w</v>
      </c>
      <c r="V3013" s="207">
        <f>_xll.qlCalendarAdvance(Calendar,V3012,U3013,"f",FALSE)</f>
        <v>59981</v>
      </c>
      <c r="W3013" s="210">
        <f>_xll.qlCalendarAdvance(Calendar,V3013,NDays&amp;"D")</f>
        <v>59981</v>
      </c>
      <c r="X3013" s="211">
        <v>2.3047457038929409E-2</v>
      </c>
      <c r="Y3013" s="232"/>
    </row>
    <row r="3014" spans="21:25" x14ac:dyDescent="0.2">
      <c r="U3014" s="209" t="str">
        <f t="shared" si="49"/>
        <v>1w</v>
      </c>
      <c r="V3014" s="207">
        <f>_xll.qlCalendarAdvance(Calendar,V3013,U3014,"f",FALSE)</f>
        <v>59988</v>
      </c>
      <c r="W3014" s="210">
        <f>_xll.qlCalendarAdvance(Calendar,V3014,NDays&amp;"D")</f>
        <v>59988</v>
      </c>
      <c r="X3014" s="211">
        <v>2.3052995597980797E-2</v>
      </c>
      <c r="Y3014" s="232"/>
    </row>
    <row r="3015" spans="21:25" x14ac:dyDescent="0.2">
      <c r="U3015" s="209" t="str">
        <f t="shared" si="49"/>
        <v>1w</v>
      </c>
      <c r="V3015" s="207">
        <f>_xll.qlCalendarAdvance(Calendar,V3014,U3015,"f",FALSE)</f>
        <v>59995</v>
      </c>
      <c r="W3015" s="210">
        <f>_xll.qlCalendarAdvance(Calendar,V3015,NDays&amp;"D")</f>
        <v>59995</v>
      </c>
      <c r="X3015" s="211">
        <v>2.3063102179072814E-2</v>
      </c>
      <c r="Y3015" s="232"/>
    </row>
    <row r="3016" spans="21:25" x14ac:dyDescent="0.2">
      <c r="U3016" s="209" t="str">
        <f t="shared" si="49"/>
        <v>1w</v>
      </c>
      <c r="V3016" s="207">
        <f>_xll.qlCalendarAdvance(Calendar,V3015,U3016,"f",FALSE)</f>
        <v>60002</v>
      </c>
      <c r="W3016" s="210">
        <f>_xll.qlCalendarAdvance(Calendar,V3016,NDays&amp;"D")</f>
        <v>60002</v>
      </c>
      <c r="X3016" s="211">
        <v>2.3064135356936077E-2</v>
      </c>
      <c r="Y3016" s="232"/>
    </row>
    <row r="3017" spans="21:25" x14ac:dyDescent="0.2">
      <c r="U3017" s="209" t="str">
        <f t="shared" si="49"/>
        <v>1w</v>
      </c>
      <c r="V3017" s="207">
        <f>_xll.qlCalendarAdvance(Calendar,V3016,U3017,"f",FALSE)</f>
        <v>60009</v>
      </c>
      <c r="W3017" s="210">
        <f>_xll.qlCalendarAdvance(Calendar,V3017,NDays&amp;"D")</f>
        <v>60009</v>
      </c>
      <c r="X3017" s="211">
        <v>2.306973655683997E-2</v>
      </c>
      <c r="Y3017" s="232"/>
    </row>
    <row r="3018" spans="21:25" x14ac:dyDescent="0.2">
      <c r="U3018" s="209" t="str">
        <f t="shared" si="49"/>
        <v>1w</v>
      </c>
      <c r="V3018" s="207">
        <f>_xll.qlCalendarAdvance(Calendar,V3017,U3018,"f",FALSE)</f>
        <v>60016</v>
      </c>
      <c r="W3018" s="210">
        <f>_xll.qlCalendarAdvance(Calendar,V3018,NDays&amp;"D")</f>
        <v>60016</v>
      </c>
      <c r="X3018" s="211">
        <v>2.3075358637001386E-2</v>
      </c>
      <c r="Y3018" s="232"/>
    </row>
    <row r="3019" spans="21:25" x14ac:dyDescent="0.2">
      <c r="U3019" s="209" t="str">
        <f t="shared" si="49"/>
        <v>1w</v>
      </c>
      <c r="V3019" s="207">
        <f>_xll.qlCalendarAdvance(Calendar,V3018,U3019,"f",FALSE)</f>
        <v>60024</v>
      </c>
      <c r="W3019" s="210">
        <f>_xll.qlCalendarAdvance(Calendar,V3019,NDays&amp;"D")</f>
        <v>60024</v>
      </c>
      <c r="X3019" s="211">
        <v>2.3084097901033829E-2</v>
      </c>
      <c r="Y3019" s="232"/>
    </row>
    <row r="3020" spans="21:25" x14ac:dyDescent="0.2">
      <c r="U3020" s="209" t="str">
        <f t="shared" si="49"/>
        <v>1w</v>
      </c>
      <c r="V3020" s="207">
        <f>_xll.qlCalendarAdvance(Calendar,V3019,U3020,"f",FALSE)</f>
        <v>60031</v>
      </c>
      <c r="W3020" s="210">
        <f>_xll.qlCalendarAdvance(Calendar,V3020,NDays&amp;"D")</f>
        <v>60031</v>
      </c>
      <c r="X3020" s="211">
        <v>2.3089768434836344E-2</v>
      </c>
      <c r="Y3020" s="232"/>
    </row>
    <row r="3021" spans="21:25" x14ac:dyDescent="0.2">
      <c r="U3021" s="209" t="str">
        <f t="shared" ref="U3021:U3084" si="50">U3020</f>
        <v>1w</v>
      </c>
      <c r="V3021" s="207">
        <f>_xll.qlCalendarAdvance(Calendar,V3020,U3021,"f",FALSE)</f>
        <v>60038</v>
      </c>
      <c r="W3021" s="210">
        <f>_xll.qlCalendarAdvance(Calendar,V3021,NDays&amp;"D")</f>
        <v>60038</v>
      </c>
      <c r="X3021" s="211">
        <v>2.3095459851800726E-2</v>
      </c>
      <c r="Y3021" s="232"/>
    </row>
    <row r="3022" spans="21:25" x14ac:dyDescent="0.2">
      <c r="U3022" s="209" t="str">
        <f t="shared" si="50"/>
        <v>1w</v>
      </c>
      <c r="V3022" s="207">
        <f>_xll.qlCalendarAdvance(Calendar,V3021,U3022,"f",FALSE)</f>
        <v>60045</v>
      </c>
      <c r="W3022" s="210">
        <f>_xll.qlCalendarAdvance(Calendar,V3022,NDays&amp;"D")</f>
        <v>60045</v>
      </c>
      <c r="X3022" s="211">
        <v>2.310117215200691E-2</v>
      </c>
      <c r="Y3022" s="232"/>
    </row>
    <row r="3023" spans="21:25" x14ac:dyDescent="0.2">
      <c r="U3023" s="209" t="str">
        <f t="shared" si="50"/>
        <v>1w</v>
      </c>
      <c r="V3023" s="207">
        <f>_xll.qlCalendarAdvance(Calendar,V3022,U3023,"f",FALSE)</f>
        <v>60052</v>
      </c>
      <c r="W3023" s="210">
        <f>_xll.qlCalendarAdvance(Calendar,V3023,NDays&amp;"D")</f>
        <v>60052</v>
      </c>
      <c r="X3023" s="211">
        <v>2.310690533526838E-2</v>
      </c>
      <c r="Y3023" s="232"/>
    </row>
    <row r="3024" spans="21:25" x14ac:dyDescent="0.2">
      <c r="U3024" s="209" t="str">
        <f t="shared" si="50"/>
        <v>1w</v>
      </c>
      <c r="V3024" s="207">
        <f>_xll.qlCalendarAdvance(Calendar,V3023,U3024,"f",FALSE)</f>
        <v>60059</v>
      </c>
      <c r="W3024" s="210">
        <f>_xll.qlCalendarAdvance(Calendar,V3024,NDays&amp;"D")</f>
        <v>60059</v>
      </c>
      <c r="X3024" s="211">
        <v>2.311264931269541E-2</v>
      </c>
      <c r="Y3024" s="232"/>
    </row>
    <row r="3025" spans="21:25" x14ac:dyDescent="0.2">
      <c r="U3025" s="209" t="str">
        <f t="shared" si="50"/>
        <v>1w</v>
      </c>
      <c r="V3025" s="207">
        <f>_xll.qlCalendarAdvance(Calendar,V3024,U3025,"f",FALSE)</f>
        <v>60066</v>
      </c>
      <c r="W3025" s="210">
        <f>_xll.qlCalendarAdvance(Calendar,V3025,NDays&amp;"D")</f>
        <v>60066</v>
      </c>
      <c r="X3025" s="211">
        <v>2.3118383254976393E-2</v>
      </c>
      <c r="Y3025" s="232"/>
    </row>
    <row r="3026" spans="21:25" x14ac:dyDescent="0.2">
      <c r="U3026" s="209" t="str">
        <f t="shared" si="50"/>
        <v>1w</v>
      </c>
      <c r="V3026" s="207">
        <f>_xll.qlCalendarAdvance(Calendar,V3025,U3026,"f",FALSE)</f>
        <v>60073</v>
      </c>
      <c r="W3026" s="210">
        <f>_xll.qlCalendarAdvance(Calendar,V3026,NDays&amp;"D")</f>
        <v>60073</v>
      </c>
      <c r="X3026" s="211">
        <v>2.3124106185878901E-2</v>
      </c>
      <c r="Y3026" s="232"/>
    </row>
    <row r="3027" spans="21:25" x14ac:dyDescent="0.2">
      <c r="U3027" s="209" t="str">
        <f t="shared" si="50"/>
        <v>1w</v>
      </c>
      <c r="V3027" s="207">
        <f>_xll.qlCalendarAdvance(Calendar,V3026,U3027,"f",FALSE)</f>
        <v>60080</v>
      </c>
      <c r="W3027" s="210">
        <f>_xll.qlCalendarAdvance(Calendar,V3027,NDays&amp;"D")</f>
        <v>60080</v>
      </c>
      <c r="X3027" s="211">
        <v>2.3129818105376287E-2</v>
      </c>
      <c r="Y3027" s="232"/>
    </row>
    <row r="3028" spans="21:25" x14ac:dyDescent="0.2">
      <c r="U3028" s="209" t="str">
        <f t="shared" si="50"/>
        <v>1w</v>
      </c>
      <c r="V3028" s="207">
        <f>_xll.qlCalendarAdvance(Calendar,V3027,U3028,"f",FALSE)</f>
        <v>60087</v>
      </c>
      <c r="W3028" s="210">
        <f>_xll.qlCalendarAdvance(Calendar,V3028,NDays&amp;"D")</f>
        <v>60087</v>
      </c>
      <c r="X3028" s="211">
        <v>2.3135519013495198E-2</v>
      </c>
      <c r="Y3028" s="232"/>
    </row>
    <row r="3029" spans="21:25" x14ac:dyDescent="0.2">
      <c r="U3029" s="209" t="str">
        <f t="shared" si="50"/>
        <v>1w</v>
      </c>
      <c r="V3029" s="207">
        <f>_xll.qlCalendarAdvance(Calendar,V3028,U3029,"f",FALSE)</f>
        <v>60094</v>
      </c>
      <c r="W3029" s="210">
        <f>_xll.qlCalendarAdvance(Calendar,V3029,NDays&amp;"D")</f>
        <v>60094</v>
      </c>
      <c r="X3029" s="211">
        <v>2.3141208910182343E-2</v>
      </c>
      <c r="Y3029" s="232"/>
    </row>
    <row r="3030" spans="21:25" x14ac:dyDescent="0.2">
      <c r="U3030" s="209" t="str">
        <f t="shared" si="50"/>
        <v>1w</v>
      </c>
      <c r="V3030" s="207">
        <f>_xll.qlCalendarAdvance(Calendar,V3029,U3030,"f",FALSE)</f>
        <v>60101</v>
      </c>
      <c r="W3030" s="210">
        <f>_xll.qlCalendarAdvance(Calendar,V3030,NDays&amp;"D")</f>
        <v>60101</v>
      </c>
      <c r="X3030" s="211">
        <v>2.314688779538443E-2</v>
      </c>
      <c r="Y3030" s="232"/>
    </row>
    <row r="3031" spans="21:25" x14ac:dyDescent="0.2">
      <c r="U3031" s="209" t="str">
        <f t="shared" si="50"/>
        <v>1w</v>
      </c>
      <c r="V3031" s="207">
        <f>_xll.qlCalendarAdvance(Calendar,V3030,U3031,"f",FALSE)</f>
        <v>60108</v>
      </c>
      <c r="W3031" s="210">
        <f>_xll.qlCalendarAdvance(Calendar,V3031,NDays&amp;"D")</f>
        <v>60108</v>
      </c>
      <c r="X3031" s="211">
        <v>2.3152555669208041E-2</v>
      </c>
      <c r="Y3031" s="232"/>
    </row>
    <row r="3032" spans="21:25" x14ac:dyDescent="0.2">
      <c r="U3032" s="209" t="str">
        <f t="shared" si="50"/>
        <v>1w</v>
      </c>
      <c r="V3032" s="207">
        <f>_xll.qlCalendarAdvance(Calendar,V3031,U3032,"f",FALSE)</f>
        <v>60115</v>
      </c>
      <c r="W3032" s="210">
        <f>_xll.qlCalendarAdvance(Calendar,V3032,NDays&amp;"D")</f>
        <v>60115</v>
      </c>
      <c r="X3032" s="211">
        <v>2.3158212531626532E-2</v>
      </c>
      <c r="Y3032" s="232"/>
    </row>
    <row r="3033" spans="21:25" x14ac:dyDescent="0.2">
      <c r="U3033" s="209" t="str">
        <f t="shared" si="50"/>
        <v>1w</v>
      </c>
      <c r="V3033" s="207">
        <f>_xll.qlCalendarAdvance(Calendar,V3032,U3033,"f",FALSE)</f>
        <v>60122</v>
      </c>
      <c r="W3033" s="210">
        <f>_xll.qlCalendarAdvance(Calendar,V3033,NDays&amp;"D")</f>
        <v>60122</v>
      </c>
      <c r="X3033" s="211">
        <v>2.3163858382613256E-2</v>
      </c>
      <c r="Y3033" s="232"/>
    </row>
    <row r="3034" spans="21:25" x14ac:dyDescent="0.2">
      <c r="U3034" s="209" t="str">
        <f t="shared" si="50"/>
        <v>1w</v>
      </c>
      <c r="V3034" s="207">
        <f>_xll.qlCalendarAdvance(Calendar,V3033,U3034,"f",FALSE)</f>
        <v>60129</v>
      </c>
      <c r="W3034" s="210">
        <f>_xll.qlCalendarAdvance(Calendar,V3034,NDays&amp;"D")</f>
        <v>60129</v>
      </c>
      <c r="X3034" s="211">
        <v>2.3169493222141568E-2</v>
      </c>
      <c r="Y3034" s="232"/>
    </row>
    <row r="3035" spans="21:25" x14ac:dyDescent="0.2">
      <c r="U3035" s="209" t="str">
        <f t="shared" si="50"/>
        <v>1w</v>
      </c>
      <c r="V3035" s="207">
        <f>_xll.qlCalendarAdvance(Calendar,V3034,U3035,"f",FALSE)</f>
        <v>60136</v>
      </c>
      <c r="W3035" s="210">
        <f>_xll.qlCalendarAdvance(Calendar,V3035,NDays&amp;"D")</f>
        <v>60136</v>
      </c>
      <c r="X3035" s="211">
        <v>2.3175117050291405E-2</v>
      </c>
      <c r="Y3035" s="232"/>
    </row>
    <row r="3036" spans="21:25" x14ac:dyDescent="0.2">
      <c r="U3036" s="209" t="str">
        <f t="shared" si="50"/>
        <v>1w</v>
      </c>
      <c r="V3036" s="207">
        <f>_xll.qlCalendarAdvance(Calendar,V3035,U3036,"f",FALSE)</f>
        <v>60143</v>
      </c>
      <c r="W3036" s="210">
        <f>_xll.qlCalendarAdvance(Calendar,V3036,NDays&amp;"D")</f>
        <v>60143</v>
      </c>
      <c r="X3036" s="211">
        <v>2.3180729867009475E-2</v>
      </c>
      <c r="Y3036" s="232"/>
    </row>
    <row r="3037" spans="21:25" x14ac:dyDescent="0.2">
      <c r="U3037" s="209" t="str">
        <f t="shared" si="50"/>
        <v>1w</v>
      </c>
      <c r="V3037" s="207">
        <f>_xll.qlCalendarAdvance(Calendar,V3036,U3037,"f",FALSE)</f>
        <v>60150</v>
      </c>
      <c r="W3037" s="210">
        <f>_xll.qlCalendarAdvance(Calendar,V3037,NDays&amp;"D")</f>
        <v>60150</v>
      </c>
      <c r="X3037" s="211">
        <v>2.3186331672269134E-2</v>
      </c>
      <c r="Y3037" s="232"/>
    </row>
    <row r="3038" spans="21:25" x14ac:dyDescent="0.2">
      <c r="U3038" s="209" t="str">
        <f t="shared" si="50"/>
        <v>1w</v>
      </c>
      <c r="V3038" s="207">
        <f>_xll.qlCalendarAdvance(Calendar,V3037,U3038,"f",FALSE)</f>
        <v>60157</v>
      </c>
      <c r="W3038" s="210">
        <f>_xll.qlCalendarAdvance(Calendar,V3038,NDays&amp;"D")</f>
        <v>60157</v>
      </c>
      <c r="X3038" s="211">
        <v>2.319192246607038E-2</v>
      </c>
      <c r="Y3038" s="232"/>
    </row>
    <row r="3039" spans="21:25" x14ac:dyDescent="0.2">
      <c r="U3039" s="209" t="str">
        <f t="shared" si="50"/>
        <v>1w</v>
      </c>
      <c r="V3039" s="207">
        <f>_xll.qlCalendarAdvance(Calendar,V3038,U3039,"f",FALSE)</f>
        <v>60164</v>
      </c>
      <c r="W3039" s="210">
        <f>_xll.qlCalendarAdvance(Calendar,V3039,NDays&amp;"D")</f>
        <v>60164</v>
      </c>
      <c r="X3039" s="211">
        <v>2.3197502248466506E-2</v>
      </c>
      <c r="Y3039" s="232"/>
    </row>
    <row r="3040" spans="21:25" x14ac:dyDescent="0.2">
      <c r="U3040" s="209" t="str">
        <f t="shared" si="50"/>
        <v>1w</v>
      </c>
      <c r="V3040" s="207">
        <f>_xll.qlCalendarAdvance(Calendar,V3039,U3040,"f",FALSE)</f>
        <v>60171</v>
      </c>
      <c r="W3040" s="210">
        <f>_xll.qlCalendarAdvance(Calendar,V3040,NDays&amp;"D")</f>
        <v>60171</v>
      </c>
      <c r="X3040" s="211">
        <v>2.3203071019457511E-2</v>
      </c>
      <c r="Y3040" s="232"/>
    </row>
    <row r="3041" spans="21:25" x14ac:dyDescent="0.2">
      <c r="U3041" s="209" t="str">
        <f t="shared" si="50"/>
        <v>1w</v>
      </c>
      <c r="V3041" s="207">
        <f>_xll.qlCalendarAdvance(Calendar,V3040,U3041,"f",FALSE)</f>
        <v>60178</v>
      </c>
      <c r="W3041" s="210">
        <f>_xll.qlCalendarAdvance(Calendar,V3041,NDays&amp;"D")</f>
        <v>60178</v>
      </c>
      <c r="X3041" s="211">
        <v>2.3208628778990104E-2</v>
      </c>
      <c r="Y3041" s="232"/>
    </row>
    <row r="3042" spans="21:25" x14ac:dyDescent="0.2">
      <c r="U3042" s="209" t="str">
        <f t="shared" si="50"/>
        <v>1w</v>
      </c>
      <c r="V3042" s="207">
        <f>_xll.qlCalendarAdvance(Calendar,V3041,U3042,"f",FALSE)</f>
        <v>60185</v>
      </c>
      <c r="W3042" s="210">
        <f>_xll.qlCalendarAdvance(Calendar,V3042,NDays&amp;"D")</f>
        <v>60185</v>
      </c>
      <c r="X3042" s="211">
        <v>2.3214175527064285E-2</v>
      </c>
      <c r="Y3042" s="232"/>
    </row>
    <row r="3043" spans="21:25" x14ac:dyDescent="0.2">
      <c r="U3043" s="209" t="str">
        <f t="shared" si="50"/>
        <v>1w</v>
      </c>
      <c r="V3043" s="207">
        <f>_xll.qlCalendarAdvance(Calendar,V3042,U3043,"f",FALSE)</f>
        <v>60192</v>
      </c>
      <c r="W3043" s="210">
        <f>_xll.qlCalendarAdvance(Calendar,V3043,NDays&amp;"D")</f>
        <v>60192</v>
      </c>
      <c r="X3043" s="211">
        <v>2.3219711263733345E-2</v>
      </c>
      <c r="Y3043" s="232"/>
    </row>
    <row r="3044" spans="21:25" x14ac:dyDescent="0.2">
      <c r="U3044" s="209" t="str">
        <f t="shared" si="50"/>
        <v>1w</v>
      </c>
      <c r="V3044" s="207">
        <f>_xll.qlCalendarAdvance(Calendar,V3043,U3044,"f",FALSE)</f>
        <v>60199</v>
      </c>
      <c r="W3044" s="210">
        <f>_xll.qlCalendarAdvance(Calendar,V3044,NDays&amp;"D")</f>
        <v>60199</v>
      </c>
      <c r="X3044" s="211">
        <v>2.3225235988970638E-2</v>
      </c>
      <c r="Y3044" s="232"/>
    </row>
    <row r="3045" spans="21:25" x14ac:dyDescent="0.2">
      <c r="U3045" s="209" t="str">
        <f t="shared" si="50"/>
        <v>1w</v>
      </c>
      <c r="V3045" s="207">
        <f>_xll.qlCalendarAdvance(Calendar,V3044,U3045,"f",FALSE)</f>
        <v>60206</v>
      </c>
      <c r="W3045" s="210">
        <f>_xll.qlCalendarAdvance(Calendar,V3045,NDays&amp;"D")</f>
        <v>60206</v>
      </c>
      <c r="X3045" s="211">
        <v>2.323074970269623E-2</v>
      </c>
      <c r="Y3045" s="232"/>
    </row>
    <row r="3046" spans="21:25" x14ac:dyDescent="0.2">
      <c r="U3046" s="209" t="str">
        <f t="shared" si="50"/>
        <v>1w</v>
      </c>
      <c r="V3046" s="207">
        <f>_xll.qlCalendarAdvance(Calendar,V3045,U3046,"f",FALSE)</f>
        <v>60213</v>
      </c>
      <c r="W3046" s="210">
        <f>_xll.qlCalendarAdvance(Calendar,V3046,NDays&amp;"D")</f>
        <v>60213</v>
      </c>
      <c r="X3046" s="211">
        <v>2.323625240506999E-2</v>
      </c>
      <c r="Y3046" s="232"/>
    </row>
    <row r="3047" spans="21:25" x14ac:dyDescent="0.2">
      <c r="U3047" s="209" t="str">
        <f t="shared" si="50"/>
        <v>1w</v>
      </c>
      <c r="V3047" s="207">
        <f>_xll.qlCalendarAdvance(Calendar,V3046,U3047,"f",FALSE)</f>
        <v>60220</v>
      </c>
      <c r="W3047" s="210">
        <f>_xll.qlCalendarAdvance(Calendar,V3047,NDays&amp;"D")</f>
        <v>60220</v>
      </c>
      <c r="X3047" s="211">
        <v>2.3241744095905403E-2</v>
      </c>
      <c r="Y3047" s="232"/>
    </row>
    <row r="3048" spans="21:25" x14ac:dyDescent="0.2">
      <c r="U3048" s="209" t="str">
        <f t="shared" si="50"/>
        <v>1w</v>
      </c>
      <c r="V3048" s="207">
        <f>_xll.qlCalendarAdvance(Calendar,V3047,U3048,"f",FALSE)</f>
        <v>60227</v>
      </c>
      <c r="W3048" s="210">
        <f>_xll.qlCalendarAdvance(Calendar,V3048,NDays&amp;"D")</f>
        <v>60227</v>
      </c>
      <c r="X3048" s="211">
        <v>2.3247224775335695E-2</v>
      </c>
      <c r="Y3048" s="232"/>
    </row>
    <row r="3049" spans="21:25" x14ac:dyDescent="0.2">
      <c r="U3049" s="209" t="str">
        <f t="shared" si="50"/>
        <v>1w</v>
      </c>
      <c r="V3049" s="207">
        <f>_xll.qlCalendarAdvance(Calendar,V3048,U3049,"f",FALSE)</f>
        <v>60234</v>
      </c>
      <c r="W3049" s="210">
        <f>_xll.qlCalendarAdvance(Calendar,V3049,NDays&amp;"D")</f>
        <v>60234</v>
      </c>
      <c r="X3049" s="211">
        <v>2.3252694443334221E-2</v>
      </c>
      <c r="Y3049" s="232"/>
    </row>
    <row r="3050" spans="21:25" x14ac:dyDescent="0.2">
      <c r="U3050" s="209" t="str">
        <f t="shared" si="50"/>
        <v>1w</v>
      </c>
      <c r="V3050" s="207">
        <f>_xll.qlCalendarAdvance(Calendar,V3049,U3050,"f",FALSE)</f>
        <v>60241</v>
      </c>
      <c r="W3050" s="210">
        <f>_xll.qlCalendarAdvance(Calendar,V3050,NDays&amp;"D")</f>
        <v>60241</v>
      </c>
      <c r="X3050" s="211">
        <v>2.325815309990098E-2</v>
      </c>
      <c r="Y3050" s="232"/>
    </row>
    <row r="3051" spans="21:25" x14ac:dyDescent="0.2">
      <c r="U3051" s="209" t="str">
        <f t="shared" si="50"/>
        <v>1w</v>
      </c>
      <c r="V3051" s="207">
        <f>_xll.qlCalendarAdvance(Calendar,V3050,U3051,"f",FALSE)</f>
        <v>60248</v>
      </c>
      <c r="W3051" s="210">
        <f>_xll.qlCalendarAdvance(Calendar,V3051,NDays&amp;"D")</f>
        <v>60248</v>
      </c>
      <c r="X3051" s="211">
        <v>2.3263600744929391E-2</v>
      </c>
      <c r="Y3051" s="232"/>
    </row>
    <row r="3052" spans="21:25" x14ac:dyDescent="0.2">
      <c r="U3052" s="209" t="str">
        <f t="shared" si="50"/>
        <v>1w</v>
      </c>
      <c r="V3052" s="207">
        <f>_xll.qlCalendarAdvance(Calendar,V3051,U3052,"f",FALSE)</f>
        <v>60255</v>
      </c>
      <c r="W3052" s="210">
        <f>_xll.qlCalendarAdvance(Calendar,V3052,NDays&amp;"D")</f>
        <v>60255</v>
      </c>
      <c r="X3052" s="211">
        <v>2.3269037378579327E-2</v>
      </c>
      <c r="Y3052" s="232"/>
    </row>
    <row r="3053" spans="21:25" x14ac:dyDescent="0.2">
      <c r="U3053" s="209" t="str">
        <f t="shared" si="50"/>
        <v>1w</v>
      </c>
      <c r="V3053" s="207">
        <f>_xll.qlCalendarAdvance(Calendar,V3052,U3053,"f",FALSE)</f>
        <v>60265</v>
      </c>
      <c r="W3053" s="210">
        <f>_xll.qlCalendarAdvance(Calendar,V3053,NDays&amp;"D")</f>
        <v>60265</v>
      </c>
      <c r="X3053" s="211">
        <v>2.3274506468906608E-2</v>
      </c>
      <c r="Y3053" s="232"/>
    </row>
    <row r="3054" spans="21:25" x14ac:dyDescent="0.2">
      <c r="U3054" s="209" t="str">
        <f t="shared" si="50"/>
        <v>1w</v>
      </c>
      <c r="V3054" s="207">
        <f>_xll.qlCalendarAdvance(Calendar,V3053,U3054,"f",FALSE)</f>
        <v>60272</v>
      </c>
      <c r="W3054" s="210">
        <f>_xll.qlCalendarAdvance(Calendar,V3054,NDays&amp;"D")</f>
        <v>60272</v>
      </c>
      <c r="X3054" s="211">
        <v>2.327991723386269E-2</v>
      </c>
      <c r="Y3054" s="232"/>
    </row>
    <row r="3055" spans="21:25" x14ac:dyDescent="0.2">
      <c r="U3055" s="209" t="str">
        <f t="shared" si="50"/>
        <v>1w</v>
      </c>
      <c r="V3055" s="207">
        <f>_xll.qlCalendarAdvance(Calendar,V3054,U3055,"f",FALSE)</f>
        <v>60279</v>
      </c>
      <c r="W3055" s="210">
        <f>_xll.qlCalendarAdvance(Calendar,V3055,NDays&amp;"D")</f>
        <v>60279</v>
      </c>
      <c r="X3055" s="211">
        <v>2.3285316988426175E-2</v>
      </c>
      <c r="Y3055" s="232"/>
    </row>
    <row r="3056" spans="21:25" x14ac:dyDescent="0.2">
      <c r="U3056" s="209" t="str">
        <f t="shared" si="50"/>
        <v>1w</v>
      </c>
      <c r="V3056" s="207">
        <f>_xll.qlCalendarAdvance(Calendar,V3055,U3056,"f",FALSE)</f>
        <v>60286</v>
      </c>
      <c r="W3056" s="210">
        <f>_xll.qlCalendarAdvance(Calendar,V3056,NDays&amp;"D")</f>
        <v>60286</v>
      </c>
      <c r="X3056" s="211">
        <v>2.3290705732836869E-2</v>
      </c>
      <c r="Y3056" s="232"/>
    </row>
    <row r="3057" spans="21:25" x14ac:dyDescent="0.2">
      <c r="U3057" s="209" t="str">
        <f t="shared" si="50"/>
        <v>1w</v>
      </c>
      <c r="V3057" s="207">
        <f>_xll.qlCalendarAdvance(Calendar,V3056,U3057,"f",FALSE)</f>
        <v>60293</v>
      </c>
      <c r="W3057" s="210">
        <f>_xll.qlCalendarAdvance(Calendar,V3057,NDays&amp;"D")</f>
        <v>60293</v>
      </c>
      <c r="X3057" s="211">
        <v>2.3296083467094775E-2</v>
      </c>
      <c r="Y3057" s="232"/>
    </row>
    <row r="3058" spans="21:25" x14ac:dyDescent="0.2">
      <c r="U3058" s="209" t="str">
        <f t="shared" si="50"/>
        <v>1w</v>
      </c>
      <c r="V3058" s="207">
        <f>_xll.qlCalendarAdvance(Calendar,V3057,U3058,"f",FALSE)</f>
        <v>60300</v>
      </c>
      <c r="W3058" s="210">
        <f>_xll.qlCalendarAdvance(Calendar,V3058,NDays&amp;"D")</f>
        <v>60300</v>
      </c>
      <c r="X3058" s="211">
        <v>2.3301450191119955E-2</v>
      </c>
      <c r="Y3058" s="232"/>
    </row>
    <row r="3059" spans="21:25" x14ac:dyDescent="0.2">
      <c r="U3059" s="209" t="str">
        <f t="shared" si="50"/>
        <v>1w</v>
      </c>
      <c r="V3059" s="207">
        <f>_xll.qlCalendarAdvance(Calendar,V3058,U3059,"f",FALSE)</f>
        <v>60307</v>
      </c>
      <c r="W3059" s="210">
        <f>_xll.qlCalendarAdvance(Calendar,V3059,NDays&amp;"D")</f>
        <v>60307</v>
      </c>
      <c r="X3059" s="211">
        <v>2.3306805905152217E-2</v>
      </c>
      <c r="Y3059" s="232"/>
    </row>
    <row r="3060" spans="21:25" x14ac:dyDescent="0.2">
      <c r="U3060" s="209" t="str">
        <f t="shared" si="50"/>
        <v>1w</v>
      </c>
      <c r="V3060" s="207">
        <f>_xll.qlCalendarAdvance(Calendar,V3059,U3060,"f",FALSE)</f>
        <v>60314</v>
      </c>
      <c r="W3060" s="210">
        <f>_xll.qlCalendarAdvance(Calendar,V3060,NDays&amp;"D")</f>
        <v>60314</v>
      </c>
      <c r="X3060" s="211">
        <v>2.3312150608711946E-2</v>
      </c>
      <c r="Y3060" s="232"/>
    </row>
    <row r="3061" spans="21:25" x14ac:dyDescent="0.2">
      <c r="U3061" s="209" t="str">
        <f t="shared" si="50"/>
        <v>1w</v>
      </c>
      <c r="V3061" s="207">
        <f>_xll.qlCalendarAdvance(Calendar,V3060,U3061,"f",FALSE)</f>
        <v>60321</v>
      </c>
      <c r="W3061" s="210">
        <f>_xll.qlCalendarAdvance(Calendar,V3061,NDays&amp;"D")</f>
        <v>60321</v>
      </c>
      <c r="X3061" s="211">
        <v>2.3317484302278757E-2</v>
      </c>
      <c r="Y3061" s="232"/>
    </row>
    <row r="3062" spans="21:25" x14ac:dyDescent="0.2">
      <c r="U3062" s="209" t="str">
        <f t="shared" si="50"/>
        <v>1w</v>
      </c>
      <c r="V3062" s="207">
        <f>_xll.qlCalendarAdvance(Calendar,V3061,U3062,"f",FALSE)</f>
        <v>60328</v>
      </c>
      <c r="W3062" s="210">
        <f>_xll.qlCalendarAdvance(Calendar,V3062,NDays&amp;"D")</f>
        <v>60328</v>
      </c>
      <c r="X3062" s="211">
        <v>2.3322806985532907E-2</v>
      </c>
      <c r="Y3062" s="232"/>
    </row>
    <row r="3063" spans="21:25" x14ac:dyDescent="0.2">
      <c r="U3063" s="209" t="str">
        <f t="shared" si="50"/>
        <v>1w</v>
      </c>
      <c r="V3063" s="207">
        <f>_xll.qlCalendarAdvance(Calendar,V3062,U3063,"f",FALSE)</f>
        <v>60335</v>
      </c>
      <c r="W3063" s="210">
        <f>_xll.qlCalendarAdvance(Calendar,V3063,NDays&amp;"D")</f>
        <v>60335</v>
      </c>
      <c r="X3063" s="211">
        <v>2.3328118658554331E-2</v>
      </c>
      <c r="Y3063" s="232"/>
    </row>
    <row r="3064" spans="21:25" x14ac:dyDescent="0.2">
      <c r="U3064" s="209" t="str">
        <f t="shared" si="50"/>
        <v>1w</v>
      </c>
      <c r="V3064" s="207">
        <f>_xll.qlCalendarAdvance(Calendar,V3063,U3064,"f",FALSE)</f>
        <v>60342</v>
      </c>
      <c r="W3064" s="210">
        <f>_xll.qlCalendarAdvance(Calendar,V3064,NDays&amp;"D")</f>
        <v>60342</v>
      </c>
      <c r="X3064" s="211">
        <v>2.3333419321502902E-2</v>
      </c>
      <c r="Y3064" s="232"/>
    </row>
    <row r="3065" spans="21:25" x14ac:dyDescent="0.2">
      <c r="U3065" s="209" t="str">
        <f t="shared" si="50"/>
        <v>1w</v>
      </c>
      <c r="V3065" s="207">
        <f>_xll.qlCalendarAdvance(Calendar,V3064,U3065,"f",FALSE)</f>
        <v>60349</v>
      </c>
      <c r="W3065" s="210">
        <f>_xll.qlCalendarAdvance(Calendar,V3065,NDays&amp;"D")</f>
        <v>60349</v>
      </c>
      <c r="X3065" s="211">
        <v>2.3338708974218747E-2</v>
      </c>
      <c r="Y3065" s="232"/>
    </row>
    <row r="3066" spans="21:25" x14ac:dyDescent="0.2">
      <c r="U3066" s="209" t="str">
        <f t="shared" si="50"/>
        <v>1w</v>
      </c>
      <c r="V3066" s="207">
        <f>_xll.qlCalendarAdvance(Calendar,V3065,U3066,"f",FALSE)</f>
        <v>60357</v>
      </c>
      <c r="W3066" s="210">
        <f>_xll.qlCalendarAdvance(Calendar,V3066,NDays&amp;"D")</f>
        <v>60357</v>
      </c>
      <c r="X3066" s="211">
        <v>2.3344740809490006E-2</v>
      </c>
      <c r="Y3066" s="232"/>
    </row>
    <row r="3067" spans="21:25" x14ac:dyDescent="0.2">
      <c r="U3067" s="209" t="str">
        <f t="shared" si="50"/>
        <v>1w</v>
      </c>
      <c r="V3067" s="207">
        <f>_xll.qlCalendarAdvance(Calendar,V3066,U3067,"f",FALSE)</f>
        <v>60364</v>
      </c>
      <c r="W3067" s="210">
        <f>_xll.qlCalendarAdvance(Calendar,V3067,NDays&amp;"D")</f>
        <v>60364</v>
      </c>
      <c r="X3067" s="211">
        <v>2.3350006868998463E-2</v>
      </c>
      <c r="Y3067" s="232"/>
    </row>
    <row r="3068" spans="21:25" x14ac:dyDescent="0.2">
      <c r="U3068" s="209" t="str">
        <f t="shared" si="50"/>
        <v>1w</v>
      </c>
      <c r="V3068" s="207">
        <f>_xll.qlCalendarAdvance(Calendar,V3067,U3068,"f",FALSE)</f>
        <v>60371</v>
      </c>
      <c r="W3068" s="210">
        <f>_xll.qlCalendarAdvance(Calendar,V3068,NDays&amp;"D")</f>
        <v>60371</v>
      </c>
      <c r="X3068" s="211">
        <v>2.3355261918114323E-2</v>
      </c>
      <c r="Y3068" s="232"/>
    </row>
    <row r="3069" spans="21:25" x14ac:dyDescent="0.2">
      <c r="U3069" s="209" t="str">
        <f t="shared" si="50"/>
        <v>1w</v>
      </c>
      <c r="V3069" s="207">
        <f>_xll.qlCalendarAdvance(Calendar,V3068,U3069,"f",FALSE)</f>
        <v>60378</v>
      </c>
      <c r="W3069" s="210">
        <f>_xll.qlCalendarAdvance(Calendar,V3069,NDays&amp;"D")</f>
        <v>60378</v>
      </c>
      <c r="X3069" s="211">
        <v>2.3360505957157329E-2</v>
      </c>
      <c r="Y3069" s="232"/>
    </row>
    <row r="3070" spans="21:25" x14ac:dyDescent="0.2">
      <c r="U3070" s="209" t="str">
        <f t="shared" si="50"/>
        <v>1w</v>
      </c>
      <c r="V3070" s="207">
        <f>_xll.qlCalendarAdvance(Calendar,V3069,U3070,"f",FALSE)</f>
        <v>60385</v>
      </c>
      <c r="W3070" s="210">
        <f>_xll.qlCalendarAdvance(Calendar,V3070,NDays&amp;"D")</f>
        <v>60385</v>
      </c>
      <c r="X3070" s="211">
        <v>2.336573898596761E-2</v>
      </c>
      <c r="Y3070" s="232"/>
    </row>
    <row r="3071" spans="21:25" x14ac:dyDescent="0.2">
      <c r="U3071" s="209" t="str">
        <f t="shared" si="50"/>
        <v>1w</v>
      </c>
      <c r="V3071" s="207">
        <f>_xll.qlCalendarAdvance(Calendar,V3070,U3071,"f",FALSE)</f>
        <v>60392</v>
      </c>
      <c r="W3071" s="210">
        <f>_xll.qlCalendarAdvance(Calendar,V3071,NDays&amp;"D")</f>
        <v>60392</v>
      </c>
      <c r="X3071" s="211">
        <v>2.3370961004545165E-2</v>
      </c>
      <c r="Y3071" s="232"/>
    </row>
    <row r="3072" spans="21:25" x14ac:dyDescent="0.2">
      <c r="U3072" s="209" t="str">
        <f t="shared" si="50"/>
        <v>1w</v>
      </c>
      <c r="V3072" s="207">
        <f>_xll.qlCalendarAdvance(Calendar,V3071,U3072,"f",FALSE)</f>
        <v>60399</v>
      </c>
      <c r="W3072" s="210">
        <f>_xll.qlCalendarAdvance(Calendar,V3072,NDays&amp;"D")</f>
        <v>60399</v>
      </c>
      <c r="X3072" s="211">
        <v>2.3376172012810059E-2</v>
      </c>
      <c r="Y3072" s="232"/>
    </row>
    <row r="3073" spans="21:25" x14ac:dyDescent="0.2">
      <c r="U3073" s="209" t="str">
        <f t="shared" si="50"/>
        <v>1w</v>
      </c>
      <c r="V3073" s="207">
        <f>_xll.qlCalendarAdvance(Calendar,V3072,U3073,"f",FALSE)</f>
        <v>60406</v>
      </c>
      <c r="W3073" s="210">
        <f>_xll.qlCalendarAdvance(Calendar,V3073,NDays&amp;"D")</f>
        <v>60406</v>
      </c>
      <c r="X3073" s="211">
        <v>2.3381372011002099E-2</v>
      </c>
      <c r="Y3073" s="232"/>
    </row>
    <row r="3074" spans="21:25" x14ac:dyDescent="0.2">
      <c r="U3074" s="209" t="str">
        <f t="shared" si="50"/>
        <v>1w</v>
      </c>
      <c r="V3074" s="207">
        <f>_xll.qlCalendarAdvance(Calendar,V3073,U3074,"f",FALSE)</f>
        <v>60413</v>
      </c>
      <c r="W3074" s="210">
        <f>_xll.qlCalendarAdvance(Calendar,V3074,NDays&amp;"D")</f>
        <v>60413</v>
      </c>
      <c r="X3074" s="211">
        <v>2.3386560998881478E-2</v>
      </c>
      <c r="Y3074" s="232"/>
    </row>
    <row r="3075" spans="21:25" x14ac:dyDescent="0.2">
      <c r="U3075" s="209" t="str">
        <f t="shared" si="50"/>
        <v>1w</v>
      </c>
      <c r="V3075" s="207">
        <f>_xll.qlCalendarAdvance(Calendar,V3074,U3075,"f",FALSE)</f>
        <v>60420</v>
      </c>
      <c r="W3075" s="210">
        <f>_xll.qlCalendarAdvance(Calendar,V3075,NDays&amp;"D")</f>
        <v>60420</v>
      </c>
      <c r="X3075" s="211">
        <v>2.3391738976688004E-2</v>
      </c>
      <c r="Y3075" s="232"/>
    </row>
    <row r="3076" spans="21:25" x14ac:dyDescent="0.2">
      <c r="U3076" s="209" t="str">
        <f t="shared" si="50"/>
        <v>1w</v>
      </c>
      <c r="V3076" s="207">
        <f>_xll.qlCalendarAdvance(Calendar,V3075,U3076,"f",FALSE)</f>
        <v>60427</v>
      </c>
      <c r="W3076" s="210">
        <f>_xll.qlCalendarAdvance(Calendar,V3076,NDays&amp;"D")</f>
        <v>60427</v>
      </c>
      <c r="X3076" s="211">
        <v>2.3396905944261803E-2</v>
      </c>
      <c r="Y3076" s="232"/>
    </row>
    <row r="3077" spans="21:25" x14ac:dyDescent="0.2">
      <c r="U3077" s="209" t="str">
        <f t="shared" si="50"/>
        <v>1w</v>
      </c>
      <c r="V3077" s="207">
        <f>_xll.qlCalendarAdvance(Calendar,V3076,U3077,"f",FALSE)</f>
        <v>60434</v>
      </c>
      <c r="W3077" s="210">
        <f>_xll.qlCalendarAdvance(Calendar,V3077,NDays&amp;"D")</f>
        <v>60434</v>
      </c>
      <c r="X3077" s="211">
        <v>2.3402061901602877E-2</v>
      </c>
      <c r="Y3077" s="232"/>
    </row>
    <row r="3078" spans="21:25" x14ac:dyDescent="0.2">
      <c r="U3078" s="209" t="str">
        <f t="shared" si="50"/>
        <v>1w</v>
      </c>
      <c r="V3078" s="207">
        <f>_xll.qlCalendarAdvance(Calendar,V3077,U3078,"f",FALSE)</f>
        <v>60441</v>
      </c>
      <c r="W3078" s="210">
        <f>_xll.qlCalendarAdvance(Calendar,V3078,NDays&amp;"D")</f>
        <v>60441</v>
      </c>
      <c r="X3078" s="211">
        <v>2.3407206848711226E-2</v>
      </c>
      <c r="Y3078" s="232"/>
    </row>
    <row r="3079" spans="21:25" x14ac:dyDescent="0.2">
      <c r="U3079" s="209" t="str">
        <f t="shared" si="50"/>
        <v>1w</v>
      </c>
      <c r="V3079" s="207">
        <f>_xll.qlCalendarAdvance(Calendar,V3078,U3079,"f",FALSE)</f>
        <v>60448</v>
      </c>
      <c r="W3079" s="210">
        <f>_xll.qlCalendarAdvance(Calendar,V3079,NDays&amp;"D")</f>
        <v>60448</v>
      </c>
      <c r="X3079" s="211">
        <v>2.3412340785666785E-2</v>
      </c>
      <c r="Y3079" s="232"/>
    </row>
    <row r="3080" spans="21:25" x14ac:dyDescent="0.2">
      <c r="U3080" s="209" t="str">
        <f t="shared" si="50"/>
        <v>1w</v>
      </c>
      <c r="V3080" s="207">
        <f>_xll.qlCalendarAdvance(Calendar,V3079,U3080,"f",FALSE)</f>
        <v>60455</v>
      </c>
      <c r="W3080" s="210">
        <f>_xll.qlCalendarAdvance(Calendar,V3080,NDays&amp;"D")</f>
        <v>60455</v>
      </c>
      <c r="X3080" s="211">
        <v>2.3417463712309683E-2</v>
      </c>
      <c r="Y3080" s="232"/>
    </row>
    <row r="3081" spans="21:25" x14ac:dyDescent="0.2">
      <c r="U3081" s="209" t="str">
        <f t="shared" si="50"/>
        <v>1w</v>
      </c>
      <c r="V3081" s="207">
        <f>_xll.qlCalendarAdvance(Calendar,V3080,U3081,"f",FALSE)</f>
        <v>60462</v>
      </c>
      <c r="W3081" s="210">
        <f>_xll.qlCalendarAdvance(Calendar,V3081,NDays&amp;"D")</f>
        <v>60462</v>
      </c>
      <c r="X3081" s="211">
        <v>2.3422575628959663E-2</v>
      </c>
      <c r="Y3081" s="232"/>
    </row>
    <row r="3082" spans="21:25" x14ac:dyDescent="0.2">
      <c r="U3082" s="209" t="str">
        <f t="shared" si="50"/>
        <v>1w</v>
      </c>
      <c r="V3082" s="207">
        <f>_xll.qlCalendarAdvance(Calendar,V3081,U3082,"f",FALSE)</f>
        <v>60469</v>
      </c>
      <c r="W3082" s="210">
        <f>_xll.qlCalendarAdvance(Calendar,V3082,NDays&amp;"D")</f>
        <v>60469</v>
      </c>
      <c r="X3082" s="211">
        <v>2.342767653513711E-2</v>
      </c>
      <c r="Y3082" s="232"/>
    </row>
    <row r="3083" spans="21:25" x14ac:dyDescent="0.2">
      <c r="U3083" s="209" t="str">
        <f t="shared" si="50"/>
        <v>1w</v>
      </c>
      <c r="V3083" s="207">
        <f>_xll.qlCalendarAdvance(Calendar,V3082,U3083,"f",FALSE)</f>
        <v>60476</v>
      </c>
      <c r="W3083" s="210">
        <f>_xll.qlCalendarAdvance(Calendar,V3083,NDays&amp;"D")</f>
        <v>60476</v>
      </c>
      <c r="X3083" s="211">
        <v>2.3432766431241703E-2</v>
      </c>
      <c r="Y3083" s="232"/>
    </row>
    <row r="3084" spans="21:25" x14ac:dyDescent="0.2">
      <c r="U3084" s="209" t="str">
        <f t="shared" si="50"/>
        <v>1w</v>
      </c>
      <c r="V3084" s="207">
        <f>_xll.qlCalendarAdvance(Calendar,V3083,U3084,"f",FALSE)</f>
        <v>60483</v>
      </c>
      <c r="W3084" s="210">
        <f>_xll.qlCalendarAdvance(Calendar,V3084,NDays&amp;"D")</f>
        <v>60483</v>
      </c>
      <c r="X3084" s="211">
        <v>2.3437845317033634E-2</v>
      </c>
      <c r="Y3084" s="232"/>
    </row>
    <row r="3085" spans="21:25" x14ac:dyDescent="0.2">
      <c r="U3085" s="209" t="str">
        <f t="shared" ref="U3085:U3148" si="51">U3084</f>
        <v>1w</v>
      </c>
      <c r="V3085" s="207">
        <f>_xll.qlCalendarAdvance(Calendar,V3084,U3085,"f",FALSE)</f>
        <v>60490</v>
      </c>
      <c r="W3085" s="210">
        <f>_xll.qlCalendarAdvance(Calendar,V3085,NDays&amp;"D")</f>
        <v>60490</v>
      </c>
      <c r="X3085" s="211">
        <v>2.3442913192752712E-2</v>
      </c>
      <c r="Y3085" s="232"/>
    </row>
    <row r="3086" spans="21:25" x14ac:dyDescent="0.2">
      <c r="U3086" s="209" t="str">
        <f t="shared" si="51"/>
        <v>1w</v>
      </c>
      <c r="V3086" s="207">
        <f>_xll.qlCalendarAdvance(Calendar,V3085,U3086,"f",FALSE)</f>
        <v>60497</v>
      </c>
      <c r="W3086" s="210">
        <f>_xll.qlCalendarAdvance(Calendar,V3086,NDays&amp;"D")</f>
        <v>60497</v>
      </c>
      <c r="X3086" s="211">
        <v>2.3447970058319001E-2</v>
      </c>
      <c r="Y3086" s="232"/>
    </row>
    <row r="3087" spans="21:25" x14ac:dyDescent="0.2">
      <c r="U3087" s="209" t="str">
        <f t="shared" si="51"/>
        <v>1w</v>
      </c>
      <c r="V3087" s="207">
        <f>_xll.qlCalendarAdvance(Calendar,V3086,U3087,"f",FALSE)</f>
        <v>60504</v>
      </c>
      <c r="W3087" s="210">
        <f>_xll.qlCalendarAdvance(Calendar,V3087,NDays&amp;"D")</f>
        <v>60504</v>
      </c>
      <c r="X3087" s="211">
        <v>2.3453015913412756E-2</v>
      </c>
      <c r="Y3087" s="232"/>
    </row>
    <row r="3088" spans="21:25" x14ac:dyDescent="0.2">
      <c r="U3088" s="209" t="str">
        <f t="shared" si="51"/>
        <v>1w</v>
      </c>
      <c r="V3088" s="207">
        <f>_xll.qlCalendarAdvance(Calendar,V3087,U3088,"f",FALSE)</f>
        <v>60511</v>
      </c>
      <c r="W3088" s="210">
        <f>_xll.qlCalendarAdvance(Calendar,V3088,NDays&amp;"D")</f>
        <v>60511</v>
      </c>
      <c r="X3088" s="211">
        <v>2.3458050758433657E-2</v>
      </c>
      <c r="Y3088" s="232"/>
    </row>
    <row r="3089" spans="21:25" x14ac:dyDescent="0.2">
      <c r="U3089" s="209" t="str">
        <f t="shared" si="51"/>
        <v>1w</v>
      </c>
      <c r="V3089" s="207">
        <f>_xll.qlCalendarAdvance(Calendar,V3088,U3089,"f",FALSE)</f>
        <v>60518</v>
      </c>
      <c r="W3089" s="210">
        <f>_xll.qlCalendarAdvance(Calendar,V3089,NDays&amp;"D")</f>
        <v>60518</v>
      </c>
      <c r="X3089" s="211">
        <v>2.3463074593301769E-2</v>
      </c>
      <c r="Y3089" s="232"/>
    </row>
    <row r="3090" spans="21:25" x14ac:dyDescent="0.2">
      <c r="U3090" s="209" t="str">
        <f t="shared" si="51"/>
        <v>1w</v>
      </c>
      <c r="V3090" s="207">
        <f>_xll.qlCalendarAdvance(Calendar,V3089,U3090,"f",FALSE)</f>
        <v>60525</v>
      </c>
      <c r="W3090" s="210">
        <f>_xll.qlCalendarAdvance(Calendar,V3090,NDays&amp;"D")</f>
        <v>60525</v>
      </c>
      <c r="X3090" s="211">
        <v>2.3468087417777284E-2</v>
      </c>
      <c r="Y3090" s="232"/>
    </row>
    <row r="3091" spans="21:25" x14ac:dyDescent="0.2">
      <c r="U3091" s="209" t="str">
        <f t="shared" si="51"/>
        <v>1w</v>
      </c>
      <c r="V3091" s="207">
        <f>_xll.qlCalendarAdvance(Calendar,V3090,U3091,"f",FALSE)</f>
        <v>60532</v>
      </c>
      <c r="W3091" s="210">
        <f>_xll.qlCalendarAdvance(Calendar,V3091,NDays&amp;"D")</f>
        <v>60532</v>
      </c>
      <c r="X3091" s="211">
        <v>2.3473089232259881E-2</v>
      </c>
      <c r="Y3091" s="232"/>
    </row>
    <row r="3092" spans="21:25" x14ac:dyDescent="0.2">
      <c r="U3092" s="209" t="str">
        <f t="shared" si="51"/>
        <v>1w</v>
      </c>
      <c r="V3092" s="207">
        <f>_xll.qlCalendarAdvance(Calendar,V3091,U3092,"f",FALSE)</f>
        <v>60539</v>
      </c>
      <c r="W3092" s="210">
        <f>_xll.qlCalendarAdvance(Calendar,V3092,NDays&amp;"D")</f>
        <v>60539</v>
      </c>
      <c r="X3092" s="211">
        <v>2.3478080036429816E-2</v>
      </c>
      <c r="Y3092" s="232"/>
    </row>
    <row r="3093" spans="21:25" x14ac:dyDescent="0.2">
      <c r="U3093" s="209" t="str">
        <f t="shared" si="51"/>
        <v>1w</v>
      </c>
      <c r="V3093" s="207">
        <f>_xll.qlCalendarAdvance(Calendar,V3092,U3093,"f",FALSE)</f>
        <v>60546</v>
      </c>
      <c r="W3093" s="210">
        <f>_xll.qlCalendarAdvance(Calendar,V3093,NDays&amp;"D")</f>
        <v>60546</v>
      </c>
      <c r="X3093" s="211">
        <v>2.3483059830367026E-2</v>
      </c>
      <c r="Y3093" s="232"/>
    </row>
    <row r="3094" spans="21:25" x14ac:dyDescent="0.2">
      <c r="U3094" s="209" t="str">
        <f t="shared" si="51"/>
        <v>1w</v>
      </c>
      <c r="V3094" s="207">
        <f>_xll.qlCalendarAdvance(Calendar,V3093,U3094,"f",FALSE)</f>
        <v>60553</v>
      </c>
      <c r="W3094" s="210">
        <f>_xll.qlCalendarAdvance(Calendar,V3094,NDays&amp;"D")</f>
        <v>60553</v>
      </c>
      <c r="X3094" s="211">
        <v>2.348802861407151E-2</v>
      </c>
      <c r="Y3094" s="232"/>
    </row>
    <row r="3095" spans="21:25" x14ac:dyDescent="0.2">
      <c r="U3095" s="209" t="str">
        <f t="shared" si="51"/>
        <v>1w</v>
      </c>
      <c r="V3095" s="207">
        <f>_xll.qlCalendarAdvance(Calendar,V3094,U3095,"f",FALSE)</f>
        <v>60560</v>
      </c>
      <c r="W3095" s="210">
        <f>_xll.qlCalendarAdvance(Calendar,V3095,NDays&amp;"D")</f>
        <v>60560</v>
      </c>
      <c r="X3095" s="211">
        <v>2.3492986387703141E-2</v>
      </c>
      <c r="Y3095" s="232"/>
    </row>
    <row r="3096" spans="21:25" x14ac:dyDescent="0.2">
      <c r="U3096" s="209" t="str">
        <f t="shared" si="51"/>
        <v>1w</v>
      </c>
      <c r="V3096" s="207">
        <f>_xll.qlCalendarAdvance(Calendar,V3095,U3096,"f",FALSE)</f>
        <v>60567</v>
      </c>
      <c r="W3096" s="210">
        <f>_xll.qlCalendarAdvance(Calendar,V3096,NDays&amp;"D")</f>
        <v>60567</v>
      </c>
      <c r="X3096" s="211">
        <v>2.349793315102211E-2</v>
      </c>
      <c r="Y3096" s="232"/>
    </row>
    <row r="3097" spans="21:25" x14ac:dyDescent="0.2">
      <c r="U3097" s="209" t="str">
        <f t="shared" si="51"/>
        <v>1w</v>
      </c>
      <c r="V3097" s="207">
        <f>_xll.qlCalendarAdvance(Calendar,V3096,U3097,"f",FALSE)</f>
        <v>60574</v>
      </c>
      <c r="W3097" s="210">
        <f>_xll.qlCalendarAdvance(Calendar,V3097,NDays&amp;"D")</f>
        <v>60574</v>
      </c>
      <c r="X3097" s="211">
        <v>2.3502868904108354E-2</v>
      </c>
      <c r="Y3097" s="232"/>
    </row>
    <row r="3098" spans="21:25" x14ac:dyDescent="0.2">
      <c r="U3098" s="209" t="str">
        <f t="shared" si="51"/>
        <v>1w</v>
      </c>
      <c r="V3098" s="207">
        <f>_xll.qlCalendarAdvance(Calendar,V3097,U3098,"f",FALSE)</f>
        <v>60581</v>
      </c>
      <c r="W3098" s="210">
        <f>_xll.qlCalendarAdvance(Calendar,V3098,NDays&amp;"D")</f>
        <v>60581</v>
      </c>
      <c r="X3098" s="211">
        <v>2.3507793646961872E-2</v>
      </c>
      <c r="Y3098" s="232"/>
    </row>
    <row r="3099" spans="21:25" x14ac:dyDescent="0.2">
      <c r="U3099" s="209" t="str">
        <f t="shared" si="51"/>
        <v>1w</v>
      </c>
      <c r="V3099" s="207">
        <f>_xll.qlCalendarAdvance(Calendar,V3098,U3099,"f",FALSE)</f>
        <v>60588</v>
      </c>
      <c r="W3099" s="210">
        <f>_xll.qlCalendarAdvance(Calendar,V3099,NDays&amp;"D")</f>
        <v>60588</v>
      </c>
      <c r="X3099" s="211">
        <v>2.3512707379662601E-2</v>
      </c>
      <c r="Y3099" s="232"/>
    </row>
    <row r="3100" spans="21:25" x14ac:dyDescent="0.2">
      <c r="U3100" s="209" t="str">
        <f t="shared" si="51"/>
        <v>1w</v>
      </c>
      <c r="V3100" s="207">
        <f>_xll.qlCalendarAdvance(Calendar,V3099,U3100,"f",FALSE)</f>
        <v>60595</v>
      </c>
      <c r="W3100" s="210">
        <f>_xll.qlCalendarAdvance(Calendar,V3100,NDays&amp;"D")</f>
        <v>60595</v>
      </c>
      <c r="X3100" s="211">
        <v>2.3517610102050668E-2</v>
      </c>
      <c r="Y3100" s="232"/>
    </row>
    <row r="3101" spans="21:25" x14ac:dyDescent="0.2">
      <c r="U3101" s="209" t="str">
        <f t="shared" si="51"/>
        <v>1w</v>
      </c>
      <c r="V3101" s="207">
        <f>_xll.qlCalendarAdvance(Calendar,V3100,U3101,"f",FALSE)</f>
        <v>60602</v>
      </c>
      <c r="W3101" s="210">
        <f>_xll.qlCalendarAdvance(Calendar,V3101,NDays&amp;"D")</f>
        <v>60602</v>
      </c>
      <c r="X3101" s="211">
        <v>2.3522501814126073E-2</v>
      </c>
      <c r="Y3101" s="232"/>
    </row>
    <row r="3102" spans="21:25" x14ac:dyDescent="0.2">
      <c r="U3102" s="209" t="str">
        <f t="shared" si="51"/>
        <v>1w</v>
      </c>
      <c r="V3102" s="207">
        <f>_xll.qlCalendarAdvance(Calendar,V3101,U3102,"f",FALSE)</f>
        <v>60609</v>
      </c>
      <c r="W3102" s="210">
        <f>_xll.qlCalendarAdvance(Calendar,V3102,NDays&amp;"D")</f>
        <v>60609</v>
      </c>
      <c r="X3102" s="211">
        <v>2.3527382516288498E-2</v>
      </c>
      <c r="Y3102" s="232"/>
    </row>
    <row r="3103" spans="21:25" x14ac:dyDescent="0.2">
      <c r="U3103" s="209" t="str">
        <f t="shared" si="51"/>
        <v>1w</v>
      </c>
      <c r="V3103" s="207">
        <f>_xll.qlCalendarAdvance(Calendar,V3102,U3103,"f",FALSE)</f>
        <v>60616</v>
      </c>
      <c r="W3103" s="210">
        <f>_xll.qlCalendarAdvance(Calendar,V3103,NDays&amp;"D")</f>
        <v>60616</v>
      </c>
      <c r="X3103" s="211">
        <v>2.3532252208058324E-2</v>
      </c>
      <c r="Y3103" s="232"/>
    </row>
    <row r="3104" spans="21:25" x14ac:dyDescent="0.2">
      <c r="U3104" s="209" t="str">
        <f t="shared" si="51"/>
        <v>1w</v>
      </c>
      <c r="V3104" s="207">
        <f>_xll.qlCalendarAdvance(Calendar,V3103,U3104,"f",FALSE)</f>
        <v>60623</v>
      </c>
      <c r="W3104" s="210">
        <f>_xll.qlCalendarAdvance(Calendar,V3104,NDays&amp;"D")</f>
        <v>60623</v>
      </c>
      <c r="X3104" s="211">
        <v>2.3537110889595425E-2</v>
      </c>
      <c r="Y3104" s="232"/>
    </row>
    <row r="3105" spans="21:25" x14ac:dyDescent="0.2">
      <c r="U3105" s="209" t="str">
        <f t="shared" si="51"/>
        <v>1w</v>
      </c>
      <c r="V3105" s="207">
        <f>_xll.qlCalendarAdvance(Calendar,V3104,U3105,"f",FALSE)</f>
        <v>60630</v>
      </c>
      <c r="W3105" s="210">
        <f>_xll.qlCalendarAdvance(Calendar,V3105,NDays&amp;"D")</f>
        <v>60630</v>
      </c>
      <c r="X3105" s="211">
        <v>2.3541958560979737E-2</v>
      </c>
      <c r="Y3105" s="232"/>
    </row>
    <row r="3106" spans="21:25" x14ac:dyDescent="0.2">
      <c r="U3106" s="209" t="str">
        <f t="shared" si="51"/>
        <v>1w</v>
      </c>
      <c r="V3106" s="207">
        <f>_xll.qlCalendarAdvance(Calendar,V3105,U3106,"f",FALSE)</f>
        <v>60637</v>
      </c>
      <c r="W3106" s="210">
        <f>_xll.qlCalendarAdvance(Calendar,V3106,NDays&amp;"D")</f>
        <v>60637</v>
      </c>
      <c r="X3106" s="211">
        <v>2.3546795222051387E-2</v>
      </c>
      <c r="Y3106" s="232"/>
    </row>
    <row r="3107" spans="21:25" x14ac:dyDescent="0.2">
      <c r="U3107" s="209" t="str">
        <f t="shared" si="51"/>
        <v>1w</v>
      </c>
      <c r="V3107" s="207">
        <f>_xll.qlCalendarAdvance(Calendar,V3106,U3107,"f",FALSE)</f>
        <v>60644</v>
      </c>
      <c r="W3107" s="210">
        <f>_xll.qlCalendarAdvance(Calendar,V3107,NDays&amp;"D")</f>
        <v>60644</v>
      </c>
      <c r="X3107" s="211">
        <v>2.3551620873050183E-2</v>
      </c>
      <c r="Y3107" s="232"/>
    </row>
    <row r="3108" spans="21:25" x14ac:dyDescent="0.2">
      <c r="U3108" s="209" t="str">
        <f t="shared" si="51"/>
        <v>1w</v>
      </c>
      <c r="V3108" s="207">
        <f>_xll.qlCalendarAdvance(Calendar,V3107,U3108,"f",FALSE)</f>
        <v>60651</v>
      </c>
      <c r="W3108" s="210">
        <f>_xll.qlCalendarAdvance(Calendar,V3108,NDays&amp;"D")</f>
        <v>60651</v>
      </c>
      <c r="X3108" s="211">
        <v>2.3556435513656382E-2</v>
      </c>
      <c r="Y3108" s="232"/>
    </row>
    <row r="3109" spans="21:25" x14ac:dyDescent="0.2">
      <c r="U3109" s="209" t="str">
        <f t="shared" si="51"/>
        <v>1w</v>
      </c>
      <c r="V3109" s="207">
        <f>_xll.qlCalendarAdvance(Calendar,V3108,U3109,"f",FALSE)</f>
        <v>60658</v>
      </c>
      <c r="W3109" s="210">
        <f>_xll.qlCalendarAdvance(Calendar,V3109,NDays&amp;"D")</f>
        <v>60658</v>
      </c>
      <c r="X3109" s="211">
        <v>2.3561239144189727E-2</v>
      </c>
      <c r="Y3109" s="232"/>
    </row>
    <row r="3110" spans="21:25" x14ac:dyDescent="0.2">
      <c r="U3110" s="209" t="str">
        <f t="shared" si="51"/>
        <v>1w</v>
      </c>
      <c r="V3110" s="207">
        <f>_xll.qlCalendarAdvance(Calendar,V3109,U3110,"f",FALSE)</f>
        <v>60665</v>
      </c>
      <c r="W3110" s="210">
        <f>_xll.qlCalendarAdvance(Calendar,V3110,NDays&amp;"D")</f>
        <v>60665</v>
      </c>
      <c r="X3110" s="211">
        <v>2.3566031764490347E-2</v>
      </c>
      <c r="Y3110" s="232"/>
    </row>
    <row r="3111" spans="21:25" x14ac:dyDescent="0.2">
      <c r="U3111" s="209" t="str">
        <f t="shared" si="51"/>
        <v>1w</v>
      </c>
      <c r="V3111" s="207">
        <f>_xll.qlCalendarAdvance(Calendar,V3110,U3111,"f",FALSE)</f>
        <v>60672</v>
      </c>
      <c r="W3111" s="210">
        <f>_xll.qlCalendarAdvance(Calendar,V3111,NDays&amp;"D")</f>
        <v>60672</v>
      </c>
      <c r="X3111" s="211">
        <v>2.3570813374478305E-2</v>
      </c>
      <c r="Y3111" s="232"/>
    </row>
    <row r="3112" spans="21:25" x14ac:dyDescent="0.2">
      <c r="U3112" s="209" t="str">
        <f t="shared" si="51"/>
        <v>1w</v>
      </c>
      <c r="V3112" s="207">
        <f>_xll.qlCalendarAdvance(Calendar,V3111,U3112,"f",FALSE)</f>
        <v>60679</v>
      </c>
      <c r="W3112" s="210">
        <f>_xll.qlCalendarAdvance(Calendar,V3112,NDays&amp;"D")</f>
        <v>60679</v>
      </c>
      <c r="X3112" s="211">
        <v>2.3575583974313474E-2</v>
      </c>
      <c r="Y3112" s="232"/>
    </row>
    <row r="3113" spans="21:25" x14ac:dyDescent="0.2">
      <c r="U3113" s="209" t="str">
        <f t="shared" si="51"/>
        <v>1w</v>
      </c>
      <c r="V3113" s="207">
        <f>_xll.qlCalendarAdvance(Calendar,V3112,U3113,"f",FALSE)</f>
        <v>60686</v>
      </c>
      <c r="W3113" s="210">
        <f>_xll.qlCalendarAdvance(Calendar,V3113,NDays&amp;"D")</f>
        <v>60686</v>
      </c>
      <c r="X3113" s="211">
        <v>2.3580343563835982E-2</v>
      </c>
      <c r="Y3113" s="232"/>
    </row>
    <row r="3114" spans="21:25" x14ac:dyDescent="0.2">
      <c r="U3114" s="209" t="str">
        <f t="shared" si="51"/>
        <v>1w</v>
      </c>
      <c r="V3114" s="207">
        <f>_xll.qlCalendarAdvance(Calendar,V3113,U3114,"f",FALSE)</f>
        <v>60693</v>
      </c>
      <c r="W3114" s="210">
        <f>_xll.qlCalendarAdvance(Calendar,V3114,NDays&amp;"D")</f>
        <v>60693</v>
      </c>
      <c r="X3114" s="211">
        <v>2.3585092143205699E-2</v>
      </c>
      <c r="Y3114" s="232"/>
    </row>
    <row r="3115" spans="21:25" x14ac:dyDescent="0.2">
      <c r="U3115" s="209" t="str">
        <f t="shared" si="51"/>
        <v>1w</v>
      </c>
      <c r="V3115" s="207">
        <f>_xll.qlCalendarAdvance(Calendar,V3114,U3115,"f",FALSE)</f>
        <v>60700</v>
      </c>
      <c r="W3115" s="210">
        <f>_xll.qlCalendarAdvance(Calendar,V3115,NDays&amp;"D")</f>
        <v>60700</v>
      </c>
      <c r="X3115" s="211">
        <v>2.3589829712342691E-2</v>
      </c>
      <c r="Y3115" s="232"/>
    </row>
    <row r="3116" spans="21:25" x14ac:dyDescent="0.2">
      <c r="U3116" s="209" t="str">
        <f t="shared" si="51"/>
        <v>1w</v>
      </c>
      <c r="V3116" s="207">
        <f>_xll.qlCalendarAdvance(Calendar,V3115,U3116,"f",FALSE)</f>
        <v>60707</v>
      </c>
      <c r="W3116" s="210">
        <f>_xll.qlCalendarAdvance(Calendar,V3116,NDays&amp;"D")</f>
        <v>60707</v>
      </c>
      <c r="X3116" s="211">
        <v>2.3594556271246958E-2</v>
      </c>
      <c r="Y3116" s="232"/>
    </row>
    <row r="3117" spans="21:25" x14ac:dyDescent="0.2">
      <c r="U3117" s="209" t="str">
        <f t="shared" si="51"/>
        <v>1w</v>
      </c>
      <c r="V3117" s="207">
        <f>_xll.qlCalendarAdvance(Calendar,V3116,U3117,"f",FALSE)</f>
        <v>60714</v>
      </c>
      <c r="W3117" s="210">
        <f>_xll.qlCalendarAdvance(Calendar,V3117,NDays&amp;"D")</f>
        <v>60714</v>
      </c>
      <c r="X3117" s="211">
        <v>2.3599271819838563E-2</v>
      </c>
      <c r="Y3117" s="232"/>
    </row>
    <row r="3118" spans="21:25" x14ac:dyDescent="0.2">
      <c r="U3118" s="209" t="str">
        <f t="shared" si="51"/>
        <v>1w</v>
      </c>
      <c r="V3118" s="207">
        <f>_xll.qlCalendarAdvance(Calendar,V3117,U3118,"f",FALSE)</f>
        <v>60721</v>
      </c>
      <c r="W3118" s="210">
        <f>_xll.qlCalendarAdvance(Calendar,V3118,NDays&amp;"D")</f>
        <v>60721</v>
      </c>
      <c r="X3118" s="211">
        <v>2.3603976358437251E-2</v>
      </c>
      <c r="Y3118" s="232"/>
    </row>
    <row r="3119" spans="21:25" x14ac:dyDescent="0.2">
      <c r="U3119" s="209" t="str">
        <f t="shared" si="51"/>
        <v>1w</v>
      </c>
      <c r="V3119" s="207">
        <f>_xll.qlCalendarAdvance(Calendar,V3118,U3119,"f",FALSE)</f>
        <v>60728</v>
      </c>
      <c r="W3119" s="210">
        <f>_xll.qlCalendarAdvance(Calendar,V3119,NDays&amp;"D")</f>
        <v>60728</v>
      </c>
      <c r="X3119" s="211">
        <v>2.3608669886483469E-2</v>
      </c>
      <c r="Y3119" s="232"/>
    </row>
    <row r="3120" spans="21:25" x14ac:dyDescent="0.2">
      <c r="U3120" s="209" t="str">
        <f t="shared" si="51"/>
        <v>1w</v>
      </c>
      <c r="V3120" s="207">
        <f>_xll.qlCalendarAdvance(Calendar,V3119,U3120,"f",FALSE)</f>
        <v>60735</v>
      </c>
      <c r="W3120" s="210">
        <f>_xll.qlCalendarAdvance(Calendar,V3120,NDays&amp;"D")</f>
        <v>60735</v>
      </c>
      <c r="X3120" s="211">
        <v>2.3613352404536769E-2</v>
      </c>
      <c r="Y3120" s="232"/>
    </row>
    <row r="3121" spans="21:25" x14ac:dyDescent="0.2">
      <c r="U3121" s="209" t="str">
        <f t="shared" si="51"/>
        <v>1w</v>
      </c>
      <c r="V3121" s="207">
        <f>_xll.qlCalendarAdvance(Calendar,V3120,U3121,"f",FALSE)</f>
        <v>60742</v>
      </c>
      <c r="W3121" s="210">
        <f>_xll.qlCalendarAdvance(Calendar,V3121,NDays&amp;"D")</f>
        <v>60742</v>
      </c>
      <c r="X3121" s="211">
        <v>2.361802391243728E-2</v>
      </c>
      <c r="Y3121" s="232"/>
    </row>
    <row r="3122" spans="21:25" x14ac:dyDescent="0.2">
      <c r="U3122" s="209" t="str">
        <f t="shared" si="51"/>
        <v>1w</v>
      </c>
      <c r="V3122" s="207">
        <f>_xll.qlCalendarAdvance(Calendar,V3121,U3122,"f",FALSE)</f>
        <v>60749</v>
      </c>
      <c r="W3122" s="210">
        <f>_xll.qlCalendarAdvance(Calendar,V3122,NDays&amp;"D")</f>
        <v>60749</v>
      </c>
      <c r="X3122" s="211">
        <v>2.3622684409865258E-2</v>
      </c>
      <c r="Y3122" s="232"/>
    </row>
    <row r="3123" spans="21:25" x14ac:dyDescent="0.2">
      <c r="U3123" s="209" t="str">
        <f t="shared" si="51"/>
        <v>1w</v>
      </c>
      <c r="V3123" s="207">
        <f>_xll.qlCalendarAdvance(Calendar,V3122,U3123,"f",FALSE)</f>
        <v>60756</v>
      </c>
      <c r="W3123" s="210">
        <f>_xll.qlCalendarAdvance(Calendar,V3123,NDays&amp;"D")</f>
        <v>60756</v>
      </c>
      <c r="X3123" s="211">
        <v>2.3627333897140446E-2</v>
      </c>
      <c r="Y3123" s="232"/>
    </row>
    <row r="3124" spans="21:25" x14ac:dyDescent="0.2">
      <c r="U3124" s="209" t="str">
        <f t="shared" si="51"/>
        <v>1w</v>
      </c>
      <c r="V3124" s="207">
        <f>_xll.qlCalendarAdvance(Calendar,V3123,U3124,"f",FALSE)</f>
        <v>60763</v>
      </c>
      <c r="W3124" s="210">
        <f>_xll.qlCalendarAdvance(Calendar,V3124,NDays&amp;"D")</f>
        <v>60763</v>
      </c>
      <c r="X3124" s="211">
        <v>2.363197237434278E-2</v>
      </c>
      <c r="Y3124" s="232"/>
    </row>
    <row r="3125" spans="21:25" x14ac:dyDescent="0.2">
      <c r="U3125" s="209" t="str">
        <f t="shared" si="51"/>
        <v>1w</v>
      </c>
      <c r="V3125" s="207">
        <f>_xll.qlCalendarAdvance(Calendar,V3124,U3125,"f",FALSE)</f>
        <v>60770</v>
      </c>
      <c r="W3125" s="210">
        <f>_xll.qlCalendarAdvance(Calendar,V3125,NDays&amp;"D")</f>
        <v>60770</v>
      </c>
      <c r="X3125" s="211">
        <v>2.3636599841152517E-2</v>
      </c>
      <c r="Y3125" s="232"/>
    </row>
    <row r="3126" spans="21:25" x14ac:dyDescent="0.2">
      <c r="U3126" s="209" t="str">
        <f t="shared" si="51"/>
        <v>1w</v>
      </c>
      <c r="V3126" s="207">
        <f>_xll.qlCalendarAdvance(Calendar,V3125,U3126,"f",FALSE)</f>
        <v>60777</v>
      </c>
      <c r="W3126" s="210">
        <f>_xll.qlCalendarAdvance(Calendar,V3126,NDays&amp;"D")</f>
        <v>60777</v>
      </c>
      <c r="X3126" s="211">
        <v>2.3641216297809464E-2</v>
      </c>
      <c r="Y3126" s="232"/>
    </row>
    <row r="3127" spans="21:25" x14ac:dyDescent="0.2">
      <c r="U3127" s="209" t="str">
        <f t="shared" si="51"/>
        <v>1w</v>
      </c>
      <c r="V3127" s="207">
        <f>_xll.qlCalendarAdvance(Calendar,V3126,U3127,"f",FALSE)</f>
        <v>60784</v>
      </c>
      <c r="W3127" s="210">
        <f>_xll.qlCalendarAdvance(Calendar,V3127,NDays&amp;"D")</f>
        <v>60784</v>
      </c>
      <c r="X3127" s="211">
        <v>2.364582174415375E-2</v>
      </c>
      <c r="Y3127" s="232"/>
    </row>
    <row r="3128" spans="21:25" x14ac:dyDescent="0.2">
      <c r="U3128" s="209" t="str">
        <f t="shared" si="51"/>
        <v>1w</v>
      </c>
      <c r="V3128" s="207">
        <f>_xll.qlCalendarAdvance(Calendar,V3127,U3128,"f",FALSE)</f>
        <v>60791</v>
      </c>
      <c r="W3128" s="210">
        <f>_xll.qlCalendarAdvance(Calendar,V3128,NDays&amp;"D")</f>
        <v>60791</v>
      </c>
      <c r="X3128" s="211">
        <v>2.3650416180425182E-2</v>
      </c>
      <c r="Y3128" s="232"/>
    </row>
    <row r="3129" spans="21:25" x14ac:dyDescent="0.2">
      <c r="U3129" s="209" t="str">
        <f t="shared" si="51"/>
        <v>1w</v>
      </c>
      <c r="V3129" s="207">
        <f>_xll.qlCalendarAdvance(Calendar,V3128,U3129,"f",FALSE)</f>
        <v>60798</v>
      </c>
      <c r="W3129" s="210">
        <f>_xll.qlCalendarAdvance(Calendar,V3129,NDays&amp;"D")</f>
        <v>60798</v>
      </c>
      <c r="X3129" s="211">
        <v>2.3654999606304017E-2</v>
      </c>
      <c r="Y3129" s="232"/>
    </row>
    <row r="3130" spans="21:25" x14ac:dyDescent="0.2">
      <c r="U3130" s="209" t="str">
        <f t="shared" si="51"/>
        <v>1w</v>
      </c>
      <c r="V3130" s="207">
        <f>_xll.qlCalendarAdvance(Calendar,V3129,U3130,"f",FALSE)</f>
        <v>60805</v>
      </c>
      <c r="W3130" s="210">
        <f>_xll.qlCalendarAdvance(Calendar,V3130,NDays&amp;"D")</f>
        <v>60805</v>
      </c>
      <c r="X3130" s="211">
        <v>2.3659572021950126E-2</v>
      </c>
      <c r="Y3130" s="232"/>
    </row>
    <row r="3131" spans="21:25" x14ac:dyDescent="0.2">
      <c r="U3131" s="209" t="str">
        <f t="shared" si="51"/>
        <v>1w</v>
      </c>
      <c r="V3131" s="207">
        <f>_xll.qlCalendarAdvance(Calendar,V3130,U3131,"f",FALSE)</f>
        <v>60812</v>
      </c>
      <c r="W3131" s="210">
        <f>_xll.qlCalendarAdvance(Calendar,V3131,NDays&amp;"D")</f>
        <v>60812</v>
      </c>
      <c r="X3131" s="211">
        <v>2.3664133427523382E-2</v>
      </c>
      <c r="Y3131" s="232"/>
    </row>
    <row r="3132" spans="21:25" x14ac:dyDescent="0.2">
      <c r="U3132" s="209" t="str">
        <f t="shared" si="51"/>
        <v>1w</v>
      </c>
      <c r="V3132" s="207">
        <f>_xll.qlCalendarAdvance(Calendar,V3131,U3132,"f",FALSE)</f>
        <v>60819</v>
      </c>
      <c r="W3132" s="210">
        <f>_xll.qlCalendarAdvance(Calendar,V3132,NDays&amp;"D")</f>
        <v>60819</v>
      </c>
      <c r="X3132" s="211">
        <v>2.366868382270404E-2</v>
      </c>
      <c r="Y3132" s="232"/>
    </row>
    <row r="3133" spans="21:25" x14ac:dyDescent="0.2">
      <c r="U3133" s="209" t="str">
        <f t="shared" si="51"/>
        <v>1w</v>
      </c>
      <c r="V3133" s="207">
        <f>_xll.qlCalendarAdvance(Calendar,V3132,U3133,"f",FALSE)</f>
        <v>60826</v>
      </c>
      <c r="W3133" s="210">
        <f>_xll.qlCalendarAdvance(Calendar,V3133,NDays&amp;"D")</f>
        <v>60826</v>
      </c>
      <c r="X3133" s="211">
        <v>2.3673223207811844E-2</v>
      </c>
      <c r="Y3133" s="232"/>
    </row>
    <row r="3134" spans="21:25" x14ac:dyDescent="0.2">
      <c r="U3134" s="209" t="str">
        <f t="shared" si="51"/>
        <v>1w</v>
      </c>
      <c r="V3134" s="207">
        <f>_xll.qlCalendarAdvance(Calendar,V3133,U3134,"f",FALSE)</f>
        <v>60833</v>
      </c>
      <c r="W3134" s="210">
        <f>_xll.qlCalendarAdvance(Calendar,V3134,NDays&amp;"D")</f>
        <v>60833</v>
      </c>
      <c r="X3134" s="211">
        <v>2.3677751582527051E-2</v>
      </c>
      <c r="Y3134" s="232"/>
    </row>
    <row r="3135" spans="21:25" x14ac:dyDescent="0.2">
      <c r="U3135" s="209" t="str">
        <f t="shared" si="51"/>
        <v>1w</v>
      </c>
      <c r="V3135" s="207">
        <f>_xll.qlCalendarAdvance(Calendar,V3134,U3135,"f",FALSE)</f>
        <v>60840</v>
      </c>
      <c r="W3135" s="210">
        <f>_xll.qlCalendarAdvance(Calendar,V3135,NDays&amp;"D")</f>
        <v>60840</v>
      </c>
      <c r="X3135" s="211">
        <v>2.3682268947169405E-2</v>
      </c>
      <c r="Y3135" s="232"/>
    </row>
    <row r="3136" spans="21:25" x14ac:dyDescent="0.2">
      <c r="U3136" s="209" t="str">
        <f t="shared" si="51"/>
        <v>1w</v>
      </c>
      <c r="V3136" s="207">
        <f>_xll.qlCalendarAdvance(Calendar,V3135,U3136,"f",FALSE)</f>
        <v>60847</v>
      </c>
      <c r="W3136" s="210">
        <f>_xll.qlCalendarAdvance(Calendar,V3136,NDays&amp;"D")</f>
        <v>60847</v>
      </c>
      <c r="X3136" s="211">
        <v>2.3686775301499097E-2</v>
      </c>
      <c r="Y3136" s="232"/>
    </row>
    <row r="3137" spans="21:25" x14ac:dyDescent="0.2">
      <c r="U3137" s="209" t="str">
        <f t="shared" si="51"/>
        <v>1w</v>
      </c>
      <c r="V3137" s="207">
        <f>_xll.qlCalendarAdvance(Calendar,V3136,U3137,"f",FALSE)</f>
        <v>60854</v>
      </c>
      <c r="W3137" s="210">
        <f>_xll.qlCalendarAdvance(Calendar,V3137,NDays&amp;"D")</f>
        <v>60854</v>
      </c>
      <c r="X3137" s="211">
        <v>2.3691270645436191E-2</v>
      </c>
      <c r="Y3137" s="232"/>
    </row>
    <row r="3138" spans="21:25" x14ac:dyDescent="0.2">
      <c r="U3138" s="209" t="str">
        <f t="shared" si="51"/>
        <v>1w</v>
      </c>
      <c r="V3138" s="207">
        <f>_xll.qlCalendarAdvance(Calendar,V3137,U3138,"f",FALSE)</f>
        <v>60861</v>
      </c>
      <c r="W3138" s="210">
        <f>_xll.qlCalendarAdvance(Calendar,V3138,NDays&amp;"D")</f>
        <v>60861</v>
      </c>
      <c r="X3138" s="211">
        <v>2.3695754979300432E-2</v>
      </c>
      <c r="Y3138" s="232"/>
    </row>
    <row r="3139" spans="21:25" x14ac:dyDescent="0.2">
      <c r="U3139" s="209" t="str">
        <f t="shared" si="51"/>
        <v>1w</v>
      </c>
      <c r="V3139" s="207">
        <f>_xll.qlCalendarAdvance(Calendar,V3138,U3139,"f",FALSE)</f>
        <v>60868</v>
      </c>
      <c r="W3139" s="210">
        <f>_xll.qlCalendarAdvance(Calendar,V3139,NDays&amp;"D")</f>
        <v>60868</v>
      </c>
      <c r="X3139" s="211">
        <v>2.3700228303011883E-2</v>
      </c>
      <c r="Y3139" s="232"/>
    </row>
    <row r="3140" spans="21:25" x14ac:dyDescent="0.2">
      <c r="U3140" s="209" t="str">
        <f t="shared" si="51"/>
        <v>1w</v>
      </c>
      <c r="V3140" s="207">
        <f>_xll.qlCalendarAdvance(Calendar,V3139,U3140,"f",FALSE)</f>
        <v>60875</v>
      </c>
      <c r="W3140" s="210">
        <f>_xll.qlCalendarAdvance(Calendar,V3140,NDays&amp;"D")</f>
        <v>60875</v>
      </c>
      <c r="X3140" s="211">
        <v>2.3704690616330737E-2</v>
      </c>
      <c r="Y3140" s="232"/>
    </row>
    <row r="3141" spans="21:25" x14ac:dyDescent="0.2">
      <c r="U3141" s="209" t="str">
        <f t="shared" si="51"/>
        <v>1w</v>
      </c>
      <c r="V3141" s="207">
        <f>_xll.qlCalendarAdvance(Calendar,V3140,U3141,"f",FALSE)</f>
        <v>60882</v>
      </c>
      <c r="W3141" s="210">
        <f>_xll.qlCalendarAdvance(Calendar,V3141,NDays&amp;"D")</f>
        <v>60882</v>
      </c>
      <c r="X3141" s="211">
        <v>2.3709141919496801E-2</v>
      </c>
      <c r="Y3141" s="232"/>
    </row>
    <row r="3142" spans="21:25" x14ac:dyDescent="0.2">
      <c r="U3142" s="209" t="str">
        <f t="shared" si="51"/>
        <v>1w</v>
      </c>
      <c r="V3142" s="207">
        <f>_xll.qlCalendarAdvance(Calendar,V3141,U3142,"f",FALSE)</f>
        <v>60889</v>
      </c>
      <c r="W3142" s="210">
        <f>_xll.qlCalendarAdvance(Calendar,V3142,NDays&amp;"D")</f>
        <v>60889</v>
      </c>
      <c r="X3142" s="211">
        <v>2.371358221243014E-2</v>
      </c>
      <c r="Y3142" s="232"/>
    </row>
    <row r="3143" spans="21:25" x14ac:dyDescent="0.2">
      <c r="U3143" s="209" t="str">
        <f t="shared" si="51"/>
        <v>1w</v>
      </c>
      <c r="V3143" s="207">
        <f>_xll.qlCalendarAdvance(Calendar,V3142,U3143,"f",FALSE)</f>
        <v>60896</v>
      </c>
      <c r="W3143" s="210">
        <f>_xll.qlCalendarAdvance(Calendar,V3143,NDays&amp;"D")</f>
        <v>60896</v>
      </c>
      <c r="X3143" s="211">
        <v>2.3718011495130753E-2</v>
      </c>
      <c r="Y3143" s="232"/>
    </row>
    <row r="3144" spans="21:25" x14ac:dyDescent="0.2">
      <c r="U3144" s="209" t="str">
        <f t="shared" si="51"/>
        <v>1w</v>
      </c>
      <c r="V3144" s="207">
        <f>_xll.qlCalendarAdvance(Calendar,V3143,U3144,"f",FALSE)</f>
        <v>60903</v>
      </c>
      <c r="W3144" s="210">
        <f>_xll.qlCalendarAdvance(Calendar,V3144,NDays&amp;"D")</f>
        <v>60903</v>
      </c>
      <c r="X3144" s="211">
        <v>2.3722429767598641E-2</v>
      </c>
      <c r="Y3144" s="232"/>
    </row>
    <row r="3145" spans="21:25" x14ac:dyDescent="0.2">
      <c r="U3145" s="209" t="str">
        <f t="shared" si="51"/>
        <v>1w</v>
      </c>
      <c r="V3145" s="207">
        <f>_xll.qlCalendarAdvance(Calendar,V3144,U3145,"f",FALSE)</f>
        <v>60910</v>
      </c>
      <c r="W3145" s="210">
        <f>_xll.qlCalendarAdvance(Calendar,V3145,NDays&amp;"D")</f>
        <v>60910</v>
      </c>
      <c r="X3145" s="211">
        <v>2.3726837029673931E-2</v>
      </c>
      <c r="Y3145" s="232"/>
    </row>
    <row r="3146" spans="21:25" x14ac:dyDescent="0.2">
      <c r="U3146" s="209" t="str">
        <f t="shared" si="51"/>
        <v>1w</v>
      </c>
      <c r="V3146" s="207">
        <f>_xll.qlCalendarAdvance(Calendar,V3145,U3146,"f",FALSE)</f>
        <v>60917</v>
      </c>
      <c r="W3146" s="210">
        <f>_xll.qlCalendarAdvance(Calendar,V3146,NDays&amp;"D")</f>
        <v>60917</v>
      </c>
      <c r="X3146" s="211">
        <v>2.3731233281676367E-2</v>
      </c>
      <c r="Y3146" s="232"/>
    </row>
    <row r="3147" spans="21:25" x14ac:dyDescent="0.2">
      <c r="U3147" s="209" t="str">
        <f t="shared" si="51"/>
        <v>1w</v>
      </c>
      <c r="V3147" s="207">
        <f>_xll.qlCalendarAdvance(Calendar,V3146,U3147,"f",FALSE)</f>
        <v>60924</v>
      </c>
      <c r="W3147" s="210">
        <f>_xll.qlCalendarAdvance(Calendar,V3147,NDays&amp;"D")</f>
        <v>60924</v>
      </c>
      <c r="X3147" s="211">
        <v>2.3735618523366142E-2</v>
      </c>
      <c r="Y3147" s="232"/>
    </row>
    <row r="3148" spans="21:25" x14ac:dyDescent="0.2">
      <c r="U3148" s="209" t="str">
        <f t="shared" si="51"/>
        <v>1w</v>
      </c>
      <c r="V3148" s="207">
        <f>_xll.qlCalendarAdvance(Calendar,V3147,U3148,"f",FALSE)</f>
        <v>60931</v>
      </c>
      <c r="W3148" s="210">
        <f>_xll.qlCalendarAdvance(Calendar,V3148,NDays&amp;"D")</f>
        <v>60931</v>
      </c>
      <c r="X3148" s="211">
        <v>2.3739992754903128E-2</v>
      </c>
      <c r="Y3148" s="232"/>
    </row>
    <row r="3149" spans="21:25" x14ac:dyDescent="0.2">
      <c r="U3149" s="209" t="str">
        <f t="shared" ref="U3149:U3212" si="52">U3148</f>
        <v>1w</v>
      </c>
      <c r="V3149" s="207">
        <f>_xll.qlCalendarAdvance(Calendar,V3148,U3149,"f",FALSE)</f>
        <v>60938</v>
      </c>
      <c r="W3149" s="210">
        <f>_xll.qlCalendarAdvance(Calendar,V3149,NDays&amp;"D")</f>
        <v>60938</v>
      </c>
      <c r="X3149" s="211">
        <v>2.3744355976127451E-2</v>
      </c>
      <c r="Y3149" s="232"/>
    </row>
    <row r="3150" spans="21:25" x14ac:dyDescent="0.2">
      <c r="U3150" s="209" t="str">
        <f t="shared" si="52"/>
        <v>1w</v>
      </c>
      <c r="V3150" s="207">
        <f>_xll.qlCalendarAdvance(Calendar,V3149,U3150,"f",FALSE)</f>
        <v>60945</v>
      </c>
      <c r="W3150" s="210">
        <f>_xll.qlCalendarAdvance(Calendar,V3150,NDays&amp;"D")</f>
        <v>60945</v>
      </c>
      <c r="X3150" s="211">
        <v>2.3748708187198986E-2</v>
      </c>
      <c r="Y3150" s="232"/>
    </row>
    <row r="3151" spans="21:25" x14ac:dyDescent="0.2">
      <c r="U3151" s="209" t="str">
        <f t="shared" si="52"/>
        <v>1w</v>
      </c>
      <c r="V3151" s="207">
        <f>_xll.qlCalendarAdvance(Calendar,V3150,U3151,"f",FALSE)</f>
        <v>60952</v>
      </c>
      <c r="W3151" s="210">
        <f>_xll.qlCalendarAdvance(Calendar,V3151,NDays&amp;"D")</f>
        <v>60952</v>
      </c>
      <c r="X3151" s="211">
        <v>2.3753049388037795E-2</v>
      </c>
      <c r="Y3151" s="232"/>
    </row>
    <row r="3152" spans="21:25" x14ac:dyDescent="0.2">
      <c r="U3152" s="209" t="str">
        <f t="shared" si="52"/>
        <v>1w</v>
      </c>
      <c r="V3152" s="207">
        <f>_xll.qlCalendarAdvance(Calendar,V3151,U3152,"f",FALSE)</f>
        <v>60959</v>
      </c>
      <c r="W3152" s="210">
        <f>_xll.qlCalendarAdvance(Calendar,V3152,NDays&amp;"D")</f>
        <v>60959</v>
      </c>
      <c r="X3152" s="211">
        <v>2.375737957840407E-2</v>
      </c>
      <c r="Y3152" s="232"/>
    </row>
    <row r="3153" spans="21:25" x14ac:dyDescent="0.2">
      <c r="U3153" s="209" t="str">
        <f t="shared" si="52"/>
        <v>1w</v>
      </c>
      <c r="V3153" s="207">
        <f>_xll.qlCalendarAdvance(Calendar,V3152,U3153,"f",FALSE)</f>
        <v>60966</v>
      </c>
      <c r="W3153" s="210">
        <f>_xll.qlCalendarAdvance(Calendar,V3153,NDays&amp;"D")</f>
        <v>60966</v>
      </c>
      <c r="X3153" s="211">
        <v>2.3761698758777428E-2</v>
      </c>
      <c r="Y3153" s="232"/>
    </row>
    <row r="3154" spans="21:25" x14ac:dyDescent="0.2">
      <c r="U3154" s="209" t="str">
        <f t="shared" si="52"/>
        <v>1w</v>
      </c>
      <c r="V3154" s="207">
        <f>_xll.qlCalendarAdvance(Calendar,V3153,U3154,"f",FALSE)</f>
        <v>60973</v>
      </c>
      <c r="W3154" s="210">
        <f>_xll.qlCalendarAdvance(Calendar,V3154,NDays&amp;"D")</f>
        <v>60973</v>
      </c>
      <c r="X3154" s="211">
        <v>2.3766006928758188E-2</v>
      </c>
      <c r="Y3154" s="232"/>
    </row>
    <row r="3155" spans="21:25" x14ac:dyDescent="0.2">
      <c r="U3155" s="209" t="str">
        <f t="shared" si="52"/>
        <v>1w</v>
      </c>
      <c r="V3155" s="207">
        <f>_xll.qlCalendarAdvance(Calendar,V3154,U3155,"f",FALSE)</f>
        <v>60980</v>
      </c>
      <c r="W3155" s="210">
        <f>_xll.qlCalendarAdvance(Calendar,V3155,NDays&amp;"D")</f>
        <v>60980</v>
      </c>
      <c r="X3155" s="211">
        <v>2.3770304088586158E-2</v>
      </c>
      <c r="Y3155" s="232"/>
    </row>
    <row r="3156" spans="21:25" x14ac:dyDescent="0.2">
      <c r="U3156" s="209" t="str">
        <f t="shared" si="52"/>
        <v>1w</v>
      </c>
      <c r="V3156" s="207">
        <f>_xll.qlCalendarAdvance(Calendar,V3155,U3156,"f",FALSE)</f>
        <v>60987</v>
      </c>
      <c r="W3156" s="210">
        <f>_xll.qlCalendarAdvance(Calendar,V3156,NDays&amp;"D")</f>
        <v>60987</v>
      </c>
      <c r="X3156" s="211">
        <v>2.3774590238101467E-2</v>
      </c>
      <c r="Y3156" s="232"/>
    </row>
    <row r="3157" spans="21:25" x14ac:dyDescent="0.2">
      <c r="U3157" s="209" t="str">
        <f t="shared" si="52"/>
        <v>1w</v>
      </c>
      <c r="V3157" s="207">
        <f>_xll.qlCalendarAdvance(Calendar,V3156,U3157,"f",FALSE)</f>
        <v>60994</v>
      </c>
      <c r="W3157" s="210">
        <f>_xll.qlCalendarAdvance(Calendar,V3157,NDays&amp;"D")</f>
        <v>60994</v>
      </c>
      <c r="X3157" s="211">
        <v>2.3778865377543923E-2</v>
      </c>
      <c r="Y3157" s="232"/>
    </row>
    <row r="3158" spans="21:25" x14ac:dyDescent="0.2">
      <c r="U3158" s="209" t="str">
        <f t="shared" si="52"/>
        <v>1w</v>
      </c>
      <c r="V3158" s="207">
        <f>_xll.qlCalendarAdvance(Calendar,V3157,U3158,"f",FALSE)</f>
        <v>61001</v>
      </c>
      <c r="W3158" s="210">
        <f>_xll.qlCalendarAdvance(Calendar,V3158,NDays&amp;"D")</f>
        <v>61001</v>
      </c>
      <c r="X3158" s="211">
        <v>2.3783129506673717E-2</v>
      </c>
      <c r="Y3158" s="232"/>
    </row>
    <row r="3159" spans="21:25" x14ac:dyDescent="0.2">
      <c r="U3159" s="209" t="str">
        <f t="shared" si="52"/>
        <v>1w</v>
      </c>
      <c r="V3159" s="207">
        <f>_xll.qlCalendarAdvance(Calendar,V3158,U3159,"f",FALSE)</f>
        <v>61008</v>
      </c>
      <c r="W3159" s="210">
        <f>_xll.qlCalendarAdvance(Calendar,V3159,NDays&amp;"D")</f>
        <v>61008</v>
      </c>
      <c r="X3159" s="211">
        <v>2.3787382625410913E-2</v>
      </c>
      <c r="Y3159" s="232"/>
    </row>
    <row r="3160" spans="21:25" x14ac:dyDescent="0.2">
      <c r="U3160" s="209" t="str">
        <f t="shared" si="52"/>
        <v>1w</v>
      </c>
      <c r="V3160" s="207">
        <f>_xll.qlCalendarAdvance(Calendar,V3159,U3160,"f",FALSE)</f>
        <v>61015</v>
      </c>
      <c r="W3160" s="210">
        <f>_xll.qlCalendarAdvance(Calendar,V3160,NDays&amp;"D")</f>
        <v>61015</v>
      </c>
      <c r="X3160" s="211">
        <v>2.3791624734155192E-2</v>
      </c>
      <c r="Y3160" s="232"/>
    </row>
    <row r="3161" spans="21:25" x14ac:dyDescent="0.2">
      <c r="U3161" s="209" t="str">
        <f t="shared" si="52"/>
        <v>1w</v>
      </c>
      <c r="V3161" s="207">
        <f>_xll.qlCalendarAdvance(Calendar,V3160,U3161,"f",FALSE)</f>
        <v>61022</v>
      </c>
      <c r="W3161" s="210">
        <f>_xll.qlCalendarAdvance(Calendar,V3161,NDays&amp;"D")</f>
        <v>61022</v>
      </c>
      <c r="X3161" s="211">
        <v>2.3795855832347002E-2</v>
      </c>
      <c r="Y3161" s="232"/>
    </row>
    <row r="3162" spans="21:25" x14ac:dyDescent="0.2">
      <c r="U3162" s="209" t="str">
        <f t="shared" si="52"/>
        <v>1w</v>
      </c>
      <c r="V3162" s="207">
        <f>_xll.qlCalendarAdvance(Calendar,V3161,U3162,"f",FALSE)</f>
        <v>61029</v>
      </c>
      <c r="W3162" s="210">
        <f>_xll.qlCalendarAdvance(Calendar,V3162,NDays&amp;"D")</f>
        <v>61029</v>
      </c>
      <c r="X3162" s="211">
        <v>2.3800075920625829E-2</v>
      </c>
      <c r="Y3162" s="232"/>
    </row>
    <row r="3163" spans="21:25" x14ac:dyDescent="0.2">
      <c r="U3163" s="209" t="str">
        <f t="shared" si="52"/>
        <v>1w</v>
      </c>
      <c r="V3163" s="207">
        <f>_xll.qlCalendarAdvance(Calendar,V3162,U3163,"f",FALSE)</f>
        <v>61036</v>
      </c>
      <c r="W3163" s="210">
        <f>_xll.qlCalendarAdvance(Calendar,V3163,NDays&amp;"D")</f>
        <v>61036</v>
      </c>
      <c r="X3163" s="211">
        <v>2.3804284998352188E-2</v>
      </c>
      <c r="Y3163" s="232"/>
    </row>
    <row r="3164" spans="21:25" x14ac:dyDescent="0.2">
      <c r="U3164" s="209" t="str">
        <f t="shared" si="52"/>
        <v>1w</v>
      </c>
      <c r="V3164" s="207">
        <f>_xll.qlCalendarAdvance(Calendar,V3163,U3164,"f",FALSE)</f>
        <v>61043</v>
      </c>
      <c r="W3164" s="210">
        <f>_xll.qlCalendarAdvance(Calendar,V3164,NDays&amp;"D")</f>
        <v>61043</v>
      </c>
      <c r="X3164" s="211">
        <v>2.3808483066085628E-2</v>
      </c>
      <c r="Y3164" s="232"/>
    </row>
    <row r="3165" spans="21:25" x14ac:dyDescent="0.2">
      <c r="U3165" s="209" t="str">
        <f t="shared" si="52"/>
        <v>1w</v>
      </c>
      <c r="V3165" s="207">
        <f>_xll.qlCalendarAdvance(Calendar,V3164,U3165,"f",FALSE)</f>
        <v>61050</v>
      </c>
      <c r="W3165" s="210">
        <f>_xll.qlCalendarAdvance(Calendar,V3165,NDays&amp;"D")</f>
        <v>61050</v>
      </c>
      <c r="X3165" s="211">
        <v>2.3812670123426471E-2</v>
      </c>
      <c r="Y3165" s="232"/>
    </row>
    <row r="3166" spans="21:25" x14ac:dyDescent="0.2">
      <c r="U3166" s="209" t="str">
        <f t="shared" si="52"/>
        <v>1w</v>
      </c>
      <c r="V3166" s="207">
        <f>_xll.qlCalendarAdvance(Calendar,V3165,U3166,"f",FALSE)</f>
        <v>61057</v>
      </c>
      <c r="W3166" s="210">
        <f>_xll.qlCalendarAdvance(Calendar,V3166,NDays&amp;"D")</f>
        <v>61057</v>
      </c>
      <c r="X3166" s="211">
        <v>2.3816846170454653E-2</v>
      </c>
      <c r="Y3166" s="232"/>
    </row>
    <row r="3167" spans="21:25" x14ac:dyDescent="0.2">
      <c r="U3167" s="209" t="str">
        <f t="shared" si="52"/>
        <v>1w</v>
      </c>
      <c r="V3167" s="207">
        <f>_xll.qlCalendarAdvance(Calendar,V3166,U3167,"f",FALSE)</f>
        <v>61064</v>
      </c>
      <c r="W3167" s="210">
        <f>_xll.qlCalendarAdvance(Calendar,V3167,NDays&amp;"D")</f>
        <v>61064</v>
      </c>
      <c r="X3167" s="211">
        <v>2.3821011207489917E-2</v>
      </c>
      <c r="Y3167" s="232"/>
    </row>
    <row r="3168" spans="21:25" x14ac:dyDescent="0.2">
      <c r="U3168" s="209" t="str">
        <f t="shared" si="52"/>
        <v>1w</v>
      </c>
      <c r="V3168" s="207">
        <f>_xll.qlCalendarAdvance(Calendar,V3167,U3168,"f",FALSE)</f>
        <v>61071</v>
      </c>
      <c r="W3168" s="210">
        <f>_xll.qlCalendarAdvance(Calendar,V3168,NDays&amp;"D")</f>
        <v>61071</v>
      </c>
      <c r="X3168" s="211">
        <v>2.3825165234052648E-2</v>
      </c>
      <c r="Y3168" s="232"/>
    </row>
    <row r="3169" spans="21:25" x14ac:dyDescent="0.2">
      <c r="U3169" s="209" t="str">
        <f t="shared" si="52"/>
        <v>1w</v>
      </c>
      <c r="V3169" s="207">
        <f>_xll.qlCalendarAdvance(Calendar,V3168,U3169,"f",FALSE)</f>
        <v>61078</v>
      </c>
      <c r="W3169" s="210">
        <f>_xll.qlCalendarAdvance(Calendar,V3169,NDays&amp;"D")</f>
        <v>61078</v>
      </c>
      <c r="X3169" s="211">
        <v>2.3829308250462589E-2</v>
      </c>
      <c r="Y3169" s="232"/>
    </row>
    <row r="3170" spans="21:25" x14ac:dyDescent="0.2">
      <c r="U3170" s="209" t="str">
        <f t="shared" si="52"/>
        <v>1w</v>
      </c>
      <c r="V3170" s="207">
        <f>_xll.qlCalendarAdvance(Calendar,V3169,U3170,"f",FALSE)</f>
        <v>61085</v>
      </c>
      <c r="W3170" s="210">
        <f>_xll.qlCalendarAdvance(Calendar,V3170,NDays&amp;"D")</f>
        <v>61085</v>
      </c>
      <c r="X3170" s="211">
        <v>2.3833440256559868E-2</v>
      </c>
      <c r="Y3170" s="232"/>
    </row>
    <row r="3171" spans="21:25" x14ac:dyDescent="0.2">
      <c r="U3171" s="209" t="str">
        <f t="shared" si="52"/>
        <v>1w</v>
      </c>
      <c r="V3171" s="207">
        <f>_xll.qlCalendarAdvance(Calendar,V3170,U3171,"f",FALSE)</f>
        <v>61092</v>
      </c>
      <c r="W3171" s="210">
        <f>_xll.qlCalendarAdvance(Calendar,V3171,NDays&amp;"D")</f>
        <v>61092</v>
      </c>
      <c r="X3171" s="211">
        <v>2.3837561252584294E-2</v>
      </c>
      <c r="Y3171" s="232"/>
    </row>
    <row r="3172" spans="21:25" x14ac:dyDescent="0.2">
      <c r="U3172" s="209" t="str">
        <f t="shared" si="52"/>
        <v>1w</v>
      </c>
      <c r="V3172" s="207">
        <f>_xll.qlCalendarAdvance(Calendar,V3171,U3172,"f",FALSE)</f>
        <v>61099</v>
      </c>
      <c r="W3172" s="210">
        <f>_xll.qlCalendarAdvance(Calendar,V3172,NDays&amp;"D")</f>
        <v>61099</v>
      </c>
      <c r="X3172" s="211">
        <v>2.3841671238296058E-2</v>
      </c>
      <c r="Y3172" s="232"/>
    </row>
    <row r="3173" spans="21:25" x14ac:dyDescent="0.2">
      <c r="U3173" s="209" t="str">
        <f t="shared" si="52"/>
        <v>1w</v>
      </c>
      <c r="V3173" s="207">
        <f>_xll.qlCalendarAdvance(Calendar,V3172,U3173,"f",FALSE)</f>
        <v>61106</v>
      </c>
      <c r="W3173" s="210">
        <f>_xll.qlCalendarAdvance(Calendar,V3173,NDays&amp;"D")</f>
        <v>61106</v>
      </c>
      <c r="X3173" s="211">
        <v>2.3845770213535289E-2</v>
      </c>
      <c r="Y3173" s="232"/>
    </row>
    <row r="3174" spans="21:25" x14ac:dyDescent="0.2">
      <c r="U3174" s="209" t="str">
        <f t="shared" si="52"/>
        <v>1w</v>
      </c>
      <c r="V3174" s="207">
        <f>_xll.qlCalendarAdvance(Calendar,V3173,U3174,"f",FALSE)</f>
        <v>61113</v>
      </c>
      <c r="W3174" s="210">
        <f>_xll.qlCalendarAdvance(Calendar,V3174,NDays&amp;"D")</f>
        <v>61113</v>
      </c>
      <c r="X3174" s="211">
        <v>2.3849858178701666E-2</v>
      </c>
      <c r="Y3174" s="232"/>
    </row>
    <row r="3175" spans="21:25" x14ac:dyDescent="0.2">
      <c r="U3175" s="209" t="str">
        <f t="shared" si="52"/>
        <v>1w</v>
      </c>
      <c r="V3175" s="207">
        <f>_xll.qlCalendarAdvance(Calendar,V3174,U3175,"f",FALSE)</f>
        <v>61120</v>
      </c>
      <c r="W3175" s="210">
        <f>_xll.qlCalendarAdvance(Calendar,V3175,NDays&amp;"D")</f>
        <v>61120</v>
      </c>
      <c r="X3175" s="211">
        <v>2.3853935133715254E-2</v>
      </c>
      <c r="Y3175" s="232"/>
    </row>
    <row r="3176" spans="21:25" x14ac:dyDescent="0.2">
      <c r="U3176" s="209" t="str">
        <f t="shared" si="52"/>
        <v>1w</v>
      </c>
      <c r="V3176" s="207">
        <f>_xll.qlCalendarAdvance(Calendar,V3175,U3176,"f",FALSE)</f>
        <v>61127</v>
      </c>
      <c r="W3176" s="210">
        <f>_xll.qlCalendarAdvance(Calendar,V3176,NDays&amp;"D")</f>
        <v>61127</v>
      </c>
      <c r="X3176" s="211">
        <v>2.385800107841618E-2</v>
      </c>
      <c r="Y3176" s="232"/>
    </row>
    <row r="3177" spans="21:25" x14ac:dyDescent="0.2">
      <c r="U3177" s="209" t="str">
        <f t="shared" si="52"/>
        <v>1w</v>
      </c>
      <c r="V3177" s="207">
        <f>_xll.qlCalendarAdvance(Calendar,V3176,U3177,"f",FALSE)</f>
        <v>61134</v>
      </c>
      <c r="W3177" s="210">
        <f>_xll.qlCalendarAdvance(Calendar,V3177,NDays&amp;"D")</f>
        <v>61134</v>
      </c>
      <c r="X3177" s="211">
        <v>2.3862056012644572E-2</v>
      </c>
      <c r="Y3177" s="232"/>
    </row>
    <row r="3178" spans="21:25" x14ac:dyDescent="0.2">
      <c r="U3178" s="209" t="str">
        <f t="shared" si="52"/>
        <v>1w</v>
      </c>
      <c r="V3178" s="207">
        <f>_xll.qlCalendarAdvance(Calendar,V3177,U3178,"f",FALSE)</f>
        <v>61141</v>
      </c>
      <c r="W3178" s="210">
        <f>_xll.qlCalendarAdvance(Calendar,V3178,NDays&amp;"D")</f>
        <v>61141</v>
      </c>
      <c r="X3178" s="211">
        <v>2.3866099936880047E-2</v>
      </c>
      <c r="Y3178" s="232"/>
    </row>
    <row r="3179" spans="21:25" x14ac:dyDescent="0.2">
      <c r="U3179" s="209" t="str">
        <f t="shared" si="52"/>
        <v>1w</v>
      </c>
      <c r="V3179" s="207">
        <f>_xll.qlCalendarAdvance(Calendar,V3178,U3179,"f",FALSE)</f>
        <v>61148</v>
      </c>
      <c r="W3179" s="210">
        <f>_xll.qlCalendarAdvance(Calendar,V3179,NDays&amp;"D")</f>
        <v>61148</v>
      </c>
      <c r="X3179" s="211">
        <v>2.3870132850882797E-2</v>
      </c>
      <c r="Y3179" s="232"/>
    </row>
    <row r="3180" spans="21:25" x14ac:dyDescent="0.2">
      <c r="U3180" s="209" t="str">
        <f t="shared" si="52"/>
        <v>1w</v>
      </c>
      <c r="V3180" s="207">
        <f>_xll.qlCalendarAdvance(Calendar,V3179,U3180,"f",FALSE)</f>
        <v>61155</v>
      </c>
      <c r="W3180" s="210">
        <f>_xll.qlCalendarAdvance(Calendar,V3180,NDays&amp;"D")</f>
        <v>61155</v>
      </c>
      <c r="X3180" s="211">
        <v>2.3874154754492949E-2</v>
      </c>
      <c r="Y3180" s="232"/>
    </row>
    <row r="3181" spans="21:25" x14ac:dyDescent="0.2">
      <c r="U3181" s="209" t="str">
        <f t="shared" si="52"/>
        <v>1w</v>
      </c>
      <c r="V3181" s="207">
        <f>_xll.qlCalendarAdvance(Calendar,V3180,U3181,"f",FALSE)</f>
        <v>61162</v>
      </c>
      <c r="W3181" s="210">
        <f>_xll.qlCalendarAdvance(Calendar,V3181,NDays&amp;"D")</f>
        <v>61162</v>
      </c>
      <c r="X3181" s="211">
        <v>2.3878165647870375E-2</v>
      </c>
      <c r="Y3181" s="232"/>
    </row>
    <row r="3182" spans="21:25" x14ac:dyDescent="0.2">
      <c r="U3182" s="209" t="str">
        <f t="shared" si="52"/>
        <v>1w</v>
      </c>
      <c r="V3182" s="207">
        <f>_xll.qlCalendarAdvance(Calendar,V3181,U3182,"f",FALSE)</f>
        <v>61169</v>
      </c>
      <c r="W3182" s="210">
        <f>_xll.qlCalendarAdvance(Calendar,V3182,NDays&amp;"D")</f>
        <v>61169</v>
      </c>
      <c r="X3182" s="211">
        <v>2.3882165531015076E-2</v>
      </c>
      <c r="Y3182" s="232"/>
    </row>
    <row r="3183" spans="21:25" x14ac:dyDescent="0.2">
      <c r="U3183" s="209" t="str">
        <f t="shared" si="52"/>
        <v>1w</v>
      </c>
      <c r="V3183" s="207">
        <f>_xll.qlCalendarAdvance(Calendar,V3182,U3183,"f",FALSE)</f>
        <v>61176</v>
      </c>
      <c r="W3183" s="210">
        <f>_xll.qlCalendarAdvance(Calendar,V3183,NDays&amp;"D")</f>
        <v>61176</v>
      </c>
      <c r="X3183" s="211">
        <v>2.3886154404006987E-2</v>
      </c>
      <c r="Y3183" s="232"/>
    </row>
    <row r="3184" spans="21:25" x14ac:dyDescent="0.2">
      <c r="U3184" s="209" t="str">
        <f t="shared" si="52"/>
        <v>1w</v>
      </c>
      <c r="V3184" s="207">
        <f>_xll.qlCalendarAdvance(Calendar,V3183,U3184,"f",FALSE)</f>
        <v>61183</v>
      </c>
      <c r="W3184" s="210">
        <f>_xll.qlCalendarAdvance(Calendar,V3184,NDays&amp;"D")</f>
        <v>61183</v>
      </c>
      <c r="X3184" s="211">
        <v>2.3890132266606301E-2</v>
      </c>
      <c r="Y3184" s="232"/>
    </row>
    <row r="3185" spans="21:25" x14ac:dyDescent="0.2">
      <c r="U3185" s="209" t="str">
        <f t="shared" si="52"/>
        <v>1w</v>
      </c>
      <c r="V3185" s="207">
        <f>_xll.qlCalendarAdvance(Calendar,V3184,U3185,"f",FALSE)</f>
        <v>61190</v>
      </c>
      <c r="W3185" s="210">
        <f>_xll.qlCalendarAdvance(Calendar,V3185,NDays&amp;"D")</f>
        <v>61190</v>
      </c>
      <c r="X3185" s="211">
        <v>2.3894099118972889E-2</v>
      </c>
      <c r="Y3185" s="232"/>
    </row>
    <row r="3186" spans="21:25" x14ac:dyDescent="0.2">
      <c r="U3186" s="209" t="str">
        <f t="shared" si="52"/>
        <v>1w</v>
      </c>
      <c r="V3186" s="207">
        <f>_xll.qlCalendarAdvance(Calendar,V3185,U3186,"f",FALSE)</f>
        <v>61197</v>
      </c>
      <c r="W3186" s="210">
        <f>_xll.qlCalendarAdvance(Calendar,V3186,NDays&amp;"D")</f>
        <v>61197</v>
      </c>
      <c r="X3186" s="211">
        <v>2.3898054961106752E-2</v>
      </c>
      <c r="Y3186" s="232"/>
    </row>
    <row r="3187" spans="21:25" x14ac:dyDescent="0.2">
      <c r="U3187" s="209" t="str">
        <f t="shared" si="52"/>
        <v>1w</v>
      </c>
      <c r="V3187" s="207">
        <f>_xll.qlCalendarAdvance(Calendar,V3186,U3187,"f",FALSE)</f>
        <v>61204</v>
      </c>
      <c r="W3187" s="210">
        <f>_xll.qlCalendarAdvance(Calendar,V3187,NDays&amp;"D")</f>
        <v>61204</v>
      </c>
      <c r="X3187" s="211">
        <v>2.3901999793167761E-2</v>
      </c>
      <c r="Y3187" s="232"/>
    </row>
    <row r="3188" spans="21:25" x14ac:dyDescent="0.2">
      <c r="U3188" s="209" t="str">
        <f t="shared" si="52"/>
        <v>1w</v>
      </c>
      <c r="V3188" s="207">
        <f>_xll.qlCalendarAdvance(Calendar,V3187,U3188,"f",FALSE)</f>
        <v>61211</v>
      </c>
      <c r="W3188" s="210">
        <f>_xll.qlCalendarAdvance(Calendar,V3188,NDays&amp;"D")</f>
        <v>61211</v>
      </c>
      <c r="X3188" s="211">
        <v>2.3905933614756236E-2</v>
      </c>
      <c r="Y3188" s="232"/>
    </row>
    <row r="3189" spans="21:25" x14ac:dyDescent="0.2">
      <c r="U3189" s="209" t="str">
        <f t="shared" si="52"/>
        <v>1w</v>
      </c>
      <c r="V3189" s="207">
        <f>_xll.qlCalendarAdvance(Calendar,V3188,U3189,"f",FALSE)</f>
        <v>61218</v>
      </c>
      <c r="W3189" s="210">
        <f>_xll.qlCalendarAdvance(Calendar,V3189,NDays&amp;"D")</f>
        <v>61218</v>
      </c>
      <c r="X3189" s="211">
        <v>2.390985642603205E-2</v>
      </c>
      <c r="Y3189" s="232"/>
    </row>
    <row r="3190" spans="21:25" x14ac:dyDescent="0.2">
      <c r="U3190" s="209" t="str">
        <f t="shared" si="52"/>
        <v>1w</v>
      </c>
      <c r="V3190" s="207">
        <f>_xll.qlCalendarAdvance(Calendar,V3189,U3190,"f",FALSE)</f>
        <v>61225</v>
      </c>
      <c r="W3190" s="210">
        <f>_xll.qlCalendarAdvance(Calendar,V3190,NDays&amp;"D")</f>
        <v>61225</v>
      </c>
      <c r="X3190" s="211">
        <v>2.391376822723501E-2</v>
      </c>
      <c r="Y3190" s="232"/>
    </row>
    <row r="3191" spans="21:25" x14ac:dyDescent="0.2">
      <c r="U3191" s="209" t="str">
        <f t="shared" si="52"/>
        <v>1w</v>
      </c>
      <c r="V3191" s="207">
        <f>_xll.qlCalendarAdvance(Calendar,V3190,U3191,"f",FALSE)</f>
        <v>61232</v>
      </c>
      <c r="W3191" s="210">
        <f>_xll.qlCalendarAdvance(Calendar,V3191,NDays&amp;"D")</f>
        <v>61232</v>
      </c>
      <c r="X3191" s="211">
        <v>2.3917669018205245E-2</v>
      </c>
      <c r="Y3191" s="232"/>
    </row>
    <row r="3192" spans="21:25" x14ac:dyDescent="0.2">
      <c r="U3192" s="209" t="str">
        <f t="shared" si="52"/>
        <v>1w</v>
      </c>
      <c r="V3192" s="207">
        <f>_xll.qlCalendarAdvance(Calendar,V3191,U3192,"f",FALSE)</f>
        <v>61239</v>
      </c>
      <c r="W3192" s="210">
        <f>_xll.qlCalendarAdvance(Calendar,V3192,NDays&amp;"D")</f>
        <v>61239</v>
      </c>
      <c r="X3192" s="211">
        <v>2.3921558798782883E-2</v>
      </c>
      <c r="Y3192" s="232"/>
    </row>
    <row r="3193" spans="21:25" x14ac:dyDescent="0.2">
      <c r="U3193" s="209" t="str">
        <f t="shared" si="52"/>
        <v>1w</v>
      </c>
      <c r="V3193" s="207">
        <f>_xll.qlCalendarAdvance(Calendar,V3192,U3193,"f",FALSE)</f>
        <v>61246</v>
      </c>
      <c r="W3193" s="210">
        <f>_xll.qlCalendarAdvance(Calendar,V3193,NDays&amp;"D")</f>
        <v>61246</v>
      </c>
      <c r="X3193" s="211">
        <v>2.392543756920773E-2</v>
      </c>
      <c r="Y3193" s="232"/>
    </row>
    <row r="3194" spans="21:25" x14ac:dyDescent="0.2">
      <c r="U3194" s="209" t="str">
        <f t="shared" si="52"/>
        <v>1w</v>
      </c>
      <c r="V3194" s="207">
        <f>_xll.qlCalendarAdvance(Calendar,V3193,U3194,"f",FALSE)</f>
        <v>61253</v>
      </c>
      <c r="W3194" s="210">
        <f>_xll.qlCalendarAdvance(Calendar,V3194,NDays&amp;"D")</f>
        <v>61253</v>
      </c>
      <c r="X3194" s="211">
        <v>2.392930532923998E-2</v>
      </c>
      <c r="Y3194" s="232"/>
    </row>
    <row r="3195" spans="21:25" x14ac:dyDescent="0.2">
      <c r="U3195" s="209" t="str">
        <f t="shared" si="52"/>
        <v>1w</v>
      </c>
      <c r="V3195" s="207">
        <f>_xll.qlCalendarAdvance(Calendar,V3194,U3195,"f",FALSE)</f>
        <v>61260</v>
      </c>
      <c r="W3195" s="210">
        <f>_xll.qlCalendarAdvance(Calendar,V3195,NDays&amp;"D")</f>
        <v>61260</v>
      </c>
      <c r="X3195" s="211">
        <v>2.3933162079119441E-2</v>
      </c>
      <c r="Y3195" s="232"/>
    </row>
    <row r="3196" spans="21:25" x14ac:dyDescent="0.2">
      <c r="U3196" s="209" t="str">
        <f t="shared" si="52"/>
        <v>1w</v>
      </c>
      <c r="V3196" s="207">
        <f>_xll.qlCalendarAdvance(Calendar,V3195,U3196,"f",FALSE)</f>
        <v>61267</v>
      </c>
      <c r="W3196" s="210">
        <f>_xll.qlCalendarAdvance(Calendar,V3196,NDays&amp;"D")</f>
        <v>61267</v>
      </c>
      <c r="X3196" s="211">
        <v>2.393700781868624E-2</v>
      </c>
      <c r="Y3196" s="232"/>
    </row>
    <row r="3197" spans="21:25" x14ac:dyDescent="0.2">
      <c r="U3197" s="209" t="str">
        <f t="shared" si="52"/>
        <v>1w</v>
      </c>
      <c r="V3197" s="207">
        <f>_xll.qlCalendarAdvance(Calendar,V3196,U3197,"f",FALSE)</f>
        <v>61274</v>
      </c>
      <c r="W3197" s="210">
        <f>_xll.qlCalendarAdvance(Calendar,V3197,NDays&amp;"D")</f>
        <v>61274</v>
      </c>
      <c r="X3197" s="211">
        <v>2.3940842548180186E-2</v>
      </c>
      <c r="Y3197" s="232"/>
    </row>
    <row r="3198" spans="21:25" x14ac:dyDescent="0.2">
      <c r="U3198" s="209" t="str">
        <f t="shared" si="52"/>
        <v>1w</v>
      </c>
      <c r="V3198" s="207">
        <f>_xll.qlCalendarAdvance(Calendar,V3197,U3198,"f",FALSE)</f>
        <v>61281</v>
      </c>
      <c r="W3198" s="210">
        <f>_xll.qlCalendarAdvance(Calendar,V3198,NDays&amp;"D")</f>
        <v>61281</v>
      </c>
      <c r="X3198" s="211">
        <v>2.3944666267201598E-2</v>
      </c>
      <c r="Y3198" s="232"/>
    </row>
    <row r="3199" spans="21:25" x14ac:dyDescent="0.2">
      <c r="U3199" s="209" t="str">
        <f t="shared" si="52"/>
        <v>1w</v>
      </c>
      <c r="V3199" s="207">
        <f>_xll.qlCalendarAdvance(Calendar,V3198,U3199,"f",FALSE)</f>
        <v>61288</v>
      </c>
      <c r="W3199" s="210">
        <f>_xll.qlCalendarAdvance(Calendar,V3199,NDays&amp;"D")</f>
        <v>61288</v>
      </c>
      <c r="X3199" s="211">
        <v>2.3948478975990284E-2</v>
      </c>
      <c r="Y3199" s="232"/>
    </row>
    <row r="3200" spans="21:25" x14ac:dyDescent="0.2">
      <c r="U3200" s="209" t="str">
        <f t="shared" si="52"/>
        <v>1w</v>
      </c>
      <c r="V3200" s="207">
        <f>_xll.qlCalendarAdvance(Calendar,V3199,U3200,"f",FALSE)</f>
        <v>61295</v>
      </c>
      <c r="W3200" s="210">
        <f>_xll.qlCalendarAdvance(Calendar,V3200,NDays&amp;"D")</f>
        <v>61295</v>
      </c>
      <c r="X3200" s="211">
        <v>2.3952280674626181E-2</v>
      </c>
      <c r="Y3200" s="232"/>
    </row>
    <row r="3201" spans="21:25" x14ac:dyDescent="0.2">
      <c r="U3201" s="209" t="str">
        <f t="shared" si="52"/>
        <v>1w</v>
      </c>
      <c r="V3201" s="207">
        <f>_xll.qlCalendarAdvance(Calendar,V3200,U3201,"f",FALSE)</f>
        <v>61302</v>
      </c>
      <c r="W3201" s="210">
        <f>_xll.qlCalendarAdvance(Calendar,V3201,NDays&amp;"D")</f>
        <v>61302</v>
      </c>
      <c r="X3201" s="211">
        <v>2.3956071363029352E-2</v>
      </c>
      <c r="Y3201" s="232"/>
    </row>
    <row r="3202" spans="21:25" x14ac:dyDescent="0.2">
      <c r="U3202" s="209" t="str">
        <f t="shared" si="52"/>
        <v>1w</v>
      </c>
      <c r="V3202" s="207">
        <f>_xll.qlCalendarAdvance(Calendar,V3201,U3202,"f",FALSE)</f>
        <v>61309</v>
      </c>
      <c r="W3202" s="210">
        <f>_xll.qlCalendarAdvance(Calendar,V3202,NDays&amp;"D")</f>
        <v>61309</v>
      </c>
      <c r="X3202" s="211">
        <v>2.3959851040880054E-2</v>
      </c>
      <c r="Y3202" s="232"/>
    </row>
    <row r="3203" spans="21:25" x14ac:dyDescent="0.2">
      <c r="U3203" s="209" t="str">
        <f t="shared" si="52"/>
        <v>1w</v>
      </c>
      <c r="V3203" s="207">
        <f>_xll.qlCalendarAdvance(Calendar,V3202,U3203,"f",FALSE)</f>
        <v>61316</v>
      </c>
      <c r="W3203" s="210">
        <f>_xll.qlCalendarAdvance(Calendar,V3203,NDays&amp;"D")</f>
        <v>61316</v>
      </c>
      <c r="X3203" s="211">
        <v>2.3963619708817774E-2</v>
      </c>
      <c r="Y3203" s="232"/>
    </row>
    <row r="3204" spans="21:25" x14ac:dyDescent="0.2">
      <c r="U3204" s="209" t="str">
        <f t="shared" si="52"/>
        <v>1w</v>
      </c>
      <c r="V3204" s="207">
        <f>_xll.qlCalendarAdvance(Calendar,V3203,U3204,"f",FALSE)</f>
        <v>61323</v>
      </c>
      <c r="W3204" s="210">
        <f>_xll.qlCalendarAdvance(Calendar,V3204,NDays&amp;"D")</f>
        <v>61323</v>
      </c>
      <c r="X3204" s="211">
        <v>2.3967377366362896E-2</v>
      </c>
      <c r="Y3204" s="232"/>
    </row>
    <row r="3205" spans="21:25" x14ac:dyDescent="0.2">
      <c r="U3205" s="209" t="str">
        <f t="shared" si="52"/>
        <v>1w</v>
      </c>
      <c r="V3205" s="207">
        <f>_xll.qlCalendarAdvance(Calendar,V3204,U3205,"f",FALSE)</f>
        <v>61330</v>
      </c>
      <c r="W3205" s="210">
        <f>_xll.qlCalendarAdvance(Calendar,V3205,NDays&amp;"D")</f>
        <v>61330</v>
      </c>
      <c r="X3205" s="211">
        <v>2.3971124013675293E-2</v>
      </c>
      <c r="Y3205" s="232"/>
    </row>
    <row r="3206" spans="21:25" x14ac:dyDescent="0.2">
      <c r="U3206" s="209" t="str">
        <f t="shared" si="52"/>
        <v>1w</v>
      </c>
      <c r="V3206" s="207">
        <f>_xll.qlCalendarAdvance(Calendar,V3205,U3206,"f",FALSE)</f>
        <v>61337</v>
      </c>
      <c r="W3206" s="210">
        <f>_xll.qlCalendarAdvance(Calendar,V3206,NDays&amp;"D")</f>
        <v>61337</v>
      </c>
      <c r="X3206" s="211">
        <v>2.3974859650595093E-2</v>
      </c>
      <c r="Y3206" s="232"/>
    </row>
    <row r="3207" spans="21:25" x14ac:dyDescent="0.2">
      <c r="U3207" s="209" t="str">
        <f t="shared" si="52"/>
        <v>1w</v>
      </c>
      <c r="V3207" s="207">
        <f>_xll.qlCalendarAdvance(Calendar,V3206,U3207,"f",FALSE)</f>
        <v>61344</v>
      </c>
      <c r="W3207" s="210">
        <f>_xll.qlCalendarAdvance(Calendar,V3207,NDays&amp;"D")</f>
        <v>61344</v>
      </c>
      <c r="X3207" s="211">
        <v>2.3978584277442039E-2</v>
      </c>
      <c r="Y3207" s="232"/>
    </row>
    <row r="3208" spans="21:25" x14ac:dyDescent="0.2">
      <c r="U3208" s="209" t="str">
        <f t="shared" si="52"/>
        <v>1w</v>
      </c>
      <c r="V3208" s="207">
        <f>_xll.qlCalendarAdvance(Calendar,V3207,U3208,"f",FALSE)</f>
        <v>61351</v>
      </c>
      <c r="W3208" s="210">
        <f>_xll.qlCalendarAdvance(Calendar,V3208,NDays&amp;"D")</f>
        <v>61351</v>
      </c>
      <c r="X3208" s="211">
        <v>2.3982297893896387E-2</v>
      </c>
      <c r="Y3208" s="232"/>
    </row>
    <row r="3209" spans="21:25" x14ac:dyDescent="0.2">
      <c r="U3209" s="209" t="str">
        <f t="shared" si="52"/>
        <v>1w</v>
      </c>
      <c r="V3209" s="207">
        <f>_xll.qlCalendarAdvance(Calendar,V3208,U3209,"f",FALSE)</f>
        <v>61358</v>
      </c>
      <c r="W3209" s="210">
        <f>_xll.qlCalendarAdvance(Calendar,V3209,NDays&amp;"D")</f>
        <v>61358</v>
      </c>
      <c r="X3209" s="211">
        <v>2.3986000500197946E-2</v>
      </c>
      <c r="Y3209" s="232"/>
    </row>
    <row r="3210" spans="21:25" x14ac:dyDescent="0.2">
      <c r="U3210" s="209" t="str">
        <f t="shared" si="52"/>
        <v>1w</v>
      </c>
      <c r="V3210" s="207">
        <f>_xll.qlCalendarAdvance(Calendar,V3209,U3210,"f",FALSE)</f>
        <v>61365</v>
      </c>
      <c r="W3210" s="210">
        <f>_xll.qlCalendarAdvance(Calendar,V3210,NDays&amp;"D")</f>
        <v>61365</v>
      </c>
      <c r="X3210" s="211">
        <v>2.3989692096106907E-2</v>
      </c>
      <c r="Y3210" s="232"/>
    </row>
    <row r="3211" spans="21:25" x14ac:dyDescent="0.2">
      <c r="U3211" s="209" t="str">
        <f t="shared" si="52"/>
        <v>1w</v>
      </c>
      <c r="V3211" s="207">
        <f>_xll.qlCalendarAdvance(Calendar,V3210,U3211,"f",FALSE)</f>
        <v>61372</v>
      </c>
      <c r="W3211" s="210">
        <f>_xll.qlCalendarAdvance(Calendar,V3211,NDays&amp;"D")</f>
        <v>61372</v>
      </c>
      <c r="X3211" s="211">
        <v>2.3993372681943015E-2</v>
      </c>
      <c r="Y3211" s="232"/>
    </row>
    <row r="3212" spans="21:25" x14ac:dyDescent="0.2">
      <c r="U3212" s="209" t="str">
        <f t="shared" si="52"/>
        <v>1w</v>
      </c>
      <c r="V3212" s="207">
        <f>_xll.qlCalendarAdvance(Calendar,V3211,U3212,"f",FALSE)</f>
        <v>61379</v>
      </c>
      <c r="W3212" s="210">
        <f>_xll.qlCalendarAdvance(Calendar,V3212,NDays&amp;"D")</f>
        <v>61379</v>
      </c>
      <c r="X3212" s="211">
        <v>2.3997042257466461E-2</v>
      </c>
      <c r="Y3212" s="232"/>
    </row>
    <row r="3213" spans="21:25" x14ac:dyDescent="0.2">
      <c r="U3213" s="209" t="str">
        <f t="shared" ref="U3213:U3276" si="53">U3212</f>
        <v>1w</v>
      </c>
      <c r="V3213" s="207">
        <f>_xll.qlCalendarAdvance(Calendar,V3212,U3213,"f",FALSE)</f>
        <v>61386</v>
      </c>
      <c r="W3213" s="210">
        <f>_xll.qlCalendarAdvance(Calendar,V3213,NDays&amp;"D")</f>
        <v>61386</v>
      </c>
      <c r="X3213" s="211">
        <v>2.4000700822517373E-2</v>
      </c>
      <c r="Y3213" s="232"/>
    </row>
    <row r="3214" spans="21:25" x14ac:dyDescent="0.2">
      <c r="U3214" s="209" t="str">
        <f t="shared" si="53"/>
        <v>1w</v>
      </c>
      <c r="V3214" s="207">
        <f>_xll.qlCalendarAdvance(Calendar,V3213,U3214,"f",FALSE)</f>
        <v>61393</v>
      </c>
      <c r="W3214" s="210">
        <f>_xll.qlCalendarAdvance(Calendar,V3214,NDays&amp;"D")</f>
        <v>61393</v>
      </c>
      <c r="X3214" s="211">
        <v>2.400434837733556E-2</v>
      </c>
      <c r="Y3214" s="232"/>
    </row>
    <row r="3215" spans="21:25" x14ac:dyDescent="0.2">
      <c r="U3215" s="209" t="str">
        <f t="shared" si="53"/>
        <v>1w</v>
      </c>
      <c r="V3215" s="207">
        <f>_xll.qlCalendarAdvance(Calendar,V3214,U3215,"f",FALSE)</f>
        <v>61400</v>
      </c>
      <c r="W3215" s="210">
        <f>_xll.qlCalendarAdvance(Calendar,V3215,NDays&amp;"D")</f>
        <v>61400</v>
      </c>
      <c r="X3215" s="211">
        <v>2.4007984922240766E-2</v>
      </c>
      <c r="Y3215" s="232"/>
    </row>
    <row r="3216" spans="21:25" x14ac:dyDescent="0.2">
      <c r="U3216" s="209" t="str">
        <f t="shared" si="53"/>
        <v>1w</v>
      </c>
      <c r="V3216" s="207">
        <f>_xll.qlCalendarAdvance(Calendar,V3215,U3216,"f",FALSE)</f>
        <v>61407</v>
      </c>
      <c r="W3216" s="210">
        <f>_xll.qlCalendarAdvance(Calendar,V3216,NDays&amp;"D")</f>
        <v>61407</v>
      </c>
      <c r="X3216" s="211">
        <v>2.4011610456673438E-2</v>
      </c>
      <c r="Y3216" s="232"/>
    </row>
    <row r="3217" spans="21:25" x14ac:dyDescent="0.2">
      <c r="U3217" s="209" t="str">
        <f t="shared" si="53"/>
        <v>1w</v>
      </c>
      <c r="V3217" s="207">
        <f>_xll.qlCalendarAdvance(Calendar,V3216,U3217,"f",FALSE)</f>
        <v>61414</v>
      </c>
      <c r="W3217" s="210">
        <f>_xll.qlCalendarAdvance(Calendar,V3217,NDays&amp;"D")</f>
        <v>61414</v>
      </c>
      <c r="X3217" s="211">
        <v>2.4015224980713512E-2</v>
      </c>
      <c r="Y3217" s="232"/>
    </row>
    <row r="3218" spans="21:25" x14ac:dyDescent="0.2">
      <c r="U3218" s="209" t="str">
        <f t="shared" si="53"/>
        <v>1w</v>
      </c>
      <c r="V3218" s="207">
        <f>_xll.qlCalendarAdvance(Calendar,V3217,U3218,"f",FALSE)</f>
        <v>61421</v>
      </c>
      <c r="W3218" s="210">
        <f>_xll.qlCalendarAdvance(Calendar,V3218,NDays&amp;"D")</f>
        <v>61421</v>
      </c>
      <c r="X3218" s="211">
        <v>2.4018828494680733E-2</v>
      </c>
      <c r="Y3218" s="232"/>
    </row>
    <row r="3219" spans="21:25" x14ac:dyDescent="0.2">
      <c r="U3219" s="209" t="str">
        <f t="shared" si="53"/>
        <v>1w</v>
      </c>
      <c r="V3219" s="207">
        <f>_xll.qlCalendarAdvance(Calendar,V3218,U3219,"f",FALSE)</f>
        <v>61428</v>
      </c>
      <c r="W3219" s="210">
        <f>_xll.qlCalendarAdvance(Calendar,V3219,NDays&amp;"D")</f>
        <v>61428</v>
      </c>
      <c r="X3219" s="211">
        <v>2.4022420998335292E-2</v>
      </c>
      <c r="Y3219" s="232"/>
    </row>
    <row r="3220" spans="21:25" x14ac:dyDescent="0.2">
      <c r="U3220" s="209" t="str">
        <f t="shared" si="53"/>
        <v>1w</v>
      </c>
      <c r="V3220" s="207">
        <f>_xll.qlCalendarAdvance(Calendar,V3219,U3220,"f",FALSE)</f>
        <v>61435</v>
      </c>
      <c r="W3220" s="210">
        <f>_xll.qlCalendarAdvance(Calendar,V3220,NDays&amp;"D")</f>
        <v>61435</v>
      </c>
      <c r="X3220" s="211">
        <v>2.4026002491517318E-2</v>
      </c>
      <c r="Y3220" s="232"/>
    </row>
    <row r="3221" spans="21:25" x14ac:dyDescent="0.2">
      <c r="U3221" s="209" t="str">
        <f t="shared" si="53"/>
        <v>1w</v>
      </c>
      <c r="V3221" s="207">
        <f>_xll.qlCalendarAdvance(Calendar,V3220,U3221,"f",FALSE)</f>
        <v>61442</v>
      </c>
      <c r="W3221" s="210">
        <f>_xll.qlCalendarAdvance(Calendar,V3221,NDays&amp;"D")</f>
        <v>61442</v>
      </c>
      <c r="X3221" s="211">
        <v>2.402957297462649E-2</v>
      </c>
      <c r="Y3221" s="232"/>
    </row>
    <row r="3222" spans="21:25" x14ac:dyDescent="0.2">
      <c r="U3222" s="209" t="str">
        <f t="shared" si="53"/>
        <v>1w</v>
      </c>
      <c r="V3222" s="207">
        <f>_xll.qlCalendarAdvance(Calendar,V3221,U3222,"f",FALSE)</f>
        <v>61449</v>
      </c>
      <c r="W3222" s="210">
        <f>_xll.qlCalendarAdvance(Calendar,V3222,NDays&amp;"D")</f>
        <v>61449</v>
      </c>
      <c r="X3222" s="211">
        <v>2.4033132447502936E-2</v>
      </c>
      <c r="Y3222" s="232"/>
    </row>
    <row r="3223" spans="21:25" x14ac:dyDescent="0.2">
      <c r="U3223" s="209" t="str">
        <f t="shared" si="53"/>
        <v>1w</v>
      </c>
      <c r="V3223" s="207">
        <f>_xll.qlCalendarAdvance(Calendar,V3222,U3223,"f",FALSE)</f>
        <v>61456</v>
      </c>
      <c r="W3223" s="210">
        <f>_xll.qlCalendarAdvance(Calendar,V3223,NDays&amp;"D")</f>
        <v>61456</v>
      </c>
      <c r="X3223" s="211">
        <v>2.4036680910146657E-2</v>
      </c>
      <c r="Y3223" s="232"/>
    </row>
    <row r="3224" spans="21:25" x14ac:dyDescent="0.2">
      <c r="U3224" s="209" t="str">
        <f t="shared" si="53"/>
        <v>1w</v>
      </c>
      <c r="V3224" s="207">
        <f>_xll.qlCalendarAdvance(Calendar,V3223,U3224,"f",FALSE)</f>
        <v>61463</v>
      </c>
      <c r="W3224" s="210">
        <f>_xll.qlCalendarAdvance(Calendar,V3224,NDays&amp;"D")</f>
        <v>61463</v>
      </c>
      <c r="X3224" s="211">
        <v>2.4040218362317844E-2</v>
      </c>
      <c r="Y3224" s="232"/>
    </row>
    <row r="3225" spans="21:25" x14ac:dyDescent="0.2">
      <c r="U3225" s="209" t="str">
        <f t="shared" si="53"/>
        <v>1w</v>
      </c>
      <c r="V3225" s="207">
        <f>_xll.qlCalendarAdvance(Calendar,V3224,U3225,"f",FALSE)</f>
        <v>61470</v>
      </c>
      <c r="W3225" s="210">
        <f>_xll.qlCalendarAdvance(Calendar,V3225,NDays&amp;"D")</f>
        <v>61470</v>
      </c>
      <c r="X3225" s="211">
        <v>2.4043744804416178E-2</v>
      </c>
      <c r="Y3225" s="232"/>
    </row>
    <row r="3226" spans="21:25" x14ac:dyDescent="0.2">
      <c r="U3226" s="209" t="str">
        <f t="shared" si="53"/>
        <v>1w</v>
      </c>
      <c r="V3226" s="207">
        <f>_xll.qlCalendarAdvance(Calendar,V3225,U3226,"f",FALSE)</f>
        <v>61477</v>
      </c>
      <c r="W3226" s="210">
        <f>_xll.qlCalendarAdvance(Calendar,V3226,NDays&amp;"D")</f>
        <v>61477</v>
      </c>
      <c r="X3226" s="211">
        <v>2.4047260236201851E-2</v>
      </c>
      <c r="Y3226" s="232"/>
    </row>
    <row r="3227" spans="21:25" x14ac:dyDescent="0.2">
      <c r="U3227" s="209" t="str">
        <f t="shared" si="53"/>
        <v>1w</v>
      </c>
      <c r="V3227" s="207">
        <f>_xll.qlCalendarAdvance(Calendar,V3226,U3227,"f",FALSE)</f>
        <v>61485</v>
      </c>
      <c r="W3227" s="210">
        <f>_xll.qlCalendarAdvance(Calendar,V3227,NDays&amp;"D")</f>
        <v>61485</v>
      </c>
      <c r="X3227" s="211">
        <v>2.4051264390569926E-2</v>
      </c>
      <c r="Y3227" s="232"/>
    </row>
    <row r="3228" spans="21:25" x14ac:dyDescent="0.2">
      <c r="U3228" s="209" t="str">
        <f t="shared" si="53"/>
        <v>1w</v>
      </c>
      <c r="V3228" s="207">
        <f>_xll.qlCalendarAdvance(Calendar,V3227,U3228,"f",FALSE)</f>
        <v>61492</v>
      </c>
      <c r="W3228" s="210">
        <f>_xll.qlCalendarAdvance(Calendar,V3228,NDays&amp;"D")</f>
        <v>61492</v>
      </c>
      <c r="X3228" s="211">
        <v>2.4054756228828467E-2</v>
      </c>
      <c r="Y3228" s="232"/>
    </row>
    <row r="3229" spans="21:25" x14ac:dyDescent="0.2">
      <c r="U3229" s="209" t="str">
        <f t="shared" si="53"/>
        <v>1w</v>
      </c>
      <c r="V3229" s="207">
        <f>_xll.qlCalendarAdvance(Calendar,V3228,U3229,"f",FALSE)</f>
        <v>61499</v>
      </c>
      <c r="W3229" s="210">
        <f>_xll.qlCalendarAdvance(Calendar,V3229,NDays&amp;"D")</f>
        <v>61499</v>
      </c>
      <c r="X3229" s="211">
        <v>2.4058237056854281E-2</v>
      </c>
      <c r="Y3229" s="232"/>
    </row>
    <row r="3230" spans="21:25" x14ac:dyDescent="0.2">
      <c r="U3230" s="209" t="str">
        <f t="shared" si="53"/>
        <v>1w</v>
      </c>
      <c r="V3230" s="207">
        <f>_xll.qlCalendarAdvance(Calendar,V3229,U3230,"f",FALSE)</f>
        <v>61506</v>
      </c>
      <c r="W3230" s="210">
        <f>_xll.qlCalendarAdvance(Calendar,V3230,NDays&amp;"D")</f>
        <v>61506</v>
      </c>
      <c r="X3230" s="211">
        <v>2.4061706874727307E-2</v>
      </c>
      <c r="Y3230" s="232"/>
    </row>
    <row r="3231" spans="21:25" x14ac:dyDescent="0.2">
      <c r="U3231" s="209" t="str">
        <f t="shared" si="53"/>
        <v>1w</v>
      </c>
      <c r="V3231" s="207">
        <f>_xll.qlCalendarAdvance(Calendar,V3230,U3231,"f",FALSE)</f>
        <v>61513</v>
      </c>
      <c r="W3231" s="210">
        <f>_xll.qlCalendarAdvance(Calendar,V3231,NDays&amp;"D")</f>
        <v>61513</v>
      </c>
      <c r="X3231" s="211">
        <v>2.406516568228767E-2</v>
      </c>
      <c r="Y3231" s="232"/>
    </row>
    <row r="3232" spans="21:25" x14ac:dyDescent="0.2">
      <c r="U3232" s="209" t="str">
        <f t="shared" si="53"/>
        <v>1w</v>
      </c>
      <c r="V3232" s="207">
        <f>_xll.qlCalendarAdvance(Calendar,V3231,U3232,"f",FALSE)</f>
        <v>61520</v>
      </c>
      <c r="W3232" s="210">
        <f>_xll.qlCalendarAdvance(Calendar,V3232,NDays&amp;"D")</f>
        <v>61520</v>
      </c>
      <c r="X3232" s="211">
        <v>2.4068613479615308E-2</v>
      </c>
      <c r="Y3232" s="232"/>
    </row>
    <row r="3233" spans="21:25" x14ac:dyDescent="0.2">
      <c r="U3233" s="209" t="str">
        <f t="shared" si="53"/>
        <v>1w</v>
      </c>
      <c r="V3233" s="207">
        <f>_xll.qlCalendarAdvance(Calendar,V3232,U3233,"f",FALSE)</f>
        <v>61527</v>
      </c>
      <c r="W3233" s="210">
        <f>_xll.qlCalendarAdvance(Calendar,V3233,NDays&amp;"D")</f>
        <v>61527</v>
      </c>
      <c r="X3233" s="211">
        <v>2.4072050266390477E-2</v>
      </c>
      <c r="Y3233" s="232"/>
    </row>
    <row r="3234" spans="21:25" x14ac:dyDescent="0.2">
      <c r="U3234" s="209" t="str">
        <f t="shared" si="53"/>
        <v>1w</v>
      </c>
      <c r="V3234" s="207">
        <f>_xll.qlCalendarAdvance(Calendar,V3233,U3234,"f",FALSE)</f>
        <v>61534</v>
      </c>
      <c r="W3234" s="210">
        <f>_xll.qlCalendarAdvance(Calendar,V3234,NDays&amp;"D")</f>
        <v>61534</v>
      </c>
      <c r="X3234" s="211">
        <v>2.4075476043172728E-2</v>
      </c>
      <c r="Y3234" s="232"/>
    </row>
    <row r="3235" spans="21:25" x14ac:dyDescent="0.2">
      <c r="U3235" s="209" t="str">
        <f t="shared" si="53"/>
        <v>1w</v>
      </c>
      <c r="V3235" s="207">
        <f>_xll.qlCalendarAdvance(Calendar,V3234,U3235,"f",FALSE)</f>
        <v>61541</v>
      </c>
      <c r="W3235" s="210">
        <f>_xll.qlCalendarAdvance(Calendar,V3235,NDays&amp;"D")</f>
        <v>61541</v>
      </c>
      <c r="X3235" s="211">
        <v>2.4078890809642317E-2</v>
      </c>
      <c r="Y3235" s="232"/>
    </row>
    <row r="3236" spans="21:25" x14ac:dyDescent="0.2">
      <c r="U3236" s="209" t="str">
        <f t="shared" si="53"/>
        <v>1w</v>
      </c>
      <c r="V3236" s="207">
        <f>_xll.qlCalendarAdvance(Calendar,V3235,U3236,"f",FALSE)</f>
        <v>61548</v>
      </c>
      <c r="W3236" s="210">
        <f>_xll.qlCalendarAdvance(Calendar,V3236,NDays&amp;"D")</f>
        <v>61548</v>
      </c>
      <c r="X3236" s="211">
        <v>2.4082294565799245E-2</v>
      </c>
      <c r="Y3236" s="232"/>
    </row>
    <row r="3237" spans="21:25" x14ac:dyDescent="0.2">
      <c r="U3237" s="209" t="str">
        <f t="shared" si="53"/>
        <v>1w</v>
      </c>
      <c r="V3237" s="207">
        <f>_xll.qlCalendarAdvance(Calendar,V3236,U3237,"f",FALSE)</f>
        <v>61555</v>
      </c>
      <c r="W3237" s="210">
        <f>_xll.qlCalendarAdvance(Calendar,V3237,NDays&amp;"D")</f>
        <v>61555</v>
      </c>
      <c r="X3237" s="211">
        <v>2.4085687311643511E-2</v>
      </c>
      <c r="Y3237" s="232"/>
    </row>
    <row r="3238" spans="21:25" x14ac:dyDescent="0.2">
      <c r="U3238" s="209" t="str">
        <f t="shared" si="53"/>
        <v>1w</v>
      </c>
      <c r="V3238" s="207">
        <f>_xll.qlCalendarAdvance(Calendar,V3237,U3238,"f",FALSE)</f>
        <v>61562</v>
      </c>
      <c r="W3238" s="210">
        <f>_xll.qlCalendarAdvance(Calendar,V3238,NDays&amp;"D")</f>
        <v>61562</v>
      </c>
      <c r="X3238" s="211">
        <v>2.4089069047414924E-2</v>
      </c>
      <c r="Y3238" s="232"/>
    </row>
    <row r="3239" spans="21:25" x14ac:dyDescent="0.2">
      <c r="U3239" s="209" t="str">
        <f t="shared" si="53"/>
        <v>1w</v>
      </c>
      <c r="V3239" s="207">
        <f>_xll.qlCalendarAdvance(Calendar,V3238,U3239,"f",FALSE)</f>
        <v>61569</v>
      </c>
      <c r="W3239" s="210">
        <f>_xll.qlCalendarAdvance(Calendar,V3239,NDays&amp;"D")</f>
        <v>61569</v>
      </c>
      <c r="X3239" s="211">
        <v>2.4092439772793739E-2</v>
      </c>
      <c r="Y3239" s="232"/>
    </row>
    <row r="3240" spans="21:25" x14ac:dyDescent="0.2">
      <c r="U3240" s="209" t="str">
        <f t="shared" si="53"/>
        <v>1w</v>
      </c>
      <c r="V3240" s="207">
        <f>_xll.qlCalendarAdvance(Calendar,V3239,U3240,"f",FALSE)</f>
        <v>61576</v>
      </c>
      <c r="W3240" s="210">
        <f>_xll.qlCalendarAdvance(Calendar,V3240,NDays&amp;"D")</f>
        <v>61576</v>
      </c>
      <c r="X3240" s="211">
        <v>2.4095799487939829E-2</v>
      </c>
      <c r="Y3240" s="232"/>
    </row>
    <row r="3241" spans="21:25" x14ac:dyDescent="0.2">
      <c r="U3241" s="209" t="str">
        <f t="shared" si="53"/>
        <v>1w</v>
      </c>
      <c r="V3241" s="207">
        <f>_xll.qlCalendarAdvance(Calendar,V3240,U3241,"f",FALSE)</f>
        <v>61583</v>
      </c>
      <c r="W3241" s="210">
        <f>_xll.qlCalendarAdvance(Calendar,V3241,NDays&amp;"D")</f>
        <v>61583</v>
      </c>
      <c r="X3241" s="211">
        <v>2.4099148192853193E-2</v>
      </c>
      <c r="Y3241" s="232"/>
    </row>
    <row r="3242" spans="21:25" x14ac:dyDescent="0.2">
      <c r="U3242" s="209" t="str">
        <f t="shared" si="53"/>
        <v>1w</v>
      </c>
      <c r="V3242" s="207">
        <f>_xll.qlCalendarAdvance(Calendar,V3241,U3242,"f",FALSE)</f>
        <v>61590</v>
      </c>
      <c r="W3242" s="210">
        <f>_xll.qlCalendarAdvance(Calendar,V3242,NDays&amp;"D")</f>
        <v>61590</v>
      </c>
      <c r="X3242" s="211">
        <v>2.4102485887294023E-2</v>
      </c>
      <c r="Y3242" s="232"/>
    </row>
    <row r="3243" spans="21:25" x14ac:dyDescent="0.2">
      <c r="U3243" s="209" t="str">
        <f t="shared" si="53"/>
        <v>1w</v>
      </c>
      <c r="V3243" s="207">
        <f>_xll.qlCalendarAdvance(Calendar,V3242,U3243,"f",FALSE)</f>
        <v>61597</v>
      </c>
      <c r="W3243" s="210">
        <f>_xll.qlCalendarAdvance(Calendar,V3243,NDays&amp;"D")</f>
        <v>61597</v>
      </c>
      <c r="X3243" s="211">
        <v>2.4105812571582064E-2</v>
      </c>
      <c r="Y3243" s="232"/>
    </row>
    <row r="3244" spans="21:25" x14ac:dyDescent="0.2">
      <c r="U3244" s="209" t="str">
        <f t="shared" si="53"/>
        <v>1w</v>
      </c>
      <c r="V3244" s="207">
        <f>_xll.qlCalendarAdvance(Calendar,V3243,U3244,"f",FALSE)</f>
        <v>61604</v>
      </c>
      <c r="W3244" s="210">
        <f>_xll.qlCalendarAdvance(Calendar,V3244,NDays&amp;"D")</f>
        <v>61604</v>
      </c>
      <c r="X3244" s="211">
        <v>2.4109128245637379E-2</v>
      </c>
      <c r="Y3244" s="232"/>
    </row>
    <row r="3245" spans="21:25" x14ac:dyDescent="0.2">
      <c r="U3245" s="209" t="str">
        <f t="shared" si="53"/>
        <v>1w</v>
      </c>
      <c r="V3245" s="207">
        <f>_xll.qlCalendarAdvance(Calendar,V3244,U3245,"f",FALSE)</f>
        <v>61611</v>
      </c>
      <c r="W3245" s="210">
        <f>_xll.qlCalendarAdvance(Calendar,V3245,NDays&amp;"D")</f>
        <v>61611</v>
      </c>
      <c r="X3245" s="211">
        <v>2.4112432909380033E-2</v>
      </c>
      <c r="Y3245" s="232"/>
    </row>
    <row r="3246" spans="21:25" x14ac:dyDescent="0.2">
      <c r="U3246" s="209" t="str">
        <f t="shared" si="53"/>
        <v>1w</v>
      </c>
      <c r="V3246" s="207">
        <f>_xll.qlCalendarAdvance(Calendar,V3245,U3246,"f",FALSE)</f>
        <v>61618</v>
      </c>
      <c r="W3246" s="210">
        <f>_xll.qlCalendarAdvance(Calendar,V3246,NDays&amp;"D")</f>
        <v>61618</v>
      </c>
      <c r="X3246" s="211">
        <v>2.4115726562810025E-2</v>
      </c>
      <c r="Y3246" s="232"/>
    </row>
    <row r="3247" spans="21:25" x14ac:dyDescent="0.2">
      <c r="U3247" s="209" t="str">
        <f t="shared" si="53"/>
        <v>1w</v>
      </c>
      <c r="V3247" s="207">
        <f>_xll.qlCalendarAdvance(Calendar,V3246,U3247,"f",FALSE)</f>
        <v>61625</v>
      </c>
      <c r="W3247" s="210">
        <f>_xll.qlCalendarAdvance(Calendar,V3247,NDays&amp;"D")</f>
        <v>61625</v>
      </c>
      <c r="X3247" s="211">
        <v>2.4119009206007291E-2</v>
      </c>
      <c r="Y3247" s="232"/>
    </row>
    <row r="3248" spans="21:25" x14ac:dyDescent="0.2">
      <c r="U3248" s="209" t="str">
        <f t="shared" si="53"/>
        <v>1w</v>
      </c>
      <c r="V3248" s="207">
        <f>_xll.qlCalendarAdvance(Calendar,V3247,U3248,"f",FALSE)</f>
        <v>61632</v>
      </c>
      <c r="W3248" s="210">
        <f>_xll.qlCalendarAdvance(Calendar,V3248,NDays&amp;"D")</f>
        <v>61632</v>
      </c>
      <c r="X3248" s="211">
        <v>2.412228083881196E-2</v>
      </c>
      <c r="Y3248" s="232"/>
    </row>
    <row r="3249" spans="21:25" x14ac:dyDescent="0.2">
      <c r="U3249" s="209" t="str">
        <f t="shared" si="53"/>
        <v>1w</v>
      </c>
      <c r="V3249" s="207">
        <f>_xll.qlCalendarAdvance(Calendar,V3248,U3249,"f",FALSE)</f>
        <v>61639</v>
      </c>
      <c r="W3249" s="210">
        <f>_xll.qlCalendarAdvance(Calendar,V3249,NDays&amp;"D")</f>
        <v>61639</v>
      </c>
      <c r="X3249" s="211">
        <v>2.4125541461623712E-2</v>
      </c>
      <c r="Y3249" s="232"/>
    </row>
    <row r="3250" spans="21:25" x14ac:dyDescent="0.2">
      <c r="U3250" s="209" t="str">
        <f t="shared" si="53"/>
        <v>1w</v>
      </c>
      <c r="V3250" s="207">
        <f>_xll.qlCalendarAdvance(Calendar,V3249,U3250,"f",FALSE)</f>
        <v>61646</v>
      </c>
      <c r="W3250" s="210">
        <f>_xll.qlCalendarAdvance(Calendar,V3250,NDays&amp;"D")</f>
        <v>61646</v>
      </c>
      <c r="X3250" s="211">
        <v>2.4128791074042866E-2</v>
      </c>
      <c r="Y3250" s="232"/>
    </row>
    <row r="3251" spans="21:25" x14ac:dyDescent="0.2">
      <c r="U3251" s="209" t="str">
        <f t="shared" si="53"/>
        <v>1w</v>
      </c>
      <c r="V3251" s="207">
        <f>_xll.qlCalendarAdvance(Calendar,V3250,U3251,"f",FALSE)</f>
        <v>61653</v>
      </c>
      <c r="W3251" s="210">
        <f>_xll.qlCalendarAdvance(Calendar,V3251,NDays&amp;"D")</f>
        <v>61653</v>
      </c>
      <c r="X3251" s="211">
        <v>2.4132029676069422E-2</v>
      </c>
      <c r="Y3251" s="232"/>
    </row>
    <row r="3252" spans="21:25" x14ac:dyDescent="0.2">
      <c r="U3252" s="209" t="str">
        <f t="shared" si="53"/>
        <v>1w</v>
      </c>
      <c r="V3252" s="207">
        <f>_xll.qlCalendarAdvance(Calendar,V3251,U3252,"f",FALSE)</f>
        <v>61660</v>
      </c>
      <c r="W3252" s="210">
        <f>_xll.qlCalendarAdvance(Calendar,V3252,NDays&amp;"D")</f>
        <v>61660</v>
      </c>
      <c r="X3252" s="211">
        <v>2.4135257267943189E-2</v>
      </c>
      <c r="Y3252" s="232"/>
    </row>
    <row r="3253" spans="21:25" x14ac:dyDescent="0.2">
      <c r="U3253" s="209" t="str">
        <f t="shared" si="53"/>
        <v>1w</v>
      </c>
      <c r="V3253" s="207">
        <f>_xll.qlCalendarAdvance(Calendar,V3252,U3253,"f",FALSE)</f>
        <v>61667</v>
      </c>
      <c r="W3253" s="210">
        <f>_xll.qlCalendarAdvance(Calendar,V3253,NDays&amp;"D")</f>
        <v>61667</v>
      </c>
      <c r="X3253" s="211">
        <v>2.4138473849504294E-2</v>
      </c>
      <c r="Y3253" s="232"/>
    </row>
    <row r="3254" spans="21:25" x14ac:dyDescent="0.2">
      <c r="U3254" s="209" t="str">
        <f t="shared" si="53"/>
        <v>1w</v>
      </c>
      <c r="V3254" s="207">
        <f>_xll.qlCalendarAdvance(Calendar,V3253,U3254,"f",FALSE)</f>
        <v>61674</v>
      </c>
      <c r="W3254" s="210">
        <f>_xll.qlCalendarAdvance(Calendar,V3254,NDays&amp;"D")</f>
        <v>61674</v>
      </c>
      <c r="X3254" s="211">
        <v>2.4141679420752737E-2</v>
      </c>
      <c r="Y3254" s="232"/>
    </row>
    <row r="3255" spans="21:25" x14ac:dyDescent="0.2">
      <c r="U3255" s="209" t="str">
        <f t="shared" si="53"/>
        <v>1w</v>
      </c>
      <c r="V3255" s="207">
        <f>_xll.qlCalendarAdvance(Calendar,V3254,U3255,"f",FALSE)</f>
        <v>61681</v>
      </c>
      <c r="W3255" s="210">
        <f>_xll.qlCalendarAdvance(Calendar,V3255,NDays&amp;"D")</f>
        <v>61681</v>
      </c>
      <c r="X3255" s="211">
        <v>2.4144873981768455E-2</v>
      </c>
      <c r="Y3255" s="232"/>
    </row>
    <row r="3256" spans="21:25" x14ac:dyDescent="0.2">
      <c r="U3256" s="209" t="str">
        <f t="shared" si="53"/>
        <v>1w</v>
      </c>
      <c r="V3256" s="207">
        <f>_xll.qlCalendarAdvance(Calendar,V3255,U3256,"f",FALSE)</f>
        <v>61688</v>
      </c>
      <c r="W3256" s="210">
        <f>_xll.qlCalendarAdvance(Calendar,V3256,NDays&amp;"D")</f>
        <v>61688</v>
      </c>
      <c r="X3256" s="211">
        <v>2.4148057532551448E-2</v>
      </c>
      <c r="Y3256" s="232"/>
    </row>
    <row r="3257" spans="21:25" x14ac:dyDescent="0.2">
      <c r="U3257" s="209" t="str">
        <f t="shared" si="53"/>
        <v>1w</v>
      </c>
      <c r="V3257" s="207">
        <f>_xll.qlCalendarAdvance(Calendar,V3256,U3257,"f",FALSE)</f>
        <v>61695</v>
      </c>
      <c r="W3257" s="210">
        <f>_xll.qlCalendarAdvance(Calendar,V3257,NDays&amp;"D")</f>
        <v>61695</v>
      </c>
      <c r="X3257" s="211">
        <v>2.4151230072941843E-2</v>
      </c>
      <c r="Y3257" s="232"/>
    </row>
    <row r="3258" spans="21:25" x14ac:dyDescent="0.2">
      <c r="U3258" s="209" t="str">
        <f t="shared" si="53"/>
        <v>1w</v>
      </c>
      <c r="V3258" s="207">
        <f>_xll.qlCalendarAdvance(Calendar,V3257,U3258,"f",FALSE)</f>
        <v>61702</v>
      </c>
      <c r="W3258" s="210">
        <f>_xll.qlCalendarAdvance(Calendar,V3258,NDays&amp;"D")</f>
        <v>61702</v>
      </c>
      <c r="X3258" s="211">
        <v>2.4154391603179448E-2</v>
      </c>
      <c r="Y3258" s="232"/>
    </row>
    <row r="3259" spans="21:25" x14ac:dyDescent="0.2">
      <c r="U3259" s="209" t="str">
        <f t="shared" si="53"/>
        <v>1w</v>
      </c>
      <c r="V3259" s="207">
        <f>_xll.qlCalendarAdvance(Calendar,V3258,U3259,"f",FALSE)</f>
        <v>61709</v>
      </c>
      <c r="W3259" s="210">
        <f>_xll.qlCalendarAdvance(Calendar,V3259,NDays&amp;"D")</f>
        <v>61709</v>
      </c>
      <c r="X3259" s="211">
        <v>2.4157542123024456E-2</v>
      </c>
      <c r="Y3259" s="232"/>
    </row>
    <row r="3260" spans="21:25" x14ac:dyDescent="0.2">
      <c r="U3260" s="209" t="str">
        <f t="shared" si="53"/>
        <v>1w</v>
      </c>
      <c r="V3260" s="207">
        <f>_xll.qlCalendarAdvance(Calendar,V3259,U3260,"f",FALSE)</f>
        <v>61716</v>
      </c>
      <c r="W3260" s="210">
        <f>_xll.qlCalendarAdvance(Calendar,V3260,NDays&amp;"D")</f>
        <v>61716</v>
      </c>
      <c r="X3260" s="211">
        <v>2.4160681632636738E-2</v>
      </c>
      <c r="Y3260" s="232"/>
    </row>
    <row r="3261" spans="21:25" x14ac:dyDescent="0.2">
      <c r="U3261" s="209" t="str">
        <f t="shared" si="53"/>
        <v>1w</v>
      </c>
      <c r="V3261" s="207">
        <f>_xll.qlCalendarAdvance(Calendar,V3260,U3261,"f",FALSE)</f>
        <v>61724</v>
      </c>
      <c r="W3261" s="210">
        <f>_xll.qlCalendarAdvance(Calendar,V3261,NDays&amp;"D")</f>
        <v>61724</v>
      </c>
      <c r="X3261" s="211">
        <v>2.416425616178941E-2</v>
      </c>
      <c r="Y3261" s="232"/>
    </row>
    <row r="3262" spans="21:25" x14ac:dyDescent="0.2">
      <c r="U3262" s="209" t="str">
        <f t="shared" si="53"/>
        <v>1w</v>
      </c>
      <c r="V3262" s="207">
        <f>_xll.qlCalendarAdvance(Calendar,V3261,U3262,"f",FALSE)</f>
        <v>61731</v>
      </c>
      <c r="W3262" s="210">
        <f>_xll.qlCalendarAdvance(Calendar,V3262,NDays&amp;"D")</f>
        <v>61731</v>
      </c>
      <c r="X3262" s="211">
        <v>2.416737207787456E-2</v>
      </c>
      <c r="Y3262" s="232"/>
    </row>
    <row r="3263" spans="21:25" x14ac:dyDescent="0.2">
      <c r="U3263" s="209" t="str">
        <f t="shared" si="53"/>
        <v>1w</v>
      </c>
      <c r="V3263" s="207">
        <f>_xll.qlCalendarAdvance(Calendar,V3262,U3263,"f",FALSE)</f>
        <v>61738</v>
      </c>
      <c r="W3263" s="210">
        <f>_xll.qlCalendarAdvance(Calendar,V3263,NDays&amp;"D")</f>
        <v>61738</v>
      </c>
      <c r="X3263" s="211">
        <v>2.4170476983647049E-2</v>
      </c>
      <c r="Y3263" s="232"/>
    </row>
    <row r="3264" spans="21:25" x14ac:dyDescent="0.2">
      <c r="U3264" s="209" t="str">
        <f t="shared" si="53"/>
        <v>1w</v>
      </c>
      <c r="V3264" s="207">
        <f>_xll.qlCalendarAdvance(Calendar,V3263,U3264,"f",FALSE)</f>
        <v>61745</v>
      </c>
      <c r="W3264" s="210">
        <f>_xll.qlCalendarAdvance(Calendar,V3264,NDays&amp;"D")</f>
        <v>61745</v>
      </c>
      <c r="X3264" s="211">
        <v>2.417357087942662E-2</v>
      </c>
      <c r="Y3264" s="232"/>
    </row>
    <row r="3265" spans="21:25" x14ac:dyDescent="0.2">
      <c r="U3265" s="209" t="str">
        <f t="shared" si="53"/>
        <v>1w</v>
      </c>
      <c r="V3265" s="207">
        <f>_xll.qlCalendarAdvance(Calendar,V3264,U3265,"f",FALSE)</f>
        <v>61752</v>
      </c>
      <c r="W3265" s="210">
        <f>_xll.qlCalendarAdvance(Calendar,V3265,NDays&amp;"D")</f>
        <v>61752</v>
      </c>
      <c r="X3265" s="211">
        <v>2.4176653764733658E-2</v>
      </c>
      <c r="Y3265" s="232"/>
    </row>
    <row r="3266" spans="21:25" x14ac:dyDescent="0.2">
      <c r="U3266" s="209" t="str">
        <f t="shared" si="53"/>
        <v>1w</v>
      </c>
      <c r="V3266" s="207">
        <f>_xll.qlCalendarAdvance(Calendar,V3265,U3266,"f",FALSE)</f>
        <v>61759</v>
      </c>
      <c r="W3266" s="210">
        <f>_xll.qlCalendarAdvance(Calendar,V3266,NDays&amp;"D")</f>
        <v>61759</v>
      </c>
      <c r="X3266" s="211">
        <v>2.4179725639728034E-2</v>
      </c>
      <c r="Y3266" s="232"/>
    </row>
    <row r="3267" spans="21:25" x14ac:dyDescent="0.2">
      <c r="U3267" s="209" t="str">
        <f t="shared" si="53"/>
        <v>1w</v>
      </c>
      <c r="V3267" s="207">
        <f>_xll.qlCalendarAdvance(Calendar,V3266,U3267,"f",FALSE)</f>
        <v>61766</v>
      </c>
      <c r="W3267" s="210">
        <f>_xll.qlCalendarAdvance(Calendar,V3267,NDays&amp;"D")</f>
        <v>61766</v>
      </c>
      <c r="X3267" s="211">
        <v>2.418278650456962E-2</v>
      </c>
      <c r="Y3267" s="232"/>
    </row>
    <row r="3268" spans="21:25" x14ac:dyDescent="0.2">
      <c r="U3268" s="209" t="str">
        <f t="shared" si="53"/>
        <v>1w</v>
      </c>
      <c r="V3268" s="207">
        <f>_xll.qlCalendarAdvance(Calendar,V3267,U3268,"f",FALSE)</f>
        <v>61773</v>
      </c>
      <c r="W3268" s="210">
        <f>_xll.qlCalendarAdvance(Calendar,V3268,NDays&amp;"D")</f>
        <v>61773</v>
      </c>
      <c r="X3268" s="211">
        <v>2.4185836359098545E-2</v>
      </c>
      <c r="Y3268" s="232"/>
    </row>
    <row r="3269" spans="21:25" x14ac:dyDescent="0.2">
      <c r="U3269" s="209" t="str">
        <f t="shared" si="53"/>
        <v>1w</v>
      </c>
      <c r="V3269" s="207">
        <f>_xll.qlCalendarAdvance(Calendar,V3268,U3269,"f",FALSE)</f>
        <v>61780</v>
      </c>
      <c r="W3269" s="210">
        <f>_xll.qlCalendarAdvance(Calendar,V3269,NDays&amp;"D")</f>
        <v>61780</v>
      </c>
      <c r="X3269" s="211">
        <v>2.4188875203314808E-2</v>
      </c>
      <c r="Y3269" s="232"/>
    </row>
    <row r="3270" spans="21:25" x14ac:dyDescent="0.2">
      <c r="U3270" s="209" t="str">
        <f t="shared" si="53"/>
        <v>1w</v>
      </c>
      <c r="V3270" s="207">
        <f>_xll.qlCalendarAdvance(Calendar,V3269,U3270,"f",FALSE)</f>
        <v>61787</v>
      </c>
      <c r="W3270" s="210">
        <f>_xll.qlCalendarAdvance(Calendar,V3270,NDays&amp;"D")</f>
        <v>61787</v>
      </c>
      <c r="X3270" s="211">
        <v>2.4191903037138474E-2</v>
      </c>
      <c r="Y3270" s="232"/>
    </row>
    <row r="3271" spans="21:25" x14ac:dyDescent="0.2">
      <c r="U3271" s="209" t="str">
        <f t="shared" si="53"/>
        <v>1w</v>
      </c>
      <c r="V3271" s="207">
        <f>_xll.qlCalendarAdvance(Calendar,V3270,U3271,"f",FALSE)</f>
        <v>61794</v>
      </c>
      <c r="W3271" s="210">
        <f>_xll.qlCalendarAdvance(Calendar,V3271,NDays&amp;"D")</f>
        <v>61794</v>
      </c>
      <c r="X3271" s="211">
        <v>2.4194919860889286E-2</v>
      </c>
      <c r="Y3271" s="232"/>
    </row>
    <row r="3272" spans="21:25" x14ac:dyDescent="0.2">
      <c r="U3272" s="209" t="str">
        <f t="shared" si="53"/>
        <v>1w</v>
      </c>
      <c r="V3272" s="207">
        <f>_xll.qlCalendarAdvance(Calendar,V3271,U3272,"f",FALSE)</f>
        <v>61801</v>
      </c>
      <c r="W3272" s="210">
        <f>_xll.qlCalendarAdvance(Calendar,V3272,NDays&amp;"D")</f>
        <v>61801</v>
      </c>
      <c r="X3272" s="211">
        <v>2.41979256742475E-2</v>
      </c>
      <c r="Y3272" s="232"/>
    </row>
    <row r="3273" spans="21:25" x14ac:dyDescent="0.2">
      <c r="U3273" s="209" t="str">
        <f t="shared" si="53"/>
        <v>1w</v>
      </c>
      <c r="V3273" s="207">
        <f>_xll.qlCalendarAdvance(Calendar,V3272,U3273,"f",FALSE)</f>
        <v>61808</v>
      </c>
      <c r="W3273" s="210">
        <f>_xll.qlCalendarAdvance(Calendar,V3273,NDays&amp;"D")</f>
        <v>61808</v>
      </c>
      <c r="X3273" s="211">
        <v>2.4200920477372989E-2</v>
      </c>
      <c r="Y3273" s="232"/>
    </row>
    <row r="3274" spans="21:25" x14ac:dyDescent="0.2">
      <c r="U3274" s="209" t="str">
        <f t="shared" si="53"/>
        <v>1w</v>
      </c>
      <c r="V3274" s="207">
        <f>_xll.qlCalendarAdvance(Calendar,V3273,U3274,"f",FALSE)</f>
        <v>61815</v>
      </c>
      <c r="W3274" s="210">
        <f>_xll.qlCalendarAdvance(Calendar,V3274,NDays&amp;"D")</f>
        <v>61815</v>
      </c>
      <c r="X3274" s="211">
        <v>2.4203904270265753E-2</v>
      </c>
      <c r="Y3274" s="232"/>
    </row>
    <row r="3275" spans="21:25" x14ac:dyDescent="0.2">
      <c r="U3275" s="209" t="str">
        <f t="shared" si="53"/>
        <v>1w</v>
      </c>
      <c r="V3275" s="207">
        <f>_xll.qlCalendarAdvance(Calendar,V3274,U3275,"f",FALSE)</f>
        <v>61822</v>
      </c>
      <c r="W3275" s="210">
        <f>_xll.qlCalendarAdvance(Calendar,V3275,NDays&amp;"D")</f>
        <v>61822</v>
      </c>
      <c r="X3275" s="211">
        <v>2.4206877052765918E-2</v>
      </c>
      <c r="Y3275" s="232"/>
    </row>
    <row r="3276" spans="21:25" x14ac:dyDescent="0.2">
      <c r="U3276" s="209" t="str">
        <f t="shared" si="53"/>
        <v>1w</v>
      </c>
      <c r="V3276" s="207">
        <f>_xll.qlCalendarAdvance(Calendar,V3275,U3276,"f",FALSE)</f>
        <v>61829</v>
      </c>
      <c r="W3276" s="210">
        <f>_xll.qlCalendarAdvance(Calendar,V3276,NDays&amp;"D")</f>
        <v>61829</v>
      </c>
      <c r="X3276" s="211">
        <v>2.4213939446347865E-2</v>
      </c>
      <c r="Y3276" s="232"/>
    </row>
    <row r="3277" spans="21:25" x14ac:dyDescent="0.2">
      <c r="U3277" s="209" t="str">
        <f t="shared" ref="U3277:U3340" si="54">U3276</f>
        <v>1w</v>
      </c>
      <c r="V3277" s="207">
        <f>_xll.qlCalendarAdvance(Calendar,V3276,U3277,"f",FALSE)</f>
        <v>61836</v>
      </c>
      <c r="W3277" s="210">
        <f>_xll.qlCalendarAdvance(Calendar,V3277,NDays&amp;"D")</f>
        <v>61836</v>
      </c>
      <c r="X3277" s="211">
        <v>2.4212789586908201E-2</v>
      </c>
      <c r="Y3277" s="232"/>
    </row>
    <row r="3278" spans="21:25" x14ac:dyDescent="0.2">
      <c r="U3278" s="209" t="str">
        <f t="shared" si="54"/>
        <v>1w</v>
      </c>
      <c r="V3278" s="207">
        <f>_xll.qlCalendarAdvance(Calendar,V3277,U3278,"f",FALSE)</f>
        <v>61843</v>
      </c>
      <c r="W3278" s="210">
        <f>_xll.qlCalendarAdvance(Calendar,V3278,NDays&amp;"D")</f>
        <v>61843</v>
      </c>
      <c r="X3278" s="211">
        <v>2.4215729338630254E-2</v>
      </c>
      <c r="Y3278" s="232"/>
    </row>
    <row r="3279" spans="21:25" x14ac:dyDescent="0.2">
      <c r="U3279" s="209" t="str">
        <f t="shared" si="54"/>
        <v>1w</v>
      </c>
      <c r="V3279" s="207">
        <f>_xll.qlCalendarAdvance(Calendar,V3278,U3279,"f",FALSE)</f>
        <v>61850</v>
      </c>
      <c r="W3279" s="210">
        <f>_xll.qlCalendarAdvance(Calendar,V3279,NDays&amp;"D")</f>
        <v>61850</v>
      </c>
      <c r="X3279" s="211">
        <v>2.4218658080119582E-2</v>
      </c>
      <c r="Y3279" s="232"/>
    </row>
    <row r="3280" spans="21:25" x14ac:dyDescent="0.2">
      <c r="U3280" s="209" t="str">
        <f t="shared" si="54"/>
        <v>1w</v>
      </c>
      <c r="V3280" s="207">
        <f>_xll.qlCalendarAdvance(Calendar,V3279,U3280,"f",FALSE)</f>
        <v>61857</v>
      </c>
      <c r="W3280" s="210">
        <f>_xll.qlCalendarAdvance(Calendar,V3280,NDays&amp;"D")</f>
        <v>61857</v>
      </c>
      <c r="X3280" s="211">
        <v>2.4221575811296248E-2</v>
      </c>
      <c r="Y3280" s="232"/>
    </row>
    <row r="3281" spans="21:25" x14ac:dyDescent="0.2">
      <c r="U3281" s="209" t="str">
        <f t="shared" si="54"/>
        <v>1w</v>
      </c>
      <c r="V3281" s="207">
        <f>_xll.qlCalendarAdvance(Calendar,V3280,U3281,"f",FALSE)</f>
        <v>61864</v>
      </c>
      <c r="W3281" s="210">
        <f>_xll.qlCalendarAdvance(Calendar,V3281,NDays&amp;"D")</f>
        <v>61864</v>
      </c>
      <c r="X3281" s="211">
        <v>2.4224482532080316E-2</v>
      </c>
      <c r="Y3281" s="232"/>
    </row>
    <row r="3282" spans="21:25" x14ac:dyDescent="0.2">
      <c r="U3282" s="209" t="str">
        <f t="shared" si="54"/>
        <v>1w</v>
      </c>
      <c r="V3282" s="207">
        <f>_xll.qlCalendarAdvance(Calendar,V3281,U3282,"f",FALSE)</f>
        <v>61871</v>
      </c>
      <c r="W3282" s="210">
        <f>_xll.qlCalendarAdvance(Calendar,V3282,NDays&amp;"D")</f>
        <v>61871</v>
      </c>
      <c r="X3282" s="211">
        <v>2.4227378242711595E-2</v>
      </c>
      <c r="Y3282" s="232"/>
    </row>
    <row r="3283" spans="21:25" x14ac:dyDescent="0.2">
      <c r="U3283" s="209" t="str">
        <f t="shared" si="54"/>
        <v>1w</v>
      </c>
      <c r="V3283" s="207">
        <f>_xll.qlCalendarAdvance(Calendar,V3282,U3283,"f",FALSE)</f>
        <v>61878</v>
      </c>
      <c r="W3283" s="210">
        <f>_xll.qlCalendarAdvance(Calendar,V3283,NDays&amp;"D")</f>
        <v>61878</v>
      </c>
      <c r="X3283" s="211">
        <v>2.4230262942950276E-2</v>
      </c>
      <c r="Y3283" s="232"/>
    </row>
    <row r="3284" spans="21:25" x14ac:dyDescent="0.2">
      <c r="U3284" s="209" t="str">
        <f t="shared" si="54"/>
        <v>1w</v>
      </c>
      <c r="V3284" s="207">
        <f>_xll.qlCalendarAdvance(Calendar,V3283,U3284,"f",FALSE)</f>
        <v>61885</v>
      </c>
      <c r="W3284" s="210">
        <f>_xll.qlCalendarAdvance(Calendar,V3284,NDays&amp;"D")</f>
        <v>61885</v>
      </c>
      <c r="X3284" s="211">
        <v>2.4233136632956231E-2</v>
      </c>
      <c r="Y3284" s="232"/>
    </row>
    <row r="3285" spans="21:25" x14ac:dyDescent="0.2">
      <c r="U3285" s="209" t="str">
        <f t="shared" si="54"/>
        <v>1w</v>
      </c>
      <c r="V3285" s="207">
        <f>_xll.qlCalendarAdvance(Calendar,V3284,U3285,"f",FALSE)</f>
        <v>61892</v>
      </c>
      <c r="W3285" s="210">
        <f>_xll.qlCalendarAdvance(Calendar,V3285,NDays&amp;"D")</f>
        <v>61892</v>
      </c>
      <c r="X3285" s="211">
        <v>2.4235999312569589E-2</v>
      </c>
      <c r="Y3285" s="232"/>
    </row>
    <row r="3286" spans="21:25" x14ac:dyDescent="0.2">
      <c r="U3286" s="209" t="str">
        <f t="shared" si="54"/>
        <v>1w</v>
      </c>
      <c r="V3286" s="207">
        <f>_xll.qlCalendarAdvance(Calendar,V3285,U3286,"f",FALSE)</f>
        <v>61899</v>
      </c>
      <c r="W3286" s="210">
        <f>_xll.qlCalendarAdvance(Calendar,V3286,NDays&amp;"D")</f>
        <v>61899</v>
      </c>
      <c r="X3286" s="211">
        <v>2.4238850982110094E-2</v>
      </c>
      <c r="Y3286" s="232"/>
    </row>
    <row r="3287" spans="21:25" x14ac:dyDescent="0.2">
      <c r="U3287" s="209" t="str">
        <f t="shared" si="54"/>
        <v>1w</v>
      </c>
      <c r="V3287" s="207">
        <f>_xll.qlCalendarAdvance(Calendar,V3286,U3287,"f",FALSE)</f>
        <v>61906</v>
      </c>
      <c r="W3287" s="210">
        <f>_xll.qlCalendarAdvance(Calendar,V3287,NDays&amp;"D")</f>
        <v>61906</v>
      </c>
      <c r="X3287" s="211">
        <v>2.4241691641178065E-2</v>
      </c>
      <c r="Y3287" s="232"/>
    </row>
    <row r="3288" spans="21:25" x14ac:dyDescent="0.2">
      <c r="U3288" s="209" t="str">
        <f t="shared" si="54"/>
        <v>1w</v>
      </c>
      <c r="V3288" s="207">
        <f>_xll.qlCalendarAdvance(Calendar,V3287,U3288,"f",FALSE)</f>
        <v>61913</v>
      </c>
      <c r="W3288" s="210">
        <f>_xll.qlCalendarAdvance(Calendar,V3288,NDays&amp;"D")</f>
        <v>61913</v>
      </c>
      <c r="X3288" s="211">
        <v>2.4244521290093246E-2</v>
      </c>
      <c r="Y3288" s="232"/>
    </row>
    <row r="3289" spans="21:25" x14ac:dyDescent="0.2">
      <c r="U3289" s="209" t="str">
        <f t="shared" si="54"/>
        <v>1w</v>
      </c>
      <c r="V3289" s="207">
        <f>_xll.qlCalendarAdvance(Calendar,V3288,U3289,"f",FALSE)</f>
        <v>61920</v>
      </c>
      <c r="W3289" s="210">
        <f>_xll.qlCalendarAdvance(Calendar,V3289,NDays&amp;"D")</f>
        <v>61920</v>
      </c>
      <c r="X3289" s="211">
        <v>2.4247339928695766E-2</v>
      </c>
      <c r="Y3289" s="232"/>
    </row>
    <row r="3290" spans="21:25" x14ac:dyDescent="0.2">
      <c r="U3290" s="209" t="str">
        <f t="shared" si="54"/>
        <v>1w</v>
      </c>
      <c r="V3290" s="207">
        <f>_xll.qlCalendarAdvance(Calendar,V3289,U3290,"f",FALSE)</f>
        <v>61927</v>
      </c>
      <c r="W3290" s="210">
        <f>_xll.qlCalendarAdvance(Calendar,V3290,NDays&amp;"D")</f>
        <v>61927</v>
      </c>
      <c r="X3290" s="211">
        <v>2.4250147556905688E-2</v>
      </c>
      <c r="Y3290" s="232"/>
    </row>
    <row r="3291" spans="21:25" x14ac:dyDescent="0.2">
      <c r="U3291" s="209" t="str">
        <f t="shared" si="54"/>
        <v>1w</v>
      </c>
      <c r="V3291" s="207">
        <f>_xll.qlCalendarAdvance(Calendar,V3290,U3291,"f",FALSE)</f>
        <v>61934</v>
      </c>
      <c r="W3291" s="210">
        <f>_xll.qlCalendarAdvance(Calendar,V3291,NDays&amp;"D")</f>
        <v>61934</v>
      </c>
      <c r="X3291" s="211">
        <v>2.4252944174962821E-2</v>
      </c>
      <c r="Y3291" s="232"/>
    </row>
    <row r="3292" spans="21:25" x14ac:dyDescent="0.2">
      <c r="U3292" s="209" t="str">
        <f t="shared" si="54"/>
        <v>1w</v>
      </c>
      <c r="V3292" s="207">
        <f>_xll.qlCalendarAdvance(Calendar,V3291,U3292,"f",FALSE)</f>
        <v>61941</v>
      </c>
      <c r="W3292" s="210">
        <f>_xll.qlCalendarAdvance(Calendar,V3292,NDays&amp;"D")</f>
        <v>61941</v>
      </c>
      <c r="X3292" s="211">
        <v>2.4255729782627355E-2</v>
      </c>
      <c r="Y3292" s="232"/>
    </row>
    <row r="3293" spans="21:25" x14ac:dyDescent="0.2">
      <c r="U3293" s="209" t="str">
        <f t="shared" si="54"/>
        <v>1w</v>
      </c>
      <c r="V3293" s="207">
        <f>_xll.qlCalendarAdvance(Calendar,V3292,U3293,"f",FALSE)</f>
        <v>61948</v>
      </c>
      <c r="W3293" s="210">
        <f>_xll.qlCalendarAdvance(Calendar,V3293,NDays&amp;"D")</f>
        <v>61948</v>
      </c>
      <c r="X3293" s="211">
        <v>2.4258504380139101E-2</v>
      </c>
      <c r="Y3293" s="232"/>
    </row>
    <row r="3294" spans="21:25" x14ac:dyDescent="0.2">
      <c r="U3294" s="209" t="str">
        <f t="shared" si="54"/>
        <v>1w</v>
      </c>
      <c r="V3294" s="207">
        <f>_xll.qlCalendarAdvance(Calendar,V3293,U3294,"f",FALSE)</f>
        <v>61955</v>
      </c>
      <c r="W3294" s="210">
        <f>_xll.qlCalendarAdvance(Calendar,V3294,NDays&amp;"D")</f>
        <v>61955</v>
      </c>
      <c r="X3294" s="211">
        <v>2.4261267967258249E-2</v>
      </c>
      <c r="Y3294" s="232"/>
    </row>
    <row r="3295" spans="21:25" x14ac:dyDescent="0.2">
      <c r="U3295" s="209" t="str">
        <f t="shared" si="54"/>
        <v>1w</v>
      </c>
      <c r="V3295" s="207">
        <f>_xll.qlCalendarAdvance(Calendar,V3294,U3295,"f",FALSE)</f>
        <v>61962</v>
      </c>
      <c r="W3295" s="210">
        <f>_xll.qlCalendarAdvance(Calendar,V3295,NDays&amp;"D")</f>
        <v>61962</v>
      </c>
      <c r="X3295" s="211">
        <v>2.4264020544224607E-2</v>
      </c>
      <c r="Y3295" s="232"/>
    </row>
    <row r="3296" spans="21:25" x14ac:dyDescent="0.2">
      <c r="U3296" s="209" t="str">
        <f t="shared" si="54"/>
        <v>1w</v>
      </c>
      <c r="V3296" s="207">
        <f>_xll.qlCalendarAdvance(Calendar,V3295,U3296,"f",FALSE)</f>
        <v>61969</v>
      </c>
      <c r="W3296" s="210">
        <f>_xll.qlCalendarAdvance(Calendar,V3296,NDays&amp;"D")</f>
        <v>61969</v>
      </c>
      <c r="X3296" s="211">
        <v>2.4266762110718432E-2</v>
      </c>
      <c r="Y3296" s="232"/>
    </row>
    <row r="3297" spans="21:25" x14ac:dyDescent="0.2">
      <c r="U3297" s="209" t="str">
        <f t="shared" si="54"/>
        <v>1w</v>
      </c>
      <c r="V3297" s="207">
        <f>_xll.qlCalendarAdvance(Calendar,V3296,U3297,"f",FALSE)</f>
        <v>61976</v>
      </c>
      <c r="W3297" s="210">
        <f>_xll.qlCalendarAdvance(Calendar,V3297,NDays&amp;"D")</f>
        <v>61976</v>
      </c>
      <c r="X3297" s="211">
        <v>2.4269492667139403E-2</v>
      </c>
      <c r="Y3297" s="232"/>
    </row>
    <row r="3298" spans="21:25" x14ac:dyDescent="0.2">
      <c r="U3298" s="209" t="str">
        <f t="shared" si="54"/>
        <v>1w</v>
      </c>
      <c r="V3298" s="207">
        <f>_xll.qlCalendarAdvance(Calendar,V3297,U3298,"f",FALSE)</f>
        <v>61983</v>
      </c>
      <c r="W3298" s="210">
        <f>_xll.qlCalendarAdvance(Calendar,V3298,NDays&amp;"D")</f>
        <v>61983</v>
      </c>
      <c r="X3298" s="211">
        <v>2.427221221308784E-2</v>
      </c>
      <c r="Y3298" s="232"/>
    </row>
    <row r="3299" spans="21:25" x14ac:dyDescent="0.2">
      <c r="U3299" s="209" t="str">
        <f t="shared" si="54"/>
        <v>1w</v>
      </c>
      <c r="V3299" s="207">
        <f>_xll.qlCalendarAdvance(Calendar,V3298,U3299,"f",FALSE)</f>
        <v>61990</v>
      </c>
      <c r="W3299" s="210">
        <f>_xll.qlCalendarAdvance(Calendar,V3299,NDays&amp;"D")</f>
        <v>61990</v>
      </c>
      <c r="X3299" s="211">
        <v>2.4274920748723616E-2</v>
      </c>
      <c r="Y3299" s="232"/>
    </row>
    <row r="3300" spans="21:25" x14ac:dyDescent="0.2">
      <c r="U3300" s="209" t="str">
        <f t="shared" si="54"/>
        <v>1w</v>
      </c>
      <c r="V3300" s="207">
        <f>_xll.qlCalendarAdvance(Calendar,V3299,U3300,"f",FALSE)</f>
        <v>61997</v>
      </c>
      <c r="W3300" s="210">
        <f>_xll.qlCalendarAdvance(Calendar,V3300,NDays&amp;"D")</f>
        <v>61997</v>
      </c>
      <c r="X3300" s="211">
        <v>2.4277618274206603E-2</v>
      </c>
      <c r="Y3300" s="232"/>
    </row>
    <row r="3301" spans="21:25" x14ac:dyDescent="0.2">
      <c r="U3301" s="209" t="str">
        <f t="shared" si="54"/>
        <v>1w</v>
      </c>
      <c r="V3301" s="207">
        <f>_xll.qlCalendarAdvance(Calendar,V3300,U3301,"f",FALSE)</f>
        <v>62004</v>
      </c>
      <c r="W3301" s="210">
        <f>_xll.qlCalendarAdvance(Calendar,V3301,NDays&amp;"D")</f>
        <v>62004</v>
      </c>
      <c r="X3301" s="211">
        <v>2.4280304789376927E-2</v>
      </c>
      <c r="Y3301" s="232"/>
    </row>
    <row r="3302" spans="21:25" x14ac:dyDescent="0.2">
      <c r="U3302" s="209" t="str">
        <f t="shared" si="54"/>
        <v>1w</v>
      </c>
      <c r="V3302" s="207">
        <f>_xll.qlCalendarAdvance(Calendar,V3301,U3302,"f",FALSE)</f>
        <v>62011</v>
      </c>
      <c r="W3302" s="210">
        <f>_xll.qlCalendarAdvance(Calendar,V3302,NDays&amp;"D")</f>
        <v>62011</v>
      </c>
      <c r="X3302" s="211">
        <v>2.4282980294314527E-2</v>
      </c>
      <c r="Y3302" s="232"/>
    </row>
    <row r="3303" spans="21:25" x14ac:dyDescent="0.2">
      <c r="U3303" s="209" t="str">
        <f t="shared" si="54"/>
        <v>1w</v>
      </c>
      <c r="V3303" s="207">
        <f>_xll.qlCalendarAdvance(Calendar,V3302,U3303,"f",FALSE)</f>
        <v>62018</v>
      </c>
      <c r="W3303" s="210">
        <f>_xll.qlCalendarAdvance(Calendar,V3303,NDays&amp;"D")</f>
        <v>62018</v>
      </c>
      <c r="X3303" s="211">
        <v>2.4285644788699656E-2</v>
      </c>
      <c r="Y3303" s="232"/>
    </row>
    <row r="3304" spans="21:25" x14ac:dyDescent="0.2">
      <c r="U3304" s="209" t="str">
        <f t="shared" si="54"/>
        <v>1w</v>
      </c>
      <c r="V3304" s="207">
        <f>_xll.qlCalendarAdvance(Calendar,V3303,U3304,"f",FALSE)</f>
        <v>62025</v>
      </c>
      <c r="W3304" s="210">
        <f>_xll.qlCalendarAdvance(Calendar,V3304,NDays&amp;"D")</f>
        <v>62025</v>
      </c>
      <c r="X3304" s="211">
        <v>2.4288298273091868E-2</v>
      </c>
      <c r="Y3304" s="232"/>
    </row>
    <row r="3305" spans="21:25" x14ac:dyDescent="0.2">
      <c r="U3305" s="209" t="str">
        <f t="shared" si="54"/>
        <v>1w</v>
      </c>
      <c r="V3305" s="207">
        <f>_xll.qlCalendarAdvance(Calendar,V3304,U3305,"f",FALSE)</f>
        <v>62032</v>
      </c>
      <c r="W3305" s="210">
        <f>_xll.qlCalendarAdvance(Calendar,V3305,NDays&amp;"D")</f>
        <v>62032</v>
      </c>
      <c r="X3305" s="211">
        <v>2.4290940747011547E-2</v>
      </c>
      <c r="Y3305" s="232"/>
    </row>
    <row r="3306" spans="21:25" x14ac:dyDescent="0.2">
      <c r="U3306" s="209" t="str">
        <f t="shared" si="54"/>
        <v>1w</v>
      </c>
      <c r="V3306" s="207">
        <f>_xll.qlCalendarAdvance(Calendar,V3305,U3306,"f",FALSE)</f>
        <v>62039</v>
      </c>
      <c r="W3306" s="210">
        <f>_xll.qlCalendarAdvance(Calendar,V3306,NDays&amp;"D")</f>
        <v>62039</v>
      </c>
      <c r="X3306" s="211">
        <v>2.4293572210778436E-2</v>
      </c>
      <c r="Y3306" s="232"/>
    </row>
    <row r="3307" spans="21:25" x14ac:dyDescent="0.2">
      <c r="U3307" s="209" t="str">
        <f t="shared" si="54"/>
        <v>1w</v>
      </c>
      <c r="V3307" s="207">
        <f>_xll.qlCalendarAdvance(Calendar,V3306,U3307,"f",FALSE)</f>
        <v>62046</v>
      </c>
      <c r="W3307" s="210">
        <f>_xll.qlCalendarAdvance(Calendar,V3307,NDays&amp;"D")</f>
        <v>62046</v>
      </c>
      <c r="X3307" s="211">
        <v>2.4296192664072791E-2</v>
      </c>
      <c r="Y3307" s="232"/>
    </row>
    <row r="3308" spans="21:25" x14ac:dyDescent="0.2">
      <c r="U3308" s="209" t="str">
        <f t="shared" si="54"/>
        <v>1w</v>
      </c>
      <c r="V3308" s="207">
        <f>_xll.qlCalendarAdvance(Calendar,V3307,U3308,"f",FALSE)</f>
        <v>62053</v>
      </c>
      <c r="W3308" s="210">
        <f>_xll.qlCalendarAdvance(Calendar,V3308,NDays&amp;"D")</f>
        <v>62053</v>
      </c>
      <c r="X3308" s="211">
        <v>2.4298802107294293E-2</v>
      </c>
      <c r="Y3308" s="232"/>
    </row>
    <row r="3309" spans="21:25" x14ac:dyDescent="0.2">
      <c r="U3309" s="209" t="str">
        <f t="shared" si="54"/>
        <v>1w</v>
      </c>
      <c r="V3309" s="207">
        <f>_xll.qlCalendarAdvance(Calendar,V3308,U3309,"f",FALSE)</f>
        <v>62060</v>
      </c>
      <c r="W3309" s="210">
        <f>_xll.qlCalendarAdvance(Calendar,V3309,NDays&amp;"D")</f>
        <v>62060</v>
      </c>
      <c r="X3309" s="211">
        <v>2.4301400540203133E-2</v>
      </c>
      <c r="Y3309" s="232"/>
    </row>
    <row r="3310" spans="21:25" x14ac:dyDescent="0.2">
      <c r="U3310" s="209" t="str">
        <f t="shared" si="54"/>
        <v>1w</v>
      </c>
      <c r="V3310" s="207">
        <f>_xll.qlCalendarAdvance(Calendar,V3309,U3310,"f",FALSE)</f>
        <v>62067</v>
      </c>
      <c r="W3310" s="210">
        <f>_xll.qlCalendarAdvance(Calendar,V3310,NDays&amp;"D")</f>
        <v>62067</v>
      </c>
      <c r="X3310" s="211">
        <v>2.430398796263944E-2</v>
      </c>
      <c r="Y3310" s="232"/>
    </row>
    <row r="3311" spans="21:25" x14ac:dyDescent="0.2">
      <c r="U3311" s="209" t="str">
        <f t="shared" si="54"/>
        <v>1w</v>
      </c>
      <c r="V3311" s="207">
        <f>_xll.qlCalendarAdvance(Calendar,V3310,U3311,"f",FALSE)</f>
        <v>62074</v>
      </c>
      <c r="W3311" s="210">
        <f>_xll.qlCalendarAdvance(Calendar,V3311,NDays&amp;"D")</f>
        <v>62074</v>
      </c>
      <c r="X3311" s="211">
        <v>2.4306564374922957E-2</v>
      </c>
      <c r="Y3311" s="232"/>
    </row>
    <row r="3312" spans="21:25" x14ac:dyDescent="0.2">
      <c r="U3312" s="209" t="str">
        <f t="shared" si="54"/>
        <v>1w</v>
      </c>
      <c r="V3312" s="207">
        <f>_xll.qlCalendarAdvance(Calendar,V3311,U3312,"f",FALSE)</f>
        <v>62081</v>
      </c>
      <c r="W3312" s="210">
        <f>_xll.qlCalendarAdvance(Calendar,V3312,NDays&amp;"D")</f>
        <v>62081</v>
      </c>
      <c r="X3312" s="211">
        <v>2.4309129776893812E-2</v>
      </c>
      <c r="Y3312" s="232"/>
    </row>
    <row r="3313" spans="21:25" x14ac:dyDescent="0.2">
      <c r="U3313" s="209" t="str">
        <f t="shared" si="54"/>
        <v>1w</v>
      </c>
      <c r="V3313" s="207">
        <f>_xll.qlCalendarAdvance(Calendar,V3312,U3313,"f",FALSE)</f>
        <v>62089</v>
      </c>
      <c r="W3313" s="210">
        <f>_xll.qlCalendarAdvance(Calendar,V3313,NDays&amp;"D")</f>
        <v>62089</v>
      </c>
      <c r="X3313" s="211">
        <v>2.4314053860488016E-2</v>
      </c>
      <c r="Y3313" s="232"/>
    </row>
    <row r="3314" spans="21:25" x14ac:dyDescent="0.2">
      <c r="U3314" s="209" t="str">
        <f t="shared" si="54"/>
        <v>1w</v>
      </c>
      <c r="V3314" s="207">
        <f>_xll.qlCalendarAdvance(Calendar,V3313,U3314,"f",FALSE)</f>
        <v>62096</v>
      </c>
      <c r="W3314" s="210">
        <f>_xll.qlCalendarAdvance(Calendar,V3314,NDays&amp;"D")</f>
        <v>62096</v>
      </c>
      <c r="X3314" s="211">
        <v>2.4316594439222072E-2</v>
      </c>
      <c r="Y3314" s="232"/>
    </row>
    <row r="3315" spans="21:25" x14ac:dyDescent="0.2">
      <c r="U3315" s="209" t="str">
        <f t="shared" si="54"/>
        <v>1w</v>
      </c>
      <c r="V3315" s="207">
        <f>_xll.qlCalendarAdvance(Calendar,V3314,U3315,"f",FALSE)</f>
        <v>62103</v>
      </c>
      <c r="W3315" s="210">
        <f>_xll.qlCalendarAdvance(Calendar,V3315,NDays&amp;"D")</f>
        <v>62103</v>
      </c>
      <c r="X3315" s="211">
        <v>2.4319124006177972E-2</v>
      </c>
      <c r="Y3315" s="232"/>
    </row>
    <row r="3316" spans="21:25" x14ac:dyDescent="0.2">
      <c r="U3316" s="209" t="str">
        <f t="shared" si="54"/>
        <v>1w</v>
      </c>
      <c r="V3316" s="207">
        <f>_xll.qlCalendarAdvance(Calendar,V3315,U3316,"f",FALSE)</f>
        <v>62110</v>
      </c>
      <c r="W3316" s="210">
        <f>_xll.qlCalendarAdvance(Calendar,V3316,NDays&amp;"D")</f>
        <v>62110</v>
      </c>
      <c r="X3316" s="211">
        <v>2.4321642561462298E-2</v>
      </c>
      <c r="Y3316" s="232"/>
    </row>
    <row r="3317" spans="21:25" x14ac:dyDescent="0.2">
      <c r="U3317" s="209" t="str">
        <f t="shared" si="54"/>
        <v>1w</v>
      </c>
      <c r="V3317" s="207">
        <f>_xll.qlCalendarAdvance(Calendar,V3316,U3317,"f",FALSE)</f>
        <v>62117</v>
      </c>
      <c r="W3317" s="210">
        <f>_xll.qlCalendarAdvance(Calendar,V3317,NDays&amp;"D")</f>
        <v>62117</v>
      </c>
      <c r="X3317" s="211">
        <v>2.4324150104915176E-2</v>
      </c>
      <c r="Y3317" s="232"/>
    </row>
    <row r="3318" spans="21:25" x14ac:dyDescent="0.2">
      <c r="U3318" s="209" t="str">
        <f t="shared" si="54"/>
        <v>1w</v>
      </c>
      <c r="V3318" s="207">
        <f>_xll.qlCalendarAdvance(Calendar,V3317,U3318,"f",FALSE)</f>
        <v>62124</v>
      </c>
      <c r="W3318" s="210">
        <f>_xll.qlCalendarAdvance(Calendar,V3318,NDays&amp;"D")</f>
        <v>62124</v>
      </c>
      <c r="X3318" s="211">
        <v>2.432664663664319E-2</v>
      </c>
      <c r="Y3318" s="232"/>
    </row>
    <row r="3319" spans="21:25" x14ac:dyDescent="0.2">
      <c r="U3319" s="209" t="str">
        <f t="shared" si="54"/>
        <v>1w</v>
      </c>
      <c r="V3319" s="207">
        <f>_xll.qlCalendarAdvance(Calendar,V3318,U3319,"f",FALSE)</f>
        <v>62131</v>
      </c>
      <c r="W3319" s="210">
        <f>_xll.qlCalendarAdvance(Calendar,V3319,NDays&amp;"D")</f>
        <v>62131</v>
      </c>
      <c r="X3319" s="211">
        <v>2.4329132156699629E-2</v>
      </c>
      <c r="Y3319" s="232"/>
    </row>
    <row r="3320" spans="21:25" x14ac:dyDescent="0.2">
      <c r="U3320" s="209" t="str">
        <f t="shared" si="54"/>
        <v>1w</v>
      </c>
      <c r="V3320" s="207">
        <f>_xll.qlCalendarAdvance(Calendar,V3319,U3320,"f",FALSE)</f>
        <v>62138</v>
      </c>
      <c r="W3320" s="210">
        <f>_xll.qlCalendarAdvance(Calendar,V3320,NDays&amp;"D")</f>
        <v>62138</v>
      </c>
      <c r="X3320" s="211">
        <v>2.4331606664951266E-2</v>
      </c>
      <c r="Y3320" s="232"/>
    </row>
    <row r="3321" spans="21:25" x14ac:dyDescent="0.2">
      <c r="U3321" s="209" t="str">
        <f t="shared" si="54"/>
        <v>1w</v>
      </c>
      <c r="V3321" s="207">
        <f>_xll.qlCalendarAdvance(Calendar,V3320,U3321,"f",FALSE)</f>
        <v>62145</v>
      </c>
      <c r="W3321" s="210">
        <f>_xll.qlCalendarAdvance(Calendar,V3321,NDays&amp;"D")</f>
        <v>62145</v>
      </c>
      <c r="X3321" s="211">
        <v>2.4334070161398103E-2</v>
      </c>
      <c r="Y3321" s="232"/>
    </row>
    <row r="3322" spans="21:25" x14ac:dyDescent="0.2">
      <c r="U3322" s="209" t="str">
        <f t="shared" si="54"/>
        <v>1w</v>
      </c>
      <c r="V3322" s="207">
        <f>_xll.qlCalendarAdvance(Calendar,V3321,U3322,"f",FALSE)</f>
        <v>62152</v>
      </c>
      <c r="W3322" s="210">
        <f>_xll.qlCalendarAdvance(Calendar,V3322,NDays&amp;"D")</f>
        <v>62152</v>
      </c>
      <c r="X3322" s="211">
        <v>2.4336522646173364E-2</v>
      </c>
      <c r="Y3322" s="232"/>
    </row>
    <row r="3323" spans="21:25" x14ac:dyDescent="0.2">
      <c r="U3323" s="209" t="str">
        <f t="shared" si="54"/>
        <v>1w</v>
      </c>
      <c r="V3323" s="207">
        <f>_xll.qlCalendarAdvance(Calendar,V3322,U3323,"f",FALSE)</f>
        <v>62159</v>
      </c>
      <c r="W3323" s="210">
        <f>_xll.qlCalendarAdvance(Calendar,V3323,NDays&amp;"D")</f>
        <v>62159</v>
      </c>
      <c r="X3323" s="211">
        <v>2.4338964119143824E-2</v>
      </c>
      <c r="Y3323" s="232"/>
    </row>
    <row r="3324" spans="21:25" x14ac:dyDescent="0.2">
      <c r="U3324" s="209" t="str">
        <f t="shared" si="54"/>
        <v>1w</v>
      </c>
      <c r="V3324" s="207">
        <f>_xll.qlCalendarAdvance(Calendar,V3323,U3324,"f",FALSE)</f>
        <v>62166</v>
      </c>
      <c r="W3324" s="210">
        <f>_xll.qlCalendarAdvance(Calendar,V3324,NDays&amp;"D")</f>
        <v>62166</v>
      </c>
      <c r="X3324" s="211">
        <v>2.434139458044271E-2</v>
      </c>
      <c r="Y3324" s="232"/>
    </row>
    <row r="3325" spans="21:25" x14ac:dyDescent="0.2">
      <c r="U3325" s="209" t="str">
        <f t="shared" si="54"/>
        <v>1w</v>
      </c>
      <c r="V3325" s="207">
        <f>_xll.qlCalendarAdvance(Calendar,V3324,U3325,"f",FALSE)</f>
        <v>62173</v>
      </c>
      <c r="W3325" s="210">
        <f>_xll.qlCalendarAdvance(Calendar,V3325,NDays&amp;"D")</f>
        <v>62173</v>
      </c>
      <c r="X3325" s="211">
        <v>2.434381402996344E-2</v>
      </c>
      <c r="Y3325" s="232"/>
    </row>
    <row r="3326" spans="21:25" x14ac:dyDescent="0.2">
      <c r="U3326" s="209" t="str">
        <f t="shared" si="54"/>
        <v>1w</v>
      </c>
      <c r="V3326" s="207">
        <f>_xll.qlCalendarAdvance(Calendar,V3325,U3326,"f",FALSE)</f>
        <v>62184</v>
      </c>
      <c r="W3326" s="210">
        <f>_xll.qlCalendarAdvance(Calendar,V3326,NDays&amp;"D")</f>
        <v>62184</v>
      </c>
      <c r="X3326" s="211">
        <v>2.4345604909727925E-2</v>
      </c>
      <c r="Y3326" s="232"/>
    </row>
    <row r="3327" spans="21:25" x14ac:dyDescent="0.2">
      <c r="U3327" s="209" t="str">
        <f t="shared" si="54"/>
        <v>1w</v>
      </c>
      <c r="V3327" s="207">
        <f>_xll.qlCalendarAdvance(Calendar,V3326,U3327,"f",FALSE)</f>
        <v>62191</v>
      </c>
      <c r="W3327" s="210">
        <f>_xll.qlCalendarAdvance(Calendar,V3327,NDays&amp;"D")</f>
        <v>62191</v>
      </c>
      <c r="X3327" s="211">
        <v>2.4347997292899493E-2</v>
      </c>
      <c r="Y3327" s="232"/>
    </row>
    <row r="3328" spans="21:25" x14ac:dyDescent="0.2">
      <c r="U3328" s="209" t="str">
        <f t="shared" si="54"/>
        <v>1w</v>
      </c>
      <c r="V3328" s="207">
        <f>_xll.qlCalendarAdvance(Calendar,V3327,U3328,"f",FALSE)</f>
        <v>62198</v>
      </c>
      <c r="W3328" s="210">
        <f>_xll.qlCalendarAdvance(Calendar,V3328,NDays&amp;"D")</f>
        <v>62198</v>
      </c>
      <c r="X3328" s="211">
        <v>2.4350378665518591E-2</v>
      </c>
      <c r="Y3328" s="232"/>
    </row>
    <row r="3329" spans="21:25" x14ac:dyDescent="0.2">
      <c r="U3329" s="209" t="str">
        <f t="shared" si="54"/>
        <v>1w</v>
      </c>
      <c r="V3329" s="207">
        <f>_xll.qlCalendarAdvance(Calendar,V3328,U3329,"f",FALSE)</f>
        <v>62205</v>
      </c>
      <c r="W3329" s="210">
        <f>_xll.qlCalendarAdvance(Calendar,V3329,NDays&amp;"D")</f>
        <v>62205</v>
      </c>
      <c r="X3329" s="211">
        <v>2.4352749028144771E-2</v>
      </c>
      <c r="Y3329" s="232"/>
    </row>
    <row r="3330" spans="21:25" x14ac:dyDescent="0.2">
      <c r="U3330" s="209" t="str">
        <f t="shared" si="54"/>
        <v>1w</v>
      </c>
      <c r="V3330" s="207">
        <f>_xll.qlCalendarAdvance(Calendar,V3329,U3330,"f",FALSE)</f>
        <v>62212</v>
      </c>
      <c r="W3330" s="210">
        <f>_xll.qlCalendarAdvance(Calendar,V3330,NDays&amp;"D")</f>
        <v>62212</v>
      </c>
      <c r="X3330" s="211">
        <v>2.4355108380298418E-2</v>
      </c>
      <c r="Y3330" s="232"/>
    </row>
    <row r="3331" spans="21:25" x14ac:dyDescent="0.2">
      <c r="U3331" s="209" t="str">
        <f t="shared" si="54"/>
        <v>1w</v>
      </c>
      <c r="V3331" s="207">
        <f>_xll.qlCalendarAdvance(Calendar,V3330,U3331,"f",FALSE)</f>
        <v>62219</v>
      </c>
      <c r="W3331" s="210">
        <f>_xll.qlCalendarAdvance(Calendar,V3331,NDays&amp;"D")</f>
        <v>62219</v>
      </c>
      <c r="X3331" s="211">
        <v>2.4357456722139403E-2</v>
      </c>
      <c r="Y3331" s="232"/>
    </row>
    <row r="3332" spans="21:25" x14ac:dyDescent="0.2">
      <c r="U3332" s="209" t="str">
        <f t="shared" si="54"/>
        <v>1w</v>
      </c>
      <c r="V3332" s="207">
        <f>_xll.qlCalendarAdvance(Calendar,V3331,U3332,"f",FALSE)</f>
        <v>62226</v>
      </c>
      <c r="W3332" s="210">
        <f>_xll.qlCalendarAdvance(Calendar,V3332,NDays&amp;"D")</f>
        <v>62226</v>
      </c>
      <c r="X3332" s="211">
        <v>2.4359794053827599E-2</v>
      </c>
      <c r="Y3332" s="232"/>
    </row>
    <row r="3333" spans="21:25" x14ac:dyDescent="0.2">
      <c r="U3333" s="209" t="str">
        <f t="shared" si="54"/>
        <v>1w</v>
      </c>
      <c r="V3333" s="207">
        <f>_xll.qlCalendarAdvance(Calendar,V3332,U3333,"f",FALSE)</f>
        <v>62233</v>
      </c>
      <c r="W3333" s="210">
        <f>_xll.qlCalendarAdvance(Calendar,V3333,NDays&amp;"D")</f>
        <v>62233</v>
      </c>
      <c r="X3333" s="211">
        <v>2.4362120375043261E-2</v>
      </c>
      <c r="Y3333" s="232"/>
    </row>
    <row r="3334" spans="21:25" x14ac:dyDescent="0.2">
      <c r="U3334" s="209" t="str">
        <f t="shared" si="54"/>
        <v>1w</v>
      </c>
      <c r="V3334" s="207">
        <f>_xll.qlCalendarAdvance(Calendar,V3333,U3334,"f",FALSE)</f>
        <v>62240</v>
      </c>
      <c r="W3334" s="210">
        <f>_xll.qlCalendarAdvance(Calendar,V3334,NDays&amp;"D")</f>
        <v>62240</v>
      </c>
      <c r="X3334" s="211">
        <v>2.4364435686106134E-2</v>
      </c>
      <c r="Y3334" s="232"/>
    </row>
    <row r="3335" spans="21:25" x14ac:dyDescent="0.2">
      <c r="U3335" s="209" t="str">
        <f t="shared" si="54"/>
        <v>1w</v>
      </c>
      <c r="V3335" s="207">
        <f>_xll.qlCalendarAdvance(Calendar,V3334,U3335,"f",FALSE)</f>
        <v>62247</v>
      </c>
      <c r="W3335" s="210">
        <f>_xll.qlCalendarAdvance(Calendar,V3335,NDays&amp;"D")</f>
        <v>62247</v>
      </c>
      <c r="X3335" s="211">
        <v>2.4366739986776409E-2</v>
      </c>
      <c r="Y3335" s="232"/>
    </row>
    <row r="3336" spans="21:25" x14ac:dyDescent="0.2">
      <c r="U3336" s="209" t="str">
        <f t="shared" si="54"/>
        <v>1w</v>
      </c>
      <c r="V3336" s="207">
        <f>_xll.qlCalendarAdvance(Calendar,V3335,U3336,"f",FALSE)</f>
        <v>62254</v>
      </c>
      <c r="W3336" s="210">
        <f>_xll.qlCalendarAdvance(Calendar,V3336,NDays&amp;"D")</f>
        <v>62254</v>
      </c>
      <c r="X3336" s="211">
        <v>2.4369033277293894E-2</v>
      </c>
      <c r="Y3336" s="232"/>
    </row>
    <row r="3337" spans="21:25" x14ac:dyDescent="0.2">
      <c r="U3337" s="209" t="str">
        <f t="shared" si="54"/>
        <v>1w</v>
      </c>
      <c r="V3337" s="207">
        <f>_xll.qlCalendarAdvance(Calendar,V3336,U3337,"f",FALSE)</f>
        <v>62261</v>
      </c>
      <c r="W3337" s="210">
        <f>_xll.qlCalendarAdvance(Calendar,V3337,NDays&amp;"D")</f>
        <v>62261</v>
      </c>
      <c r="X3337" s="211">
        <v>2.4371315557418782E-2</v>
      </c>
      <c r="Y3337" s="232"/>
    </row>
    <row r="3338" spans="21:25" x14ac:dyDescent="0.2">
      <c r="U3338" s="209" t="str">
        <f t="shared" si="54"/>
        <v>1w</v>
      </c>
      <c r="V3338" s="207">
        <f>_xll.qlCalendarAdvance(Calendar,V3337,U3338,"f",FALSE)</f>
        <v>62268</v>
      </c>
      <c r="W3338" s="210">
        <f>_xll.qlCalendarAdvance(Calendar,V3338,NDays&amp;"D")</f>
        <v>62268</v>
      </c>
      <c r="X3338" s="211">
        <v>2.4373586827231009E-2</v>
      </c>
      <c r="Y3338" s="232"/>
    </row>
    <row r="3339" spans="21:25" x14ac:dyDescent="0.2">
      <c r="U3339" s="209" t="str">
        <f t="shared" si="54"/>
        <v>1w</v>
      </c>
      <c r="V3339" s="207">
        <f>_xll.qlCalendarAdvance(Calendar,V3338,U3339,"f",FALSE)</f>
        <v>62275</v>
      </c>
      <c r="W3339" s="210">
        <f>_xll.qlCalendarAdvance(Calendar,V3339,NDays&amp;"D")</f>
        <v>62275</v>
      </c>
      <c r="X3339" s="211">
        <v>2.4375847086730573E-2</v>
      </c>
      <c r="Y3339" s="232"/>
    </row>
    <row r="3340" spans="21:25" x14ac:dyDescent="0.2">
      <c r="U3340" s="209" t="str">
        <f t="shared" si="54"/>
        <v>1w</v>
      </c>
      <c r="V3340" s="207">
        <f>_xll.qlCalendarAdvance(Calendar,V3339,U3340,"f",FALSE)</f>
        <v>62282</v>
      </c>
      <c r="W3340" s="210">
        <f>_xll.qlCalendarAdvance(Calendar,V3340,NDays&amp;"D")</f>
        <v>62282</v>
      </c>
      <c r="X3340" s="211">
        <v>2.4378096336077348E-2</v>
      </c>
      <c r="Y3340" s="232"/>
    </row>
    <row r="3341" spans="21:25" x14ac:dyDescent="0.2">
      <c r="U3341" s="209" t="str">
        <f t="shared" ref="U3341:U3404" si="55">U3340</f>
        <v>1w</v>
      </c>
      <c r="V3341" s="207">
        <f>_xll.qlCalendarAdvance(Calendar,V3340,U3341,"f",FALSE)</f>
        <v>62289</v>
      </c>
      <c r="W3341" s="210">
        <f>_xll.qlCalendarAdvance(Calendar,V3341,NDays&amp;"D")</f>
        <v>62289</v>
      </c>
      <c r="X3341" s="211">
        <v>2.438033457495159E-2</v>
      </c>
      <c r="Y3341" s="232"/>
    </row>
    <row r="3342" spans="21:25" x14ac:dyDescent="0.2">
      <c r="U3342" s="209" t="str">
        <f t="shared" si="55"/>
        <v>1w</v>
      </c>
      <c r="V3342" s="207">
        <f>_xll.qlCalendarAdvance(Calendar,V3341,U3342,"f",FALSE)</f>
        <v>62296</v>
      </c>
      <c r="W3342" s="210">
        <f>_xll.qlCalendarAdvance(Calendar,V3342,NDays&amp;"D")</f>
        <v>62296</v>
      </c>
      <c r="X3342" s="211">
        <v>2.438256180351317E-2</v>
      </c>
      <c r="Y3342" s="232"/>
    </row>
    <row r="3343" spans="21:25" x14ac:dyDescent="0.2">
      <c r="U3343" s="209" t="str">
        <f t="shared" si="55"/>
        <v>1w</v>
      </c>
      <c r="V3343" s="207">
        <f>_xll.qlCalendarAdvance(Calendar,V3342,U3343,"f",FALSE)</f>
        <v>62303</v>
      </c>
      <c r="W3343" s="210">
        <f>_xll.qlCalendarAdvance(Calendar,V3343,NDays&amp;"D")</f>
        <v>62303</v>
      </c>
      <c r="X3343" s="211">
        <v>2.438477802192196E-2</v>
      </c>
      <c r="Y3343" s="232"/>
    </row>
    <row r="3344" spans="21:25" x14ac:dyDescent="0.2">
      <c r="U3344" s="209" t="str">
        <f t="shared" si="55"/>
        <v>1w</v>
      </c>
      <c r="V3344" s="207">
        <f>_xll.qlCalendarAdvance(Calendar,V3343,U3344,"f",FALSE)</f>
        <v>62310</v>
      </c>
      <c r="W3344" s="210">
        <f>_xll.qlCalendarAdvance(Calendar,V3344,NDays&amp;"D")</f>
        <v>62310</v>
      </c>
      <c r="X3344" s="211">
        <v>2.4386983230018089E-2</v>
      </c>
      <c r="Y3344" s="232"/>
    </row>
    <row r="3345" spans="21:25" x14ac:dyDescent="0.2">
      <c r="U3345" s="209" t="str">
        <f t="shared" si="55"/>
        <v>1w</v>
      </c>
      <c r="V3345" s="207">
        <f>_xll.qlCalendarAdvance(Calendar,V3344,U3345,"f",FALSE)</f>
        <v>62317</v>
      </c>
      <c r="W3345" s="210">
        <f>_xll.qlCalendarAdvance(Calendar,V3345,NDays&amp;"D")</f>
        <v>62317</v>
      </c>
      <c r="X3345" s="211">
        <v>2.4389177427801556E-2</v>
      </c>
      <c r="Y3345" s="232"/>
    </row>
    <row r="3346" spans="21:25" x14ac:dyDescent="0.2">
      <c r="U3346" s="209" t="str">
        <f t="shared" si="55"/>
        <v>1w</v>
      </c>
      <c r="V3346" s="207">
        <f>_xll.qlCalendarAdvance(Calendar,V3345,U3346,"f",FALSE)</f>
        <v>62324</v>
      </c>
      <c r="W3346" s="210">
        <f>_xll.qlCalendarAdvance(Calendar,V3346,NDays&amp;"D")</f>
        <v>62324</v>
      </c>
      <c r="X3346" s="211">
        <v>2.4391360615192426E-2</v>
      </c>
      <c r="Y3346" s="232"/>
    </row>
    <row r="3347" spans="21:25" x14ac:dyDescent="0.2">
      <c r="U3347" s="209" t="str">
        <f t="shared" si="55"/>
        <v>1w</v>
      </c>
      <c r="V3347" s="207">
        <f>_xll.qlCalendarAdvance(Calendar,V3346,U3347,"f",FALSE)</f>
        <v>62331</v>
      </c>
      <c r="W3347" s="210">
        <f>_xll.qlCalendarAdvance(Calendar,V3347,NDays&amp;"D")</f>
        <v>62331</v>
      </c>
      <c r="X3347" s="211">
        <v>2.4393532792430506E-2</v>
      </c>
      <c r="Y3347" s="232"/>
    </row>
    <row r="3348" spans="21:25" x14ac:dyDescent="0.2">
      <c r="U3348" s="209" t="str">
        <f t="shared" si="55"/>
        <v>1w</v>
      </c>
      <c r="V3348" s="207">
        <f>_xll.qlCalendarAdvance(Calendar,V3347,U3348,"f",FALSE)</f>
        <v>62338</v>
      </c>
      <c r="W3348" s="210">
        <f>_xll.qlCalendarAdvance(Calendar,V3348,NDays&amp;"D")</f>
        <v>62338</v>
      </c>
      <c r="X3348" s="211">
        <v>2.4395693959275988E-2</v>
      </c>
      <c r="Y3348" s="232"/>
    </row>
    <row r="3349" spans="21:25" x14ac:dyDescent="0.2">
      <c r="U3349" s="209" t="str">
        <f t="shared" si="55"/>
        <v>1w</v>
      </c>
      <c r="V3349" s="207">
        <f>_xll.qlCalendarAdvance(Calendar,V3348,U3349,"f",FALSE)</f>
        <v>62345</v>
      </c>
      <c r="W3349" s="210">
        <f>_xll.qlCalendarAdvance(Calendar,V3349,NDays&amp;"D")</f>
        <v>62345</v>
      </c>
      <c r="X3349" s="211">
        <v>2.4397844115728873E-2</v>
      </c>
      <c r="Y3349" s="232"/>
    </row>
    <row r="3350" spans="21:25" x14ac:dyDescent="0.2">
      <c r="U3350" s="209" t="str">
        <f t="shared" si="55"/>
        <v>1w</v>
      </c>
      <c r="V3350" s="207">
        <f>_xll.qlCalendarAdvance(Calendar,V3349,U3350,"f",FALSE)</f>
        <v>62352</v>
      </c>
      <c r="W3350" s="210">
        <f>_xll.qlCalendarAdvance(Calendar,V3350,NDays&amp;"D")</f>
        <v>62352</v>
      </c>
      <c r="X3350" s="211">
        <v>2.4399983262028968E-2</v>
      </c>
      <c r="Y3350" s="232"/>
    </row>
    <row r="3351" spans="21:25" x14ac:dyDescent="0.2">
      <c r="U3351" s="209" t="str">
        <f t="shared" si="55"/>
        <v>1w</v>
      </c>
      <c r="V3351" s="207">
        <f>_xll.qlCalendarAdvance(Calendar,V3350,U3351,"f",FALSE)</f>
        <v>62359</v>
      </c>
      <c r="W3351" s="210">
        <f>_xll.qlCalendarAdvance(Calendar,V3351,NDays&amp;"D")</f>
        <v>62359</v>
      </c>
      <c r="X3351" s="211">
        <v>2.4402111398016402E-2</v>
      </c>
      <c r="Y3351" s="232"/>
    </row>
    <row r="3352" spans="21:25" x14ac:dyDescent="0.2">
      <c r="U3352" s="209" t="str">
        <f t="shared" si="55"/>
        <v>1w</v>
      </c>
      <c r="V3352" s="207">
        <f>_xll.qlCalendarAdvance(Calendar,V3351,U3352,"f",FALSE)</f>
        <v>62366</v>
      </c>
      <c r="W3352" s="210">
        <f>_xll.qlCalendarAdvance(Calendar,V3352,NDays&amp;"D")</f>
        <v>62366</v>
      </c>
      <c r="X3352" s="211">
        <v>2.4404228523691174E-2</v>
      </c>
      <c r="Y3352" s="232"/>
    </row>
    <row r="3353" spans="21:25" x14ac:dyDescent="0.2">
      <c r="U3353" s="209" t="str">
        <f t="shared" si="55"/>
        <v>1w</v>
      </c>
      <c r="V3353" s="207">
        <f>_xll.qlCalendarAdvance(Calendar,V3352,U3353,"f",FALSE)</f>
        <v>62373</v>
      </c>
      <c r="W3353" s="210">
        <f>_xll.qlCalendarAdvance(Calendar,V3353,NDays&amp;"D")</f>
        <v>62373</v>
      </c>
      <c r="X3353" s="211">
        <v>2.4406334639053284E-2</v>
      </c>
      <c r="Y3353" s="232"/>
    </row>
    <row r="3354" spans="21:25" x14ac:dyDescent="0.2">
      <c r="U3354" s="209" t="str">
        <f t="shared" si="55"/>
        <v>1w</v>
      </c>
      <c r="V3354" s="207">
        <f>_xll.qlCalendarAdvance(Calendar,V3353,U3354,"f",FALSE)</f>
        <v>62380</v>
      </c>
      <c r="W3354" s="210">
        <f>_xll.qlCalendarAdvance(Calendar,V3354,NDays&amp;"D")</f>
        <v>62380</v>
      </c>
      <c r="X3354" s="211">
        <v>2.4408429744022797E-2</v>
      </c>
      <c r="Y3354" s="232"/>
    </row>
    <row r="3355" spans="21:25" x14ac:dyDescent="0.2">
      <c r="U3355" s="209" t="str">
        <f t="shared" si="55"/>
        <v>1w</v>
      </c>
      <c r="V3355" s="207">
        <f>_xll.qlCalendarAdvance(Calendar,V3354,U3355,"f",FALSE)</f>
        <v>62387</v>
      </c>
      <c r="W3355" s="210">
        <f>_xll.qlCalendarAdvance(Calendar,V3355,NDays&amp;"D")</f>
        <v>62387</v>
      </c>
      <c r="X3355" s="211">
        <v>2.4410513838919456E-2</v>
      </c>
      <c r="Y3355" s="232"/>
    </row>
    <row r="3356" spans="21:25" x14ac:dyDescent="0.2">
      <c r="U3356" s="209" t="str">
        <f t="shared" si="55"/>
        <v>1w</v>
      </c>
      <c r="V3356" s="207">
        <f>_xll.qlCalendarAdvance(Calendar,V3355,U3356,"f",FALSE)</f>
        <v>62394</v>
      </c>
      <c r="W3356" s="210">
        <f>_xll.qlCalendarAdvance(Calendar,V3356,NDays&amp;"D")</f>
        <v>62394</v>
      </c>
      <c r="X3356" s="211">
        <v>2.4412586923343582E-2</v>
      </c>
      <c r="Y3356" s="232"/>
    </row>
    <row r="3357" spans="21:25" x14ac:dyDescent="0.2">
      <c r="U3357" s="209" t="str">
        <f t="shared" si="55"/>
        <v>1w</v>
      </c>
      <c r="V3357" s="207">
        <f>_xll.qlCalendarAdvance(Calendar,V3356,U3357,"f",FALSE)</f>
        <v>62401</v>
      </c>
      <c r="W3357" s="210">
        <f>_xll.qlCalendarAdvance(Calendar,V3357,NDays&amp;"D")</f>
        <v>62401</v>
      </c>
      <c r="X3357" s="211">
        <v>2.4414648997455046E-2</v>
      </c>
      <c r="Y3357" s="232"/>
    </row>
    <row r="3358" spans="21:25" x14ac:dyDescent="0.2">
      <c r="U3358" s="209" t="str">
        <f t="shared" si="55"/>
        <v>1w</v>
      </c>
      <c r="V3358" s="207">
        <f>_xll.qlCalendarAdvance(Calendar,V3357,U3358,"f",FALSE)</f>
        <v>62408</v>
      </c>
      <c r="W3358" s="210">
        <f>_xll.qlCalendarAdvance(Calendar,V3358,NDays&amp;"D")</f>
        <v>62408</v>
      </c>
      <c r="X3358" s="211">
        <v>2.4416700061333785E-2</v>
      </c>
      <c r="Y3358" s="232"/>
    </row>
    <row r="3359" spans="21:25" x14ac:dyDescent="0.2">
      <c r="U3359" s="209" t="str">
        <f t="shared" si="55"/>
        <v>1w</v>
      </c>
      <c r="V3359" s="207">
        <f>_xll.qlCalendarAdvance(Calendar,V3358,U3359,"f",FALSE)</f>
        <v>62415</v>
      </c>
      <c r="W3359" s="210">
        <f>_xll.qlCalendarAdvance(Calendar,V3359,NDays&amp;"D")</f>
        <v>62415</v>
      </c>
      <c r="X3359" s="211">
        <v>2.4418740114979798E-2</v>
      </c>
      <c r="Y3359" s="232"/>
    </row>
    <row r="3360" spans="21:25" x14ac:dyDescent="0.2">
      <c r="U3360" s="209" t="str">
        <f t="shared" si="55"/>
        <v>1w</v>
      </c>
      <c r="V3360" s="207">
        <f>_xll.qlCalendarAdvance(Calendar,V3359,U3360,"f",FALSE)</f>
        <v>62422</v>
      </c>
      <c r="W3360" s="210">
        <f>_xll.qlCalendarAdvance(Calendar,V3360,NDays&amp;"D")</f>
        <v>62422</v>
      </c>
      <c r="X3360" s="211">
        <v>2.4420769158153277E-2</v>
      </c>
      <c r="Y3360" s="232"/>
    </row>
    <row r="3361" spans="21:25" x14ac:dyDescent="0.2">
      <c r="U3361" s="209" t="str">
        <f t="shared" si="55"/>
        <v>1w</v>
      </c>
      <c r="V3361" s="207">
        <f>_xll.qlCalendarAdvance(Calendar,V3360,U3361,"f",FALSE)</f>
        <v>62429</v>
      </c>
      <c r="W3361" s="210">
        <f>_xll.qlCalendarAdvance(Calendar,V3361,NDays&amp;"D")</f>
        <v>62429</v>
      </c>
      <c r="X3361" s="211">
        <v>2.4422787191014095E-2</v>
      </c>
      <c r="Y3361" s="232"/>
    </row>
    <row r="3362" spans="21:25" x14ac:dyDescent="0.2">
      <c r="U3362" s="209" t="str">
        <f t="shared" si="55"/>
        <v>1w</v>
      </c>
      <c r="V3362" s="207">
        <f>_xll.qlCalendarAdvance(Calendar,V3361,U3362,"f",FALSE)</f>
        <v>62436</v>
      </c>
      <c r="W3362" s="210">
        <f>_xll.qlCalendarAdvance(Calendar,V3362,NDays&amp;"D")</f>
        <v>62436</v>
      </c>
      <c r="X3362" s="211">
        <v>2.4424794213722123E-2</v>
      </c>
      <c r="Y3362" s="232"/>
    </row>
    <row r="3363" spans="21:25" x14ac:dyDescent="0.2">
      <c r="U3363" s="209" t="str">
        <f t="shared" si="55"/>
        <v>1w</v>
      </c>
      <c r="V3363" s="207">
        <f>_xll.qlCalendarAdvance(Calendar,V3362,U3363,"f",FALSE)</f>
        <v>62443</v>
      </c>
      <c r="W3363" s="210">
        <f>_xll.qlCalendarAdvance(Calendar,V3363,NDays&amp;"D")</f>
        <v>62443</v>
      </c>
      <c r="X3363" s="211">
        <v>2.4426790226197426E-2</v>
      </c>
      <c r="Y3363" s="232"/>
    </row>
    <row r="3364" spans="21:25" x14ac:dyDescent="0.2">
      <c r="U3364" s="209" t="str">
        <f t="shared" si="55"/>
        <v>1w</v>
      </c>
      <c r="V3364" s="207">
        <f>_xll.qlCalendarAdvance(Calendar,V3363,U3364,"f",FALSE)</f>
        <v>62450</v>
      </c>
      <c r="W3364" s="210">
        <f>_xll.qlCalendarAdvance(Calendar,V3364,NDays&amp;"D")</f>
        <v>62450</v>
      </c>
      <c r="X3364" s="211">
        <v>2.4428775228120259E-2</v>
      </c>
      <c r="Y3364" s="232"/>
    </row>
    <row r="3365" spans="21:25" x14ac:dyDescent="0.2">
      <c r="U3365" s="209" t="str">
        <f t="shared" si="55"/>
        <v>1w</v>
      </c>
      <c r="V3365" s="207">
        <f>_xll.qlCalendarAdvance(Calendar,V3364,U3365,"f",FALSE)</f>
        <v>62457</v>
      </c>
      <c r="W3365" s="210">
        <f>_xll.qlCalendarAdvance(Calendar,V3365,NDays&amp;"D")</f>
        <v>62457</v>
      </c>
      <c r="X3365" s="211">
        <v>2.4430749219970238E-2</v>
      </c>
      <c r="Y3365" s="232"/>
    </row>
    <row r="3366" spans="21:25" x14ac:dyDescent="0.2">
      <c r="U3366" s="209" t="str">
        <f t="shared" si="55"/>
        <v>1w</v>
      </c>
      <c r="V3366" s="207">
        <f>_xll.qlCalendarAdvance(Calendar,V3365,U3366,"f",FALSE)</f>
        <v>62464</v>
      </c>
      <c r="W3366" s="210">
        <f>_xll.qlCalendarAdvance(Calendar,V3366,NDays&amp;"D")</f>
        <v>62464</v>
      </c>
      <c r="X3366" s="211">
        <v>2.443271220142762E-2</v>
      </c>
      <c r="Y3366" s="232"/>
    </row>
    <row r="3367" spans="21:25" x14ac:dyDescent="0.2">
      <c r="U3367" s="209" t="str">
        <f t="shared" si="55"/>
        <v>1w</v>
      </c>
      <c r="V3367" s="207">
        <f>_xll.qlCalendarAdvance(Calendar,V3366,U3367,"f",FALSE)</f>
        <v>62471</v>
      </c>
      <c r="W3367" s="210">
        <f>_xll.qlCalendarAdvance(Calendar,V3367,NDays&amp;"D")</f>
        <v>62471</v>
      </c>
      <c r="X3367" s="211">
        <v>2.4434664172652276E-2</v>
      </c>
      <c r="Y3367" s="232"/>
    </row>
    <row r="3368" spans="21:25" x14ac:dyDescent="0.2">
      <c r="U3368" s="209" t="str">
        <f t="shared" si="55"/>
        <v>1w</v>
      </c>
      <c r="V3368" s="207">
        <f>_xll.qlCalendarAdvance(Calendar,V3367,U3368,"f",FALSE)</f>
        <v>62478</v>
      </c>
      <c r="W3368" s="210">
        <f>_xll.qlCalendarAdvance(Calendar,V3368,NDays&amp;"D")</f>
        <v>62478</v>
      </c>
      <c r="X3368" s="211">
        <v>2.4436605133324463E-2</v>
      </c>
      <c r="Y3368" s="232"/>
    </row>
    <row r="3369" spans="21:25" x14ac:dyDescent="0.2">
      <c r="U3369" s="209" t="str">
        <f t="shared" si="55"/>
        <v>1w</v>
      </c>
      <c r="V3369" s="207">
        <f>_xll.qlCalendarAdvance(Calendar,V3368,U3369,"f",FALSE)</f>
        <v>62485</v>
      </c>
      <c r="W3369" s="210">
        <f>_xll.qlCalendarAdvance(Calendar,V3369,NDays&amp;"D")</f>
        <v>62485</v>
      </c>
      <c r="X3369" s="211">
        <v>2.4438535083923796E-2</v>
      </c>
      <c r="Y3369" s="232"/>
    </row>
    <row r="3370" spans="21:25" x14ac:dyDescent="0.2">
      <c r="U3370" s="209" t="str">
        <f t="shared" si="55"/>
        <v>1w</v>
      </c>
      <c r="V3370" s="207">
        <f>_xll.qlCalendarAdvance(Calendar,V3369,U3370,"f",FALSE)</f>
        <v>62492</v>
      </c>
      <c r="W3370" s="210">
        <f>_xll.qlCalendarAdvance(Calendar,V3370,NDays&amp;"D")</f>
        <v>62492</v>
      </c>
      <c r="X3370" s="211">
        <v>2.4440454024210467E-2</v>
      </c>
      <c r="Y3370" s="232"/>
    </row>
    <row r="3371" spans="21:25" x14ac:dyDescent="0.2">
      <c r="U3371" s="209" t="str">
        <f t="shared" si="55"/>
        <v>1w</v>
      </c>
      <c r="V3371" s="207">
        <f>_xll.qlCalendarAdvance(Calendar,V3370,U3371,"f",FALSE)</f>
        <v>62499</v>
      </c>
      <c r="W3371" s="210">
        <f>_xll.qlCalendarAdvance(Calendar,V3371,NDays&amp;"D")</f>
        <v>62499</v>
      </c>
      <c r="X3371" s="211">
        <v>2.4442361954104541E-2</v>
      </c>
      <c r="Y3371" s="232"/>
    </row>
    <row r="3372" spans="21:25" x14ac:dyDescent="0.2">
      <c r="U3372" s="209" t="str">
        <f t="shared" si="55"/>
        <v>1w</v>
      </c>
      <c r="V3372" s="207">
        <f>_xll.qlCalendarAdvance(Calendar,V3371,U3372,"f",FALSE)</f>
        <v>62506</v>
      </c>
      <c r="W3372" s="210">
        <f>_xll.qlCalendarAdvance(Calendar,V3372,NDays&amp;"D")</f>
        <v>62506</v>
      </c>
      <c r="X3372" s="211">
        <v>2.4444258873685953E-2</v>
      </c>
      <c r="Y3372" s="232"/>
    </row>
    <row r="3373" spans="21:25" x14ac:dyDescent="0.2">
      <c r="U3373" s="209" t="str">
        <f t="shared" si="55"/>
        <v>1w</v>
      </c>
      <c r="V3373" s="207">
        <f>_xll.qlCalendarAdvance(Calendar,V3372,U3373,"f",FALSE)</f>
        <v>62513</v>
      </c>
      <c r="W3373" s="210">
        <f>_xll.qlCalendarAdvance(Calendar,V3373,NDays&amp;"D")</f>
        <v>62513</v>
      </c>
      <c r="X3373" s="211">
        <v>2.4446144783114576E-2</v>
      </c>
      <c r="Y3373" s="232"/>
    </row>
    <row r="3374" spans="21:25" x14ac:dyDescent="0.2">
      <c r="U3374" s="209" t="str">
        <f t="shared" si="55"/>
        <v>1w</v>
      </c>
      <c r="V3374" s="207">
        <f>_xll.qlCalendarAdvance(Calendar,V3373,U3374,"f",FALSE)</f>
        <v>62520</v>
      </c>
      <c r="W3374" s="210">
        <f>_xll.qlCalendarAdvance(Calendar,V3374,NDays&amp;"D")</f>
        <v>62520</v>
      </c>
      <c r="X3374" s="211">
        <v>2.4448019682150601E-2</v>
      </c>
      <c r="Y3374" s="232"/>
    </row>
    <row r="3375" spans="21:25" x14ac:dyDescent="0.2">
      <c r="U3375" s="209" t="str">
        <f t="shared" si="55"/>
        <v>1w</v>
      </c>
      <c r="V3375" s="207">
        <f>_xll.qlCalendarAdvance(Calendar,V3374,U3375,"f",FALSE)</f>
        <v>62527</v>
      </c>
      <c r="W3375" s="210">
        <f>_xll.qlCalendarAdvance(Calendar,V3375,NDays&amp;"D")</f>
        <v>62527</v>
      </c>
      <c r="X3375" s="211">
        <v>2.4449883570794029E-2</v>
      </c>
      <c r="Y3375" s="232"/>
    </row>
    <row r="3376" spans="21:25" x14ac:dyDescent="0.2">
      <c r="U3376" s="209" t="str">
        <f t="shared" si="55"/>
        <v>1w</v>
      </c>
      <c r="V3376" s="207">
        <f>_xll.qlCalendarAdvance(Calendar,V3375,U3376,"f",FALSE)</f>
        <v>62534</v>
      </c>
      <c r="W3376" s="210">
        <f>_xll.qlCalendarAdvance(Calendar,V3376,NDays&amp;"D")</f>
        <v>62534</v>
      </c>
      <c r="X3376" s="211">
        <v>2.4451736449204731E-2</v>
      </c>
      <c r="Y3376" s="232"/>
    </row>
    <row r="3377" spans="21:25" x14ac:dyDescent="0.2">
      <c r="U3377" s="209" t="str">
        <f t="shared" si="55"/>
        <v>1w</v>
      </c>
      <c r="V3377" s="207">
        <f>_xll.qlCalendarAdvance(Calendar,V3376,U3377,"f",FALSE)</f>
        <v>62541</v>
      </c>
      <c r="W3377" s="210">
        <f>_xll.qlCalendarAdvance(Calendar,V3377,NDays&amp;"D")</f>
        <v>62541</v>
      </c>
      <c r="X3377" s="211">
        <v>2.4453578317382707E-2</v>
      </c>
      <c r="Y3377" s="232"/>
    </row>
    <row r="3378" spans="21:25" x14ac:dyDescent="0.2">
      <c r="U3378" s="209" t="str">
        <f t="shared" si="55"/>
        <v>1w</v>
      </c>
      <c r="V3378" s="207">
        <f>_xll.qlCalendarAdvance(Calendar,V3377,U3378,"f",FALSE)</f>
        <v>62548</v>
      </c>
      <c r="W3378" s="210">
        <f>_xll.qlCalendarAdvance(Calendar,V3378,NDays&amp;"D")</f>
        <v>62548</v>
      </c>
      <c r="X3378" s="211">
        <v>2.4455409175248022E-2</v>
      </c>
      <c r="Y3378" s="232"/>
    </row>
    <row r="3379" spans="21:25" x14ac:dyDescent="0.2">
      <c r="U3379" s="209" t="str">
        <f t="shared" si="55"/>
        <v>1w</v>
      </c>
      <c r="V3379" s="207">
        <f>_xll.qlCalendarAdvance(Calendar,V3378,U3379,"f",FALSE)</f>
        <v>62555</v>
      </c>
      <c r="W3379" s="210">
        <f>_xll.qlCalendarAdvance(Calendar,V3379,NDays&amp;"D")</f>
        <v>62555</v>
      </c>
      <c r="X3379" s="211">
        <v>2.4457229022560867E-2</v>
      </c>
      <c r="Y3379" s="232"/>
    </row>
    <row r="3380" spans="21:25" x14ac:dyDescent="0.2">
      <c r="U3380" s="209" t="str">
        <f t="shared" si="55"/>
        <v>1w</v>
      </c>
      <c r="V3380" s="207">
        <f>_xll.qlCalendarAdvance(Calendar,V3379,U3380,"f",FALSE)</f>
        <v>62562</v>
      </c>
      <c r="W3380" s="210">
        <f>_xll.qlCalendarAdvance(Calendar,V3380,NDays&amp;"D")</f>
        <v>62562</v>
      </c>
      <c r="X3380" s="211">
        <v>2.4459037859960731E-2</v>
      </c>
      <c r="Y3380" s="232"/>
    </row>
    <row r="3381" spans="21:25" x14ac:dyDescent="0.2">
      <c r="U3381" s="209" t="str">
        <f t="shared" si="55"/>
        <v>1w</v>
      </c>
      <c r="V3381" s="207">
        <f>_xll.qlCalendarAdvance(Calendar,V3380,U3381,"f",FALSE)</f>
        <v>62569</v>
      </c>
      <c r="W3381" s="210">
        <f>_xll.qlCalendarAdvance(Calendar,V3381,NDays&amp;"D")</f>
        <v>62569</v>
      </c>
      <c r="X3381" s="211">
        <v>2.4460835686888061E-2</v>
      </c>
      <c r="Y3381" s="232"/>
    </row>
    <row r="3382" spans="21:25" x14ac:dyDescent="0.2">
      <c r="U3382" s="209" t="str">
        <f t="shared" si="55"/>
        <v>1w</v>
      </c>
      <c r="V3382" s="207">
        <f>_xll.qlCalendarAdvance(Calendar,V3381,U3382,"f",FALSE)</f>
        <v>62576</v>
      </c>
      <c r="W3382" s="210">
        <f>_xll.qlCalendarAdvance(Calendar,V3382,NDays&amp;"D")</f>
        <v>62576</v>
      </c>
      <c r="X3382" s="211">
        <v>2.4462622503342857E-2</v>
      </c>
      <c r="Y3382" s="232"/>
    </row>
    <row r="3383" spans="21:25" x14ac:dyDescent="0.2">
      <c r="U3383" s="209" t="str">
        <f t="shared" si="55"/>
        <v>1w</v>
      </c>
      <c r="V3383" s="207">
        <f>_xll.qlCalendarAdvance(Calendar,V3382,U3383,"f",FALSE)</f>
        <v>62583</v>
      </c>
      <c r="W3383" s="210">
        <f>_xll.qlCalendarAdvance(Calendar,V3383,NDays&amp;"D")</f>
        <v>62583</v>
      </c>
      <c r="X3383" s="211">
        <v>2.4464398309804736E-2</v>
      </c>
      <c r="Y3383" s="232"/>
    </row>
    <row r="3384" spans="21:25" x14ac:dyDescent="0.2">
      <c r="U3384" s="209" t="str">
        <f t="shared" si="55"/>
        <v>1w</v>
      </c>
      <c r="V3384" s="207">
        <f>_xll.qlCalendarAdvance(Calendar,V3383,U3384,"f",FALSE)</f>
        <v>62590</v>
      </c>
      <c r="W3384" s="210">
        <f>_xll.qlCalendarAdvance(Calendar,V3384,NDays&amp;"D")</f>
        <v>62590</v>
      </c>
      <c r="X3384" s="211">
        <v>2.4466163105714145E-2</v>
      </c>
      <c r="Y3384" s="232"/>
    </row>
    <row r="3385" spans="21:25" x14ac:dyDescent="0.2">
      <c r="U3385" s="209" t="str">
        <f t="shared" si="55"/>
        <v>1w</v>
      </c>
      <c r="V3385" s="207">
        <f>_xll.qlCalendarAdvance(Calendar,V3384,U3385,"f",FALSE)</f>
        <v>62597</v>
      </c>
      <c r="W3385" s="210">
        <f>_xll.qlCalendarAdvance(Calendar,V3385,NDays&amp;"D")</f>
        <v>62597</v>
      </c>
      <c r="X3385" s="211">
        <v>2.4467916891310892E-2</v>
      </c>
      <c r="Y3385" s="232"/>
    </row>
    <row r="3386" spans="21:25" x14ac:dyDescent="0.2">
      <c r="U3386" s="209" t="str">
        <f t="shared" si="55"/>
        <v>1w</v>
      </c>
      <c r="V3386" s="207">
        <f>_xll.qlCalendarAdvance(Calendar,V3385,U3386,"f",FALSE)</f>
        <v>62604</v>
      </c>
      <c r="W3386" s="210">
        <f>_xll.qlCalendarAdvance(Calendar,V3386,NDays&amp;"D")</f>
        <v>62604</v>
      </c>
      <c r="X3386" s="211">
        <v>2.4469659666674914E-2</v>
      </c>
      <c r="Y3386" s="232"/>
    </row>
    <row r="3387" spans="21:25" x14ac:dyDescent="0.2">
      <c r="U3387" s="209" t="str">
        <f t="shared" si="55"/>
        <v>1w</v>
      </c>
      <c r="V3387" s="207">
        <f>_xll.qlCalendarAdvance(Calendar,V3386,U3387,"f",FALSE)</f>
        <v>62611</v>
      </c>
      <c r="W3387" s="210">
        <f>_xll.qlCalendarAdvance(Calendar,V3387,NDays&amp;"D")</f>
        <v>62611</v>
      </c>
      <c r="X3387" s="211">
        <v>2.4471391431806211E-2</v>
      </c>
      <c r="Y3387" s="232"/>
    </row>
    <row r="3388" spans="21:25" x14ac:dyDescent="0.2">
      <c r="U3388" s="209" t="str">
        <f t="shared" si="55"/>
        <v>1w</v>
      </c>
      <c r="V3388" s="207">
        <f>_xll.qlCalendarAdvance(Calendar,V3387,U3388,"f",FALSE)</f>
        <v>62618</v>
      </c>
      <c r="W3388" s="210">
        <f>_xll.qlCalendarAdvance(Calendar,V3388,NDays&amp;"D")</f>
        <v>62618</v>
      </c>
      <c r="X3388" s="211">
        <v>2.4473112186624846E-2</v>
      </c>
      <c r="Y3388" s="232"/>
    </row>
    <row r="3389" spans="21:25" x14ac:dyDescent="0.2">
      <c r="U3389" s="209" t="str">
        <f t="shared" si="55"/>
        <v>1w</v>
      </c>
      <c r="V3389" s="207">
        <f>_xll.qlCalendarAdvance(Calendar,V3388,U3389,"f",FALSE)</f>
        <v>62625</v>
      </c>
      <c r="W3389" s="210">
        <f>_xll.qlCalendarAdvance(Calendar,V3389,NDays&amp;"D")</f>
        <v>62625</v>
      </c>
      <c r="X3389" s="211">
        <v>2.4474821931050883E-2</v>
      </c>
      <c r="Y3389" s="232"/>
    </row>
    <row r="3390" spans="21:25" x14ac:dyDescent="0.2">
      <c r="U3390" s="209" t="str">
        <f t="shared" si="55"/>
        <v>1w</v>
      </c>
      <c r="V3390" s="207">
        <f>_xll.qlCalendarAdvance(Calendar,V3389,U3390,"f",FALSE)</f>
        <v>62632</v>
      </c>
      <c r="W3390" s="210">
        <f>_xll.qlCalendarAdvance(Calendar,V3390,NDays&amp;"D")</f>
        <v>62632</v>
      </c>
      <c r="X3390" s="211">
        <v>2.4476520665244195E-2</v>
      </c>
      <c r="Y3390" s="232"/>
    </row>
    <row r="3391" spans="21:25" x14ac:dyDescent="0.2">
      <c r="U3391" s="209" t="str">
        <f t="shared" si="55"/>
        <v>1w</v>
      </c>
      <c r="V3391" s="207">
        <f>_xll.qlCalendarAdvance(Calendar,V3390,U3391,"f",FALSE)</f>
        <v>62639</v>
      </c>
      <c r="W3391" s="210">
        <f>_xll.qlCalendarAdvance(Calendar,V3391,NDays&amp;"D")</f>
        <v>62639</v>
      </c>
      <c r="X3391" s="211">
        <v>2.4478208389044909E-2</v>
      </c>
      <c r="Y3391" s="232"/>
    </row>
    <row r="3392" spans="21:25" x14ac:dyDescent="0.2">
      <c r="U3392" s="209" t="str">
        <f t="shared" si="55"/>
        <v>1w</v>
      </c>
      <c r="V3392" s="207">
        <f>_xll.qlCalendarAdvance(Calendar,V3391,U3392,"f",FALSE)</f>
        <v>62646</v>
      </c>
      <c r="W3392" s="210">
        <f>_xll.qlCalendarAdvance(Calendar,V3392,NDays&amp;"D")</f>
        <v>62646</v>
      </c>
      <c r="X3392" s="211">
        <v>2.4479885102612897E-2</v>
      </c>
      <c r="Y3392" s="232"/>
    </row>
    <row r="3393" spans="21:25" x14ac:dyDescent="0.2">
      <c r="U3393" s="209" t="str">
        <f t="shared" si="55"/>
        <v>1w</v>
      </c>
      <c r="V3393" s="207">
        <f>_xll.qlCalendarAdvance(Calendar,V3392,U3393,"f",FALSE)</f>
        <v>62653</v>
      </c>
      <c r="W3393" s="210">
        <f>_xll.qlCalendarAdvance(Calendar,V3393,NDays&amp;"D")</f>
        <v>62653</v>
      </c>
      <c r="X3393" s="211">
        <v>2.4481550805788288E-2</v>
      </c>
      <c r="Y3393" s="232"/>
    </row>
    <row r="3394" spans="21:25" x14ac:dyDescent="0.2">
      <c r="U3394" s="209" t="str">
        <f t="shared" si="55"/>
        <v>1w</v>
      </c>
      <c r="V3394" s="207">
        <f>_xll.qlCalendarAdvance(Calendar,V3393,U3394,"f",FALSE)</f>
        <v>62660</v>
      </c>
      <c r="W3394" s="210">
        <f>_xll.qlCalendarAdvance(Calendar,V3394,NDays&amp;"D")</f>
        <v>62660</v>
      </c>
      <c r="X3394" s="211">
        <v>2.4483205498810889E-2</v>
      </c>
      <c r="Y3394" s="232"/>
    </row>
    <row r="3395" spans="21:25" x14ac:dyDescent="0.2">
      <c r="U3395" s="209" t="str">
        <f t="shared" si="55"/>
        <v>1w</v>
      </c>
      <c r="V3395" s="207">
        <f>_xll.qlCalendarAdvance(Calendar,V3394,U3395,"f",FALSE)</f>
        <v>62667</v>
      </c>
      <c r="W3395" s="210">
        <f>_xll.qlCalendarAdvance(Calendar,V3395,NDays&amp;"D")</f>
        <v>62667</v>
      </c>
      <c r="X3395" s="211">
        <v>2.4484849181360957E-2</v>
      </c>
      <c r="Y3395" s="232"/>
    </row>
    <row r="3396" spans="21:25" x14ac:dyDescent="0.2">
      <c r="U3396" s="209" t="str">
        <f t="shared" si="55"/>
        <v>1w</v>
      </c>
      <c r="V3396" s="207">
        <f>_xll.qlCalendarAdvance(Calendar,V3395,U3396,"f",FALSE)</f>
        <v>62674</v>
      </c>
      <c r="W3396" s="210">
        <f>_xll.qlCalendarAdvance(Calendar,V3396,NDays&amp;"D")</f>
        <v>62674</v>
      </c>
      <c r="X3396" s="211">
        <v>2.4486481853838171E-2</v>
      </c>
      <c r="Y3396" s="232"/>
    </row>
    <row r="3397" spans="21:25" x14ac:dyDescent="0.2">
      <c r="U3397" s="209" t="str">
        <f t="shared" si="55"/>
        <v>1w</v>
      </c>
      <c r="V3397" s="207">
        <f>_xll.qlCalendarAdvance(Calendar,V3396,U3397,"f",FALSE)</f>
        <v>62681</v>
      </c>
      <c r="W3397" s="210">
        <f>_xll.qlCalendarAdvance(Calendar,V3397,NDays&amp;"D")</f>
        <v>62681</v>
      </c>
      <c r="X3397" s="211">
        <v>2.4488103515842852E-2</v>
      </c>
      <c r="Y3397" s="232"/>
    </row>
    <row r="3398" spans="21:25" x14ac:dyDescent="0.2">
      <c r="U3398" s="209" t="str">
        <f t="shared" si="55"/>
        <v>1w</v>
      </c>
      <c r="V3398" s="207">
        <f>_xll.qlCalendarAdvance(Calendar,V3397,U3398,"f",FALSE)</f>
        <v>62688</v>
      </c>
      <c r="W3398" s="210">
        <f>_xll.qlCalendarAdvance(Calendar,V3398,NDays&amp;"D")</f>
        <v>62688</v>
      </c>
      <c r="X3398" s="211">
        <v>2.4489714167454935E-2</v>
      </c>
      <c r="Y3398" s="232"/>
    </row>
    <row r="3399" spans="21:25" x14ac:dyDescent="0.2">
      <c r="U3399" s="209" t="str">
        <f t="shared" si="55"/>
        <v>1w</v>
      </c>
      <c r="V3399" s="207">
        <f>_xll.qlCalendarAdvance(Calendar,V3398,U3399,"f",FALSE)</f>
        <v>62695</v>
      </c>
      <c r="W3399" s="210">
        <f>_xll.qlCalendarAdvance(Calendar,V3399,NDays&amp;"D")</f>
        <v>62695</v>
      </c>
      <c r="X3399" s="211">
        <v>2.4491313808834292E-2</v>
      </c>
      <c r="Y3399" s="232"/>
    </row>
    <row r="3400" spans="21:25" x14ac:dyDescent="0.2">
      <c r="U3400" s="209" t="str">
        <f t="shared" si="55"/>
        <v>1w</v>
      </c>
      <c r="V3400" s="207">
        <f>_xll.qlCalendarAdvance(Calendar,V3399,U3400,"f",FALSE)</f>
        <v>62702</v>
      </c>
      <c r="W3400" s="210">
        <f>_xll.qlCalendarAdvance(Calendar,V3400,NDays&amp;"D")</f>
        <v>62702</v>
      </c>
      <c r="X3400" s="211">
        <v>2.4492902439900988E-2</v>
      </c>
      <c r="Y3400" s="232"/>
    </row>
    <row r="3401" spans="21:25" x14ac:dyDescent="0.2">
      <c r="U3401" s="209" t="str">
        <f t="shared" si="55"/>
        <v>1w</v>
      </c>
      <c r="V3401" s="207">
        <f>_xll.qlCalendarAdvance(Calendar,V3400,U3401,"f",FALSE)</f>
        <v>62709</v>
      </c>
      <c r="W3401" s="210">
        <f>_xll.qlCalendarAdvance(Calendar,V3401,NDays&amp;"D")</f>
        <v>62709</v>
      </c>
      <c r="X3401" s="211">
        <v>2.4494480060734958E-2</v>
      </c>
      <c r="Y3401" s="232"/>
    </row>
    <row r="3402" spans="21:25" x14ac:dyDescent="0.2">
      <c r="U3402" s="209" t="str">
        <f t="shared" si="55"/>
        <v>1w</v>
      </c>
      <c r="V3402" s="207">
        <f>_xll.qlCalendarAdvance(Calendar,V3401,U3402,"f",FALSE)</f>
        <v>62716</v>
      </c>
      <c r="W3402" s="210">
        <f>_xll.qlCalendarAdvance(Calendar,V3402,NDays&amp;"D")</f>
        <v>62716</v>
      </c>
      <c r="X3402" s="211">
        <v>2.4496046671256266E-2</v>
      </c>
      <c r="Y3402" s="232"/>
    </row>
    <row r="3403" spans="21:25" x14ac:dyDescent="0.2">
      <c r="U3403" s="209" t="str">
        <f t="shared" si="55"/>
        <v>1w</v>
      </c>
      <c r="V3403" s="207">
        <f>_xll.qlCalendarAdvance(Calendar,V3402,U3403,"f",FALSE)</f>
        <v>62723</v>
      </c>
      <c r="W3403" s="210">
        <f>_xll.qlCalendarAdvance(Calendar,V3403,NDays&amp;"D")</f>
        <v>62723</v>
      </c>
      <c r="X3403" s="211">
        <v>2.4497602271384977E-2</v>
      </c>
      <c r="Y3403" s="232"/>
    </row>
    <row r="3404" spans="21:25" x14ac:dyDescent="0.2">
      <c r="U3404" s="209" t="str">
        <f t="shared" si="55"/>
        <v>1w</v>
      </c>
      <c r="V3404" s="207">
        <f>_xll.qlCalendarAdvance(Calendar,V3403,U3404,"f",FALSE)</f>
        <v>62730</v>
      </c>
      <c r="W3404" s="210">
        <f>_xll.qlCalendarAdvance(Calendar,V3404,NDays&amp;"D")</f>
        <v>62730</v>
      </c>
      <c r="X3404" s="211">
        <v>2.4499146861201027E-2</v>
      </c>
      <c r="Y3404" s="232"/>
    </row>
    <row r="3405" spans="21:25" x14ac:dyDescent="0.2">
      <c r="U3405" s="209" t="str">
        <f t="shared" ref="U3405:U3468" si="56">U3404</f>
        <v>1w</v>
      </c>
      <c r="V3405" s="207">
        <f>_xll.qlCalendarAdvance(Calendar,V3404,U3405,"f",FALSE)</f>
        <v>62737</v>
      </c>
      <c r="W3405" s="210">
        <f>_xll.qlCalendarAdvance(Calendar,V3405,NDays&amp;"D")</f>
        <v>62737</v>
      </c>
      <c r="X3405" s="211">
        <v>2.450068044078435E-2</v>
      </c>
      <c r="Y3405" s="232"/>
    </row>
    <row r="3406" spans="21:25" x14ac:dyDescent="0.2">
      <c r="U3406" s="209" t="str">
        <f t="shared" si="56"/>
        <v>1w</v>
      </c>
      <c r="V3406" s="207">
        <f>_xll.qlCalendarAdvance(Calendar,V3405,U3406,"f",FALSE)</f>
        <v>62744</v>
      </c>
      <c r="W3406" s="210">
        <f>_xll.qlCalendarAdvance(Calendar,V3406,NDays&amp;"D")</f>
        <v>62744</v>
      </c>
      <c r="X3406" s="211">
        <v>2.4502203010055013E-2</v>
      </c>
      <c r="Y3406" s="232"/>
    </row>
    <row r="3407" spans="21:25" x14ac:dyDescent="0.2">
      <c r="U3407" s="209" t="str">
        <f t="shared" si="56"/>
        <v>1w</v>
      </c>
      <c r="V3407" s="207">
        <f>_xll.qlCalendarAdvance(Calendar,V3406,U3407,"f",FALSE)</f>
        <v>62751</v>
      </c>
      <c r="W3407" s="210">
        <f>_xll.qlCalendarAdvance(Calendar,V3407,NDays&amp;"D")</f>
        <v>62751</v>
      </c>
      <c r="X3407" s="211">
        <v>2.4503714569013013E-2</v>
      </c>
      <c r="Y3407" s="232"/>
    </row>
    <row r="3408" spans="21:25" x14ac:dyDescent="0.2">
      <c r="U3408" s="209" t="str">
        <f t="shared" si="56"/>
        <v>1w</v>
      </c>
      <c r="V3408" s="207">
        <f>_xll.qlCalendarAdvance(Calendar,V3407,U3408,"f",FALSE)</f>
        <v>62758</v>
      </c>
      <c r="W3408" s="210">
        <f>_xll.qlCalendarAdvance(Calendar,V3408,NDays&amp;"D")</f>
        <v>62758</v>
      </c>
      <c r="X3408" s="211">
        <v>2.450521511749848E-2</v>
      </c>
      <c r="Y3408" s="232"/>
    </row>
    <row r="3409" spans="21:25" x14ac:dyDescent="0.2">
      <c r="U3409" s="209" t="str">
        <f t="shared" si="56"/>
        <v>1w</v>
      </c>
      <c r="V3409" s="207">
        <f>_xll.qlCalendarAdvance(Calendar,V3408,U3409,"f",FALSE)</f>
        <v>62765</v>
      </c>
      <c r="W3409" s="210">
        <f>_xll.qlCalendarAdvance(Calendar,V3409,NDays&amp;"D")</f>
        <v>62765</v>
      </c>
      <c r="X3409" s="211">
        <v>2.4506704655911093E-2</v>
      </c>
      <c r="Y3409" s="232"/>
    </row>
    <row r="3410" spans="21:25" x14ac:dyDescent="0.2">
      <c r="U3410" s="209" t="str">
        <f t="shared" si="56"/>
        <v>1w</v>
      </c>
      <c r="V3410" s="207">
        <f>_xll.qlCalendarAdvance(Calendar,V3409,U3410,"f",FALSE)</f>
        <v>62772</v>
      </c>
      <c r="W3410" s="210">
        <f>_xll.qlCalendarAdvance(Calendar,V3410,NDays&amp;"D")</f>
        <v>62772</v>
      </c>
      <c r="X3410" s="211">
        <v>2.4508183184011045E-2</v>
      </c>
      <c r="Y3410" s="232"/>
    </row>
    <row r="3411" spans="21:25" x14ac:dyDescent="0.2">
      <c r="U3411" s="209" t="str">
        <f t="shared" si="56"/>
        <v>1w</v>
      </c>
      <c r="V3411" s="207">
        <f>_xll.qlCalendarAdvance(Calendar,V3410,U3411,"f",FALSE)</f>
        <v>62779</v>
      </c>
      <c r="W3411" s="210">
        <f>_xll.qlCalendarAdvance(Calendar,V3411,NDays&amp;"D")</f>
        <v>62779</v>
      </c>
      <c r="X3411" s="211">
        <v>2.4509650701558527E-2</v>
      </c>
      <c r="Y3411" s="232"/>
    </row>
    <row r="3412" spans="21:25" x14ac:dyDescent="0.2">
      <c r="U3412" s="209" t="str">
        <f t="shared" si="56"/>
        <v>1w</v>
      </c>
      <c r="V3412" s="207">
        <f>_xll.qlCalendarAdvance(Calendar,V3411,U3412,"f",FALSE)</f>
        <v>62786</v>
      </c>
      <c r="W3412" s="210">
        <f>_xll.qlCalendarAdvance(Calendar,V3412,NDays&amp;"D")</f>
        <v>62786</v>
      </c>
      <c r="X3412" s="211">
        <v>2.4511107209033156E-2</v>
      </c>
      <c r="Y3412" s="232"/>
    </row>
    <row r="3413" spans="21:25" x14ac:dyDescent="0.2">
      <c r="U3413" s="209" t="str">
        <f t="shared" si="56"/>
        <v>1w</v>
      </c>
      <c r="V3413" s="207">
        <f>_xll.qlCalendarAdvance(Calendar,V3412,U3413,"f",FALSE)</f>
        <v>62793</v>
      </c>
      <c r="W3413" s="210">
        <f>_xll.qlCalendarAdvance(Calendar,V3413,NDays&amp;"D")</f>
        <v>62793</v>
      </c>
      <c r="X3413" s="211">
        <v>2.4512552706115187E-2</v>
      </c>
      <c r="Y3413" s="232"/>
    </row>
    <row r="3414" spans="21:25" x14ac:dyDescent="0.2">
      <c r="U3414" s="209" t="str">
        <f t="shared" si="56"/>
        <v>1w</v>
      </c>
      <c r="V3414" s="207">
        <f>_xll.qlCalendarAdvance(Calendar,V3413,U3414,"f",FALSE)</f>
        <v>62800</v>
      </c>
      <c r="W3414" s="210">
        <f>_xll.qlCalendarAdvance(Calendar,V3414,NDays&amp;"D")</f>
        <v>62800</v>
      </c>
      <c r="X3414" s="211">
        <v>2.4513987192884557E-2</v>
      </c>
      <c r="Y3414" s="232"/>
    </row>
    <row r="3415" spans="21:25" x14ac:dyDescent="0.2">
      <c r="U3415" s="209" t="str">
        <f t="shared" si="56"/>
        <v>1w</v>
      </c>
      <c r="V3415" s="207">
        <f>_xll.qlCalendarAdvance(Calendar,V3414,U3415,"f",FALSE)</f>
        <v>62807</v>
      </c>
      <c r="W3415" s="210">
        <f>_xll.qlCalendarAdvance(Calendar,V3415,NDays&amp;"D")</f>
        <v>62807</v>
      </c>
      <c r="X3415" s="211">
        <v>2.4515410669341264E-2</v>
      </c>
      <c r="Y3415" s="232"/>
    </row>
    <row r="3416" spans="21:25" x14ac:dyDescent="0.2">
      <c r="U3416" s="209" t="str">
        <f t="shared" si="56"/>
        <v>1w</v>
      </c>
      <c r="V3416" s="207">
        <f>_xll.qlCalendarAdvance(Calendar,V3415,U3416,"f",FALSE)</f>
        <v>62814</v>
      </c>
      <c r="W3416" s="210">
        <f>_xll.qlCalendarAdvance(Calendar,V3416,NDays&amp;"D")</f>
        <v>62814</v>
      </c>
      <c r="X3416" s="211">
        <v>2.4516823135565247E-2</v>
      </c>
      <c r="Y3416" s="232"/>
    </row>
    <row r="3417" spans="21:25" x14ac:dyDescent="0.2">
      <c r="U3417" s="209" t="str">
        <f t="shared" si="56"/>
        <v>1w</v>
      </c>
      <c r="V3417" s="207">
        <f>_xll.qlCalendarAdvance(Calendar,V3416,U3417,"f",FALSE)</f>
        <v>62821</v>
      </c>
      <c r="W3417" s="210">
        <f>_xll.qlCalendarAdvance(Calendar,V3417,NDays&amp;"D")</f>
        <v>62821</v>
      </c>
      <c r="X3417" s="211">
        <v>2.4518224591396631E-2</v>
      </c>
      <c r="Y3417" s="232"/>
    </row>
    <row r="3418" spans="21:25" x14ac:dyDescent="0.2">
      <c r="U3418" s="209" t="str">
        <f t="shared" si="56"/>
        <v>1w</v>
      </c>
      <c r="V3418" s="207">
        <f>_xll.qlCalendarAdvance(Calendar,V3417,U3418,"f",FALSE)</f>
        <v>62828</v>
      </c>
      <c r="W3418" s="210">
        <f>_xll.qlCalendarAdvance(Calendar,V3418,NDays&amp;"D")</f>
        <v>62828</v>
      </c>
      <c r="X3418" s="211">
        <v>2.4519615036835418E-2</v>
      </c>
      <c r="Y3418" s="232"/>
    </row>
    <row r="3419" spans="21:25" x14ac:dyDescent="0.2">
      <c r="U3419" s="209" t="str">
        <f t="shared" si="56"/>
        <v>1w</v>
      </c>
      <c r="V3419" s="207">
        <f>_xll.qlCalendarAdvance(Calendar,V3418,U3419,"f",FALSE)</f>
        <v>62835</v>
      </c>
      <c r="W3419" s="210">
        <f>_xll.qlCalendarAdvance(Calendar,V3419,NDays&amp;"D")</f>
        <v>62835</v>
      </c>
      <c r="X3419" s="211">
        <v>2.452099447204148E-2</v>
      </c>
      <c r="Y3419" s="232"/>
    </row>
    <row r="3420" spans="21:25" x14ac:dyDescent="0.2">
      <c r="U3420" s="209" t="str">
        <f t="shared" si="56"/>
        <v>1w</v>
      </c>
      <c r="V3420" s="207">
        <f>_xll.qlCalendarAdvance(Calendar,V3419,U3420,"f",FALSE)</f>
        <v>62842</v>
      </c>
      <c r="W3420" s="210">
        <f>_xll.qlCalendarAdvance(Calendar,V3420,NDays&amp;"D")</f>
        <v>62842</v>
      </c>
      <c r="X3420" s="211">
        <v>2.4522362897014816E-2</v>
      </c>
      <c r="Y3420" s="232"/>
    </row>
    <row r="3421" spans="21:25" x14ac:dyDescent="0.2">
      <c r="U3421" s="209" t="str">
        <f t="shared" si="56"/>
        <v>1w</v>
      </c>
      <c r="V3421" s="207">
        <f>_xll.qlCalendarAdvance(Calendar,V3420,U3421,"f",FALSE)</f>
        <v>62849</v>
      </c>
      <c r="W3421" s="210">
        <f>_xll.qlCalendarAdvance(Calendar,V3421,NDays&amp;"D")</f>
        <v>62849</v>
      </c>
      <c r="X3421" s="211">
        <v>2.4523720311595554E-2</v>
      </c>
      <c r="Y3421" s="232"/>
    </row>
    <row r="3422" spans="21:25" x14ac:dyDescent="0.2">
      <c r="U3422" s="209" t="str">
        <f t="shared" si="56"/>
        <v>1w</v>
      </c>
      <c r="V3422" s="207">
        <f>_xll.qlCalendarAdvance(Calendar,V3421,U3422,"f",FALSE)</f>
        <v>62856</v>
      </c>
      <c r="W3422" s="210">
        <f>_xll.qlCalendarAdvance(Calendar,V3422,NDays&amp;"D")</f>
        <v>62856</v>
      </c>
      <c r="X3422" s="211">
        <v>2.4525066715943566E-2</v>
      </c>
      <c r="Y3422" s="232"/>
    </row>
    <row r="3423" spans="21:25" x14ac:dyDescent="0.2">
      <c r="U3423" s="209" t="str">
        <f t="shared" si="56"/>
        <v>1w</v>
      </c>
      <c r="V3423" s="207">
        <f>_xll.qlCalendarAdvance(Calendar,V3422,U3423,"f",FALSE)</f>
        <v>62863</v>
      </c>
      <c r="W3423" s="210">
        <f>_xll.qlCalendarAdvance(Calendar,V3423,NDays&amp;"D")</f>
        <v>62863</v>
      </c>
      <c r="X3423" s="211">
        <v>2.4526402109978918E-2</v>
      </c>
      <c r="Y3423" s="232"/>
    </row>
    <row r="3424" spans="21:25" x14ac:dyDescent="0.2">
      <c r="U3424" s="209" t="str">
        <f t="shared" si="56"/>
        <v>1w</v>
      </c>
      <c r="V3424" s="207">
        <f>_xll.qlCalendarAdvance(Calendar,V3423,U3424,"f",FALSE)</f>
        <v>62870</v>
      </c>
      <c r="W3424" s="210">
        <f>_xll.qlCalendarAdvance(Calendar,V3424,NDays&amp;"D")</f>
        <v>62870</v>
      </c>
      <c r="X3424" s="211">
        <v>2.4527726493541735E-2</v>
      </c>
      <c r="Y3424" s="232"/>
    </row>
    <row r="3425" spans="21:25" x14ac:dyDescent="0.2">
      <c r="U3425" s="209" t="str">
        <f t="shared" si="56"/>
        <v>1w</v>
      </c>
      <c r="V3425" s="207">
        <f>_xll.qlCalendarAdvance(Calendar,V3424,U3425,"f",FALSE)</f>
        <v>62877</v>
      </c>
      <c r="W3425" s="210">
        <f>_xll.qlCalendarAdvance(Calendar,V3425,NDays&amp;"D")</f>
        <v>62877</v>
      </c>
      <c r="X3425" s="211">
        <v>2.4529039866871827E-2</v>
      </c>
      <c r="Y3425" s="232"/>
    </row>
    <row r="3426" spans="21:25" x14ac:dyDescent="0.2">
      <c r="U3426" s="209" t="str">
        <f t="shared" si="56"/>
        <v>1w</v>
      </c>
      <c r="V3426" s="207">
        <f>_xll.qlCalendarAdvance(Calendar,V3425,U3426,"f",FALSE)</f>
        <v>62884</v>
      </c>
      <c r="W3426" s="210">
        <f>_xll.qlCalendarAdvance(Calendar,V3426,NDays&amp;"D")</f>
        <v>62884</v>
      </c>
      <c r="X3426" s="211">
        <v>2.4530342229969193E-2</v>
      </c>
      <c r="Y3426" s="232"/>
    </row>
    <row r="3427" spans="21:25" x14ac:dyDescent="0.2">
      <c r="U3427" s="209" t="str">
        <f t="shared" si="56"/>
        <v>1w</v>
      </c>
      <c r="V3427" s="207">
        <f>_xll.qlCalendarAdvance(Calendar,V3426,U3427,"f",FALSE)</f>
        <v>62891</v>
      </c>
      <c r="W3427" s="210">
        <f>_xll.qlCalendarAdvance(Calendar,V3427,NDays&amp;"D")</f>
        <v>62891</v>
      </c>
      <c r="X3427" s="211">
        <v>2.4531633582753898E-2</v>
      </c>
      <c r="Y3427" s="232"/>
    </row>
    <row r="3428" spans="21:25" x14ac:dyDescent="0.2">
      <c r="U3428" s="209" t="str">
        <f t="shared" si="56"/>
        <v>1w</v>
      </c>
      <c r="V3428" s="207">
        <f>_xll.qlCalendarAdvance(Calendar,V3427,U3428,"f",FALSE)</f>
        <v>62898</v>
      </c>
      <c r="W3428" s="210">
        <f>_xll.qlCalendarAdvance(Calendar,V3428,NDays&amp;"D")</f>
        <v>62898</v>
      </c>
      <c r="X3428" s="211">
        <v>2.4532913925066069E-2</v>
      </c>
      <c r="Y3428" s="232"/>
    </row>
    <row r="3429" spans="21:25" x14ac:dyDescent="0.2">
      <c r="U3429" s="209" t="str">
        <f t="shared" si="56"/>
        <v>1w</v>
      </c>
      <c r="V3429" s="207">
        <f>_xll.qlCalendarAdvance(Calendar,V3428,U3429,"f",FALSE)</f>
        <v>62905</v>
      </c>
      <c r="W3429" s="210">
        <f>_xll.qlCalendarAdvance(Calendar,V3429,NDays&amp;"D")</f>
        <v>62905</v>
      </c>
      <c r="X3429" s="211">
        <v>2.453418325722545E-2</v>
      </c>
      <c r="Y3429" s="232"/>
    </row>
    <row r="3430" spans="21:25" x14ac:dyDescent="0.2">
      <c r="U3430" s="209" t="str">
        <f t="shared" si="56"/>
        <v>1w</v>
      </c>
      <c r="V3430" s="207">
        <f>_xll.qlCalendarAdvance(Calendar,V3429,U3430,"f",FALSE)</f>
        <v>62912</v>
      </c>
      <c r="W3430" s="210">
        <f>_xll.qlCalendarAdvance(Calendar,V3430,NDays&amp;"D")</f>
        <v>62912</v>
      </c>
      <c r="X3430" s="211">
        <v>2.4535441578992234E-2</v>
      </c>
      <c r="Y3430" s="232"/>
    </row>
    <row r="3431" spans="21:25" x14ac:dyDescent="0.2">
      <c r="U3431" s="209" t="str">
        <f t="shared" si="56"/>
        <v>1w</v>
      </c>
      <c r="V3431" s="207">
        <f>_xll.qlCalendarAdvance(Calendar,V3430,U3431,"f",FALSE)</f>
        <v>62919</v>
      </c>
      <c r="W3431" s="210">
        <f>_xll.qlCalendarAdvance(Calendar,V3431,NDays&amp;"D")</f>
        <v>62919</v>
      </c>
      <c r="X3431" s="211">
        <v>2.4536688890526293E-2</v>
      </c>
      <c r="Y3431" s="232"/>
    </row>
    <row r="3432" spans="21:25" x14ac:dyDescent="0.2">
      <c r="U3432" s="209" t="str">
        <f t="shared" si="56"/>
        <v>1w</v>
      </c>
      <c r="V3432" s="207">
        <f>_xll.qlCalendarAdvance(Calendar,V3431,U3432,"f",FALSE)</f>
        <v>62926</v>
      </c>
      <c r="W3432" s="210">
        <f>_xll.qlCalendarAdvance(Calendar,V3432,NDays&amp;"D")</f>
        <v>62926</v>
      </c>
      <c r="X3432" s="211">
        <v>2.4537925191747689E-2</v>
      </c>
      <c r="Y3432" s="232"/>
    </row>
    <row r="3433" spans="21:25" x14ac:dyDescent="0.2">
      <c r="U3433" s="209" t="str">
        <f t="shared" si="56"/>
        <v>1w</v>
      </c>
      <c r="V3433" s="207">
        <f>_xll.qlCalendarAdvance(Calendar,V3432,U3433,"f",FALSE)</f>
        <v>62933</v>
      </c>
      <c r="W3433" s="210">
        <f>_xll.qlCalendarAdvance(Calendar,V3433,NDays&amp;"D")</f>
        <v>62933</v>
      </c>
      <c r="X3433" s="211">
        <v>2.4539150482576488E-2</v>
      </c>
      <c r="Y3433" s="232"/>
    </row>
    <row r="3434" spans="21:25" x14ac:dyDescent="0.2">
      <c r="U3434" s="209" t="str">
        <f t="shared" si="56"/>
        <v>1w</v>
      </c>
      <c r="V3434" s="207">
        <f>_xll.qlCalendarAdvance(Calendar,V3433,U3434,"f",FALSE)</f>
        <v>62940</v>
      </c>
      <c r="W3434" s="210">
        <f>_xll.qlCalendarAdvance(Calendar,V3434,NDays&amp;"D")</f>
        <v>62940</v>
      </c>
      <c r="X3434" s="211">
        <v>2.4540364763172562E-2</v>
      </c>
      <c r="Y3434" s="232"/>
    </row>
    <row r="3435" spans="21:25" x14ac:dyDescent="0.2">
      <c r="U3435" s="209" t="str">
        <f t="shared" si="56"/>
        <v>1w</v>
      </c>
      <c r="V3435" s="207">
        <f>_xll.qlCalendarAdvance(Calendar,V3434,U3435,"f",FALSE)</f>
        <v>62947</v>
      </c>
      <c r="W3435" s="210">
        <f>_xll.qlCalendarAdvance(Calendar,V3435,NDays&amp;"D")</f>
        <v>62947</v>
      </c>
      <c r="X3435" s="211">
        <v>2.4541568033376038E-2</v>
      </c>
      <c r="Y3435" s="232"/>
    </row>
    <row r="3436" spans="21:25" x14ac:dyDescent="0.2">
      <c r="U3436" s="209" t="str">
        <f t="shared" si="56"/>
        <v>1w</v>
      </c>
      <c r="V3436" s="207">
        <f>_xll.qlCalendarAdvance(Calendar,V3435,U3436,"f",FALSE)</f>
        <v>62954</v>
      </c>
      <c r="W3436" s="210">
        <f>_xll.qlCalendarAdvance(Calendar,V3436,NDays&amp;"D")</f>
        <v>62954</v>
      </c>
      <c r="X3436" s="211">
        <v>2.4542760293266852E-2</v>
      </c>
      <c r="Y3436" s="232"/>
    </row>
    <row r="3437" spans="21:25" x14ac:dyDescent="0.2">
      <c r="U3437" s="209" t="str">
        <f t="shared" si="56"/>
        <v>1w</v>
      </c>
      <c r="V3437" s="207">
        <f>_xll.qlCalendarAdvance(Calendar,V3436,U3437,"f",FALSE)</f>
        <v>62961</v>
      </c>
      <c r="W3437" s="210">
        <f>_xll.qlCalendarAdvance(Calendar,V3437,NDays&amp;"D")</f>
        <v>62961</v>
      </c>
      <c r="X3437" s="211">
        <v>2.4543941542924941E-2</v>
      </c>
      <c r="Y3437" s="232"/>
    </row>
    <row r="3438" spans="21:25" x14ac:dyDescent="0.2">
      <c r="U3438" s="209" t="str">
        <f t="shared" si="56"/>
        <v>1w</v>
      </c>
      <c r="V3438" s="207">
        <f>_xll.qlCalendarAdvance(Calendar,V3437,U3438,"f",FALSE)</f>
        <v>62968</v>
      </c>
      <c r="W3438" s="210">
        <f>_xll.qlCalendarAdvance(Calendar,V3438,NDays&amp;"D")</f>
        <v>62968</v>
      </c>
      <c r="X3438" s="211">
        <v>2.4545111782270368E-2</v>
      </c>
      <c r="Y3438" s="232"/>
    </row>
    <row r="3439" spans="21:25" x14ac:dyDescent="0.2">
      <c r="U3439" s="209" t="str">
        <f t="shared" si="56"/>
        <v>1w</v>
      </c>
      <c r="V3439" s="207">
        <f>_xll.qlCalendarAdvance(Calendar,V3438,U3439,"f",FALSE)</f>
        <v>62975</v>
      </c>
      <c r="W3439" s="210">
        <f>_xll.qlCalendarAdvance(Calendar,V3439,NDays&amp;"D")</f>
        <v>62975</v>
      </c>
      <c r="X3439" s="211">
        <v>2.4546271011223197E-2</v>
      </c>
      <c r="Y3439" s="232"/>
    </row>
    <row r="3440" spans="21:25" x14ac:dyDescent="0.2">
      <c r="U3440" s="209" t="str">
        <f t="shared" si="56"/>
        <v>1w</v>
      </c>
      <c r="V3440" s="207">
        <f>_xll.qlCalendarAdvance(Calendar,V3439,U3440,"f",FALSE)</f>
        <v>62982</v>
      </c>
      <c r="W3440" s="210">
        <f>_xll.qlCalendarAdvance(Calendar,V3440,NDays&amp;"D")</f>
        <v>62982</v>
      </c>
      <c r="X3440" s="211">
        <v>2.4547419229863365E-2</v>
      </c>
      <c r="Y3440" s="232"/>
    </row>
    <row r="3441" spans="21:25" x14ac:dyDescent="0.2">
      <c r="U3441" s="209" t="str">
        <f t="shared" si="56"/>
        <v>1w</v>
      </c>
      <c r="V3441" s="207">
        <f>_xll.qlCalendarAdvance(Calendar,V3440,U3441,"f",FALSE)</f>
        <v>62989</v>
      </c>
      <c r="W3441" s="210">
        <f>_xll.qlCalendarAdvance(Calendar,V3441,NDays&amp;"D")</f>
        <v>62989</v>
      </c>
      <c r="X3441" s="211">
        <v>2.4548556438270808E-2</v>
      </c>
      <c r="Y3441" s="232"/>
    </row>
    <row r="3442" spans="21:25" x14ac:dyDescent="0.2">
      <c r="U3442" s="209" t="str">
        <f t="shared" si="56"/>
        <v>1w</v>
      </c>
      <c r="V3442" s="207">
        <f>_xll.qlCalendarAdvance(Calendar,V3441,U3442,"f",FALSE)</f>
        <v>62996</v>
      </c>
      <c r="W3442" s="210">
        <f>_xll.qlCalendarAdvance(Calendar,V3442,NDays&amp;"D")</f>
        <v>62996</v>
      </c>
      <c r="X3442" s="211">
        <v>2.4549682636445525E-2</v>
      </c>
      <c r="Y3442" s="232"/>
    </row>
    <row r="3443" spans="21:25" x14ac:dyDescent="0.2">
      <c r="U3443" s="209" t="str">
        <f t="shared" si="56"/>
        <v>1w</v>
      </c>
      <c r="V3443" s="207">
        <f>_xll.qlCalendarAdvance(Calendar,V3442,U3443,"f",FALSE)</f>
        <v>63003</v>
      </c>
      <c r="W3443" s="210">
        <f>_xll.qlCalendarAdvance(Calendar,V3443,NDays&amp;"D")</f>
        <v>63003</v>
      </c>
      <c r="X3443" s="211">
        <v>2.4550797824147708E-2</v>
      </c>
      <c r="Y3443" s="232"/>
    </row>
    <row r="3444" spans="21:25" x14ac:dyDescent="0.2">
      <c r="U3444" s="209" t="str">
        <f t="shared" si="56"/>
        <v>1w</v>
      </c>
      <c r="V3444" s="207">
        <f>_xll.qlCalendarAdvance(Calendar,V3443,U3444,"f",FALSE)</f>
        <v>63010</v>
      </c>
      <c r="W3444" s="210">
        <f>_xll.qlCalendarAdvance(Calendar,V3444,NDays&amp;"D")</f>
        <v>63010</v>
      </c>
      <c r="X3444" s="211">
        <v>2.4551902001457293E-2</v>
      </c>
      <c r="Y3444" s="232"/>
    </row>
    <row r="3445" spans="21:25" x14ac:dyDescent="0.2">
      <c r="U3445" s="209" t="str">
        <f t="shared" si="56"/>
        <v>1w</v>
      </c>
      <c r="V3445" s="207">
        <f>_xll.qlCalendarAdvance(Calendar,V3444,U3445,"f",FALSE)</f>
        <v>63017</v>
      </c>
      <c r="W3445" s="210">
        <f>_xll.qlCalendarAdvance(Calendar,V3445,NDays&amp;"D")</f>
        <v>63017</v>
      </c>
      <c r="X3445" s="211">
        <v>2.4552995168614089E-2</v>
      </c>
      <c r="Y3445" s="232"/>
    </row>
    <row r="3446" spans="21:25" x14ac:dyDescent="0.2">
      <c r="U3446" s="209" t="str">
        <f t="shared" si="56"/>
        <v>1w</v>
      </c>
      <c r="V3446" s="207">
        <f>_xll.qlCalendarAdvance(Calendar,V3445,U3446,"f",FALSE)</f>
        <v>63024</v>
      </c>
      <c r="W3446" s="210">
        <f>_xll.qlCalendarAdvance(Calendar,V3446,NDays&amp;"D")</f>
        <v>63024</v>
      </c>
      <c r="X3446" s="211">
        <v>2.4554077325538159E-2</v>
      </c>
      <c r="Y3446" s="232"/>
    </row>
    <row r="3447" spans="21:25" x14ac:dyDescent="0.2">
      <c r="U3447" s="209" t="str">
        <f t="shared" si="56"/>
        <v>1w</v>
      </c>
      <c r="V3447" s="207">
        <f>_xll.qlCalendarAdvance(Calendar,V3446,U3447,"f",FALSE)</f>
        <v>63031</v>
      </c>
      <c r="W3447" s="210">
        <f>_xll.qlCalendarAdvance(Calendar,V3447,NDays&amp;"D")</f>
        <v>63031</v>
      </c>
      <c r="X3447" s="211">
        <v>2.4555148471989696E-2</v>
      </c>
      <c r="Y3447" s="232"/>
    </row>
    <row r="3448" spans="21:25" x14ac:dyDescent="0.2">
      <c r="U3448" s="209" t="str">
        <f t="shared" si="56"/>
        <v>1w</v>
      </c>
      <c r="V3448" s="207">
        <f>_xll.qlCalendarAdvance(Calendar,V3447,U3448,"f",FALSE)</f>
        <v>63038</v>
      </c>
      <c r="W3448" s="210">
        <f>_xll.qlCalendarAdvance(Calendar,V3448,NDays&amp;"D")</f>
        <v>63038</v>
      </c>
      <c r="X3448" s="211">
        <v>2.4556208608128571E-2</v>
      </c>
      <c r="Y3448" s="232"/>
    </row>
    <row r="3449" spans="21:25" x14ac:dyDescent="0.2">
      <c r="U3449" s="209" t="str">
        <f t="shared" si="56"/>
        <v>1w</v>
      </c>
      <c r="V3449" s="207">
        <f>_xll.qlCalendarAdvance(Calendar,V3448,U3449,"f",FALSE)</f>
        <v>63045</v>
      </c>
      <c r="W3449" s="210">
        <f>_xll.qlCalendarAdvance(Calendar,V3449,NDays&amp;"D")</f>
        <v>63045</v>
      </c>
      <c r="X3449" s="211">
        <v>2.4557257733954785E-2</v>
      </c>
      <c r="Y3449" s="232"/>
    </row>
    <row r="3450" spans="21:25" x14ac:dyDescent="0.2">
      <c r="U3450" s="209" t="str">
        <f t="shared" si="56"/>
        <v>1w</v>
      </c>
      <c r="V3450" s="207">
        <f>_xll.qlCalendarAdvance(Calendar,V3449,U3450,"f",FALSE)</f>
        <v>63052</v>
      </c>
      <c r="W3450" s="210">
        <f>_xll.qlCalendarAdvance(Calendar,V3450,NDays&amp;"D")</f>
        <v>63052</v>
      </c>
      <c r="X3450" s="211">
        <v>2.4558295849548273E-2</v>
      </c>
      <c r="Y3450" s="232"/>
    </row>
    <row r="3451" spans="21:25" x14ac:dyDescent="0.2">
      <c r="U3451" s="209" t="str">
        <f t="shared" si="56"/>
        <v>1w</v>
      </c>
      <c r="V3451" s="207">
        <f>_xll.qlCalendarAdvance(Calendar,V3450,U3451,"f",FALSE)</f>
        <v>63059</v>
      </c>
      <c r="W3451" s="210">
        <f>_xll.qlCalendarAdvance(Calendar,V3451,NDays&amp;"D")</f>
        <v>63059</v>
      </c>
      <c r="X3451" s="211">
        <v>2.4559322954669227E-2</v>
      </c>
      <c r="Y3451" s="232"/>
    </row>
    <row r="3452" spans="21:25" x14ac:dyDescent="0.2">
      <c r="U3452" s="209" t="str">
        <f t="shared" si="56"/>
        <v>1w</v>
      </c>
      <c r="V3452" s="207">
        <f>_xll.qlCalendarAdvance(Calendar,V3451,U3452,"f",FALSE)</f>
        <v>63066</v>
      </c>
      <c r="W3452" s="210">
        <f>_xll.qlCalendarAdvance(Calendar,V3452,NDays&amp;"D")</f>
        <v>63066</v>
      </c>
      <c r="X3452" s="211">
        <v>2.4560339049797264E-2</v>
      </c>
      <c r="Y3452" s="232"/>
    </row>
    <row r="3453" spans="21:25" x14ac:dyDescent="0.2">
      <c r="U3453" s="209" t="str">
        <f t="shared" si="56"/>
        <v>1w</v>
      </c>
      <c r="V3453" s="207">
        <f>_xll.qlCalendarAdvance(Calendar,V3452,U3453,"f",FALSE)</f>
        <v>63073</v>
      </c>
      <c r="W3453" s="210">
        <f>_xll.qlCalendarAdvance(Calendar,V3453,NDays&amp;"D")</f>
        <v>63073</v>
      </c>
      <c r="X3453" s="211">
        <v>2.4561344134292895E-2</v>
      </c>
      <c r="Y3453" s="232"/>
    </row>
    <row r="3454" spans="21:25" x14ac:dyDescent="0.2">
      <c r="U3454" s="209" t="str">
        <f t="shared" si="56"/>
        <v>1w</v>
      </c>
      <c r="V3454" s="207">
        <f>_xll.qlCalendarAdvance(Calendar,V3453,U3454,"f",FALSE)</f>
        <v>63080</v>
      </c>
      <c r="W3454" s="210">
        <f>_xll.qlCalendarAdvance(Calendar,V3454,NDays&amp;"D")</f>
        <v>63080</v>
      </c>
      <c r="X3454" s="211">
        <v>2.4562338208635737E-2</v>
      </c>
      <c r="Y3454" s="232"/>
    </row>
    <row r="3455" spans="21:25" x14ac:dyDescent="0.2">
      <c r="U3455" s="209" t="str">
        <f t="shared" si="56"/>
        <v>1w</v>
      </c>
      <c r="V3455" s="207">
        <f>_xll.qlCalendarAdvance(Calendar,V3454,U3455,"f",FALSE)</f>
        <v>63087</v>
      </c>
      <c r="W3455" s="210">
        <f>_xll.qlCalendarAdvance(Calendar,V3455,NDays&amp;"D")</f>
        <v>63087</v>
      </c>
      <c r="X3455" s="211">
        <v>2.4563321272665917E-2</v>
      </c>
      <c r="Y3455" s="232"/>
    </row>
    <row r="3456" spans="21:25" x14ac:dyDescent="0.2">
      <c r="U3456" s="209" t="str">
        <f t="shared" si="56"/>
        <v>1w</v>
      </c>
      <c r="V3456" s="207">
        <f>_xll.qlCalendarAdvance(Calendar,V3455,U3456,"f",FALSE)</f>
        <v>63094</v>
      </c>
      <c r="W3456" s="210">
        <f>_xll.qlCalendarAdvance(Calendar,V3456,NDays&amp;"D")</f>
        <v>63094</v>
      </c>
      <c r="X3456" s="211">
        <v>2.4564293326223563E-2</v>
      </c>
      <c r="Y3456" s="232"/>
    </row>
    <row r="3457" spans="21:25" x14ac:dyDescent="0.2">
      <c r="U3457" s="209" t="str">
        <f t="shared" si="56"/>
        <v>1w</v>
      </c>
      <c r="V3457" s="207">
        <f>_xll.qlCalendarAdvance(Calendar,V3456,U3457,"f",FALSE)</f>
        <v>63101</v>
      </c>
      <c r="W3457" s="210">
        <f>_xll.qlCalendarAdvance(Calendar,V3457,NDays&amp;"D")</f>
        <v>63101</v>
      </c>
      <c r="X3457" s="211">
        <v>2.4565254369708356E-2</v>
      </c>
      <c r="Y3457" s="232"/>
    </row>
    <row r="3458" spans="21:25" x14ac:dyDescent="0.2">
      <c r="U3458" s="209" t="str">
        <f t="shared" si="56"/>
        <v>1w</v>
      </c>
      <c r="V3458" s="207">
        <f>_xll.qlCalendarAdvance(Calendar,V3457,U3458,"f",FALSE)</f>
        <v>63108</v>
      </c>
      <c r="W3458" s="210">
        <f>_xll.qlCalendarAdvance(Calendar,V3458,NDays&amp;"D")</f>
        <v>63108</v>
      </c>
      <c r="X3458" s="211">
        <v>2.4566204402640679E-2</v>
      </c>
      <c r="Y3458" s="232"/>
    </row>
    <row r="3459" spans="21:25" x14ac:dyDescent="0.2">
      <c r="U3459" s="209" t="str">
        <f t="shared" si="56"/>
        <v>1w</v>
      </c>
      <c r="V3459" s="207">
        <f>_xll.qlCalendarAdvance(Calendar,V3458,U3459,"f",FALSE)</f>
        <v>63115</v>
      </c>
      <c r="W3459" s="210">
        <f>_xll.qlCalendarAdvance(Calendar,V3459,NDays&amp;"D")</f>
        <v>63115</v>
      </c>
      <c r="X3459" s="211">
        <v>2.4567143425500149E-2</v>
      </c>
      <c r="Y3459" s="232"/>
    </row>
    <row r="3460" spans="21:25" x14ac:dyDescent="0.2">
      <c r="U3460" s="209" t="str">
        <f t="shared" si="56"/>
        <v>1w</v>
      </c>
      <c r="V3460" s="207">
        <f>_xll.qlCalendarAdvance(Calendar,V3459,U3460,"f",FALSE)</f>
        <v>63122</v>
      </c>
      <c r="W3460" s="210">
        <f>_xll.qlCalendarAdvance(Calendar,V3460,NDays&amp;"D")</f>
        <v>63122</v>
      </c>
      <c r="X3460" s="211">
        <v>2.4568071437807149E-2</v>
      </c>
      <c r="Y3460" s="232"/>
    </row>
    <row r="3461" spans="21:25" x14ac:dyDescent="0.2">
      <c r="U3461" s="209" t="str">
        <f t="shared" si="56"/>
        <v>1w</v>
      </c>
      <c r="V3461" s="207">
        <f>_xll.qlCalendarAdvance(Calendar,V3460,U3461,"f",FALSE)</f>
        <v>63129</v>
      </c>
      <c r="W3461" s="210">
        <f>_xll.qlCalendarAdvance(Calendar,V3461,NDays&amp;"D")</f>
        <v>63129</v>
      </c>
      <c r="X3461" s="211">
        <v>2.4568988440041295E-2</v>
      </c>
      <c r="Y3461" s="232"/>
    </row>
    <row r="3462" spans="21:25" x14ac:dyDescent="0.2">
      <c r="U3462" s="209" t="str">
        <f t="shared" si="56"/>
        <v>1w</v>
      </c>
      <c r="V3462" s="207">
        <f>_xll.qlCalendarAdvance(Calendar,V3461,U3462,"f",FALSE)</f>
        <v>63136</v>
      </c>
      <c r="W3462" s="210">
        <f>_xll.qlCalendarAdvance(Calendar,V3462,NDays&amp;"D")</f>
        <v>63136</v>
      </c>
      <c r="X3462" s="211">
        <v>2.4569894431643036E-2</v>
      </c>
      <c r="Y3462" s="232"/>
    </row>
    <row r="3463" spans="21:25" x14ac:dyDescent="0.2">
      <c r="U3463" s="209" t="str">
        <f t="shared" si="56"/>
        <v>1w</v>
      </c>
      <c r="V3463" s="207">
        <f>_xll.qlCalendarAdvance(Calendar,V3462,U3463,"f",FALSE)</f>
        <v>63143</v>
      </c>
      <c r="W3463" s="210">
        <f>_xll.qlCalendarAdvance(Calendar,V3463,NDays&amp;"D")</f>
        <v>63143</v>
      </c>
      <c r="X3463" s="211">
        <v>2.4570789413251859E-2</v>
      </c>
      <c r="Y3463" s="232"/>
    </row>
    <row r="3464" spans="21:25" x14ac:dyDescent="0.2">
      <c r="U3464" s="209" t="str">
        <f t="shared" si="56"/>
        <v>1w</v>
      </c>
      <c r="V3464" s="207">
        <f>_xll.qlCalendarAdvance(Calendar,V3463,U3464,"f",FALSE)</f>
        <v>63150</v>
      </c>
      <c r="W3464" s="210">
        <f>_xll.qlCalendarAdvance(Calendar,V3464,NDays&amp;"D")</f>
        <v>63150</v>
      </c>
      <c r="X3464" s="211">
        <v>2.4571673384308212E-2</v>
      </c>
      <c r="Y3464" s="232"/>
    </row>
    <row r="3465" spans="21:25" x14ac:dyDescent="0.2">
      <c r="U3465" s="209" t="str">
        <f t="shared" si="56"/>
        <v>1w</v>
      </c>
      <c r="V3465" s="207">
        <f>_xll.qlCalendarAdvance(Calendar,V3464,U3465,"f",FALSE)</f>
        <v>63157</v>
      </c>
      <c r="W3465" s="210">
        <f>_xll.qlCalendarAdvance(Calendar,V3465,NDays&amp;"D")</f>
        <v>63157</v>
      </c>
      <c r="X3465" s="211">
        <v>2.457254634513184E-2</v>
      </c>
      <c r="Y3465" s="232"/>
    </row>
    <row r="3466" spans="21:25" x14ac:dyDescent="0.2">
      <c r="U3466" s="209" t="str">
        <f t="shared" si="56"/>
        <v>1w</v>
      </c>
      <c r="V3466" s="207">
        <f>_xll.qlCalendarAdvance(Calendar,V3465,U3466,"f",FALSE)</f>
        <v>63164</v>
      </c>
      <c r="W3466" s="210">
        <f>_xll.qlCalendarAdvance(Calendar,V3466,NDays&amp;"D")</f>
        <v>63164</v>
      </c>
      <c r="X3466" s="211">
        <v>2.4573408295802679E-2</v>
      </c>
      <c r="Y3466" s="232"/>
    </row>
    <row r="3467" spans="21:25" x14ac:dyDescent="0.2">
      <c r="U3467" s="209" t="str">
        <f t="shared" si="56"/>
        <v>1w</v>
      </c>
      <c r="V3467" s="207">
        <f>_xll.qlCalendarAdvance(Calendar,V3466,U3467,"f",FALSE)</f>
        <v>63171</v>
      </c>
      <c r="W3467" s="210">
        <f>_xll.qlCalendarAdvance(Calendar,V3467,NDays&amp;"D")</f>
        <v>63171</v>
      </c>
      <c r="X3467" s="211">
        <v>2.4574259236000984E-2</v>
      </c>
      <c r="Y3467" s="232"/>
    </row>
    <row r="3468" spans="21:25" x14ac:dyDescent="0.2">
      <c r="U3468" s="209" t="str">
        <f t="shared" si="56"/>
        <v>1w</v>
      </c>
      <c r="V3468" s="207">
        <f>_xll.qlCalendarAdvance(Calendar,V3467,U3468,"f",FALSE)</f>
        <v>63178</v>
      </c>
      <c r="W3468" s="210">
        <f>_xll.qlCalendarAdvance(Calendar,V3468,NDays&amp;"D")</f>
        <v>63178</v>
      </c>
      <c r="X3468" s="211">
        <v>2.4575099165886627E-2</v>
      </c>
      <c r="Y3468" s="232"/>
    </row>
    <row r="3469" spans="21:25" x14ac:dyDescent="0.2">
      <c r="U3469" s="209" t="str">
        <f t="shared" ref="U3469:U3532" si="57">U3468</f>
        <v>1w</v>
      </c>
      <c r="V3469" s="207">
        <f>_xll.qlCalendarAdvance(Calendar,V3468,U3469,"f",FALSE)</f>
        <v>63185</v>
      </c>
      <c r="W3469" s="210">
        <f>_xll.qlCalendarAdvance(Calendar,V3469,NDays&amp;"D")</f>
        <v>63185</v>
      </c>
      <c r="X3469" s="211">
        <v>2.4575928085459608E-2</v>
      </c>
      <c r="Y3469" s="232"/>
    </row>
    <row r="3470" spans="21:25" x14ac:dyDescent="0.2">
      <c r="U3470" s="209" t="str">
        <f t="shared" si="57"/>
        <v>1w</v>
      </c>
      <c r="V3470" s="207">
        <f>_xll.qlCalendarAdvance(Calendar,V3469,U3470,"f",FALSE)</f>
        <v>63192</v>
      </c>
      <c r="W3470" s="210">
        <f>_xll.qlCalendarAdvance(Calendar,V3470,NDays&amp;"D")</f>
        <v>63192</v>
      </c>
      <c r="X3470" s="211">
        <v>2.4576745994719928E-2</v>
      </c>
      <c r="Y3470" s="232"/>
    </row>
    <row r="3471" spans="21:25" x14ac:dyDescent="0.2">
      <c r="U3471" s="209" t="str">
        <f t="shared" si="57"/>
        <v>1w</v>
      </c>
      <c r="V3471" s="207">
        <f>_xll.qlCalendarAdvance(Calendar,V3470,U3471,"f",FALSE)</f>
        <v>63199</v>
      </c>
      <c r="W3471" s="210">
        <f>_xll.qlCalendarAdvance(Calendar,V3471,NDays&amp;"D")</f>
        <v>63199</v>
      </c>
      <c r="X3471" s="211">
        <v>2.4577552893667587E-2</v>
      </c>
      <c r="Y3471" s="232"/>
    </row>
    <row r="3472" spans="21:25" x14ac:dyDescent="0.2">
      <c r="U3472" s="209" t="str">
        <f t="shared" si="57"/>
        <v>1w</v>
      </c>
      <c r="V3472" s="207">
        <f>_xll.qlCalendarAdvance(Calendar,V3471,U3472,"f",FALSE)</f>
        <v>63206</v>
      </c>
      <c r="W3472" s="210">
        <f>_xll.qlCalendarAdvance(Calendar,V3472,NDays&amp;"D")</f>
        <v>63206</v>
      </c>
      <c r="X3472" s="211">
        <v>2.4578348782222648E-2</v>
      </c>
      <c r="Y3472" s="232"/>
    </row>
    <row r="3473" spans="21:25" x14ac:dyDescent="0.2">
      <c r="U3473" s="209" t="str">
        <f t="shared" si="57"/>
        <v>1w</v>
      </c>
      <c r="V3473" s="207">
        <f>_xll.qlCalendarAdvance(Calendar,V3472,U3473,"f",FALSE)</f>
        <v>63213</v>
      </c>
      <c r="W3473" s="210">
        <f>_xll.qlCalendarAdvance(Calendar,V3473,NDays&amp;"D")</f>
        <v>63213</v>
      </c>
      <c r="X3473" s="211">
        <v>2.4579133660465047E-2</v>
      </c>
      <c r="Y3473" s="232"/>
    </row>
    <row r="3474" spans="21:25" x14ac:dyDescent="0.2">
      <c r="U3474" s="209" t="str">
        <f t="shared" si="57"/>
        <v>1w</v>
      </c>
      <c r="V3474" s="207">
        <f>_xll.qlCalendarAdvance(Calendar,V3473,U3474,"f",FALSE)</f>
        <v>63220</v>
      </c>
      <c r="W3474" s="210">
        <f>_xll.qlCalendarAdvance(Calendar,V3474,NDays&amp;"D")</f>
        <v>63220</v>
      </c>
      <c r="X3474" s="211">
        <v>2.4579907528634592E-2</v>
      </c>
      <c r="Y3474" s="232"/>
    </row>
    <row r="3475" spans="21:25" x14ac:dyDescent="0.2">
      <c r="U3475" s="209" t="str">
        <f t="shared" si="57"/>
        <v>1w</v>
      </c>
      <c r="V3475" s="207">
        <f>_xll.qlCalendarAdvance(Calendar,V3474,U3475,"f",FALSE)</f>
        <v>63227</v>
      </c>
      <c r="W3475" s="210">
        <f>_xll.qlCalendarAdvance(Calendar,V3475,NDays&amp;"D")</f>
        <v>63227</v>
      </c>
      <c r="X3475" s="211">
        <v>2.4580670386251668E-2</v>
      </c>
      <c r="Y3475" s="232"/>
    </row>
    <row r="3476" spans="21:25" x14ac:dyDescent="0.2">
      <c r="U3476" s="209" t="str">
        <f t="shared" si="57"/>
        <v>1w</v>
      </c>
      <c r="V3476" s="207">
        <f>_xll.qlCalendarAdvance(Calendar,V3475,U3476,"f",FALSE)</f>
        <v>63234</v>
      </c>
      <c r="W3476" s="210">
        <f>_xll.qlCalendarAdvance(Calendar,V3476,NDays&amp;"D")</f>
        <v>63234</v>
      </c>
      <c r="X3476" s="211">
        <v>2.4581422233636019E-2</v>
      </c>
      <c r="Y3476" s="232"/>
    </row>
    <row r="3477" spans="21:25" x14ac:dyDescent="0.2">
      <c r="U3477" s="209" t="str">
        <f t="shared" si="57"/>
        <v>1w</v>
      </c>
      <c r="V3477" s="207">
        <f>_xll.qlCalendarAdvance(Calendar,V3476,U3477,"f",FALSE)</f>
        <v>63241</v>
      </c>
      <c r="W3477" s="210">
        <f>_xll.qlCalendarAdvance(Calendar,V3477,NDays&amp;"D")</f>
        <v>63241</v>
      </c>
      <c r="X3477" s="211">
        <v>2.4582163070787644E-2</v>
      </c>
      <c r="Y3477" s="232"/>
    </row>
    <row r="3478" spans="21:25" x14ac:dyDescent="0.2">
      <c r="U3478" s="209" t="str">
        <f t="shared" si="57"/>
        <v>1w</v>
      </c>
      <c r="V3478" s="207">
        <f>_xll.qlCalendarAdvance(Calendar,V3477,U3478,"f",FALSE)</f>
        <v>63248</v>
      </c>
      <c r="W3478" s="210">
        <f>_xll.qlCalendarAdvance(Calendar,V3478,NDays&amp;"D")</f>
        <v>63248</v>
      </c>
      <c r="X3478" s="211">
        <v>2.4582892897546671E-2</v>
      </c>
      <c r="Y3478" s="232"/>
    </row>
    <row r="3479" spans="21:25" x14ac:dyDescent="0.2">
      <c r="U3479" s="209" t="str">
        <f t="shared" si="57"/>
        <v>1w</v>
      </c>
      <c r="V3479" s="207">
        <f>_xll.qlCalendarAdvance(Calendar,V3478,U3479,"f",FALSE)</f>
        <v>63255</v>
      </c>
      <c r="W3479" s="210">
        <f>_xll.qlCalendarAdvance(Calendar,V3479,NDays&amp;"D")</f>
        <v>63255</v>
      </c>
      <c r="X3479" s="211">
        <v>2.4583611713913101E-2</v>
      </c>
      <c r="Y3479" s="232"/>
    </row>
    <row r="3480" spans="21:25" x14ac:dyDescent="0.2">
      <c r="U3480" s="209" t="str">
        <f t="shared" si="57"/>
        <v>1w</v>
      </c>
      <c r="V3480" s="207">
        <f>_xll.qlCalendarAdvance(Calendar,V3479,U3480,"f",FALSE)</f>
        <v>63262</v>
      </c>
      <c r="W3480" s="210">
        <f>_xll.qlCalendarAdvance(Calendar,V3480,NDays&amp;"D")</f>
        <v>63262</v>
      </c>
      <c r="X3480" s="211">
        <v>2.4584319519966868E-2</v>
      </c>
      <c r="Y3480" s="232"/>
    </row>
    <row r="3481" spans="21:25" x14ac:dyDescent="0.2">
      <c r="U3481" s="209" t="str">
        <f t="shared" si="57"/>
        <v>1w</v>
      </c>
      <c r="V3481" s="207">
        <f>_xll.qlCalendarAdvance(Calendar,V3480,U3481,"f",FALSE)</f>
        <v>63269</v>
      </c>
      <c r="W3481" s="210">
        <f>_xll.qlCalendarAdvance(Calendar,V3481,NDays&amp;"D")</f>
        <v>63269</v>
      </c>
      <c r="X3481" s="211">
        <v>2.4585016315867847E-2</v>
      </c>
      <c r="Y3481" s="232"/>
    </row>
    <row r="3482" spans="21:25" x14ac:dyDescent="0.2">
      <c r="U3482" s="209" t="str">
        <f t="shared" si="57"/>
        <v>1w</v>
      </c>
      <c r="V3482" s="207">
        <f>_xll.qlCalendarAdvance(Calendar,V3481,U3482,"f",FALSE)</f>
        <v>63276</v>
      </c>
      <c r="W3482" s="210">
        <f>_xll.qlCalendarAdvance(Calendar,V3482,NDays&amp;"D")</f>
        <v>63276</v>
      </c>
      <c r="X3482" s="211">
        <v>2.4585702101296292E-2</v>
      </c>
      <c r="Y3482" s="232"/>
    </row>
    <row r="3483" spans="21:25" x14ac:dyDescent="0.2">
      <c r="U3483" s="209" t="str">
        <f t="shared" si="57"/>
        <v>1w</v>
      </c>
      <c r="V3483" s="207">
        <f>_xll.qlCalendarAdvance(Calendar,V3482,U3483,"f",FALSE)</f>
        <v>63283</v>
      </c>
      <c r="W3483" s="210">
        <f>_xll.qlCalendarAdvance(Calendar,V3483,NDays&amp;"D")</f>
        <v>63283</v>
      </c>
      <c r="X3483" s="211">
        <v>2.4586376876412075E-2</v>
      </c>
      <c r="Y3483" s="232"/>
    </row>
    <row r="3484" spans="21:25" x14ac:dyDescent="0.2">
      <c r="U3484" s="209" t="str">
        <f t="shared" si="57"/>
        <v>1w</v>
      </c>
      <c r="V3484" s="207">
        <f>_xll.qlCalendarAdvance(Calendar,V3483,U3484,"f",FALSE)</f>
        <v>63290</v>
      </c>
      <c r="W3484" s="210">
        <f>_xll.qlCalendarAdvance(Calendar,V3484,NDays&amp;"D")</f>
        <v>63290</v>
      </c>
      <c r="X3484" s="211">
        <v>2.4587040641295133E-2</v>
      </c>
      <c r="Y3484" s="232"/>
    </row>
    <row r="3485" spans="21:25" x14ac:dyDescent="0.2">
      <c r="U3485" s="209" t="str">
        <f t="shared" si="57"/>
        <v>1w</v>
      </c>
      <c r="V3485" s="207">
        <f>_xll.qlCalendarAdvance(Calendar,V3484,U3485,"f",FALSE)</f>
        <v>63297</v>
      </c>
      <c r="W3485" s="210">
        <f>_xll.qlCalendarAdvance(Calendar,V3485,NDays&amp;"D")</f>
        <v>63297</v>
      </c>
      <c r="X3485" s="211">
        <v>2.4587693395785593E-2</v>
      </c>
      <c r="Y3485" s="232"/>
    </row>
    <row r="3486" spans="21:25" x14ac:dyDescent="0.2">
      <c r="U3486" s="209" t="str">
        <f t="shared" si="57"/>
        <v>1w</v>
      </c>
      <c r="V3486" s="207">
        <f>_xll.qlCalendarAdvance(Calendar,V3485,U3486,"f",FALSE)</f>
        <v>63304</v>
      </c>
      <c r="W3486" s="210">
        <f>_xll.qlCalendarAdvance(Calendar,V3486,NDays&amp;"D")</f>
        <v>63304</v>
      </c>
      <c r="X3486" s="211">
        <v>2.4588335140123263E-2</v>
      </c>
      <c r="Y3486" s="232"/>
    </row>
    <row r="3487" spans="21:25" x14ac:dyDescent="0.2">
      <c r="U3487" s="209" t="str">
        <f t="shared" si="57"/>
        <v>1w</v>
      </c>
      <c r="V3487" s="207">
        <f>_xll.qlCalendarAdvance(Calendar,V3486,U3487,"f",FALSE)</f>
        <v>63311</v>
      </c>
      <c r="W3487" s="210">
        <f>_xll.qlCalendarAdvance(Calendar,V3487,NDays&amp;"D")</f>
        <v>63311</v>
      </c>
      <c r="X3487" s="211">
        <v>2.4588965873908464E-2</v>
      </c>
      <c r="Y3487" s="232"/>
    </row>
    <row r="3488" spans="21:25" x14ac:dyDescent="0.2">
      <c r="U3488" s="209" t="str">
        <f t="shared" si="57"/>
        <v>1w</v>
      </c>
      <c r="V3488" s="207">
        <f>_xll.qlCalendarAdvance(Calendar,V3487,U3488,"f",FALSE)</f>
        <v>63318</v>
      </c>
      <c r="W3488" s="210">
        <f>_xll.qlCalendarAdvance(Calendar,V3488,NDays&amp;"D")</f>
        <v>63318</v>
      </c>
      <c r="X3488" s="211">
        <v>2.4589585597540875E-2</v>
      </c>
      <c r="Y3488" s="232"/>
    </row>
    <row r="3489" spans="21:25" x14ac:dyDescent="0.2">
      <c r="U3489" s="209" t="str">
        <f t="shared" si="57"/>
        <v>1w</v>
      </c>
      <c r="V3489" s="207">
        <f>_xll.qlCalendarAdvance(Calendar,V3488,U3489,"f",FALSE)</f>
        <v>63325</v>
      </c>
      <c r="W3489" s="210">
        <f>_xll.qlCalendarAdvance(Calendar,V3489,NDays&amp;"D")</f>
        <v>63325</v>
      </c>
      <c r="X3489" s="211">
        <v>2.4590194310860625E-2</v>
      </c>
      <c r="Y3489" s="232"/>
    </row>
    <row r="3490" spans="21:25" x14ac:dyDescent="0.2">
      <c r="U3490" s="209" t="str">
        <f t="shared" si="57"/>
        <v>1w</v>
      </c>
      <c r="V3490" s="207">
        <f>_xll.qlCalendarAdvance(Calendar,V3489,U3490,"f",FALSE)</f>
        <v>63332</v>
      </c>
      <c r="W3490" s="210">
        <f>_xll.qlCalendarAdvance(Calendar,V3490,NDays&amp;"D")</f>
        <v>63332</v>
      </c>
      <c r="X3490" s="211">
        <v>2.4590792013787777E-2</v>
      </c>
      <c r="Y3490" s="232"/>
    </row>
    <row r="3491" spans="21:25" x14ac:dyDescent="0.2">
      <c r="U3491" s="209" t="str">
        <f t="shared" si="57"/>
        <v>1w</v>
      </c>
      <c r="V3491" s="207">
        <f>_xll.qlCalendarAdvance(Calendar,V3490,U3491,"f",FALSE)</f>
        <v>63339</v>
      </c>
      <c r="W3491" s="210">
        <f>_xll.qlCalendarAdvance(Calendar,V3491,NDays&amp;"D")</f>
        <v>63339</v>
      </c>
      <c r="X3491" s="211">
        <v>2.4591378706322331E-2</v>
      </c>
      <c r="Y3491" s="232"/>
    </row>
    <row r="3492" spans="21:25" x14ac:dyDescent="0.2">
      <c r="U3492" s="209" t="str">
        <f t="shared" si="57"/>
        <v>1w</v>
      </c>
      <c r="V3492" s="207">
        <f>_xll.qlCalendarAdvance(Calendar,V3491,U3492,"f",FALSE)</f>
        <v>63346</v>
      </c>
      <c r="W3492" s="210">
        <f>_xll.qlCalendarAdvance(Calendar,V3492,NDays&amp;"D")</f>
        <v>63346</v>
      </c>
      <c r="X3492" s="211">
        <v>2.4591954388704096E-2</v>
      </c>
      <c r="Y3492" s="232"/>
    </row>
    <row r="3493" spans="21:25" x14ac:dyDescent="0.2">
      <c r="U3493" s="209" t="str">
        <f t="shared" si="57"/>
        <v>1w</v>
      </c>
      <c r="V3493" s="207">
        <f>_xll.qlCalendarAdvance(Calendar,V3492,U3493,"f",FALSE)</f>
        <v>63353</v>
      </c>
      <c r="W3493" s="210">
        <f>_xll.qlCalendarAdvance(Calendar,V3493,NDays&amp;"D")</f>
        <v>63353</v>
      </c>
      <c r="X3493" s="211">
        <v>2.4592519060693263E-2</v>
      </c>
      <c r="Y3493" s="232"/>
    </row>
    <row r="3494" spans="21:25" x14ac:dyDescent="0.2">
      <c r="U3494" s="209" t="str">
        <f t="shared" si="57"/>
        <v>1w</v>
      </c>
      <c r="V3494" s="207">
        <f>_xll.qlCalendarAdvance(Calendar,V3493,U3494,"f",FALSE)</f>
        <v>63360</v>
      </c>
      <c r="W3494" s="210">
        <f>_xll.qlCalendarAdvance(Calendar,V3494,NDays&amp;"D")</f>
        <v>63360</v>
      </c>
      <c r="X3494" s="211">
        <v>2.4593072722369769E-2</v>
      </c>
      <c r="Y3494" s="232"/>
    </row>
    <row r="3495" spans="21:25" x14ac:dyDescent="0.2">
      <c r="U3495" s="209" t="str">
        <f t="shared" si="57"/>
        <v>1w</v>
      </c>
      <c r="V3495" s="207">
        <f>_xll.qlCalendarAdvance(Calendar,V3494,U3495,"f",FALSE)</f>
        <v>63367</v>
      </c>
      <c r="W3495" s="210">
        <f>_xll.qlCalendarAdvance(Calendar,V3495,NDays&amp;"D")</f>
        <v>63367</v>
      </c>
      <c r="X3495" s="211">
        <v>2.4593615373813549E-2</v>
      </c>
      <c r="Y3495" s="232"/>
    </row>
    <row r="3496" spans="21:25" x14ac:dyDescent="0.2">
      <c r="U3496" s="209" t="str">
        <f t="shared" si="57"/>
        <v>1w</v>
      </c>
      <c r="V3496" s="207">
        <f>_xll.qlCalendarAdvance(Calendar,V3495,U3496,"f",FALSE)</f>
        <v>63374</v>
      </c>
      <c r="W3496" s="210">
        <f>_xll.qlCalendarAdvance(Calendar,V3496,NDays&amp;"D")</f>
        <v>63374</v>
      </c>
      <c r="X3496" s="211">
        <v>2.4594147014704859E-2</v>
      </c>
      <c r="Y3496" s="232"/>
    </row>
    <row r="3497" spans="21:25" x14ac:dyDescent="0.2">
      <c r="U3497" s="209" t="str">
        <f t="shared" si="57"/>
        <v>1w</v>
      </c>
      <c r="V3497" s="207">
        <f>_xll.qlCalendarAdvance(Calendar,V3496,U3497,"f",FALSE)</f>
        <v>63381</v>
      </c>
      <c r="W3497" s="210">
        <f>_xll.qlCalendarAdvance(Calendar,V3497,NDays&amp;"D")</f>
        <v>63381</v>
      </c>
      <c r="X3497" s="211">
        <v>2.4594667645523316E-2</v>
      </c>
      <c r="Y3497" s="232"/>
    </row>
    <row r="3498" spans="21:25" x14ac:dyDescent="0.2">
      <c r="U3498" s="209" t="str">
        <f t="shared" si="57"/>
        <v>1w</v>
      </c>
      <c r="V3498" s="207">
        <f>_xll.qlCalendarAdvance(Calendar,V3497,U3498,"f",FALSE)</f>
        <v>63388</v>
      </c>
      <c r="W3498" s="210">
        <f>_xll.qlCalendarAdvance(Calendar,V3498,NDays&amp;"D")</f>
        <v>63388</v>
      </c>
      <c r="X3498" s="211">
        <v>2.4595177265869239E-2</v>
      </c>
      <c r="Y3498" s="232"/>
    </row>
    <row r="3499" spans="21:25" x14ac:dyDescent="0.2">
      <c r="U3499" s="209" t="str">
        <f t="shared" si="57"/>
        <v>1w</v>
      </c>
      <c r="V3499" s="207">
        <f>_xll.qlCalendarAdvance(Calendar,V3498,U3499,"f",FALSE)</f>
        <v>63395</v>
      </c>
      <c r="W3499" s="210">
        <f>_xll.qlCalendarAdvance(Calendar,V3499,NDays&amp;"D")</f>
        <v>63395</v>
      </c>
      <c r="X3499" s="211">
        <v>2.4595675875982437E-2</v>
      </c>
      <c r="Y3499" s="232"/>
    </row>
    <row r="3500" spans="21:25" x14ac:dyDescent="0.2">
      <c r="U3500" s="209" t="str">
        <f t="shared" si="57"/>
        <v>1w</v>
      </c>
      <c r="V3500" s="207">
        <f>_xll.qlCalendarAdvance(Calendar,V3499,U3500,"f",FALSE)</f>
        <v>63402</v>
      </c>
      <c r="W3500" s="210">
        <f>_xll.qlCalendarAdvance(Calendar,V3500,NDays&amp;"D")</f>
        <v>63402</v>
      </c>
      <c r="X3500" s="211">
        <v>2.4596163475862909E-2</v>
      </c>
      <c r="Y3500" s="232"/>
    </row>
    <row r="3501" spans="21:25" x14ac:dyDescent="0.2">
      <c r="U3501" s="209" t="str">
        <f t="shared" si="57"/>
        <v>1w</v>
      </c>
      <c r="V3501" s="207">
        <f>_xll.qlCalendarAdvance(Calendar,V3500,U3501,"f",FALSE)</f>
        <v>63409</v>
      </c>
      <c r="W3501" s="210">
        <f>_xll.qlCalendarAdvance(Calendar,V3501,NDays&amp;"D")</f>
        <v>63409</v>
      </c>
      <c r="X3501" s="211">
        <v>2.4596640065270847E-2</v>
      </c>
      <c r="Y3501" s="232"/>
    </row>
    <row r="3502" spans="21:25" x14ac:dyDescent="0.2">
      <c r="U3502" s="209" t="str">
        <f t="shared" si="57"/>
        <v>1w</v>
      </c>
      <c r="V3502" s="207">
        <f>_xll.qlCalendarAdvance(Calendar,V3501,U3502,"f",FALSE)</f>
        <v>63416</v>
      </c>
      <c r="W3502" s="210">
        <f>_xll.qlCalendarAdvance(Calendar,V3502,NDays&amp;"D")</f>
        <v>63416</v>
      </c>
      <c r="X3502" s="211">
        <v>2.459710564444606E-2</v>
      </c>
      <c r="Y3502" s="232"/>
    </row>
    <row r="3503" spans="21:25" x14ac:dyDescent="0.2">
      <c r="U3503" s="209" t="str">
        <f t="shared" si="57"/>
        <v>1w</v>
      </c>
      <c r="V3503" s="207">
        <f>_xll.qlCalendarAdvance(Calendar,V3502,U3503,"f",FALSE)</f>
        <v>63423</v>
      </c>
      <c r="W3503" s="210">
        <f>_xll.qlCalendarAdvance(Calendar,V3503,NDays&amp;"D")</f>
        <v>63423</v>
      </c>
      <c r="X3503" s="211">
        <v>2.4597560213228675E-2</v>
      </c>
      <c r="Y3503" s="232"/>
    </row>
    <row r="3504" spans="21:25" x14ac:dyDescent="0.2">
      <c r="U3504" s="209" t="str">
        <f t="shared" si="57"/>
        <v>1w</v>
      </c>
      <c r="V3504" s="207">
        <f>_xll.qlCalendarAdvance(Calendar,V3503,U3504,"f",FALSE)</f>
        <v>63430</v>
      </c>
      <c r="W3504" s="210">
        <f>_xll.qlCalendarAdvance(Calendar,V3504,NDays&amp;"D")</f>
        <v>63430</v>
      </c>
      <c r="X3504" s="211">
        <v>2.4598003771778565E-2</v>
      </c>
      <c r="Y3504" s="232"/>
    </row>
    <row r="3505" spans="21:25" x14ac:dyDescent="0.2">
      <c r="U3505" s="209" t="str">
        <f t="shared" si="57"/>
        <v>1w</v>
      </c>
      <c r="V3505" s="207">
        <f>_xll.qlCalendarAdvance(Calendar,V3504,U3505,"f",FALSE)</f>
        <v>63437</v>
      </c>
      <c r="W3505" s="210">
        <f>_xll.qlCalendarAdvance(Calendar,V3505,NDays&amp;"D")</f>
        <v>63437</v>
      </c>
      <c r="X3505" s="211">
        <v>2.4598436320015793E-2</v>
      </c>
      <c r="Y3505" s="232"/>
    </row>
    <row r="3506" spans="21:25" x14ac:dyDescent="0.2">
      <c r="U3506" s="209" t="str">
        <f t="shared" si="57"/>
        <v>1w</v>
      </c>
      <c r="V3506" s="207">
        <f>_xll.qlCalendarAdvance(Calendar,V3505,U3506,"f",FALSE)</f>
        <v>63444</v>
      </c>
      <c r="W3506" s="210">
        <f>_xll.qlCalendarAdvance(Calendar,V3506,NDays&amp;"D")</f>
        <v>63444</v>
      </c>
      <c r="X3506" s="211">
        <v>2.4598857857860423E-2</v>
      </c>
      <c r="Y3506" s="232"/>
    </row>
    <row r="3507" spans="21:25" x14ac:dyDescent="0.2">
      <c r="U3507" s="209" t="str">
        <f t="shared" si="57"/>
        <v>1w</v>
      </c>
      <c r="V3507" s="207">
        <f>_xll.qlCalendarAdvance(Calendar,V3506,U3507,"f",FALSE)</f>
        <v>63451</v>
      </c>
      <c r="W3507" s="210">
        <f>_xll.qlCalendarAdvance(Calendar,V3507,NDays&amp;"D")</f>
        <v>63451</v>
      </c>
      <c r="X3507" s="211">
        <v>2.4599268385392392E-2</v>
      </c>
      <c r="Y3507" s="232"/>
    </row>
    <row r="3508" spans="21:25" x14ac:dyDescent="0.2">
      <c r="U3508" s="209" t="str">
        <f t="shared" si="57"/>
        <v>1w</v>
      </c>
      <c r="V3508" s="207">
        <f>_xll.qlCalendarAdvance(Calendar,V3507,U3508,"f",FALSE)</f>
        <v>63458</v>
      </c>
      <c r="W3508" s="210">
        <f>_xll.qlCalendarAdvance(Calendar,V3508,NDays&amp;"D")</f>
        <v>63458</v>
      </c>
      <c r="X3508" s="211">
        <v>2.4599667902611699E-2</v>
      </c>
      <c r="Y3508" s="232"/>
    </row>
    <row r="3509" spans="21:25" x14ac:dyDescent="0.2">
      <c r="U3509" s="209" t="str">
        <f t="shared" si="57"/>
        <v>1w</v>
      </c>
      <c r="V3509" s="207">
        <f>_xll.qlCalendarAdvance(Calendar,V3508,U3509,"f",FALSE)</f>
        <v>63465</v>
      </c>
      <c r="W3509" s="210">
        <f>_xll.qlCalendarAdvance(Calendar,V3509,NDays&amp;"D")</f>
        <v>63465</v>
      </c>
      <c r="X3509" s="211">
        <v>2.4600056409438409E-2</v>
      </c>
      <c r="Y3509" s="232"/>
    </row>
    <row r="3510" spans="21:25" x14ac:dyDescent="0.2">
      <c r="U3510" s="209" t="str">
        <f t="shared" si="57"/>
        <v>1w</v>
      </c>
      <c r="V3510" s="207">
        <f>_xll.qlCalendarAdvance(Calendar,V3509,U3510,"f",FALSE)</f>
        <v>63472</v>
      </c>
      <c r="W3510" s="210">
        <f>_xll.qlCalendarAdvance(Calendar,V3510,NDays&amp;"D")</f>
        <v>63472</v>
      </c>
      <c r="X3510" s="211">
        <v>2.4600433906192265E-2</v>
      </c>
      <c r="Y3510" s="232"/>
    </row>
    <row r="3511" spans="21:25" x14ac:dyDescent="0.2">
      <c r="U3511" s="209" t="str">
        <f t="shared" si="57"/>
        <v>1w</v>
      </c>
      <c r="V3511" s="207">
        <f>_xll.qlCalendarAdvance(Calendar,V3510,U3511,"f",FALSE)</f>
        <v>63479</v>
      </c>
      <c r="W3511" s="210">
        <f>_xll.qlCalendarAdvance(Calendar,V3511,NDays&amp;"D")</f>
        <v>63479</v>
      </c>
      <c r="X3511" s="211">
        <v>2.4600800392473587E-2</v>
      </c>
      <c r="Y3511" s="232"/>
    </row>
    <row r="3512" spans="21:25" x14ac:dyDescent="0.2">
      <c r="U3512" s="209" t="str">
        <f t="shared" si="57"/>
        <v>1w</v>
      </c>
      <c r="V3512" s="207">
        <f>_xll.qlCalendarAdvance(Calendar,V3511,U3512,"f",FALSE)</f>
        <v>63486</v>
      </c>
      <c r="W3512" s="210">
        <f>_xll.qlCalendarAdvance(Calendar,V3512,NDays&amp;"D")</f>
        <v>63486</v>
      </c>
      <c r="X3512" s="211">
        <v>2.4601155868362312E-2</v>
      </c>
      <c r="Y3512" s="232"/>
    </row>
    <row r="3513" spans="21:25" x14ac:dyDescent="0.2">
      <c r="U3513" s="209" t="str">
        <f t="shared" si="57"/>
        <v>1w</v>
      </c>
      <c r="V3513" s="207">
        <f>_xll.qlCalendarAdvance(Calendar,V3512,U3513,"f",FALSE)</f>
        <v>63493</v>
      </c>
      <c r="W3513" s="210">
        <f>_xll.qlCalendarAdvance(Calendar,V3513,NDays&amp;"D")</f>
        <v>63493</v>
      </c>
      <c r="X3513" s="211">
        <v>2.4601500334098247E-2</v>
      </c>
      <c r="Y3513" s="232"/>
    </row>
    <row r="3514" spans="21:25" x14ac:dyDescent="0.2">
      <c r="U3514" s="209" t="str">
        <f t="shared" si="57"/>
        <v>1w</v>
      </c>
      <c r="V3514" s="207">
        <f>_xll.qlCalendarAdvance(Calendar,V3513,U3514,"f",FALSE)</f>
        <v>63500</v>
      </c>
      <c r="W3514" s="210">
        <f>_xll.qlCalendarAdvance(Calendar,V3514,NDays&amp;"D")</f>
        <v>63500</v>
      </c>
      <c r="X3514" s="211">
        <v>2.4601833789441585E-2</v>
      </c>
      <c r="Y3514" s="232"/>
    </row>
    <row r="3515" spans="21:25" x14ac:dyDescent="0.2">
      <c r="U3515" s="209" t="str">
        <f t="shared" si="57"/>
        <v>1w</v>
      </c>
      <c r="V3515" s="207">
        <f>_xll.qlCalendarAdvance(Calendar,V3514,U3515,"f",FALSE)</f>
        <v>63507</v>
      </c>
      <c r="W3515" s="210">
        <f>_xll.qlCalendarAdvance(Calendar,V3515,NDays&amp;"D")</f>
        <v>63507</v>
      </c>
      <c r="X3515" s="211">
        <v>2.4602156234472261E-2</v>
      </c>
      <c r="Y3515" s="232"/>
    </row>
    <row r="3516" spans="21:25" x14ac:dyDescent="0.2">
      <c r="U3516" s="209" t="str">
        <f t="shared" si="57"/>
        <v>1w</v>
      </c>
      <c r="V3516" s="207">
        <f>_xll.qlCalendarAdvance(Calendar,V3515,U3516,"f",FALSE)</f>
        <v>63514</v>
      </c>
      <c r="W3516" s="210">
        <f>_xll.qlCalendarAdvance(Calendar,V3516,NDays&amp;"D")</f>
        <v>63514</v>
      </c>
      <c r="X3516" s="211">
        <v>2.4602467669190276E-2</v>
      </c>
      <c r="Y3516" s="232"/>
    </row>
    <row r="3517" spans="21:25" x14ac:dyDescent="0.2">
      <c r="U3517" s="209" t="str">
        <f t="shared" si="57"/>
        <v>1w</v>
      </c>
      <c r="V3517" s="207">
        <f>_xll.qlCalendarAdvance(Calendar,V3516,U3517,"f",FALSE)</f>
        <v>63521</v>
      </c>
      <c r="W3517" s="210">
        <f>_xll.qlCalendarAdvance(Calendar,V3517,NDays&amp;"D")</f>
        <v>63521</v>
      </c>
      <c r="X3517" s="211">
        <v>2.4602768093675564E-2</v>
      </c>
      <c r="Y3517" s="232"/>
    </row>
    <row r="3518" spans="21:25" x14ac:dyDescent="0.2">
      <c r="U3518" s="209" t="str">
        <f t="shared" si="57"/>
        <v>1w</v>
      </c>
      <c r="V3518" s="207">
        <f>_xll.qlCalendarAdvance(Calendar,V3517,U3518,"f",FALSE)</f>
        <v>63528</v>
      </c>
      <c r="W3518" s="210">
        <f>_xll.qlCalendarAdvance(Calendar,V3518,NDays&amp;"D")</f>
        <v>63528</v>
      </c>
      <c r="X3518" s="211">
        <v>2.4603057507768256E-2</v>
      </c>
      <c r="Y3518" s="232"/>
    </row>
    <row r="3519" spans="21:25" x14ac:dyDescent="0.2">
      <c r="U3519" s="209" t="str">
        <f t="shared" si="57"/>
        <v>1w</v>
      </c>
      <c r="V3519" s="207">
        <f>_xll.qlCalendarAdvance(Calendar,V3518,U3519,"f",FALSE)</f>
        <v>63535</v>
      </c>
      <c r="W3519" s="210">
        <f>_xll.qlCalendarAdvance(Calendar,V3519,NDays&amp;"D")</f>
        <v>63535</v>
      </c>
      <c r="X3519" s="211">
        <v>2.4603335911388413E-2</v>
      </c>
      <c r="Y3519" s="232"/>
    </row>
    <row r="3520" spans="21:25" x14ac:dyDescent="0.2">
      <c r="U3520" s="209" t="str">
        <f t="shared" si="57"/>
        <v>1w</v>
      </c>
      <c r="V3520" s="207">
        <f>_xll.qlCalendarAdvance(Calendar,V3519,U3520,"f",FALSE)</f>
        <v>63542</v>
      </c>
      <c r="W3520" s="210">
        <f>_xll.qlCalendarAdvance(Calendar,V3520,NDays&amp;"D")</f>
        <v>63542</v>
      </c>
      <c r="X3520" s="211">
        <v>2.4603603304695909E-2</v>
      </c>
      <c r="Y3520" s="232"/>
    </row>
    <row r="3521" spans="21:25" x14ac:dyDescent="0.2">
      <c r="U3521" s="209" t="str">
        <f t="shared" si="57"/>
        <v>1w</v>
      </c>
      <c r="V3521" s="207">
        <f>_xll.qlCalendarAdvance(Calendar,V3520,U3521,"f",FALSE)</f>
        <v>63550</v>
      </c>
      <c r="W3521" s="210">
        <f>_xll.qlCalendarAdvance(Calendar,V3521,NDays&amp;"D")</f>
        <v>63550</v>
      </c>
      <c r="X3521" s="211">
        <v>2.4603895415271637E-2</v>
      </c>
      <c r="Y3521" s="232"/>
    </row>
    <row r="3522" spans="21:25" x14ac:dyDescent="0.2">
      <c r="U3522" s="209" t="str">
        <f t="shared" si="57"/>
        <v>1w</v>
      </c>
      <c r="V3522" s="207">
        <f>_xll.qlCalendarAdvance(Calendar,V3521,U3522,"f",FALSE)</f>
        <v>63557</v>
      </c>
      <c r="W3522" s="210">
        <f>_xll.qlCalendarAdvance(Calendar,V3522,NDays&amp;"D")</f>
        <v>63557</v>
      </c>
      <c r="X3522" s="211">
        <v>2.4604139215211873E-2</v>
      </c>
      <c r="Y3522" s="232"/>
    </row>
    <row r="3523" spans="21:25" x14ac:dyDescent="0.2">
      <c r="U3523" s="209" t="str">
        <f t="shared" si="57"/>
        <v>1w</v>
      </c>
      <c r="V3523" s="207">
        <f>_xll.qlCalendarAdvance(Calendar,V3522,U3523,"f",FALSE)</f>
        <v>63564</v>
      </c>
      <c r="W3523" s="210">
        <f>_xll.qlCalendarAdvance(Calendar,V3523,NDays&amp;"D")</f>
        <v>63564</v>
      </c>
      <c r="X3523" s="211">
        <v>2.4604372004839448E-2</v>
      </c>
      <c r="Y3523" s="232"/>
    </row>
    <row r="3524" spans="21:25" x14ac:dyDescent="0.2">
      <c r="U3524" s="209" t="str">
        <f t="shared" si="57"/>
        <v>1w</v>
      </c>
      <c r="V3524" s="207">
        <f>_xll.qlCalendarAdvance(Calendar,V3523,U3524,"f",FALSE)</f>
        <v>63571</v>
      </c>
      <c r="W3524" s="210">
        <f>_xll.qlCalendarAdvance(Calendar,V3524,NDays&amp;"D")</f>
        <v>63571</v>
      </c>
      <c r="X3524" s="211">
        <v>2.4604593783994488E-2</v>
      </c>
      <c r="Y3524" s="232"/>
    </row>
    <row r="3525" spans="21:25" x14ac:dyDescent="0.2">
      <c r="U3525" s="209" t="str">
        <f t="shared" si="57"/>
        <v>1w</v>
      </c>
      <c r="V3525" s="207">
        <f>_xll.qlCalendarAdvance(Calendar,V3524,U3525,"f",FALSE)</f>
        <v>63578</v>
      </c>
      <c r="W3525" s="210">
        <f>_xll.qlCalendarAdvance(Calendar,V3525,NDays&amp;"D")</f>
        <v>63578</v>
      </c>
      <c r="X3525" s="211">
        <v>2.4604804552836868E-2</v>
      </c>
      <c r="Y3525" s="232"/>
    </row>
    <row r="3526" spans="21:25" x14ac:dyDescent="0.2">
      <c r="U3526" s="209" t="str">
        <f t="shared" si="57"/>
        <v>1w</v>
      </c>
      <c r="V3526" s="207">
        <f>_xll.qlCalendarAdvance(Calendar,V3525,U3526,"f",FALSE)</f>
        <v>63585</v>
      </c>
      <c r="W3526" s="210">
        <f>_xll.qlCalendarAdvance(Calendar,V3526,NDays&amp;"D")</f>
        <v>63585</v>
      </c>
      <c r="X3526" s="211">
        <v>2.4605004311606393E-2</v>
      </c>
      <c r="Y3526" s="232"/>
    </row>
    <row r="3527" spans="21:25" x14ac:dyDescent="0.2">
      <c r="U3527" s="209" t="str">
        <f t="shared" si="57"/>
        <v>1w</v>
      </c>
      <c r="V3527" s="207">
        <f>_xll.qlCalendarAdvance(Calendar,V3526,U3527,"f",FALSE)</f>
        <v>63592</v>
      </c>
      <c r="W3527" s="210">
        <f>_xll.qlCalendarAdvance(Calendar,V3527,NDays&amp;"D")</f>
        <v>63592</v>
      </c>
      <c r="X3527" s="211">
        <v>2.4605193059983321E-2</v>
      </c>
      <c r="Y3527" s="232"/>
    </row>
    <row r="3528" spans="21:25" x14ac:dyDescent="0.2">
      <c r="U3528" s="209" t="str">
        <f t="shared" si="57"/>
        <v>1w</v>
      </c>
      <c r="V3528" s="207">
        <f>_xll.qlCalendarAdvance(Calendar,V3527,U3528,"f",FALSE)</f>
        <v>63599</v>
      </c>
      <c r="W3528" s="210">
        <f>_xll.qlCalendarAdvance(Calendar,V3528,NDays&amp;"D")</f>
        <v>63599</v>
      </c>
      <c r="X3528" s="211">
        <v>2.4605370797887716E-2</v>
      </c>
      <c r="Y3528" s="232"/>
    </row>
    <row r="3529" spans="21:25" x14ac:dyDescent="0.2">
      <c r="U3529" s="209" t="str">
        <f t="shared" si="57"/>
        <v>1w</v>
      </c>
      <c r="V3529" s="207">
        <f>_xll.qlCalendarAdvance(Calendar,V3528,U3529,"f",FALSE)</f>
        <v>63606</v>
      </c>
      <c r="W3529" s="210">
        <f>_xll.qlCalendarAdvance(Calendar,V3529,NDays&amp;"D")</f>
        <v>63606</v>
      </c>
      <c r="X3529" s="211">
        <v>2.4605537525639321E-2</v>
      </c>
      <c r="Y3529" s="232"/>
    </row>
    <row r="3530" spans="21:25" x14ac:dyDescent="0.2">
      <c r="U3530" s="209" t="str">
        <f t="shared" si="57"/>
        <v>1w</v>
      </c>
      <c r="V3530" s="207">
        <f>_xll.qlCalendarAdvance(Calendar,V3529,U3530,"f",FALSE)</f>
        <v>63613</v>
      </c>
      <c r="W3530" s="210">
        <f>_xll.qlCalendarAdvance(Calendar,V3530,NDays&amp;"D")</f>
        <v>63613</v>
      </c>
      <c r="X3530" s="211">
        <v>2.4605693242998328E-2</v>
      </c>
      <c r="Y3530" s="232"/>
    </row>
    <row r="3531" spans="21:25" x14ac:dyDescent="0.2">
      <c r="U3531" s="209" t="str">
        <f t="shared" si="57"/>
        <v>1w</v>
      </c>
      <c r="V3531" s="207">
        <f>_xll.qlCalendarAdvance(Calendar,V3530,U3531,"f",FALSE)</f>
        <v>63620</v>
      </c>
      <c r="W3531" s="210">
        <f>_xll.qlCalendarAdvance(Calendar,V3531,NDays&amp;"D")</f>
        <v>63620</v>
      </c>
      <c r="X3531" s="211">
        <v>2.4605837950124609E-2</v>
      </c>
      <c r="Y3531" s="232"/>
    </row>
    <row r="3532" spans="21:25" x14ac:dyDescent="0.2">
      <c r="U3532" s="209" t="str">
        <f t="shared" si="57"/>
        <v>1w</v>
      </c>
      <c r="V3532" s="207">
        <f>_xll.qlCalendarAdvance(Calendar,V3531,U3532,"f",FALSE)</f>
        <v>63627</v>
      </c>
      <c r="W3532" s="210">
        <f>_xll.qlCalendarAdvance(Calendar,V3532,NDays&amp;"D")</f>
        <v>63627</v>
      </c>
      <c r="X3532" s="211">
        <v>2.4605971646698421E-2</v>
      </c>
      <c r="Y3532" s="232"/>
    </row>
    <row r="3533" spans="21:25" x14ac:dyDescent="0.2">
      <c r="U3533" s="209" t="str">
        <f t="shared" ref="U3533:U3544" si="58">U3532</f>
        <v>1w</v>
      </c>
      <c r="V3533" s="207">
        <f>_xll.qlCalendarAdvance(Calendar,V3532,U3533,"f",FALSE)</f>
        <v>63634</v>
      </c>
      <c r="W3533" s="210">
        <f>_xll.qlCalendarAdvance(Calendar,V3533,NDays&amp;"D")</f>
        <v>63634</v>
      </c>
      <c r="X3533" s="211">
        <v>2.4606094333119444E-2</v>
      </c>
      <c r="Y3533" s="232"/>
    </row>
    <row r="3534" spans="21:25" x14ac:dyDescent="0.2">
      <c r="U3534" s="209" t="str">
        <f t="shared" si="58"/>
        <v>1w</v>
      </c>
      <c r="V3534" s="207">
        <f>_xll.qlCalendarAdvance(Calendar,V3533,U3534,"f",FALSE)</f>
        <v>63641</v>
      </c>
      <c r="W3534" s="210">
        <f>_xll.qlCalendarAdvance(Calendar,V3534,NDays&amp;"D")</f>
        <v>63641</v>
      </c>
      <c r="X3534" s="211">
        <v>2.4606206009147868E-2</v>
      </c>
      <c r="Y3534" s="232"/>
    </row>
    <row r="3535" spans="21:25" x14ac:dyDescent="0.2">
      <c r="U3535" s="209" t="str">
        <f t="shared" si="58"/>
        <v>1w</v>
      </c>
      <c r="V3535" s="207">
        <f>_xll.qlCalendarAdvance(Calendar,V3534,U3535,"f",FALSE)</f>
        <v>63648</v>
      </c>
      <c r="W3535" s="210">
        <f>_xll.qlCalendarAdvance(Calendar,V3535,NDays&amp;"D")</f>
        <v>63648</v>
      </c>
      <c r="X3535" s="211">
        <v>2.4606306674943568E-2</v>
      </c>
      <c r="Y3535" s="232"/>
    </row>
    <row r="3536" spans="21:25" x14ac:dyDescent="0.2">
      <c r="U3536" s="209" t="str">
        <f t="shared" si="58"/>
        <v>1w</v>
      </c>
      <c r="V3536" s="207">
        <f>_xll.qlCalendarAdvance(Calendar,V3535,U3536,"f",FALSE)</f>
        <v>63655</v>
      </c>
      <c r="W3536" s="210">
        <f>_xll.qlCalendarAdvance(Calendar,V3536,NDays&amp;"D")</f>
        <v>63655</v>
      </c>
      <c r="X3536" s="211">
        <v>2.4606396330346669E-2</v>
      </c>
      <c r="Y3536" s="232"/>
    </row>
    <row r="3537" spans="2:25" x14ac:dyDescent="0.2">
      <c r="U3537" s="209" t="str">
        <f t="shared" si="58"/>
        <v>1w</v>
      </c>
      <c r="V3537" s="207">
        <f>_xll.qlCalendarAdvance(Calendar,V3536,U3537,"f",FALSE)</f>
        <v>63662</v>
      </c>
      <c r="W3537" s="210">
        <f>_xll.qlCalendarAdvance(Calendar,V3537,NDays&amp;"D")</f>
        <v>63662</v>
      </c>
      <c r="X3537" s="211">
        <v>2.4606474975517045E-2</v>
      </c>
      <c r="Y3537" s="232"/>
    </row>
    <row r="3538" spans="2:25" x14ac:dyDescent="0.2">
      <c r="U3538" s="209" t="str">
        <f t="shared" si="58"/>
        <v>1w</v>
      </c>
      <c r="V3538" s="207">
        <f>_xll.qlCalendarAdvance(Calendar,V3537,U3538,"f",FALSE)</f>
        <v>63669</v>
      </c>
      <c r="W3538" s="210">
        <f>_xll.qlCalendarAdvance(Calendar,V3538,NDays&amp;"D")</f>
        <v>63669</v>
      </c>
      <c r="X3538" s="211">
        <v>2.460654261037476E-2</v>
      </c>
      <c r="Y3538" s="232"/>
    </row>
    <row r="3539" spans="2:25" x14ac:dyDescent="0.2">
      <c r="B3539" s="207"/>
      <c r="C3539" s="210"/>
      <c r="D3539" s="211"/>
      <c r="E3539" s="211"/>
      <c r="U3539" s="209" t="str">
        <f t="shared" si="58"/>
        <v>1w</v>
      </c>
      <c r="V3539" s="207">
        <f>_xll.qlCalendarAdvance(Calendar,V3538,U3539,"f",FALSE)</f>
        <v>63676</v>
      </c>
      <c r="W3539" s="210">
        <f>_xll.qlCalendarAdvance(Calendar,V3539,NDays&amp;"D")</f>
        <v>63676</v>
      </c>
      <c r="X3539" s="211">
        <v>2.460659923475994E-2</v>
      </c>
      <c r="Y3539" s="232"/>
    </row>
    <row r="3540" spans="2:25" x14ac:dyDescent="0.2">
      <c r="B3540" s="207"/>
      <c r="C3540" s="210"/>
      <c r="D3540" s="211"/>
      <c r="E3540" s="211"/>
      <c r="U3540" s="209" t="str">
        <f t="shared" si="58"/>
        <v>1w</v>
      </c>
      <c r="V3540" s="207">
        <f>_xll.qlCalendarAdvance(Calendar,V3539,U3540,"f",FALSE)</f>
        <v>63683</v>
      </c>
      <c r="W3540" s="210">
        <f>_xll.qlCalendarAdvance(Calendar,V3540,NDays&amp;"D")</f>
        <v>63683</v>
      </c>
      <c r="X3540" s="211">
        <v>2.4606644848992332E-2</v>
      </c>
      <c r="Y3540" s="232"/>
    </row>
    <row r="3541" spans="2:25" x14ac:dyDescent="0.2">
      <c r="B3541" s="207"/>
      <c r="C3541" s="210"/>
      <c r="D3541" s="211"/>
      <c r="E3541" s="211"/>
      <c r="U3541" s="209" t="str">
        <f t="shared" si="58"/>
        <v>1w</v>
      </c>
      <c r="V3541" s="207">
        <f>_xll.qlCalendarAdvance(Calendar,V3540,U3541,"f",FALSE)</f>
        <v>63690</v>
      </c>
      <c r="W3541" s="210">
        <f>_xll.qlCalendarAdvance(Calendar,V3541,NDays&amp;"D")</f>
        <v>63690</v>
      </c>
      <c r="X3541" s="211">
        <v>2.4606679452912061E-2</v>
      </c>
      <c r="Y3541" s="232"/>
    </row>
    <row r="3542" spans="2:25" x14ac:dyDescent="0.2">
      <c r="B3542" s="207"/>
      <c r="C3542" s="210"/>
      <c r="D3542" s="211"/>
      <c r="E3542" s="211"/>
      <c r="U3542" s="209" t="str">
        <f t="shared" si="58"/>
        <v>1w</v>
      </c>
      <c r="V3542" s="207">
        <f>_xll.qlCalendarAdvance(Calendar,V3541,U3542,"f",FALSE)</f>
        <v>63697</v>
      </c>
      <c r="W3542" s="210">
        <f>_xll.qlCalendarAdvance(Calendar,V3542,NDays&amp;"D")</f>
        <v>63697</v>
      </c>
      <c r="X3542" s="211">
        <v>2.4606703046439193E-2</v>
      </c>
      <c r="Y3542" s="232"/>
    </row>
    <row r="3543" spans="2:25" x14ac:dyDescent="0.2">
      <c r="B3543" s="207"/>
      <c r="C3543" s="210"/>
      <c r="D3543" s="211"/>
      <c r="E3543" s="211"/>
      <c r="U3543" s="209" t="str">
        <f t="shared" si="58"/>
        <v>1w</v>
      </c>
      <c r="V3543" s="207">
        <f>_xll.qlCalendarAdvance(Calendar,V3542,U3543,"f",FALSE)</f>
        <v>63704</v>
      </c>
      <c r="W3543" s="210">
        <f>_xll.qlCalendarAdvance(Calendar,V3543,NDays&amp;"D")</f>
        <v>63704</v>
      </c>
      <c r="X3543" s="211">
        <v>2.4606715629653664E-2</v>
      </c>
      <c r="Y3543" s="232"/>
    </row>
    <row r="3544" spans="2:25" ht="12" thickBot="1" x14ac:dyDescent="0.25">
      <c r="B3544" s="207"/>
      <c r="C3544" s="210"/>
      <c r="D3544" s="211"/>
      <c r="E3544" s="211"/>
      <c r="U3544" s="225" t="str">
        <f t="shared" si="58"/>
        <v>1w</v>
      </c>
      <c r="V3544" s="213">
        <f>_xll.qlCalendarAdvance(Calendar,V3543,U3544,"f",FALSE)</f>
        <v>63711</v>
      </c>
      <c r="W3544" s="231">
        <f>_xll.qlCalendarAdvance(Calendar,V3544,NDays&amp;"D")</f>
        <v>63711</v>
      </c>
      <c r="X3544" s="212" t="e">
        <v>#N/A</v>
      </c>
      <c r="Y3544" s="232"/>
    </row>
    <row r="3545" spans="2:25" x14ac:dyDescent="0.2">
      <c r="B3545" s="207"/>
      <c r="C3545" s="210"/>
      <c r="D3545" s="211"/>
      <c r="E3545" s="211"/>
      <c r="Y3545" s="232"/>
    </row>
    <row r="3546" spans="2:25" x14ac:dyDescent="0.2">
      <c r="B3546" s="207"/>
      <c r="C3546" s="210"/>
      <c r="D3546" s="211"/>
      <c r="E3546" s="211"/>
      <c r="Y3546" s="232"/>
    </row>
    <row r="3547" spans="2:25" x14ac:dyDescent="0.2">
      <c r="B3547" s="207"/>
      <c r="C3547" s="210"/>
      <c r="D3547" s="211"/>
      <c r="E3547" s="211"/>
      <c r="Y3547" s="232"/>
    </row>
    <row r="3548" spans="2:25" x14ac:dyDescent="0.2">
      <c r="B3548" s="207"/>
      <c r="C3548" s="210"/>
      <c r="D3548" s="211"/>
      <c r="E3548" s="211"/>
      <c r="Y3548" s="232"/>
    </row>
    <row r="3549" spans="2:25" x14ac:dyDescent="0.2">
      <c r="B3549" s="207"/>
      <c r="C3549" s="210"/>
      <c r="D3549" s="211"/>
      <c r="E3549" s="211"/>
    </row>
    <row r="3550" spans="2:25" x14ac:dyDescent="0.2">
      <c r="B3550" s="207"/>
      <c r="C3550" s="210"/>
      <c r="D3550" s="211"/>
      <c r="E3550" s="211"/>
    </row>
    <row r="3551" spans="2:25" x14ac:dyDescent="0.2">
      <c r="B3551" s="207"/>
      <c r="C3551" s="210"/>
      <c r="D3551" s="211"/>
      <c r="E3551" s="211"/>
      <c r="U3551" s="222"/>
    </row>
    <row r="3552" spans="2:25" x14ac:dyDescent="0.2">
      <c r="B3552" s="207"/>
      <c r="C3552" s="210"/>
      <c r="D3552" s="211"/>
      <c r="E3552" s="211"/>
      <c r="U3552" s="222"/>
    </row>
    <row r="3553" spans="2:21" x14ac:dyDescent="0.2">
      <c r="B3553" s="207"/>
      <c r="C3553" s="210"/>
      <c r="D3553" s="211"/>
      <c r="E3553" s="211"/>
      <c r="U3553" s="222"/>
    </row>
    <row r="3554" spans="2:21" x14ac:dyDescent="0.2">
      <c r="B3554" s="207"/>
      <c r="C3554" s="210"/>
      <c r="D3554" s="211"/>
      <c r="E3554" s="211"/>
      <c r="U3554" s="222"/>
    </row>
    <row r="3555" spans="2:21" x14ac:dyDescent="0.2">
      <c r="B3555" s="207"/>
      <c r="C3555" s="210"/>
      <c r="D3555" s="211"/>
      <c r="E3555" s="211"/>
      <c r="U3555" s="222"/>
    </row>
    <row r="3556" spans="2:21" x14ac:dyDescent="0.2">
      <c r="B3556" s="207"/>
      <c r="C3556" s="210"/>
      <c r="D3556" s="211"/>
      <c r="E3556" s="211"/>
      <c r="U3556" s="222"/>
    </row>
    <row r="3557" spans="2:21" x14ac:dyDescent="0.2">
      <c r="B3557" s="207"/>
      <c r="C3557" s="210"/>
      <c r="D3557" s="211"/>
      <c r="E3557" s="211"/>
      <c r="U3557" s="222"/>
    </row>
    <row r="3558" spans="2:21" x14ac:dyDescent="0.2">
      <c r="B3558" s="207"/>
      <c r="C3558" s="210"/>
      <c r="D3558" s="211"/>
      <c r="E3558" s="211"/>
      <c r="U3558" s="222"/>
    </row>
    <row r="3559" spans="2:21" x14ac:dyDescent="0.2">
      <c r="B3559" s="207"/>
      <c r="C3559" s="210"/>
      <c r="D3559" s="211"/>
      <c r="E3559" s="211"/>
      <c r="U3559" s="222"/>
    </row>
    <row r="3560" spans="2:21" x14ac:dyDescent="0.2">
      <c r="B3560" s="207"/>
      <c r="C3560" s="210"/>
      <c r="D3560" s="211"/>
      <c r="E3560" s="211"/>
      <c r="U3560" s="222"/>
    </row>
    <row r="3561" spans="2:21" x14ac:dyDescent="0.2">
      <c r="B3561" s="207"/>
      <c r="C3561" s="210"/>
      <c r="D3561" s="211"/>
      <c r="E3561" s="211"/>
      <c r="U3561" s="222"/>
    </row>
    <row r="3562" spans="2:21" x14ac:dyDescent="0.2">
      <c r="B3562" s="207"/>
      <c r="C3562" s="210"/>
      <c r="D3562" s="211"/>
      <c r="E3562" s="211"/>
      <c r="U3562" s="222"/>
    </row>
    <row r="3563" spans="2:21" x14ac:dyDescent="0.2">
      <c r="B3563" s="207"/>
      <c r="C3563" s="210"/>
      <c r="D3563" s="211"/>
      <c r="E3563" s="211"/>
      <c r="U3563" s="222"/>
    </row>
    <row r="3564" spans="2:21" x14ac:dyDescent="0.2">
      <c r="B3564" s="207"/>
      <c r="C3564" s="210"/>
      <c r="D3564" s="211"/>
      <c r="E3564" s="211"/>
      <c r="U3564" s="222"/>
    </row>
    <row r="3565" spans="2:21" x14ac:dyDescent="0.2">
      <c r="B3565" s="207"/>
      <c r="C3565" s="210"/>
      <c r="D3565" s="211"/>
      <c r="E3565" s="211"/>
      <c r="U3565" s="222"/>
    </row>
    <row r="3566" spans="2:21" x14ac:dyDescent="0.2">
      <c r="B3566" s="207"/>
      <c r="C3566" s="210"/>
      <c r="D3566" s="211"/>
      <c r="E3566" s="211"/>
      <c r="U3566" s="222"/>
    </row>
    <row r="3567" spans="2:21" x14ac:dyDescent="0.2">
      <c r="B3567" s="207"/>
      <c r="C3567" s="210"/>
      <c r="D3567" s="211"/>
      <c r="E3567" s="211"/>
      <c r="U3567" s="222"/>
    </row>
    <row r="3568" spans="2:21" x14ac:dyDescent="0.2">
      <c r="B3568" s="207"/>
      <c r="C3568" s="210"/>
      <c r="D3568" s="211"/>
      <c r="E3568" s="211"/>
      <c r="U3568" s="222"/>
    </row>
    <row r="3569" spans="2:21" x14ac:dyDescent="0.2">
      <c r="B3569" s="207"/>
      <c r="C3569" s="210"/>
      <c r="D3569" s="211"/>
      <c r="E3569" s="211"/>
      <c r="U3569" s="222"/>
    </row>
    <row r="3570" spans="2:21" x14ac:dyDescent="0.2">
      <c r="B3570" s="207"/>
      <c r="C3570" s="210"/>
      <c r="D3570" s="211"/>
      <c r="E3570" s="211"/>
      <c r="U3570" s="222"/>
    </row>
    <row r="3571" spans="2:21" x14ac:dyDescent="0.2">
      <c r="B3571" s="207"/>
      <c r="C3571" s="210"/>
      <c r="D3571" s="211"/>
      <c r="E3571" s="211"/>
      <c r="U3571" s="222"/>
    </row>
    <row r="3572" spans="2:21" x14ac:dyDescent="0.2">
      <c r="B3572" s="207"/>
      <c r="C3572" s="210"/>
      <c r="D3572" s="211"/>
      <c r="E3572" s="211"/>
      <c r="U3572" s="222"/>
    </row>
    <row r="3573" spans="2:21" x14ac:dyDescent="0.2">
      <c r="B3573" s="207"/>
      <c r="C3573" s="210"/>
      <c r="D3573" s="211"/>
      <c r="E3573" s="211"/>
      <c r="U3573" s="222"/>
    </row>
    <row r="3574" spans="2:21" x14ac:dyDescent="0.2">
      <c r="B3574" s="207"/>
      <c r="C3574" s="210"/>
      <c r="D3574" s="211"/>
      <c r="E3574" s="211"/>
      <c r="U3574" s="222"/>
    </row>
    <row r="3575" spans="2:21" x14ac:dyDescent="0.2">
      <c r="B3575" s="207"/>
      <c r="C3575" s="210"/>
      <c r="D3575" s="211"/>
      <c r="E3575" s="211"/>
      <c r="U3575" s="222"/>
    </row>
    <row r="3576" spans="2:21" x14ac:dyDescent="0.2">
      <c r="B3576" s="207"/>
      <c r="C3576" s="210"/>
      <c r="D3576" s="211"/>
      <c r="E3576" s="211"/>
      <c r="U3576" s="222"/>
    </row>
    <row r="3577" spans="2:21" x14ac:dyDescent="0.2">
      <c r="B3577" s="207"/>
      <c r="C3577" s="210"/>
      <c r="D3577" s="211"/>
      <c r="E3577" s="211"/>
      <c r="U3577" s="222"/>
    </row>
    <row r="3578" spans="2:21" x14ac:dyDescent="0.2">
      <c r="B3578" s="207"/>
      <c r="C3578" s="210"/>
      <c r="D3578" s="211"/>
      <c r="E3578" s="211"/>
      <c r="U3578" s="222"/>
    </row>
    <row r="3579" spans="2:21" x14ac:dyDescent="0.2">
      <c r="B3579" s="207"/>
      <c r="C3579" s="210"/>
      <c r="D3579" s="211"/>
      <c r="E3579" s="211"/>
      <c r="U3579" s="222"/>
    </row>
    <row r="3580" spans="2:21" x14ac:dyDescent="0.2">
      <c r="B3580" s="207"/>
      <c r="C3580" s="210"/>
      <c r="D3580" s="211"/>
      <c r="E3580" s="211"/>
      <c r="U3580" s="222"/>
    </row>
    <row r="3581" spans="2:21" x14ac:dyDescent="0.2">
      <c r="B3581" s="207"/>
      <c r="C3581" s="210"/>
      <c r="D3581" s="211"/>
      <c r="E3581" s="211"/>
      <c r="U3581" s="222"/>
    </row>
    <row r="3582" spans="2:21" x14ac:dyDescent="0.2">
      <c r="B3582" s="207"/>
      <c r="C3582" s="210"/>
      <c r="D3582" s="211"/>
      <c r="E3582" s="211"/>
      <c r="U3582" s="222"/>
    </row>
    <row r="3583" spans="2:21" x14ac:dyDescent="0.2">
      <c r="B3583" s="207"/>
      <c r="C3583" s="210"/>
      <c r="D3583" s="211"/>
      <c r="E3583" s="211"/>
      <c r="U3583" s="222"/>
    </row>
    <row r="3584" spans="2:21" x14ac:dyDescent="0.2">
      <c r="B3584" s="207"/>
      <c r="C3584" s="210"/>
      <c r="D3584" s="211"/>
      <c r="E3584" s="211"/>
      <c r="U3584" s="222"/>
    </row>
    <row r="3585" spans="2:21" x14ac:dyDescent="0.2">
      <c r="B3585" s="207"/>
      <c r="C3585" s="210"/>
      <c r="D3585" s="211"/>
      <c r="E3585" s="211"/>
      <c r="U3585" s="222"/>
    </row>
    <row r="3586" spans="2:21" x14ac:dyDescent="0.2">
      <c r="B3586" s="207"/>
      <c r="C3586" s="210"/>
      <c r="D3586" s="211"/>
      <c r="E3586" s="211"/>
      <c r="U3586" s="222"/>
    </row>
    <row r="3587" spans="2:21" x14ac:dyDescent="0.2">
      <c r="B3587" s="207"/>
      <c r="C3587" s="210"/>
      <c r="D3587" s="211"/>
      <c r="E3587" s="211"/>
      <c r="U3587" s="222"/>
    </row>
    <row r="3588" spans="2:21" x14ac:dyDescent="0.2">
      <c r="B3588" s="207"/>
      <c r="C3588" s="210"/>
      <c r="D3588" s="211"/>
      <c r="E3588" s="211"/>
      <c r="U3588" s="222"/>
    </row>
    <row r="3589" spans="2:21" x14ac:dyDescent="0.2">
      <c r="B3589" s="207"/>
      <c r="C3589" s="210"/>
      <c r="D3589" s="211"/>
      <c r="E3589" s="211"/>
      <c r="U3589" s="222"/>
    </row>
    <row r="3590" spans="2:21" x14ac:dyDescent="0.2">
      <c r="B3590" s="207"/>
      <c r="C3590" s="210"/>
      <c r="D3590" s="211"/>
      <c r="E3590" s="211"/>
      <c r="U3590" s="222"/>
    </row>
    <row r="3591" spans="2:21" x14ac:dyDescent="0.2">
      <c r="B3591" s="207"/>
      <c r="C3591" s="210"/>
      <c r="D3591" s="211"/>
      <c r="E3591" s="211"/>
      <c r="U3591" s="222"/>
    </row>
    <row r="3592" spans="2:21" x14ac:dyDescent="0.2">
      <c r="B3592" s="207"/>
      <c r="C3592" s="210"/>
      <c r="D3592" s="211"/>
      <c r="E3592" s="211"/>
      <c r="U3592" s="222"/>
    </row>
    <row r="3593" spans="2:21" x14ac:dyDescent="0.2">
      <c r="B3593" s="207"/>
      <c r="C3593" s="210"/>
      <c r="D3593" s="211"/>
      <c r="E3593" s="211"/>
      <c r="U3593" s="222"/>
    </row>
    <row r="3594" spans="2:21" x14ac:dyDescent="0.2">
      <c r="B3594" s="207"/>
      <c r="C3594" s="210"/>
      <c r="D3594" s="211"/>
      <c r="E3594" s="211"/>
      <c r="U3594" s="222"/>
    </row>
    <row r="3595" spans="2:21" x14ac:dyDescent="0.2">
      <c r="B3595" s="207"/>
      <c r="C3595" s="210"/>
      <c r="D3595" s="211"/>
      <c r="E3595" s="211"/>
      <c r="U3595" s="222"/>
    </row>
    <row r="3596" spans="2:21" x14ac:dyDescent="0.2">
      <c r="B3596" s="207"/>
      <c r="C3596" s="210"/>
      <c r="D3596" s="211"/>
      <c r="E3596" s="211"/>
      <c r="U3596" s="222"/>
    </row>
    <row r="3597" spans="2:21" x14ac:dyDescent="0.2">
      <c r="B3597" s="207"/>
      <c r="C3597" s="210"/>
      <c r="D3597" s="211"/>
      <c r="E3597" s="211"/>
      <c r="U3597" s="222"/>
    </row>
    <row r="3598" spans="2:21" x14ac:dyDescent="0.2">
      <c r="B3598" s="207"/>
      <c r="C3598" s="210"/>
      <c r="D3598" s="211"/>
      <c r="E3598" s="211"/>
      <c r="U3598" s="222"/>
    </row>
    <row r="3599" spans="2:21" x14ac:dyDescent="0.2">
      <c r="B3599" s="207"/>
      <c r="C3599" s="210"/>
      <c r="D3599" s="211"/>
      <c r="E3599" s="211"/>
      <c r="U3599" s="222"/>
    </row>
    <row r="3600" spans="2:21" x14ac:dyDescent="0.2">
      <c r="B3600" s="207"/>
      <c r="C3600" s="210"/>
      <c r="D3600" s="211"/>
      <c r="E3600" s="211"/>
      <c r="U3600" s="222"/>
    </row>
    <row r="3601" spans="2:21" x14ac:dyDescent="0.2">
      <c r="B3601" s="207"/>
      <c r="C3601" s="210"/>
      <c r="D3601" s="211"/>
      <c r="E3601" s="211"/>
      <c r="U3601" s="222"/>
    </row>
    <row r="3602" spans="2:21" x14ac:dyDescent="0.2">
      <c r="B3602" s="207"/>
      <c r="C3602" s="210"/>
      <c r="D3602" s="211"/>
      <c r="E3602" s="211"/>
      <c r="U3602" s="222"/>
    </row>
    <row r="3603" spans="2:21" x14ac:dyDescent="0.2">
      <c r="B3603" s="207"/>
      <c r="C3603" s="210"/>
      <c r="D3603" s="211"/>
      <c r="E3603" s="211"/>
      <c r="U3603" s="222"/>
    </row>
    <row r="3604" spans="2:21" x14ac:dyDescent="0.2">
      <c r="B3604" s="207"/>
      <c r="C3604" s="210"/>
      <c r="D3604" s="211"/>
      <c r="E3604" s="211"/>
      <c r="U3604" s="222"/>
    </row>
    <row r="3605" spans="2:21" x14ac:dyDescent="0.2">
      <c r="B3605" s="207"/>
      <c r="C3605" s="210"/>
      <c r="D3605" s="211"/>
      <c r="E3605" s="211"/>
      <c r="U3605" s="222"/>
    </row>
    <row r="3606" spans="2:21" x14ac:dyDescent="0.2">
      <c r="B3606" s="207"/>
      <c r="C3606" s="210"/>
      <c r="D3606" s="211"/>
      <c r="E3606" s="211"/>
      <c r="U3606" s="222"/>
    </row>
    <row r="3607" spans="2:21" x14ac:dyDescent="0.2">
      <c r="B3607" s="207"/>
      <c r="C3607" s="210"/>
      <c r="D3607" s="211"/>
      <c r="E3607" s="211"/>
      <c r="U3607" s="222"/>
    </row>
    <row r="3608" spans="2:21" x14ac:dyDescent="0.2">
      <c r="B3608" s="207"/>
      <c r="C3608" s="210"/>
      <c r="D3608" s="211"/>
      <c r="E3608" s="211"/>
      <c r="U3608" s="222"/>
    </row>
    <row r="3609" spans="2:21" x14ac:dyDescent="0.2">
      <c r="B3609" s="207"/>
      <c r="C3609" s="210"/>
      <c r="D3609" s="211"/>
      <c r="E3609" s="211"/>
      <c r="U3609" s="222"/>
    </row>
    <row r="3610" spans="2:21" x14ac:dyDescent="0.2">
      <c r="B3610" s="207"/>
      <c r="C3610" s="210"/>
      <c r="D3610" s="211"/>
      <c r="E3610" s="211"/>
      <c r="U3610" s="222"/>
    </row>
    <row r="3611" spans="2:21" x14ac:dyDescent="0.2">
      <c r="B3611" s="207"/>
      <c r="C3611" s="210"/>
      <c r="D3611" s="211"/>
      <c r="E3611" s="211"/>
      <c r="U3611" s="222"/>
    </row>
    <row r="3612" spans="2:21" x14ac:dyDescent="0.2">
      <c r="B3612" s="207"/>
      <c r="C3612" s="210"/>
      <c r="D3612" s="211"/>
      <c r="E3612" s="211"/>
      <c r="U3612" s="222"/>
    </row>
    <row r="3613" spans="2:21" x14ac:dyDescent="0.2">
      <c r="B3613" s="207"/>
      <c r="C3613" s="210"/>
      <c r="D3613" s="211"/>
      <c r="E3613" s="211"/>
      <c r="U3613" s="222"/>
    </row>
    <row r="3614" spans="2:21" x14ac:dyDescent="0.2">
      <c r="B3614" s="207"/>
      <c r="C3614" s="210"/>
      <c r="D3614" s="211"/>
      <c r="E3614" s="211"/>
      <c r="U3614" s="222"/>
    </row>
    <row r="3615" spans="2:21" x14ac:dyDescent="0.2">
      <c r="B3615" s="207"/>
      <c r="C3615" s="210"/>
      <c r="D3615" s="211"/>
      <c r="E3615" s="211"/>
      <c r="U3615" s="222"/>
    </row>
    <row r="3616" spans="2:21" x14ac:dyDescent="0.2">
      <c r="B3616" s="207"/>
      <c r="C3616" s="210"/>
      <c r="D3616" s="211"/>
      <c r="E3616" s="211"/>
      <c r="U3616" s="222"/>
    </row>
    <row r="3617" spans="2:21" x14ac:dyDescent="0.2">
      <c r="B3617" s="207"/>
      <c r="C3617" s="210"/>
      <c r="D3617" s="211"/>
      <c r="E3617" s="211"/>
      <c r="U3617" s="222"/>
    </row>
    <row r="3618" spans="2:21" x14ac:dyDescent="0.2">
      <c r="B3618" s="207"/>
      <c r="C3618" s="210"/>
      <c r="D3618" s="211"/>
      <c r="E3618" s="211"/>
      <c r="U3618" s="222"/>
    </row>
    <row r="3619" spans="2:21" x14ac:dyDescent="0.2">
      <c r="B3619" s="207"/>
      <c r="C3619" s="210"/>
      <c r="D3619" s="211"/>
      <c r="E3619" s="211"/>
      <c r="U3619" s="222"/>
    </row>
    <row r="3620" spans="2:21" x14ac:dyDescent="0.2">
      <c r="B3620" s="207"/>
      <c r="C3620" s="210"/>
      <c r="D3620" s="211"/>
      <c r="E3620" s="211"/>
      <c r="U3620" s="222"/>
    </row>
    <row r="3621" spans="2:21" x14ac:dyDescent="0.2">
      <c r="B3621" s="207"/>
      <c r="C3621" s="210"/>
      <c r="D3621" s="211"/>
      <c r="E3621" s="211"/>
      <c r="U3621" s="222"/>
    </row>
    <row r="3622" spans="2:21" x14ac:dyDescent="0.2">
      <c r="B3622" s="207"/>
      <c r="C3622" s="210"/>
      <c r="D3622" s="211"/>
      <c r="E3622" s="211"/>
      <c r="U3622" s="222"/>
    </row>
    <row r="3623" spans="2:21" x14ac:dyDescent="0.2">
      <c r="B3623" s="207"/>
      <c r="C3623" s="210"/>
      <c r="D3623" s="211"/>
      <c r="E3623" s="211"/>
      <c r="U3623" s="222"/>
    </row>
    <row r="3624" spans="2:21" x14ac:dyDescent="0.2">
      <c r="B3624" s="207"/>
      <c r="C3624" s="210"/>
      <c r="D3624" s="211"/>
      <c r="E3624" s="211"/>
      <c r="U3624" s="222"/>
    </row>
    <row r="3625" spans="2:21" x14ac:dyDescent="0.2">
      <c r="B3625" s="207"/>
      <c r="C3625" s="210"/>
      <c r="D3625" s="211"/>
      <c r="E3625" s="211"/>
      <c r="U3625" s="222"/>
    </row>
    <row r="3626" spans="2:21" x14ac:dyDescent="0.2">
      <c r="B3626" s="207"/>
      <c r="C3626" s="210"/>
      <c r="D3626" s="211"/>
      <c r="E3626" s="211"/>
      <c r="U3626" s="222"/>
    </row>
    <row r="3627" spans="2:21" x14ac:dyDescent="0.2">
      <c r="B3627" s="207"/>
      <c r="C3627" s="210"/>
      <c r="D3627" s="211"/>
      <c r="E3627" s="211"/>
      <c r="U3627" s="222"/>
    </row>
    <row r="3628" spans="2:21" x14ac:dyDescent="0.2">
      <c r="B3628" s="207"/>
      <c r="C3628" s="210"/>
      <c r="D3628" s="211"/>
      <c r="E3628" s="211"/>
      <c r="U3628" s="222"/>
    </row>
    <row r="3629" spans="2:21" x14ac:dyDescent="0.2">
      <c r="B3629" s="207"/>
      <c r="C3629" s="210"/>
      <c r="D3629" s="211"/>
      <c r="E3629" s="211"/>
      <c r="U3629" s="222"/>
    </row>
    <row r="3630" spans="2:21" x14ac:dyDescent="0.2">
      <c r="B3630" s="207"/>
      <c r="C3630" s="210"/>
      <c r="D3630" s="211"/>
      <c r="E3630" s="211"/>
      <c r="U3630" s="222"/>
    </row>
    <row r="3631" spans="2:21" x14ac:dyDescent="0.2">
      <c r="B3631" s="207"/>
      <c r="C3631" s="210"/>
      <c r="D3631" s="211"/>
      <c r="E3631" s="211"/>
      <c r="U3631" s="222"/>
    </row>
    <row r="3632" spans="2:21" x14ac:dyDescent="0.2">
      <c r="B3632" s="207"/>
      <c r="C3632" s="210"/>
      <c r="D3632" s="211"/>
      <c r="E3632" s="211"/>
      <c r="U3632" s="222"/>
    </row>
    <row r="3633" spans="2:21" x14ac:dyDescent="0.2">
      <c r="B3633" s="207"/>
      <c r="C3633" s="210"/>
      <c r="D3633" s="211"/>
      <c r="E3633" s="211"/>
      <c r="U3633" s="222"/>
    </row>
    <row r="3634" spans="2:21" x14ac:dyDescent="0.2">
      <c r="B3634" s="207"/>
      <c r="C3634" s="210"/>
      <c r="D3634" s="211"/>
      <c r="E3634" s="211"/>
      <c r="U3634" s="222"/>
    </row>
    <row r="3635" spans="2:21" x14ac:dyDescent="0.2">
      <c r="B3635" s="207"/>
      <c r="C3635" s="210"/>
      <c r="D3635" s="211"/>
      <c r="E3635" s="211"/>
      <c r="U3635" s="222"/>
    </row>
    <row r="3636" spans="2:21" x14ac:dyDescent="0.2">
      <c r="B3636" s="207"/>
      <c r="C3636" s="210"/>
      <c r="D3636" s="211"/>
      <c r="E3636" s="211"/>
      <c r="U3636" s="222"/>
    </row>
    <row r="3637" spans="2:21" x14ac:dyDescent="0.2">
      <c r="B3637" s="207"/>
      <c r="C3637" s="210"/>
      <c r="D3637" s="211"/>
      <c r="E3637" s="211"/>
      <c r="U3637" s="222"/>
    </row>
    <row r="3638" spans="2:21" x14ac:dyDescent="0.2">
      <c r="B3638" s="207"/>
      <c r="C3638" s="210"/>
      <c r="D3638" s="211"/>
      <c r="E3638" s="211"/>
      <c r="U3638" s="222"/>
    </row>
    <row r="3639" spans="2:21" x14ac:dyDescent="0.2">
      <c r="B3639" s="207"/>
      <c r="C3639" s="210"/>
      <c r="D3639" s="211"/>
      <c r="E3639" s="211"/>
      <c r="U3639" s="222"/>
    </row>
    <row r="3640" spans="2:21" x14ac:dyDescent="0.2">
      <c r="B3640" s="207"/>
      <c r="C3640" s="210"/>
      <c r="D3640" s="211"/>
      <c r="E3640" s="211"/>
      <c r="U3640" s="222"/>
    </row>
    <row r="3641" spans="2:21" x14ac:dyDescent="0.2">
      <c r="B3641" s="207"/>
      <c r="C3641" s="210"/>
      <c r="D3641" s="211"/>
      <c r="E3641" s="211"/>
      <c r="U3641" s="222"/>
    </row>
    <row r="3642" spans="2:21" x14ac:dyDescent="0.2">
      <c r="B3642" s="207"/>
      <c r="C3642" s="210"/>
      <c r="D3642" s="211"/>
      <c r="E3642" s="211"/>
      <c r="U3642" s="222"/>
    </row>
    <row r="3643" spans="2:21" x14ac:dyDescent="0.2">
      <c r="B3643" s="207"/>
      <c r="C3643" s="210"/>
      <c r="D3643" s="211"/>
      <c r="E3643" s="211"/>
      <c r="U3643" s="222"/>
    </row>
    <row r="3644" spans="2:21" x14ac:dyDescent="0.2">
      <c r="B3644" s="207"/>
      <c r="C3644" s="210"/>
      <c r="D3644" s="211"/>
      <c r="E3644" s="211"/>
      <c r="U3644" s="222"/>
    </row>
    <row r="3645" spans="2:21" x14ac:dyDescent="0.2">
      <c r="B3645" s="207"/>
      <c r="C3645" s="210"/>
      <c r="D3645" s="211"/>
      <c r="E3645" s="211"/>
      <c r="U3645" s="222"/>
    </row>
    <row r="3646" spans="2:21" x14ac:dyDescent="0.2">
      <c r="B3646" s="207"/>
      <c r="C3646" s="210"/>
      <c r="D3646" s="211"/>
      <c r="E3646" s="211"/>
      <c r="U3646" s="222"/>
    </row>
    <row r="3647" spans="2:21" x14ac:dyDescent="0.2">
      <c r="B3647" s="207"/>
      <c r="C3647" s="210"/>
      <c r="D3647" s="211"/>
      <c r="E3647" s="211"/>
      <c r="U3647" s="222"/>
    </row>
    <row r="3648" spans="2:21" x14ac:dyDescent="0.2">
      <c r="B3648" s="207"/>
      <c r="C3648" s="210"/>
      <c r="D3648" s="211"/>
      <c r="E3648" s="211"/>
      <c r="U3648" s="222"/>
    </row>
    <row r="3649" spans="2:21" x14ac:dyDescent="0.2">
      <c r="B3649" s="207"/>
      <c r="C3649" s="210"/>
      <c r="D3649" s="211"/>
      <c r="E3649" s="211"/>
      <c r="U3649" s="222"/>
    </row>
    <row r="3650" spans="2:21" x14ac:dyDescent="0.2">
      <c r="B3650" s="207"/>
      <c r="C3650" s="210"/>
      <c r="D3650" s="211"/>
      <c r="E3650" s="211"/>
      <c r="U3650" s="222"/>
    </row>
    <row r="3651" spans="2:21" x14ac:dyDescent="0.2">
      <c r="B3651" s="207"/>
      <c r="C3651" s="210"/>
      <c r="D3651" s="211"/>
      <c r="E3651" s="211"/>
      <c r="U3651" s="222"/>
    </row>
    <row r="3652" spans="2:21" x14ac:dyDescent="0.2">
      <c r="B3652" s="207"/>
      <c r="C3652" s="210"/>
      <c r="D3652" s="211"/>
      <c r="E3652" s="211"/>
      <c r="U3652" s="222"/>
    </row>
    <row r="3653" spans="2:21" x14ac:dyDescent="0.2">
      <c r="B3653" s="207"/>
      <c r="C3653" s="210"/>
      <c r="D3653" s="211"/>
      <c r="E3653" s="211"/>
      <c r="U3653" s="222"/>
    </row>
    <row r="3654" spans="2:21" x14ac:dyDescent="0.2">
      <c r="B3654" s="207"/>
      <c r="C3654" s="210"/>
      <c r="D3654" s="211"/>
      <c r="E3654" s="211"/>
      <c r="U3654" s="222"/>
    </row>
    <row r="3655" spans="2:21" x14ac:dyDescent="0.2">
      <c r="B3655" s="207"/>
      <c r="C3655" s="210"/>
      <c r="D3655" s="211"/>
      <c r="E3655" s="211"/>
      <c r="U3655" s="222"/>
    </row>
    <row r="3656" spans="2:21" x14ac:dyDescent="0.2">
      <c r="B3656" s="207"/>
      <c r="C3656" s="210"/>
      <c r="D3656" s="211"/>
      <c r="E3656" s="211"/>
      <c r="U3656" s="222"/>
    </row>
    <row r="3657" spans="2:21" x14ac:dyDescent="0.2">
      <c r="B3657" s="207"/>
      <c r="C3657" s="210"/>
      <c r="D3657" s="211"/>
      <c r="E3657" s="211"/>
      <c r="U3657" s="222"/>
    </row>
    <row r="3658" spans="2:21" x14ac:dyDescent="0.2">
      <c r="B3658" s="207"/>
      <c r="C3658" s="210"/>
      <c r="D3658" s="211"/>
      <c r="E3658" s="211"/>
      <c r="U3658" s="222"/>
    </row>
    <row r="3659" spans="2:21" x14ac:dyDescent="0.2">
      <c r="B3659" s="207"/>
      <c r="C3659" s="210"/>
      <c r="D3659" s="211"/>
      <c r="E3659" s="211"/>
      <c r="U3659" s="222"/>
    </row>
    <row r="3660" spans="2:21" x14ac:dyDescent="0.2">
      <c r="B3660" s="207"/>
      <c r="C3660" s="210"/>
      <c r="D3660" s="211"/>
      <c r="E3660" s="211"/>
      <c r="U3660" s="222"/>
    </row>
    <row r="3661" spans="2:21" x14ac:dyDescent="0.2">
      <c r="B3661" s="207"/>
      <c r="C3661" s="210"/>
      <c r="D3661" s="211"/>
      <c r="E3661" s="211"/>
      <c r="U3661" s="222"/>
    </row>
    <row r="3662" spans="2:21" x14ac:dyDescent="0.2">
      <c r="B3662" s="207"/>
      <c r="C3662" s="210"/>
      <c r="D3662" s="211"/>
      <c r="E3662" s="211"/>
      <c r="U3662" s="222"/>
    </row>
    <row r="3663" spans="2:21" x14ac:dyDescent="0.2">
      <c r="B3663" s="207"/>
      <c r="C3663" s="210"/>
      <c r="D3663" s="211"/>
      <c r="E3663" s="211"/>
      <c r="U3663" s="222"/>
    </row>
    <row r="3664" spans="2:21" x14ac:dyDescent="0.2">
      <c r="B3664" s="207"/>
      <c r="C3664" s="210"/>
      <c r="D3664" s="211"/>
      <c r="E3664" s="211"/>
      <c r="U3664" s="222"/>
    </row>
    <row r="3665" spans="2:21" x14ac:dyDescent="0.2">
      <c r="B3665" s="207"/>
      <c r="C3665" s="210"/>
      <c r="D3665" s="211"/>
      <c r="E3665" s="211"/>
      <c r="U3665" s="222"/>
    </row>
    <row r="3666" spans="2:21" x14ac:dyDescent="0.2">
      <c r="B3666" s="207"/>
      <c r="C3666" s="210"/>
      <c r="D3666" s="211"/>
      <c r="E3666" s="211"/>
      <c r="U3666" s="222"/>
    </row>
    <row r="3667" spans="2:21" x14ac:dyDescent="0.2">
      <c r="B3667" s="207"/>
      <c r="C3667" s="210"/>
      <c r="D3667" s="211"/>
      <c r="E3667" s="211"/>
      <c r="U3667" s="222"/>
    </row>
    <row r="3668" spans="2:21" x14ac:dyDescent="0.2">
      <c r="B3668" s="207"/>
      <c r="C3668" s="210"/>
      <c r="D3668" s="211"/>
      <c r="E3668" s="211"/>
      <c r="U3668" s="222"/>
    </row>
    <row r="3669" spans="2:21" x14ac:dyDescent="0.2">
      <c r="B3669" s="207"/>
      <c r="C3669" s="210"/>
      <c r="D3669" s="211"/>
      <c r="E3669" s="211"/>
      <c r="U3669" s="222"/>
    </row>
    <row r="3670" spans="2:21" x14ac:dyDescent="0.2">
      <c r="B3670" s="207"/>
      <c r="C3670" s="210"/>
      <c r="D3670" s="211"/>
      <c r="E3670" s="211"/>
      <c r="U3670" s="222"/>
    </row>
    <row r="3671" spans="2:21" x14ac:dyDescent="0.2">
      <c r="B3671" s="207"/>
      <c r="C3671" s="210"/>
      <c r="D3671" s="211"/>
      <c r="E3671" s="211"/>
      <c r="U3671" s="222"/>
    </row>
    <row r="3672" spans="2:21" x14ac:dyDescent="0.2">
      <c r="B3672" s="207"/>
      <c r="C3672" s="210"/>
      <c r="D3672" s="211"/>
      <c r="E3672" s="211"/>
      <c r="U3672" s="222"/>
    </row>
    <row r="3673" spans="2:21" x14ac:dyDescent="0.2">
      <c r="B3673" s="207"/>
      <c r="C3673" s="210"/>
      <c r="D3673" s="211"/>
      <c r="E3673" s="211"/>
      <c r="U3673" s="222"/>
    </row>
    <row r="3674" spans="2:21" x14ac:dyDescent="0.2">
      <c r="B3674" s="207"/>
      <c r="C3674" s="210"/>
      <c r="D3674" s="211"/>
      <c r="E3674" s="211"/>
      <c r="U3674" s="222"/>
    </row>
    <row r="3675" spans="2:21" x14ac:dyDescent="0.2">
      <c r="B3675" s="207"/>
      <c r="C3675" s="210"/>
      <c r="D3675" s="211"/>
      <c r="E3675" s="211"/>
      <c r="U3675" s="222"/>
    </row>
    <row r="3676" spans="2:21" x14ac:dyDescent="0.2">
      <c r="B3676" s="207"/>
      <c r="C3676" s="210"/>
      <c r="D3676" s="211"/>
      <c r="E3676" s="211"/>
      <c r="U3676" s="222"/>
    </row>
    <row r="3677" spans="2:21" x14ac:dyDescent="0.2">
      <c r="B3677" s="207"/>
      <c r="C3677" s="210"/>
      <c r="D3677" s="211"/>
      <c r="E3677" s="211"/>
      <c r="U3677" s="222"/>
    </row>
    <row r="3678" spans="2:21" x14ac:dyDescent="0.2">
      <c r="B3678" s="207"/>
      <c r="C3678" s="210"/>
      <c r="D3678" s="211"/>
      <c r="E3678" s="211"/>
      <c r="U3678" s="222"/>
    </row>
    <row r="3679" spans="2:21" x14ac:dyDescent="0.2">
      <c r="B3679" s="207"/>
      <c r="C3679" s="210"/>
      <c r="D3679" s="211"/>
      <c r="E3679" s="211"/>
      <c r="U3679" s="222"/>
    </row>
    <row r="3680" spans="2:21" x14ac:dyDescent="0.2">
      <c r="B3680" s="207"/>
      <c r="C3680" s="210"/>
      <c r="D3680" s="211"/>
      <c r="E3680" s="211"/>
      <c r="U3680" s="222"/>
    </row>
    <row r="3681" spans="2:21" x14ac:dyDescent="0.2">
      <c r="B3681" s="207"/>
      <c r="C3681" s="210"/>
      <c r="D3681" s="211"/>
      <c r="E3681" s="211"/>
      <c r="U3681" s="222"/>
    </row>
    <row r="3682" spans="2:21" x14ac:dyDescent="0.2">
      <c r="B3682" s="207"/>
      <c r="C3682" s="210"/>
      <c r="D3682" s="211"/>
      <c r="E3682" s="211"/>
      <c r="U3682" s="222"/>
    </row>
    <row r="3683" spans="2:21" x14ac:dyDescent="0.2">
      <c r="B3683" s="207"/>
      <c r="C3683" s="210"/>
      <c r="D3683" s="211"/>
      <c r="E3683" s="211"/>
      <c r="U3683" s="222"/>
    </row>
    <row r="3684" spans="2:21" x14ac:dyDescent="0.2">
      <c r="B3684" s="207"/>
      <c r="C3684" s="210"/>
      <c r="D3684" s="211"/>
      <c r="E3684" s="211"/>
      <c r="U3684" s="222"/>
    </row>
    <row r="3685" spans="2:21" x14ac:dyDescent="0.2">
      <c r="B3685" s="207"/>
      <c r="C3685" s="210"/>
      <c r="D3685" s="211"/>
      <c r="E3685" s="211"/>
      <c r="U3685" s="222"/>
    </row>
    <row r="3686" spans="2:21" x14ac:dyDescent="0.2">
      <c r="B3686" s="207"/>
      <c r="C3686" s="210"/>
      <c r="D3686" s="211"/>
      <c r="E3686" s="211"/>
      <c r="U3686" s="222"/>
    </row>
    <row r="3687" spans="2:21" x14ac:dyDescent="0.2">
      <c r="B3687" s="207"/>
      <c r="C3687" s="210"/>
      <c r="D3687" s="211"/>
      <c r="E3687" s="211"/>
      <c r="U3687" s="222"/>
    </row>
    <row r="3688" spans="2:21" x14ac:dyDescent="0.2">
      <c r="B3688" s="207"/>
      <c r="C3688" s="210"/>
      <c r="D3688" s="211"/>
      <c r="E3688" s="211"/>
      <c r="U3688" s="222"/>
    </row>
    <row r="3689" spans="2:21" x14ac:dyDescent="0.2">
      <c r="B3689" s="207"/>
      <c r="C3689" s="210"/>
      <c r="D3689" s="211"/>
      <c r="E3689" s="211"/>
      <c r="U3689" s="222"/>
    </row>
    <row r="3690" spans="2:21" x14ac:dyDescent="0.2">
      <c r="B3690" s="207"/>
      <c r="C3690" s="210"/>
      <c r="D3690" s="211"/>
      <c r="E3690" s="211"/>
      <c r="U3690" s="222"/>
    </row>
    <row r="3691" spans="2:21" x14ac:dyDescent="0.2">
      <c r="B3691" s="207"/>
      <c r="C3691" s="210"/>
      <c r="D3691" s="211"/>
      <c r="E3691" s="211"/>
      <c r="U3691" s="222"/>
    </row>
    <row r="3692" spans="2:21" x14ac:dyDescent="0.2">
      <c r="B3692" s="207"/>
      <c r="C3692" s="210"/>
      <c r="D3692" s="211"/>
      <c r="E3692" s="211"/>
      <c r="U3692" s="222"/>
    </row>
    <row r="3693" spans="2:21" x14ac:dyDescent="0.2">
      <c r="B3693" s="207"/>
      <c r="C3693" s="210"/>
      <c r="D3693" s="211"/>
      <c r="E3693" s="211"/>
      <c r="U3693" s="222"/>
    </row>
    <row r="3694" spans="2:21" x14ac:dyDescent="0.2">
      <c r="B3694" s="207"/>
      <c r="C3694" s="210"/>
      <c r="D3694" s="211"/>
      <c r="E3694" s="211"/>
      <c r="U3694" s="222"/>
    </row>
    <row r="3695" spans="2:21" x14ac:dyDescent="0.2">
      <c r="B3695" s="207"/>
      <c r="C3695" s="210"/>
      <c r="D3695" s="211"/>
      <c r="E3695" s="211"/>
      <c r="U3695" s="222"/>
    </row>
    <row r="3696" spans="2:21" x14ac:dyDescent="0.2">
      <c r="B3696" s="207"/>
      <c r="C3696" s="210"/>
      <c r="D3696" s="211"/>
      <c r="E3696" s="211"/>
      <c r="U3696" s="222"/>
    </row>
    <row r="3697" spans="2:21" x14ac:dyDescent="0.2">
      <c r="B3697" s="207"/>
      <c r="C3697" s="210"/>
      <c r="D3697" s="211"/>
      <c r="E3697" s="211"/>
      <c r="U3697" s="222"/>
    </row>
    <row r="3698" spans="2:21" x14ac:dyDescent="0.2">
      <c r="B3698" s="207"/>
      <c r="C3698" s="210"/>
      <c r="D3698" s="211"/>
      <c r="E3698" s="211"/>
      <c r="U3698" s="222"/>
    </row>
    <row r="3699" spans="2:21" x14ac:dyDescent="0.2">
      <c r="B3699" s="207"/>
      <c r="C3699" s="210"/>
      <c r="D3699" s="211"/>
      <c r="E3699" s="211"/>
      <c r="U3699" s="222"/>
    </row>
    <row r="3700" spans="2:21" x14ac:dyDescent="0.2">
      <c r="B3700" s="207"/>
      <c r="C3700" s="210"/>
      <c r="D3700" s="211"/>
      <c r="E3700" s="211"/>
      <c r="U3700" s="222"/>
    </row>
    <row r="3701" spans="2:21" x14ac:dyDescent="0.2">
      <c r="B3701" s="207"/>
      <c r="C3701" s="210"/>
      <c r="D3701" s="211"/>
      <c r="E3701" s="211"/>
      <c r="U3701" s="222"/>
    </row>
    <row r="3702" spans="2:21" x14ac:dyDescent="0.2">
      <c r="B3702" s="207"/>
      <c r="C3702" s="210"/>
      <c r="D3702" s="211"/>
      <c r="E3702" s="211"/>
      <c r="U3702" s="222"/>
    </row>
    <row r="3703" spans="2:21" x14ac:dyDescent="0.2">
      <c r="B3703" s="207"/>
      <c r="C3703" s="210"/>
      <c r="D3703" s="211"/>
      <c r="E3703" s="211"/>
      <c r="U3703" s="222"/>
    </row>
    <row r="3704" spans="2:21" x14ac:dyDescent="0.2">
      <c r="B3704" s="207"/>
      <c r="C3704" s="210"/>
      <c r="D3704" s="211"/>
      <c r="E3704" s="211"/>
      <c r="U3704" s="222"/>
    </row>
    <row r="3705" spans="2:21" x14ac:dyDescent="0.2">
      <c r="B3705" s="207"/>
      <c r="C3705" s="210"/>
      <c r="D3705" s="211"/>
      <c r="E3705" s="211"/>
      <c r="U3705" s="222"/>
    </row>
    <row r="3706" spans="2:21" x14ac:dyDescent="0.2">
      <c r="B3706" s="207"/>
      <c r="C3706" s="210"/>
      <c r="D3706" s="211"/>
      <c r="E3706" s="211"/>
      <c r="U3706" s="222"/>
    </row>
    <row r="3707" spans="2:21" x14ac:dyDescent="0.2">
      <c r="B3707" s="207"/>
      <c r="C3707" s="210"/>
      <c r="D3707" s="211"/>
      <c r="E3707" s="211"/>
      <c r="U3707" s="222"/>
    </row>
    <row r="3708" spans="2:21" x14ac:dyDescent="0.2">
      <c r="B3708" s="207"/>
      <c r="C3708" s="210"/>
      <c r="D3708" s="211"/>
      <c r="E3708" s="211"/>
      <c r="U3708" s="222"/>
    </row>
    <row r="3709" spans="2:21" x14ac:dyDescent="0.2">
      <c r="B3709" s="207"/>
      <c r="C3709" s="210"/>
      <c r="D3709" s="211"/>
      <c r="E3709" s="211"/>
      <c r="U3709" s="222"/>
    </row>
    <row r="3710" spans="2:21" x14ac:dyDescent="0.2">
      <c r="B3710" s="207"/>
      <c r="C3710" s="210"/>
      <c r="D3710" s="211"/>
      <c r="E3710" s="211"/>
      <c r="U3710" s="222"/>
    </row>
    <row r="3711" spans="2:21" x14ac:dyDescent="0.2">
      <c r="B3711" s="207"/>
      <c r="C3711" s="210"/>
      <c r="D3711" s="211"/>
      <c r="E3711" s="211"/>
      <c r="U3711" s="222"/>
    </row>
    <row r="3712" spans="2:21" x14ac:dyDescent="0.2">
      <c r="B3712" s="207"/>
      <c r="C3712" s="210"/>
      <c r="D3712" s="211"/>
      <c r="E3712" s="211"/>
      <c r="U3712" s="222"/>
    </row>
    <row r="3713" spans="2:21" x14ac:dyDescent="0.2">
      <c r="B3713" s="207"/>
      <c r="C3713" s="210"/>
      <c r="D3713" s="211"/>
      <c r="E3713" s="211"/>
      <c r="U3713" s="222"/>
    </row>
    <row r="3714" spans="2:21" x14ac:dyDescent="0.2">
      <c r="B3714" s="207"/>
      <c r="C3714" s="210"/>
      <c r="D3714" s="211"/>
      <c r="E3714" s="211"/>
      <c r="U3714" s="222"/>
    </row>
    <row r="3715" spans="2:21" x14ac:dyDescent="0.2">
      <c r="B3715" s="207"/>
      <c r="C3715" s="210"/>
      <c r="D3715" s="211"/>
      <c r="E3715" s="211"/>
      <c r="U3715" s="222"/>
    </row>
    <row r="3716" spans="2:21" x14ac:dyDescent="0.2">
      <c r="B3716" s="207"/>
      <c r="C3716" s="210"/>
      <c r="D3716" s="211"/>
      <c r="E3716" s="211"/>
      <c r="U3716" s="222"/>
    </row>
    <row r="3717" spans="2:21" x14ac:dyDescent="0.2">
      <c r="B3717" s="207"/>
      <c r="C3717" s="210"/>
      <c r="D3717" s="211"/>
      <c r="E3717" s="211"/>
      <c r="U3717" s="222"/>
    </row>
    <row r="3718" spans="2:21" x14ac:dyDescent="0.2">
      <c r="B3718" s="207"/>
      <c r="C3718" s="210"/>
      <c r="D3718" s="211"/>
      <c r="E3718" s="211"/>
      <c r="U3718" s="222"/>
    </row>
    <row r="3719" spans="2:21" x14ac:dyDescent="0.2">
      <c r="B3719" s="207"/>
      <c r="C3719" s="210"/>
      <c r="D3719" s="211"/>
      <c r="E3719" s="211"/>
      <c r="U3719" s="222"/>
    </row>
    <row r="3720" spans="2:21" x14ac:dyDescent="0.2">
      <c r="B3720" s="207"/>
      <c r="C3720" s="210"/>
      <c r="D3720" s="211"/>
      <c r="E3720" s="211"/>
      <c r="U3720" s="222"/>
    </row>
    <row r="3721" spans="2:21" x14ac:dyDescent="0.2">
      <c r="B3721" s="207"/>
      <c r="C3721" s="210"/>
      <c r="D3721" s="211"/>
      <c r="E3721" s="211"/>
      <c r="U3721" s="222"/>
    </row>
    <row r="3722" spans="2:21" x14ac:dyDescent="0.2">
      <c r="B3722" s="207"/>
      <c r="C3722" s="210"/>
      <c r="D3722" s="211"/>
      <c r="E3722" s="211"/>
      <c r="U3722" s="222"/>
    </row>
    <row r="3723" spans="2:21" x14ac:dyDescent="0.2">
      <c r="B3723" s="207"/>
      <c r="C3723" s="210"/>
      <c r="D3723" s="211"/>
      <c r="E3723" s="211"/>
      <c r="U3723" s="222"/>
    </row>
    <row r="3724" spans="2:21" x14ac:dyDescent="0.2">
      <c r="B3724" s="207"/>
      <c r="C3724" s="210"/>
      <c r="D3724" s="211"/>
      <c r="E3724" s="211"/>
      <c r="U3724" s="222"/>
    </row>
    <row r="3725" spans="2:21" x14ac:dyDescent="0.2">
      <c r="B3725" s="207"/>
      <c r="C3725" s="210"/>
      <c r="D3725" s="211"/>
      <c r="E3725" s="211"/>
      <c r="U3725" s="222"/>
    </row>
    <row r="3726" spans="2:21" x14ac:dyDescent="0.2">
      <c r="B3726" s="207"/>
      <c r="C3726" s="210"/>
      <c r="D3726" s="211"/>
      <c r="E3726" s="211"/>
      <c r="U3726" s="222"/>
    </row>
    <row r="3727" spans="2:21" x14ac:dyDescent="0.2">
      <c r="B3727" s="207"/>
      <c r="C3727" s="210"/>
      <c r="D3727" s="211"/>
      <c r="E3727" s="211"/>
      <c r="U3727" s="222"/>
    </row>
    <row r="3728" spans="2:21" x14ac:dyDescent="0.2">
      <c r="B3728" s="207"/>
      <c r="C3728" s="210"/>
      <c r="D3728" s="211"/>
      <c r="E3728" s="211"/>
      <c r="U3728" s="222"/>
    </row>
    <row r="3729" spans="2:21" x14ac:dyDescent="0.2">
      <c r="B3729" s="207"/>
      <c r="C3729" s="210"/>
      <c r="D3729" s="211"/>
      <c r="E3729" s="211"/>
      <c r="U3729" s="222"/>
    </row>
    <row r="3730" spans="2:21" x14ac:dyDescent="0.2">
      <c r="B3730" s="207"/>
      <c r="C3730" s="210"/>
      <c r="D3730" s="211"/>
      <c r="E3730" s="211"/>
      <c r="U3730" s="222"/>
    </row>
    <row r="3731" spans="2:21" x14ac:dyDescent="0.2">
      <c r="B3731" s="207"/>
      <c r="C3731" s="210"/>
      <c r="D3731" s="211"/>
      <c r="E3731" s="211"/>
      <c r="U3731" s="222"/>
    </row>
    <row r="3732" spans="2:21" x14ac:dyDescent="0.2">
      <c r="B3732" s="207"/>
      <c r="C3732" s="210"/>
      <c r="D3732" s="211"/>
      <c r="E3732" s="211"/>
      <c r="U3732" s="222"/>
    </row>
    <row r="3733" spans="2:21" x14ac:dyDescent="0.2">
      <c r="B3733" s="207"/>
      <c r="C3733" s="210"/>
      <c r="D3733" s="211"/>
      <c r="E3733" s="211"/>
      <c r="U3733" s="222"/>
    </row>
    <row r="3734" spans="2:21" x14ac:dyDescent="0.2">
      <c r="B3734" s="207"/>
      <c r="C3734" s="210"/>
      <c r="D3734" s="211"/>
      <c r="E3734" s="211"/>
      <c r="U3734" s="222"/>
    </row>
    <row r="3735" spans="2:21" x14ac:dyDescent="0.2">
      <c r="B3735" s="207"/>
      <c r="C3735" s="210"/>
      <c r="D3735" s="211"/>
      <c r="E3735" s="211"/>
      <c r="U3735" s="222"/>
    </row>
    <row r="3736" spans="2:21" x14ac:dyDescent="0.2">
      <c r="B3736" s="207"/>
      <c r="C3736" s="210"/>
      <c r="D3736" s="211"/>
      <c r="E3736" s="211"/>
      <c r="U3736" s="222"/>
    </row>
    <row r="3737" spans="2:21" x14ac:dyDescent="0.2">
      <c r="B3737" s="207"/>
      <c r="C3737" s="210"/>
      <c r="D3737" s="211"/>
      <c r="E3737" s="211"/>
      <c r="U3737" s="222"/>
    </row>
    <row r="3738" spans="2:21" x14ac:dyDescent="0.2">
      <c r="B3738" s="207"/>
      <c r="C3738" s="210"/>
      <c r="D3738" s="211"/>
      <c r="E3738" s="211"/>
      <c r="U3738" s="222"/>
    </row>
    <row r="3739" spans="2:21" x14ac:dyDescent="0.2">
      <c r="B3739" s="207"/>
      <c r="C3739" s="210"/>
      <c r="D3739" s="211"/>
      <c r="E3739" s="211"/>
      <c r="U3739" s="222"/>
    </row>
    <row r="3740" spans="2:21" x14ac:dyDescent="0.2">
      <c r="B3740" s="207"/>
      <c r="C3740" s="210"/>
      <c r="D3740" s="211"/>
      <c r="E3740" s="211"/>
      <c r="U3740" s="222"/>
    </row>
    <row r="3741" spans="2:21" x14ac:dyDescent="0.2">
      <c r="B3741" s="207"/>
      <c r="C3741" s="210"/>
      <c r="D3741" s="211"/>
      <c r="E3741" s="211"/>
      <c r="U3741" s="222"/>
    </row>
    <row r="3742" spans="2:21" x14ac:dyDescent="0.2">
      <c r="B3742" s="207"/>
      <c r="C3742" s="210"/>
      <c r="D3742" s="211"/>
      <c r="E3742" s="211"/>
      <c r="U3742" s="222"/>
    </row>
    <row r="3743" spans="2:21" x14ac:dyDescent="0.2">
      <c r="B3743" s="207"/>
      <c r="C3743" s="210"/>
      <c r="D3743" s="211"/>
      <c r="E3743" s="211"/>
      <c r="U3743" s="222"/>
    </row>
    <row r="3744" spans="2:21" x14ac:dyDescent="0.2">
      <c r="B3744" s="207"/>
      <c r="C3744" s="210"/>
      <c r="D3744" s="211"/>
      <c r="E3744" s="211"/>
      <c r="U3744" s="222"/>
    </row>
    <row r="3745" spans="2:21" x14ac:dyDescent="0.2">
      <c r="B3745" s="207"/>
      <c r="C3745" s="210"/>
      <c r="D3745" s="211"/>
      <c r="E3745" s="211"/>
      <c r="U3745" s="222"/>
    </row>
    <row r="3746" spans="2:21" x14ac:dyDescent="0.2">
      <c r="B3746" s="207"/>
      <c r="C3746" s="210"/>
      <c r="D3746" s="211"/>
      <c r="E3746" s="211"/>
      <c r="U3746" s="222"/>
    </row>
    <row r="3747" spans="2:21" x14ac:dyDescent="0.2">
      <c r="B3747" s="207"/>
      <c r="C3747" s="210"/>
      <c r="D3747" s="211"/>
      <c r="E3747" s="211"/>
      <c r="U3747" s="222"/>
    </row>
    <row r="3748" spans="2:21" x14ac:dyDescent="0.2">
      <c r="B3748" s="207"/>
      <c r="C3748" s="210"/>
      <c r="D3748" s="211"/>
      <c r="E3748" s="211"/>
      <c r="U3748" s="222"/>
    </row>
    <row r="3749" spans="2:21" x14ac:dyDescent="0.2">
      <c r="B3749" s="207"/>
      <c r="C3749" s="210"/>
      <c r="D3749" s="211"/>
      <c r="E3749" s="211"/>
      <c r="U3749" s="222"/>
    </row>
    <row r="3750" spans="2:21" x14ac:dyDescent="0.2">
      <c r="B3750" s="207"/>
      <c r="C3750" s="210"/>
      <c r="D3750" s="211"/>
      <c r="E3750" s="211"/>
      <c r="U3750" s="222"/>
    </row>
    <row r="3751" spans="2:21" x14ac:dyDescent="0.2">
      <c r="B3751" s="207"/>
      <c r="C3751" s="210"/>
      <c r="D3751" s="211"/>
      <c r="E3751" s="211"/>
      <c r="U3751" s="222"/>
    </row>
    <row r="3752" spans="2:21" x14ac:dyDescent="0.2">
      <c r="B3752" s="207"/>
      <c r="C3752" s="210"/>
      <c r="D3752" s="211"/>
      <c r="E3752" s="211"/>
      <c r="U3752" s="222"/>
    </row>
    <row r="3753" spans="2:21" x14ac:dyDescent="0.2">
      <c r="B3753" s="207"/>
      <c r="C3753" s="210"/>
      <c r="D3753" s="211"/>
      <c r="E3753" s="211"/>
      <c r="U3753" s="222"/>
    </row>
    <row r="3754" spans="2:21" x14ac:dyDescent="0.2">
      <c r="B3754" s="207"/>
      <c r="C3754" s="210"/>
      <c r="D3754" s="211"/>
      <c r="E3754" s="211"/>
      <c r="U3754" s="222"/>
    </row>
    <row r="3755" spans="2:21" x14ac:dyDescent="0.2">
      <c r="B3755" s="207"/>
      <c r="C3755" s="210"/>
      <c r="D3755" s="211"/>
      <c r="E3755" s="211"/>
      <c r="U3755" s="222"/>
    </row>
    <row r="3756" spans="2:21" x14ac:dyDescent="0.2">
      <c r="B3756" s="207"/>
      <c r="C3756" s="210"/>
      <c r="D3756" s="211"/>
      <c r="E3756" s="211"/>
      <c r="U3756" s="222"/>
    </row>
    <row r="3757" spans="2:21" x14ac:dyDescent="0.2">
      <c r="B3757" s="207"/>
      <c r="C3757" s="210"/>
      <c r="D3757" s="211"/>
      <c r="E3757" s="211"/>
      <c r="U3757" s="222"/>
    </row>
    <row r="3758" spans="2:21" x14ac:dyDescent="0.2">
      <c r="B3758" s="207"/>
      <c r="C3758" s="210"/>
      <c r="D3758" s="211"/>
      <c r="E3758" s="211"/>
      <c r="U3758" s="222"/>
    </row>
    <row r="3759" spans="2:21" x14ac:dyDescent="0.2">
      <c r="B3759" s="207"/>
      <c r="C3759" s="210"/>
      <c r="D3759" s="211"/>
      <c r="E3759" s="211"/>
      <c r="U3759" s="222"/>
    </row>
    <row r="3760" spans="2:21" x14ac:dyDescent="0.2">
      <c r="B3760" s="207"/>
      <c r="C3760" s="210"/>
      <c r="D3760" s="211"/>
      <c r="E3760" s="211"/>
      <c r="U3760" s="222"/>
    </row>
    <row r="3761" spans="2:21" x14ac:dyDescent="0.2">
      <c r="B3761" s="207"/>
      <c r="C3761" s="210"/>
      <c r="D3761" s="211"/>
      <c r="E3761" s="211"/>
      <c r="U3761" s="222"/>
    </row>
    <row r="3762" spans="2:21" x14ac:dyDescent="0.2">
      <c r="B3762" s="207"/>
      <c r="C3762" s="210"/>
      <c r="D3762" s="211"/>
      <c r="E3762" s="211"/>
      <c r="U3762" s="222"/>
    </row>
    <row r="3763" spans="2:21" x14ac:dyDescent="0.2">
      <c r="B3763" s="207"/>
      <c r="C3763" s="210"/>
      <c r="D3763" s="211"/>
      <c r="E3763" s="211"/>
      <c r="U3763" s="222"/>
    </row>
    <row r="3764" spans="2:21" x14ac:dyDescent="0.2">
      <c r="B3764" s="207"/>
      <c r="C3764" s="210"/>
      <c r="D3764" s="211"/>
      <c r="E3764" s="211"/>
      <c r="U3764" s="222"/>
    </row>
    <row r="3765" spans="2:21" x14ac:dyDescent="0.2">
      <c r="B3765" s="207"/>
      <c r="C3765" s="210"/>
      <c r="D3765" s="211"/>
      <c r="E3765" s="211"/>
      <c r="U3765" s="222"/>
    </row>
    <row r="3766" spans="2:21" x14ac:dyDescent="0.2">
      <c r="B3766" s="207"/>
      <c r="C3766" s="210"/>
      <c r="D3766" s="211"/>
      <c r="E3766" s="211"/>
      <c r="U3766" s="222"/>
    </row>
    <row r="3767" spans="2:21" x14ac:dyDescent="0.2">
      <c r="B3767" s="207"/>
      <c r="C3767" s="210"/>
      <c r="D3767" s="211"/>
      <c r="E3767" s="211"/>
      <c r="U3767" s="222"/>
    </row>
    <row r="3768" spans="2:21" x14ac:dyDescent="0.2">
      <c r="B3768" s="207"/>
      <c r="C3768" s="210"/>
      <c r="D3768" s="211"/>
      <c r="E3768" s="211"/>
      <c r="U3768" s="222"/>
    </row>
    <row r="3769" spans="2:21" x14ac:dyDescent="0.2">
      <c r="B3769" s="207"/>
      <c r="C3769" s="210"/>
      <c r="D3769" s="211"/>
      <c r="E3769" s="211"/>
      <c r="U3769" s="222"/>
    </row>
    <row r="3770" spans="2:21" x14ac:dyDescent="0.2">
      <c r="B3770" s="207"/>
      <c r="C3770" s="210"/>
      <c r="D3770" s="211"/>
      <c r="E3770" s="211"/>
      <c r="U3770" s="222"/>
    </row>
    <row r="3771" spans="2:21" x14ac:dyDescent="0.2">
      <c r="B3771" s="207"/>
      <c r="C3771" s="210"/>
      <c r="D3771" s="211"/>
      <c r="E3771" s="211"/>
      <c r="U3771" s="222"/>
    </row>
    <row r="3772" spans="2:21" x14ac:dyDescent="0.2">
      <c r="B3772" s="207"/>
      <c r="C3772" s="210"/>
      <c r="D3772" s="211"/>
      <c r="E3772" s="211"/>
      <c r="U3772" s="222"/>
    </row>
    <row r="3773" spans="2:21" x14ac:dyDescent="0.2">
      <c r="B3773" s="207"/>
      <c r="C3773" s="210"/>
      <c r="D3773" s="211"/>
      <c r="E3773" s="211"/>
      <c r="U3773" s="222"/>
    </row>
    <row r="3774" spans="2:21" x14ac:dyDescent="0.2">
      <c r="B3774" s="207"/>
      <c r="C3774" s="210"/>
      <c r="D3774" s="211"/>
      <c r="E3774" s="211"/>
      <c r="U3774" s="222"/>
    </row>
    <row r="3775" spans="2:21" x14ac:dyDescent="0.2">
      <c r="B3775" s="207"/>
      <c r="C3775" s="210"/>
      <c r="D3775" s="211"/>
      <c r="E3775" s="211"/>
      <c r="U3775" s="222"/>
    </row>
    <row r="3776" spans="2:21" x14ac:dyDescent="0.2">
      <c r="B3776" s="207"/>
      <c r="C3776" s="210"/>
      <c r="D3776" s="211"/>
      <c r="E3776" s="211"/>
      <c r="U3776" s="222"/>
    </row>
    <row r="3777" spans="2:21" x14ac:dyDescent="0.2">
      <c r="B3777" s="207"/>
      <c r="C3777" s="210"/>
      <c r="D3777" s="211"/>
      <c r="E3777" s="211"/>
      <c r="U3777" s="222"/>
    </row>
    <row r="3778" spans="2:21" x14ac:dyDescent="0.2">
      <c r="B3778" s="207"/>
      <c r="C3778" s="210"/>
      <c r="D3778" s="211"/>
      <c r="E3778" s="211"/>
      <c r="U3778" s="222"/>
    </row>
    <row r="3779" spans="2:21" x14ac:dyDescent="0.2">
      <c r="B3779" s="207"/>
      <c r="C3779" s="210"/>
      <c r="D3779" s="211"/>
      <c r="E3779" s="211"/>
      <c r="U3779" s="222"/>
    </row>
    <row r="3780" spans="2:21" x14ac:dyDescent="0.2">
      <c r="B3780" s="207"/>
      <c r="C3780" s="210"/>
      <c r="D3780" s="211"/>
      <c r="E3780" s="211"/>
      <c r="U3780" s="222"/>
    </row>
    <row r="3781" spans="2:21" x14ac:dyDescent="0.2">
      <c r="B3781" s="207"/>
      <c r="C3781" s="210"/>
      <c r="D3781" s="211"/>
      <c r="E3781" s="211"/>
      <c r="U3781" s="222"/>
    </row>
    <row r="3782" spans="2:21" x14ac:dyDescent="0.2">
      <c r="B3782" s="207"/>
      <c r="C3782" s="210"/>
      <c r="D3782" s="211"/>
      <c r="E3782" s="211"/>
      <c r="U3782" s="222"/>
    </row>
    <row r="3783" spans="2:21" x14ac:dyDescent="0.2">
      <c r="B3783" s="207"/>
      <c r="C3783" s="210"/>
      <c r="D3783" s="211"/>
      <c r="E3783" s="211"/>
      <c r="U3783" s="222"/>
    </row>
    <row r="3784" spans="2:21" x14ac:dyDescent="0.2">
      <c r="B3784" s="207"/>
      <c r="C3784" s="210"/>
      <c r="D3784" s="211"/>
      <c r="E3784" s="211"/>
      <c r="U3784" s="222"/>
    </row>
    <row r="3785" spans="2:21" x14ac:dyDescent="0.2">
      <c r="B3785" s="207"/>
      <c r="C3785" s="210"/>
      <c r="D3785" s="211"/>
      <c r="E3785" s="211"/>
      <c r="U3785" s="222"/>
    </row>
    <row r="3786" spans="2:21" x14ac:dyDescent="0.2">
      <c r="B3786" s="207"/>
      <c r="C3786" s="210"/>
      <c r="D3786" s="211"/>
      <c r="E3786" s="211"/>
      <c r="U3786" s="222"/>
    </row>
    <row r="3787" spans="2:21" x14ac:dyDescent="0.2">
      <c r="B3787" s="207"/>
      <c r="C3787" s="210"/>
      <c r="D3787" s="211"/>
      <c r="E3787" s="211"/>
      <c r="U3787" s="222"/>
    </row>
    <row r="3788" spans="2:21" x14ac:dyDescent="0.2">
      <c r="B3788" s="207"/>
      <c r="C3788" s="210"/>
      <c r="D3788" s="211"/>
      <c r="E3788" s="211"/>
      <c r="U3788" s="222"/>
    </row>
    <row r="3789" spans="2:21" x14ac:dyDescent="0.2">
      <c r="B3789" s="207"/>
      <c r="C3789" s="210"/>
      <c r="D3789" s="211"/>
      <c r="E3789" s="211"/>
      <c r="U3789" s="222"/>
    </row>
    <row r="3790" spans="2:21" x14ac:dyDescent="0.2">
      <c r="B3790" s="207"/>
      <c r="C3790" s="210"/>
      <c r="D3790" s="211"/>
      <c r="E3790" s="211"/>
      <c r="U3790" s="222"/>
    </row>
    <row r="3791" spans="2:21" x14ac:dyDescent="0.2">
      <c r="B3791" s="207"/>
      <c r="C3791" s="210"/>
      <c r="D3791" s="211"/>
      <c r="E3791" s="211"/>
      <c r="U3791" s="222"/>
    </row>
    <row r="3792" spans="2:21" x14ac:dyDescent="0.2">
      <c r="B3792" s="207"/>
      <c r="C3792" s="210"/>
      <c r="D3792" s="211"/>
      <c r="E3792" s="211"/>
      <c r="U3792" s="222"/>
    </row>
    <row r="3793" spans="2:21" x14ac:dyDescent="0.2">
      <c r="B3793" s="207"/>
      <c r="C3793" s="210"/>
      <c r="D3793" s="211"/>
      <c r="E3793" s="211"/>
      <c r="U3793" s="222"/>
    </row>
    <row r="3794" spans="2:21" x14ac:dyDescent="0.2">
      <c r="B3794" s="207"/>
      <c r="C3794" s="210"/>
      <c r="D3794" s="211"/>
      <c r="E3794" s="211"/>
      <c r="U3794" s="222"/>
    </row>
    <row r="3795" spans="2:21" x14ac:dyDescent="0.2">
      <c r="B3795" s="207"/>
      <c r="C3795" s="210"/>
      <c r="D3795" s="211"/>
      <c r="E3795" s="211"/>
      <c r="U3795" s="222"/>
    </row>
    <row r="3796" spans="2:21" x14ac:dyDescent="0.2">
      <c r="B3796" s="207"/>
      <c r="C3796" s="210"/>
      <c r="D3796" s="211"/>
      <c r="E3796" s="211"/>
      <c r="U3796" s="222"/>
    </row>
    <row r="3797" spans="2:21" x14ac:dyDescent="0.2">
      <c r="B3797" s="207"/>
      <c r="C3797" s="210"/>
      <c r="D3797" s="211"/>
      <c r="E3797" s="211"/>
      <c r="U3797" s="222"/>
    </row>
    <row r="3798" spans="2:21" x14ac:dyDescent="0.2">
      <c r="B3798" s="207"/>
      <c r="C3798" s="210"/>
      <c r="D3798" s="211"/>
      <c r="E3798" s="211"/>
      <c r="U3798" s="222"/>
    </row>
    <row r="3799" spans="2:21" x14ac:dyDescent="0.2">
      <c r="B3799" s="207"/>
      <c r="C3799" s="210"/>
      <c r="D3799" s="211"/>
      <c r="E3799" s="211"/>
      <c r="U3799" s="222"/>
    </row>
    <row r="3800" spans="2:21" x14ac:dyDescent="0.2">
      <c r="B3800" s="207"/>
      <c r="C3800" s="210"/>
      <c r="D3800" s="211"/>
      <c r="E3800" s="211"/>
      <c r="U3800" s="222"/>
    </row>
    <row r="3801" spans="2:21" x14ac:dyDescent="0.2">
      <c r="B3801" s="207"/>
      <c r="C3801" s="210"/>
      <c r="D3801" s="211"/>
      <c r="E3801" s="211"/>
      <c r="U3801" s="222"/>
    </row>
    <row r="3802" spans="2:21" x14ac:dyDescent="0.2">
      <c r="B3802" s="207"/>
      <c r="C3802" s="210"/>
      <c r="D3802" s="211"/>
      <c r="E3802" s="211"/>
      <c r="U3802" s="222"/>
    </row>
    <row r="3803" spans="2:21" x14ac:dyDescent="0.2">
      <c r="B3803" s="207"/>
      <c r="C3803" s="210"/>
      <c r="D3803" s="211"/>
      <c r="E3803" s="211"/>
      <c r="U3803" s="222"/>
    </row>
    <row r="3804" spans="2:21" x14ac:dyDescent="0.2">
      <c r="B3804" s="207"/>
      <c r="C3804" s="210"/>
      <c r="D3804" s="211"/>
      <c r="E3804" s="211"/>
      <c r="U3804" s="222"/>
    </row>
    <row r="3805" spans="2:21" x14ac:dyDescent="0.2">
      <c r="B3805" s="207"/>
      <c r="C3805" s="210"/>
      <c r="D3805" s="211"/>
      <c r="E3805" s="211"/>
      <c r="U3805" s="222"/>
    </row>
    <row r="3806" spans="2:21" x14ac:dyDescent="0.2">
      <c r="B3806" s="207"/>
      <c r="C3806" s="210"/>
      <c r="D3806" s="211"/>
      <c r="E3806" s="211"/>
      <c r="U3806" s="222"/>
    </row>
    <row r="3807" spans="2:21" x14ac:dyDescent="0.2">
      <c r="B3807" s="207"/>
      <c r="C3807" s="210"/>
      <c r="D3807" s="211"/>
      <c r="E3807" s="211"/>
      <c r="U3807" s="222"/>
    </row>
    <row r="3808" spans="2:21" x14ac:dyDescent="0.2">
      <c r="B3808" s="207"/>
      <c r="C3808" s="210"/>
      <c r="D3808" s="211"/>
      <c r="E3808" s="211"/>
      <c r="U3808" s="222"/>
    </row>
    <row r="3809" spans="2:21" x14ac:dyDescent="0.2">
      <c r="B3809" s="207"/>
      <c r="C3809" s="210"/>
      <c r="D3809" s="211"/>
      <c r="E3809" s="211"/>
      <c r="U3809" s="222"/>
    </row>
    <row r="3810" spans="2:21" x14ac:dyDescent="0.2">
      <c r="B3810" s="207"/>
      <c r="C3810" s="210"/>
      <c r="D3810" s="211"/>
      <c r="E3810" s="211"/>
      <c r="U3810" s="222"/>
    </row>
    <row r="3811" spans="2:21" x14ac:dyDescent="0.2">
      <c r="B3811" s="207"/>
      <c r="C3811" s="210"/>
      <c r="D3811" s="211"/>
      <c r="E3811" s="211"/>
      <c r="U3811" s="222"/>
    </row>
    <row r="3812" spans="2:21" x14ac:dyDescent="0.2">
      <c r="B3812" s="207"/>
      <c r="C3812" s="210"/>
      <c r="D3812" s="211"/>
      <c r="E3812" s="211"/>
      <c r="U3812" s="222"/>
    </row>
    <row r="3813" spans="2:21" x14ac:dyDescent="0.2">
      <c r="B3813" s="207"/>
      <c r="C3813" s="210"/>
      <c r="D3813" s="211"/>
      <c r="E3813" s="211"/>
      <c r="U3813" s="222"/>
    </row>
    <row r="3814" spans="2:21" x14ac:dyDescent="0.2">
      <c r="B3814" s="207"/>
      <c r="C3814" s="210"/>
      <c r="D3814" s="211"/>
      <c r="E3814" s="211"/>
      <c r="U3814" s="222"/>
    </row>
    <row r="3815" spans="2:21" x14ac:dyDescent="0.2">
      <c r="B3815" s="207"/>
      <c r="C3815" s="210"/>
      <c r="D3815" s="211"/>
      <c r="E3815" s="211"/>
      <c r="U3815" s="222"/>
    </row>
    <row r="3816" spans="2:21" x14ac:dyDescent="0.2">
      <c r="B3816" s="207"/>
      <c r="C3816" s="210"/>
      <c r="D3816" s="211"/>
      <c r="E3816" s="211"/>
      <c r="U3816" s="222"/>
    </row>
    <row r="3817" spans="2:21" x14ac:dyDescent="0.2">
      <c r="B3817" s="207"/>
      <c r="C3817" s="210"/>
      <c r="D3817" s="211"/>
      <c r="E3817" s="211"/>
      <c r="U3817" s="222"/>
    </row>
    <row r="3818" spans="2:21" x14ac:dyDescent="0.2">
      <c r="B3818" s="207"/>
      <c r="C3818" s="210"/>
      <c r="D3818" s="211"/>
      <c r="E3818" s="211"/>
      <c r="U3818" s="222"/>
    </row>
    <row r="3819" spans="2:21" x14ac:dyDescent="0.2">
      <c r="B3819" s="207"/>
      <c r="C3819" s="210"/>
      <c r="D3819" s="211"/>
      <c r="E3819" s="211"/>
      <c r="U3819" s="222"/>
    </row>
    <row r="3820" spans="2:21" x14ac:dyDescent="0.2">
      <c r="B3820" s="207"/>
      <c r="C3820" s="210"/>
      <c r="D3820" s="211"/>
      <c r="E3820" s="211"/>
      <c r="U3820" s="222"/>
    </row>
    <row r="3821" spans="2:21" x14ac:dyDescent="0.2">
      <c r="B3821" s="207"/>
      <c r="C3821" s="210"/>
      <c r="D3821" s="211"/>
      <c r="E3821" s="211"/>
      <c r="U3821" s="222"/>
    </row>
    <row r="3822" spans="2:21" x14ac:dyDescent="0.2">
      <c r="B3822" s="207"/>
      <c r="C3822" s="210"/>
      <c r="D3822" s="211"/>
      <c r="E3822" s="211"/>
      <c r="U3822" s="222"/>
    </row>
    <row r="3823" spans="2:21" x14ac:dyDescent="0.2">
      <c r="B3823" s="207"/>
      <c r="C3823" s="210"/>
      <c r="D3823" s="211"/>
      <c r="E3823" s="211"/>
      <c r="U3823" s="222"/>
    </row>
    <row r="3824" spans="2:21" x14ac:dyDescent="0.2">
      <c r="B3824" s="207"/>
      <c r="C3824" s="210"/>
      <c r="D3824" s="211"/>
      <c r="E3824" s="211"/>
      <c r="U3824" s="222"/>
    </row>
    <row r="3825" spans="2:21" x14ac:dyDescent="0.2">
      <c r="B3825" s="207"/>
      <c r="C3825" s="210"/>
      <c r="D3825" s="211"/>
      <c r="E3825" s="211"/>
      <c r="U3825" s="222"/>
    </row>
    <row r="3826" spans="2:21" x14ac:dyDescent="0.2">
      <c r="B3826" s="207"/>
      <c r="C3826" s="210"/>
      <c r="D3826" s="211"/>
      <c r="E3826" s="211"/>
      <c r="U3826" s="222"/>
    </row>
    <row r="3827" spans="2:21" x14ac:dyDescent="0.2">
      <c r="B3827" s="207"/>
      <c r="C3827" s="210"/>
      <c r="D3827" s="211"/>
      <c r="E3827" s="211"/>
      <c r="U3827" s="222"/>
    </row>
    <row r="3828" spans="2:21" x14ac:dyDescent="0.2">
      <c r="B3828" s="207"/>
      <c r="C3828" s="210"/>
      <c r="D3828" s="211"/>
      <c r="E3828" s="211"/>
      <c r="U3828" s="222"/>
    </row>
    <row r="3829" spans="2:21" x14ac:dyDescent="0.2">
      <c r="B3829" s="207"/>
      <c r="C3829" s="210"/>
      <c r="D3829" s="211"/>
      <c r="E3829" s="211"/>
      <c r="U3829" s="222"/>
    </row>
    <row r="3830" spans="2:21" x14ac:dyDescent="0.2">
      <c r="B3830" s="207"/>
      <c r="C3830" s="210"/>
      <c r="D3830" s="211"/>
      <c r="E3830" s="211"/>
      <c r="U3830" s="222"/>
    </row>
    <row r="3831" spans="2:21" x14ac:dyDescent="0.2">
      <c r="B3831" s="207"/>
      <c r="C3831" s="210"/>
      <c r="D3831" s="211"/>
      <c r="E3831" s="211"/>
      <c r="U3831" s="222"/>
    </row>
    <row r="3832" spans="2:21" x14ac:dyDescent="0.2">
      <c r="B3832" s="207"/>
      <c r="C3832" s="210"/>
      <c r="D3832" s="211"/>
      <c r="E3832" s="211"/>
      <c r="U3832" s="222"/>
    </row>
    <row r="3833" spans="2:21" x14ac:dyDescent="0.2">
      <c r="B3833" s="207"/>
      <c r="C3833" s="210"/>
      <c r="D3833" s="211"/>
      <c r="E3833" s="211"/>
      <c r="U3833" s="222"/>
    </row>
    <row r="3834" spans="2:21" x14ac:dyDescent="0.2">
      <c r="B3834" s="207"/>
      <c r="C3834" s="210"/>
      <c r="D3834" s="211"/>
      <c r="E3834" s="211"/>
      <c r="U3834" s="222"/>
    </row>
    <row r="3835" spans="2:21" x14ac:dyDescent="0.2">
      <c r="B3835" s="207"/>
      <c r="C3835" s="210"/>
      <c r="D3835" s="211"/>
      <c r="E3835" s="211"/>
      <c r="U3835" s="222"/>
    </row>
    <row r="3836" spans="2:21" x14ac:dyDescent="0.2">
      <c r="B3836" s="207"/>
      <c r="C3836" s="210"/>
      <c r="D3836" s="211"/>
      <c r="E3836" s="211"/>
      <c r="U3836" s="222"/>
    </row>
    <row r="3837" spans="2:21" x14ac:dyDescent="0.2">
      <c r="B3837" s="207"/>
      <c r="C3837" s="210"/>
      <c r="D3837" s="211"/>
      <c r="E3837" s="211"/>
      <c r="U3837" s="222"/>
    </row>
    <row r="3838" spans="2:21" x14ac:dyDescent="0.2">
      <c r="B3838" s="207"/>
      <c r="C3838" s="210"/>
      <c r="D3838" s="211"/>
      <c r="E3838" s="211"/>
      <c r="U3838" s="222"/>
    </row>
    <row r="3839" spans="2:21" x14ac:dyDescent="0.2">
      <c r="B3839" s="207"/>
      <c r="C3839" s="210"/>
      <c r="D3839" s="211"/>
      <c r="E3839" s="211"/>
      <c r="U3839" s="222"/>
    </row>
    <row r="3840" spans="2:21" x14ac:dyDescent="0.2">
      <c r="B3840" s="207"/>
      <c r="C3840" s="210"/>
      <c r="D3840" s="211"/>
      <c r="E3840" s="211"/>
      <c r="U3840" s="222"/>
    </row>
    <row r="3841" spans="2:21" x14ac:dyDescent="0.2">
      <c r="B3841" s="207"/>
      <c r="C3841" s="210"/>
      <c r="D3841" s="211"/>
      <c r="E3841" s="211"/>
      <c r="U3841" s="222"/>
    </row>
    <row r="3842" spans="2:21" x14ac:dyDescent="0.2">
      <c r="B3842" s="207"/>
      <c r="C3842" s="210"/>
      <c r="D3842" s="211"/>
      <c r="E3842" s="211"/>
      <c r="U3842" s="222"/>
    </row>
    <row r="3843" spans="2:21" x14ac:dyDescent="0.2">
      <c r="B3843" s="207"/>
      <c r="C3843" s="210"/>
      <c r="D3843" s="211"/>
      <c r="E3843" s="211"/>
      <c r="U3843" s="222"/>
    </row>
    <row r="3844" spans="2:21" x14ac:dyDescent="0.2">
      <c r="B3844" s="207"/>
      <c r="C3844" s="210"/>
      <c r="D3844" s="211"/>
      <c r="E3844" s="211"/>
      <c r="U3844" s="222"/>
    </row>
    <row r="3845" spans="2:21" x14ac:dyDescent="0.2">
      <c r="B3845" s="207"/>
      <c r="C3845" s="210"/>
      <c r="D3845" s="211"/>
      <c r="E3845" s="211"/>
      <c r="U3845" s="222"/>
    </row>
    <row r="3846" spans="2:21" x14ac:dyDescent="0.2">
      <c r="B3846" s="207"/>
      <c r="C3846" s="210"/>
      <c r="D3846" s="211"/>
      <c r="E3846" s="211"/>
      <c r="U3846" s="222"/>
    </row>
    <row r="3847" spans="2:21" x14ac:dyDescent="0.2">
      <c r="B3847" s="207"/>
      <c r="C3847" s="210"/>
      <c r="D3847" s="211"/>
      <c r="E3847" s="211"/>
      <c r="U3847" s="222"/>
    </row>
    <row r="3848" spans="2:21" x14ac:dyDescent="0.2">
      <c r="B3848" s="207"/>
      <c r="C3848" s="210"/>
      <c r="D3848" s="211"/>
      <c r="E3848" s="211"/>
      <c r="U3848" s="222"/>
    </row>
    <row r="3849" spans="2:21" x14ac:dyDescent="0.2">
      <c r="B3849" s="207"/>
      <c r="C3849" s="210"/>
      <c r="D3849" s="211"/>
      <c r="E3849" s="211"/>
      <c r="U3849" s="222"/>
    </row>
    <row r="3850" spans="2:21" x14ac:dyDescent="0.2">
      <c r="B3850" s="207"/>
      <c r="C3850" s="210"/>
      <c r="D3850" s="211"/>
      <c r="E3850" s="211"/>
      <c r="U3850" s="222"/>
    </row>
    <row r="3851" spans="2:21" x14ac:dyDescent="0.2">
      <c r="B3851" s="207"/>
      <c r="C3851" s="210"/>
      <c r="D3851" s="211"/>
      <c r="E3851" s="211"/>
      <c r="U3851" s="222"/>
    </row>
    <row r="3852" spans="2:21" x14ac:dyDescent="0.2">
      <c r="B3852" s="207"/>
      <c r="C3852" s="210"/>
      <c r="D3852" s="211"/>
      <c r="E3852" s="211"/>
      <c r="U3852" s="222"/>
    </row>
    <row r="3853" spans="2:21" x14ac:dyDescent="0.2">
      <c r="B3853" s="207"/>
      <c r="C3853" s="210"/>
      <c r="D3853" s="211"/>
      <c r="E3853" s="211"/>
      <c r="U3853" s="222"/>
    </row>
    <row r="3854" spans="2:21" x14ac:dyDescent="0.2">
      <c r="B3854" s="207"/>
      <c r="C3854" s="210"/>
      <c r="D3854" s="211"/>
      <c r="E3854" s="211"/>
      <c r="U3854" s="222"/>
    </row>
    <row r="3855" spans="2:21" x14ac:dyDescent="0.2">
      <c r="B3855" s="207"/>
      <c r="C3855" s="210"/>
      <c r="D3855" s="211"/>
      <c r="E3855" s="211"/>
      <c r="U3855" s="222"/>
    </row>
    <row r="3856" spans="2:21" x14ac:dyDescent="0.2">
      <c r="B3856" s="207"/>
      <c r="C3856" s="210"/>
      <c r="D3856" s="211"/>
      <c r="E3856" s="211"/>
      <c r="U3856" s="222"/>
    </row>
    <row r="3857" spans="2:21" x14ac:dyDescent="0.2">
      <c r="B3857" s="207"/>
      <c r="C3857" s="210"/>
      <c r="D3857" s="211"/>
      <c r="E3857" s="211"/>
      <c r="U3857" s="222"/>
    </row>
    <row r="3858" spans="2:21" x14ac:dyDescent="0.2">
      <c r="B3858" s="207"/>
      <c r="C3858" s="210"/>
      <c r="D3858" s="211"/>
      <c r="E3858" s="211"/>
      <c r="U3858" s="222"/>
    </row>
    <row r="3859" spans="2:21" x14ac:dyDescent="0.2">
      <c r="B3859" s="207"/>
      <c r="C3859" s="210"/>
      <c r="D3859" s="211"/>
      <c r="E3859" s="211"/>
      <c r="U3859" s="222"/>
    </row>
    <row r="3860" spans="2:21" x14ac:dyDescent="0.2">
      <c r="B3860" s="207"/>
      <c r="C3860" s="210"/>
      <c r="D3860" s="211"/>
      <c r="E3860" s="211"/>
      <c r="U3860" s="222"/>
    </row>
    <row r="3861" spans="2:21" x14ac:dyDescent="0.2">
      <c r="B3861" s="207"/>
      <c r="C3861" s="210"/>
      <c r="D3861" s="211"/>
      <c r="E3861" s="211"/>
      <c r="U3861" s="222"/>
    </row>
    <row r="3862" spans="2:21" x14ac:dyDescent="0.2">
      <c r="B3862" s="207"/>
      <c r="C3862" s="210"/>
      <c r="D3862" s="211"/>
      <c r="E3862" s="211"/>
      <c r="U3862" s="222"/>
    </row>
    <row r="3863" spans="2:21" x14ac:dyDescent="0.2">
      <c r="B3863" s="207"/>
      <c r="C3863" s="210"/>
      <c r="D3863" s="211"/>
      <c r="E3863" s="211"/>
      <c r="U3863" s="222"/>
    </row>
    <row r="3864" spans="2:21" x14ac:dyDescent="0.2">
      <c r="B3864" s="207"/>
      <c r="C3864" s="210"/>
      <c r="D3864" s="211"/>
      <c r="E3864" s="211"/>
      <c r="U3864" s="222"/>
    </row>
    <row r="3865" spans="2:21" x14ac:dyDescent="0.2">
      <c r="B3865" s="207"/>
      <c r="C3865" s="210"/>
      <c r="D3865" s="211"/>
      <c r="E3865" s="211"/>
      <c r="U3865" s="222"/>
    </row>
    <row r="3866" spans="2:21" x14ac:dyDescent="0.2">
      <c r="B3866" s="207"/>
      <c r="C3866" s="210"/>
      <c r="D3866" s="211"/>
      <c r="E3866" s="211"/>
      <c r="U3866" s="222"/>
    </row>
    <row r="3867" spans="2:21" x14ac:dyDescent="0.2">
      <c r="B3867" s="207"/>
      <c r="C3867" s="210"/>
      <c r="D3867" s="211"/>
      <c r="E3867" s="211"/>
      <c r="U3867" s="222"/>
    </row>
    <row r="3868" spans="2:21" x14ac:dyDescent="0.2">
      <c r="B3868" s="207"/>
      <c r="C3868" s="210"/>
      <c r="D3868" s="211"/>
      <c r="E3868" s="211"/>
      <c r="U3868" s="222"/>
    </row>
    <row r="3869" spans="2:21" x14ac:dyDescent="0.2">
      <c r="B3869" s="207"/>
      <c r="C3869" s="210"/>
      <c r="D3869" s="211"/>
      <c r="E3869" s="211"/>
      <c r="U3869" s="222"/>
    </row>
    <row r="3870" spans="2:21" x14ac:dyDescent="0.2">
      <c r="B3870" s="207"/>
      <c r="C3870" s="210"/>
      <c r="D3870" s="211"/>
      <c r="E3870" s="211"/>
      <c r="U3870" s="222"/>
    </row>
    <row r="3871" spans="2:21" x14ac:dyDescent="0.2">
      <c r="B3871" s="207"/>
      <c r="C3871" s="210"/>
      <c r="D3871" s="211"/>
      <c r="E3871" s="211"/>
      <c r="U3871" s="222"/>
    </row>
    <row r="3872" spans="2:21" x14ac:dyDescent="0.2">
      <c r="B3872" s="207"/>
      <c r="C3872" s="210"/>
      <c r="D3872" s="211"/>
      <c r="E3872" s="211"/>
      <c r="U3872" s="222"/>
    </row>
    <row r="3873" spans="2:21" x14ac:dyDescent="0.2">
      <c r="B3873" s="207"/>
      <c r="C3873" s="210"/>
      <c r="D3873" s="211"/>
      <c r="E3873" s="211"/>
      <c r="U3873" s="222"/>
    </row>
    <row r="3874" spans="2:21" x14ac:dyDescent="0.2">
      <c r="B3874" s="207"/>
      <c r="C3874" s="210"/>
      <c r="D3874" s="211"/>
      <c r="E3874" s="211"/>
      <c r="U3874" s="222"/>
    </row>
    <row r="3875" spans="2:21" x14ac:dyDescent="0.2">
      <c r="B3875" s="207"/>
      <c r="C3875" s="210"/>
      <c r="D3875" s="211"/>
      <c r="E3875" s="211"/>
      <c r="U3875" s="222"/>
    </row>
    <row r="3876" spans="2:21" x14ac:dyDescent="0.2">
      <c r="B3876" s="207"/>
      <c r="C3876" s="210"/>
      <c r="D3876" s="211"/>
      <c r="E3876" s="211"/>
      <c r="U3876" s="222"/>
    </row>
    <row r="3877" spans="2:21" x14ac:dyDescent="0.2">
      <c r="B3877" s="207"/>
      <c r="C3877" s="210"/>
      <c r="D3877" s="211"/>
      <c r="E3877" s="211"/>
      <c r="U3877" s="222"/>
    </row>
    <row r="3878" spans="2:21" x14ac:dyDescent="0.2">
      <c r="B3878" s="207"/>
      <c r="C3878" s="210"/>
      <c r="D3878" s="211"/>
      <c r="E3878" s="211"/>
      <c r="U3878" s="222"/>
    </row>
    <row r="3879" spans="2:21" x14ac:dyDescent="0.2">
      <c r="B3879" s="207"/>
      <c r="C3879" s="210"/>
      <c r="D3879" s="211"/>
      <c r="E3879" s="211"/>
      <c r="U3879" s="222"/>
    </row>
    <row r="3880" spans="2:21" x14ac:dyDescent="0.2">
      <c r="B3880" s="207"/>
      <c r="C3880" s="210"/>
      <c r="D3880" s="211"/>
      <c r="E3880" s="211"/>
      <c r="U3880" s="222"/>
    </row>
    <row r="3881" spans="2:21" x14ac:dyDescent="0.2">
      <c r="B3881" s="207"/>
      <c r="C3881" s="210"/>
      <c r="D3881" s="211"/>
      <c r="E3881" s="211"/>
      <c r="U3881" s="222"/>
    </row>
    <row r="3882" spans="2:21" x14ac:dyDescent="0.2">
      <c r="B3882" s="207"/>
      <c r="C3882" s="210"/>
      <c r="D3882" s="211"/>
      <c r="E3882" s="211"/>
      <c r="U3882" s="222"/>
    </row>
    <row r="3883" spans="2:21" x14ac:dyDescent="0.2">
      <c r="B3883" s="207"/>
      <c r="C3883" s="210"/>
      <c r="D3883" s="211"/>
      <c r="E3883" s="211"/>
      <c r="U3883" s="222"/>
    </row>
    <row r="3884" spans="2:21" x14ac:dyDescent="0.2">
      <c r="B3884" s="207"/>
      <c r="C3884" s="210"/>
      <c r="D3884" s="211"/>
      <c r="E3884" s="211"/>
      <c r="U3884" s="222"/>
    </row>
    <row r="3885" spans="2:21" x14ac:dyDescent="0.2">
      <c r="B3885" s="207"/>
      <c r="C3885" s="210"/>
      <c r="D3885" s="211"/>
      <c r="E3885" s="211"/>
      <c r="U3885" s="222"/>
    </row>
    <row r="3886" spans="2:21" x14ac:dyDescent="0.2">
      <c r="B3886" s="207"/>
      <c r="C3886" s="210"/>
      <c r="D3886" s="211"/>
      <c r="E3886" s="211"/>
      <c r="U3886" s="222"/>
    </row>
    <row r="3887" spans="2:21" x14ac:dyDescent="0.2">
      <c r="B3887" s="207"/>
      <c r="C3887" s="210"/>
      <c r="D3887" s="211"/>
      <c r="E3887" s="211"/>
      <c r="U3887" s="222"/>
    </row>
    <row r="3888" spans="2:21" x14ac:dyDescent="0.2">
      <c r="B3888" s="207"/>
      <c r="C3888" s="210"/>
      <c r="D3888" s="211"/>
      <c r="E3888" s="211"/>
      <c r="U3888" s="222"/>
    </row>
    <row r="3889" spans="2:21" x14ac:dyDescent="0.2">
      <c r="B3889" s="207"/>
      <c r="C3889" s="210"/>
      <c r="D3889" s="211"/>
      <c r="E3889" s="211"/>
      <c r="U3889" s="222"/>
    </row>
    <row r="3890" spans="2:21" x14ac:dyDescent="0.2">
      <c r="B3890" s="207"/>
      <c r="C3890" s="210"/>
      <c r="D3890" s="211"/>
      <c r="E3890" s="211"/>
      <c r="U3890" s="222"/>
    </row>
    <row r="3891" spans="2:21" x14ac:dyDescent="0.2">
      <c r="B3891" s="207"/>
      <c r="C3891" s="210"/>
      <c r="D3891" s="211"/>
      <c r="E3891" s="211"/>
      <c r="U3891" s="222"/>
    </row>
    <row r="3892" spans="2:21" x14ac:dyDescent="0.2">
      <c r="B3892" s="207"/>
      <c r="C3892" s="210"/>
      <c r="D3892" s="211"/>
      <c r="E3892" s="211"/>
      <c r="U3892" s="222"/>
    </row>
    <row r="3893" spans="2:21" x14ac:dyDescent="0.2">
      <c r="B3893" s="207"/>
      <c r="C3893" s="210"/>
      <c r="D3893" s="211"/>
      <c r="E3893" s="211"/>
      <c r="U3893" s="222"/>
    </row>
    <row r="3894" spans="2:21" x14ac:dyDescent="0.2">
      <c r="B3894" s="207"/>
      <c r="C3894" s="210"/>
      <c r="D3894" s="211"/>
      <c r="E3894" s="211"/>
      <c r="U3894" s="222"/>
    </row>
    <row r="3895" spans="2:21" x14ac:dyDescent="0.2">
      <c r="B3895" s="207"/>
      <c r="C3895" s="210"/>
      <c r="D3895" s="211"/>
      <c r="E3895" s="211"/>
      <c r="U3895" s="222"/>
    </row>
    <row r="3896" spans="2:21" x14ac:dyDescent="0.2">
      <c r="B3896" s="207"/>
      <c r="C3896" s="210"/>
      <c r="D3896" s="211"/>
      <c r="E3896" s="211"/>
      <c r="U3896" s="222"/>
    </row>
    <row r="3897" spans="2:21" x14ac:dyDescent="0.2">
      <c r="B3897" s="207"/>
      <c r="C3897" s="210"/>
      <c r="D3897" s="211"/>
      <c r="E3897" s="211"/>
      <c r="U3897" s="222"/>
    </row>
    <row r="3898" spans="2:21" x14ac:dyDescent="0.2">
      <c r="B3898" s="207"/>
      <c r="C3898" s="210"/>
      <c r="D3898" s="211"/>
      <c r="E3898" s="211"/>
      <c r="U3898" s="222"/>
    </row>
    <row r="3899" spans="2:21" x14ac:dyDescent="0.2">
      <c r="B3899" s="207"/>
      <c r="C3899" s="210"/>
      <c r="D3899" s="211"/>
      <c r="E3899" s="211"/>
      <c r="U3899" s="222"/>
    </row>
    <row r="3900" spans="2:21" x14ac:dyDescent="0.2">
      <c r="B3900" s="207"/>
      <c r="C3900" s="210"/>
      <c r="D3900" s="211"/>
      <c r="E3900" s="211"/>
      <c r="U3900" s="222"/>
    </row>
    <row r="3901" spans="2:21" x14ac:dyDescent="0.2">
      <c r="B3901" s="207"/>
      <c r="C3901" s="210"/>
      <c r="D3901" s="211"/>
      <c r="E3901" s="211"/>
      <c r="U3901" s="222"/>
    </row>
    <row r="3902" spans="2:21" x14ac:dyDescent="0.2">
      <c r="B3902" s="207"/>
      <c r="C3902" s="210"/>
      <c r="D3902" s="211"/>
      <c r="E3902" s="211"/>
      <c r="U3902" s="222"/>
    </row>
    <row r="3903" spans="2:21" x14ac:dyDescent="0.2">
      <c r="B3903" s="207"/>
      <c r="C3903" s="210"/>
      <c r="D3903" s="211"/>
      <c r="E3903" s="211"/>
      <c r="U3903" s="222"/>
    </row>
    <row r="3904" spans="2:21" x14ac:dyDescent="0.2">
      <c r="B3904" s="207"/>
      <c r="C3904" s="210"/>
      <c r="D3904" s="211"/>
      <c r="E3904" s="211"/>
      <c r="U3904" s="222"/>
    </row>
    <row r="3905" spans="2:21" x14ac:dyDescent="0.2">
      <c r="B3905" s="207"/>
      <c r="C3905" s="210"/>
      <c r="D3905" s="211"/>
      <c r="E3905" s="211"/>
      <c r="U3905" s="222"/>
    </row>
    <row r="3906" spans="2:21" x14ac:dyDescent="0.2">
      <c r="B3906" s="207"/>
      <c r="C3906" s="210"/>
      <c r="D3906" s="211"/>
      <c r="E3906" s="211"/>
      <c r="U3906" s="222"/>
    </row>
    <row r="3907" spans="2:21" x14ac:dyDescent="0.2">
      <c r="B3907" s="207"/>
      <c r="C3907" s="210"/>
      <c r="D3907" s="211"/>
      <c r="E3907" s="211"/>
      <c r="U3907" s="222"/>
    </row>
    <row r="3908" spans="2:21" x14ac:dyDescent="0.2">
      <c r="B3908" s="207"/>
      <c r="C3908" s="210"/>
      <c r="D3908" s="211"/>
      <c r="E3908" s="211"/>
      <c r="U3908" s="222"/>
    </row>
    <row r="3909" spans="2:21" x14ac:dyDescent="0.2">
      <c r="B3909" s="207"/>
      <c r="C3909" s="210"/>
      <c r="D3909" s="211"/>
      <c r="E3909" s="211"/>
      <c r="U3909" s="222"/>
    </row>
    <row r="3910" spans="2:21" x14ac:dyDescent="0.2">
      <c r="B3910" s="207"/>
      <c r="C3910" s="210"/>
      <c r="D3910" s="211"/>
      <c r="E3910" s="211"/>
      <c r="U3910" s="222"/>
    </row>
    <row r="3911" spans="2:21" x14ac:dyDescent="0.2">
      <c r="B3911" s="207"/>
      <c r="C3911" s="210"/>
      <c r="D3911" s="211"/>
      <c r="E3911" s="211"/>
      <c r="U3911" s="222"/>
    </row>
    <row r="3912" spans="2:21" x14ac:dyDescent="0.2">
      <c r="B3912" s="207"/>
      <c r="C3912" s="210"/>
      <c r="D3912" s="211"/>
      <c r="E3912" s="211"/>
      <c r="U3912" s="222"/>
    </row>
    <row r="3913" spans="2:21" x14ac:dyDescent="0.2">
      <c r="B3913" s="207"/>
      <c r="C3913" s="210"/>
      <c r="D3913" s="211"/>
      <c r="E3913" s="211"/>
      <c r="U3913" s="222"/>
    </row>
    <row r="3914" spans="2:21" x14ac:dyDescent="0.2">
      <c r="B3914" s="207"/>
      <c r="C3914" s="210"/>
      <c r="D3914" s="211"/>
      <c r="E3914" s="211"/>
      <c r="U3914" s="222"/>
    </row>
    <row r="3915" spans="2:21" x14ac:dyDescent="0.2">
      <c r="B3915" s="207"/>
      <c r="C3915" s="210"/>
      <c r="D3915" s="211"/>
      <c r="E3915" s="211"/>
      <c r="U3915" s="222"/>
    </row>
    <row r="3916" spans="2:21" x14ac:dyDescent="0.2">
      <c r="B3916" s="207"/>
      <c r="C3916" s="210"/>
      <c r="D3916" s="211"/>
      <c r="E3916" s="211"/>
      <c r="U3916" s="222"/>
    </row>
    <row r="3917" spans="2:21" x14ac:dyDescent="0.2">
      <c r="B3917" s="207"/>
      <c r="C3917" s="210"/>
      <c r="D3917" s="211"/>
      <c r="E3917" s="211"/>
      <c r="U3917" s="222"/>
    </row>
    <row r="3918" spans="2:21" x14ac:dyDescent="0.2">
      <c r="B3918" s="207"/>
      <c r="C3918" s="210"/>
      <c r="D3918" s="211"/>
      <c r="E3918" s="211"/>
      <c r="U3918" s="222"/>
    </row>
    <row r="3919" spans="2:21" x14ac:dyDescent="0.2">
      <c r="B3919" s="207"/>
      <c r="C3919" s="210"/>
      <c r="D3919" s="211"/>
      <c r="E3919" s="211"/>
      <c r="U3919" s="222"/>
    </row>
    <row r="3920" spans="2:21" x14ac:dyDescent="0.2">
      <c r="B3920" s="207"/>
      <c r="C3920" s="210"/>
      <c r="D3920" s="211"/>
      <c r="E3920" s="211"/>
      <c r="U3920" s="222"/>
    </row>
    <row r="3921" spans="2:21" x14ac:dyDescent="0.2">
      <c r="B3921" s="207"/>
      <c r="C3921" s="210"/>
      <c r="D3921" s="211"/>
      <c r="E3921" s="211"/>
      <c r="U3921" s="222"/>
    </row>
    <row r="3922" spans="2:21" x14ac:dyDescent="0.2">
      <c r="B3922" s="207"/>
      <c r="C3922" s="210"/>
      <c r="D3922" s="211"/>
      <c r="E3922" s="211"/>
      <c r="U3922" s="222"/>
    </row>
    <row r="3923" spans="2:21" x14ac:dyDescent="0.2">
      <c r="B3923" s="207"/>
      <c r="C3923" s="210"/>
      <c r="D3923" s="211"/>
      <c r="E3923" s="211"/>
      <c r="U3923" s="222"/>
    </row>
    <row r="3924" spans="2:21" x14ac:dyDescent="0.2">
      <c r="B3924" s="207"/>
      <c r="C3924" s="210"/>
      <c r="D3924" s="211"/>
      <c r="E3924" s="211"/>
      <c r="U3924" s="222"/>
    </row>
    <row r="3925" spans="2:21" x14ac:dyDescent="0.2">
      <c r="B3925" s="207"/>
      <c r="C3925" s="210"/>
      <c r="D3925" s="211"/>
      <c r="E3925" s="211"/>
      <c r="U3925" s="222"/>
    </row>
    <row r="3926" spans="2:21" x14ac:dyDescent="0.2">
      <c r="B3926" s="207"/>
      <c r="C3926" s="210"/>
      <c r="D3926" s="211"/>
      <c r="E3926" s="211"/>
      <c r="U3926" s="222"/>
    </row>
    <row r="3927" spans="2:21" x14ac:dyDescent="0.2">
      <c r="B3927" s="207"/>
      <c r="C3927" s="210"/>
      <c r="D3927" s="211"/>
      <c r="E3927" s="211"/>
      <c r="U3927" s="222"/>
    </row>
    <row r="3928" spans="2:21" x14ac:dyDescent="0.2">
      <c r="B3928" s="207"/>
      <c r="C3928" s="210"/>
      <c r="D3928" s="211"/>
      <c r="E3928" s="211"/>
      <c r="U3928" s="222"/>
    </row>
    <row r="3929" spans="2:21" x14ac:dyDescent="0.2">
      <c r="B3929" s="207"/>
      <c r="C3929" s="210"/>
      <c r="D3929" s="211"/>
      <c r="E3929" s="211"/>
      <c r="U3929" s="222"/>
    </row>
    <row r="3930" spans="2:21" x14ac:dyDescent="0.2">
      <c r="B3930" s="207"/>
      <c r="C3930" s="210"/>
      <c r="D3930" s="211"/>
      <c r="E3930" s="211"/>
      <c r="U3930" s="222"/>
    </row>
    <row r="3931" spans="2:21" x14ac:dyDescent="0.2">
      <c r="B3931" s="207"/>
      <c r="C3931" s="210"/>
      <c r="D3931" s="211"/>
      <c r="E3931" s="211"/>
      <c r="U3931" s="222"/>
    </row>
    <row r="3932" spans="2:21" x14ac:dyDescent="0.2">
      <c r="B3932" s="207"/>
      <c r="C3932" s="210"/>
      <c r="D3932" s="211"/>
      <c r="E3932" s="211"/>
      <c r="U3932" s="222"/>
    </row>
    <row r="3933" spans="2:21" x14ac:dyDescent="0.2">
      <c r="B3933" s="207"/>
      <c r="C3933" s="210"/>
      <c r="D3933" s="211"/>
      <c r="E3933" s="211"/>
      <c r="U3933" s="222"/>
    </row>
    <row r="3934" spans="2:21" x14ac:dyDescent="0.2">
      <c r="B3934" s="207"/>
      <c r="C3934" s="210"/>
      <c r="D3934" s="211"/>
      <c r="E3934" s="211"/>
      <c r="U3934" s="222"/>
    </row>
    <row r="3935" spans="2:21" x14ac:dyDescent="0.2">
      <c r="B3935" s="207"/>
      <c r="C3935" s="210"/>
      <c r="D3935" s="211"/>
      <c r="E3935" s="211"/>
      <c r="U3935" s="222"/>
    </row>
    <row r="3936" spans="2:21" x14ac:dyDescent="0.2">
      <c r="B3936" s="207"/>
      <c r="C3936" s="210"/>
      <c r="D3936" s="211"/>
      <c r="E3936" s="211"/>
      <c r="U3936" s="222"/>
    </row>
    <row r="3937" spans="2:21" x14ac:dyDescent="0.2">
      <c r="B3937" s="207"/>
      <c r="C3937" s="210"/>
      <c r="D3937" s="211"/>
      <c r="E3937" s="211"/>
      <c r="U3937" s="222"/>
    </row>
    <row r="3938" spans="2:21" x14ac:dyDescent="0.2">
      <c r="B3938" s="207"/>
      <c r="C3938" s="210"/>
      <c r="D3938" s="211"/>
      <c r="E3938" s="211"/>
      <c r="U3938" s="222"/>
    </row>
    <row r="3939" spans="2:21" x14ac:dyDescent="0.2">
      <c r="B3939" s="207"/>
      <c r="C3939" s="210"/>
      <c r="D3939" s="211"/>
      <c r="E3939" s="211"/>
      <c r="U3939" s="222"/>
    </row>
    <row r="3940" spans="2:21" x14ac:dyDescent="0.2">
      <c r="B3940" s="207"/>
      <c r="C3940" s="210"/>
      <c r="D3940" s="211"/>
      <c r="E3940" s="211"/>
      <c r="U3940" s="222"/>
    </row>
    <row r="3941" spans="2:21" x14ac:dyDescent="0.2">
      <c r="B3941" s="207"/>
      <c r="C3941" s="210"/>
      <c r="D3941" s="211"/>
      <c r="E3941" s="211"/>
      <c r="U3941" s="222"/>
    </row>
    <row r="3942" spans="2:21" x14ac:dyDescent="0.2">
      <c r="B3942" s="207"/>
      <c r="C3942" s="210"/>
      <c r="D3942" s="211"/>
      <c r="E3942" s="211"/>
      <c r="U3942" s="222"/>
    </row>
    <row r="3943" spans="2:21" x14ac:dyDescent="0.2">
      <c r="B3943" s="207"/>
      <c r="C3943" s="210"/>
      <c r="D3943" s="211"/>
      <c r="E3943" s="211"/>
      <c r="U3943" s="222"/>
    </row>
    <row r="3944" spans="2:21" x14ac:dyDescent="0.2">
      <c r="B3944" s="207"/>
      <c r="C3944" s="210"/>
      <c r="D3944" s="211"/>
      <c r="E3944" s="211"/>
      <c r="U3944" s="222"/>
    </row>
    <row r="3945" spans="2:21" x14ac:dyDescent="0.2">
      <c r="B3945" s="207"/>
      <c r="C3945" s="210"/>
      <c r="D3945" s="211"/>
      <c r="E3945" s="211"/>
      <c r="U3945" s="222"/>
    </row>
    <row r="3946" spans="2:21" x14ac:dyDescent="0.2">
      <c r="B3946" s="207"/>
      <c r="C3946" s="210"/>
      <c r="D3946" s="211"/>
      <c r="E3946" s="211"/>
      <c r="U3946" s="222"/>
    </row>
    <row r="3947" spans="2:21" x14ac:dyDescent="0.2">
      <c r="B3947" s="207"/>
      <c r="C3947" s="210"/>
      <c r="D3947" s="211"/>
      <c r="E3947" s="211"/>
      <c r="U3947" s="222"/>
    </row>
    <row r="3948" spans="2:21" x14ac:dyDescent="0.2">
      <c r="B3948" s="207"/>
      <c r="C3948" s="210"/>
      <c r="D3948" s="211"/>
      <c r="E3948" s="211"/>
      <c r="U3948" s="222"/>
    </row>
    <row r="3949" spans="2:21" x14ac:dyDescent="0.2">
      <c r="B3949" s="207"/>
      <c r="C3949" s="210"/>
      <c r="D3949" s="211"/>
      <c r="E3949" s="211"/>
      <c r="U3949" s="222"/>
    </row>
    <row r="3950" spans="2:21" x14ac:dyDescent="0.2">
      <c r="B3950" s="207"/>
      <c r="C3950" s="210"/>
      <c r="D3950" s="211"/>
      <c r="E3950" s="211"/>
      <c r="U3950" s="222"/>
    </row>
    <row r="3951" spans="2:21" x14ac:dyDescent="0.2">
      <c r="B3951" s="207"/>
      <c r="C3951" s="210"/>
      <c r="D3951" s="211"/>
      <c r="E3951" s="211"/>
      <c r="U3951" s="222"/>
    </row>
    <row r="3952" spans="2:21" x14ac:dyDescent="0.2">
      <c r="B3952" s="207"/>
      <c r="C3952" s="210"/>
      <c r="D3952" s="211"/>
      <c r="E3952" s="211"/>
      <c r="U3952" s="222"/>
    </row>
    <row r="3953" spans="2:21" x14ac:dyDescent="0.2">
      <c r="B3953" s="207"/>
      <c r="C3953" s="210"/>
      <c r="D3953" s="211"/>
      <c r="E3953" s="211"/>
      <c r="U3953" s="222"/>
    </row>
    <row r="3954" spans="2:21" x14ac:dyDescent="0.2">
      <c r="B3954" s="207"/>
      <c r="C3954" s="210"/>
      <c r="D3954" s="211"/>
      <c r="E3954" s="211"/>
      <c r="U3954" s="222"/>
    </row>
    <row r="3955" spans="2:21" x14ac:dyDescent="0.2">
      <c r="B3955" s="207"/>
      <c r="C3955" s="210"/>
      <c r="D3955" s="211"/>
      <c r="E3955" s="211"/>
      <c r="U3955" s="222"/>
    </row>
    <row r="3956" spans="2:21" x14ac:dyDescent="0.2">
      <c r="B3956" s="207"/>
      <c r="C3956" s="210"/>
      <c r="D3956" s="211"/>
      <c r="E3956" s="211"/>
      <c r="U3956" s="222"/>
    </row>
    <row r="3957" spans="2:21" x14ac:dyDescent="0.2">
      <c r="B3957" s="207"/>
      <c r="C3957" s="210"/>
      <c r="D3957" s="211"/>
      <c r="E3957" s="211"/>
      <c r="U3957" s="222"/>
    </row>
    <row r="3958" spans="2:21" x14ac:dyDescent="0.2">
      <c r="B3958" s="207"/>
      <c r="C3958" s="210"/>
      <c r="D3958" s="211"/>
      <c r="E3958" s="211"/>
      <c r="U3958" s="222"/>
    </row>
    <row r="3959" spans="2:21" x14ac:dyDescent="0.2">
      <c r="B3959" s="207"/>
      <c r="C3959" s="210"/>
      <c r="D3959" s="211"/>
      <c r="E3959" s="211"/>
      <c r="U3959" s="222"/>
    </row>
    <row r="3960" spans="2:21" x14ac:dyDescent="0.2">
      <c r="B3960" s="207"/>
      <c r="C3960" s="210"/>
      <c r="D3960" s="211"/>
      <c r="E3960" s="211"/>
      <c r="U3960" s="222"/>
    </row>
    <row r="3961" spans="2:21" x14ac:dyDescent="0.2">
      <c r="B3961" s="207"/>
      <c r="C3961" s="210"/>
      <c r="D3961" s="211"/>
      <c r="E3961" s="211"/>
      <c r="U3961" s="222"/>
    </row>
    <row r="3962" spans="2:21" x14ac:dyDescent="0.2">
      <c r="B3962" s="207"/>
      <c r="C3962" s="210"/>
      <c r="D3962" s="211"/>
      <c r="E3962" s="211"/>
      <c r="U3962" s="222"/>
    </row>
    <row r="3963" spans="2:21" x14ac:dyDescent="0.2">
      <c r="B3963" s="207"/>
      <c r="C3963" s="210"/>
      <c r="D3963" s="211"/>
      <c r="E3963" s="211"/>
      <c r="U3963" s="222"/>
    </row>
    <row r="3964" spans="2:21" x14ac:dyDescent="0.2">
      <c r="B3964" s="207"/>
      <c r="C3964" s="210"/>
      <c r="D3964" s="211"/>
      <c r="E3964" s="211"/>
      <c r="U3964" s="222"/>
    </row>
    <row r="3965" spans="2:21" x14ac:dyDescent="0.2">
      <c r="B3965" s="207"/>
      <c r="C3965" s="210"/>
      <c r="D3965" s="211"/>
      <c r="E3965" s="211"/>
      <c r="U3965" s="222"/>
    </row>
    <row r="3966" spans="2:21" x14ac:dyDescent="0.2">
      <c r="B3966" s="207"/>
      <c r="C3966" s="210"/>
      <c r="D3966" s="211"/>
      <c r="E3966" s="211"/>
      <c r="U3966" s="222"/>
    </row>
    <row r="3967" spans="2:21" x14ac:dyDescent="0.2">
      <c r="B3967" s="207"/>
      <c r="C3967" s="210"/>
      <c r="D3967" s="211"/>
      <c r="E3967" s="211"/>
      <c r="U3967" s="222"/>
    </row>
    <row r="3968" spans="2:21" x14ac:dyDescent="0.2">
      <c r="B3968" s="207"/>
      <c r="C3968" s="210"/>
      <c r="D3968" s="211"/>
      <c r="E3968" s="211"/>
      <c r="U3968" s="222"/>
    </row>
    <row r="3969" spans="2:21" x14ac:dyDescent="0.2">
      <c r="B3969" s="207"/>
      <c r="C3969" s="210"/>
      <c r="D3969" s="211"/>
      <c r="E3969" s="211"/>
      <c r="U3969" s="222"/>
    </row>
    <row r="3970" spans="2:21" x14ac:dyDescent="0.2">
      <c r="B3970" s="207"/>
      <c r="C3970" s="210"/>
      <c r="D3970" s="211"/>
      <c r="E3970" s="211"/>
      <c r="U3970" s="222"/>
    </row>
    <row r="3971" spans="2:21" x14ac:dyDescent="0.2">
      <c r="B3971" s="207"/>
      <c r="C3971" s="210"/>
      <c r="D3971" s="211"/>
      <c r="E3971" s="211"/>
      <c r="U3971" s="222"/>
    </row>
    <row r="3972" spans="2:21" x14ac:dyDescent="0.2">
      <c r="B3972" s="207"/>
      <c r="C3972" s="210"/>
      <c r="D3972" s="211"/>
      <c r="E3972" s="211"/>
      <c r="U3972" s="222"/>
    </row>
    <row r="3973" spans="2:21" x14ac:dyDescent="0.2">
      <c r="B3973" s="207"/>
      <c r="C3973" s="210"/>
      <c r="D3973" s="211"/>
      <c r="E3973" s="211"/>
      <c r="U3973" s="222"/>
    </row>
    <row r="3974" spans="2:21" x14ac:dyDescent="0.2">
      <c r="B3974" s="207"/>
      <c r="C3974" s="210"/>
      <c r="D3974" s="211"/>
      <c r="E3974" s="211"/>
      <c r="U3974" s="222"/>
    </row>
    <row r="3975" spans="2:21" x14ac:dyDescent="0.2">
      <c r="B3975" s="207"/>
      <c r="C3975" s="210"/>
      <c r="D3975" s="211"/>
      <c r="E3975" s="211"/>
      <c r="U3975" s="222"/>
    </row>
    <row r="3976" spans="2:21" x14ac:dyDescent="0.2">
      <c r="B3976" s="207"/>
      <c r="C3976" s="210"/>
      <c r="D3976" s="211"/>
      <c r="E3976" s="211"/>
      <c r="U3976" s="222"/>
    </row>
    <row r="3977" spans="2:21" x14ac:dyDescent="0.2">
      <c r="B3977" s="207"/>
      <c r="C3977" s="210"/>
      <c r="D3977" s="211"/>
      <c r="E3977" s="211"/>
      <c r="U3977" s="222"/>
    </row>
    <row r="3978" spans="2:21" x14ac:dyDescent="0.2">
      <c r="B3978" s="207"/>
      <c r="C3978" s="210"/>
      <c r="D3978" s="211"/>
      <c r="E3978" s="211"/>
      <c r="U3978" s="222"/>
    </row>
    <row r="3979" spans="2:21" x14ac:dyDescent="0.2">
      <c r="B3979" s="207"/>
      <c r="C3979" s="210"/>
      <c r="D3979" s="211"/>
      <c r="E3979" s="211"/>
      <c r="U3979" s="222"/>
    </row>
    <row r="3980" spans="2:21" x14ac:dyDescent="0.2">
      <c r="B3980" s="207"/>
      <c r="C3980" s="210"/>
      <c r="D3980" s="211"/>
      <c r="E3980" s="211"/>
      <c r="U3980" s="222"/>
    </row>
    <row r="3981" spans="2:21" x14ac:dyDescent="0.2">
      <c r="B3981" s="207"/>
      <c r="C3981" s="210"/>
      <c r="D3981" s="211"/>
      <c r="E3981" s="211"/>
      <c r="U3981" s="222"/>
    </row>
    <row r="3982" spans="2:21" x14ac:dyDescent="0.2">
      <c r="B3982" s="207"/>
      <c r="C3982" s="210"/>
      <c r="D3982" s="211"/>
      <c r="E3982" s="211"/>
      <c r="U3982" s="222"/>
    </row>
    <row r="3983" spans="2:21" x14ac:dyDescent="0.2">
      <c r="B3983" s="207"/>
      <c r="C3983" s="210"/>
      <c r="D3983" s="211"/>
      <c r="E3983" s="211"/>
      <c r="U3983" s="222"/>
    </row>
    <row r="3984" spans="2:21" x14ac:dyDescent="0.2">
      <c r="B3984" s="207"/>
      <c r="C3984" s="210"/>
      <c r="D3984" s="211"/>
      <c r="E3984" s="211"/>
      <c r="U3984" s="222"/>
    </row>
    <row r="3985" spans="2:21" x14ac:dyDescent="0.2">
      <c r="B3985" s="207"/>
      <c r="C3985" s="210"/>
      <c r="D3985" s="211"/>
      <c r="E3985" s="211"/>
      <c r="U3985" s="222"/>
    </row>
    <row r="3986" spans="2:21" x14ac:dyDescent="0.2">
      <c r="B3986" s="207"/>
      <c r="C3986" s="210"/>
      <c r="D3986" s="211"/>
      <c r="E3986" s="211"/>
      <c r="U3986" s="222"/>
    </row>
    <row r="3987" spans="2:21" x14ac:dyDescent="0.2">
      <c r="B3987" s="207"/>
      <c r="C3987" s="210"/>
      <c r="D3987" s="211"/>
      <c r="E3987" s="211"/>
      <c r="U3987" s="222"/>
    </row>
    <row r="3988" spans="2:21" x14ac:dyDescent="0.2">
      <c r="B3988" s="207"/>
      <c r="C3988" s="210"/>
      <c r="D3988" s="211"/>
      <c r="E3988" s="211"/>
      <c r="U3988" s="222"/>
    </row>
    <row r="3989" spans="2:21" x14ac:dyDescent="0.2">
      <c r="B3989" s="207"/>
      <c r="C3989" s="210"/>
      <c r="D3989" s="211"/>
      <c r="E3989" s="211"/>
      <c r="U3989" s="222"/>
    </row>
    <row r="3990" spans="2:21" x14ac:dyDescent="0.2">
      <c r="B3990" s="207"/>
      <c r="C3990" s="210"/>
      <c r="D3990" s="211"/>
      <c r="E3990" s="211"/>
      <c r="U3990" s="222"/>
    </row>
    <row r="3991" spans="2:21" x14ac:dyDescent="0.2">
      <c r="B3991" s="207"/>
      <c r="C3991" s="210"/>
      <c r="D3991" s="211"/>
      <c r="E3991" s="211"/>
      <c r="U3991" s="222"/>
    </row>
    <row r="3992" spans="2:21" x14ac:dyDescent="0.2">
      <c r="B3992" s="207"/>
      <c r="C3992" s="210"/>
      <c r="D3992" s="211"/>
      <c r="E3992" s="211"/>
      <c r="U3992" s="222"/>
    </row>
    <row r="3993" spans="2:21" x14ac:dyDescent="0.2">
      <c r="B3993" s="207"/>
      <c r="C3993" s="210"/>
      <c r="D3993" s="211"/>
      <c r="E3993" s="211"/>
      <c r="U3993" s="222"/>
    </row>
    <row r="3994" spans="2:21" x14ac:dyDescent="0.2">
      <c r="B3994" s="207"/>
      <c r="C3994" s="210"/>
      <c r="D3994" s="211"/>
      <c r="E3994" s="211"/>
      <c r="U3994" s="222"/>
    </row>
    <row r="3995" spans="2:21" x14ac:dyDescent="0.2">
      <c r="B3995" s="207"/>
      <c r="C3995" s="210"/>
      <c r="D3995" s="211"/>
      <c r="E3995" s="211"/>
      <c r="U3995" s="222"/>
    </row>
    <row r="3996" spans="2:21" x14ac:dyDescent="0.2">
      <c r="B3996" s="207"/>
      <c r="C3996" s="210"/>
      <c r="D3996" s="211"/>
      <c r="E3996" s="211"/>
      <c r="U3996" s="222"/>
    </row>
    <row r="3997" spans="2:21" x14ac:dyDescent="0.2">
      <c r="B3997" s="207"/>
      <c r="C3997" s="210"/>
      <c r="D3997" s="211"/>
      <c r="E3997" s="211"/>
      <c r="U3997" s="222"/>
    </row>
    <row r="3998" spans="2:21" x14ac:dyDescent="0.2">
      <c r="B3998" s="207"/>
      <c r="C3998" s="210"/>
      <c r="D3998" s="211"/>
      <c r="E3998" s="211"/>
      <c r="U3998" s="222"/>
    </row>
    <row r="3999" spans="2:21" x14ac:dyDescent="0.2">
      <c r="B3999" s="207"/>
      <c r="C3999" s="210"/>
      <c r="D3999" s="211"/>
      <c r="E3999" s="211"/>
      <c r="U3999" s="222"/>
    </row>
    <row r="4000" spans="2:21" x14ac:dyDescent="0.2">
      <c r="B4000" s="207"/>
      <c r="C4000" s="210"/>
      <c r="D4000" s="211"/>
      <c r="E4000" s="211"/>
      <c r="U4000" s="222"/>
    </row>
    <row r="4001" spans="2:21" x14ac:dyDescent="0.2">
      <c r="B4001" s="207"/>
      <c r="C4001" s="210"/>
      <c r="D4001" s="211"/>
      <c r="E4001" s="211"/>
      <c r="U4001" s="222"/>
    </row>
    <row r="4002" spans="2:21" x14ac:dyDescent="0.2">
      <c r="B4002" s="207"/>
      <c r="C4002" s="210"/>
      <c r="D4002" s="211"/>
      <c r="E4002" s="211"/>
      <c r="U4002" s="222"/>
    </row>
    <row r="4003" spans="2:21" x14ac:dyDescent="0.2">
      <c r="B4003" s="207"/>
      <c r="C4003" s="210"/>
      <c r="D4003" s="211"/>
      <c r="E4003" s="211"/>
      <c r="U4003" s="222"/>
    </row>
    <row r="4004" spans="2:21" x14ac:dyDescent="0.2">
      <c r="B4004" s="207"/>
      <c r="C4004" s="210"/>
      <c r="D4004" s="211"/>
      <c r="E4004" s="211"/>
      <c r="U4004" s="222"/>
    </row>
    <row r="4005" spans="2:21" x14ac:dyDescent="0.2">
      <c r="B4005" s="207"/>
      <c r="C4005" s="210"/>
      <c r="D4005" s="211"/>
      <c r="E4005" s="211"/>
      <c r="U4005" s="222"/>
    </row>
    <row r="4006" spans="2:21" x14ac:dyDescent="0.2">
      <c r="B4006" s="207"/>
      <c r="C4006" s="210"/>
      <c r="D4006" s="211"/>
      <c r="E4006" s="211"/>
      <c r="U4006" s="222"/>
    </row>
    <row r="4007" spans="2:21" x14ac:dyDescent="0.2">
      <c r="B4007" s="207"/>
      <c r="C4007" s="210"/>
      <c r="D4007" s="211"/>
      <c r="E4007" s="211"/>
      <c r="U4007" s="222"/>
    </row>
    <row r="4008" spans="2:21" x14ac:dyDescent="0.2">
      <c r="B4008" s="207"/>
      <c r="C4008" s="210"/>
      <c r="D4008" s="211"/>
      <c r="E4008" s="211"/>
      <c r="U4008" s="222"/>
    </row>
    <row r="4009" spans="2:21" x14ac:dyDescent="0.2">
      <c r="B4009" s="207"/>
      <c r="C4009" s="210"/>
      <c r="D4009" s="211"/>
      <c r="E4009" s="211"/>
      <c r="U4009" s="222"/>
    </row>
    <row r="4010" spans="2:21" x14ac:dyDescent="0.2">
      <c r="B4010" s="207"/>
      <c r="C4010" s="210"/>
      <c r="D4010" s="211"/>
      <c r="E4010" s="211"/>
      <c r="U4010" s="222"/>
    </row>
    <row r="4011" spans="2:21" x14ac:dyDescent="0.2">
      <c r="B4011" s="207"/>
      <c r="C4011" s="210"/>
      <c r="D4011" s="211"/>
      <c r="E4011" s="211"/>
      <c r="U4011" s="222"/>
    </row>
    <row r="4012" spans="2:21" x14ac:dyDescent="0.2">
      <c r="B4012" s="207"/>
      <c r="C4012" s="210"/>
      <c r="D4012" s="211"/>
      <c r="E4012" s="211"/>
      <c r="U4012" s="222"/>
    </row>
    <row r="4013" spans="2:21" x14ac:dyDescent="0.2">
      <c r="B4013" s="207"/>
      <c r="C4013" s="210"/>
      <c r="D4013" s="211"/>
      <c r="E4013" s="211"/>
      <c r="U4013" s="222"/>
    </row>
    <row r="4014" spans="2:21" x14ac:dyDescent="0.2">
      <c r="B4014" s="207"/>
      <c r="C4014" s="210"/>
      <c r="D4014" s="211"/>
      <c r="E4014" s="211"/>
      <c r="U4014" s="222"/>
    </row>
    <row r="4015" spans="2:21" x14ac:dyDescent="0.2">
      <c r="B4015" s="207"/>
      <c r="C4015" s="210"/>
      <c r="D4015" s="211"/>
      <c r="E4015" s="211"/>
      <c r="U4015" s="222"/>
    </row>
    <row r="4016" spans="2:21" x14ac:dyDescent="0.2">
      <c r="B4016" s="207"/>
      <c r="C4016" s="210"/>
      <c r="D4016" s="211"/>
      <c r="E4016" s="211"/>
      <c r="U4016" s="222"/>
    </row>
    <row r="4017" spans="2:21" x14ac:dyDescent="0.2">
      <c r="B4017" s="207"/>
      <c r="C4017" s="210"/>
      <c r="D4017" s="211"/>
      <c r="E4017" s="211"/>
      <c r="U4017" s="222"/>
    </row>
    <row r="4018" spans="2:21" x14ac:dyDescent="0.2">
      <c r="B4018" s="207"/>
      <c r="C4018" s="210"/>
      <c r="D4018" s="211"/>
      <c r="E4018" s="211"/>
      <c r="U4018" s="222"/>
    </row>
    <row r="4019" spans="2:21" x14ac:dyDescent="0.2">
      <c r="B4019" s="207"/>
      <c r="C4019" s="210"/>
      <c r="D4019" s="211"/>
      <c r="E4019" s="211"/>
      <c r="U4019" s="222"/>
    </row>
    <row r="4020" spans="2:21" x14ac:dyDescent="0.2">
      <c r="B4020" s="207"/>
      <c r="C4020" s="210"/>
      <c r="D4020" s="211"/>
      <c r="E4020" s="211"/>
      <c r="U4020" s="222"/>
    </row>
    <row r="4021" spans="2:21" x14ac:dyDescent="0.2">
      <c r="B4021" s="207"/>
      <c r="C4021" s="210"/>
      <c r="D4021" s="211"/>
      <c r="E4021" s="211"/>
      <c r="U4021" s="222"/>
    </row>
    <row r="4022" spans="2:21" x14ac:dyDescent="0.2">
      <c r="B4022" s="207"/>
      <c r="C4022" s="210"/>
      <c r="D4022" s="211"/>
      <c r="E4022" s="211"/>
      <c r="U4022" s="222"/>
    </row>
    <row r="4023" spans="2:21" x14ac:dyDescent="0.2">
      <c r="B4023" s="207"/>
      <c r="C4023" s="210"/>
      <c r="D4023" s="211"/>
      <c r="E4023" s="211"/>
      <c r="U4023" s="222"/>
    </row>
    <row r="4024" spans="2:21" x14ac:dyDescent="0.2">
      <c r="B4024" s="207"/>
      <c r="C4024" s="210"/>
      <c r="D4024" s="211"/>
      <c r="E4024" s="211"/>
      <c r="U4024" s="222"/>
    </row>
    <row r="4025" spans="2:21" x14ac:dyDescent="0.2">
      <c r="B4025" s="207"/>
      <c r="C4025" s="210"/>
      <c r="D4025" s="211"/>
      <c r="E4025" s="211"/>
      <c r="U4025" s="222"/>
    </row>
    <row r="4026" spans="2:21" x14ac:dyDescent="0.2">
      <c r="B4026" s="207"/>
      <c r="C4026" s="210"/>
      <c r="D4026" s="211"/>
      <c r="E4026" s="211"/>
      <c r="U4026" s="222"/>
    </row>
    <row r="4027" spans="2:21" x14ac:dyDescent="0.2">
      <c r="B4027" s="207"/>
      <c r="C4027" s="210"/>
      <c r="D4027" s="211"/>
      <c r="E4027" s="211"/>
      <c r="U4027" s="222"/>
    </row>
    <row r="4028" spans="2:21" x14ac:dyDescent="0.2">
      <c r="B4028" s="207"/>
      <c r="C4028" s="210"/>
      <c r="D4028" s="211"/>
      <c r="E4028" s="211"/>
      <c r="U4028" s="222"/>
    </row>
    <row r="4029" spans="2:21" x14ac:dyDescent="0.2">
      <c r="B4029" s="207"/>
      <c r="C4029" s="210"/>
      <c r="D4029" s="211"/>
      <c r="E4029" s="211"/>
      <c r="U4029" s="222"/>
    </row>
    <row r="4030" spans="2:21" x14ac:dyDescent="0.2">
      <c r="B4030" s="207"/>
      <c r="C4030" s="210"/>
      <c r="D4030" s="211"/>
      <c r="E4030" s="211"/>
      <c r="U4030" s="222"/>
    </row>
    <row r="4031" spans="2:21" x14ac:dyDescent="0.2">
      <c r="B4031" s="207"/>
      <c r="C4031" s="210"/>
      <c r="D4031" s="211"/>
      <c r="E4031" s="211"/>
      <c r="U4031" s="222"/>
    </row>
    <row r="4032" spans="2:21" x14ac:dyDescent="0.2">
      <c r="B4032" s="207"/>
      <c r="C4032" s="210"/>
      <c r="D4032" s="211"/>
      <c r="E4032" s="211"/>
      <c r="U4032" s="222"/>
    </row>
    <row r="4033" spans="2:21" x14ac:dyDescent="0.2">
      <c r="B4033" s="207"/>
      <c r="C4033" s="210"/>
      <c r="D4033" s="211"/>
      <c r="E4033" s="211"/>
      <c r="U4033" s="222"/>
    </row>
    <row r="4034" spans="2:21" x14ac:dyDescent="0.2">
      <c r="B4034" s="207"/>
      <c r="C4034" s="210"/>
      <c r="D4034" s="211"/>
      <c r="E4034" s="211"/>
      <c r="U4034" s="222"/>
    </row>
    <row r="4035" spans="2:21" x14ac:dyDescent="0.2">
      <c r="B4035" s="207"/>
      <c r="C4035" s="210"/>
      <c r="D4035" s="211"/>
      <c r="E4035" s="211"/>
      <c r="U4035" s="222"/>
    </row>
    <row r="4036" spans="2:21" x14ac:dyDescent="0.2">
      <c r="B4036" s="207"/>
      <c r="C4036" s="210"/>
      <c r="D4036" s="211"/>
      <c r="E4036" s="211"/>
      <c r="U4036" s="222"/>
    </row>
    <row r="4037" spans="2:21" x14ac:dyDescent="0.2">
      <c r="B4037" s="207"/>
      <c r="C4037" s="210"/>
      <c r="D4037" s="211"/>
      <c r="E4037" s="211"/>
      <c r="U4037" s="222"/>
    </row>
    <row r="4038" spans="2:21" x14ac:dyDescent="0.2">
      <c r="B4038" s="207"/>
      <c r="C4038" s="210"/>
      <c r="D4038" s="211"/>
      <c r="E4038" s="211"/>
      <c r="U4038" s="222"/>
    </row>
    <row r="4039" spans="2:21" x14ac:dyDescent="0.2">
      <c r="B4039" s="207"/>
      <c r="C4039" s="210"/>
      <c r="D4039" s="211"/>
      <c r="E4039" s="211"/>
      <c r="U4039" s="222"/>
    </row>
    <row r="4040" spans="2:21" x14ac:dyDescent="0.2">
      <c r="B4040" s="207"/>
      <c r="C4040" s="210"/>
      <c r="D4040" s="211"/>
      <c r="E4040" s="211"/>
      <c r="U4040" s="222"/>
    </row>
    <row r="4041" spans="2:21" x14ac:dyDescent="0.2">
      <c r="B4041" s="207"/>
      <c r="C4041" s="210"/>
      <c r="D4041" s="211"/>
      <c r="E4041" s="211"/>
      <c r="U4041" s="222"/>
    </row>
    <row r="4042" spans="2:21" x14ac:dyDescent="0.2">
      <c r="B4042" s="207"/>
      <c r="C4042" s="210"/>
      <c r="D4042" s="211"/>
      <c r="E4042" s="211"/>
      <c r="U4042" s="222"/>
    </row>
    <row r="4043" spans="2:21" x14ac:dyDescent="0.2">
      <c r="B4043" s="207"/>
      <c r="C4043" s="210"/>
      <c r="D4043" s="211"/>
      <c r="E4043" s="211"/>
      <c r="U4043" s="222"/>
    </row>
    <row r="4044" spans="2:21" x14ac:dyDescent="0.2">
      <c r="B4044" s="207"/>
      <c r="C4044" s="210"/>
      <c r="D4044" s="211"/>
      <c r="E4044" s="211"/>
      <c r="U4044" s="222"/>
    </row>
    <row r="4045" spans="2:21" x14ac:dyDescent="0.2">
      <c r="B4045" s="207"/>
      <c r="C4045" s="210"/>
      <c r="D4045" s="211"/>
      <c r="E4045" s="211"/>
      <c r="U4045" s="222"/>
    </row>
    <row r="4046" spans="2:21" x14ac:dyDescent="0.2">
      <c r="B4046" s="207"/>
      <c r="C4046" s="210"/>
      <c r="D4046" s="211"/>
      <c r="E4046" s="211"/>
      <c r="U4046" s="222"/>
    </row>
    <row r="4047" spans="2:21" x14ac:dyDescent="0.2">
      <c r="B4047" s="207"/>
      <c r="C4047" s="210"/>
      <c r="D4047" s="211"/>
      <c r="E4047" s="211"/>
      <c r="U4047" s="222"/>
    </row>
    <row r="4048" spans="2:21" x14ac:dyDescent="0.2">
      <c r="B4048" s="207"/>
      <c r="C4048" s="210"/>
      <c r="D4048" s="211"/>
      <c r="E4048" s="211"/>
      <c r="U4048" s="222"/>
    </row>
    <row r="4049" spans="2:21" x14ac:dyDescent="0.2">
      <c r="B4049" s="207"/>
      <c r="C4049" s="210"/>
      <c r="D4049" s="211"/>
      <c r="E4049" s="211"/>
      <c r="U4049" s="222"/>
    </row>
    <row r="4050" spans="2:21" x14ac:dyDescent="0.2">
      <c r="B4050" s="207"/>
      <c r="C4050" s="210"/>
      <c r="D4050" s="211"/>
      <c r="E4050" s="211"/>
      <c r="U4050" s="222"/>
    </row>
    <row r="4051" spans="2:21" x14ac:dyDescent="0.2">
      <c r="B4051" s="207"/>
      <c r="C4051" s="210"/>
      <c r="D4051" s="211"/>
      <c r="E4051" s="211"/>
      <c r="U4051" s="222"/>
    </row>
    <row r="4052" spans="2:21" x14ac:dyDescent="0.2">
      <c r="B4052" s="207"/>
      <c r="C4052" s="210"/>
      <c r="D4052" s="211"/>
      <c r="E4052" s="211"/>
      <c r="U4052" s="222"/>
    </row>
    <row r="4053" spans="2:21" x14ac:dyDescent="0.2">
      <c r="B4053" s="207"/>
      <c r="C4053" s="210"/>
      <c r="D4053" s="211"/>
      <c r="E4053" s="211"/>
      <c r="U4053" s="222"/>
    </row>
    <row r="4054" spans="2:21" x14ac:dyDescent="0.2">
      <c r="B4054" s="207"/>
      <c r="C4054" s="210"/>
      <c r="D4054" s="211"/>
      <c r="E4054" s="211"/>
      <c r="U4054" s="222"/>
    </row>
    <row r="4055" spans="2:21" x14ac:dyDescent="0.2">
      <c r="B4055" s="207"/>
      <c r="C4055" s="210"/>
      <c r="D4055" s="211"/>
      <c r="E4055" s="211"/>
      <c r="U4055" s="222"/>
    </row>
    <row r="4056" spans="2:21" x14ac:dyDescent="0.2">
      <c r="B4056" s="207"/>
      <c r="C4056" s="210"/>
      <c r="D4056" s="211"/>
      <c r="E4056" s="211"/>
      <c r="U4056" s="222"/>
    </row>
    <row r="4057" spans="2:21" x14ac:dyDescent="0.2">
      <c r="B4057" s="207"/>
      <c r="C4057" s="210"/>
      <c r="D4057" s="211"/>
      <c r="E4057" s="211"/>
      <c r="U4057" s="222"/>
    </row>
    <row r="4058" spans="2:21" x14ac:dyDescent="0.2">
      <c r="B4058" s="207"/>
      <c r="C4058" s="210"/>
      <c r="D4058" s="211"/>
      <c r="E4058" s="211"/>
      <c r="U4058" s="222"/>
    </row>
    <row r="4059" spans="2:21" x14ac:dyDescent="0.2">
      <c r="B4059" s="207"/>
      <c r="C4059" s="210"/>
      <c r="D4059" s="211"/>
      <c r="E4059" s="211"/>
      <c r="U4059" s="222"/>
    </row>
    <row r="4060" spans="2:21" x14ac:dyDescent="0.2">
      <c r="B4060" s="207"/>
      <c r="C4060" s="210"/>
      <c r="D4060" s="211"/>
      <c r="E4060" s="211"/>
      <c r="U4060" s="222"/>
    </row>
    <row r="4061" spans="2:21" x14ac:dyDescent="0.2">
      <c r="B4061" s="207"/>
      <c r="C4061" s="210"/>
      <c r="D4061" s="211"/>
      <c r="E4061" s="211"/>
      <c r="U4061" s="222"/>
    </row>
    <row r="4062" spans="2:21" x14ac:dyDescent="0.2">
      <c r="B4062" s="207"/>
      <c r="C4062" s="210"/>
      <c r="D4062" s="211"/>
      <c r="E4062" s="211"/>
      <c r="U4062" s="222"/>
    </row>
    <row r="4063" spans="2:21" x14ac:dyDescent="0.2">
      <c r="B4063" s="207"/>
      <c r="C4063" s="210"/>
      <c r="D4063" s="211"/>
      <c r="E4063" s="211"/>
      <c r="U4063" s="222"/>
    </row>
    <row r="4064" spans="2:21" x14ac:dyDescent="0.2">
      <c r="B4064" s="207"/>
      <c r="C4064" s="210"/>
      <c r="D4064" s="211"/>
      <c r="E4064" s="211"/>
      <c r="U4064" s="222"/>
    </row>
    <row r="4065" spans="2:21" x14ac:dyDescent="0.2">
      <c r="B4065" s="207"/>
      <c r="C4065" s="210"/>
      <c r="D4065" s="211"/>
      <c r="E4065" s="211"/>
      <c r="U4065" s="222"/>
    </row>
    <row r="4066" spans="2:21" x14ac:dyDescent="0.2">
      <c r="B4066" s="207"/>
      <c r="C4066" s="210"/>
      <c r="D4066" s="211"/>
      <c r="E4066" s="211"/>
      <c r="U4066" s="222"/>
    </row>
    <row r="4067" spans="2:21" x14ac:dyDescent="0.2">
      <c r="B4067" s="207"/>
      <c r="C4067" s="210"/>
      <c r="D4067" s="211"/>
      <c r="E4067" s="211"/>
      <c r="U4067" s="222"/>
    </row>
    <row r="4068" spans="2:21" x14ac:dyDescent="0.2">
      <c r="B4068" s="207"/>
      <c r="C4068" s="210"/>
      <c r="D4068" s="211"/>
      <c r="E4068" s="211"/>
      <c r="U4068" s="222"/>
    </row>
    <row r="4069" spans="2:21" x14ac:dyDescent="0.2">
      <c r="B4069" s="207"/>
      <c r="C4069" s="210"/>
      <c r="D4069" s="211"/>
      <c r="E4069" s="211"/>
      <c r="U4069" s="222"/>
    </row>
    <row r="4070" spans="2:21" x14ac:dyDescent="0.2">
      <c r="B4070" s="207"/>
      <c r="C4070" s="210"/>
      <c r="D4070" s="211"/>
      <c r="E4070" s="211"/>
      <c r="U4070" s="222"/>
    </row>
    <row r="4071" spans="2:21" x14ac:dyDescent="0.2">
      <c r="B4071" s="207"/>
      <c r="C4071" s="210"/>
      <c r="D4071" s="211"/>
      <c r="E4071" s="211"/>
      <c r="U4071" s="222"/>
    </row>
    <row r="4072" spans="2:21" x14ac:dyDescent="0.2">
      <c r="B4072" s="207"/>
      <c r="C4072" s="210"/>
      <c r="D4072" s="211"/>
      <c r="E4072" s="211"/>
      <c r="U4072" s="222"/>
    </row>
    <row r="4073" spans="2:21" x14ac:dyDescent="0.2">
      <c r="B4073" s="207"/>
      <c r="C4073" s="210"/>
      <c r="D4073" s="211"/>
      <c r="E4073" s="211"/>
      <c r="U4073" s="222"/>
    </row>
    <row r="4074" spans="2:21" x14ac:dyDescent="0.2">
      <c r="B4074" s="207"/>
      <c r="C4074" s="210"/>
      <c r="D4074" s="211"/>
      <c r="E4074" s="211"/>
      <c r="U4074" s="222"/>
    </row>
    <row r="4075" spans="2:21" x14ac:dyDescent="0.2">
      <c r="B4075" s="207"/>
      <c r="C4075" s="210"/>
      <c r="D4075" s="211"/>
      <c r="E4075" s="211"/>
      <c r="U4075" s="222"/>
    </row>
    <row r="4076" spans="2:21" x14ac:dyDescent="0.2">
      <c r="B4076" s="207"/>
      <c r="C4076" s="210"/>
      <c r="D4076" s="211"/>
      <c r="E4076" s="211"/>
      <c r="U4076" s="222"/>
    </row>
    <row r="4077" spans="2:21" x14ac:dyDescent="0.2">
      <c r="B4077" s="207"/>
      <c r="C4077" s="210"/>
      <c r="D4077" s="211"/>
      <c r="E4077" s="211"/>
      <c r="U4077" s="222"/>
    </row>
    <row r="4078" spans="2:21" x14ac:dyDescent="0.2">
      <c r="B4078" s="207"/>
      <c r="C4078" s="210"/>
      <c r="D4078" s="211"/>
      <c r="E4078" s="211"/>
      <c r="U4078" s="222"/>
    </row>
    <row r="4079" spans="2:21" x14ac:dyDescent="0.2">
      <c r="B4079" s="207"/>
      <c r="C4079" s="210"/>
      <c r="D4079" s="211"/>
      <c r="E4079" s="211"/>
      <c r="U4079" s="222"/>
    </row>
    <row r="4080" spans="2:21" x14ac:dyDescent="0.2">
      <c r="B4080" s="207"/>
      <c r="C4080" s="210"/>
      <c r="D4080" s="211"/>
      <c r="E4080" s="211"/>
      <c r="U4080" s="222"/>
    </row>
    <row r="4081" spans="2:21" x14ac:dyDescent="0.2">
      <c r="B4081" s="207"/>
      <c r="C4081" s="210"/>
      <c r="D4081" s="211"/>
      <c r="E4081" s="211"/>
      <c r="U4081" s="222"/>
    </row>
    <row r="4082" spans="2:21" x14ac:dyDescent="0.2">
      <c r="B4082" s="207"/>
      <c r="C4082" s="210"/>
      <c r="D4082" s="211"/>
      <c r="E4082" s="211"/>
      <c r="U4082" s="222"/>
    </row>
    <row r="4083" spans="2:21" x14ac:dyDescent="0.2">
      <c r="B4083" s="207"/>
      <c r="C4083" s="210"/>
      <c r="D4083" s="211"/>
      <c r="E4083" s="211"/>
      <c r="U4083" s="222"/>
    </row>
    <row r="4084" spans="2:21" x14ac:dyDescent="0.2">
      <c r="B4084" s="207"/>
      <c r="C4084" s="210"/>
      <c r="D4084" s="211"/>
      <c r="E4084" s="211"/>
      <c r="U4084" s="222"/>
    </row>
    <row r="4085" spans="2:21" x14ac:dyDescent="0.2">
      <c r="B4085" s="207"/>
      <c r="C4085" s="210"/>
      <c r="D4085" s="211"/>
      <c r="E4085" s="211"/>
      <c r="U4085" s="222"/>
    </row>
    <row r="4086" spans="2:21" x14ac:dyDescent="0.2">
      <c r="B4086" s="207"/>
      <c r="C4086" s="210"/>
      <c r="D4086" s="211"/>
      <c r="E4086" s="211"/>
      <c r="U4086" s="222"/>
    </row>
    <row r="4087" spans="2:21" x14ac:dyDescent="0.2">
      <c r="B4087" s="207"/>
      <c r="C4087" s="210"/>
      <c r="D4087" s="211"/>
      <c r="E4087" s="211"/>
      <c r="U4087" s="222"/>
    </row>
    <row r="4088" spans="2:21" x14ac:dyDescent="0.2">
      <c r="B4088" s="207"/>
      <c r="C4088" s="210"/>
      <c r="D4088" s="211"/>
      <c r="E4088" s="211"/>
      <c r="U4088" s="222"/>
    </row>
    <row r="4089" spans="2:21" x14ac:dyDescent="0.2">
      <c r="B4089" s="207"/>
      <c r="C4089" s="210"/>
      <c r="D4089" s="211"/>
      <c r="E4089" s="211"/>
      <c r="U4089" s="222"/>
    </row>
    <row r="4090" spans="2:21" x14ac:dyDescent="0.2">
      <c r="B4090" s="207"/>
      <c r="C4090" s="210"/>
      <c r="D4090" s="211"/>
      <c r="E4090" s="211"/>
      <c r="U4090" s="222"/>
    </row>
    <row r="4091" spans="2:21" x14ac:dyDescent="0.2">
      <c r="B4091" s="207"/>
      <c r="C4091" s="210"/>
      <c r="D4091" s="211"/>
      <c r="E4091" s="211"/>
      <c r="U4091" s="222"/>
    </row>
    <row r="4092" spans="2:21" x14ac:dyDescent="0.2">
      <c r="B4092" s="207"/>
      <c r="C4092" s="210"/>
      <c r="D4092" s="211"/>
      <c r="E4092" s="211"/>
      <c r="U4092" s="222"/>
    </row>
    <row r="4093" spans="2:21" x14ac:dyDescent="0.2">
      <c r="B4093" s="207"/>
      <c r="C4093" s="210"/>
      <c r="D4093" s="211"/>
      <c r="E4093" s="211"/>
      <c r="U4093" s="222"/>
    </row>
    <row r="4094" spans="2:21" x14ac:dyDescent="0.2">
      <c r="B4094" s="207"/>
      <c r="C4094" s="210"/>
      <c r="D4094" s="211"/>
      <c r="E4094" s="211"/>
      <c r="U4094" s="222"/>
    </row>
    <row r="4095" spans="2:21" x14ac:dyDescent="0.2">
      <c r="B4095" s="207"/>
      <c r="C4095" s="210"/>
      <c r="D4095" s="211"/>
      <c r="E4095" s="211"/>
      <c r="U4095" s="222"/>
    </row>
    <row r="4096" spans="2:21" x14ac:dyDescent="0.2">
      <c r="B4096" s="207"/>
      <c r="C4096" s="210"/>
      <c r="D4096" s="211"/>
      <c r="E4096" s="211"/>
      <c r="U4096" s="222"/>
    </row>
    <row r="4097" spans="2:21" x14ac:dyDescent="0.2">
      <c r="B4097" s="207"/>
      <c r="C4097" s="210"/>
      <c r="D4097" s="211"/>
      <c r="E4097" s="211"/>
      <c r="U4097" s="222"/>
    </row>
    <row r="4098" spans="2:21" x14ac:dyDescent="0.2">
      <c r="B4098" s="207"/>
      <c r="C4098" s="210"/>
      <c r="D4098" s="211"/>
      <c r="E4098" s="211"/>
      <c r="U4098" s="222"/>
    </row>
    <row r="4099" spans="2:21" x14ac:dyDescent="0.2">
      <c r="B4099" s="207"/>
      <c r="C4099" s="210"/>
      <c r="D4099" s="211"/>
      <c r="E4099" s="211"/>
      <c r="U4099" s="222"/>
    </row>
    <row r="4100" spans="2:21" x14ac:dyDescent="0.2">
      <c r="B4100" s="207"/>
      <c r="C4100" s="210"/>
      <c r="D4100" s="211"/>
      <c r="E4100" s="211"/>
      <c r="U4100" s="222"/>
    </row>
    <row r="4101" spans="2:21" x14ac:dyDescent="0.2">
      <c r="B4101" s="207"/>
      <c r="C4101" s="210"/>
      <c r="D4101" s="211"/>
      <c r="E4101" s="211"/>
      <c r="U4101" s="222"/>
    </row>
    <row r="4102" spans="2:21" x14ac:dyDescent="0.2">
      <c r="B4102" s="207"/>
      <c r="C4102" s="210"/>
      <c r="D4102" s="211"/>
      <c r="E4102" s="211"/>
      <c r="U4102" s="222"/>
    </row>
    <row r="4103" spans="2:21" x14ac:dyDescent="0.2">
      <c r="B4103" s="207"/>
      <c r="C4103" s="210"/>
      <c r="D4103" s="211"/>
      <c r="E4103" s="211"/>
      <c r="U4103" s="222"/>
    </row>
    <row r="4104" spans="2:21" x14ac:dyDescent="0.2">
      <c r="B4104" s="207"/>
      <c r="C4104" s="210"/>
      <c r="D4104" s="211"/>
      <c r="E4104" s="211"/>
      <c r="U4104" s="222"/>
    </row>
    <row r="4105" spans="2:21" x14ac:dyDescent="0.2">
      <c r="B4105" s="207"/>
      <c r="C4105" s="210"/>
      <c r="D4105" s="211"/>
      <c r="E4105" s="211"/>
      <c r="U4105" s="222"/>
    </row>
    <row r="4106" spans="2:21" x14ac:dyDescent="0.2">
      <c r="B4106" s="207"/>
      <c r="C4106" s="210"/>
      <c r="D4106" s="211"/>
      <c r="E4106" s="211"/>
      <c r="U4106" s="222"/>
    </row>
    <row r="4107" spans="2:21" x14ac:dyDescent="0.2">
      <c r="B4107" s="207"/>
      <c r="C4107" s="210"/>
      <c r="D4107" s="211"/>
      <c r="E4107" s="211"/>
      <c r="U4107" s="222"/>
    </row>
    <row r="4108" spans="2:21" x14ac:dyDescent="0.2">
      <c r="B4108" s="207"/>
      <c r="C4108" s="210"/>
      <c r="D4108" s="211"/>
      <c r="E4108" s="211"/>
      <c r="U4108" s="222"/>
    </row>
    <row r="4109" spans="2:21" x14ac:dyDescent="0.2">
      <c r="B4109" s="207"/>
      <c r="C4109" s="210"/>
      <c r="D4109" s="211"/>
      <c r="E4109" s="211"/>
      <c r="U4109" s="222"/>
    </row>
    <row r="4110" spans="2:21" x14ac:dyDescent="0.2">
      <c r="B4110" s="207"/>
      <c r="C4110" s="210"/>
      <c r="D4110" s="211"/>
      <c r="E4110" s="211"/>
      <c r="U4110" s="222"/>
    </row>
    <row r="4111" spans="2:21" x14ac:dyDescent="0.2">
      <c r="B4111" s="207"/>
      <c r="C4111" s="210"/>
      <c r="D4111" s="211"/>
      <c r="E4111" s="211"/>
      <c r="U4111" s="222"/>
    </row>
    <row r="4112" spans="2:21" x14ac:dyDescent="0.2">
      <c r="B4112" s="207"/>
      <c r="C4112" s="210"/>
      <c r="D4112" s="211"/>
      <c r="E4112" s="211"/>
      <c r="U4112" s="222"/>
    </row>
    <row r="4113" spans="2:21" x14ac:dyDescent="0.2">
      <c r="B4113" s="207"/>
      <c r="C4113" s="210"/>
      <c r="D4113" s="211"/>
      <c r="E4113" s="211"/>
      <c r="U4113" s="222"/>
    </row>
    <row r="4114" spans="2:21" x14ac:dyDescent="0.2">
      <c r="B4114" s="207"/>
      <c r="C4114" s="210"/>
      <c r="D4114" s="211"/>
      <c r="E4114" s="211"/>
      <c r="U4114" s="222"/>
    </row>
    <row r="4115" spans="2:21" x14ac:dyDescent="0.2">
      <c r="B4115" s="207"/>
      <c r="C4115" s="210"/>
      <c r="D4115" s="211"/>
      <c r="E4115" s="211"/>
      <c r="U4115" s="222"/>
    </row>
    <row r="4116" spans="2:21" x14ac:dyDescent="0.2">
      <c r="B4116" s="207"/>
      <c r="C4116" s="210"/>
      <c r="D4116" s="211"/>
      <c r="E4116" s="211"/>
      <c r="U4116" s="222"/>
    </row>
    <row r="4117" spans="2:21" x14ac:dyDescent="0.2">
      <c r="B4117" s="207"/>
      <c r="C4117" s="210"/>
      <c r="D4117" s="211"/>
      <c r="E4117" s="211"/>
      <c r="U4117" s="222"/>
    </row>
    <row r="4118" spans="2:21" x14ac:dyDescent="0.2">
      <c r="B4118" s="207"/>
      <c r="C4118" s="210"/>
      <c r="D4118" s="211"/>
      <c r="E4118" s="211"/>
      <c r="U4118" s="222"/>
    </row>
    <row r="4119" spans="2:21" x14ac:dyDescent="0.2">
      <c r="B4119" s="207"/>
      <c r="C4119" s="210"/>
      <c r="D4119" s="211"/>
      <c r="E4119" s="211"/>
      <c r="U4119" s="222"/>
    </row>
    <row r="4120" spans="2:21" x14ac:dyDescent="0.2">
      <c r="B4120" s="207"/>
      <c r="C4120" s="210"/>
      <c r="D4120" s="211"/>
      <c r="E4120" s="211"/>
      <c r="U4120" s="222"/>
    </row>
    <row r="4121" spans="2:21" x14ac:dyDescent="0.2">
      <c r="B4121" s="207"/>
      <c r="C4121" s="210"/>
      <c r="D4121" s="211"/>
      <c r="E4121" s="211"/>
      <c r="U4121" s="222"/>
    </row>
    <row r="4122" spans="2:21" x14ac:dyDescent="0.2">
      <c r="B4122" s="207"/>
      <c r="C4122" s="210"/>
      <c r="D4122" s="211"/>
      <c r="E4122" s="211"/>
      <c r="U4122" s="222"/>
    </row>
    <row r="4123" spans="2:21" x14ac:dyDescent="0.2">
      <c r="B4123" s="207"/>
      <c r="C4123" s="210"/>
      <c r="D4123" s="211"/>
      <c r="E4123" s="211"/>
      <c r="U4123" s="222"/>
    </row>
    <row r="4124" spans="2:21" x14ac:dyDescent="0.2">
      <c r="B4124" s="207"/>
      <c r="C4124" s="210"/>
      <c r="D4124" s="211"/>
      <c r="E4124" s="211"/>
      <c r="U4124" s="222"/>
    </row>
    <row r="4125" spans="2:21" x14ac:dyDescent="0.2">
      <c r="B4125" s="207"/>
      <c r="C4125" s="210"/>
      <c r="D4125" s="211"/>
      <c r="E4125" s="211"/>
      <c r="U4125" s="222"/>
    </row>
    <row r="4126" spans="2:21" x14ac:dyDescent="0.2">
      <c r="B4126" s="207"/>
      <c r="C4126" s="210"/>
      <c r="D4126" s="211"/>
      <c r="E4126" s="211"/>
      <c r="U4126" s="222"/>
    </row>
    <row r="4127" spans="2:21" x14ac:dyDescent="0.2">
      <c r="B4127" s="207"/>
      <c r="C4127" s="210"/>
      <c r="D4127" s="211"/>
      <c r="E4127" s="211"/>
      <c r="U4127" s="222"/>
    </row>
    <row r="4128" spans="2:21" x14ac:dyDescent="0.2">
      <c r="B4128" s="207"/>
      <c r="C4128" s="210"/>
      <c r="D4128" s="211"/>
      <c r="E4128" s="211"/>
      <c r="U4128" s="222"/>
    </row>
    <row r="4129" spans="2:21" x14ac:dyDescent="0.2">
      <c r="B4129" s="207"/>
      <c r="C4129" s="210"/>
      <c r="D4129" s="211"/>
      <c r="E4129" s="211"/>
      <c r="U4129" s="222"/>
    </row>
    <row r="4130" spans="2:21" x14ac:dyDescent="0.2">
      <c r="B4130" s="207"/>
      <c r="C4130" s="210"/>
      <c r="D4130" s="211"/>
      <c r="E4130" s="211"/>
      <c r="U4130" s="222"/>
    </row>
    <row r="4131" spans="2:21" x14ac:dyDescent="0.2">
      <c r="B4131" s="207"/>
      <c r="C4131" s="210"/>
      <c r="D4131" s="211"/>
      <c r="E4131" s="211"/>
      <c r="U4131" s="222"/>
    </row>
    <row r="4132" spans="2:21" x14ac:dyDescent="0.2">
      <c r="B4132" s="207"/>
      <c r="C4132" s="210"/>
      <c r="D4132" s="211"/>
      <c r="E4132" s="211"/>
      <c r="U4132" s="222"/>
    </row>
    <row r="4133" spans="2:21" x14ac:dyDescent="0.2">
      <c r="B4133" s="207"/>
      <c r="C4133" s="210"/>
      <c r="D4133" s="211"/>
      <c r="E4133" s="211"/>
      <c r="U4133" s="222"/>
    </row>
    <row r="4134" spans="2:21" x14ac:dyDescent="0.2">
      <c r="B4134" s="207"/>
      <c r="C4134" s="210"/>
      <c r="D4134" s="211"/>
      <c r="E4134" s="211"/>
      <c r="U4134" s="222"/>
    </row>
    <row r="4135" spans="2:21" x14ac:dyDescent="0.2">
      <c r="B4135" s="207"/>
      <c r="C4135" s="210"/>
      <c r="D4135" s="211"/>
      <c r="E4135" s="211"/>
      <c r="U4135" s="222"/>
    </row>
    <row r="4136" spans="2:21" x14ac:dyDescent="0.2">
      <c r="B4136" s="207"/>
      <c r="C4136" s="210"/>
      <c r="D4136" s="211"/>
      <c r="E4136" s="211"/>
      <c r="U4136" s="222"/>
    </row>
    <row r="4137" spans="2:21" x14ac:dyDescent="0.2">
      <c r="B4137" s="207"/>
      <c r="C4137" s="210"/>
      <c r="D4137" s="211"/>
      <c r="E4137" s="211"/>
      <c r="U4137" s="222"/>
    </row>
    <row r="4138" spans="2:21" x14ac:dyDescent="0.2">
      <c r="B4138" s="207"/>
      <c r="C4138" s="210"/>
      <c r="D4138" s="211"/>
      <c r="E4138" s="211"/>
      <c r="U4138" s="222"/>
    </row>
    <row r="4139" spans="2:21" x14ac:dyDescent="0.2">
      <c r="B4139" s="207"/>
      <c r="C4139" s="210"/>
      <c r="D4139" s="211"/>
      <c r="E4139" s="211"/>
      <c r="U4139" s="222"/>
    </row>
    <row r="4140" spans="2:21" x14ac:dyDescent="0.2">
      <c r="B4140" s="207"/>
      <c r="C4140" s="210"/>
      <c r="D4140" s="211"/>
      <c r="E4140" s="211"/>
      <c r="U4140" s="222"/>
    </row>
    <row r="4141" spans="2:21" x14ac:dyDescent="0.2">
      <c r="B4141" s="207"/>
      <c r="C4141" s="210"/>
      <c r="D4141" s="211"/>
      <c r="E4141" s="211"/>
      <c r="U4141" s="222"/>
    </row>
    <row r="4142" spans="2:21" x14ac:dyDescent="0.2">
      <c r="B4142" s="207"/>
      <c r="C4142" s="210"/>
      <c r="D4142" s="211"/>
      <c r="E4142" s="211"/>
      <c r="U4142" s="222"/>
    </row>
    <row r="4143" spans="2:21" x14ac:dyDescent="0.2">
      <c r="B4143" s="207"/>
      <c r="C4143" s="210"/>
      <c r="D4143" s="211"/>
      <c r="E4143" s="211"/>
      <c r="U4143" s="222"/>
    </row>
    <row r="4144" spans="2:21" x14ac:dyDescent="0.2">
      <c r="B4144" s="207"/>
      <c r="C4144" s="210"/>
      <c r="D4144" s="211"/>
      <c r="E4144" s="211"/>
      <c r="U4144" s="222"/>
    </row>
    <row r="4145" spans="2:21" x14ac:dyDescent="0.2">
      <c r="B4145" s="207"/>
      <c r="C4145" s="210"/>
      <c r="D4145" s="211"/>
      <c r="E4145" s="211"/>
      <c r="U4145" s="222"/>
    </row>
    <row r="4146" spans="2:21" x14ac:dyDescent="0.2">
      <c r="B4146" s="207"/>
      <c r="C4146" s="210"/>
      <c r="D4146" s="211"/>
      <c r="E4146" s="211"/>
      <c r="U4146" s="222"/>
    </row>
    <row r="4147" spans="2:21" x14ac:dyDescent="0.2">
      <c r="B4147" s="207"/>
      <c r="C4147" s="210"/>
      <c r="D4147" s="211"/>
      <c r="E4147" s="211"/>
      <c r="U4147" s="222"/>
    </row>
    <row r="4148" spans="2:21" x14ac:dyDescent="0.2">
      <c r="B4148" s="207"/>
      <c r="C4148" s="210"/>
      <c r="D4148" s="211"/>
      <c r="E4148" s="211"/>
      <c r="U4148" s="222"/>
    </row>
    <row r="4149" spans="2:21" x14ac:dyDescent="0.2">
      <c r="B4149" s="207"/>
      <c r="C4149" s="210"/>
      <c r="D4149" s="211"/>
      <c r="E4149" s="211"/>
      <c r="U4149" s="222"/>
    </row>
    <row r="4150" spans="2:21" x14ac:dyDescent="0.2">
      <c r="B4150" s="207"/>
      <c r="C4150" s="210"/>
      <c r="D4150" s="211"/>
      <c r="E4150" s="211"/>
      <c r="U4150" s="222"/>
    </row>
    <row r="4151" spans="2:21" x14ac:dyDescent="0.2">
      <c r="B4151" s="207"/>
      <c r="C4151" s="210"/>
      <c r="D4151" s="211"/>
      <c r="E4151" s="211"/>
      <c r="U4151" s="222"/>
    </row>
    <row r="4152" spans="2:21" x14ac:dyDescent="0.2">
      <c r="B4152" s="207"/>
      <c r="C4152" s="210"/>
      <c r="D4152" s="211"/>
      <c r="E4152" s="211"/>
      <c r="U4152" s="222"/>
    </row>
    <row r="4153" spans="2:21" x14ac:dyDescent="0.2">
      <c r="B4153" s="207"/>
      <c r="C4153" s="210"/>
      <c r="D4153" s="211"/>
      <c r="E4153" s="211"/>
      <c r="U4153" s="222"/>
    </row>
    <row r="4154" spans="2:21" x14ac:dyDescent="0.2">
      <c r="B4154" s="207"/>
      <c r="C4154" s="210"/>
      <c r="D4154" s="211"/>
      <c r="E4154" s="211"/>
      <c r="U4154" s="222"/>
    </row>
    <row r="4155" spans="2:21" x14ac:dyDescent="0.2">
      <c r="B4155" s="207"/>
      <c r="C4155" s="210"/>
      <c r="D4155" s="211"/>
      <c r="E4155" s="211"/>
      <c r="U4155" s="222"/>
    </row>
    <row r="4156" spans="2:21" x14ac:dyDescent="0.2">
      <c r="B4156" s="207"/>
      <c r="C4156" s="210"/>
      <c r="D4156" s="211"/>
      <c r="E4156" s="211"/>
      <c r="U4156" s="222"/>
    </row>
    <row r="4157" spans="2:21" x14ac:dyDescent="0.2">
      <c r="B4157" s="207"/>
      <c r="C4157" s="210"/>
      <c r="D4157" s="211"/>
      <c r="E4157" s="211"/>
      <c r="U4157" s="222"/>
    </row>
    <row r="4158" spans="2:21" x14ac:dyDescent="0.2">
      <c r="B4158" s="207"/>
      <c r="C4158" s="210"/>
      <c r="D4158" s="211"/>
      <c r="E4158" s="211"/>
      <c r="U4158" s="222"/>
    </row>
    <row r="4159" spans="2:21" x14ac:dyDescent="0.2">
      <c r="B4159" s="207"/>
      <c r="C4159" s="210"/>
      <c r="D4159" s="211"/>
      <c r="E4159" s="211"/>
      <c r="U4159" s="222"/>
    </row>
    <row r="4160" spans="2:21" x14ac:dyDescent="0.2">
      <c r="B4160" s="207"/>
      <c r="C4160" s="210"/>
      <c r="D4160" s="211"/>
      <c r="E4160" s="211"/>
      <c r="U4160" s="222"/>
    </row>
    <row r="4161" spans="2:21" x14ac:dyDescent="0.2">
      <c r="B4161" s="207"/>
      <c r="C4161" s="210"/>
      <c r="D4161" s="211"/>
      <c r="E4161" s="211"/>
      <c r="U4161" s="222"/>
    </row>
    <row r="4162" spans="2:21" x14ac:dyDescent="0.2">
      <c r="B4162" s="207"/>
      <c r="C4162" s="210"/>
      <c r="D4162" s="211"/>
      <c r="E4162" s="211"/>
      <c r="U4162" s="222"/>
    </row>
    <row r="4163" spans="2:21" x14ac:dyDescent="0.2">
      <c r="B4163" s="207"/>
      <c r="C4163" s="210"/>
      <c r="D4163" s="211"/>
      <c r="E4163" s="211"/>
      <c r="U4163" s="222"/>
    </row>
    <row r="4164" spans="2:21" x14ac:dyDescent="0.2">
      <c r="B4164" s="207"/>
      <c r="C4164" s="210"/>
      <c r="D4164" s="211"/>
      <c r="E4164" s="211"/>
      <c r="U4164" s="222"/>
    </row>
    <row r="4165" spans="2:21" x14ac:dyDescent="0.2">
      <c r="B4165" s="207"/>
      <c r="C4165" s="210"/>
      <c r="D4165" s="211"/>
      <c r="E4165" s="211"/>
      <c r="U4165" s="222"/>
    </row>
    <row r="4166" spans="2:21" x14ac:dyDescent="0.2">
      <c r="B4166" s="207"/>
      <c r="C4166" s="210"/>
      <c r="D4166" s="211"/>
      <c r="E4166" s="211"/>
      <c r="U4166" s="222"/>
    </row>
    <row r="4167" spans="2:21" x14ac:dyDescent="0.2">
      <c r="B4167" s="207"/>
      <c r="C4167" s="210"/>
      <c r="D4167" s="211"/>
      <c r="E4167" s="211"/>
      <c r="U4167" s="222"/>
    </row>
    <row r="4168" spans="2:21" x14ac:dyDescent="0.2">
      <c r="B4168" s="207"/>
      <c r="C4168" s="210"/>
      <c r="D4168" s="211"/>
      <c r="E4168" s="211"/>
      <c r="U4168" s="222"/>
    </row>
    <row r="4169" spans="2:21" x14ac:dyDescent="0.2">
      <c r="B4169" s="207"/>
      <c r="C4169" s="210"/>
      <c r="D4169" s="211"/>
      <c r="E4169" s="211"/>
      <c r="U4169" s="222"/>
    </row>
    <row r="4170" spans="2:21" x14ac:dyDescent="0.2">
      <c r="B4170" s="207"/>
      <c r="C4170" s="210"/>
      <c r="D4170" s="211"/>
      <c r="E4170" s="211"/>
      <c r="U4170" s="222"/>
    </row>
    <row r="4171" spans="2:21" x14ac:dyDescent="0.2">
      <c r="B4171" s="207"/>
      <c r="C4171" s="210"/>
      <c r="D4171" s="211"/>
      <c r="E4171" s="211"/>
      <c r="U4171" s="222"/>
    </row>
    <row r="4172" spans="2:21" x14ac:dyDescent="0.2">
      <c r="B4172" s="207"/>
      <c r="C4172" s="210"/>
      <c r="D4172" s="211"/>
      <c r="E4172" s="211"/>
      <c r="U4172" s="222"/>
    </row>
    <row r="4173" spans="2:21" x14ac:dyDescent="0.2">
      <c r="B4173" s="207"/>
      <c r="C4173" s="210"/>
      <c r="D4173" s="211"/>
      <c r="E4173" s="211"/>
      <c r="U4173" s="222"/>
    </row>
    <row r="4174" spans="2:21" x14ac:dyDescent="0.2">
      <c r="B4174" s="207"/>
      <c r="C4174" s="210"/>
      <c r="D4174" s="211"/>
      <c r="E4174" s="211"/>
      <c r="U4174" s="222"/>
    </row>
    <row r="4175" spans="2:21" x14ac:dyDescent="0.2">
      <c r="B4175" s="207"/>
      <c r="C4175" s="210"/>
      <c r="D4175" s="211"/>
      <c r="E4175" s="211"/>
      <c r="U4175" s="222"/>
    </row>
    <row r="4176" spans="2:21" x14ac:dyDescent="0.2">
      <c r="B4176" s="207"/>
      <c r="C4176" s="210"/>
      <c r="D4176" s="211"/>
      <c r="E4176" s="211"/>
      <c r="U4176" s="222"/>
    </row>
    <row r="4177" spans="2:21" x14ac:dyDescent="0.2">
      <c r="B4177" s="207"/>
      <c r="C4177" s="210"/>
      <c r="D4177" s="211"/>
      <c r="E4177" s="211"/>
      <c r="U4177" s="222"/>
    </row>
    <row r="4178" spans="2:21" x14ac:dyDescent="0.2">
      <c r="B4178" s="207"/>
      <c r="C4178" s="210"/>
      <c r="D4178" s="211"/>
      <c r="E4178" s="211"/>
      <c r="U4178" s="222"/>
    </row>
    <row r="4179" spans="2:21" x14ac:dyDescent="0.2">
      <c r="B4179" s="207"/>
      <c r="C4179" s="210"/>
      <c r="D4179" s="211"/>
      <c r="E4179" s="211"/>
      <c r="U4179" s="222"/>
    </row>
    <row r="4180" spans="2:21" x14ac:dyDescent="0.2">
      <c r="B4180" s="207"/>
      <c r="C4180" s="210"/>
      <c r="D4180" s="211"/>
      <c r="E4180" s="211"/>
      <c r="U4180" s="222"/>
    </row>
    <row r="4181" spans="2:21" x14ac:dyDescent="0.2">
      <c r="B4181" s="207"/>
      <c r="C4181" s="210"/>
      <c r="D4181" s="211"/>
      <c r="E4181" s="211"/>
      <c r="U4181" s="222"/>
    </row>
    <row r="4182" spans="2:21" x14ac:dyDescent="0.2">
      <c r="B4182" s="207"/>
      <c r="C4182" s="210"/>
      <c r="D4182" s="211"/>
      <c r="E4182" s="211"/>
      <c r="U4182" s="222"/>
    </row>
    <row r="4183" spans="2:21" x14ac:dyDescent="0.2">
      <c r="B4183" s="207"/>
      <c r="C4183" s="210"/>
      <c r="D4183" s="211"/>
      <c r="E4183" s="211"/>
      <c r="U4183" s="222"/>
    </row>
    <row r="4184" spans="2:21" x14ac:dyDescent="0.2">
      <c r="B4184" s="207"/>
      <c r="C4184" s="210"/>
      <c r="D4184" s="211"/>
      <c r="E4184" s="211"/>
      <c r="U4184" s="222"/>
    </row>
    <row r="4185" spans="2:21" x14ac:dyDescent="0.2">
      <c r="B4185" s="207"/>
      <c r="C4185" s="210"/>
      <c r="D4185" s="211"/>
      <c r="E4185" s="211"/>
      <c r="U4185" s="222"/>
    </row>
    <row r="4186" spans="2:21" x14ac:dyDescent="0.2">
      <c r="B4186" s="207"/>
      <c r="C4186" s="210"/>
      <c r="D4186" s="211"/>
      <c r="E4186" s="211"/>
      <c r="U4186" s="222"/>
    </row>
    <row r="4187" spans="2:21" x14ac:dyDescent="0.2">
      <c r="B4187" s="207"/>
      <c r="C4187" s="210"/>
      <c r="D4187" s="211"/>
      <c r="E4187" s="211"/>
      <c r="U4187" s="222"/>
    </row>
    <row r="4188" spans="2:21" x14ac:dyDescent="0.2">
      <c r="B4188" s="207"/>
      <c r="C4188" s="210"/>
      <c r="D4188" s="211"/>
      <c r="E4188" s="211"/>
      <c r="U4188" s="222"/>
    </row>
    <row r="4189" spans="2:21" x14ac:dyDescent="0.2">
      <c r="B4189" s="207"/>
      <c r="C4189" s="210"/>
      <c r="D4189" s="211"/>
      <c r="E4189" s="211"/>
      <c r="U4189" s="222"/>
    </row>
    <row r="4190" spans="2:21" x14ac:dyDescent="0.2">
      <c r="B4190" s="207"/>
      <c r="C4190" s="210"/>
      <c r="D4190" s="211"/>
      <c r="E4190" s="211"/>
      <c r="U4190" s="222"/>
    </row>
    <row r="4191" spans="2:21" x14ac:dyDescent="0.2">
      <c r="B4191" s="207"/>
      <c r="C4191" s="210"/>
      <c r="D4191" s="211"/>
      <c r="E4191" s="211"/>
      <c r="U4191" s="222"/>
    </row>
    <row r="4192" spans="2:21" x14ac:dyDescent="0.2">
      <c r="B4192" s="207"/>
      <c r="C4192" s="210"/>
      <c r="D4192" s="211"/>
      <c r="E4192" s="211"/>
      <c r="U4192" s="222"/>
    </row>
    <row r="4193" spans="2:21" x14ac:dyDescent="0.2">
      <c r="B4193" s="207"/>
      <c r="C4193" s="210"/>
      <c r="D4193" s="211"/>
      <c r="E4193" s="211"/>
      <c r="U4193" s="222"/>
    </row>
    <row r="4194" spans="2:21" x14ac:dyDescent="0.2">
      <c r="B4194" s="207"/>
      <c r="C4194" s="210"/>
      <c r="D4194" s="211"/>
      <c r="E4194" s="211"/>
      <c r="U4194" s="222"/>
    </row>
    <row r="4195" spans="2:21" x14ac:dyDescent="0.2">
      <c r="B4195" s="207"/>
      <c r="C4195" s="210"/>
      <c r="D4195" s="211"/>
      <c r="E4195" s="211"/>
      <c r="U4195" s="222"/>
    </row>
    <row r="4196" spans="2:21" x14ac:dyDescent="0.2">
      <c r="B4196" s="207"/>
      <c r="C4196" s="210"/>
      <c r="D4196" s="211"/>
      <c r="E4196" s="211"/>
      <c r="U4196" s="222"/>
    </row>
    <row r="4197" spans="2:21" x14ac:dyDescent="0.2">
      <c r="B4197" s="207"/>
      <c r="C4197" s="210"/>
      <c r="D4197" s="211"/>
      <c r="E4197" s="211"/>
      <c r="U4197" s="222"/>
    </row>
    <row r="4198" spans="2:21" x14ac:dyDescent="0.2">
      <c r="B4198" s="207"/>
      <c r="C4198" s="210"/>
      <c r="D4198" s="211"/>
      <c r="E4198" s="211"/>
      <c r="U4198" s="222"/>
    </row>
    <row r="4199" spans="2:21" x14ac:dyDescent="0.2">
      <c r="B4199" s="207"/>
      <c r="C4199" s="210"/>
      <c r="D4199" s="211"/>
      <c r="E4199" s="211"/>
      <c r="U4199" s="222"/>
    </row>
    <row r="4200" spans="2:21" x14ac:dyDescent="0.2">
      <c r="B4200" s="207"/>
      <c r="C4200" s="210"/>
      <c r="D4200" s="211"/>
      <c r="E4200" s="211"/>
      <c r="U4200" s="222"/>
    </row>
    <row r="4201" spans="2:21" x14ac:dyDescent="0.2">
      <c r="B4201" s="207"/>
      <c r="C4201" s="210"/>
      <c r="D4201" s="211"/>
      <c r="E4201" s="211"/>
      <c r="U4201" s="222"/>
    </row>
    <row r="4202" spans="2:21" x14ac:dyDescent="0.2">
      <c r="B4202" s="207"/>
      <c r="C4202" s="210"/>
      <c r="D4202" s="211"/>
      <c r="E4202" s="211"/>
      <c r="U4202" s="222"/>
    </row>
    <row r="4203" spans="2:21" x14ac:dyDescent="0.2">
      <c r="B4203" s="207"/>
      <c r="C4203" s="210"/>
      <c r="D4203" s="211"/>
      <c r="E4203" s="211"/>
      <c r="U4203" s="222"/>
    </row>
    <row r="4204" spans="2:21" x14ac:dyDescent="0.2">
      <c r="B4204" s="207"/>
      <c r="C4204" s="210"/>
      <c r="D4204" s="211"/>
      <c r="E4204" s="211"/>
      <c r="U4204" s="222"/>
    </row>
    <row r="4205" spans="2:21" x14ac:dyDescent="0.2">
      <c r="B4205" s="207"/>
      <c r="C4205" s="210"/>
      <c r="D4205" s="211"/>
      <c r="E4205" s="211"/>
      <c r="U4205" s="222"/>
    </row>
    <row r="4206" spans="2:21" x14ac:dyDescent="0.2">
      <c r="B4206" s="207"/>
      <c r="C4206" s="210"/>
      <c r="D4206" s="211"/>
      <c r="E4206" s="211"/>
      <c r="U4206" s="222"/>
    </row>
    <row r="4207" spans="2:21" x14ac:dyDescent="0.2">
      <c r="B4207" s="207"/>
      <c r="C4207" s="210"/>
      <c r="D4207" s="211"/>
      <c r="E4207" s="211"/>
      <c r="U4207" s="222"/>
    </row>
    <row r="4208" spans="2:21" x14ac:dyDescent="0.2">
      <c r="B4208" s="207"/>
      <c r="C4208" s="210"/>
      <c r="D4208" s="211"/>
      <c r="E4208" s="211"/>
      <c r="U4208" s="222"/>
    </row>
    <row r="4209" spans="2:21" x14ac:dyDescent="0.2">
      <c r="B4209" s="207"/>
      <c r="C4209" s="210"/>
      <c r="D4209" s="211"/>
      <c r="E4209" s="211"/>
      <c r="U4209" s="222"/>
    </row>
    <row r="4210" spans="2:21" x14ac:dyDescent="0.2">
      <c r="B4210" s="207"/>
      <c r="C4210" s="210"/>
      <c r="D4210" s="211"/>
      <c r="E4210" s="211"/>
      <c r="U4210" s="222"/>
    </row>
    <row r="4211" spans="2:21" x14ac:dyDescent="0.2">
      <c r="B4211" s="207"/>
      <c r="C4211" s="210"/>
      <c r="D4211" s="211"/>
      <c r="E4211" s="211"/>
      <c r="U4211" s="222"/>
    </row>
    <row r="4212" spans="2:21" x14ac:dyDescent="0.2">
      <c r="B4212" s="207"/>
      <c r="C4212" s="210"/>
      <c r="D4212" s="211"/>
      <c r="E4212" s="211"/>
      <c r="U4212" s="222"/>
    </row>
    <row r="4213" spans="2:21" x14ac:dyDescent="0.2">
      <c r="B4213" s="207"/>
      <c r="C4213" s="210"/>
      <c r="D4213" s="211"/>
      <c r="E4213" s="211"/>
      <c r="U4213" s="222"/>
    </row>
    <row r="4214" spans="2:21" x14ac:dyDescent="0.2">
      <c r="B4214" s="207"/>
      <c r="C4214" s="210"/>
      <c r="D4214" s="211"/>
      <c r="E4214" s="211"/>
      <c r="U4214" s="222"/>
    </row>
    <row r="4215" spans="2:21" x14ac:dyDescent="0.2">
      <c r="B4215" s="207"/>
      <c r="C4215" s="210"/>
      <c r="D4215" s="211"/>
      <c r="E4215" s="211"/>
      <c r="U4215" s="222"/>
    </row>
    <row r="4216" spans="2:21" x14ac:dyDescent="0.2">
      <c r="B4216" s="207"/>
      <c r="C4216" s="210"/>
      <c r="D4216" s="211"/>
      <c r="E4216" s="211"/>
      <c r="U4216" s="222"/>
    </row>
    <row r="4217" spans="2:21" x14ac:dyDescent="0.2">
      <c r="B4217" s="207"/>
      <c r="C4217" s="210"/>
      <c r="D4217" s="211"/>
      <c r="E4217" s="211"/>
      <c r="U4217" s="222"/>
    </row>
    <row r="4218" spans="2:21" x14ac:dyDescent="0.2">
      <c r="B4218" s="207"/>
      <c r="C4218" s="210"/>
      <c r="D4218" s="211"/>
      <c r="E4218" s="211"/>
      <c r="U4218" s="222"/>
    </row>
    <row r="4219" spans="2:21" x14ac:dyDescent="0.2">
      <c r="B4219" s="207"/>
      <c r="C4219" s="210"/>
      <c r="D4219" s="211"/>
      <c r="E4219" s="211"/>
      <c r="U4219" s="222"/>
    </row>
    <row r="4220" spans="2:21" x14ac:dyDescent="0.2">
      <c r="B4220" s="207"/>
      <c r="C4220" s="210"/>
      <c r="D4220" s="211"/>
      <c r="E4220" s="211"/>
      <c r="U4220" s="222"/>
    </row>
    <row r="4221" spans="2:21" x14ac:dyDescent="0.2">
      <c r="B4221" s="207"/>
      <c r="C4221" s="210"/>
      <c r="D4221" s="211"/>
      <c r="E4221" s="211"/>
      <c r="U4221" s="222"/>
    </row>
    <row r="4222" spans="2:21" x14ac:dyDescent="0.2">
      <c r="B4222" s="207"/>
      <c r="C4222" s="210"/>
      <c r="D4222" s="211"/>
      <c r="E4222" s="211"/>
      <c r="U4222" s="222"/>
    </row>
    <row r="4223" spans="2:21" x14ac:dyDescent="0.2">
      <c r="B4223" s="207"/>
      <c r="C4223" s="210"/>
      <c r="D4223" s="211"/>
      <c r="E4223" s="211"/>
      <c r="U4223" s="222"/>
    </row>
    <row r="4224" spans="2:21" x14ac:dyDescent="0.2">
      <c r="B4224" s="207"/>
      <c r="C4224" s="210"/>
      <c r="D4224" s="211"/>
      <c r="E4224" s="211"/>
      <c r="U4224" s="222"/>
    </row>
    <row r="4225" spans="2:21" x14ac:dyDescent="0.2">
      <c r="B4225" s="207"/>
      <c r="C4225" s="210"/>
      <c r="D4225" s="211"/>
      <c r="E4225" s="211"/>
      <c r="U4225" s="222"/>
    </row>
    <row r="4226" spans="2:21" x14ac:dyDescent="0.2">
      <c r="B4226" s="207"/>
      <c r="C4226" s="210"/>
      <c r="D4226" s="211"/>
      <c r="E4226" s="211"/>
      <c r="U4226" s="222"/>
    </row>
    <row r="4227" spans="2:21" x14ac:dyDescent="0.2">
      <c r="B4227" s="207"/>
      <c r="C4227" s="210"/>
      <c r="D4227" s="211"/>
      <c r="E4227" s="211"/>
      <c r="U4227" s="222"/>
    </row>
    <row r="4228" spans="2:21" x14ac:dyDescent="0.2">
      <c r="B4228" s="207"/>
      <c r="C4228" s="210"/>
      <c r="D4228" s="211"/>
      <c r="E4228" s="211"/>
      <c r="U4228" s="222"/>
    </row>
    <row r="4229" spans="2:21" x14ac:dyDescent="0.2">
      <c r="B4229" s="207"/>
      <c r="C4229" s="210"/>
      <c r="D4229" s="211"/>
      <c r="E4229" s="211"/>
      <c r="U4229" s="222"/>
    </row>
    <row r="4230" spans="2:21" x14ac:dyDescent="0.2">
      <c r="B4230" s="207"/>
      <c r="C4230" s="210"/>
      <c r="D4230" s="211"/>
      <c r="E4230" s="211"/>
      <c r="U4230" s="222"/>
    </row>
    <row r="4231" spans="2:21" x14ac:dyDescent="0.2">
      <c r="B4231" s="207"/>
      <c r="C4231" s="210"/>
      <c r="D4231" s="211"/>
      <c r="E4231" s="211"/>
      <c r="U4231" s="222"/>
    </row>
    <row r="4232" spans="2:21" x14ac:dyDescent="0.2">
      <c r="B4232" s="207"/>
      <c r="C4232" s="210"/>
      <c r="D4232" s="211"/>
      <c r="E4232" s="211"/>
      <c r="U4232" s="222"/>
    </row>
    <row r="4233" spans="2:21" x14ac:dyDescent="0.2">
      <c r="B4233" s="207"/>
      <c r="C4233" s="210"/>
      <c r="D4233" s="211"/>
      <c r="E4233" s="211"/>
      <c r="U4233" s="222"/>
    </row>
    <row r="4234" spans="2:21" x14ac:dyDescent="0.2">
      <c r="B4234" s="207"/>
      <c r="C4234" s="210"/>
      <c r="D4234" s="211"/>
      <c r="E4234" s="211"/>
      <c r="U4234" s="222"/>
    </row>
    <row r="4235" spans="2:21" x14ac:dyDescent="0.2">
      <c r="B4235" s="207"/>
      <c r="C4235" s="210"/>
      <c r="D4235" s="211"/>
      <c r="E4235" s="211"/>
      <c r="U4235" s="222"/>
    </row>
    <row r="4236" spans="2:21" x14ac:dyDescent="0.2">
      <c r="B4236" s="207"/>
      <c r="C4236" s="210"/>
      <c r="D4236" s="211"/>
      <c r="E4236" s="211"/>
      <c r="U4236" s="222"/>
    </row>
    <row r="4237" spans="2:21" x14ac:dyDescent="0.2">
      <c r="B4237" s="207"/>
      <c r="C4237" s="210"/>
      <c r="D4237" s="211"/>
      <c r="E4237" s="211"/>
      <c r="U4237" s="222"/>
    </row>
    <row r="4238" spans="2:21" x14ac:dyDescent="0.2">
      <c r="B4238" s="207"/>
      <c r="C4238" s="210"/>
      <c r="D4238" s="211"/>
      <c r="E4238" s="211"/>
      <c r="U4238" s="222"/>
    </row>
    <row r="4239" spans="2:21" x14ac:dyDescent="0.2">
      <c r="B4239" s="207"/>
      <c r="C4239" s="210"/>
      <c r="D4239" s="211"/>
      <c r="E4239" s="211"/>
      <c r="U4239" s="222"/>
    </row>
    <row r="4240" spans="2:21" x14ac:dyDescent="0.2">
      <c r="B4240" s="207"/>
      <c r="C4240" s="210"/>
      <c r="D4240" s="211"/>
      <c r="E4240" s="211"/>
      <c r="U4240" s="222"/>
    </row>
    <row r="4241" spans="2:21" x14ac:dyDescent="0.2">
      <c r="B4241" s="207"/>
      <c r="C4241" s="210"/>
      <c r="D4241" s="211"/>
      <c r="E4241" s="211"/>
      <c r="U4241" s="222"/>
    </row>
    <row r="4242" spans="2:21" x14ac:dyDescent="0.2">
      <c r="B4242" s="207"/>
      <c r="C4242" s="210"/>
      <c r="D4242" s="211"/>
      <c r="E4242" s="211"/>
      <c r="U4242" s="222"/>
    </row>
    <row r="4243" spans="2:21" x14ac:dyDescent="0.2">
      <c r="B4243" s="207"/>
      <c r="C4243" s="210"/>
      <c r="D4243" s="211"/>
      <c r="E4243" s="211"/>
      <c r="U4243" s="222"/>
    </row>
    <row r="4244" spans="2:21" x14ac:dyDescent="0.2">
      <c r="B4244" s="207"/>
      <c r="C4244" s="210"/>
      <c r="D4244" s="211"/>
      <c r="E4244" s="211"/>
      <c r="U4244" s="222"/>
    </row>
    <row r="4245" spans="2:21" x14ac:dyDescent="0.2">
      <c r="B4245" s="207"/>
      <c r="C4245" s="210"/>
      <c r="D4245" s="211"/>
      <c r="E4245" s="211"/>
      <c r="U4245" s="222"/>
    </row>
    <row r="4246" spans="2:21" x14ac:dyDescent="0.2">
      <c r="B4246" s="207"/>
      <c r="C4246" s="210"/>
      <c r="D4246" s="211"/>
      <c r="E4246" s="211"/>
      <c r="U4246" s="222"/>
    </row>
    <row r="4247" spans="2:21" x14ac:dyDescent="0.2">
      <c r="B4247" s="207"/>
      <c r="C4247" s="210"/>
      <c r="D4247" s="211"/>
      <c r="E4247" s="211"/>
      <c r="U4247" s="222"/>
    </row>
    <row r="4248" spans="2:21" x14ac:dyDescent="0.2">
      <c r="B4248" s="207"/>
      <c r="C4248" s="210"/>
      <c r="D4248" s="211"/>
      <c r="E4248" s="211"/>
      <c r="U4248" s="222"/>
    </row>
    <row r="4249" spans="2:21" x14ac:dyDescent="0.2">
      <c r="B4249" s="207"/>
      <c r="C4249" s="210"/>
      <c r="D4249" s="211"/>
      <c r="E4249" s="211"/>
      <c r="U4249" s="222"/>
    </row>
    <row r="4250" spans="2:21" x14ac:dyDescent="0.2">
      <c r="B4250" s="207"/>
      <c r="C4250" s="210"/>
      <c r="D4250" s="211"/>
      <c r="E4250" s="211"/>
      <c r="U4250" s="222"/>
    </row>
    <row r="4251" spans="2:21" x14ac:dyDescent="0.2">
      <c r="B4251" s="207"/>
      <c r="C4251" s="210"/>
      <c r="D4251" s="211"/>
      <c r="E4251" s="211"/>
      <c r="U4251" s="222"/>
    </row>
    <row r="4252" spans="2:21" x14ac:dyDescent="0.2">
      <c r="B4252" s="207"/>
      <c r="C4252" s="210"/>
      <c r="D4252" s="211"/>
      <c r="E4252" s="211"/>
      <c r="U4252" s="222"/>
    </row>
    <row r="4253" spans="2:21" x14ac:dyDescent="0.2">
      <c r="B4253" s="207"/>
      <c r="C4253" s="210"/>
      <c r="D4253" s="211"/>
      <c r="E4253" s="211"/>
      <c r="U4253" s="222"/>
    </row>
    <row r="4254" spans="2:21" x14ac:dyDescent="0.2">
      <c r="B4254" s="207"/>
      <c r="C4254" s="210"/>
      <c r="D4254" s="211"/>
      <c r="E4254" s="211"/>
      <c r="U4254" s="222"/>
    </row>
    <row r="4255" spans="2:21" x14ac:dyDescent="0.2">
      <c r="B4255" s="207"/>
      <c r="C4255" s="210"/>
      <c r="D4255" s="211"/>
      <c r="E4255" s="211"/>
      <c r="U4255" s="222"/>
    </row>
    <row r="4256" spans="2:21" x14ac:dyDescent="0.2">
      <c r="B4256" s="207"/>
      <c r="C4256" s="210"/>
      <c r="D4256" s="211"/>
      <c r="E4256" s="211"/>
      <c r="U4256" s="222"/>
    </row>
    <row r="4257" spans="2:21" x14ac:dyDescent="0.2">
      <c r="B4257" s="207"/>
      <c r="C4257" s="210"/>
      <c r="D4257" s="211"/>
      <c r="E4257" s="211"/>
      <c r="U4257" s="222"/>
    </row>
    <row r="4258" spans="2:21" x14ac:dyDescent="0.2">
      <c r="B4258" s="207"/>
      <c r="C4258" s="210"/>
      <c r="D4258" s="211"/>
      <c r="E4258" s="211"/>
      <c r="U4258" s="222"/>
    </row>
    <row r="4259" spans="2:21" x14ac:dyDescent="0.2">
      <c r="B4259" s="207"/>
      <c r="C4259" s="210"/>
      <c r="D4259" s="211"/>
      <c r="E4259" s="211"/>
      <c r="U4259" s="222"/>
    </row>
    <row r="4260" spans="2:21" x14ac:dyDescent="0.2">
      <c r="B4260" s="207"/>
      <c r="C4260" s="210"/>
      <c r="D4260" s="211"/>
      <c r="E4260" s="211"/>
      <c r="U4260" s="222"/>
    </row>
    <row r="4261" spans="2:21" x14ac:dyDescent="0.2">
      <c r="B4261" s="207"/>
      <c r="C4261" s="210"/>
      <c r="D4261" s="211"/>
      <c r="E4261" s="211"/>
      <c r="U4261" s="222"/>
    </row>
    <row r="4262" spans="2:21" x14ac:dyDescent="0.2">
      <c r="B4262" s="207"/>
      <c r="C4262" s="210"/>
      <c r="D4262" s="211"/>
      <c r="E4262" s="211"/>
      <c r="U4262" s="222"/>
    </row>
    <row r="4263" spans="2:21" x14ac:dyDescent="0.2">
      <c r="B4263" s="207"/>
      <c r="C4263" s="210"/>
      <c r="D4263" s="211"/>
      <c r="E4263" s="211"/>
      <c r="U4263" s="222"/>
    </row>
    <row r="4264" spans="2:21" x14ac:dyDescent="0.2">
      <c r="B4264" s="207"/>
      <c r="C4264" s="210"/>
      <c r="D4264" s="211"/>
      <c r="E4264" s="211"/>
      <c r="U4264" s="222"/>
    </row>
    <row r="4265" spans="2:21" x14ac:dyDescent="0.2">
      <c r="B4265" s="207"/>
      <c r="C4265" s="210"/>
      <c r="D4265" s="211"/>
      <c r="E4265" s="211"/>
      <c r="U4265" s="222"/>
    </row>
    <row r="4266" spans="2:21" x14ac:dyDescent="0.2">
      <c r="B4266" s="207"/>
      <c r="C4266" s="210"/>
      <c r="D4266" s="211"/>
      <c r="E4266" s="211"/>
      <c r="U4266" s="222"/>
    </row>
    <row r="4267" spans="2:21" x14ac:dyDescent="0.2">
      <c r="B4267" s="207"/>
      <c r="C4267" s="210"/>
      <c r="D4267" s="211"/>
      <c r="E4267" s="211"/>
      <c r="U4267" s="222"/>
    </row>
    <row r="4268" spans="2:21" x14ac:dyDescent="0.2">
      <c r="B4268" s="207"/>
      <c r="C4268" s="210"/>
      <c r="D4268" s="211"/>
      <c r="E4268" s="211"/>
      <c r="U4268" s="222"/>
    </row>
    <row r="4269" spans="2:21" x14ac:dyDescent="0.2">
      <c r="B4269" s="207"/>
      <c r="C4269" s="210"/>
      <c r="D4269" s="211"/>
      <c r="E4269" s="211"/>
      <c r="U4269" s="222"/>
    </row>
    <row r="4270" spans="2:21" x14ac:dyDescent="0.2">
      <c r="B4270" s="207"/>
      <c r="C4270" s="210"/>
      <c r="D4270" s="211"/>
      <c r="E4270" s="211"/>
      <c r="U4270" s="222"/>
    </row>
    <row r="4271" spans="2:21" x14ac:dyDescent="0.2">
      <c r="B4271" s="207"/>
      <c r="C4271" s="210"/>
      <c r="D4271" s="211"/>
      <c r="E4271" s="211"/>
      <c r="U4271" s="222"/>
    </row>
    <row r="4272" spans="2:21" x14ac:dyDescent="0.2">
      <c r="B4272" s="207"/>
      <c r="C4272" s="210"/>
      <c r="D4272" s="211"/>
      <c r="E4272" s="211"/>
      <c r="U4272" s="222"/>
    </row>
    <row r="4273" spans="2:21" x14ac:dyDescent="0.2">
      <c r="B4273" s="207"/>
      <c r="C4273" s="210"/>
      <c r="D4273" s="211"/>
      <c r="E4273" s="211"/>
      <c r="U4273" s="222"/>
    </row>
    <row r="4274" spans="2:21" x14ac:dyDescent="0.2">
      <c r="B4274" s="207"/>
      <c r="C4274" s="210"/>
      <c r="D4274" s="211"/>
      <c r="E4274" s="211"/>
      <c r="U4274" s="222"/>
    </row>
    <row r="4275" spans="2:21" x14ac:dyDescent="0.2">
      <c r="B4275" s="207"/>
      <c r="C4275" s="210"/>
      <c r="D4275" s="211"/>
      <c r="E4275" s="211"/>
      <c r="U4275" s="222"/>
    </row>
    <row r="4276" spans="2:21" x14ac:dyDescent="0.2">
      <c r="B4276" s="207"/>
      <c r="C4276" s="210"/>
      <c r="D4276" s="211"/>
      <c r="E4276" s="211"/>
      <c r="U4276" s="222"/>
    </row>
    <row r="4277" spans="2:21" x14ac:dyDescent="0.2">
      <c r="B4277" s="207"/>
      <c r="C4277" s="210"/>
      <c r="D4277" s="211"/>
      <c r="E4277" s="211"/>
      <c r="U4277" s="222"/>
    </row>
    <row r="4278" spans="2:21" x14ac:dyDescent="0.2">
      <c r="B4278" s="207"/>
      <c r="C4278" s="210"/>
      <c r="D4278" s="211"/>
      <c r="E4278" s="211"/>
      <c r="U4278" s="222"/>
    </row>
    <row r="4279" spans="2:21" x14ac:dyDescent="0.2">
      <c r="B4279" s="207"/>
      <c r="C4279" s="210"/>
      <c r="D4279" s="211"/>
      <c r="E4279" s="211"/>
      <c r="U4279" s="222"/>
    </row>
    <row r="4280" spans="2:21" x14ac:dyDescent="0.2">
      <c r="B4280" s="207"/>
      <c r="C4280" s="210"/>
      <c r="D4280" s="211"/>
      <c r="E4280" s="211"/>
      <c r="U4280" s="222"/>
    </row>
    <row r="4281" spans="2:21" x14ac:dyDescent="0.2">
      <c r="B4281" s="207"/>
      <c r="C4281" s="210"/>
      <c r="D4281" s="211"/>
      <c r="E4281" s="211"/>
      <c r="U4281" s="222"/>
    </row>
    <row r="4282" spans="2:21" x14ac:dyDescent="0.2">
      <c r="B4282" s="207"/>
      <c r="C4282" s="210"/>
      <c r="D4282" s="211"/>
      <c r="E4282" s="211"/>
      <c r="U4282" s="222"/>
    </row>
    <row r="4283" spans="2:21" x14ac:dyDescent="0.2">
      <c r="B4283" s="207"/>
      <c r="C4283" s="210"/>
      <c r="D4283" s="211"/>
      <c r="E4283" s="211"/>
      <c r="U4283" s="222"/>
    </row>
    <row r="4284" spans="2:21" x14ac:dyDescent="0.2">
      <c r="B4284" s="207"/>
      <c r="C4284" s="210"/>
      <c r="D4284" s="211"/>
      <c r="E4284" s="211"/>
      <c r="U4284" s="222"/>
    </row>
    <row r="4285" spans="2:21" x14ac:dyDescent="0.2">
      <c r="B4285" s="207"/>
      <c r="C4285" s="210"/>
      <c r="D4285" s="211"/>
      <c r="E4285" s="211"/>
      <c r="U4285" s="222"/>
    </row>
    <row r="4286" spans="2:21" x14ac:dyDescent="0.2">
      <c r="B4286" s="207"/>
      <c r="C4286" s="210"/>
      <c r="D4286" s="211"/>
      <c r="E4286" s="211"/>
      <c r="U4286" s="222"/>
    </row>
    <row r="4287" spans="2:21" x14ac:dyDescent="0.2">
      <c r="B4287" s="207"/>
      <c r="C4287" s="210"/>
      <c r="D4287" s="211"/>
      <c r="E4287" s="211"/>
      <c r="U4287" s="222"/>
    </row>
    <row r="4288" spans="2:21" x14ac:dyDescent="0.2">
      <c r="B4288" s="207"/>
      <c r="C4288" s="210"/>
      <c r="D4288" s="211"/>
      <c r="E4288" s="211"/>
      <c r="U4288" s="222"/>
    </row>
    <row r="4289" spans="2:21" x14ac:dyDescent="0.2">
      <c r="B4289" s="207"/>
      <c r="C4289" s="210"/>
      <c r="D4289" s="211"/>
      <c r="E4289" s="211"/>
      <c r="U4289" s="222"/>
    </row>
    <row r="4290" spans="2:21" x14ac:dyDescent="0.2">
      <c r="B4290" s="207"/>
      <c r="C4290" s="210"/>
      <c r="D4290" s="211"/>
      <c r="E4290" s="211"/>
      <c r="U4290" s="222"/>
    </row>
    <row r="4291" spans="2:21" x14ac:dyDescent="0.2">
      <c r="B4291" s="207"/>
      <c r="C4291" s="210"/>
      <c r="D4291" s="211"/>
      <c r="E4291" s="211"/>
      <c r="U4291" s="222"/>
    </row>
    <row r="4292" spans="2:21" x14ac:dyDescent="0.2">
      <c r="B4292" s="207"/>
      <c r="C4292" s="210"/>
      <c r="D4292" s="211"/>
      <c r="E4292" s="211"/>
      <c r="U4292" s="222"/>
    </row>
    <row r="4293" spans="2:21" x14ac:dyDescent="0.2">
      <c r="B4293" s="207"/>
      <c r="C4293" s="210"/>
      <c r="D4293" s="211"/>
      <c r="E4293" s="211"/>
      <c r="U4293" s="222"/>
    </row>
    <row r="4294" spans="2:21" x14ac:dyDescent="0.2">
      <c r="B4294" s="207"/>
      <c r="C4294" s="210"/>
      <c r="D4294" s="211"/>
      <c r="E4294" s="211"/>
      <c r="U4294" s="222"/>
    </row>
    <row r="4295" spans="2:21" x14ac:dyDescent="0.2">
      <c r="B4295" s="207"/>
      <c r="C4295" s="210"/>
      <c r="D4295" s="211"/>
      <c r="E4295" s="211"/>
      <c r="U4295" s="222"/>
    </row>
    <row r="4296" spans="2:21" x14ac:dyDescent="0.2">
      <c r="B4296" s="207"/>
      <c r="C4296" s="210"/>
      <c r="D4296" s="211"/>
      <c r="E4296" s="211"/>
      <c r="U4296" s="222"/>
    </row>
    <row r="4297" spans="2:21" x14ac:dyDescent="0.2">
      <c r="B4297" s="207"/>
      <c r="C4297" s="210"/>
      <c r="D4297" s="211"/>
      <c r="E4297" s="211"/>
      <c r="U4297" s="222"/>
    </row>
    <row r="4298" spans="2:21" x14ac:dyDescent="0.2">
      <c r="B4298" s="207"/>
      <c r="C4298" s="210"/>
      <c r="D4298" s="211"/>
      <c r="E4298" s="211"/>
      <c r="U4298" s="222"/>
    </row>
    <row r="4299" spans="2:21" x14ac:dyDescent="0.2">
      <c r="B4299" s="207"/>
      <c r="C4299" s="210"/>
      <c r="D4299" s="211"/>
      <c r="E4299" s="211"/>
      <c r="U4299" s="222"/>
    </row>
    <row r="4300" spans="2:21" x14ac:dyDescent="0.2">
      <c r="B4300" s="207"/>
      <c r="C4300" s="210"/>
      <c r="D4300" s="211"/>
      <c r="E4300" s="211"/>
      <c r="U4300" s="222"/>
    </row>
    <row r="4301" spans="2:21" x14ac:dyDescent="0.2">
      <c r="B4301" s="207"/>
      <c r="C4301" s="210"/>
      <c r="D4301" s="211"/>
      <c r="E4301" s="211"/>
      <c r="U4301" s="222"/>
    </row>
    <row r="4302" spans="2:21" x14ac:dyDescent="0.2">
      <c r="B4302" s="207"/>
      <c r="C4302" s="210"/>
      <c r="D4302" s="211"/>
      <c r="E4302" s="211"/>
      <c r="U4302" s="222"/>
    </row>
    <row r="4303" spans="2:21" x14ac:dyDescent="0.2">
      <c r="B4303" s="207"/>
      <c r="C4303" s="210"/>
      <c r="D4303" s="211"/>
      <c r="E4303" s="211"/>
      <c r="U4303" s="222"/>
    </row>
    <row r="4304" spans="2:21" x14ac:dyDescent="0.2">
      <c r="B4304" s="207"/>
      <c r="C4304" s="210"/>
      <c r="D4304" s="211"/>
      <c r="E4304" s="211"/>
      <c r="U4304" s="222"/>
    </row>
    <row r="4305" spans="2:21" x14ac:dyDescent="0.2">
      <c r="B4305" s="207"/>
      <c r="C4305" s="210"/>
      <c r="D4305" s="211"/>
      <c r="E4305" s="211"/>
      <c r="U4305" s="222"/>
    </row>
    <row r="4306" spans="2:21" x14ac:dyDescent="0.2">
      <c r="B4306" s="207"/>
      <c r="C4306" s="210"/>
      <c r="D4306" s="211"/>
      <c r="E4306" s="211"/>
      <c r="U4306" s="222"/>
    </row>
    <row r="4307" spans="2:21" x14ac:dyDescent="0.2">
      <c r="B4307" s="207"/>
      <c r="C4307" s="210"/>
      <c r="D4307" s="211"/>
      <c r="E4307" s="211"/>
      <c r="U4307" s="222"/>
    </row>
    <row r="4308" spans="2:21" x14ac:dyDescent="0.2">
      <c r="B4308" s="207"/>
      <c r="C4308" s="210"/>
      <c r="D4308" s="211"/>
      <c r="E4308" s="211"/>
      <c r="U4308" s="222"/>
    </row>
    <row r="4309" spans="2:21" x14ac:dyDescent="0.2">
      <c r="B4309" s="207"/>
      <c r="C4309" s="210"/>
      <c r="D4309" s="211"/>
      <c r="E4309" s="211"/>
      <c r="U4309" s="222"/>
    </row>
    <row r="4310" spans="2:21" x14ac:dyDescent="0.2">
      <c r="B4310" s="207"/>
      <c r="C4310" s="210"/>
      <c r="D4310" s="211"/>
      <c r="E4310" s="211"/>
      <c r="U4310" s="222"/>
    </row>
    <row r="4311" spans="2:21" x14ac:dyDescent="0.2">
      <c r="B4311" s="207"/>
      <c r="C4311" s="210"/>
      <c r="D4311" s="211"/>
      <c r="E4311" s="211"/>
      <c r="U4311" s="222"/>
    </row>
    <row r="4312" spans="2:21" x14ac:dyDescent="0.2">
      <c r="B4312" s="207"/>
      <c r="C4312" s="210"/>
      <c r="D4312" s="211"/>
      <c r="E4312" s="211"/>
      <c r="U4312" s="222"/>
    </row>
    <row r="4313" spans="2:21" x14ac:dyDescent="0.2">
      <c r="B4313" s="207"/>
      <c r="C4313" s="210"/>
      <c r="D4313" s="211"/>
      <c r="E4313" s="211"/>
      <c r="U4313" s="222"/>
    </row>
    <row r="4314" spans="2:21" x14ac:dyDescent="0.2">
      <c r="B4314" s="207"/>
      <c r="C4314" s="210"/>
      <c r="D4314" s="211"/>
      <c r="E4314" s="211"/>
      <c r="U4314" s="222"/>
    </row>
    <row r="4315" spans="2:21" x14ac:dyDescent="0.2">
      <c r="B4315" s="207"/>
      <c r="C4315" s="210"/>
      <c r="D4315" s="211"/>
      <c r="E4315" s="211"/>
      <c r="U4315" s="222"/>
    </row>
    <row r="4316" spans="2:21" x14ac:dyDescent="0.2">
      <c r="B4316" s="207"/>
      <c r="C4316" s="210"/>
      <c r="D4316" s="211"/>
      <c r="E4316" s="211"/>
      <c r="U4316" s="222"/>
    </row>
    <row r="4317" spans="2:21" x14ac:dyDescent="0.2">
      <c r="B4317" s="207"/>
      <c r="C4317" s="210"/>
      <c r="D4317" s="211"/>
      <c r="E4317" s="211"/>
      <c r="U4317" s="222"/>
    </row>
    <row r="4318" spans="2:21" x14ac:dyDescent="0.2">
      <c r="B4318" s="207"/>
      <c r="C4318" s="210"/>
      <c r="D4318" s="211"/>
      <c r="E4318" s="211"/>
      <c r="U4318" s="222"/>
    </row>
    <row r="4319" spans="2:21" x14ac:dyDescent="0.2">
      <c r="B4319" s="207"/>
      <c r="C4319" s="210"/>
      <c r="D4319" s="211"/>
      <c r="E4319" s="211"/>
      <c r="U4319" s="222"/>
    </row>
    <row r="4320" spans="2:21" x14ac:dyDescent="0.2">
      <c r="B4320" s="207"/>
      <c r="C4320" s="210"/>
      <c r="D4320" s="211"/>
      <c r="E4320" s="211"/>
      <c r="U4320" s="222"/>
    </row>
    <row r="4321" spans="2:21" x14ac:dyDescent="0.2">
      <c r="B4321" s="207"/>
      <c r="C4321" s="210"/>
      <c r="D4321" s="211"/>
      <c r="E4321" s="211"/>
      <c r="U4321" s="222"/>
    </row>
    <row r="4322" spans="2:21" x14ac:dyDescent="0.2">
      <c r="B4322" s="207"/>
      <c r="C4322" s="210"/>
      <c r="D4322" s="211"/>
      <c r="E4322" s="211"/>
      <c r="U4322" s="222"/>
    </row>
    <row r="4323" spans="2:21" x14ac:dyDescent="0.2">
      <c r="B4323" s="207"/>
      <c r="C4323" s="210"/>
      <c r="D4323" s="211"/>
      <c r="E4323" s="211"/>
      <c r="U4323" s="222"/>
    </row>
    <row r="4324" spans="2:21" x14ac:dyDescent="0.2">
      <c r="B4324" s="207"/>
      <c r="C4324" s="210"/>
      <c r="D4324" s="211"/>
      <c r="E4324" s="211"/>
      <c r="U4324" s="222"/>
    </row>
    <row r="4325" spans="2:21" x14ac:dyDescent="0.2">
      <c r="B4325" s="207"/>
      <c r="C4325" s="210"/>
      <c r="D4325" s="211"/>
      <c r="E4325" s="211"/>
      <c r="U4325" s="222"/>
    </row>
    <row r="4326" spans="2:21" x14ac:dyDescent="0.2">
      <c r="B4326" s="207"/>
      <c r="C4326" s="210"/>
      <c r="D4326" s="211"/>
      <c r="E4326" s="211"/>
      <c r="U4326" s="222"/>
    </row>
    <row r="4327" spans="2:21" x14ac:dyDescent="0.2">
      <c r="B4327" s="207"/>
      <c r="C4327" s="210"/>
      <c r="D4327" s="211"/>
      <c r="E4327" s="211"/>
      <c r="U4327" s="222"/>
    </row>
    <row r="4328" spans="2:21" x14ac:dyDescent="0.2">
      <c r="B4328" s="207"/>
      <c r="C4328" s="210"/>
      <c r="D4328" s="211"/>
      <c r="E4328" s="211"/>
      <c r="U4328" s="222"/>
    </row>
    <row r="4329" spans="2:21" x14ac:dyDescent="0.2">
      <c r="B4329" s="207"/>
      <c r="C4329" s="210"/>
      <c r="D4329" s="211"/>
      <c r="E4329" s="211"/>
      <c r="U4329" s="222"/>
    </row>
    <row r="4330" spans="2:21" x14ac:dyDescent="0.2">
      <c r="B4330" s="207"/>
      <c r="C4330" s="210"/>
      <c r="D4330" s="211"/>
      <c r="E4330" s="211"/>
      <c r="U4330" s="222"/>
    </row>
    <row r="4331" spans="2:21" x14ac:dyDescent="0.2">
      <c r="B4331" s="207"/>
      <c r="C4331" s="210"/>
      <c r="D4331" s="211"/>
      <c r="E4331" s="211"/>
      <c r="U4331" s="222"/>
    </row>
    <row r="4332" spans="2:21" x14ac:dyDescent="0.2">
      <c r="B4332" s="207"/>
      <c r="C4332" s="210"/>
      <c r="D4332" s="211"/>
      <c r="E4332" s="211"/>
      <c r="U4332" s="222"/>
    </row>
    <row r="4333" spans="2:21" x14ac:dyDescent="0.2">
      <c r="B4333" s="207"/>
      <c r="C4333" s="210"/>
      <c r="D4333" s="211"/>
      <c r="E4333" s="211"/>
      <c r="U4333" s="222"/>
    </row>
    <row r="4334" spans="2:21" x14ac:dyDescent="0.2">
      <c r="B4334" s="207"/>
      <c r="C4334" s="210"/>
      <c r="D4334" s="211"/>
      <c r="E4334" s="211"/>
      <c r="U4334" s="222"/>
    </row>
    <row r="4335" spans="2:21" x14ac:dyDescent="0.2">
      <c r="B4335" s="207"/>
      <c r="C4335" s="210"/>
      <c r="D4335" s="211"/>
      <c r="E4335" s="211"/>
      <c r="U4335" s="222"/>
    </row>
    <row r="4336" spans="2:21" x14ac:dyDescent="0.2">
      <c r="B4336" s="207"/>
      <c r="C4336" s="210"/>
      <c r="D4336" s="211"/>
      <c r="E4336" s="211"/>
      <c r="U4336" s="222"/>
    </row>
    <row r="4337" spans="2:21" x14ac:dyDescent="0.2">
      <c r="B4337" s="207"/>
      <c r="C4337" s="210"/>
      <c r="D4337" s="211"/>
      <c r="E4337" s="211"/>
      <c r="U4337" s="222"/>
    </row>
    <row r="4338" spans="2:21" x14ac:dyDescent="0.2">
      <c r="B4338" s="207"/>
      <c r="C4338" s="210"/>
      <c r="D4338" s="211"/>
      <c r="E4338" s="211"/>
      <c r="U4338" s="222"/>
    </row>
    <row r="4339" spans="2:21" x14ac:dyDescent="0.2">
      <c r="B4339" s="207"/>
      <c r="C4339" s="210"/>
      <c r="D4339" s="211"/>
      <c r="E4339" s="211"/>
      <c r="U4339" s="222"/>
    </row>
    <row r="4340" spans="2:21" x14ac:dyDescent="0.2">
      <c r="B4340" s="207"/>
      <c r="C4340" s="210"/>
      <c r="D4340" s="211"/>
      <c r="E4340" s="211"/>
      <c r="U4340" s="222"/>
    </row>
    <row r="4341" spans="2:21" x14ac:dyDescent="0.2">
      <c r="B4341" s="207"/>
      <c r="C4341" s="210"/>
      <c r="D4341" s="211"/>
      <c r="E4341" s="211"/>
      <c r="U4341" s="222"/>
    </row>
    <row r="4342" spans="2:21" x14ac:dyDescent="0.2">
      <c r="B4342" s="207"/>
      <c r="C4342" s="210"/>
      <c r="D4342" s="211"/>
      <c r="E4342" s="211"/>
      <c r="U4342" s="222"/>
    </row>
    <row r="4343" spans="2:21" x14ac:dyDescent="0.2">
      <c r="B4343" s="207"/>
      <c r="C4343" s="210"/>
      <c r="D4343" s="211"/>
      <c r="E4343" s="211"/>
      <c r="U4343" s="222"/>
    </row>
    <row r="4344" spans="2:21" x14ac:dyDescent="0.2">
      <c r="B4344" s="207"/>
      <c r="C4344" s="210"/>
      <c r="D4344" s="211"/>
      <c r="E4344" s="211"/>
      <c r="U4344" s="222"/>
    </row>
    <row r="4345" spans="2:21" x14ac:dyDescent="0.2">
      <c r="B4345" s="207"/>
      <c r="C4345" s="210"/>
      <c r="D4345" s="211"/>
      <c r="E4345" s="211"/>
      <c r="U4345" s="222"/>
    </row>
    <row r="4346" spans="2:21" x14ac:dyDescent="0.2">
      <c r="B4346" s="207"/>
      <c r="C4346" s="210"/>
      <c r="D4346" s="211"/>
      <c r="E4346" s="211"/>
      <c r="U4346" s="222"/>
    </row>
    <row r="4347" spans="2:21" x14ac:dyDescent="0.2">
      <c r="B4347" s="207"/>
      <c r="C4347" s="210"/>
      <c r="D4347" s="211"/>
      <c r="E4347" s="211"/>
      <c r="U4347" s="222"/>
    </row>
    <row r="4348" spans="2:21" x14ac:dyDescent="0.2">
      <c r="B4348" s="207"/>
      <c r="C4348" s="210"/>
      <c r="D4348" s="211"/>
      <c r="E4348" s="211"/>
      <c r="U4348" s="222"/>
    </row>
    <row r="4349" spans="2:21" x14ac:dyDescent="0.2">
      <c r="B4349" s="207"/>
      <c r="C4349" s="210"/>
      <c r="D4349" s="211"/>
      <c r="E4349" s="211"/>
      <c r="U4349" s="222"/>
    </row>
    <row r="4350" spans="2:21" x14ac:dyDescent="0.2">
      <c r="B4350" s="207"/>
      <c r="C4350" s="210"/>
      <c r="D4350" s="211"/>
      <c r="E4350" s="211"/>
      <c r="U4350" s="222"/>
    </row>
    <row r="4351" spans="2:21" x14ac:dyDescent="0.2">
      <c r="B4351" s="207"/>
      <c r="C4351" s="210"/>
      <c r="D4351" s="211"/>
      <c r="E4351" s="211"/>
      <c r="U4351" s="222"/>
    </row>
    <row r="4352" spans="2:21" x14ac:dyDescent="0.2">
      <c r="B4352" s="207"/>
      <c r="C4352" s="210"/>
      <c r="D4352" s="211"/>
      <c r="E4352" s="211"/>
      <c r="U4352" s="222"/>
    </row>
    <row r="4353" spans="2:21" x14ac:dyDescent="0.2">
      <c r="B4353" s="207"/>
      <c r="C4353" s="210"/>
      <c r="D4353" s="211"/>
      <c r="E4353" s="211"/>
      <c r="U4353" s="222"/>
    </row>
    <row r="4354" spans="2:21" x14ac:dyDescent="0.2">
      <c r="B4354" s="207"/>
      <c r="C4354" s="210"/>
      <c r="D4354" s="211"/>
      <c r="E4354" s="211"/>
      <c r="U4354" s="222"/>
    </row>
    <row r="4355" spans="2:21" x14ac:dyDescent="0.2">
      <c r="B4355" s="207"/>
      <c r="C4355" s="210"/>
      <c r="D4355" s="211"/>
      <c r="E4355" s="211"/>
      <c r="U4355" s="222"/>
    </row>
    <row r="4356" spans="2:21" x14ac:dyDescent="0.2">
      <c r="B4356" s="207"/>
      <c r="C4356" s="210"/>
      <c r="D4356" s="211"/>
      <c r="E4356" s="211"/>
      <c r="U4356" s="222"/>
    </row>
    <row r="4357" spans="2:21" x14ac:dyDescent="0.2">
      <c r="B4357" s="207"/>
      <c r="C4357" s="210"/>
      <c r="D4357" s="211"/>
      <c r="E4357" s="211"/>
      <c r="U4357" s="222"/>
    </row>
    <row r="4358" spans="2:21" x14ac:dyDescent="0.2">
      <c r="B4358" s="207"/>
      <c r="C4358" s="210"/>
      <c r="D4358" s="211"/>
      <c r="E4358" s="211"/>
      <c r="U4358" s="222"/>
    </row>
    <row r="4359" spans="2:21" x14ac:dyDescent="0.2">
      <c r="B4359" s="207"/>
      <c r="C4359" s="210"/>
      <c r="D4359" s="211"/>
      <c r="E4359" s="211"/>
      <c r="U4359" s="222"/>
    </row>
    <row r="4360" spans="2:21" x14ac:dyDescent="0.2">
      <c r="B4360" s="207"/>
      <c r="C4360" s="210"/>
      <c r="D4360" s="211"/>
      <c r="E4360" s="211"/>
      <c r="U4360" s="222"/>
    </row>
    <row r="4361" spans="2:21" x14ac:dyDescent="0.2">
      <c r="B4361" s="207"/>
      <c r="C4361" s="210"/>
      <c r="D4361" s="211"/>
      <c r="E4361" s="211"/>
      <c r="U4361" s="222"/>
    </row>
    <row r="4362" spans="2:21" x14ac:dyDescent="0.2">
      <c r="B4362" s="207"/>
      <c r="C4362" s="210"/>
      <c r="D4362" s="211"/>
      <c r="E4362" s="211"/>
      <c r="U4362" s="222"/>
    </row>
    <row r="4363" spans="2:21" x14ac:dyDescent="0.2">
      <c r="B4363" s="207"/>
      <c r="C4363" s="210"/>
      <c r="D4363" s="211"/>
      <c r="E4363" s="211"/>
      <c r="U4363" s="222"/>
    </row>
    <row r="4364" spans="2:21" x14ac:dyDescent="0.2">
      <c r="B4364" s="207"/>
      <c r="C4364" s="210"/>
      <c r="D4364" s="211"/>
      <c r="E4364" s="211"/>
      <c r="U4364" s="222"/>
    </row>
    <row r="4365" spans="2:21" x14ac:dyDescent="0.2">
      <c r="B4365" s="207"/>
      <c r="C4365" s="210"/>
      <c r="D4365" s="211"/>
      <c r="E4365" s="211"/>
      <c r="U4365" s="222"/>
    </row>
    <row r="4366" spans="2:21" x14ac:dyDescent="0.2">
      <c r="B4366" s="207"/>
      <c r="C4366" s="210"/>
      <c r="D4366" s="211"/>
      <c r="E4366" s="211"/>
      <c r="U4366" s="222"/>
    </row>
    <row r="4367" spans="2:21" x14ac:dyDescent="0.2">
      <c r="B4367" s="207"/>
      <c r="C4367" s="210"/>
      <c r="D4367" s="211"/>
      <c r="E4367" s="211"/>
      <c r="U4367" s="222"/>
    </row>
    <row r="4368" spans="2:21" x14ac:dyDescent="0.2">
      <c r="B4368" s="207"/>
      <c r="C4368" s="210"/>
      <c r="D4368" s="211"/>
      <c r="E4368" s="211"/>
      <c r="U4368" s="222"/>
    </row>
    <row r="4369" spans="2:21" x14ac:dyDescent="0.2">
      <c r="B4369" s="207"/>
      <c r="C4369" s="210"/>
      <c r="D4369" s="211"/>
      <c r="E4369" s="211"/>
      <c r="U4369" s="222"/>
    </row>
    <row r="4370" spans="2:21" x14ac:dyDescent="0.2">
      <c r="B4370" s="207"/>
      <c r="C4370" s="210"/>
      <c r="D4370" s="211"/>
      <c r="E4370" s="211"/>
      <c r="U4370" s="222"/>
    </row>
    <row r="4371" spans="2:21" x14ac:dyDescent="0.2">
      <c r="B4371" s="207"/>
      <c r="C4371" s="210"/>
      <c r="D4371" s="211"/>
      <c r="E4371" s="211"/>
      <c r="U4371" s="222"/>
    </row>
    <row r="4372" spans="2:21" x14ac:dyDescent="0.2">
      <c r="B4372" s="207"/>
      <c r="C4372" s="210"/>
      <c r="D4372" s="211"/>
      <c r="E4372" s="211"/>
      <c r="U4372" s="222"/>
    </row>
    <row r="4373" spans="2:21" x14ac:dyDescent="0.2">
      <c r="B4373" s="207"/>
      <c r="C4373" s="210"/>
      <c r="D4373" s="211"/>
      <c r="E4373" s="211"/>
      <c r="U4373" s="222"/>
    </row>
    <row r="4374" spans="2:21" x14ac:dyDescent="0.2">
      <c r="B4374" s="207"/>
      <c r="C4374" s="210"/>
      <c r="D4374" s="211"/>
      <c r="E4374" s="211"/>
      <c r="U4374" s="222"/>
    </row>
    <row r="4375" spans="2:21" x14ac:dyDescent="0.2">
      <c r="B4375" s="207"/>
      <c r="C4375" s="210"/>
      <c r="D4375" s="211"/>
      <c r="E4375" s="211"/>
      <c r="U4375" s="222"/>
    </row>
    <row r="4376" spans="2:21" x14ac:dyDescent="0.2">
      <c r="B4376" s="207"/>
      <c r="C4376" s="210"/>
      <c r="D4376" s="211"/>
      <c r="E4376" s="211"/>
      <c r="U4376" s="222"/>
    </row>
    <row r="4377" spans="2:21" x14ac:dyDescent="0.2">
      <c r="B4377" s="207"/>
      <c r="C4377" s="210"/>
      <c r="D4377" s="211"/>
      <c r="E4377" s="211"/>
      <c r="U4377" s="222"/>
    </row>
    <row r="4378" spans="2:21" x14ac:dyDescent="0.2">
      <c r="B4378" s="207"/>
      <c r="C4378" s="210"/>
      <c r="D4378" s="211"/>
      <c r="E4378" s="211"/>
      <c r="U4378" s="222"/>
    </row>
    <row r="4379" spans="2:21" x14ac:dyDescent="0.2">
      <c r="B4379" s="207"/>
      <c r="C4379" s="210"/>
      <c r="D4379" s="211"/>
      <c r="E4379" s="211"/>
      <c r="U4379" s="222"/>
    </row>
    <row r="4380" spans="2:21" x14ac:dyDescent="0.2">
      <c r="B4380" s="207"/>
      <c r="C4380" s="210"/>
      <c r="D4380" s="211"/>
      <c r="E4380" s="211"/>
      <c r="U4380" s="222"/>
    </row>
    <row r="4381" spans="2:21" x14ac:dyDescent="0.2">
      <c r="B4381" s="207"/>
      <c r="C4381" s="210"/>
      <c r="D4381" s="211"/>
      <c r="E4381" s="211"/>
      <c r="U4381" s="222"/>
    </row>
    <row r="4382" spans="2:21" x14ac:dyDescent="0.2">
      <c r="B4382" s="207"/>
      <c r="C4382" s="210"/>
      <c r="D4382" s="211"/>
      <c r="E4382" s="211"/>
      <c r="U4382" s="222"/>
    </row>
    <row r="4383" spans="2:21" x14ac:dyDescent="0.2">
      <c r="B4383" s="207"/>
      <c r="C4383" s="210"/>
      <c r="D4383" s="211"/>
      <c r="E4383" s="211"/>
      <c r="U4383" s="222"/>
    </row>
    <row r="4384" spans="2:21" x14ac:dyDescent="0.2">
      <c r="B4384" s="207"/>
      <c r="C4384" s="210"/>
      <c r="D4384" s="211"/>
      <c r="E4384" s="211"/>
      <c r="U4384" s="222"/>
    </row>
    <row r="4385" spans="2:21" x14ac:dyDescent="0.2">
      <c r="B4385" s="207"/>
      <c r="C4385" s="210"/>
      <c r="D4385" s="211"/>
      <c r="E4385" s="211"/>
      <c r="U4385" s="222"/>
    </row>
    <row r="4386" spans="2:21" x14ac:dyDescent="0.2">
      <c r="B4386" s="207"/>
      <c r="C4386" s="210"/>
      <c r="D4386" s="211"/>
      <c r="E4386" s="211"/>
      <c r="U4386" s="222"/>
    </row>
    <row r="4387" spans="2:21" x14ac:dyDescent="0.2">
      <c r="B4387" s="207"/>
      <c r="C4387" s="210"/>
      <c r="D4387" s="211"/>
      <c r="E4387" s="211"/>
      <c r="U4387" s="222"/>
    </row>
    <row r="4388" spans="2:21" x14ac:dyDescent="0.2">
      <c r="B4388" s="207"/>
      <c r="C4388" s="210"/>
      <c r="D4388" s="211"/>
      <c r="E4388" s="211"/>
      <c r="U4388" s="222"/>
    </row>
    <row r="4389" spans="2:21" x14ac:dyDescent="0.2">
      <c r="B4389" s="207"/>
      <c r="C4389" s="210"/>
      <c r="D4389" s="211"/>
      <c r="E4389" s="211"/>
      <c r="U4389" s="222"/>
    </row>
    <row r="4390" spans="2:21" x14ac:dyDescent="0.2">
      <c r="B4390" s="207"/>
      <c r="C4390" s="210"/>
      <c r="D4390" s="211"/>
      <c r="E4390" s="211"/>
      <c r="U4390" s="222"/>
    </row>
    <row r="4391" spans="2:21" x14ac:dyDescent="0.2">
      <c r="B4391" s="207"/>
      <c r="C4391" s="210"/>
      <c r="D4391" s="211"/>
      <c r="E4391" s="211"/>
      <c r="U4391" s="222"/>
    </row>
    <row r="4392" spans="2:21" x14ac:dyDescent="0.2">
      <c r="B4392" s="207"/>
      <c r="C4392" s="210"/>
      <c r="D4392" s="211"/>
      <c r="E4392" s="211"/>
      <c r="U4392" s="222"/>
    </row>
    <row r="4393" spans="2:21" x14ac:dyDescent="0.2">
      <c r="B4393" s="207"/>
      <c r="C4393" s="210"/>
      <c r="D4393" s="211"/>
      <c r="E4393" s="211"/>
      <c r="U4393" s="222"/>
    </row>
    <row r="4394" spans="2:21" x14ac:dyDescent="0.2">
      <c r="B4394" s="207"/>
      <c r="C4394" s="210"/>
      <c r="D4394" s="211"/>
      <c r="E4394" s="211"/>
      <c r="U4394" s="222"/>
    </row>
    <row r="4395" spans="2:21" x14ac:dyDescent="0.2">
      <c r="B4395" s="207"/>
      <c r="C4395" s="210"/>
      <c r="D4395" s="211"/>
      <c r="E4395" s="211"/>
      <c r="U4395" s="222"/>
    </row>
    <row r="4396" spans="2:21" x14ac:dyDescent="0.2">
      <c r="B4396" s="207"/>
      <c r="C4396" s="210"/>
      <c r="D4396" s="211"/>
      <c r="E4396" s="211"/>
      <c r="U4396" s="222"/>
    </row>
    <row r="4397" spans="2:21" x14ac:dyDescent="0.2">
      <c r="B4397" s="207"/>
      <c r="C4397" s="210"/>
      <c r="D4397" s="211"/>
      <c r="E4397" s="211"/>
      <c r="U4397" s="222"/>
    </row>
    <row r="4398" spans="2:21" x14ac:dyDescent="0.2">
      <c r="B4398" s="207"/>
      <c r="C4398" s="210"/>
      <c r="D4398" s="211"/>
      <c r="E4398" s="211"/>
      <c r="U4398" s="222"/>
    </row>
    <row r="4399" spans="2:21" x14ac:dyDescent="0.2">
      <c r="B4399" s="207"/>
      <c r="C4399" s="210"/>
      <c r="D4399" s="211"/>
      <c r="E4399" s="211"/>
      <c r="U4399" s="222"/>
    </row>
    <row r="4400" spans="2:21" x14ac:dyDescent="0.2">
      <c r="B4400" s="207"/>
      <c r="C4400" s="210"/>
      <c r="D4400" s="211"/>
      <c r="E4400" s="211"/>
      <c r="U4400" s="222"/>
    </row>
    <row r="4401" spans="2:21" x14ac:dyDescent="0.2">
      <c r="B4401" s="207"/>
      <c r="C4401" s="210"/>
      <c r="D4401" s="211"/>
      <c r="E4401" s="211"/>
      <c r="U4401" s="222"/>
    </row>
    <row r="4402" spans="2:21" x14ac:dyDescent="0.2">
      <c r="B4402" s="207"/>
      <c r="C4402" s="210"/>
      <c r="D4402" s="211"/>
      <c r="E4402" s="211"/>
      <c r="U4402" s="222"/>
    </row>
    <row r="4403" spans="2:21" x14ac:dyDescent="0.2">
      <c r="B4403" s="207"/>
      <c r="C4403" s="210"/>
      <c r="D4403" s="211"/>
      <c r="E4403" s="211"/>
      <c r="U4403" s="222"/>
    </row>
    <row r="4404" spans="2:21" x14ac:dyDescent="0.2">
      <c r="B4404" s="207"/>
      <c r="C4404" s="210"/>
      <c r="D4404" s="211"/>
      <c r="E4404" s="211"/>
      <c r="U4404" s="222"/>
    </row>
    <row r="4405" spans="2:21" x14ac:dyDescent="0.2">
      <c r="B4405" s="207"/>
      <c r="C4405" s="210"/>
      <c r="D4405" s="211"/>
      <c r="E4405" s="211"/>
      <c r="U4405" s="222"/>
    </row>
    <row r="4406" spans="2:21" x14ac:dyDescent="0.2">
      <c r="B4406" s="207"/>
      <c r="C4406" s="210"/>
      <c r="D4406" s="211"/>
      <c r="E4406" s="211"/>
      <c r="U4406" s="222"/>
    </row>
    <row r="4407" spans="2:21" x14ac:dyDescent="0.2">
      <c r="B4407" s="207"/>
      <c r="C4407" s="210"/>
      <c r="D4407" s="211"/>
      <c r="E4407" s="211"/>
      <c r="U4407" s="222"/>
    </row>
    <row r="4408" spans="2:21" x14ac:dyDescent="0.2">
      <c r="B4408" s="207"/>
      <c r="C4408" s="210"/>
      <c r="D4408" s="211"/>
      <c r="E4408" s="211"/>
      <c r="U4408" s="222"/>
    </row>
    <row r="4409" spans="2:21" x14ac:dyDescent="0.2">
      <c r="B4409" s="207"/>
      <c r="C4409" s="210"/>
      <c r="D4409" s="211"/>
      <c r="E4409" s="211"/>
      <c r="U4409" s="222"/>
    </row>
    <row r="4410" spans="2:21" x14ac:dyDescent="0.2">
      <c r="B4410" s="207"/>
      <c r="C4410" s="210"/>
      <c r="D4410" s="211"/>
      <c r="E4410" s="211"/>
      <c r="U4410" s="222"/>
    </row>
    <row r="4411" spans="2:21" x14ac:dyDescent="0.2">
      <c r="B4411" s="207"/>
      <c r="C4411" s="210"/>
      <c r="D4411" s="211"/>
      <c r="E4411" s="211"/>
      <c r="U4411" s="222"/>
    </row>
    <row r="4412" spans="2:21" x14ac:dyDescent="0.2">
      <c r="B4412" s="207"/>
      <c r="C4412" s="210"/>
      <c r="D4412" s="211"/>
      <c r="E4412" s="211"/>
      <c r="U4412" s="222"/>
    </row>
    <row r="4413" spans="2:21" x14ac:dyDescent="0.2">
      <c r="B4413" s="207"/>
      <c r="C4413" s="210"/>
      <c r="D4413" s="211"/>
      <c r="E4413" s="211"/>
      <c r="U4413" s="222"/>
    </row>
    <row r="4414" spans="2:21" x14ac:dyDescent="0.2">
      <c r="B4414" s="207"/>
      <c r="C4414" s="210"/>
      <c r="D4414" s="211"/>
      <c r="E4414" s="211"/>
      <c r="U4414" s="222"/>
    </row>
    <row r="4415" spans="2:21" x14ac:dyDescent="0.2">
      <c r="B4415" s="207"/>
      <c r="C4415" s="210"/>
      <c r="D4415" s="211"/>
      <c r="E4415" s="211"/>
      <c r="U4415" s="222"/>
    </row>
    <row r="4416" spans="2:21" x14ac:dyDescent="0.2">
      <c r="B4416" s="207"/>
      <c r="C4416" s="210"/>
      <c r="D4416" s="211"/>
      <c r="E4416" s="211"/>
      <c r="U4416" s="222"/>
    </row>
    <row r="4417" spans="2:21" x14ac:dyDescent="0.2">
      <c r="B4417" s="207"/>
      <c r="C4417" s="210"/>
      <c r="D4417" s="211"/>
      <c r="E4417" s="211"/>
      <c r="U4417" s="222"/>
    </row>
    <row r="4418" spans="2:21" x14ac:dyDescent="0.2">
      <c r="B4418" s="207"/>
      <c r="C4418" s="210"/>
      <c r="D4418" s="211"/>
      <c r="E4418" s="211"/>
      <c r="U4418" s="222"/>
    </row>
    <row r="4419" spans="2:21" x14ac:dyDescent="0.2">
      <c r="B4419" s="207"/>
      <c r="C4419" s="210"/>
      <c r="D4419" s="211"/>
      <c r="E4419" s="211"/>
      <c r="U4419" s="222"/>
    </row>
    <row r="4420" spans="2:21" x14ac:dyDescent="0.2">
      <c r="B4420" s="207"/>
      <c r="C4420" s="210"/>
      <c r="D4420" s="211"/>
      <c r="E4420" s="211"/>
      <c r="U4420" s="222"/>
    </row>
    <row r="4421" spans="2:21" x14ac:dyDescent="0.2">
      <c r="B4421" s="207"/>
      <c r="C4421" s="210"/>
      <c r="D4421" s="211"/>
      <c r="E4421" s="211"/>
      <c r="U4421" s="222"/>
    </row>
    <row r="4422" spans="2:21" x14ac:dyDescent="0.2">
      <c r="B4422" s="207"/>
      <c r="C4422" s="210"/>
      <c r="D4422" s="211"/>
      <c r="E4422" s="211"/>
      <c r="U4422" s="222"/>
    </row>
    <row r="4423" spans="2:21" x14ac:dyDescent="0.2">
      <c r="B4423" s="207"/>
      <c r="C4423" s="210"/>
      <c r="D4423" s="211"/>
      <c r="E4423" s="211"/>
      <c r="U4423" s="222"/>
    </row>
    <row r="4424" spans="2:21" x14ac:dyDescent="0.2">
      <c r="B4424" s="207"/>
      <c r="C4424" s="210"/>
      <c r="D4424" s="211"/>
      <c r="E4424" s="211"/>
      <c r="U4424" s="222"/>
    </row>
    <row r="4425" spans="2:21" x14ac:dyDescent="0.2">
      <c r="B4425" s="207"/>
      <c r="C4425" s="210"/>
      <c r="D4425" s="211"/>
      <c r="E4425" s="211"/>
      <c r="U4425" s="222"/>
    </row>
    <row r="4426" spans="2:21" x14ac:dyDescent="0.2">
      <c r="B4426" s="207"/>
      <c r="C4426" s="210"/>
      <c r="D4426" s="211"/>
      <c r="E4426" s="211"/>
      <c r="U4426" s="222"/>
    </row>
    <row r="4427" spans="2:21" x14ac:dyDescent="0.2">
      <c r="B4427" s="207"/>
      <c r="C4427" s="210"/>
      <c r="D4427" s="211"/>
      <c r="E4427" s="211"/>
      <c r="U4427" s="222"/>
    </row>
    <row r="4428" spans="2:21" x14ac:dyDescent="0.2">
      <c r="B4428" s="207"/>
      <c r="C4428" s="210"/>
      <c r="D4428" s="211"/>
      <c r="E4428" s="211"/>
      <c r="U4428" s="222"/>
    </row>
    <row r="4429" spans="2:21" x14ac:dyDescent="0.2">
      <c r="B4429" s="207"/>
      <c r="C4429" s="210"/>
      <c r="D4429" s="211"/>
      <c r="E4429" s="211"/>
      <c r="U4429" s="222"/>
    </row>
    <row r="4430" spans="2:21" x14ac:dyDescent="0.2">
      <c r="B4430" s="207"/>
      <c r="C4430" s="210"/>
      <c r="D4430" s="211"/>
      <c r="E4430" s="211"/>
      <c r="U4430" s="222"/>
    </row>
    <row r="4431" spans="2:21" x14ac:dyDescent="0.2">
      <c r="B4431" s="207"/>
      <c r="C4431" s="210"/>
      <c r="D4431" s="211"/>
      <c r="E4431" s="211"/>
      <c r="U4431" s="222"/>
    </row>
    <row r="4432" spans="2:21" x14ac:dyDescent="0.2">
      <c r="B4432" s="207"/>
      <c r="C4432" s="210"/>
      <c r="D4432" s="211"/>
      <c r="E4432" s="211"/>
      <c r="U4432" s="222"/>
    </row>
    <row r="4433" spans="2:21" x14ac:dyDescent="0.2">
      <c r="B4433" s="207"/>
      <c r="C4433" s="210"/>
      <c r="D4433" s="211"/>
      <c r="E4433" s="211"/>
      <c r="U4433" s="222"/>
    </row>
    <row r="4434" spans="2:21" x14ac:dyDescent="0.2">
      <c r="B4434" s="207"/>
      <c r="C4434" s="210"/>
      <c r="D4434" s="211"/>
      <c r="E4434" s="211"/>
      <c r="U4434" s="222"/>
    </row>
    <row r="4435" spans="2:21" x14ac:dyDescent="0.2">
      <c r="B4435" s="207"/>
      <c r="C4435" s="210"/>
      <c r="D4435" s="211"/>
      <c r="E4435" s="211"/>
      <c r="U4435" s="222"/>
    </row>
    <row r="4436" spans="2:21" x14ac:dyDescent="0.2">
      <c r="B4436" s="207"/>
      <c r="C4436" s="210"/>
      <c r="D4436" s="211"/>
      <c r="E4436" s="211"/>
      <c r="U4436" s="222"/>
    </row>
    <row r="4437" spans="2:21" x14ac:dyDescent="0.2">
      <c r="B4437" s="207"/>
      <c r="C4437" s="210"/>
      <c r="D4437" s="211"/>
      <c r="E4437" s="211"/>
      <c r="U4437" s="222"/>
    </row>
    <row r="4438" spans="2:21" x14ac:dyDescent="0.2">
      <c r="B4438" s="207"/>
      <c r="C4438" s="210"/>
      <c r="D4438" s="211"/>
      <c r="E4438" s="211"/>
      <c r="U4438" s="222"/>
    </row>
    <row r="4439" spans="2:21" x14ac:dyDescent="0.2">
      <c r="B4439" s="207"/>
      <c r="C4439" s="210"/>
      <c r="D4439" s="211"/>
      <c r="E4439" s="211"/>
      <c r="U4439" s="222"/>
    </row>
    <row r="4440" spans="2:21" x14ac:dyDescent="0.2">
      <c r="B4440" s="207"/>
      <c r="C4440" s="210"/>
      <c r="D4440" s="211"/>
      <c r="E4440" s="211"/>
      <c r="U4440" s="222"/>
    </row>
    <row r="4441" spans="2:21" x14ac:dyDescent="0.2">
      <c r="B4441" s="207"/>
      <c r="C4441" s="210"/>
      <c r="D4441" s="211"/>
      <c r="E4441" s="211"/>
      <c r="U4441" s="222"/>
    </row>
    <row r="4442" spans="2:21" x14ac:dyDescent="0.2">
      <c r="B4442" s="207"/>
      <c r="C4442" s="210"/>
      <c r="D4442" s="211"/>
      <c r="E4442" s="211"/>
      <c r="U4442" s="222"/>
    </row>
    <row r="4443" spans="2:21" x14ac:dyDescent="0.2">
      <c r="B4443" s="207"/>
      <c r="C4443" s="210"/>
      <c r="D4443" s="211"/>
      <c r="E4443" s="211"/>
      <c r="U4443" s="222"/>
    </row>
    <row r="4444" spans="2:21" x14ac:dyDescent="0.2">
      <c r="B4444" s="207"/>
      <c r="C4444" s="210"/>
      <c r="D4444" s="211"/>
      <c r="E4444" s="211"/>
      <c r="U4444" s="222"/>
    </row>
    <row r="4445" spans="2:21" x14ac:dyDescent="0.2">
      <c r="B4445" s="207"/>
      <c r="C4445" s="210"/>
      <c r="D4445" s="211"/>
      <c r="E4445" s="211"/>
      <c r="U4445" s="222"/>
    </row>
    <row r="4446" spans="2:21" x14ac:dyDescent="0.2">
      <c r="B4446" s="207"/>
      <c r="C4446" s="210"/>
      <c r="D4446" s="211"/>
      <c r="E4446" s="211"/>
      <c r="U4446" s="222"/>
    </row>
    <row r="4447" spans="2:21" x14ac:dyDescent="0.2">
      <c r="B4447" s="207"/>
      <c r="C4447" s="210"/>
      <c r="D4447" s="211"/>
      <c r="E4447" s="211"/>
      <c r="U4447" s="222"/>
    </row>
    <row r="4448" spans="2:21" x14ac:dyDescent="0.2">
      <c r="B4448" s="207"/>
      <c r="C4448" s="210"/>
      <c r="D4448" s="211"/>
      <c r="E4448" s="211"/>
      <c r="U4448" s="222"/>
    </row>
    <row r="4449" spans="2:21" x14ac:dyDescent="0.2">
      <c r="B4449" s="207"/>
      <c r="C4449" s="210"/>
      <c r="D4449" s="211"/>
      <c r="E4449" s="211"/>
      <c r="U4449" s="222"/>
    </row>
    <row r="4450" spans="2:21" x14ac:dyDescent="0.2">
      <c r="B4450" s="207"/>
      <c r="C4450" s="210"/>
      <c r="D4450" s="211"/>
      <c r="E4450" s="211"/>
      <c r="U4450" s="222"/>
    </row>
    <row r="4451" spans="2:21" x14ac:dyDescent="0.2">
      <c r="B4451" s="207"/>
      <c r="C4451" s="210"/>
      <c r="D4451" s="211"/>
      <c r="E4451" s="211"/>
      <c r="U4451" s="222"/>
    </row>
    <row r="4452" spans="2:21" x14ac:dyDescent="0.2">
      <c r="B4452" s="207"/>
      <c r="C4452" s="210"/>
      <c r="D4452" s="211"/>
      <c r="E4452" s="211"/>
      <c r="U4452" s="222"/>
    </row>
    <row r="4453" spans="2:21" x14ac:dyDescent="0.2">
      <c r="B4453" s="207"/>
      <c r="C4453" s="210"/>
      <c r="D4453" s="211"/>
      <c r="E4453" s="211"/>
      <c r="U4453" s="222"/>
    </row>
    <row r="4454" spans="2:21" x14ac:dyDescent="0.2">
      <c r="B4454" s="207"/>
      <c r="C4454" s="210"/>
      <c r="D4454" s="211"/>
      <c r="E4454" s="211"/>
      <c r="U4454" s="222"/>
    </row>
    <row r="4455" spans="2:21" x14ac:dyDescent="0.2">
      <c r="B4455" s="207"/>
      <c r="C4455" s="210"/>
      <c r="D4455" s="211"/>
      <c r="E4455" s="211"/>
      <c r="U4455" s="222"/>
    </row>
    <row r="4456" spans="2:21" x14ac:dyDescent="0.2">
      <c r="B4456" s="207"/>
      <c r="C4456" s="210"/>
      <c r="D4456" s="211"/>
      <c r="E4456" s="211"/>
      <c r="U4456" s="222"/>
    </row>
    <row r="4457" spans="2:21" x14ac:dyDescent="0.2">
      <c r="B4457" s="207"/>
      <c r="C4457" s="210"/>
      <c r="D4457" s="211"/>
      <c r="E4457" s="211"/>
      <c r="U4457" s="222"/>
    </row>
    <row r="4458" spans="2:21" x14ac:dyDescent="0.2">
      <c r="B4458" s="207"/>
      <c r="C4458" s="210"/>
      <c r="D4458" s="211"/>
      <c r="E4458" s="211"/>
      <c r="U4458" s="222"/>
    </row>
    <row r="4459" spans="2:21" x14ac:dyDescent="0.2">
      <c r="B4459" s="207"/>
      <c r="C4459" s="210"/>
      <c r="D4459" s="211"/>
      <c r="E4459" s="211"/>
      <c r="U4459" s="222"/>
    </row>
    <row r="4460" spans="2:21" x14ac:dyDescent="0.2">
      <c r="B4460" s="207"/>
      <c r="C4460" s="210"/>
      <c r="D4460" s="211"/>
      <c r="E4460" s="211"/>
      <c r="U4460" s="222"/>
    </row>
    <row r="4461" spans="2:21" x14ac:dyDescent="0.2">
      <c r="B4461" s="207"/>
      <c r="C4461" s="210"/>
      <c r="D4461" s="211"/>
      <c r="E4461" s="211"/>
      <c r="U4461" s="222"/>
    </row>
    <row r="4462" spans="2:21" x14ac:dyDescent="0.2">
      <c r="B4462" s="207"/>
      <c r="C4462" s="210"/>
      <c r="D4462" s="211"/>
      <c r="E4462" s="211"/>
      <c r="U4462" s="222"/>
    </row>
    <row r="4463" spans="2:21" x14ac:dyDescent="0.2">
      <c r="B4463" s="207"/>
      <c r="C4463" s="210"/>
      <c r="D4463" s="211"/>
      <c r="E4463" s="211"/>
      <c r="U4463" s="222"/>
    </row>
    <row r="4464" spans="2:21" x14ac:dyDescent="0.2">
      <c r="B4464" s="207"/>
      <c r="C4464" s="210"/>
      <c r="D4464" s="211"/>
      <c r="E4464" s="211"/>
      <c r="U4464" s="222"/>
    </row>
    <row r="4465" spans="2:21" x14ac:dyDescent="0.2">
      <c r="B4465" s="207"/>
      <c r="C4465" s="210"/>
      <c r="D4465" s="211"/>
      <c r="E4465" s="211"/>
      <c r="U4465" s="222"/>
    </row>
    <row r="4466" spans="2:21" x14ac:dyDescent="0.2">
      <c r="B4466" s="207"/>
      <c r="C4466" s="210"/>
      <c r="D4466" s="211"/>
      <c r="E4466" s="211"/>
      <c r="U4466" s="222"/>
    </row>
    <row r="4467" spans="2:21" x14ac:dyDescent="0.2">
      <c r="B4467" s="207"/>
      <c r="C4467" s="210"/>
      <c r="D4467" s="211"/>
      <c r="E4467" s="211"/>
      <c r="U4467" s="222"/>
    </row>
    <row r="4468" spans="2:21" x14ac:dyDescent="0.2">
      <c r="B4468" s="207"/>
      <c r="C4468" s="210"/>
      <c r="D4468" s="211"/>
      <c r="E4468" s="211"/>
      <c r="U4468" s="222"/>
    </row>
    <row r="4469" spans="2:21" x14ac:dyDescent="0.2">
      <c r="B4469" s="207"/>
      <c r="C4469" s="210"/>
      <c r="D4469" s="211"/>
      <c r="E4469" s="211"/>
      <c r="U4469" s="222"/>
    </row>
    <row r="4470" spans="2:21" x14ac:dyDescent="0.2">
      <c r="B4470" s="207"/>
      <c r="C4470" s="210"/>
      <c r="D4470" s="211"/>
      <c r="E4470" s="211"/>
      <c r="U4470" s="222"/>
    </row>
    <row r="4471" spans="2:21" x14ac:dyDescent="0.2">
      <c r="B4471" s="207"/>
      <c r="C4471" s="210"/>
      <c r="D4471" s="211"/>
      <c r="E4471" s="211"/>
      <c r="U4471" s="222"/>
    </row>
    <row r="4472" spans="2:21" x14ac:dyDescent="0.2">
      <c r="B4472" s="207"/>
      <c r="C4472" s="210"/>
      <c r="D4472" s="211"/>
      <c r="E4472" s="211"/>
      <c r="U4472" s="222"/>
    </row>
    <row r="4473" spans="2:21" x14ac:dyDescent="0.2">
      <c r="B4473" s="207"/>
      <c r="C4473" s="210"/>
      <c r="D4473" s="211"/>
      <c r="E4473" s="211"/>
      <c r="U4473" s="222"/>
    </row>
    <row r="4474" spans="2:21" x14ac:dyDescent="0.2">
      <c r="B4474" s="207"/>
      <c r="C4474" s="210"/>
      <c r="D4474" s="211"/>
      <c r="E4474" s="211"/>
      <c r="U4474" s="222"/>
    </row>
    <row r="4475" spans="2:21" x14ac:dyDescent="0.2">
      <c r="B4475" s="207"/>
      <c r="C4475" s="210"/>
      <c r="D4475" s="211"/>
      <c r="E4475" s="211"/>
      <c r="U4475" s="222"/>
    </row>
    <row r="4476" spans="2:21" x14ac:dyDescent="0.2">
      <c r="B4476" s="207"/>
      <c r="C4476" s="210"/>
      <c r="D4476" s="211"/>
      <c r="E4476" s="211"/>
      <c r="U4476" s="222"/>
    </row>
    <row r="4477" spans="2:21" x14ac:dyDescent="0.2">
      <c r="B4477" s="207"/>
      <c r="C4477" s="210"/>
      <c r="D4477" s="211"/>
      <c r="E4477" s="211"/>
      <c r="U4477" s="222"/>
    </row>
    <row r="4478" spans="2:21" x14ac:dyDescent="0.2">
      <c r="B4478" s="207"/>
      <c r="C4478" s="210"/>
      <c r="D4478" s="211"/>
      <c r="E4478" s="211"/>
      <c r="U4478" s="222"/>
    </row>
    <row r="4479" spans="2:21" x14ac:dyDescent="0.2">
      <c r="B4479" s="207"/>
      <c r="C4479" s="210"/>
      <c r="D4479" s="211"/>
      <c r="E4479" s="211"/>
      <c r="U4479" s="222"/>
    </row>
    <row r="4480" spans="2:21" x14ac:dyDescent="0.2">
      <c r="B4480" s="207"/>
      <c r="C4480" s="210"/>
      <c r="D4480" s="211"/>
      <c r="E4480" s="211"/>
      <c r="U4480" s="222"/>
    </row>
    <row r="4481" spans="2:21" x14ac:dyDescent="0.2">
      <c r="B4481" s="207"/>
      <c r="C4481" s="210"/>
      <c r="D4481" s="211"/>
      <c r="E4481" s="211"/>
      <c r="U4481" s="222"/>
    </row>
    <row r="4482" spans="2:21" x14ac:dyDescent="0.2">
      <c r="B4482" s="207"/>
      <c r="C4482" s="210"/>
      <c r="D4482" s="211"/>
      <c r="E4482" s="211"/>
      <c r="U4482" s="222"/>
    </row>
    <row r="4483" spans="2:21" x14ac:dyDescent="0.2">
      <c r="B4483" s="207"/>
      <c r="C4483" s="210"/>
      <c r="D4483" s="211"/>
      <c r="E4483" s="211"/>
      <c r="U4483" s="222"/>
    </row>
    <row r="4484" spans="2:21" x14ac:dyDescent="0.2">
      <c r="B4484" s="207"/>
      <c r="C4484" s="210"/>
      <c r="D4484" s="211"/>
      <c r="E4484" s="211"/>
      <c r="U4484" s="222"/>
    </row>
    <row r="4485" spans="2:21" x14ac:dyDescent="0.2">
      <c r="B4485" s="207"/>
      <c r="C4485" s="210"/>
      <c r="D4485" s="211"/>
      <c r="E4485" s="211"/>
      <c r="U4485" s="222"/>
    </row>
    <row r="4486" spans="2:21" x14ac:dyDescent="0.2">
      <c r="B4486" s="207"/>
      <c r="C4486" s="210"/>
      <c r="D4486" s="211"/>
      <c r="E4486" s="211"/>
      <c r="U4486" s="222"/>
    </row>
    <row r="4487" spans="2:21" x14ac:dyDescent="0.2">
      <c r="B4487" s="207"/>
      <c r="C4487" s="210"/>
      <c r="D4487" s="211"/>
      <c r="E4487" s="211"/>
      <c r="U4487" s="222"/>
    </row>
    <row r="4488" spans="2:21" x14ac:dyDescent="0.2">
      <c r="B4488" s="207"/>
      <c r="C4488" s="210"/>
      <c r="D4488" s="211"/>
      <c r="E4488" s="211"/>
      <c r="U4488" s="222"/>
    </row>
    <row r="4489" spans="2:21" x14ac:dyDescent="0.2">
      <c r="B4489" s="207"/>
      <c r="C4489" s="210"/>
      <c r="D4489" s="211"/>
      <c r="E4489" s="211"/>
      <c r="U4489" s="222"/>
    </row>
    <row r="4490" spans="2:21" x14ac:dyDescent="0.2">
      <c r="B4490" s="207"/>
      <c r="C4490" s="210"/>
      <c r="D4490" s="211"/>
      <c r="E4490" s="211"/>
      <c r="U4490" s="222"/>
    </row>
    <row r="4491" spans="2:21" x14ac:dyDescent="0.2">
      <c r="B4491" s="207"/>
      <c r="C4491" s="210"/>
      <c r="D4491" s="211"/>
      <c r="E4491" s="211"/>
      <c r="U4491" s="222"/>
    </row>
    <row r="4492" spans="2:21" x14ac:dyDescent="0.2">
      <c r="B4492" s="207"/>
      <c r="C4492" s="210"/>
      <c r="D4492" s="211"/>
      <c r="E4492" s="211"/>
      <c r="U4492" s="222"/>
    </row>
    <row r="4493" spans="2:21" x14ac:dyDescent="0.2">
      <c r="B4493" s="207"/>
      <c r="C4493" s="210"/>
      <c r="D4493" s="211"/>
      <c r="E4493" s="211"/>
      <c r="U4493" s="222"/>
    </row>
    <row r="4494" spans="2:21" x14ac:dyDescent="0.2">
      <c r="B4494" s="207"/>
      <c r="C4494" s="210"/>
      <c r="D4494" s="211"/>
      <c r="E4494" s="211"/>
      <c r="U4494" s="222"/>
    </row>
    <row r="4495" spans="2:21" x14ac:dyDescent="0.2">
      <c r="B4495" s="207"/>
      <c r="C4495" s="210"/>
      <c r="D4495" s="211"/>
      <c r="E4495" s="211"/>
      <c r="U4495" s="222"/>
    </row>
    <row r="4496" spans="2:21" x14ac:dyDescent="0.2">
      <c r="B4496" s="207"/>
      <c r="C4496" s="210"/>
      <c r="D4496" s="211"/>
      <c r="E4496" s="211"/>
      <c r="U4496" s="222"/>
    </row>
    <row r="4497" spans="2:21" x14ac:dyDescent="0.2">
      <c r="B4497" s="207"/>
      <c r="C4497" s="210"/>
      <c r="D4497" s="211"/>
      <c r="E4497" s="211"/>
      <c r="U4497" s="222"/>
    </row>
    <row r="4498" spans="2:21" x14ac:dyDescent="0.2">
      <c r="B4498" s="207"/>
      <c r="C4498" s="210"/>
      <c r="D4498" s="211"/>
      <c r="E4498" s="211"/>
      <c r="U4498" s="222"/>
    </row>
    <row r="4499" spans="2:21" x14ac:dyDescent="0.2">
      <c r="B4499" s="207"/>
      <c r="C4499" s="210"/>
      <c r="D4499" s="211"/>
      <c r="E4499" s="211"/>
      <c r="U4499" s="222"/>
    </row>
    <row r="4500" spans="2:21" x14ac:dyDescent="0.2">
      <c r="B4500" s="207"/>
      <c r="C4500" s="210"/>
      <c r="D4500" s="211"/>
      <c r="E4500" s="211"/>
      <c r="U4500" s="222"/>
    </row>
    <row r="4501" spans="2:21" x14ac:dyDescent="0.2">
      <c r="B4501" s="207"/>
      <c r="C4501" s="210"/>
      <c r="D4501" s="211"/>
      <c r="E4501" s="211"/>
      <c r="U4501" s="222"/>
    </row>
    <row r="4502" spans="2:21" x14ac:dyDescent="0.2">
      <c r="B4502" s="207"/>
      <c r="C4502" s="210"/>
      <c r="D4502" s="211"/>
      <c r="E4502" s="211"/>
      <c r="U4502" s="222"/>
    </row>
    <row r="4503" spans="2:21" x14ac:dyDescent="0.2">
      <c r="B4503" s="207"/>
      <c r="C4503" s="210"/>
      <c r="D4503" s="211"/>
      <c r="E4503" s="211"/>
      <c r="U4503" s="222"/>
    </row>
    <row r="4504" spans="2:21" x14ac:dyDescent="0.2">
      <c r="B4504" s="207"/>
      <c r="C4504" s="210"/>
      <c r="D4504" s="211"/>
      <c r="E4504" s="211"/>
      <c r="U4504" s="222"/>
    </row>
    <row r="4505" spans="2:21" x14ac:dyDescent="0.2">
      <c r="B4505" s="207"/>
      <c r="C4505" s="210"/>
      <c r="D4505" s="211"/>
      <c r="E4505" s="211"/>
      <c r="U4505" s="222"/>
    </row>
    <row r="4506" spans="2:21" x14ac:dyDescent="0.2">
      <c r="B4506" s="207"/>
      <c r="C4506" s="210"/>
      <c r="D4506" s="211"/>
      <c r="E4506" s="211"/>
      <c r="U4506" s="222"/>
    </row>
    <row r="4507" spans="2:21" x14ac:dyDescent="0.2">
      <c r="B4507" s="207"/>
      <c r="C4507" s="210"/>
      <c r="D4507" s="211"/>
      <c r="E4507" s="211"/>
      <c r="U4507" s="222"/>
    </row>
    <row r="4508" spans="2:21" x14ac:dyDescent="0.2">
      <c r="B4508" s="207"/>
      <c r="C4508" s="210"/>
      <c r="D4508" s="211"/>
      <c r="E4508" s="211"/>
      <c r="U4508" s="222"/>
    </row>
    <row r="4509" spans="2:21" x14ac:dyDescent="0.2">
      <c r="B4509" s="207"/>
      <c r="C4509" s="210"/>
      <c r="D4509" s="211"/>
      <c r="E4509" s="211"/>
      <c r="U4509" s="222"/>
    </row>
    <row r="4510" spans="2:21" x14ac:dyDescent="0.2">
      <c r="B4510" s="207"/>
      <c r="C4510" s="210"/>
      <c r="D4510" s="211"/>
      <c r="E4510" s="211"/>
      <c r="U4510" s="222"/>
    </row>
    <row r="4511" spans="2:21" x14ac:dyDescent="0.2">
      <c r="B4511" s="207"/>
      <c r="C4511" s="210"/>
      <c r="D4511" s="211"/>
      <c r="E4511" s="211"/>
      <c r="U4511" s="222"/>
    </row>
    <row r="4512" spans="2:21" x14ac:dyDescent="0.2">
      <c r="B4512" s="207"/>
      <c r="C4512" s="210"/>
      <c r="D4512" s="211"/>
      <c r="E4512" s="211"/>
      <c r="U4512" s="222"/>
    </row>
    <row r="4513" spans="2:21" x14ac:dyDescent="0.2">
      <c r="B4513" s="207"/>
      <c r="C4513" s="210"/>
      <c r="D4513" s="211"/>
      <c r="E4513" s="211"/>
      <c r="U4513" s="222"/>
    </row>
    <row r="4514" spans="2:21" x14ac:dyDescent="0.2">
      <c r="B4514" s="207"/>
      <c r="C4514" s="210"/>
      <c r="D4514" s="211"/>
      <c r="E4514" s="211"/>
      <c r="U4514" s="222"/>
    </row>
    <row r="4515" spans="2:21" x14ac:dyDescent="0.2">
      <c r="B4515" s="207"/>
      <c r="C4515" s="210"/>
      <c r="D4515" s="211"/>
      <c r="E4515" s="211"/>
      <c r="U4515" s="222"/>
    </row>
    <row r="4516" spans="2:21" x14ac:dyDescent="0.2">
      <c r="B4516" s="207"/>
      <c r="C4516" s="210"/>
      <c r="D4516" s="211"/>
      <c r="E4516" s="211"/>
      <c r="U4516" s="222"/>
    </row>
    <row r="4517" spans="2:21" x14ac:dyDescent="0.2">
      <c r="B4517" s="207"/>
      <c r="C4517" s="210"/>
      <c r="D4517" s="211"/>
      <c r="E4517" s="211"/>
      <c r="U4517" s="222"/>
    </row>
    <row r="4518" spans="2:21" x14ac:dyDescent="0.2">
      <c r="B4518" s="207"/>
      <c r="C4518" s="210"/>
      <c r="D4518" s="211"/>
      <c r="E4518" s="211"/>
      <c r="U4518" s="222"/>
    </row>
    <row r="4519" spans="2:21" x14ac:dyDescent="0.2">
      <c r="B4519" s="207"/>
      <c r="C4519" s="210"/>
      <c r="D4519" s="211"/>
      <c r="E4519" s="211"/>
      <c r="U4519" s="222"/>
    </row>
    <row r="4520" spans="2:21" x14ac:dyDescent="0.2">
      <c r="B4520" s="207"/>
      <c r="C4520" s="210"/>
      <c r="D4520" s="211"/>
      <c r="E4520" s="211"/>
      <c r="U4520" s="222"/>
    </row>
    <row r="4521" spans="2:21" x14ac:dyDescent="0.2">
      <c r="B4521" s="207"/>
      <c r="C4521" s="210"/>
      <c r="D4521" s="211"/>
      <c r="E4521" s="211"/>
      <c r="U4521" s="222"/>
    </row>
    <row r="4522" spans="2:21" x14ac:dyDescent="0.2">
      <c r="B4522" s="207"/>
      <c r="C4522" s="210"/>
      <c r="D4522" s="211"/>
      <c r="E4522" s="211"/>
      <c r="U4522" s="222"/>
    </row>
    <row r="4523" spans="2:21" x14ac:dyDescent="0.2">
      <c r="B4523" s="207"/>
      <c r="C4523" s="210"/>
      <c r="D4523" s="211"/>
      <c r="E4523" s="211"/>
      <c r="U4523" s="222"/>
    </row>
    <row r="4524" spans="2:21" x14ac:dyDescent="0.2">
      <c r="B4524" s="207"/>
      <c r="C4524" s="210"/>
      <c r="D4524" s="211"/>
      <c r="E4524" s="211"/>
      <c r="U4524" s="222"/>
    </row>
    <row r="4525" spans="2:21" x14ac:dyDescent="0.2">
      <c r="B4525" s="207"/>
      <c r="C4525" s="210"/>
      <c r="D4525" s="211"/>
      <c r="E4525" s="211"/>
      <c r="U4525" s="222"/>
    </row>
    <row r="4526" spans="2:21" x14ac:dyDescent="0.2">
      <c r="B4526" s="207"/>
      <c r="C4526" s="210"/>
      <c r="D4526" s="211"/>
      <c r="E4526" s="211"/>
      <c r="U4526" s="222"/>
    </row>
    <row r="4527" spans="2:21" x14ac:dyDescent="0.2">
      <c r="B4527" s="207"/>
      <c r="C4527" s="210"/>
      <c r="D4527" s="211"/>
      <c r="E4527" s="211"/>
      <c r="U4527" s="222"/>
    </row>
    <row r="4528" spans="2:21" x14ac:dyDescent="0.2">
      <c r="B4528" s="207"/>
      <c r="C4528" s="210"/>
      <c r="D4528" s="211"/>
      <c r="E4528" s="211"/>
      <c r="U4528" s="222"/>
    </row>
    <row r="4529" spans="2:21" x14ac:dyDescent="0.2">
      <c r="B4529" s="207"/>
      <c r="C4529" s="210"/>
      <c r="D4529" s="211"/>
      <c r="E4529" s="211"/>
      <c r="U4529" s="222"/>
    </row>
    <row r="4530" spans="2:21" x14ac:dyDescent="0.2">
      <c r="B4530" s="207"/>
      <c r="C4530" s="210"/>
      <c r="D4530" s="211"/>
      <c r="E4530" s="211"/>
      <c r="U4530" s="222"/>
    </row>
    <row r="4531" spans="2:21" x14ac:dyDescent="0.2">
      <c r="B4531" s="207"/>
      <c r="C4531" s="210"/>
      <c r="D4531" s="211"/>
      <c r="E4531" s="211"/>
      <c r="U4531" s="222"/>
    </row>
    <row r="4532" spans="2:21" x14ac:dyDescent="0.2">
      <c r="B4532" s="207"/>
      <c r="C4532" s="210"/>
      <c r="D4532" s="211"/>
      <c r="E4532" s="211"/>
      <c r="U4532" s="222"/>
    </row>
    <row r="4533" spans="2:21" x14ac:dyDescent="0.2">
      <c r="B4533" s="207"/>
      <c r="C4533" s="210"/>
      <c r="D4533" s="211"/>
      <c r="E4533" s="211"/>
      <c r="U4533" s="222"/>
    </row>
    <row r="4534" spans="2:21" x14ac:dyDescent="0.2">
      <c r="B4534" s="207"/>
      <c r="C4534" s="210"/>
      <c r="D4534" s="211"/>
      <c r="E4534" s="211"/>
      <c r="U4534" s="222"/>
    </row>
    <row r="4535" spans="2:21" x14ac:dyDescent="0.2">
      <c r="B4535" s="207"/>
      <c r="C4535" s="210"/>
      <c r="D4535" s="211"/>
      <c r="E4535" s="211"/>
      <c r="U4535" s="222"/>
    </row>
    <row r="4536" spans="2:21" x14ac:dyDescent="0.2">
      <c r="B4536" s="207"/>
      <c r="C4536" s="210"/>
      <c r="D4536" s="211"/>
      <c r="E4536" s="211"/>
      <c r="U4536" s="222"/>
    </row>
    <row r="4537" spans="2:21" x14ac:dyDescent="0.2">
      <c r="B4537" s="207"/>
      <c r="C4537" s="210"/>
      <c r="D4537" s="211"/>
      <c r="E4537" s="211"/>
      <c r="U4537" s="222"/>
    </row>
    <row r="4538" spans="2:21" x14ac:dyDescent="0.2">
      <c r="B4538" s="207"/>
      <c r="C4538" s="210"/>
      <c r="D4538" s="211"/>
      <c r="E4538" s="211"/>
      <c r="U4538" s="222"/>
    </row>
    <row r="4539" spans="2:21" x14ac:dyDescent="0.2">
      <c r="B4539" s="207"/>
      <c r="C4539" s="210"/>
      <c r="D4539" s="211"/>
      <c r="E4539" s="211"/>
      <c r="U4539" s="222"/>
    </row>
    <row r="4540" spans="2:21" x14ac:dyDescent="0.2">
      <c r="B4540" s="207"/>
      <c r="C4540" s="210"/>
      <c r="D4540" s="211"/>
      <c r="E4540" s="211"/>
      <c r="U4540" s="222"/>
    </row>
    <row r="4541" spans="2:21" x14ac:dyDescent="0.2">
      <c r="B4541" s="207"/>
      <c r="C4541" s="210"/>
      <c r="D4541" s="211"/>
      <c r="E4541" s="211"/>
      <c r="U4541" s="222"/>
    </row>
    <row r="4542" spans="2:21" x14ac:dyDescent="0.2">
      <c r="B4542" s="207"/>
      <c r="C4542" s="210"/>
      <c r="D4542" s="211"/>
      <c r="E4542" s="211"/>
      <c r="U4542" s="222"/>
    </row>
    <row r="4543" spans="2:21" x14ac:dyDescent="0.2">
      <c r="B4543" s="207"/>
      <c r="C4543" s="210"/>
      <c r="D4543" s="211"/>
      <c r="E4543" s="211"/>
      <c r="U4543" s="222"/>
    </row>
    <row r="4544" spans="2:21" x14ac:dyDescent="0.2">
      <c r="B4544" s="207"/>
      <c r="C4544" s="210"/>
      <c r="D4544" s="211"/>
      <c r="E4544" s="211"/>
      <c r="U4544" s="222"/>
    </row>
    <row r="4545" spans="2:21" x14ac:dyDescent="0.2">
      <c r="B4545" s="207"/>
      <c r="C4545" s="210"/>
      <c r="D4545" s="211"/>
      <c r="E4545" s="211"/>
      <c r="U4545" s="222"/>
    </row>
    <row r="4546" spans="2:21" x14ac:dyDescent="0.2">
      <c r="B4546" s="207"/>
      <c r="C4546" s="210"/>
      <c r="D4546" s="211"/>
      <c r="E4546" s="211"/>
      <c r="U4546" s="222"/>
    </row>
    <row r="4547" spans="2:21" x14ac:dyDescent="0.2">
      <c r="B4547" s="207"/>
      <c r="C4547" s="210"/>
      <c r="D4547" s="211"/>
      <c r="E4547" s="211"/>
      <c r="U4547" s="222"/>
    </row>
    <row r="4548" spans="2:21" x14ac:dyDescent="0.2">
      <c r="B4548" s="207"/>
      <c r="C4548" s="210"/>
      <c r="D4548" s="211"/>
      <c r="E4548" s="211"/>
      <c r="U4548" s="222"/>
    </row>
    <row r="4549" spans="2:21" x14ac:dyDescent="0.2">
      <c r="B4549" s="207"/>
      <c r="C4549" s="210"/>
      <c r="D4549" s="211"/>
      <c r="E4549" s="211"/>
      <c r="U4549" s="222"/>
    </row>
    <row r="4550" spans="2:21" x14ac:dyDescent="0.2">
      <c r="B4550" s="207"/>
      <c r="C4550" s="210"/>
      <c r="D4550" s="211"/>
      <c r="E4550" s="211"/>
      <c r="U4550" s="222"/>
    </row>
    <row r="4551" spans="2:21" x14ac:dyDescent="0.2">
      <c r="B4551" s="207"/>
      <c r="C4551" s="210"/>
      <c r="D4551" s="211"/>
      <c r="E4551" s="211"/>
      <c r="U4551" s="222"/>
    </row>
    <row r="4552" spans="2:21" x14ac:dyDescent="0.2">
      <c r="B4552" s="207"/>
      <c r="C4552" s="210"/>
      <c r="D4552" s="211"/>
      <c r="E4552" s="211"/>
      <c r="U4552" s="222"/>
    </row>
    <row r="4553" spans="2:21" x14ac:dyDescent="0.2">
      <c r="B4553" s="207"/>
      <c r="C4553" s="210"/>
      <c r="D4553" s="211"/>
      <c r="E4553" s="211"/>
      <c r="U4553" s="222"/>
    </row>
    <row r="4554" spans="2:21" x14ac:dyDescent="0.2">
      <c r="B4554" s="207"/>
      <c r="C4554" s="210"/>
      <c r="D4554" s="211"/>
      <c r="E4554" s="211"/>
      <c r="U4554" s="222"/>
    </row>
    <row r="4555" spans="2:21" x14ac:dyDescent="0.2">
      <c r="B4555" s="207"/>
      <c r="C4555" s="210"/>
      <c r="D4555" s="211"/>
      <c r="E4555" s="211"/>
      <c r="U4555" s="222"/>
    </row>
    <row r="4556" spans="2:21" x14ac:dyDescent="0.2">
      <c r="B4556" s="207"/>
      <c r="C4556" s="210"/>
      <c r="D4556" s="211"/>
      <c r="E4556" s="211"/>
      <c r="U4556" s="222"/>
    </row>
    <row r="4557" spans="2:21" x14ac:dyDescent="0.2">
      <c r="B4557" s="207"/>
      <c r="C4557" s="210"/>
      <c r="D4557" s="211"/>
      <c r="E4557" s="211"/>
      <c r="U4557" s="222"/>
    </row>
    <row r="4558" spans="2:21" x14ac:dyDescent="0.2">
      <c r="B4558" s="207"/>
      <c r="C4558" s="210"/>
      <c r="D4558" s="211"/>
      <c r="E4558" s="211"/>
      <c r="U4558" s="222"/>
    </row>
    <row r="4559" spans="2:21" x14ac:dyDescent="0.2">
      <c r="B4559" s="207"/>
      <c r="C4559" s="210"/>
      <c r="D4559" s="211"/>
      <c r="E4559" s="211"/>
      <c r="U4559" s="222"/>
    </row>
    <row r="4560" spans="2:21" x14ac:dyDescent="0.2">
      <c r="B4560" s="207"/>
      <c r="C4560" s="210"/>
      <c r="D4560" s="211"/>
      <c r="E4560" s="211"/>
      <c r="U4560" s="222"/>
    </row>
    <row r="4561" spans="2:21" x14ac:dyDescent="0.2">
      <c r="B4561" s="207"/>
      <c r="C4561" s="210"/>
      <c r="D4561" s="211"/>
      <c r="E4561" s="211"/>
      <c r="U4561" s="222"/>
    </row>
    <row r="4562" spans="2:21" x14ac:dyDescent="0.2">
      <c r="B4562" s="207"/>
      <c r="C4562" s="210"/>
      <c r="D4562" s="211"/>
      <c r="E4562" s="211"/>
      <c r="U4562" s="222"/>
    </row>
    <row r="4563" spans="2:21" x14ac:dyDescent="0.2">
      <c r="B4563" s="207"/>
      <c r="C4563" s="210"/>
      <c r="D4563" s="211"/>
      <c r="E4563" s="211"/>
      <c r="U4563" s="222"/>
    </row>
    <row r="4564" spans="2:21" x14ac:dyDescent="0.2">
      <c r="B4564" s="207"/>
      <c r="C4564" s="210"/>
      <c r="D4564" s="211"/>
      <c r="E4564" s="211"/>
      <c r="U4564" s="222"/>
    </row>
    <row r="4565" spans="2:21" x14ac:dyDescent="0.2">
      <c r="B4565" s="207"/>
      <c r="C4565" s="210"/>
      <c r="D4565" s="211"/>
      <c r="E4565" s="211"/>
      <c r="U4565" s="222"/>
    </row>
    <row r="4566" spans="2:21" x14ac:dyDescent="0.2">
      <c r="B4566" s="207"/>
      <c r="C4566" s="210"/>
      <c r="D4566" s="211"/>
      <c r="E4566" s="211"/>
      <c r="U4566" s="222"/>
    </row>
    <row r="4567" spans="2:21" x14ac:dyDescent="0.2">
      <c r="B4567" s="207"/>
      <c r="C4567" s="210"/>
      <c r="D4567" s="211"/>
      <c r="E4567" s="211"/>
      <c r="U4567" s="222"/>
    </row>
    <row r="4568" spans="2:21" x14ac:dyDescent="0.2">
      <c r="B4568" s="207"/>
      <c r="C4568" s="210"/>
      <c r="D4568" s="211"/>
      <c r="E4568" s="211"/>
      <c r="U4568" s="222"/>
    </row>
    <row r="4569" spans="2:21" x14ac:dyDescent="0.2">
      <c r="B4569" s="207"/>
      <c r="C4569" s="210"/>
      <c r="D4569" s="211"/>
      <c r="E4569" s="211"/>
      <c r="U4569" s="222"/>
    </row>
    <row r="4570" spans="2:21" x14ac:dyDescent="0.2">
      <c r="B4570" s="207"/>
      <c r="C4570" s="210"/>
      <c r="D4570" s="211"/>
      <c r="E4570" s="211"/>
      <c r="U4570" s="222"/>
    </row>
    <row r="4571" spans="2:21" x14ac:dyDescent="0.2">
      <c r="B4571" s="207"/>
      <c r="C4571" s="210"/>
      <c r="D4571" s="211"/>
      <c r="E4571" s="211"/>
      <c r="U4571" s="222"/>
    </row>
    <row r="4572" spans="2:21" x14ac:dyDescent="0.2">
      <c r="B4572" s="207"/>
      <c r="C4572" s="210"/>
      <c r="D4572" s="211"/>
      <c r="E4572" s="211"/>
      <c r="U4572" s="222"/>
    </row>
    <row r="4573" spans="2:21" x14ac:dyDescent="0.2">
      <c r="B4573" s="207"/>
      <c r="C4573" s="210"/>
      <c r="D4573" s="211"/>
      <c r="E4573" s="211"/>
      <c r="U4573" s="222"/>
    </row>
    <row r="4574" spans="2:21" x14ac:dyDescent="0.2">
      <c r="B4574" s="207"/>
      <c r="C4574" s="210"/>
      <c r="D4574" s="211"/>
      <c r="E4574" s="211"/>
      <c r="U4574" s="222"/>
    </row>
    <row r="4575" spans="2:21" x14ac:dyDescent="0.2">
      <c r="B4575" s="207"/>
      <c r="C4575" s="210"/>
      <c r="D4575" s="211"/>
      <c r="E4575" s="211"/>
      <c r="U4575" s="222"/>
    </row>
    <row r="4576" spans="2:21" x14ac:dyDescent="0.2">
      <c r="B4576" s="207"/>
      <c r="C4576" s="210"/>
      <c r="D4576" s="211"/>
      <c r="E4576" s="211"/>
      <c r="U4576" s="222"/>
    </row>
    <row r="4577" spans="2:21" x14ac:dyDescent="0.2">
      <c r="B4577" s="207"/>
      <c r="C4577" s="210"/>
      <c r="D4577" s="211"/>
      <c r="E4577" s="211"/>
      <c r="U4577" s="222"/>
    </row>
    <row r="4578" spans="2:21" x14ac:dyDescent="0.2">
      <c r="B4578" s="207"/>
      <c r="C4578" s="210"/>
      <c r="D4578" s="211"/>
      <c r="E4578" s="211"/>
      <c r="U4578" s="222"/>
    </row>
    <row r="4579" spans="2:21" x14ac:dyDescent="0.2">
      <c r="B4579" s="207"/>
      <c r="C4579" s="210"/>
      <c r="D4579" s="211"/>
      <c r="E4579" s="211"/>
      <c r="U4579" s="222"/>
    </row>
    <row r="4580" spans="2:21" x14ac:dyDescent="0.2">
      <c r="B4580" s="207"/>
      <c r="C4580" s="210"/>
      <c r="D4580" s="211"/>
      <c r="E4580" s="211"/>
      <c r="U4580" s="222"/>
    </row>
    <row r="4581" spans="2:21" x14ac:dyDescent="0.2">
      <c r="B4581" s="207"/>
      <c r="C4581" s="210"/>
      <c r="D4581" s="211"/>
      <c r="E4581" s="211"/>
      <c r="U4581" s="222"/>
    </row>
    <row r="4582" spans="2:21" x14ac:dyDescent="0.2">
      <c r="B4582" s="207"/>
      <c r="C4582" s="210"/>
      <c r="D4582" s="211"/>
      <c r="E4582" s="211"/>
      <c r="U4582" s="222"/>
    </row>
    <row r="4583" spans="2:21" x14ac:dyDescent="0.2">
      <c r="B4583" s="207"/>
      <c r="C4583" s="210"/>
      <c r="D4583" s="211"/>
      <c r="E4583" s="211"/>
      <c r="U4583" s="222"/>
    </row>
    <row r="4584" spans="2:21" x14ac:dyDescent="0.2">
      <c r="B4584" s="207"/>
      <c r="C4584" s="210"/>
      <c r="D4584" s="211"/>
      <c r="E4584" s="211"/>
      <c r="U4584" s="222"/>
    </row>
    <row r="4585" spans="2:21" x14ac:dyDescent="0.2">
      <c r="B4585" s="207"/>
      <c r="C4585" s="210"/>
      <c r="D4585" s="211"/>
      <c r="E4585" s="211"/>
      <c r="U4585" s="222"/>
    </row>
    <row r="4586" spans="2:21" x14ac:dyDescent="0.2">
      <c r="B4586" s="207"/>
      <c r="C4586" s="210"/>
      <c r="D4586" s="211"/>
      <c r="E4586" s="211"/>
      <c r="U4586" s="222"/>
    </row>
    <row r="4587" spans="2:21" x14ac:dyDescent="0.2">
      <c r="B4587" s="207"/>
      <c r="C4587" s="210"/>
      <c r="D4587" s="211"/>
      <c r="E4587" s="211"/>
      <c r="U4587" s="222"/>
    </row>
    <row r="4588" spans="2:21" x14ac:dyDescent="0.2">
      <c r="B4588" s="207"/>
      <c r="C4588" s="210"/>
      <c r="D4588" s="211"/>
      <c r="E4588" s="211"/>
      <c r="U4588" s="222"/>
    </row>
    <row r="4589" spans="2:21" x14ac:dyDescent="0.2">
      <c r="B4589" s="207"/>
      <c r="C4589" s="210"/>
      <c r="D4589" s="211"/>
      <c r="E4589" s="211"/>
      <c r="U4589" s="222"/>
    </row>
    <row r="4590" spans="2:21" x14ac:dyDescent="0.2">
      <c r="B4590" s="207"/>
      <c r="C4590" s="210"/>
      <c r="D4590" s="211"/>
      <c r="E4590" s="211"/>
      <c r="U4590" s="222"/>
    </row>
    <row r="4591" spans="2:21" x14ac:dyDescent="0.2">
      <c r="B4591" s="207"/>
      <c r="C4591" s="210"/>
      <c r="D4591" s="211"/>
      <c r="E4591" s="211"/>
      <c r="U4591" s="222"/>
    </row>
    <row r="4592" spans="2:21" x14ac:dyDescent="0.2">
      <c r="B4592" s="207"/>
      <c r="C4592" s="210"/>
      <c r="D4592" s="211"/>
      <c r="E4592" s="211"/>
      <c r="U4592" s="222"/>
    </row>
    <row r="4593" spans="2:21" x14ac:dyDescent="0.2">
      <c r="B4593" s="207"/>
      <c r="C4593" s="210"/>
      <c r="D4593" s="211"/>
      <c r="E4593" s="211"/>
      <c r="U4593" s="222"/>
    </row>
    <row r="4594" spans="2:21" x14ac:dyDescent="0.2">
      <c r="B4594" s="207"/>
      <c r="C4594" s="210"/>
      <c r="D4594" s="211"/>
      <c r="E4594" s="211"/>
      <c r="U4594" s="222"/>
    </row>
    <row r="4595" spans="2:21" x14ac:dyDescent="0.2">
      <c r="B4595" s="207"/>
      <c r="C4595" s="210"/>
      <c r="D4595" s="211"/>
      <c r="E4595" s="211"/>
      <c r="U4595" s="222"/>
    </row>
    <row r="4596" spans="2:21" x14ac:dyDescent="0.2">
      <c r="B4596" s="207"/>
      <c r="C4596" s="210"/>
      <c r="D4596" s="211"/>
      <c r="E4596" s="211"/>
      <c r="U4596" s="222"/>
    </row>
    <row r="4597" spans="2:21" x14ac:dyDescent="0.2">
      <c r="B4597" s="207"/>
      <c r="C4597" s="210"/>
      <c r="D4597" s="211"/>
      <c r="E4597" s="211"/>
      <c r="U4597" s="222"/>
    </row>
    <row r="4598" spans="2:21" x14ac:dyDescent="0.2">
      <c r="B4598" s="207"/>
      <c r="C4598" s="210"/>
      <c r="D4598" s="211"/>
      <c r="E4598" s="211"/>
      <c r="U4598" s="222"/>
    </row>
    <row r="4599" spans="2:21" x14ac:dyDescent="0.2">
      <c r="B4599" s="207"/>
      <c r="C4599" s="210"/>
      <c r="D4599" s="211"/>
      <c r="E4599" s="211"/>
      <c r="U4599" s="222"/>
    </row>
    <row r="4600" spans="2:21" x14ac:dyDescent="0.2">
      <c r="B4600" s="207"/>
      <c r="C4600" s="210"/>
      <c r="D4600" s="211"/>
      <c r="E4600" s="211"/>
      <c r="U4600" s="222"/>
    </row>
    <row r="4601" spans="2:21" x14ac:dyDescent="0.2">
      <c r="B4601" s="207"/>
      <c r="C4601" s="210"/>
      <c r="D4601" s="211"/>
      <c r="E4601" s="211"/>
      <c r="U4601" s="222"/>
    </row>
    <row r="4602" spans="2:21" x14ac:dyDescent="0.2">
      <c r="B4602" s="207"/>
      <c r="C4602" s="210"/>
      <c r="D4602" s="211"/>
      <c r="E4602" s="211"/>
      <c r="U4602" s="222"/>
    </row>
    <row r="4603" spans="2:21" x14ac:dyDescent="0.2">
      <c r="B4603" s="207"/>
      <c r="C4603" s="210"/>
      <c r="D4603" s="211"/>
      <c r="E4603" s="211"/>
      <c r="U4603" s="222"/>
    </row>
    <row r="4604" spans="2:21" x14ac:dyDescent="0.2">
      <c r="B4604" s="207"/>
      <c r="C4604" s="210"/>
      <c r="D4604" s="211"/>
      <c r="E4604" s="211"/>
      <c r="U4604" s="222"/>
    </row>
    <row r="4605" spans="2:21" x14ac:dyDescent="0.2">
      <c r="B4605" s="207"/>
      <c r="C4605" s="210"/>
      <c r="D4605" s="211"/>
      <c r="E4605" s="211"/>
      <c r="U4605" s="222"/>
    </row>
    <row r="4606" spans="2:21" x14ac:dyDescent="0.2">
      <c r="B4606" s="207"/>
      <c r="C4606" s="210"/>
      <c r="D4606" s="211"/>
      <c r="E4606" s="211"/>
      <c r="U4606" s="222"/>
    </row>
    <row r="4607" spans="2:21" x14ac:dyDescent="0.2">
      <c r="B4607" s="207"/>
      <c r="C4607" s="210"/>
      <c r="D4607" s="211"/>
      <c r="E4607" s="211"/>
      <c r="U4607" s="222"/>
    </row>
    <row r="4608" spans="2:21" x14ac:dyDescent="0.2">
      <c r="B4608" s="207"/>
      <c r="C4608" s="210"/>
      <c r="D4608" s="211"/>
      <c r="E4608" s="211"/>
      <c r="U4608" s="222"/>
    </row>
    <row r="4609" spans="2:21" x14ac:dyDescent="0.2">
      <c r="B4609" s="207"/>
      <c r="C4609" s="210"/>
      <c r="D4609" s="211"/>
      <c r="E4609" s="211"/>
      <c r="U4609" s="222"/>
    </row>
    <row r="4610" spans="2:21" x14ac:dyDescent="0.2">
      <c r="B4610" s="207"/>
      <c r="C4610" s="210"/>
      <c r="D4610" s="211"/>
      <c r="E4610" s="211"/>
      <c r="U4610" s="222"/>
    </row>
    <row r="4611" spans="2:21" x14ac:dyDescent="0.2">
      <c r="B4611" s="207"/>
      <c r="C4611" s="210"/>
      <c r="D4611" s="211"/>
      <c r="E4611" s="211"/>
      <c r="U4611" s="222"/>
    </row>
    <row r="4612" spans="2:21" x14ac:dyDescent="0.2">
      <c r="B4612" s="207"/>
      <c r="C4612" s="210"/>
      <c r="D4612" s="211"/>
      <c r="E4612" s="211"/>
      <c r="U4612" s="222"/>
    </row>
    <row r="4613" spans="2:21" x14ac:dyDescent="0.2">
      <c r="B4613" s="207"/>
      <c r="C4613" s="210"/>
      <c r="D4613" s="211"/>
      <c r="E4613" s="211"/>
      <c r="U4613" s="222"/>
    </row>
    <row r="4614" spans="2:21" x14ac:dyDescent="0.2">
      <c r="B4614" s="207"/>
      <c r="C4614" s="210"/>
      <c r="D4614" s="211"/>
      <c r="E4614" s="211"/>
      <c r="U4614" s="222"/>
    </row>
    <row r="4615" spans="2:21" x14ac:dyDescent="0.2">
      <c r="B4615" s="207"/>
      <c r="C4615" s="210"/>
      <c r="D4615" s="211"/>
      <c r="E4615" s="211"/>
      <c r="U4615" s="222"/>
    </row>
    <row r="4616" spans="2:21" x14ac:dyDescent="0.2">
      <c r="B4616" s="207"/>
      <c r="C4616" s="210"/>
      <c r="D4616" s="211"/>
      <c r="E4616" s="211"/>
      <c r="U4616" s="222"/>
    </row>
    <row r="4617" spans="2:21" x14ac:dyDescent="0.2">
      <c r="B4617" s="207"/>
      <c r="C4617" s="210"/>
      <c r="D4617" s="211"/>
      <c r="E4617" s="211"/>
      <c r="U4617" s="222"/>
    </row>
    <row r="4618" spans="2:21" x14ac:dyDescent="0.2">
      <c r="B4618" s="207"/>
      <c r="C4618" s="210"/>
      <c r="D4618" s="211"/>
      <c r="E4618" s="211"/>
      <c r="U4618" s="222"/>
    </row>
    <row r="4619" spans="2:21" x14ac:dyDescent="0.2">
      <c r="B4619" s="207"/>
      <c r="C4619" s="210"/>
      <c r="D4619" s="211"/>
      <c r="E4619" s="211"/>
      <c r="U4619" s="222"/>
    </row>
    <row r="4620" spans="2:21" x14ac:dyDescent="0.2">
      <c r="B4620" s="207"/>
      <c r="C4620" s="210"/>
      <c r="D4620" s="211"/>
      <c r="E4620" s="211"/>
      <c r="U4620" s="222"/>
    </row>
    <row r="4621" spans="2:21" x14ac:dyDescent="0.2">
      <c r="B4621" s="207"/>
      <c r="C4621" s="210"/>
      <c r="D4621" s="211"/>
      <c r="E4621" s="211"/>
      <c r="U4621" s="222"/>
    </row>
    <row r="4622" spans="2:21" x14ac:dyDescent="0.2">
      <c r="B4622" s="207"/>
      <c r="C4622" s="210"/>
      <c r="D4622" s="211"/>
      <c r="E4622" s="211"/>
      <c r="U4622" s="222"/>
    </row>
    <row r="4623" spans="2:21" x14ac:dyDescent="0.2">
      <c r="B4623" s="207"/>
      <c r="C4623" s="210"/>
      <c r="D4623" s="211"/>
      <c r="E4623" s="211"/>
      <c r="U4623" s="222"/>
    </row>
    <row r="4624" spans="2:21" x14ac:dyDescent="0.2">
      <c r="B4624" s="207"/>
      <c r="C4624" s="210"/>
      <c r="D4624" s="211"/>
      <c r="E4624" s="211"/>
      <c r="U4624" s="222"/>
    </row>
    <row r="4625" spans="2:21" x14ac:dyDescent="0.2">
      <c r="B4625" s="207"/>
      <c r="C4625" s="210"/>
      <c r="D4625" s="211"/>
      <c r="E4625" s="211"/>
      <c r="U4625" s="222"/>
    </row>
    <row r="4626" spans="2:21" x14ac:dyDescent="0.2">
      <c r="B4626" s="207"/>
      <c r="C4626" s="210"/>
      <c r="D4626" s="211"/>
      <c r="E4626" s="211"/>
      <c r="U4626" s="222"/>
    </row>
    <row r="4627" spans="2:21" x14ac:dyDescent="0.2">
      <c r="B4627" s="207"/>
      <c r="C4627" s="210"/>
      <c r="D4627" s="211"/>
      <c r="E4627" s="211"/>
      <c r="U4627" s="222"/>
    </row>
    <row r="4628" spans="2:21" x14ac:dyDescent="0.2">
      <c r="B4628" s="207"/>
      <c r="C4628" s="210"/>
      <c r="D4628" s="211"/>
      <c r="E4628" s="211"/>
      <c r="U4628" s="222"/>
    </row>
    <row r="4629" spans="2:21" x14ac:dyDescent="0.2">
      <c r="B4629" s="207"/>
      <c r="C4629" s="210"/>
      <c r="D4629" s="211"/>
      <c r="E4629" s="211"/>
      <c r="U4629" s="222"/>
    </row>
    <row r="4630" spans="2:21" x14ac:dyDescent="0.2">
      <c r="B4630" s="207"/>
      <c r="C4630" s="210"/>
      <c r="D4630" s="211"/>
      <c r="E4630" s="211"/>
      <c r="U4630" s="222"/>
    </row>
    <row r="4631" spans="2:21" x14ac:dyDescent="0.2">
      <c r="B4631" s="207"/>
      <c r="C4631" s="210"/>
      <c r="D4631" s="211"/>
      <c r="E4631" s="211"/>
      <c r="U4631" s="222"/>
    </row>
    <row r="4632" spans="2:21" x14ac:dyDescent="0.2">
      <c r="B4632" s="207"/>
      <c r="C4632" s="210"/>
      <c r="D4632" s="211"/>
      <c r="E4632" s="211"/>
      <c r="U4632" s="222"/>
    </row>
    <row r="4633" spans="2:21" x14ac:dyDescent="0.2">
      <c r="B4633" s="207"/>
      <c r="C4633" s="210"/>
      <c r="D4633" s="211"/>
      <c r="E4633" s="211"/>
      <c r="U4633" s="222"/>
    </row>
    <row r="4634" spans="2:21" x14ac:dyDescent="0.2">
      <c r="B4634" s="207"/>
      <c r="C4634" s="210"/>
      <c r="D4634" s="211"/>
      <c r="E4634" s="211"/>
      <c r="U4634" s="222"/>
    </row>
    <row r="4635" spans="2:21" x14ac:dyDescent="0.2">
      <c r="B4635" s="207"/>
      <c r="C4635" s="210"/>
      <c r="D4635" s="211"/>
      <c r="E4635" s="211"/>
      <c r="U4635" s="222"/>
    </row>
    <row r="4636" spans="2:21" x14ac:dyDescent="0.2">
      <c r="B4636" s="207"/>
      <c r="C4636" s="210"/>
      <c r="D4636" s="211"/>
      <c r="E4636" s="211"/>
      <c r="U4636" s="222"/>
    </row>
    <row r="4637" spans="2:21" x14ac:dyDescent="0.2">
      <c r="B4637" s="207"/>
      <c r="C4637" s="210"/>
      <c r="D4637" s="211"/>
      <c r="E4637" s="211"/>
      <c r="U4637" s="222"/>
    </row>
    <row r="4638" spans="2:21" x14ac:dyDescent="0.2">
      <c r="B4638" s="207"/>
      <c r="C4638" s="210"/>
      <c r="D4638" s="211"/>
      <c r="E4638" s="211"/>
      <c r="U4638" s="222"/>
    </row>
    <row r="4639" spans="2:21" x14ac:dyDescent="0.2">
      <c r="B4639" s="207"/>
      <c r="C4639" s="210"/>
      <c r="D4639" s="211"/>
      <c r="E4639" s="211"/>
      <c r="U4639" s="222"/>
    </row>
    <row r="4640" spans="2:21" x14ac:dyDescent="0.2">
      <c r="B4640" s="207"/>
      <c r="C4640" s="210"/>
      <c r="D4640" s="211"/>
      <c r="E4640" s="211"/>
      <c r="U4640" s="222"/>
    </row>
    <row r="4641" spans="2:21" x14ac:dyDescent="0.2">
      <c r="B4641" s="207"/>
      <c r="C4641" s="210"/>
      <c r="D4641" s="211"/>
      <c r="E4641" s="211"/>
      <c r="U4641" s="222"/>
    </row>
    <row r="4642" spans="2:21" x14ac:dyDescent="0.2">
      <c r="B4642" s="207"/>
      <c r="C4642" s="210"/>
      <c r="D4642" s="211"/>
      <c r="E4642" s="211"/>
      <c r="U4642" s="222"/>
    </row>
    <row r="4643" spans="2:21" x14ac:dyDescent="0.2">
      <c r="B4643" s="207"/>
      <c r="C4643" s="210"/>
      <c r="D4643" s="211"/>
      <c r="E4643" s="211"/>
      <c r="U4643" s="222"/>
    </row>
    <row r="4644" spans="2:21" x14ac:dyDescent="0.2">
      <c r="B4644" s="207"/>
      <c r="C4644" s="210"/>
      <c r="D4644" s="211"/>
      <c r="E4644" s="211"/>
      <c r="U4644" s="222"/>
    </row>
    <row r="4645" spans="2:21" x14ac:dyDescent="0.2">
      <c r="B4645" s="207"/>
      <c r="C4645" s="210"/>
      <c r="D4645" s="211"/>
      <c r="E4645" s="211"/>
      <c r="U4645" s="222"/>
    </row>
    <row r="4646" spans="2:21" x14ac:dyDescent="0.2">
      <c r="B4646" s="207"/>
      <c r="C4646" s="210"/>
      <c r="D4646" s="211"/>
      <c r="E4646" s="211"/>
      <c r="U4646" s="222"/>
    </row>
    <row r="4647" spans="2:21" x14ac:dyDescent="0.2">
      <c r="B4647" s="207"/>
      <c r="C4647" s="210"/>
      <c r="D4647" s="211"/>
      <c r="E4647" s="211"/>
      <c r="U4647" s="222"/>
    </row>
    <row r="4648" spans="2:21" x14ac:dyDescent="0.2">
      <c r="B4648" s="207"/>
      <c r="C4648" s="210"/>
      <c r="D4648" s="211"/>
      <c r="E4648" s="211"/>
      <c r="U4648" s="222"/>
    </row>
    <row r="4649" spans="2:21" x14ac:dyDescent="0.2">
      <c r="B4649" s="207"/>
      <c r="C4649" s="210"/>
      <c r="D4649" s="211"/>
      <c r="E4649" s="211"/>
      <c r="U4649" s="222"/>
    </row>
    <row r="4650" spans="2:21" x14ac:dyDescent="0.2">
      <c r="B4650" s="207"/>
      <c r="C4650" s="210"/>
      <c r="D4650" s="211"/>
      <c r="E4650" s="211"/>
      <c r="U4650" s="222"/>
    </row>
    <row r="4651" spans="2:21" x14ac:dyDescent="0.2">
      <c r="B4651" s="207"/>
      <c r="C4651" s="210"/>
      <c r="D4651" s="211"/>
      <c r="E4651" s="211"/>
      <c r="U4651" s="222"/>
    </row>
    <row r="4652" spans="2:21" x14ac:dyDescent="0.2">
      <c r="B4652" s="207"/>
      <c r="C4652" s="210"/>
      <c r="D4652" s="211"/>
      <c r="E4652" s="211"/>
      <c r="U4652" s="222"/>
    </row>
    <row r="4653" spans="2:21" x14ac:dyDescent="0.2">
      <c r="B4653" s="207"/>
      <c r="C4653" s="210"/>
      <c r="D4653" s="211"/>
      <c r="E4653" s="211"/>
      <c r="U4653" s="222"/>
    </row>
    <row r="4654" spans="2:21" x14ac:dyDescent="0.2">
      <c r="B4654" s="207"/>
      <c r="C4654" s="210"/>
      <c r="D4654" s="211"/>
      <c r="E4654" s="211"/>
      <c r="U4654" s="222"/>
    </row>
    <row r="4655" spans="2:21" x14ac:dyDescent="0.2">
      <c r="B4655" s="207"/>
      <c r="C4655" s="210"/>
      <c r="D4655" s="211"/>
      <c r="E4655" s="211"/>
      <c r="U4655" s="222"/>
    </row>
    <row r="4656" spans="2:21" x14ac:dyDescent="0.2">
      <c r="B4656" s="207"/>
      <c r="C4656" s="210"/>
      <c r="D4656" s="211"/>
      <c r="E4656" s="211"/>
      <c r="U4656" s="222"/>
    </row>
    <row r="4657" spans="2:21" x14ac:dyDescent="0.2">
      <c r="B4657" s="207"/>
      <c r="C4657" s="210"/>
      <c r="D4657" s="211"/>
      <c r="E4657" s="211"/>
      <c r="U4657" s="222"/>
    </row>
    <row r="4658" spans="2:21" x14ac:dyDescent="0.2">
      <c r="B4658" s="207"/>
      <c r="C4658" s="210"/>
      <c r="D4658" s="211"/>
      <c r="E4658" s="211"/>
      <c r="U4658" s="222"/>
    </row>
    <row r="4659" spans="2:21" x14ac:dyDescent="0.2">
      <c r="B4659" s="207"/>
      <c r="C4659" s="210"/>
      <c r="D4659" s="211"/>
      <c r="E4659" s="211"/>
      <c r="U4659" s="222"/>
    </row>
    <row r="4660" spans="2:21" x14ac:dyDescent="0.2">
      <c r="B4660" s="207"/>
      <c r="C4660" s="210"/>
      <c r="D4660" s="211"/>
      <c r="E4660" s="211"/>
      <c r="U4660" s="222"/>
    </row>
    <row r="4661" spans="2:21" x14ac:dyDescent="0.2">
      <c r="B4661" s="207"/>
      <c r="C4661" s="210"/>
      <c r="D4661" s="211"/>
      <c r="E4661" s="211"/>
      <c r="U4661" s="222"/>
    </row>
    <row r="4662" spans="2:21" x14ac:dyDescent="0.2">
      <c r="B4662" s="207"/>
      <c r="C4662" s="210"/>
      <c r="D4662" s="211"/>
      <c r="E4662" s="211"/>
      <c r="U4662" s="222"/>
    </row>
    <row r="4663" spans="2:21" x14ac:dyDescent="0.2">
      <c r="B4663" s="207"/>
      <c r="C4663" s="210"/>
      <c r="D4663" s="211"/>
      <c r="E4663" s="211"/>
      <c r="U4663" s="222"/>
    </row>
    <row r="4664" spans="2:21" x14ac:dyDescent="0.2">
      <c r="B4664" s="207"/>
      <c r="C4664" s="210"/>
      <c r="D4664" s="211"/>
      <c r="E4664" s="211"/>
      <c r="U4664" s="222"/>
    </row>
    <row r="4665" spans="2:21" x14ac:dyDescent="0.2">
      <c r="B4665" s="207"/>
      <c r="C4665" s="210"/>
      <c r="D4665" s="211"/>
      <c r="E4665" s="211"/>
      <c r="U4665" s="222"/>
    </row>
    <row r="4666" spans="2:21" x14ac:dyDescent="0.2">
      <c r="B4666" s="207"/>
      <c r="C4666" s="210"/>
      <c r="D4666" s="211"/>
      <c r="E4666" s="211"/>
      <c r="U4666" s="222"/>
    </row>
    <row r="4667" spans="2:21" x14ac:dyDescent="0.2">
      <c r="B4667" s="207"/>
      <c r="C4667" s="210"/>
      <c r="D4667" s="211"/>
      <c r="E4667" s="211"/>
      <c r="U4667" s="222"/>
    </row>
    <row r="4668" spans="2:21" x14ac:dyDescent="0.2">
      <c r="B4668" s="207"/>
      <c r="C4668" s="210"/>
      <c r="D4668" s="211"/>
      <c r="E4668" s="211"/>
      <c r="U4668" s="222"/>
    </row>
    <row r="4669" spans="2:21" x14ac:dyDescent="0.2">
      <c r="B4669" s="207"/>
      <c r="C4669" s="210"/>
      <c r="D4669" s="211"/>
      <c r="E4669" s="211"/>
      <c r="U4669" s="222"/>
    </row>
    <row r="4670" spans="2:21" x14ac:dyDescent="0.2">
      <c r="B4670" s="207"/>
      <c r="C4670" s="210"/>
      <c r="D4670" s="211"/>
      <c r="E4670" s="211"/>
      <c r="U4670" s="222"/>
    </row>
    <row r="4671" spans="2:21" x14ac:dyDescent="0.2">
      <c r="B4671" s="207"/>
      <c r="C4671" s="210"/>
      <c r="D4671" s="211"/>
      <c r="E4671" s="211"/>
      <c r="U4671" s="222"/>
    </row>
    <row r="4672" spans="2:21" x14ac:dyDescent="0.2">
      <c r="B4672" s="207"/>
      <c r="C4672" s="210"/>
      <c r="D4672" s="211"/>
      <c r="E4672" s="211"/>
      <c r="U4672" s="222"/>
    </row>
    <row r="4673" spans="2:21" x14ac:dyDescent="0.2">
      <c r="B4673" s="207"/>
      <c r="C4673" s="210"/>
      <c r="D4673" s="211"/>
      <c r="E4673" s="211"/>
      <c r="U4673" s="222"/>
    </row>
    <row r="4674" spans="2:21" x14ac:dyDescent="0.2">
      <c r="B4674" s="207"/>
      <c r="C4674" s="210"/>
      <c r="D4674" s="211"/>
      <c r="E4674" s="211"/>
      <c r="U4674" s="222"/>
    </row>
    <row r="4675" spans="2:21" x14ac:dyDescent="0.2">
      <c r="B4675" s="207"/>
      <c r="C4675" s="210"/>
      <c r="D4675" s="211"/>
      <c r="E4675" s="211"/>
      <c r="U4675" s="222"/>
    </row>
    <row r="4676" spans="2:21" x14ac:dyDescent="0.2">
      <c r="B4676" s="207"/>
      <c r="C4676" s="210"/>
      <c r="D4676" s="211"/>
      <c r="E4676" s="211"/>
      <c r="U4676" s="222"/>
    </row>
    <row r="4677" spans="2:21" x14ac:dyDescent="0.2">
      <c r="B4677" s="207"/>
      <c r="C4677" s="210"/>
      <c r="D4677" s="211"/>
      <c r="E4677" s="211"/>
      <c r="U4677" s="222"/>
    </row>
    <row r="4678" spans="2:21" x14ac:dyDescent="0.2">
      <c r="B4678" s="207"/>
      <c r="C4678" s="210"/>
      <c r="D4678" s="211"/>
      <c r="E4678" s="211"/>
      <c r="U4678" s="222"/>
    </row>
    <row r="4679" spans="2:21" x14ac:dyDescent="0.2">
      <c r="B4679" s="207"/>
      <c r="C4679" s="210"/>
      <c r="D4679" s="211"/>
      <c r="E4679" s="211"/>
      <c r="U4679" s="222"/>
    </row>
    <row r="4680" spans="2:21" x14ac:dyDescent="0.2">
      <c r="B4680" s="207"/>
      <c r="C4680" s="210"/>
      <c r="D4680" s="211"/>
      <c r="E4680" s="211"/>
      <c r="U4680" s="222"/>
    </row>
    <row r="4681" spans="2:21" x14ac:dyDescent="0.2">
      <c r="B4681" s="207"/>
      <c r="C4681" s="210"/>
      <c r="D4681" s="211"/>
      <c r="E4681" s="211"/>
      <c r="U4681" s="222"/>
    </row>
    <row r="4682" spans="2:21" x14ac:dyDescent="0.2">
      <c r="B4682" s="207"/>
      <c r="C4682" s="210"/>
      <c r="D4682" s="211"/>
      <c r="E4682" s="211"/>
      <c r="U4682" s="222"/>
    </row>
    <row r="4683" spans="2:21" x14ac:dyDescent="0.2">
      <c r="B4683" s="207"/>
      <c r="C4683" s="210"/>
      <c r="D4683" s="211"/>
      <c r="E4683" s="211"/>
      <c r="U4683" s="222"/>
    </row>
    <row r="4684" spans="2:21" x14ac:dyDescent="0.2">
      <c r="B4684" s="207"/>
      <c r="C4684" s="210"/>
      <c r="D4684" s="211"/>
      <c r="E4684" s="211"/>
      <c r="U4684" s="222"/>
    </row>
    <row r="4685" spans="2:21" x14ac:dyDescent="0.2">
      <c r="B4685" s="207"/>
      <c r="C4685" s="210"/>
      <c r="D4685" s="211"/>
      <c r="E4685" s="211"/>
      <c r="U4685" s="222"/>
    </row>
    <row r="4686" spans="2:21" x14ac:dyDescent="0.2">
      <c r="B4686" s="207"/>
      <c r="C4686" s="210"/>
      <c r="D4686" s="211"/>
      <c r="E4686" s="211"/>
      <c r="U4686" s="222"/>
    </row>
    <row r="4687" spans="2:21" x14ac:dyDescent="0.2">
      <c r="B4687" s="207"/>
      <c r="C4687" s="210"/>
      <c r="D4687" s="211"/>
      <c r="E4687" s="211"/>
      <c r="U4687" s="222"/>
    </row>
    <row r="4688" spans="2:21" x14ac:dyDescent="0.2">
      <c r="B4688" s="207"/>
      <c r="C4688" s="210"/>
      <c r="D4688" s="211"/>
      <c r="E4688" s="211"/>
      <c r="U4688" s="222"/>
    </row>
    <row r="4689" spans="2:21" x14ac:dyDescent="0.2">
      <c r="B4689" s="207"/>
      <c r="C4689" s="210"/>
      <c r="D4689" s="211"/>
      <c r="E4689" s="211"/>
      <c r="U4689" s="222"/>
    </row>
    <row r="4690" spans="2:21" x14ac:dyDescent="0.2">
      <c r="B4690" s="207"/>
      <c r="C4690" s="210"/>
      <c r="D4690" s="211"/>
      <c r="E4690" s="211"/>
      <c r="U4690" s="222"/>
    </row>
    <row r="4691" spans="2:21" x14ac:dyDescent="0.2">
      <c r="B4691" s="207"/>
      <c r="C4691" s="210"/>
      <c r="D4691" s="211"/>
      <c r="E4691" s="211"/>
      <c r="U4691" s="222"/>
    </row>
    <row r="4692" spans="2:21" x14ac:dyDescent="0.2">
      <c r="B4692" s="207"/>
      <c r="C4692" s="210"/>
      <c r="D4692" s="211"/>
      <c r="E4692" s="211"/>
      <c r="U4692" s="222"/>
    </row>
    <row r="4693" spans="2:21" x14ac:dyDescent="0.2">
      <c r="B4693" s="207"/>
      <c r="C4693" s="210"/>
      <c r="D4693" s="211"/>
      <c r="E4693" s="211"/>
      <c r="U4693" s="222"/>
    </row>
    <row r="4694" spans="2:21" x14ac:dyDescent="0.2">
      <c r="B4694" s="207"/>
      <c r="C4694" s="210"/>
      <c r="D4694" s="211"/>
      <c r="E4694" s="211"/>
      <c r="U4694" s="222"/>
    </row>
    <row r="4695" spans="2:21" x14ac:dyDescent="0.2">
      <c r="B4695" s="207"/>
      <c r="C4695" s="210"/>
      <c r="D4695" s="211"/>
      <c r="E4695" s="211"/>
      <c r="U4695" s="222"/>
    </row>
    <row r="4696" spans="2:21" x14ac:dyDescent="0.2">
      <c r="B4696" s="207"/>
      <c r="C4696" s="210"/>
      <c r="D4696" s="211"/>
      <c r="E4696" s="211"/>
      <c r="U4696" s="222"/>
    </row>
    <row r="4697" spans="2:21" x14ac:dyDescent="0.2">
      <c r="B4697" s="207"/>
      <c r="C4697" s="210"/>
      <c r="D4697" s="211"/>
      <c r="E4697" s="211"/>
      <c r="U4697" s="222"/>
    </row>
    <row r="4698" spans="2:21" x14ac:dyDescent="0.2">
      <c r="B4698" s="207"/>
      <c r="C4698" s="210"/>
      <c r="D4698" s="211"/>
      <c r="E4698" s="211"/>
      <c r="U4698" s="222"/>
    </row>
    <row r="4699" spans="2:21" x14ac:dyDescent="0.2">
      <c r="B4699" s="207"/>
      <c r="C4699" s="210"/>
      <c r="D4699" s="211"/>
      <c r="E4699" s="211"/>
      <c r="U4699" s="222"/>
    </row>
    <row r="4700" spans="2:21" x14ac:dyDescent="0.2">
      <c r="B4700" s="207"/>
      <c r="C4700" s="210"/>
      <c r="D4700" s="211"/>
      <c r="E4700" s="211"/>
      <c r="U4700" s="222"/>
    </row>
    <row r="4701" spans="2:21" x14ac:dyDescent="0.2">
      <c r="B4701" s="207"/>
      <c r="C4701" s="210"/>
      <c r="D4701" s="211"/>
      <c r="E4701" s="211"/>
      <c r="U4701" s="222"/>
    </row>
    <row r="4702" spans="2:21" x14ac:dyDescent="0.2">
      <c r="B4702" s="207"/>
      <c r="C4702" s="210"/>
      <c r="D4702" s="211"/>
      <c r="E4702" s="211"/>
      <c r="U4702" s="222"/>
    </row>
    <row r="4703" spans="2:21" x14ac:dyDescent="0.2">
      <c r="B4703" s="207"/>
      <c r="C4703" s="210"/>
      <c r="D4703" s="211"/>
      <c r="E4703" s="211"/>
      <c r="U4703" s="222"/>
    </row>
    <row r="4704" spans="2:21" x14ac:dyDescent="0.2">
      <c r="B4704" s="207"/>
      <c r="C4704" s="210"/>
      <c r="D4704" s="211"/>
      <c r="E4704" s="211"/>
      <c r="U4704" s="222"/>
    </row>
    <row r="4705" spans="2:21" x14ac:dyDescent="0.2">
      <c r="B4705" s="207"/>
      <c r="C4705" s="210"/>
      <c r="D4705" s="211"/>
      <c r="E4705" s="211"/>
      <c r="U4705" s="222"/>
    </row>
    <row r="4706" spans="2:21" x14ac:dyDescent="0.2">
      <c r="B4706" s="207"/>
      <c r="C4706" s="210"/>
      <c r="D4706" s="211"/>
      <c r="E4706" s="211"/>
      <c r="U4706" s="222"/>
    </row>
    <row r="4707" spans="2:21" x14ac:dyDescent="0.2">
      <c r="B4707" s="207"/>
      <c r="C4707" s="210"/>
      <c r="D4707" s="211"/>
      <c r="E4707" s="211"/>
      <c r="U4707" s="222"/>
    </row>
    <row r="4708" spans="2:21" x14ac:dyDescent="0.2">
      <c r="B4708" s="207"/>
      <c r="C4708" s="210"/>
      <c r="D4708" s="211"/>
      <c r="E4708" s="211"/>
      <c r="U4708" s="222"/>
    </row>
    <row r="4709" spans="2:21" x14ac:dyDescent="0.2">
      <c r="B4709" s="207"/>
      <c r="C4709" s="210"/>
      <c r="D4709" s="211"/>
      <c r="E4709" s="211"/>
      <c r="U4709" s="222"/>
    </row>
    <row r="4710" spans="2:21" x14ac:dyDescent="0.2">
      <c r="B4710" s="207"/>
      <c r="C4710" s="210"/>
      <c r="D4710" s="211"/>
      <c r="E4710" s="211"/>
      <c r="U4710" s="222"/>
    </row>
    <row r="4711" spans="2:21" x14ac:dyDescent="0.2">
      <c r="B4711" s="207"/>
      <c r="C4711" s="210"/>
      <c r="D4711" s="211"/>
      <c r="E4711" s="211"/>
      <c r="U4711" s="222"/>
    </row>
    <row r="4712" spans="2:21" x14ac:dyDescent="0.2">
      <c r="B4712" s="207"/>
      <c r="C4712" s="210"/>
      <c r="D4712" s="211"/>
      <c r="E4712" s="211"/>
      <c r="U4712" s="222"/>
    </row>
    <row r="4713" spans="2:21" x14ac:dyDescent="0.2">
      <c r="B4713" s="207"/>
      <c r="C4713" s="210"/>
      <c r="D4713" s="211"/>
      <c r="E4713" s="211"/>
      <c r="U4713" s="222"/>
    </row>
    <row r="4714" spans="2:21" x14ac:dyDescent="0.2">
      <c r="B4714" s="207"/>
      <c r="C4714" s="210"/>
      <c r="D4714" s="211"/>
      <c r="E4714" s="211"/>
      <c r="U4714" s="222"/>
    </row>
    <row r="4715" spans="2:21" x14ac:dyDescent="0.2">
      <c r="B4715" s="207"/>
      <c r="C4715" s="210"/>
      <c r="D4715" s="211"/>
      <c r="E4715" s="211"/>
      <c r="U4715" s="222"/>
    </row>
    <row r="4716" spans="2:21" x14ac:dyDescent="0.2">
      <c r="B4716" s="207"/>
      <c r="C4716" s="210"/>
      <c r="D4716" s="211"/>
      <c r="E4716" s="211"/>
      <c r="U4716" s="222"/>
    </row>
    <row r="4717" spans="2:21" x14ac:dyDescent="0.2">
      <c r="B4717" s="207"/>
      <c r="C4717" s="210"/>
      <c r="D4717" s="211"/>
      <c r="E4717" s="211"/>
      <c r="U4717" s="222"/>
    </row>
    <row r="4718" spans="2:21" x14ac:dyDescent="0.2">
      <c r="B4718" s="207"/>
      <c r="C4718" s="210"/>
      <c r="D4718" s="211"/>
      <c r="E4718" s="211"/>
      <c r="U4718" s="222"/>
    </row>
    <row r="4719" spans="2:21" x14ac:dyDescent="0.2">
      <c r="B4719" s="207"/>
      <c r="C4719" s="210"/>
      <c r="D4719" s="211"/>
      <c r="E4719" s="211"/>
      <c r="U4719" s="222"/>
    </row>
    <row r="4720" spans="2:21" x14ac:dyDescent="0.2">
      <c r="B4720" s="207"/>
      <c r="C4720" s="210"/>
      <c r="D4720" s="211"/>
      <c r="E4720" s="211"/>
      <c r="U4720" s="222"/>
    </row>
    <row r="4721" spans="2:21" x14ac:dyDescent="0.2">
      <c r="B4721" s="207"/>
      <c r="C4721" s="210"/>
      <c r="D4721" s="211"/>
      <c r="E4721" s="211"/>
      <c r="U4721" s="222"/>
    </row>
    <row r="4722" spans="2:21" x14ac:dyDescent="0.2">
      <c r="B4722" s="207"/>
      <c r="C4722" s="210"/>
      <c r="D4722" s="211"/>
      <c r="E4722" s="211"/>
      <c r="U4722" s="222"/>
    </row>
    <row r="4723" spans="2:21" x14ac:dyDescent="0.2">
      <c r="B4723" s="207"/>
      <c r="C4723" s="210"/>
      <c r="D4723" s="211"/>
      <c r="E4723" s="211"/>
      <c r="U4723" s="222"/>
    </row>
    <row r="4724" spans="2:21" x14ac:dyDescent="0.2">
      <c r="B4724" s="207"/>
      <c r="C4724" s="210"/>
      <c r="D4724" s="211"/>
      <c r="E4724" s="211"/>
      <c r="U4724" s="222"/>
    </row>
    <row r="4725" spans="2:21" x14ac:dyDescent="0.2">
      <c r="B4725" s="207"/>
      <c r="C4725" s="210"/>
      <c r="D4725" s="211"/>
      <c r="E4725" s="211"/>
      <c r="U4725" s="222"/>
    </row>
    <row r="4726" spans="2:21" x14ac:dyDescent="0.2">
      <c r="B4726" s="207"/>
      <c r="C4726" s="210"/>
      <c r="D4726" s="211"/>
      <c r="E4726" s="211"/>
      <c r="U4726" s="222"/>
    </row>
    <row r="4727" spans="2:21" x14ac:dyDescent="0.2">
      <c r="B4727" s="207"/>
      <c r="C4727" s="210"/>
      <c r="D4727" s="211"/>
      <c r="E4727" s="211"/>
      <c r="U4727" s="222"/>
    </row>
    <row r="4728" spans="2:21" x14ac:dyDescent="0.2">
      <c r="B4728" s="207"/>
      <c r="C4728" s="210"/>
      <c r="D4728" s="211"/>
      <c r="E4728" s="211"/>
      <c r="U4728" s="222"/>
    </row>
    <row r="4729" spans="2:21" x14ac:dyDescent="0.2">
      <c r="B4729" s="207"/>
      <c r="C4729" s="210"/>
      <c r="D4729" s="211"/>
      <c r="E4729" s="211"/>
      <c r="U4729" s="222"/>
    </row>
    <row r="4730" spans="2:21" x14ac:dyDescent="0.2">
      <c r="B4730" s="207"/>
      <c r="C4730" s="210"/>
      <c r="D4730" s="211"/>
      <c r="E4730" s="211"/>
      <c r="U4730" s="222"/>
    </row>
    <row r="4731" spans="2:21" x14ac:dyDescent="0.2">
      <c r="B4731" s="207"/>
      <c r="C4731" s="210"/>
      <c r="D4731" s="211"/>
      <c r="E4731" s="211"/>
      <c r="U4731" s="222"/>
    </row>
    <row r="4732" spans="2:21" x14ac:dyDescent="0.2">
      <c r="B4732" s="207"/>
      <c r="C4732" s="210"/>
      <c r="D4732" s="211"/>
      <c r="E4732" s="211"/>
      <c r="U4732" s="222"/>
    </row>
    <row r="4733" spans="2:21" x14ac:dyDescent="0.2">
      <c r="B4733" s="207"/>
      <c r="C4733" s="210"/>
      <c r="D4733" s="211"/>
      <c r="E4733" s="211"/>
      <c r="U4733" s="222"/>
    </row>
    <row r="4734" spans="2:21" x14ac:dyDescent="0.2">
      <c r="B4734" s="207"/>
      <c r="C4734" s="210"/>
      <c r="D4734" s="211"/>
      <c r="E4734" s="211"/>
      <c r="U4734" s="222"/>
    </row>
    <row r="4735" spans="2:21" x14ac:dyDescent="0.2">
      <c r="B4735" s="207"/>
      <c r="C4735" s="210"/>
      <c r="D4735" s="211"/>
      <c r="E4735" s="211"/>
      <c r="U4735" s="222"/>
    </row>
    <row r="4736" spans="2:21" x14ac:dyDescent="0.2">
      <c r="B4736" s="207"/>
      <c r="C4736" s="210"/>
      <c r="D4736" s="211"/>
      <c r="E4736" s="211"/>
      <c r="U4736" s="222"/>
    </row>
    <row r="4737" spans="2:21" x14ac:dyDescent="0.2">
      <c r="B4737" s="207"/>
      <c r="C4737" s="210"/>
      <c r="D4737" s="211"/>
      <c r="E4737" s="211"/>
      <c r="U4737" s="222"/>
    </row>
    <row r="4738" spans="2:21" x14ac:dyDescent="0.2">
      <c r="B4738" s="207"/>
      <c r="C4738" s="210"/>
      <c r="D4738" s="211"/>
      <c r="E4738" s="211"/>
      <c r="U4738" s="222"/>
    </row>
    <row r="4739" spans="2:21" x14ac:dyDescent="0.2">
      <c r="B4739" s="207"/>
      <c r="C4739" s="210"/>
      <c r="D4739" s="211"/>
      <c r="E4739" s="211"/>
      <c r="U4739" s="222"/>
    </row>
    <row r="4740" spans="2:21" x14ac:dyDescent="0.2">
      <c r="B4740" s="207"/>
      <c r="C4740" s="210"/>
      <c r="D4740" s="211"/>
      <c r="E4740" s="211"/>
      <c r="U4740" s="222"/>
    </row>
    <row r="4741" spans="2:21" x14ac:dyDescent="0.2">
      <c r="B4741" s="207"/>
      <c r="C4741" s="210"/>
      <c r="D4741" s="211"/>
      <c r="E4741" s="211"/>
      <c r="U4741" s="222"/>
    </row>
    <row r="4742" spans="2:21" x14ac:dyDescent="0.2">
      <c r="B4742" s="207"/>
      <c r="C4742" s="210"/>
      <c r="D4742" s="211"/>
      <c r="E4742" s="211"/>
      <c r="U4742" s="222"/>
    </row>
    <row r="4743" spans="2:21" x14ac:dyDescent="0.2">
      <c r="B4743" s="207"/>
      <c r="C4743" s="210"/>
      <c r="D4743" s="211"/>
      <c r="E4743" s="211"/>
      <c r="U4743" s="222"/>
    </row>
    <row r="4744" spans="2:21" x14ac:dyDescent="0.2">
      <c r="B4744" s="207"/>
      <c r="C4744" s="210"/>
      <c r="D4744" s="211"/>
      <c r="E4744" s="211"/>
      <c r="U4744" s="222"/>
    </row>
    <row r="4745" spans="2:21" x14ac:dyDescent="0.2">
      <c r="B4745" s="207"/>
      <c r="C4745" s="210"/>
      <c r="D4745" s="211"/>
      <c r="E4745" s="211"/>
      <c r="U4745" s="222"/>
    </row>
    <row r="4746" spans="2:21" x14ac:dyDescent="0.2">
      <c r="B4746" s="207"/>
      <c r="C4746" s="210"/>
      <c r="D4746" s="211"/>
      <c r="E4746" s="211"/>
      <c r="U4746" s="222"/>
    </row>
    <row r="4747" spans="2:21" x14ac:dyDescent="0.2">
      <c r="B4747" s="207"/>
      <c r="C4747" s="210"/>
      <c r="D4747" s="211"/>
      <c r="E4747" s="211"/>
      <c r="U4747" s="222"/>
    </row>
    <row r="4748" spans="2:21" x14ac:dyDescent="0.2">
      <c r="B4748" s="207"/>
      <c r="C4748" s="210"/>
      <c r="D4748" s="211"/>
      <c r="E4748" s="211"/>
      <c r="U4748" s="222"/>
    </row>
    <row r="4749" spans="2:21" x14ac:dyDescent="0.2">
      <c r="B4749" s="207"/>
      <c r="C4749" s="210"/>
      <c r="D4749" s="211"/>
      <c r="E4749" s="211"/>
      <c r="U4749" s="222"/>
    </row>
    <row r="4750" spans="2:21" x14ac:dyDescent="0.2">
      <c r="B4750" s="207"/>
      <c r="C4750" s="210"/>
      <c r="D4750" s="211"/>
      <c r="E4750" s="211"/>
      <c r="U4750" s="222"/>
    </row>
    <row r="4751" spans="2:21" x14ac:dyDescent="0.2">
      <c r="B4751" s="207"/>
      <c r="C4751" s="210"/>
      <c r="D4751" s="211"/>
      <c r="E4751" s="211"/>
      <c r="U4751" s="222"/>
    </row>
    <row r="4752" spans="2:21" x14ac:dyDescent="0.2">
      <c r="B4752" s="207"/>
      <c r="C4752" s="210"/>
      <c r="D4752" s="211"/>
      <c r="E4752" s="211"/>
      <c r="U4752" s="222"/>
    </row>
    <row r="4753" spans="2:21" x14ac:dyDescent="0.2">
      <c r="B4753" s="207"/>
      <c r="C4753" s="210"/>
      <c r="D4753" s="211"/>
      <c r="E4753" s="211"/>
      <c r="U4753" s="222"/>
    </row>
    <row r="4754" spans="2:21" x14ac:dyDescent="0.2">
      <c r="B4754" s="207"/>
      <c r="C4754" s="210"/>
      <c r="D4754" s="211"/>
      <c r="E4754" s="211"/>
      <c r="U4754" s="222"/>
    </row>
    <row r="4755" spans="2:21" x14ac:dyDescent="0.2">
      <c r="B4755" s="207"/>
      <c r="C4755" s="210"/>
      <c r="D4755" s="211"/>
      <c r="E4755" s="211"/>
      <c r="U4755" s="222"/>
    </row>
    <row r="4756" spans="2:21" x14ac:dyDescent="0.2">
      <c r="B4756" s="207"/>
      <c r="C4756" s="210"/>
      <c r="D4756" s="211"/>
      <c r="E4756" s="211"/>
      <c r="U4756" s="222"/>
    </row>
    <row r="4757" spans="2:21" x14ac:dyDescent="0.2">
      <c r="B4757" s="207"/>
      <c r="C4757" s="210"/>
      <c r="D4757" s="211"/>
      <c r="E4757" s="211"/>
      <c r="U4757" s="222"/>
    </row>
    <row r="4758" spans="2:21" x14ac:dyDescent="0.2">
      <c r="B4758" s="207"/>
      <c r="C4758" s="210"/>
      <c r="D4758" s="211"/>
      <c r="E4758" s="211"/>
      <c r="U4758" s="222"/>
    </row>
    <row r="4759" spans="2:21" x14ac:dyDescent="0.2">
      <c r="B4759" s="207"/>
      <c r="C4759" s="210"/>
      <c r="D4759" s="211"/>
      <c r="E4759" s="211"/>
      <c r="U4759" s="222"/>
    </row>
    <row r="4760" spans="2:21" x14ac:dyDescent="0.2">
      <c r="B4760" s="207"/>
      <c r="C4760" s="210"/>
      <c r="D4760" s="211"/>
      <c r="E4760" s="211"/>
      <c r="U4760" s="222"/>
    </row>
    <row r="4761" spans="2:21" x14ac:dyDescent="0.2">
      <c r="B4761" s="207"/>
      <c r="C4761" s="210"/>
      <c r="D4761" s="211"/>
      <c r="E4761" s="211"/>
      <c r="U4761" s="222"/>
    </row>
    <row r="4762" spans="2:21" x14ac:dyDescent="0.2">
      <c r="B4762" s="207"/>
      <c r="C4762" s="210"/>
      <c r="D4762" s="211"/>
      <c r="E4762" s="211"/>
      <c r="U4762" s="222"/>
    </row>
    <row r="4763" spans="2:21" x14ac:dyDescent="0.2">
      <c r="B4763" s="207"/>
      <c r="C4763" s="210"/>
      <c r="D4763" s="211"/>
      <c r="E4763" s="211"/>
      <c r="U4763" s="222"/>
    </row>
    <row r="4764" spans="2:21" x14ac:dyDescent="0.2">
      <c r="B4764" s="207"/>
      <c r="C4764" s="210"/>
      <c r="D4764" s="211"/>
      <c r="E4764" s="211"/>
      <c r="U4764" s="222"/>
    </row>
    <row r="4765" spans="2:21" x14ac:dyDescent="0.2">
      <c r="B4765" s="207"/>
      <c r="C4765" s="210"/>
      <c r="D4765" s="211"/>
      <c r="E4765" s="211"/>
      <c r="U4765" s="222"/>
    </row>
    <row r="4766" spans="2:21" x14ac:dyDescent="0.2">
      <c r="B4766" s="207"/>
      <c r="C4766" s="210"/>
      <c r="D4766" s="211"/>
      <c r="E4766" s="211"/>
      <c r="U4766" s="222"/>
    </row>
    <row r="4767" spans="2:21" x14ac:dyDescent="0.2">
      <c r="B4767" s="207"/>
      <c r="C4767" s="210"/>
      <c r="D4767" s="211"/>
      <c r="E4767" s="211"/>
      <c r="U4767" s="222"/>
    </row>
    <row r="4768" spans="2:21" x14ac:dyDescent="0.2">
      <c r="B4768" s="207"/>
      <c r="C4768" s="210"/>
      <c r="D4768" s="211"/>
      <c r="E4768" s="211"/>
      <c r="U4768" s="222"/>
    </row>
    <row r="4769" spans="2:21" x14ac:dyDescent="0.2">
      <c r="B4769" s="207"/>
      <c r="C4769" s="210"/>
      <c r="D4769" s="211"/>
      <c r="E4769" s="211"/>
      <c r="U4769" s="222"/>
    </row>
    <row r="4770" spans="2:21" x14ac:dyDescent="0.2">
      <c r="B4770" s="207"/>
      <c r="C4770" s="210"/>
      <c r="D4770" s="211"/>
      <c r="E4770" s="211"/>
      <c r="U4770" s="222"/>
    </row>
    <row r="4771" spans="2:21" x14ac:dyDescent="0.2">
      <c r="B4771" s="207"/>
      <c r="C4771" s="210"/>
      <c r="D4771" s="211"/>
      <c r="E4771" s="211"/>
      <c r="U4771" s="222"/>
    </row>
    <row r="4772" spans="2:21" x14ac:dyDescent="0.2">
      <c r="B4772" s="207"/>
      <c r="C4772" s="210"/>
      <c r="D4772" s="211"/>
      <c r="E4772" s="211"/>
      <c r="U4772" s="222"/>
    </row>
    <row r="4773" spans="2:21" x14ac:dyDescent="0.2">
      <c r="B4773" s="207"/>
      <c r="C4773" s="210"/>
      <c r="D4773" s="211"/>
      <c r="E4773" s="211"/>
      <c r="U4773" s="222"/>
    </row>
    <row r="4774" spans="2:21" x14ac:dyDescent="0.2">
      <c r="B4774" s="207"/>
      <c r="C4774" s="210"/>
      <c r="D4774" s="211"/>
      <c r="E4774" s="211"/>
      <c r="U4774" s="222"/>
    </row>
    <row r="4775" spans="2:21" x14ac:dyDescent="0.2">
      <c r="B4775" s="207"/>
      <c r="C4775" s="210"/>
      <c r="D4775" s="211"/>
      <c r="E4775" s="211"/>
      <c r="U4775" s="222"/>
    </row>
    <row r="4776" spans="2:21" x14ac:dyDescent="0.2">
      <c r="B4776" s="207"/>
      <c r="C4776" s="210"/>
      <c r="D4776" s="211"/>
      <c r="E4776" s="211"/>
      <c r="U4776" s="222"/>
    </row>
    <row r="4777" spans="2:21" x14ac:dyDescent="0.2">
      <c r="B4777" s="207"/>
      <c r="C4777" s="210"/>
      <c r="D4777" s="211"/>
      <c r="E4777" s="211"/>
      <c r="U4777" s="222"/>
    </row>
    <row r="4778" spans="2:21" x14ac:dyDescent="0.2">
      <c r="B4778" s="207"/>
      <c r="C4778" s="210"/>
      <c r="D4778" s="211"/>
      <c r="E4778" s="211"/>
      <c r="U4778" s="222"/>
    </row>
    <row r="4779" spans="2:21" x14ac:dyDescent="0.2">
      <c r="B4779" s="207"/>
      <c r="C4779" s="210"/>
      <c r="D4779" s="211"/>
      <c r="E4779" s="211"/>
      <c r="U4779" s="222"/>
    </row>
    <row r="4780" spans="2:21" x14ac:dyDescent="0.2">
      <c r="B4780" s="207"/>
      <c r="C4780" s="210"/>
      <c r="D4780" s="211"/>
      <c r="E4780" s="211"/>
      <c r="U4780" s="222"/>
    </row>
    <row r="4781" spans="2:21" x14ac:dyDescent="0.2">
      <c r="B4781" s="207"/>
      <c r="C4781" s="210"/>
      <c r="D4781" s="211"/>
      <c r="E4781" s="211"/>
      <c r="U4781" s="222"/>
    </row>
    <row r="4782" spans="2:21" x14ac:dyDescent="0.2">
      <c r="B4782" s="207"/>
      <c r="C4782" s="210"/>
      <c r="D4782" s="211"/>
      <c r="E4782" s="211"/>
      <c r="U4782" s="222"/>
    </row>
    <row r="4783" spans="2:21" x14ac:dyDescent="0.2">
      <c r="B4783" s="207"/>
      <c r="C4783" s="210"/>
      <c r="D4783" s="211"/>
      <c r="E4783" s="211"/>
      <c r="U4783" s="222"/>
    </row>
    <row r="4784" spans="2:21" x14ac:dyDescent="0.2">
      <c r="B4784" s="207"/>
      <c r="C4784" s="210"/>
      <c r="D4784" s="211"/>
      <c r="E4784" s="211"/>
      <c r="U4784" s="222"/>
    </row>
    <row r="4785" spans="2:21" x14ac:dyDescent="0.2">
      <c r="B4785" s="207"/>
      <c r="C4785" s="210"/>
      <c r="D4785" s="211"/>
      <c r="E4785" s="211"/>
      <c r="U4785" s="222"/>
    </row>
    <row r="4786" spans="2:21" x14ac:dyDescent="0.2">
      <c r="B4786" s="207"/>
      <c r="C4786" s="210"/>
      <c r="D4786" s="211"/>
      <c r="E4786" s="211"/>
      <c r="U4786" s="222"/>
    </row>
    <row r="4787" spans="2:21" x14ac:dyDescent="0.2">
      <c r="B4787" s="207"/>
      <c r="C4787" s="210"/>
      <c r="D4787" s="211"/>
      <c r="E4787" s="211"/>
      <c r="U4787" s="222"/>
    </row>
    <row r="4788" spans="2:21" x14ac:dyDescent="0.2">
      <c r="B4788" s="207"/>
      <c r="C4788" s="210"/>
      <c r="D4788" s="211"/>
      <c r="E4788" s="211"/>
      <c r="U4788" s="222"/>
    </row>
    <row r="4789" spans="2:21" x14ac:dyDescent="0.2">
      <c r="B4789" s="207"/>
      <c r="C4789" s="210"/>
      <c r="D4789" s="211"/>
      <c r="E4789" s="211"/>
      <c r="U4789" s="222"/>
    </row>
    <row r="4790" spans="2:21" x14ac:dyDescent="0.2">
      <c r="B4790" s="207"/>
      <c r="C4790" s="210"/>
      <c r="D4790" s="211"/>
      <c r="E4790" s="211"/>
      <c r="U4790" s="222"/>
    </row>
    <row r="4791" spans="2:21" x14ac:dyDescent="0.2">
      <c r="B4791" s="207"/>
      <c r="C4791" s="210"/>
      <c r="D4791" s="211"/>
      <c r="E4791" s="211"/>
      <c r="U4791" s="222"/>
    </row>
    <row r="4792" spans="2:21" x14ac:dyDescent="0.2">
      <c r="B4792" s="207"/>
      <c r="C4792" s="210"/>
      <c r="D4792" s="211"/>
      <c r="E4792" s="211"/>
      <c r="U4792" s="222"/>
    </row>
    <row r="4793" spans="2:21" x14ac:dyDescent="0.2">
      <c r="B4793" s="207"/>
      <c r="C4793" s="210"/>
      <c r="D4793" s="211"/>
      <c r="E4793" s="211"/>
      <c r="U4793" s="222"/>
    </row>
    <row r="4794" spans="2:21" x14ac:dyDescent="0.2">
      <c r="B4794" s="207"/>
      <c r="C4794" s="210"/>
      <c r="D4794" s="211"/>
      <c r="E4794" s="211"/>
      <c r="U4794" s="222"/>
    </row>
    <row r="4795" spans="2:21" x14ac:dyDescent="0.2">
      <c r="B4795" s="207"/>
      <c r="C4795" s="210"/>
      <c r="D4795" s="211"/>
      <c r="E4795" s="211"/>
      <c r="U4795" s="222"/>
    </row>
    <row r="4796" spans="2:21" x14ac:dyDescent="0.2">
      <c r="B4796" s="207"/>
      <c r="C4796" s="210"/>
      <c r="D4796" s="211"/>
      <c r="E4796" s="211"/>
      <c r="U4796" s="222"/>
    </row>
    <row r="4797" spans="2:21" x14ac:dyDescent="0.2">
      <c r="B4797" s="207"/>
      <c r="C4797" s="210"/>
      <c r="D4797" s="211"/>
      <c r="E4797" s="211"/>
      <c r="U4797" s="222"/>
    </row>
    <row r="4798" spans="2:21" x14ac:dyDescent="0.2">
      <c r="B4798" s="207"/>
      <c r="C4798" s="210"/>
      <c r="D4798" s="211"/>
      <c r="E4798" s="211"/>
      <c r="U4798" s="222"/>
    </row>
    <row r="4799" spans="2:21" x14ac:dyDescent="0.2">
      <c r="B4799" s="207"/>
      <c r="C4799" s="210"/>
      <c r="D4799" s="211"/>
      <c r="E4799" s="211"/>
      <c r="U4799" s="222"/>
    </row>
    <row r="4800" spans="2:21" x14ac:dyDescent="0.2">
      <c r="B4800" s="207"/>
      <c r="C4800" s="210"/>
      <c r="D4800" s="211"/>
      <c r="E4800" s="211"/>
      <c r="U4800" s="222"/>
    </row>
    <row r="4801" spans="2:21" x14ac:dyDescent="0.2">
      <c r="B4801" s="207"/>
      <c r="C4801" s="210"/>
      <c r="D4801" s="211"/>
      <c r="E4801" s="211"/>
      <c r="U4801" s="222"/>
    </row>
    <row r="4802" spans="2:21" x14ac:dyDescent="0.2">
      <c r="B4802" s="207"/>
      <c r="C4802" s="210"/>
      <c r="D4802" s="211"/>
      <c r="E4802" s="211"/>
      <c r="U4802" s="222"/>
    </row>
    <row r="4803" spans="2:21" x14ac:dyDescent="0.2">
      <c r="B4803" s="207"/>
      <c r="C4803" s="210"/>
      <c r="D4803" s="211"/>
      <c r="E4803" s="211"/>
      <c r="U4803" s="222"/>
    </row>
    <row r="4804" spans="2:21" x14ac:dyDescent="0.2">
      <c r="B4804" s="207"/>
      <c r="C4804" s="210"/>
      <c r="D4804" s="211"/>
      <c r="E4804" s="211"/>
      <c r="U4804" s="222"/>
    </row>
    <row r="4805" spans="2:21" x14ac:dyDescent="0.2">
      <c r="B4805" s="207"/>
      <c r="C4805" s="210"/>
      <c r="D4805" s="211"/>
      <c r="E4805" s="211"/>
      <c r="U4805" s="222"/>
    </row>
    <row r="4806" spans="2:21" x14ac:dyDescent="0.2">
      <c r="B4806" s="207"/>
      <c r="C4806" s="210"/>
      <c r="D4806" s="211"/>
      <c r="E4806" s="211"/>
      <c r="U4806" s="222"/>
    </row>
    <row r="4807" spans="2:21" x14ac:dyDescent="0.2">
      <c r="B4807" s="207"/>
      <c r="C4807" s="210"/>
      <c r="D4807" s="211"/>
      <c r="E4807" s="211"/>
      <c r="U4807" s="222"/>
    </row>
    <row r="4808" spans="2:21" x14ac:dyDescent="0.2">
      <c r="B4808" s="207"/>
      <c r="C4808" s="210"/>
      <c r="D4808" s="211"/>
      <c r="E4808" s="211"/>
      <c r="U4808" s="222"/>
    </row>
    <row r="4809" spans="2:21" x14ac:dyDescent="0.2">
      <c r="B4809" s="207"/>
      <c r="C4809" s="210"/>
      <c r="D4809" s="211"/>
      <c r="E4809" s="211"/>
      <c r="U4809" s="222"/>
    </row>
    <row r="4810" spans="2:21" x14ac:dyDescent="0.2">
      <c r="B4810" s="207"/>
      <c r="C4810" s="210"/>
      <c r="D4810" s="211"/>
      <c r="E4810" s="211"/>
      <c r="U4810" s="222"/>
    </row>
    <row r="4811" spans="2:21" x14ac:dyDescent="0.2">
      <c r="B4811" s="207"/>
      <c r="C4811" s="210"/>
      <c r="D4811" s="211"/>
      <c r="E4811" s="211"/>
      <c r="U4811" s="222"/>
    </row>
    <row r="4812" spans="2:21" x14ac:dyDescent="0.2">
      <c r="B4812" s="207"/>
      <c r="C4812" s="210"/>
      <c r="D4812" s="211"/>
      <c r="E4812" s="211"/>
      <c r="U4812" s="222"/>
    </row>
    <row r="4813" spans="2:21" x14ac:dyDescent="0.2">
      <c r="B4813" s="207"/>
      <c r="C4813" s="210"/>
      <c r="D4813" s="211"/>
      <c r="E4813" s="211"/>
      <c r="U4813" s="222"/>
    </row>
    <row r="4814" spans="2:21" x14ac:dyDescent="0.2">
      <c r="B4814" s="207"/>
      <c r="C4814" s="210"/>
      <c r="D4814" s="211"/>
      <c r="E4814" s="211"/>
      <c r="U4814" s="222"/>
    </row>
    <row r="4815" spans="2:21" x14ac:dyDescent="0.2">
      <c r="B4815" s="207"/>
      <c r="C4815" s="210"/>
      <c r="D4815" s="211"/>
      <c r="E4815" s="211"/>
      <c r="U4815" s="222"/>
    </row>
    <row r="4816" spans="2:21" x14ac:dyDescent="0.2">
      <c r="B4816" s="207"/>
      <c r="C4816" s="210"/>
      <c r="D4816" s="211"/>
      <c r="E4816" s="211"/>
      <c r="U4816" s="222"/>
    </row>
    <row r="4817" spans="2:21" x14ac:dyDescent="0.2">
      <c r="B4817" s="207"/>
      <c r="C4817" s="210"/>
      <c r="D4817" s="211"/>
      <c r="E4817" s="211"/>
      <c r="U4817" s="222"/>
    </row>
    <row r="4818" spans="2:21" x14ac:dyDescent="0.2">
      <c r="B4818" s="207"/>
      <c r="C4818" s="210"/>
      <c r="D4818" s="211"/>
      <c r="E4818" s="211"/>
      <c r="U4818" s="222"/>
    </row>
    <row r="4819" spans="2:21" x14ac:dyDescent="0.2">
      <c r="B4819" s="207"/>
      <c r="C4819" s="210"/>
      <c r="D4819" s="211"/>
      <c r="E4819" s="211"/>
      <c r="U4819" s="222"/>
    </row>
    <row r="4820" spans="2:21" x14ac:dyDescent="0.2">
      <c r="B4820" s="207"/>
      <c r="C4820" s="210"/>
      <c r="D4820" s="211"/>
      <c r="E4820" s="211"/>
      <c r="U4820" s="222"/>
    </row>
    <row r="4821" spans="2:21" x14ac:dyDescent="0.2">
      <c r="B4821" s="207"/>
      <c r="C4821" s="210"/>
      <c r="D4821" s="211"/>
      <c r="E4821" s="211"/>
      <c r="U4821" s="222"/>
    </row>
    <row r="4822" spans="2:21" x14ac:dyDescent="0.2">
      <c r="B4822" s="207"/>
      <c r="C4822" s="210"/>
      <c r="D4822" s="211"/>
      <c r="E4822" s="211"/>
      <c r="U4822" s="222"/>
    </row>
    <row r="4823" spans="2:21" x14ac:dyDescent="0.2">
      <c r="B4823" s="207"/>
      <c r="C4823" s="210"/>
      <c r="D4823" s="211"/>
      <c r="E4823" s="211"/>
      <c r="U4823" s="222"/>
    </row>
    <row r="4824" spans="2:21" x14ac:dyDescent="0.2">
      <c r="B4824" s="207"/>
      <c r="C4824" s="210"/>
      <c r="D4824" s="211"/>
      <c r="E4824" s="211"/>
      <c r="U4824" s="222"/>
    </row>
    <row r="4825" spans="2:21" x14ac:dyDescent="0.2">
      <c r="B4825" s="207"/>
      <c r="C4825" s="210"/>
      <c r="D4825" s="211"/>
      <c r="E4825" s="211"/>
      <c r="U4825" s="222"/>
    </row>
    <row r="4826" spans="2:21" x14ac:dyDescent="0.2">
      <c r="B4826" s="207"/>
      <c r="C4826" s="210"/>
      <c r="D4826" s="211"/>
      <c r="E4826" s="211"/>
      <c r="U4826" s="222"/>
    </row>
    <row r="4827" spans="2:21" x14ac:dyDescent="0.2">
      <c r="B4827" s="207"/>
      <c r="C4827" s="210"/>
      <c r="D4827" s="211"/>
      <c r="E4827" s="211"/>
      <c r="U4827" s="222"/>
    </row>
    <row r="4828" spans="2:21" x14ac:dyDescent="0.2">
      <c r="B4828" s="207"/>
      <c r="C4828" s="210"/>
      <c r="D4828" s="211"/>
      <c r="E4828" s="211"/>
      <c r="U4828" s="222"/>
    </row>
    <row r="4829" spans="2:21" x14ac:dyDescent="0.2">
      <c r="B4829" s="207"/>
      <c r="C4829" s="210"/>
      <c r="D4829" s="211"/>
      <c r="E4829" s="211"/>
      <c r="U4829" s="222"/>
    </row>
    <row r="4830" spans="2:21" x14ac:dyDescent="0.2">
      <c r="B4830" s="207"/>
      <c r="C4830" s="210"/>
      <c r="D4830" s="211"/>
      <c r="E4830" s="211"/>
      <c r="U4830" s="222"/>
    </row>
    <row r="4831" spans="2:21" x14ac:dyDescent="0.2">
      <c r="B4831" s="207"/>
      <c r="C4831" s="210"/>
      <c r="D4831" s="211"/>
      <c r="E4831" s="211"/>
      <c r="U4831" s="222"/>
    </row>
    <row r="4832" spans="2:21" x14ac:dyDescent="0.2">
      <c r="B4832" s="207"/>
      <c r="C4832" s="210"/>
      <c r="D4832" s="211"/>
      <c r="E4832" s="211"/>
      <c r="U4832" s="222"/>
    </row>
    <row r="4833" spans="2:21" x14ac:dyDescent="0.2">
      <c r="B4833" s="207"/>
      <c r="C4833" s="210"/>
      <c r="D4833" s="211"/>
      <c r="E4833" s="211"/>
      <c r="U4833" s="222"/>
    </row>
    <row r="4834" spans="2:21" x14ac:dyDescent="0.2">
      <c r="B4834" s="207"/>
      <c r="C4834" s="210"/>
      <c r="D4834" s="211"/>
      <c r="E4834" s="211"/>
      <c r="U4834" s="222"/>
    </row>
    <row r="4835" spans="2:21" x14ac:dyDescent="0.2">
      <c r="B4835" s="207"/>
      <c r="C4835" s="210"/>
      <c r="D4835" s="211"/>
      <c r="E4835" s="211"/>
      <c r="U4835" s="222"/>
    </row>
    <row r="4836" spans="2:21" x14ac:dyDescent="0.2">
      <c r="B4836" s="207"/>
      <c r="C4836" s="210"/>
      <c r="D4836" s="211"/>
      <c r="E4836" s="211"/>
      <c r="U4836" s="222"/>
    </row>
    <row r="4837" spans="2:21" x14ac:dyDescent="0.2">
      <c r="B4837" s="207"/>
      <c r="C4837" s="210"/>
      <c r="D4837" s="211"/>
      <c r="E4837" s="211"/>
      <c r="U4837" s="222"/>
    </row>
    <row r="4838" spans="2:21" x14ac:dyDescent="0.2">
      <c r="B4838" s="207"/>
      <c r="C4838" s="210"/>
      <c r="D4838" s="211"/>
      <c r="E4838" s="211"/>
      <c r="U4838" s="222"/>
    </row>
    <row r="4839" spans="2:21" x14ac:dyDescent="0.2">
      <c r="B4839" s="207"/>
      <c r="C4839" s="210"/>
      <c r="D4839" s="211"/>
      <c r="E4839" s="211"/>
      <c r="U4839" s="222"/>
    </row>
    <row r="4840" spans="2:21" x14ac:dyDescent="0.2">
      <c r="B4840" s="207"/>
      <c r="C4840" s="210"/>
      <c r="D4840" s="211"/>
      <c r="E4840" s="211"/>
      <c r="U4840" s="222"/>
    </row>
    <row r="4841" spans="2:21" x14ac:dyDescent="0.2">
      <c r="B4841" s="207"/>
      <c r="C4841" s="210"/>
      <c r="D4841" s="211"/>
      <c r="E4841" s="211"/>
      <c r="U4841" s="222"/>
    </row>
    <row r="4842" spans="2:21" x14ac:dyDescent="0.2">
      <c r="B4842" s="207"/>
      <c r="C4842" s="210"/>
      <c r="D4842" s="211"/>
      <c r="E4842" s="211"/>
      <c r="U4842" s="222"/>
    </row>
    <row r="4843" spans="2:21" x14ac:dyDescent="0.2">
      <c r="B4843" s="207"/>
      <c r="C4843" s="210"/>
      <c r="D4843" s="211"/>
      <c r="E4843" s="211"/>
      <c r="U4843" s="222"/>
    </row>
    <row r="4844" spans="2:21" x14ac:dyDescent="0.2">
      <c r="B4844" s="207"/>
      <c r="C4844" s="210"/>
      <c r="D4844" s="211"/>
      <c r="E4844" s="211"/>
      <c r="U4844" s="222"/>
    </row>
    <row r="4845" spans="2:21" x14ac:dyDescent="0.2">
      <c r="B4845" s="207"/>
      <c r="C4845" s="210"/>
      <c r="D4845" s="211"/>
      <c r="E4845" s="211"/>
      <c r="U4845" s="222"/>
    </row>
    <row r="4846" spans="2:21" x14ac:dyDescent="0.2">
      <c r="B4846" s="207"/>
      <c r="C4846" s="210"/>
      <c r="D4846" s="211"/>
      <c r="E4846" s="211"/>
      <c r="U4846" s="222"/>
    </row>
    <row r="4847" spans="2:21" x14ac:dyDescent="0.2">
      <c r="B4847" s="207"/>
      <c r="C4847" s="210"/>
      <c r="D4847" s="211"/>
      <c r="E4847" s="211"/>
      <c r="U4847" s="222"/>
    </row>
    <row r="4848" spans="2:21" x14ac:dyDescent="0.2">
      <c r="B4848" s="207"/>
      <c r="C4848" s="210"/>
      <c r="D4848" s="211"/>
      <c r="E4848" s="211"/>
      <c r="U4848" s="222"/>
    </row>
    <row r="4849" spans="2:21" x14ac:dyDescent="0.2">
      <c r="B4849" s="207"/>
      <c r="C4849" s="210"/>
      <c r="D4849" s="211"/>
      <c r="E4849" s="211"/>
      <c r="U4849" s="222"/>
    </row>
    <row r="4850" spans="2:21" x14ac:dyDescent="0.2">
      <c r="B4850" s="207"/>
      <c r="C4850" s="210"/>
      <c r="D4850" s="211"/>
      <c r="E4850" s="211"/>
      <c r="U4850" s="222"/>
    </row>
    <row r="4851" spans="2:21" x14ac:dyDescent="0.2">
      <c r="B4851" s="207"/>
      <c r="C4851" s="210"/>
      <c r="D4851" s="211"/>
      <c r="E4851" s="211"/>
      <c r="U4851" s="222"/>
    </row>
    <row r="4852" spans="2:21" x14ac:dyDescent="0.2">
      <c r="B4852" s="207"/>
      <c r="C4852" s="210"/>
      <c r="D4852" s="211"/>
      <c r="E4852" s="211"/>
      <c r="U4852" s="222"/>
    </row>
    <row r="4853" spans="2:21" x14ac:dyDescent="0.2">
      <c r="B4853" s="207"/>
      <c r="C4853" s="210"/>
      <c r="D4853" s="211"/>
      <c r="E4853" s="211"/>
      <c r="U4853" s="222"/>
    </row>
    <row r="4854" spans="2:21" x14ac:dyDescent="0.2">
      <c r="B4854" s="207"/>
      <c r="C4854" s="210"/>
      <c r="D4854" s="211"/>
      <c r="E4854" s="211"/>
      <c r="U4854" s="222"/>
    </row>
    <row r="4855" spans="2:21" x14ac:dyDescent="0.2">
      <c r="B4855" s="207"/>
      <c r="C4855" s="210"/>
      <c r="D4855" s="211"/>
      <c r="E4855" s="211"/>
      <c r="U4855" s="222"/>
    </row>
    <row r="4856" spans="2:21" x14ac:dyDescent="0.2">
      <c r="B4856" s="207"/>
      <c r="C4856" s="210"/>
      <c r="D4856" s="211"/>
      <c r="E4856" s="211"/>
      <c r="U4856" s="222"/>
    </row>
    <row r="4857" spans="2:21" x14ac:dyDescent="0.2">
      <c r="B4857" s="207"/>
      <c r="C4857" s="210"/>
      <c r="D4857" s="211"/>
      <c r="E4857" s="211"/>
      <c r="U4857" s="222"/>
    </row>
    <row r="4858" spans="2:21" x14ac:dyDescent="0.2">
      <c r="B4858" s="207"/>
      <c r="C4858" s="210"/>
      <c r="D4858" s="211"/>
      <c r="E4858" s="211"/>
      <c r="U4858" s="222"/>
    </row>
    <row r="4859" spans="2:21" x14ac:dyDescent="0.2">
      <c r="B4859" s="207"/>
      <c r="C4859" s="210"/>
      <c r="D4859" s="211"/>
      <c r="E4859" s="211"/>
      <c r="U4859" s="222"/>
    </row>
    <row r="4860" spans="2:21" x14ac:dyDescent="0.2">
      <c r="B4860" s="207"/>
      <c r="C4860" s="210"/>
      <c r="D4860" s="211"/>
      <c r="E4860" s="211"/>
      <c r="U4860" s="222"/>
    </row>
    <row r="4861" spans="2:21" x14ac:dyDescent="0.2">
      <c r="B4861" s="207"/>
      <c r="C4861" s="210"/>
      <c r="D4861" s="211"/>
      <c r="E4861" s="211"/>
      <c r="U4861" s="222"/>
    </row>
    <row r="4862" spans="2:21" x14ac:dyDescent="0.2">
      <c r="B4862" s="207"/>
      <c r="C4862" s="210"/>
      <c r="D4862" s="211"/>
      <c r="E4862" s="211"/>
      <c r="U4862" s="222"/>
    </row>
    <row r="4863" spans="2:21" x14ac:dyDescent="0.2">
      <c r="B4863" s="207"/>
      <c r="C4863" s="210"/>
      <c r="D4863" s="211"/>
      <c r="E4863" s="211"/>
      <c r="U4863" s="222"/>
    </row>
    <row r="4864" spans="2:21" x14ac:dyDescent="0.2">
      <c r="B4864" s="207"/>
      <c r="C4864" s="210"/>
      <c r="D4864" s="211"/>
      <c r="E4864" s="211"/>
      <c r="U4864" s="222"/>
    </row>
    <row r="4865" spans="2:21" x14ac:dyDescent="0.2">
      <c r="B4865" s="207"/>
      <c r="C4865" s="210"/>
      <c r="D4865" s="211"/>
      <c r="E4865" s="211"/>
      <c r="U4865" s="222"/>
    </row>
    <row r="4866" spans="2:21" x14ac:dyDescent="0.2">
      <c r="B4866" s="207"/>
      <c r="C4866" s="210"/>
      <c r="D4866" s="211"/>
      <c r="E4866" s="211"/>
      <c r="U4866" s="222"/>
    </row>
    <row r="4867" spans="2:21" x14ac:dyDescent="0.2">
      <c r="B4867" s="207"/>
      <c r="C4867" s="210"/>
      <c r="D4867" s="211"/>
      <c r="E4867" s="211"/>
      <c r="U4867" s="222"/>
    </row>
    <row r="4868" spans="2:21" x14ac:dyDescent="0.2">
      <c r="B4868" s="207"/>
      <c r="C4868" s="210"/>
      <c r="D4868" s="211"/>
      <c r="E4868" s="211"/>
      <c r="U4868" s="222"/>
    </row>
    <row r="4869" spans="2:21" x14ac:dyDescent="0.2">
      <c r="B4869" s="207"/>
      <c r="C4869" s="210"/>
      <c r="D4869" s="211"/>
      <c r="E4869" s="211"/>
      <c r="U4869" s="222"/>
    </row>
    <row r="4870" spans="2:21" x14ac:dyDescent="0.2">
      <c r="B4870" s="207"/>
      <c r="C4870" s="210"/>
      <c r="D4870" s="211"/>
      <c r="E4870" s="211"/>
      <c r="U4870" s="222"/>
    </row>
    <row r="4871" spans="2:21" x14ac:dyDescent="0.2">
      <c r="B4871" s="207"/>
      <c r="C4871" s="210"/>
      <c r="D4871" s="211"/>
      <c r="E4871" s="211"/>
      <c r="U4871" s="222"/>
    </row>
    <row r="4872" spans="2:21" x14ac:dyDescent="0.2">
      <c r="B4872" s="207"/>
      <c r="C4872" s="210"/>
      <c r="D4872" s="211"/>
      <c r="E4872" s="211"/>
      <c r="U4872" s="222"/>
    </row>
    <row r="4873" spans="2:21" x14ac:dyDescent="0.2">
      <c r="B4873" s="207"/>
      <c r="C4873" s="210"/>
      <c r="D4873" s="211"/>
      <c r="E4873" s="211"/>
      <c r="U4873" s="222"/>
    </row>
    <row r="4874" spans="2:21" x14ac:dyDescent="0.2">
      <c r="B4874" s="207"/>
      <c r="C4874" s="210"/>
      <c r="D4874" s="211"/>
      <c r="E4874" s="211"/>
      <c r="U4874" s="222"/>
    </row>
    <row r="4875" spans="2:21" x14ac:dyDescent="0.2">
      <c r="B4875" s="207"/>
      <c r="C4875" s="210"/>
      <c r="D4875" s="211"/>
      <c r="E4875" s="211"/>
      <c r="U4875" s="222"/>
    </row>
    <row r="4876" spans="2:21" x14ac:dyDescent="0.2">
      <c r="B4876" s="207"/>
      <c r="C4876" s="210"/>
      <c r="D4876" s="211"/>
      <c r="E4876" s="211"/>
      <c r="U4876" s="222"/>
    </row>
    <row r="4877" spans="2:21" x14ac:dyDescent="0.2">
      <c r="B4877" s="207"/>
      <c r="C4877" s="210"/>
      <c r="D4877" s="211"/>
      <c r="E4877" s="211"/>
      <c r="U4877" s="222"/>
    </row>
    <row r="4878" spans="2:21" x14ac:dyDescent="0.2">
      <c r="B4878" s="207"/>
      <c r="C4878" s="210"/>
      <c r="D4878" s="211"/>
      <c r="E4878" s="211"/>
      <c r="U4878" s="222"/>
    </row>
    <row r="4879" spans="2:21" x14ac:dyDescent="0.2">
      <c r="B4879" s="207"/>
      <c r="C4879" s="210"/>
      <c r="D4879" s="211"/>
      <c r="E4879" s="211"/>
      <c r="U4879" s="222"/>
    </row>
    <row r="4880" spans="2:21" x14ac:dyDescent="0.2">
      <c r="B4880" s="207"/>
      <c r="C4880" s="210"/>
      <c r="D4880" s="211"/>
      <c r="E4880" s="211"/>
      <c r="U4880" s="222"/>
    </row>
    <row r="4881" spans="2:21" x14ac:dyDescent="0.2">
      <c r="B4881" s="207"/>
      <c r="C4881" s="210"/>
      <c r="D4881" s="211"/>
      <c r="E4881" s="211"/>
      <c r="U4881" s="222"/>
    </row>
    <row r="4882" spans="2:21" x14ac:dyDescent="0.2">
      <c r="B4882" s="207"/>
      <c r="C4882" s="210"/>
      <c r="D4882" s="211"/>
      <c r="E4882" s="211"/>
      <c r="U4882" s="222"/>
    </row>
    <row r="4883" spans="2:21" x14ac:dyDescent="0.2">
      <c r="B4883" s="207"/>
      <c r="C4883" s="210"/>
      <c r="D4883" s="211"/>
      <c r="E4883" s="211"/>
      <c r="U4883" s="222"/>
    </row>
    <row r="4884" spans="2:21" x14ac:dyDescent="0.2">
      <c r="B4884" s="207"/>
      <c r="C4884" s="210"/>
      <c r="D4884" s="211"/>
      <c r="E4884" s="211"/>
      <c r="U4884" s="222"/>
    </row>
    <row r="4885" spans="2:21" x14ac:dyDescent="0.2">
      <c r="B4885" s="207"/>
      <c r="C4885" s="210"/>
      <c r="D4885" s="211"/>
      <c r="E4885" s="211"/>
      <c r="U4885" s="222"/>
    </row>
    <row r="4886" spans="2:21" x14ac:dyDescent="0.2">
      <c r="B4886" s="207"/>
      <c r="C4886" s="210"/>
      <c r="D4886" s="211"/>
      <c r="E4886" s="211"/>
      <c r="U4886" s="222"/>
    </row>
    <row r="4887" spans="2:21" x14ac:dyDescent="0.2">
      <c r="B4887" s="207"/>
      <c r="C4887" s="210"/>
      <c r="D4887" s="211"/>
      <c r="E4887" s="211"/>
      <c r="U4887" s="222"/>
    </row>
    <row r="4888" spans="2:21" x14ac:dyDescent="0.2">
      <c r="B4888" s="207"/>
      <c r="C4888" s="210"/>
      <c r="D4888" s="211"/>
      <c r="E4888" s="211"/>
      <c r="U4888" s="222"/>
    </row>
    <row r="4889" spans="2:21" x14ac:dyDescent="0.2">
      <c r="B4889" s="207"/>
      <c r="C4889" s="210"/>
      <c r="D4889" s="211"/>
      <c r="E4889" s="211"/>
      <c r="U4889" s="222"/>
    </row>
    <row r="4890" spans="2:21" x14ac:dyDescent="0.2">
      <c r="B4890" s="207"/>
      <c r="C4890" s="210"/>
      <c r="D4890" s="211"/>
      <c r="E4890" s="211"/>
      <c r="U4890" s="222"/>
    </row>
    <row r="4891" spans="2:21" x14ac:dyDescent="0.2">
      <c r="B4891" s="207"/>
      <c r="C4891" s="210"/>
      <c r="D4891" s="211"/>
      <c r="E4891" s="211"/>
      <c r="U4891" s="222"/>
    </row>
    <row r="4892" spans="2:21" x14ac:dyDescent="0.2">
      <c r="B4892" s="207"/>
      <c r="C4892" s="210"/>
      <c r="D4892" s="211"/>
      <c r="E4892" s="211"/>
      <c r="U4892" s="222"/>
    </row>
    <row r="4893" spans="2:21" x14ac:dyDescent="0.2">
      <c r="B4893" s="207"/>
      <c r="C4893" s="210"/>
      <c r="D4893" s="211"/>
      <c r="E4893" s="211"/>
      <c r="U4893" s="222"/>
    </row>
    <row r="4894" spans="2:21" x14ac:dyDescent="0.2">
      <c r="B4894" s="207"/>
      <c r="C4894" s="210"/>
      <c r="D4894" s="211"/>
      <c r="E4894" s="211"/>
      <c r="U4894" s="222"/>
    </row>
    <row r="4895" spans="2:21" x14ac:dyDescent="0.2">
      <c r="B4895" s="207"/>
      <c r="C4895" s="210"/>
      <c r="D4895" s="211"/>
      <c r="E4895" s="211"/>
      <c r="U4895" s="222"/>
    </row>
    <row r="4896" spans="2:21" x14ac:dyDescent="0.2">
      <c r="B4896" s="207"/>
      <c r="C4896" s="210"/>
      <c r="D4896" s="211"/>
      <c r="E4896" s="211"/>
      <c r="U4896" s="222"/>
    </row>
    <row r="4897" spans="2:21" x14ac:dyDescent="0.2">
      <c r="B4897" s="207"/>
      <c r="C4897" s="210"/>
      <c r="D4897" s="211"/>
      <c r="E4897" s="211"/>
      <c r="U4897" s="222"/>
    </row>
    <row r="4898" spans="2:21" x14ac:dyDescent="0.2">
      <c r="B4898" s="207"/>
      <c r="C4898" s="210"/>
      <c r="D4898" s="211"/>
      <c r="E4898" s="211"/>
      <c r="U4898" s="222"/>
    </row>
    <row r="4899" spans="2:21" x14ac:dyDescent="0.2">
      <c r="B4899" s="207"/>
      <c r="C4899" s="210"/>
      <c r="D4899" s="211"/>
      <c r="E4899" s="211"/>
      <c r="U4899" s="222"/>
    </row>
    <row r="4900" spans="2:21" x14ac:dyDescent="0.2">
      <c r="B4900" s="207"/>
      <c r="C4900" s="210"/>
      <c r="D4900" s="211"/>
      <c r="E4900" s="211"/>
      <c r="U4900" s="222"/>
    </row>
    <row r="4901" spans="2:21" x14ac:dyDescent="0.2">
      <c r="B4901" s="207"/>
      <c r="C4901" s="210"/>
      <c r="D4901" s="211"/>
      <c r="E4901" s="211"/>
      <c r="U4901" s="222"/>
    </row>
    <row r="4902" spans="2:21" x14ac:dyDescent="0.2">
      <c r="B4902" s="207"/>
      <c r="C4902" s="210"/>
      <c r="D4902" s="211"/>
      <c r="E4902" s="211"/>
      <c r="U4902" s="222"/>
    </row>
    <row r="4903" spans="2:21" x14ac:dyDescent="0.2">
      <c r="B4903" s="207"/>
      <c r="C4903" s="210"/>
      <c r="D4903" s="211"/>
      <c r="E4903" s="211"/>
      <c r="U4903" s="222"/>
    </row>
    <row r="4904" spans="2:21" x14ac:dyDescent="0.2">
      <c r="B4904" s="207"/>
      <c r="C4904" s="210"/>
      <c r="D4904" s="211"/>
      <c r="E4904" s="211"/>
      <c r="U4904" s="222"/>
    </row>
    <row r="4905" spans="2:21" x14ac:dyDescent="0.2">
      <c r="B4905" s="207"/>
      <c r="C4905" s="210"/>
      <c r="D4905" s="211"/>
      <c r="E4905" s="211"/>
      <c r="U4905" s="222"/>
    </row>
    <row r="4906" spans="2:21" x14ac:dyDescent="0.2">
      <c r="B4906" s="207"/>
      <c r="C4906" s="210"/>
      <c r="D4906" s="211"/>
      <c r="E4906" s="211"/>
      <c r="U4906" s="222"/>
    </row>
    <row r="4907" spans="2:21" x14ac:dyDescent="0.2">
      <c r="B4907" s="207"/>
      <c r="C4907" s="210"/>
      <c r="D4907" s="211"/>
      <c r="E4907" s="211"/>
      <c r="U4907" s="222"/>
    </row>
    <row r="4908" spans="2:21" x14ac:dyDescent="0.2">
      <c r="B4908" s="207"/>
      <c r="C4908" s="210"/>
      <c r="D4908" s="211"/>
      <c r="E4908" s="211"/>
      <c r="U4908" s="222"/>
    </row>
    <row r="4909" spans="2:21" x14ac:dyDescent="0.2">
      <c r="B4909" s="207"/>
      <c r="C4909" s="210"/>
      <c r="D4909" s="211"/>
      <c r="E4909" s="211"/>
      <c r="U4909" s="222"/>
    </row>
    <row r="4910" spans="2:21" x14ac:dyDescent="0.2">
      <c r="B4910" s="207"/>
      <c r="C4910" s="210"/>
      <c r="D4910" s="211"/>
      <c r="E4910" s="211"/>
      <c r="U4910" s="222"/>
    </row>
    <row r="4911" spans="2:21" x14ac:dyDescent="0.2">
      <c r="B4911" s="207"/>
      <c r="C4911" s="210"/>
      <c r="D4911" s="211"/>
      <c r="E4911" s="211"/>
      <c r="U4911" s="222"/>
    </row>
    <row r="4912" spans="2:21" x14ac:dyDescent="0.2">
      <c r="B4912" s="207"/>
      <c r="C4912" s="210"/>
      <c r="D4912" s="211"/>
      <c r="E4912" s="211"/>
      <c r="U4912" s="222"/>
    </row>
    <row r="4913" spans="2:21" x14ac:dyDescent="0.2">
      <c r="B4913" s="207"/>
      <c r="C4913" s="210"/>
      <c r="D4913" s="211"/>
      <c r="E4913" s="211"/>
      <c r="U4913" s="222"/>
    </row>
    <row r="4914" spans="2:21" x14ac:dyDescent="0.2">
      <c r="B4914" s="207"/>
      <c r="C4914" s="210"/>
      <c r="D4914" s="211"/>
      <c r="E4914" s="211"/>
      <c r="U4914" s="222"/>
    </row>
    <row r="4915" spans="2:21" x14ac:dyDescent="0.2">
      <c r="B4915" s="207"/>
      <c r="C4915" s="210"/>
      <c r="D4915" s="211"/>
      <c r="E4915" s="211"/>
      <c r="U4915" s="222"/>
    </row>
    <row r="4916" spans="2:21" x14ac:dyDescent="0.2">
      <c r="B4916" s="207"/>
      <c r="C4916" s="210"/>
      <c r="D4916" s="211"/>
      <c r="E4916" s="211"/>
      <c r="U4916" s="222"/>
    </row>
    <row r="4917" spans="2:21" x14ac:dyDescent="0.2">
      <c r="B4917" s="207"/>
      <c r="C4917" s="210"/>
      <c r="D4917" s="211"/>
      <c r="E4917" s="211"/>
      <c r="U4917" s="222"/>
    </row>
    <row r="4918" spans="2:21" x14ac:dyDescent="0.2">
      <c r="B4918" s="207"/>
      <c r="C4918" s="210"/>
      <c r="D4918" s="211"/>
      <c r="E4918" s="211"/>
      <c r="U4918" s="222"/>
    </row>
    <row r="4919" spans="2:21" x14ac:dyDescent="0.2">
      <c r="B4919" s="207"/>
      <c r="C4919" s="210"/>
      <c r="D4919" s="211"/>
      <c r="E4919" s="211"/>
      <c r="U4919" s="222"/>
    </row>
    <row r="4920" spans="2:21" x14ac:dyDescent="0.2">
      <c r="B4920" s="207"/>
      <c r="C4920" s="210"/>
      <c r="D4920" s="211"/>
      <c r="E4920" s="211"/>
      <c r="U4920" s="222"/>
    </row>
    <row r="4921" spans="2:21" x14ac:dyDescent="0.2">
      <c r="B4921" s="207"/>
      <c r="C4921" s="210"/>
      <c r="D4921" s="211"/>
      <c r="E4921" s="211"/>
      <c r="U4921" s="222"/>
    </row>
    <row r="4922" spans="2:21" x14ac:dyDescent="0.2">
      <c r="B4922" s="207"/>
      <c r="C4922" s="210"/>
      <c r="D4922" s="211"/>
      <c r="E4922" s="211"/>
      <c r="U4922" s="222"/>
    </row>
    <row r="4923" spans="2:21" x14ac:dyDescent="0.2">
      <c r="B4923" s="207"/>
      <c r="C4923" s="210"/>
      <c r="D4923" s="211"/>
      <c r="E4923" s="211"/>
      <c r="U4923" s="222"/>
    </row>
    <row r="4924" spans="2:21" x14ac:dyDescent="0.2">
      <c r="B4924" s="207"/>
      <c r="C4924" s="210"/>
      <c r="D4924" s="211"/>
      <c r="E4924" s="211"/>
      <c r="U4924" s="222"/>
    </row>
    <row r="4925" spans="2:21" x14ac:dyDescent="0.2">
      <c r="B4925" s="207"/>
      <c r="C4925" s="210"/>
      <c r="D4925" s="211"/>
      <c r="E4925" s="211"/>
      <c r="U4925" s="222"/>
    </row>
    <row r="4926" spans="2:21" x14ac:dyDescent="0.2">
      <c r="B4926" s="207"/>
      <c r="C4926" s="210"/>
      <c r="D4926" s="211"/>
      <c r="E4926" s="211"/>
      <c r="U4926" s="222"/>
    </row>
    <row r="4927" spans="2:21" x14ac:dyDescent="0.2">
      <c r="B4927" s="207"/>
      <c r="C4927" s="210"/>
      <c r="D4927" s="211"/>
      <c r="E4927" s="211"/>
      <c r="U4927" s="222"/>
    </row>
    <row r="4928" spans="2:21" x14ac:dyDescent="0.2">
      <c r="B4928" s="207"/>
      <c r="C4928" s="210"/>
      <c r="D4928" s="211"/>
      <c r="E4928" s="211"/>
      <c r="U4928" s="222"/>
    </row>
    <row r="4929" spans="2:21" x14ac:dyDescent="0.2">
      <c r="B4929" s="207"/>
      <c r="C4929" s="210"/>
      <c r="D4929" s="211"/>
      <c r="E4929" s="211"/>
      <c r="U4929" s="222"/>
    </row>
    <row r="4930" spans="2:21" x14ac:dyDescent="0.2">
      <c r="B4930" s="207"/>
      <c r="C4930" s="210"/>
      <c r="D4930" s="211"/>
      <c r="E4930" s="211"/>
      <c r="U4930" s="222"/>
    </row>
    <row r="4931" spans="2:21" x14ac:dyDescent="0.2">
      <c r="B4931" s="207"/>
      <c r="C4931" s="210"/>
      <c r="D4931" s="211"/>
      <c r="E4931" s="211"/>
      <c r="U4931" s="222"/>
    </row>
    <row r="4932" spans="2:21" x14ac:dyDescent="0.2">
      <c r="B4932" s="207"/>
      <c r="C4932" s="210"/>
      <c r="D4932" s="211"/>
      <c r="E4932" s="211"/>
      <c r="U4932" s="222"/>
    </row>
    <row r="4933" spans="2:21" x14ac:dyDescent="0.2">
      <c r="B4933" s="207"/>
      <c r="C4933" s="210"/>
      <c r="D4933" s="211"/>
      <c r="E4933" s="211"/>
      <c r="U4933" s="222"/>
    </row>
    <row r="4934" spans="2:21" x14ac:dyDescent="0.2">
      <c r="B4934" s="207"/>
      <c r="C4934" s="210"/>
      <c r="D4934" s="211"/>
      <c r="E4934" s="211"/>
      <c r="U4934" s="222"/>
    </row>
    <row r="4935" spans="2:21" x14ac:dyDescent="0.2">
      <c r="B4935" s="207"/>
      <c r="C4935" s="210"/>
      <c r="D4935" s="211"/>
      <c r="E4935" s="211"/>
      <c r="U4935" s="222"/>
    </row>
    <row r="4936" spans="2:21" x14ac:dyDescent="0.2">
      <c r="B4936" s="207"/>
      <c r="C4936" s="210"/>
      <c r="D4936" s="211"/>
      <c r="E4936" s="211"/>
      <c r="U4936" s="222"/>
    </row>
    <row r="4937" spans="2:21" x14ac:dyDescent="0.2">
      <c r="B4937" s="207"/>
      <c r="C4937" s="210"/>
      <c r="D4937" s="211"/>
      <c r="E4937" s="211"/>
      <c r="U4937" s="222"/>
    </row>
    <row r="4938" spans="2:21" x14ac:dyDescent="0.2">
      <c r="B4938" s="207"/>
      <c r="C4938" s="210"/>
      <c r="D4938" s="211"/>
      <c r="E4938" s="211"/>
      <c r="U4938" s="222"/>
    </row>
    <row r="4939" spans="2:21" x14ac:dyDescent="0.2">
      <c r="B4939" s="207"/>
      <c r="C4939" s="210"/>
      <c r="D4939" s="211"/>
      <c r="E4939" s="211"/>
      <c r="U4939" s="222"/>
    </row>
    <row r="4940" spans="2:21" x14ac:dyDescent="0.2">
      <c r="B4940" s="207"/>
      <c r="C4940" s="210"/>
      <c r="D4940" s="211"/>
      <c r="E4940" s="211"/>
      <c r="U4940" s="222"/>
    </row>
    <row r="4941" spans="2:21" x14ac:dyDescent="0.2">
      <c r="B4941" s="207"/>
      <c r="C4941" s="210"/>
      <c r="D4941" s="211"/>
      <c r="E4941" s="211"/>
      <c r="U4941" s="222"/>
    </row>
    <row r="4942" spans="2:21" x14ac:dyDescent="0.2">
      <c r="B4942" s="207"/>
      <c r="C4942" s="210"/>
      <c r="D4942" s="211"/>
      <c r="E4942" s="211"/>
      <c r="U4942" s="222"/>
    </row>
    <row r="4943" spans="2:21" x14ac:dyDescent="0.2">
      <c r="B4943" s="207"/>
      <c r="C4943" s="210"/>
      <c r="D4943" s="211"/>
      <c r="E4943" s="211"/>
      <c r="U4943" s="222"/>
    </row>
    <row r="4944" spans="2:21" x14ac:dyDescent="0.2">
      <c r="B4944" s="207"/>
      <c r="C4944" s="210"/>
      <c r="D4944" s="211"/>
      <c r="E4944" s="211"/>
      <c r="U4944" s="222"/>
    </row>
    <row r="4945" spans="2:21" x14ac:dyDescent="0.2">
      <c r="B4945" s="207"/>
      <c r="C4945" s="210"/>
      <c r="D4945" s="211"/>
      <c r="E4945" s="211"/>
      <c r="U4945" s="222"/>
    </row>
    <row r="4946" spans="2:21" x14ac:dyDescent="0.2">
      <c r="B4946" s="207"/>
      <c r="C4946" s="210"/>
      <c r="D4946" s="211"/>
      <c r="E4946" s="211"/>
      <c r="U4946" s="222"/>
    </row>
    <row r="4947" spans="2:21" x14ac:dyDescent="0.2">
      <c r="B4947" s="207"/>
      <c r="C4947" s="210"/>
      <c r="D4947" s="211"/>
      <c r="E4947" s="211"/>
      <c r="U4947" s="222"/>
    </row>
    <row r="4948" spans="2:21" x14ac:dyDescent="0.2">
      <c r="B4948" s="207"/>
      <c r="C4948" s="210"/>
      <c r="D4948" s="211"/>
      <c r="E4948" s="211"/>
      <c r="U4948" s="222"/>
    </row>
    <row r="4949" spans="2:21" x14ac:dyDescent="0.2">
      <c r="B4949" s="207"/>
      <c r="C4949" s="210"/>
      <c r="D4949" s="211"/>
      <c r="E4949" s="211"/>
      <c r="U4949" s="222"/>
    </row>
    <row r="4950" spans="2:21" x14ac:dyDescent="0.2">
      <c r="B4950" s="207"/>
      <c r="C4950" s="210"/>
      <c r="D4950" s="211"/>
      <c r="E4950" s="211"/>
      <c r="U4950" s="222"/>
    </row>
    <row r="4951" spans="2:21" x14ac:dyDescent="0.2">
      <c r="B4951" s="207"/>
      <c r="C4951" s="210"/>
      <c r="D4951" s="211"/>
      <c r="E4951" s="211"/>
      <c r="U4951" s="222"/>
    </row>
    <row r="4952" spans="2:21" x14ac:dyDescent="0.2">
      <c r="B4952" s="207"/>
      <c r="C4952" s="210"/>
      <c r="D4952" s="211"/>
      <c r="E4952" s="211"/>
      <c r="U4952" s="222"/>
    </row>
    <row r="4953" spans="2:21" x14ac:dyDescent="0.2">
      <c r="B4953" s="207"/>
      <c r="C4953" s="210"/>
      <c r="D4953" s="211"/>
      <c r="E4953" s="211"/>
      <c r="U4953" s="222"/>
    </row>
    <row r="4954" spans="2:21" x14ac:dyDescent="0.2">
      <c r="B4954" s="207"/>
      <c r="C4954" s="210"/>
      <c r="D4954" s="211"/>
      <c r="E4954" s="211"/>
      <c r="U4954" s="222"/>
    </row>
    <row r="4955" spans="2:21" x14ac:dyDescent="0.2">
      <c r="B4955" s="207"/>
      <c r="C4955" s="210"/>
      <c r="D4955" s="211"/>
      <c r="E4955" s="211"/>
      <c r="U4955" s="222"/>
    </row>
    <row r="4956" spans="2:21" x14ac:dyDescent="0.2">
      <c r="B4956" s="207"/>
      <c r="C4956" s="210"/>
      <c r="D4956" s="211"/>
      <c r="E4956" s="211"/>
      <c r="U4956" s="222"/>
    </row>
    <row r="4957" spans="2:21" x14ac:dyDescent="0.2">
      <c r="B4957" s="207"/>
      <c r="C4957" s="210"/>
      <c r="D4957" s="211"/>
      <c r="E4957" s="211"/>
      <c r="U4957" s="222"/>
    </row>
    <row r="4958" spans="2:21" x14ac:dyDescent="0.2">
      <c r="B4958" s="207"/>
      <c r="C4958" s="210"/>
      <c r="D4958" s="211"/>
      <c r="E4958" s="211"/>
      <c r="U4958" s="222"/>
    </row>
    <row r="4959" spans="2:21" x14ac:dyDescent="0.2">
      <c r="B4959" s="207"/>
      <c r="C4959" s="210"/>
      <c r="D4959" s="211"/>
      <c r="E4959" s="211"/>
      <c r="U4959" s="222"/>
    </row>
    <row r="4960" spans="2:21" x14ac:dyDescent="0.2">
      <c r="B4960" s="207"/>
      <c r="C4960" s="210"/>
      <c r="D4960" s="211"/>
      <c r="E4960" s="211"/>
      <c r="U4960" s="222"/>
    </row>
    <row r="4961" spans="2:21" x14ac:dyDescent="0.2">
      <c r="B4961" s="207"/>
      <c r="C4961" s="210"/>
      <c r="D4961" s="211"/>
      <c r="E4961" s="211"/>
      <c r="U4961" s="222"/>
    </row>
    <row r="4962" spans="2:21" x14ac:dyDescent="0.2">
      <c r="B4962" s="207"/>
      <c r="C4962" s="210"/>
      <c r="D4962" s="211"/>
      <c r="E4962" s="211"/>
      <c r="U4962" s="222"/>
    </row>
    <row r="4963" spans="2:21" x14ac:dyDescent="0.2">
      <c r="B4963" s="207"/>
      <c r="C4963" s="210"/>
      <c r="D4963" s="211"/>
      <c r="E4963" s="211"/>
      <c r="U4963" s="222"/>
    </row>
    <row r="4964" spans="2:21" x14ac:dyDescent="0.2">
      <c r="B4964" s="207"/>
      <c r="C4964" s="210"/>
      <c r="D4964" s="211"/>
      <c r="E4964" s="211"/>
      <c r="U4964" s="222"/>
    </row>
    <row r="4965" spans="2:21" x14ac:dyDescent="0.2">
      <c r="B4965" s="207"/>
      <c r="C4965" s="210"/>
      <c r="D4965" s="211"/>
      <c r="E4965" s="211"/>
      <c r="U4965" s="222"/>
    </row>
    <row r="4966" spans="2:21" x14ac:dyDescent="0.2">
      <c r="B4966" s="207"/>
      <c r="C4966" s="210"/>
      <c r="D4966" s="211"/>
      <c r="E4966" s="211"/>
      <c r="U4966" s="222"/>
    </row>
    <row r="4967" spans="2:21" x14ac:dyDescent="0.2">
      <c r="B4967" s="207"/>
      <c r="C4967" s="210"/>
      <c r="D4967" s="211"/>
      <c r="E4967" s="211"/>
      <c r="U4967" s="222"/>
    </row>
    <row r="4968" spans="2:21" x14ac:dyDescent="0.2">
      <c r="B4968" s="207"/>
      <c r="C4968" s="210"/>
      <c r="D4968" s="211"/>
      <c r="E4968" s="211"/>
      <c r="U4968" s="222"/>
    </row>
    <row r="4969" spans="2:21" x14ac:dyDescent="0.2">
      <c r="B4969" s="207"/>
      <c r="C4969" s="210"/>
      <c r="D4969" s="211"/>
      <c r="E4969" s="211"/>
      <c r="U4969" s="222"/>
    </row>
    <row r="4970" spans="2:21" x14ac:dyDescent="0.2">
      <c r="B4970" s="207"/>
      <c r="C4970" s="210"/>
      <c r="D4970" s="211"/>
      <c r="E4970" s="211"/>
      <c r="U4970" s="222"/>
    </row>
    <row r="4971" spans="2:21" x14ac:dyDescent="0.2">
      <c r="B4971" s="207"/>
      <c r="C4971" s="210"/>
      <c r="D4971" s="211"/>
      <c r="E4971" s="211"/>
      <c r="U4971" s="222"/>
    </row>
    <row r="4972" spans="2:21" x14ac:dyDescent="0.2">
      <c r="B4972" s="207"/>
      <c r="C4972" s="210"/>
      <c r="D4972" s="211"/>
      <c r="E4972" s="211"/>
      <c r="U4972" s="222"/>
    </row>
    <row r="4973" spans="2:21" x14ac:dyDescent="0.2">
      <c r="B4973" s="207"/>
      <c r="C4973" s="210"/>
      <c r="D4973" s="211"/>
      <c r="E4973" s="211"/>
      <c r="U4973" s="222"/>
    </row>
    <row r="4974" spans="2:21" x14ac:dyDescent="0.2">
      <c r="B4974" s="207"/>
      <c r="C4974" s="210"/>
      <c r="D4974" s="211"/>
      <c r="E4974" s="211"/>
      <c r="U4974" s="222"/>
    </row>
    <row r="4975" spans="2:21" x14ac:dyDescent="0.2">
      <c r="B4975" s="207"/>
      <c r="C4975" s="210"/>
      <c r="D4975" s="211"/>
      <c r="E4975" s="211"/>
      <c r="U4975" s="222"/>
    </row>
    <row r="4976" spans="2:21" x14ac:dyDescent="0.2">
      <c r="B4976" s="207"/>
      <c r="C4976" s="210"/>
      <c r="D4976" s="211"/>
      <c r="E4976" s="211"/>
      <c r="U4976" s="222"/>
    </row>
    <row r="4977" spans="2:21" x14ac:dyDescent="0.2">
      <c r="B4977" s="207"/>
      <c r="C4977" s="210"/>
      <c r="D4977" s="211"/>
      <c r="E4977" s="211"/>
      <c r="U4977" s="222"/>
    </row>
    <row r="4978" spans="2:21" x14ac:dyDescent="0.2">
      <c r="B4978" s="207"/>
      <c r="C4978" s="210"/>
      <c r="D4978" s="211"/>
      <c r="E4978" s="211"/>
      <c r="U4978" s="222"/>
    </row>
    <row r="4979" spans="2:21" x14ac:dyDescent="0.2">
      <c r="B4979" s="207"/>
      <c r="C4979" s="210"/>
      <c r="D4979" s="211"/>
      <c r="E4979" s="211"/>
      <c r="U4979" s="222"/>
    </row>
    <row r="4980" spans="2:21" x14ac:dyDescent="0.2">
      <c r="B4980" s="207"/>
      <c r="C4980" s="210"/>
      <c r="D4980" s="211"/>
      <c r="E4980" s="211"/>
      <c r="U4980" s="222"/>
    </row>
    <row r="4981" spans="2:21" x14ac:dyDescent="0.2">
      <c r="B4981" s="207"/>
      <c r="C4981" s="210"/>
      <c r="D4981" s="211"/>
      <c r="E4981" s="211"/>
      <c r="U4981" s="222"/>
    </row>
    <row r="4982" spans="2:21" x14ac:dyDescent="0.2">
      <c r="B4982" s="207"/>
      <c r="C4982" s="210"/>
      <c r="D4982" s="211"/>
      <c r="E4982" s="211"/>
      <c r="U4982" s="222"/>
    </row>
    <row r="4983" spans="2:21" x14ac:dyDescent="0.2">
      <c r="B4983" s="207"/>
      <c r="C4983" s="210"/>
      <c r="D4983" s="211"/>
      <c r="E4983" s="211"/>
      <c r="U4983" s="222"/>
    </row>
    <row r="4984" spans="2:21" x14ac:dyDescent="0.2">
      <c r="B4984" s="207"/>
      <c r="C4984" s="210"/>
      <c r="D4984" s="211"/>
      <c r="E4984" s="211"/>
      <c r="U4984" s="222"/>
    </row>
    <row r="4985" spans="2:21" x14ac:dyDescent="0.2">
      <c r="B4985" s="207"/>
      <c r="C4985" s="210"/>
      <c r="D4985" s="211"/>
      <c r="E4985" s="211"/>
      <c r="U4985" s="222"/>
    </row>
    <row r="4986" spans="2:21" x14ac:dyDescent="0.2">
      <c r="B4986" s="207"/>
      <c r="C4986" s="210"/>
      <c r="D4986" s="211"/>
      <c r="E4986" s="211"/>
      <c r="U4986" s="222"/>
    </row>
    <row r="4987" spans="2:21" x14ac:dyDescent="0.2">
      <c r="B4987" s="207"/>
      <c r="C4987" s="210"/>
      <c r="D4987" s="211"/>
      <c r="E4987" s="211"/>
      <c r="U4987" s="222"/>
    </row>
    <row r="4988" spans="2:21" x14ac:dyDescent="0.2">
      <c r="B4988" s="207"/>
      <c r="C4988" s="210"/>
      <c r="D4988" s="211"/>
      <c r="E4988" s="211"/>
      <c r="U4988" s="222"/>
    </row>
    <row r="4989" spans="2:21" x14ac:dyDescent="0.2">
      <c r="B4989" s="207"/>
      <c r="C4989" s="210"/>
      <c r="D4989" s="211"/>
      <c r="E4989" s="211"/>
      <c r="U4989" s="222"/>
    </row>
    <row r="4990" spans="2:21" x14ac:dyDescent="0.2">
      <c r="B4990" s="207"/>
      <c r="C4990" s="210"/>
      <c r="D4990" s="211"/>
      <c r="E4990" s="211"/>
      <c r="U4990" s="222"/>
    </row>
    <row r="4991" spans="2:21" x14ac:dyDescent="0.2">
      <c r="B4991" s="207"/>
      <c r="C4991" s="210"/>
      <c r="D4991" s="211"/>
      <c r="E4991" s="211"/>
      <c r="U4991" s="222"/>
    </row>
    <row r="4992" spans="2:21" x14ac:dyDescent="0.2">
      <c r="B4992" s="207"/>
      <c r="C4992" s="210"/>
      <c r="D4992" s="211"/>
      <c r="E4992" s="211"/>
      <c r="U4992" s="222"/>
    </row>
    <row r="4993" spans="2:21" x14ac:dyDescent="0.2">
      <c r="B4993" s="207"/>
      <c r="C4993" s="210"/>
      <c r="D4993" s="211"/>
      <c r="E4993" s="211"/>
      <c r="U4993" s="222"/>
    </row>
    <row r="4994" spans="2:21" x14ac:dyDescent="0.2">
      <c r="B4994" s="207"/>
      <c r="C4994" s="210"/>
      <c r="D4994" s="211"/>
      <c r="E4994" s="211"/>
      <c r="U4994" s="222"/>
    </row>
    <row r="4995" spans="2:21" x14ac:dyDescent="0.2">
      <c r="B4995" s="207"/>
      <c r="C4995" s="210"/>
      <c r="D4995" s="211"/>
      <c r="E4995" s="211"/>
      <c r="U4995" s="222"/>
    </row>
    <row r="4996" spans="2:21" x14ac:dyDescent="0.2">
      <c r="B4996" s="207"/>
      <c r="C4996" s="210"/>
      <c r="D4996" s="211"/>
      <c r="E4996" s="211"/>
      <c r="U4996" s="222"/>
    </row>
    <row r="4997" spans="2:21" x14ac:dyDescent="0.2">
      <c r="B4997" s="207"/>
      <c r="C4997" s="210"/>
      <c r="D4997" s="211"/>
      <c r="E4997" s="211"/>
      <c r="U4997" s="222"/>
    </row>
    <row r="4998" spans="2:21" x14ac:dyDescent="0.2">
      <c r="B4998" s="207"/>
      <c r="C4998" s="210"/>
      <c r="D4998" s="211"/>
      <c r="E4998" s="211"/>
      <c r="U4998" s="222"/>
    </row>
    <row r="4999" spans="2:21" x14ac:dyDescent="0.2">
      <c r="B4999" s="207"/>
      <c r="C4999" s="210"/>
      <c r="D4999" s="211"/>
      <c r="E4999" s="211"/>
      <c r="U4999" s="222"/>
    </row>
    <row r="5000" spans="2:21" x14ac:dyDescent="0.2">
      <c r="B5000" s="207"/>
      <c r="C5000" s="210"/>
      <c r="D5000" s="211"/>
      <c r="E5000" s="211"/>
      <c r="U5000" s="222"/>
    </row>
    <row r="5001" spans="2:21" x14ac:dyDescent="0.2">
      <c r="B5001" s="207"/>
      <c r="C5001" s="210"/>
      <c r="D5001" s="211"/>
      <c r="E5001" s="211"/>
      <c r="U5001" s="222"/>
    </row>
    <row r="5002" spans="2:21" x14ac:dyDescent="0.2">
      <c r="B5002" s="207"/>
      <c r="C5002" s="210"/>
      <c r="D5002" s="211"/>
      <c r="E5002" s="211"/>
      <c r="U5002" s="222"/>
    </row>
    <row r="5003" spans="2:21" x14ac:dyDescent="0.2">
      <c r="B5003" s="207"/>
      <c r="C5003" s="210"/>
      <c r="D5003" s="211"/>
      <c r="E5003" s="211"/>
      <c r="U5003" s="222"/>
    </row>
    <row r="5004" spans="2:21" x14ac:dyDescent="0.2">
      <c r="B5004" s="207"/>
      <c r="C5004" s="210"/>
      <c r="D5004" s="211"/>
      <c r="E5004" s="211"/>
      <c r="U5004" s="222"/>
    </row>
    <row r="5005" spans="2:21" x14ac:dyDescent="0.2">
      <c r="B5005" s="207"/>
      <c r="C5005" s="210"/>
      <c r="D5005" s="211"/>
      <c r="E5005" s="211"/>
      <c r="U5005" s="222"/>
    </row>
    <row r="5006" spans="2:21" x14ac:dyDescent="0.2">
      <c r="B5006" s="207"/>
      <c r="C5006" s="210"/>
      <c r="D5006" s="211"/>
      <c r="E5006" s="211"/>
      <c r="U5006" s="222"/>
    </row>
    <row r="5007" spans="2:21" x14ac:dyDescent="0.2">
      <c r="B5007" s="207"/>
      <c r="C5007" s="210"/>
      <c r="D5007" s="211"/>
      <c r="E5007" s="211"/>
      <c r="U5007" s="222"/>
    </row>
    <row r="5008" spans="2:21" x14ac:dyDescent="0.2">
      <c r="B5008" s="207"/>
      <c r="C5008" s="210"/>
      <c r="D5008" s="211"/>
      <c r="E5008" s="211"/>
      <c r="U5008" s="222"/>
    </row>
    <row r="5009" spans="2:21" x14ac:dyDescent="0.2">
      <c r="B5009" s="207"/>
      <c r="C5009" s="210"/>
      <c r="D5009" s="211"/>
      <c r="E5009" s="211"/>
      <c r="U5009" s="222"/>
    </row>
    <row r="5010" spans="2:21" x14ac:dyDescent="0.2">
      <c r="B5010" s="207"/>
      <c r="C5010" s="210"/>
      <c r="D5010" s="211"/>
      <c r="E5010" s="211"/>
      <c r="U5010" s="222"/>
    </row>
    <row r="5011" spans="2:21" x14ac:dyDescent="0.2">
      <c r="B5011" s="207"/>
      <c r="C5011" s="210"/>
      <c r="D5011" s="211"/>
      <c r="E5011" s="211"/>
      <c r="U5011" s="222"/>
    </row>
    <row r="5012" spans="2:21" x14ac:dyDescent="0.2">
      <c r="B5012" s="207"/>
      <c r="C5012" s="210"/>
      <c r="D5012" s="211"/>
      <c r="E5012" s="211"/>
      <c r="U5012" s="222"/>
    </row>
    <row r="5013" spans="2:21" x14ac:dyDescent="0.2">
      <c r="B5013" s="207"/>
      <c r="C5013" s="210"/>
      <c r="D5013" s="211"/>
      <c r="E5013" s="211"/>
      <c r="U5013" s="222"/>
    </row>
    <row r="5014" spans="2:21" x14ac:dyDescent="0.2">
      <c r="B5014" s="207"/>
      <c r="C5014" s="210"/>
      <c r="D5014" s="211"/>
      <c r="E5014" s="211"/>
      <c r="U5014" s="222"/>
    </row>
    <row r="5015" spans="2:21" x14ac:dyDescent="0.2">
      <c r="B5015" s="207"/>
      <c r="C5015" s="210"/>
      <c r="D5015" s="211"/>
      <c r="E5015" s="211"/>
      <c r="U5015" s="222"/>
    </row>
    <row r="5016" spans="2:21" x14ac:dyDescent="0.2">
      <c r="B5016" s="207"/>
      <c r="C5016" s="210"/>
      <c r="D5016" s="211"/>
      <c r="E5016" s="211"/>
      <c r="U5016" s="222"/>
    </row>
    <row r="5017" spans="2:21" x14ac:dyDescent="0.2">
      <c r="B5017" s="207"/>
      <c r="C5017" s="210"/>
      <c r="D5017" s="211"/>
      <c r="E5017" s="211"/>
      <c r="U5017" s="222"/>
    </row>
    <row r="5018" spans="2:21" x14ac:dyDescent="0.2">
      <c r="B5018" s="207"/>
      <c r="C5018" s="210"/>
      <c r="D5018" s="211"/>
      <c r="E5018" s="211"/>
      <c r="U5018" s="222"/>
    </row>
    <row r="5019" spans="2:21" x14ac:dyDescent="0.2">
      <c r="B5019" s="207"/>
      <c r="C5019" s="210"/>
      <c r="D5019" s="211"/>
      <c r="E5019" s="211"/>
      <c r="U5019" s="222"/>
    </row>
    <row r="5020" spans="2:21" x14ac:dyDescent="0.2">
      <c r="B5020" s="207"/>
      <c r="C5020" s="210"/>
      <c r="D5020" s="211"/>
      <c r="E5020" s="211"/>
      <c r="U5020" s="222"/>
    </row>
    <row r="5021" spans="2:21" x14ac:dyDescent="0.2">
      <c r="B5021" s="207"/>
      <c r="C5021" s="210"/>
      <c r="D5021" s="211"/>
      <c r="E5021" s="211"/>
      <c r="U5021" s="222"/>
    </row>
    <row r="5022" spans="2:21" x14ac:dyDescent="0.2">
      <c r="B5022" s="207"/>
      <c r="C5022" s="210"/>
      <c r="D5022" s="211"/>
      <c r="E5022" s="211"/>
      <c r="U5022" s="222"/>
    </row>
    <row r="5023" spans="2:21" x14ac:dyDescent="0.2">
      <c r="B5023" s="207"/>
      <c r="C5023" s="210"/>
      <c r="D5023" s="211"/>
      <c r="E5023" s="211"/>
      <c r="U5023" s="222"/>
    </row>
    <row r="5024" spans="2:21" x14ac:dyDescent="0.2">
      <c r="B5024" s="207"/>
      <c r="C5024" s="210"/>
      <c r="D5024" s="211"/>
      <c r="E5024" s="211"/>
      <c r="U5024" s="222"/>
    </row>
    <row r="5025" spans="2:21" x14ac:dyDescent="0.2">
      <c r="B5025" s="207"/>
      <c r="C5025" s="210"/>
      <c r="D5025" s="211"/>
      <c r="E5025" s="211"/>
      <c r="U5025" s="222"/>
    </row>
    <row r="5026" spans="2:21" x14ac:dyDescent="0.2">
      <c r="B5026" s="207"/>
      <c r="C5026" s="210"/>
      <c r="D5026" s="211"/>
      <c r="E5026" s="211"/>
      <c r="U5026" s="222"/>
    </row>
    <row r="5027" spans="2:21" x14ac:dyDescent="0.2">
      <c r="B5027" s="207"/>
      <c r="C5027" s="210"/>
      <c r="D5027" s="211"/>
      <c r="E5027" s="211"/>
      <c r="U5027" s="222"/>
    </row>
    <row r="5028" spans="2:21" x14ac:dyDescent="0.2">
      <c r="B5028" s="207"/>
      <c r="C5028" s="210"/>
      <c r="D5028" s="211"/>
      <c r="E5028" s="211"/>
      <c r="U5028" s="222"/>
    </row>
    <row r="5029" spans="2:21" x14ac:dyDescent="0.2">
      <c r="B5029" s="207"/>
      <c r="C5029" s="210"/>
      <c r="D5029" s="211"/>
      <c r="E5029" s="211"/>
      <c r="U5029" s="222"/>
    </row>
    <row r="5030" spans="2:21" x14ac:dyDescent="0.2">
      <c r="B5030" s="207"/>
      <c r="C5030" s="210"/>
      <c r="D5030" s="211"/>
      <c r="E5030" s="211"/>
      <c r="U5030" s="222"/>
    </row>
    <row r="5031" spans="2:21" x14ac:dyDescent="0.2">
      <c r="B5031" s="207"/>
      <c r="C5031" s="210"/>
      <c r="D5031" s="211"/>
      <c r="E5031" s="211"/>
      <c r="U5031" s="222"/>
    </row>
    <row r="5032" spans="2:21" x14ac:dyDescent="0.2">
      <c r="B5032" s="207"/>
      <c r="C5032" s="210"/>
      <c r="D5032" s="211"/>
      <c r="E5032" s="211"/>
      <c r="U5032" s="222"/>
    </row>
    <row r="5033" spans="2:21" x14ac:dyDescent="0.2">
      <c r="B5033" s="207"/>
      <c r="C5033" s="210"/>
      <c r="D5033" s="211"/>
      <c r="E5033" s="211"/>
      <c r="U5033" s="222"/>
    </row>
    <row r="5034" spans="2:21" x14ac:dyDescent="0.2">
      <c r="B5034" s="207"/>
      <c r="C5034" s="210"/>
      <c r="D5034" s="211"/>
      <c r="E5034" s="211"/>
      <c r="U5034" s="222"/>
    </row>
    <row r="5035" spans="2:21" x14ac:dyDescent="0.2">
      <c r="B5035" s="207"/>
      <c r="C5035" s="210"/>
      <c r="D5035" s="211"/>
      <c r="E5035" s="211"/>
      <c r="U5035" s="222"/>
    </row>
    <row r="5036" spans="2:21" x14ac:dyDescent="0.2">
      <c r="B5036" s="207"/>
      <c r="C5036" s="210"/>
      <c r="D5036" s="211"/>
      <c r="E5036" s="211"/>
      <c r="U5036" s="222"/>
    </row>
    <row r="5037" spans="2:21" x14ac:dyDescent="0.2">
      <c r="B5037" s="207"/>
      <c r="C5037" s="210"/>
      <c r="D5037" s="211"/>
      <c r="E5037" s="211"/>
      <c r="U5037" s="222"/>
    </row>
    <row r="5038" spans="2:21" x14ac:dyDescent="0.2">
      <c r="B5038" s="207"/>
      <c r="C5038" s="210"/>
      <c r="D5038" s="211"/>
      <c r="E5038" s="211"/>
      <c r="U5038" s="222"/>
    </row>
    <row r="5039" spans="2:21" x14ac:dyDescent="0.2">
      <c r="B5039" s="207"/>
      <c r="C5039" s="210"/>
      <c r="D5039" s="211"/>
      <c r="E5039" s="211"/>
      <c r="U5039" s="222"/>
    </row>
    <row r="5040" spans="2:21" x14ac:dyDescent="0.2">
      <c r="B5040" s="207"/>
      <c r="C5040" s="210"/>
      <c r="D5040" s="211"/>
      <c r="E5040" s="211"/>
      <c r="U5040" s="222"/>
    </row>
    <row r="5041" spans="2:21" x14ac:dyDescent="0.2">
      <c r="B5041" s="207"/>
      <c r="C5041" s="210"/>
      <c r="D5041" s="211"/>
      <c r="E5041" s="211"/>
      <c r="U5041" s="222"/>
    </row>
    <row r="5042" spans="2:21" x14ac:dyDescent="0.2">
      <c r="B5042" s="207"/>
      <c r="C5042" s="210"/>
      <c r="D5042" s="211"/>
      <c r="E5042" s="211"/>
      <c r="U5042" s="222"/>
    </row>
    <row r="5043" spans="2:21" x14ac:dyDescent="0.2">
      <c r="B5043" s="207"/>
      <c r="C5043" s="210"/>
      <c r="D5043" s="211"/>
      <c r="E5043" s="211"/>
      <c r="U5043" s="222"/>
    </row>
    <row r="5044" spans="2:21" x14ac:dyDescent="0.2">
      <c r="B5044" s="207"/>
      <c r="C5044" s="210"/>
      <c r="D5044" s="211"/>
      <c r="E5044" s="211"/>
      <c r="U5044" s="222"/>
    </row>
    <row r="5045" spans="2:21" x14ac:dyDescent="0.2">
      <c r="B5045" s="207"/>
      <c r="C5045" s="210"/>
      <c r="D5045" s="211"/>
      <c r="E5045" s="211"/>
      <c r="U5045" s="222"/>
    </row>
    <row r="5046" spans="2:21" x14ac:dyDescent="0.2">
      <c r="B5046" s="207"/>
      <c r="C5046" s="210"/>
      <c r="D5046" s="211"/>
      <c r="E5046" s="211"/>
      <c r="U5046" s="222"/>
    </row>
    <row r="5047" spans="2:21" x14ac:dyDescent="0.2">
      <c r="B5047" s="207"/>
      <c r="C5047" s="210"/>
      <c r="D5047" s="211"/>
      <c r="E5047" s="211"/>
      <c r="U5047" s="222"/>
    </row>
    <row r="5048" spans="2:21" x14ac:dyDescent="0.2">
      <c r="B5048" s="207"/>
      <c r="C5048" s="210"/>
      <c r="D5048" s="211"/>
      <c r="E5048" s="211"/>
      <c r="U5048" s="222"/>
    </row>
    <row r="5049" spans="2:21" x14ac:dyDescent="0.2">
      <c r="B5049" s="207"/>
      <c r="C5049" s="210"/>
      <c r="D5049" s="211"/>
      <c r="E5049" s="211"/>
      <c r="U5049" s="222"/>
    </row>
    <row r="5050" spans="2:21" x14ac:dyDescent="0.2">
      <c r="B5050" s="207"/>
      <c r="C5050" s="210"/>
      <c r="D5050" s="211"/>
      <c r="E5050" s="211"/>
      <c r="U5050" s="222"/>
    </row>
    <row r="5051" spans="2:21" x14ac:dyDescent="0.2">
      <c r="B5051" s="207"/>
      <c r="C5051" s="210"/>
      <c r="D5051" s="211"/>
      <c r="E5051" s="211"/>
      <c r="U5051" s="222"/>
    </row>
    <row r="5052" spans="2:21" x14ac:dyDescent="0.2">
      <c r="B5052" s="207"/>
      <c r="C5052" s="210"/>
      <c r="D5052" s="211"/>
      <c r="E5052" s="211"/>
      <c r="U5052" s="222"/>
    </row>
    <row r="5053" spans="2:21" x14ac:dyDescent="0.2">
      <c r="B5053" s="207"/>
      <c r="C5053" s="210"/>
      <c r="D5053" s="211"/>
      <c r="E5053" s="211"/>
      <c r="U5053" s="222"/>
    </row>
    <row r="5054" spans="2:21" x14ac:dyDescent="0.2">
      <c r="B5054" s="207"/>
      <c r="C5054" s="210"/>
      <c r="D5054" s="211"/>
      <c r="E5054" s="211"/>
      <c r="U5054" s="222"/>
    </row>
    <row r="5055" spans="2:21" x14ac:dyDescent="0.2">
      <c r="B5055" s="207"/>
      <c r="C5055" s="210"/>
      <c r="D5055" s="211"/>
      <c r="E5055" s="211"/>
      <c r="U5055" s="222"/>
    </row>
    <row r="5056" spans="2:21" x14ac:dyDescent="0.2">
      <c r="B5056" s="207"/>
      <c r="C5056" s="210"/>
      <c r="D5056" s="211"/>
      <c r="E5056" s="211"/>
      <c r="U5056" s="222"/>
    </row>
    <row r="5057" spans="2:21" x14ac:dyDescent="0.2">
      <c r="B5057" s="207"/>
      <c r="C5057" s="210"/>
      <c r="D5057" s="211"/>
      <c r="E5057" s="211"/>
      <c r="U5057" s="222"/>
    </row>
    <row r="5058" spans="2:21" x14ac:dyDescent="0.2">
      <c r="B5058" s="207"/>
      <c r="C5058" s="210"/>
      <c r="D5058" s="211"/>
      <c r="E5058" s="211"/>
      <c r="U5058" s="222"/>
    </row>
    <row r="5059" spans="2:21" x14ac:dyDescent="0.2">
      <c r="B5059" s="207"/>
      <c r="C5059" s="210"/>
      <c r="D5059" s="211"/>
      <c r="E5059" s="211"/>
      <c r="U5059" s="222"/>
    </row>
    <row r="5060" spans="2:21" x14ac:dyDescent="0.2">
      <c r="B5060" s="207"/>
      <c r="C5060" s="210"/>
      <c r="D5060" s="211"/>
      <c r="E5060" s="211"/>
      <c r="U5060" s="222"/>
    </row>
    <row r="5061" spans="2:21" x14ac:dyDescent="0.2">
      <c r="B5061" s="207"/>
      <c r="C5061" s="210"/>
      <c r="D5061" s="211"/>
      <c r="E5061" s="211"/>
      <c r="U5061" s="222"/>
    </row>
    <row r="5062" spans="2:21" x14ac:dyDescent="0.2">
      <c r="B5062" s="207"/>
      <c r="C5062" s="210"/>
      <c r="D5062" s="211"/>
      <c r="E5062" s="211"/>
      <c r="U5062" s="222"/>
    </row>
    <row r="5063" spans="2:21" x14ac:dyDescent="0.2">
      <c r="B5063" s="207"/>
      <c r="C5063" s="210"/>
      <c r="D5063" s="211"/>
      <c r="E5063" s="211"/>
      <c r="U5063" s="222"/>
    </row>
    <row r="5064" spans="2:21" x14ac:dyDescent="0.2">
      <c r="B5064" s="207"/>
      <c r="C5064" s="210"/>
      <c r="D5064" s="211"/>
      <c r="E5064" s="211"/>
      <c r="U5064" s="222"/>
    </row>
    <row r="5065" spans="2:21" x14ac:dyDescent="0.2">
      <c r="B5065" s="207"/>
      <c r="C5065" s="210"/>
      <c r="D5065" s="211"/>
      <c r="E5065" s="211"/>
      <c r="U5065" s="222"/>
    </row>
    <row r="5066" spans="2:21" x14ac:dyDescent="0.2">
      <c r="B5066" s="207"/>
      <c r="C5066" s="210"/>
      <c r="D5066" s="211"/>
      <c r="E5066" s="211"/>
      <c r="U5066" s="222"/>
    </row>
    <row r="5067" spans="2:21" x14ac:dyDescent="0.2">
      <c r="B5067" s="207"/>
      <c r="C5067" s="210"/>
      <c r="D5067" s="211"/>
      <c r="E5067" s="211"/>
      <c r="U5067" s="222"/>
    </row>
    <row r="5068" spans="2:21" x14ac:dyDescent="0.2">
      <c r="B5068" s="207"/>
      <c r="C5068" s="210"/>
      <c r="D5068" s="211"/>
      <c r="E5068" s="211"/>
      <c r="U5068" s="222"/>
    </row>
    <row r="5069" spans="2:21" x14ac:dyDescent="0.2">
      <c r="B5069" s="207"/>
      <c r="C5069" s="210"/>
      <c r="D5069" s="211"/>
      <c r="E5069" s="211"/>
      <c r="U5069" s="222"/>
    </row>
    <row r="5070" spans="2:21" x14ac:dyDescent="0.2">
      <c r="B5070" s="207"/>
      <c r="C5070" s="210"/>
      <c r="D5070" s="211"/>
      <c r="E5070" s="211"/>
      <c r="U5070" s="222"/>
    </row>
    <row r="5071" spans="2:21" x14ac:dyDescent="0.2">
      <c r="B5071" s="207"/>
      <c r="C5071" s="210"/>
      <c r="D5071" s="211"/>
      <c r="E5071" s="211"/>
      <c r="U5071" s="222"/>
    </row>
    <row r="5072" spans="2:21" x14ac:dyDescent="0.2">
      <c r="B5072" s="207"/>
      <c r="C5072" s="210"/>
      <c r="D5072" s="211"/>
      <c r="E5072" s="211"/>
      <c r="U5072" s="222"/>
    </row>
    <row r="5073" spans="2:21" x14ac:dyDescent="0.2">
      <c r="B5073" s="207"/>
      <c r="C5073" s="210"/>
      <c r="D5073" s="211"/>
      <c r="E5073" s="211"/>
      <c r="U5073" s="222"/>
    </row>
    <row r="5074" spans="2:21" x14ac:dyDescent="0.2">
      <c r="B5074" s="207"/>
      <c r="C5074" s="210"/>
      <c r="D5074" s="211"/>
      <c r="E5074" s="211"/>
      <c r="U5074" s="222"/>
    </row>
    <row r="5075" spans="2:21" x14ac:dyDescent="0.2">
      <c r="B5075" s="207"/>
      <c r="C5075" s="210"/>
      <c r="D5075" s="211"/>
      <c r="E5075" s="211"/>
      <c r="U5075" s="222"/>
    </row>
    <row r="5076" spans="2:21" x14ac:dyDescent="0.2">
      <c r="B5076" s="207"/>
      <c r="C5076" s="210"/>
      <c r="D5076" s="211"/>
      <c r="E5076" s="211"/>
      <c r="U5076" s="222"/>
    </row>
    <row r="5077" spans="2:21" x14ac:dyDescent="0.2">
      <c r="B5077" s="207"/>
      <c r="C5077" s="210"/>
      <c r="D5077" s="211"/>
      <c r="E5077" s="211"/>
      <c r="U5077" s="222"/>
    </row>
    <row r="5078" spans="2:21" x14ac:dyDescent="0.2">
      <c r="B5078" s="207"/>
      <c r="C5078" s="210"/>
      <c r="D5078" s="211"/>
      <c r="E5078" s="211"/>
      <c r="U5078" s="222"/>
    </row>
    <row r="5079" spans="2:21" x14ac:dyDescent="0.2">
      <c r="B5079" s="207"/>
      <c r="C5079" s="210"/>
      <c r="D5079" s="211"/>
      <c r="E5079" s="211"/>
      <c r="U5079" s="222"/>
    </row>
    <row r="5080" spans="2:21" x14ac:dyDescent="0.2">
      <c r="B5080" s="207"/>
      <c r="C5080" s="210"/>
      <c r="D5080" s="211"/>
      <c r="E5080" s="211"/>
      <c r="U5080" s="222"/>
    </row>
    <row r="5081" spans="2:21" x14ac:dyDescent="0.2">
      <c r="B5081" s="207"/>
      <c r="C5081" s="210"/>
      <c r="D5081" s="211"/>
      <c r="E5081" s="211"/>
      <c r="U5081" s="222"/>
    </row>
    <row r="5082" spans="2:21" x14ac:dyDescent="0.2">
      <c r="B5082" s="207"/>
      <c r="C5082" s="210"/>
      <c r="D5082" s="211"/>
      <c r="E5082" s="211"/>
      <c r="U5082" s="222"/>
    </row>
    <row r="5083" spans="2:21" x14ac:dyDescent="0.2">
      <c r="B5083" s="207"/>
      <c r="C5083" s="210"/>
      <c r="D5083" s="211"/>
      <c r="E5083" s="211"/>
      <c r="U5083" s="222"/>
    </row>
    <row r="5084" spans="2:21" x14ac:dyDescent="0.2">
      <c r="B5084" s="207"/>
      <c r="C5084" s="210"/>
      <c r="D5084" s="211"/>
      <c r="E5084" s="211"/>
      <c r="U5084" s="222"/>
    </row>
    <row r="5085" spans="2:21" x14ac:dyDescent="0.2">
      <c r="B5085" s="207"/>
      <c r="C5085" s="210"/>
      <c r="D5085" s="211"/>
      <c r="E5085" s="211"/>
      <c r="U5085" s="222"/>
    </row>
    <row r="5086" spans="2:21" x14ac:dyDescent="0.2">
      <c r="B5086" s="207"/>
      <c r="C5086" s="210"/>
      <c r="D5086" s="211"/>
      <c r="E5086" s="211"/>
      <c r="U5086" s="222"/>
    </row>
    <row r="5087" spans="2:21" x14ac:dyDescent="0.2">
      <c r="B5087" s="207"/>
      <c r="C5087" s="210"/>
      <c r="D5087" s="211"/>
      <c r="E5087" s="211"/>
      <c r="U5087" s="222"/>
    </row>
    <row r="5088" spans="2:21" x14ac:dyDescent="0.2">
      <c r="B5088" s="207"/>
      <c r="C5088" s="210"/>
      <c r="D5088" s="211"/>
      <c r="E5088" s="211"/>
      <c r="U5088" s="222"/>
    </row>
    <row r="5089" spans="2:21" x14ac:dyDescent="0.2">
      <c r="B5089" s="207"/>
      <c r="C5089" s="210"/>
      <c r="D5089" s="211"/>
      <c r="E5089" s="211"/>
      <c r="U5089" s="222"/>
    </row>
    <row r="5090" spans="2:21" x14ac:dyDescent="0.2">
      <c r="B5090" s="207"/>
      <c r="C5090" s="210"/>
      <c r="D5090" s="211"/>
      <c r="E5090" s="211"/>
      <c r="U5090" s="222"/>
    </row>
    <row r="5091" spans="2:21" x14ac:dyDescent="0.2">
      <c r="B5091" s="207"/>
      <c r="C5091" s="210"/>
      <c r="D5091" s="211"/>
      <c r="E5091" s="211"/>
      <c r="U5091" s="222"/>
    </row>
    <row r="5092" spans="2:21" x14ac:dyDescent="0.2">
      <c r="B5092" s="207"/>
      <c r="C5092" s="210"/>
      <c r="D5092" s="211"/>
      <c r="E5092" s="211"/>
      <c r="U5092" s="222"/>
    </row>
    <row r="5093" spans="2:21" x14ac:dyDescent="0.2">
      <c r="B5093" s="207"/>
      <c r="C5093" s="210"/>
      <c r="D5093" s="211"/>
      <c r="E5093" s="211"/>
      <c r="U5093" s="222"/>
    </row>
    <row r="5094" spans="2:21" x14ac:dyDescent="0.2">
      <c r="B5094" s="207"/>
      <c r="C5094" s="210"/>
      <c r="D5094" s="211"/>
      <c r="E5094" s="211"/>
      <c r="U5094" s="222"/>
    </row>
    <row r="5095" spans="2:21" x14ac:dyDescent="0.2">
      <c r="B5095" s="207"/>
      <c r="C5095" s="210"/>
      <c r="D5095" s="211"/>
      <c r="E5095" s="211"/>
      <c r="U5095" s="222"/>
    </row>
    <row r="5096" spans="2:21" x14ac:dyDescent="0.2">
      <c r="B5096" s="207"/>
      <c r="C5096" s="210"/>
      <c r="D5096" s="211"/>
      <c r="E5096" s="211"/>
      <c r="U5096" s="222"/>
    </row>
    <row r="5097" spans="2:21" x14ac:dyDescent="0.2">
      <c r="B5097" s="207"/>
      <c r="C5097" s="210"/>
      <c r="D5097" s="211"/>
      <c r="E5097" s="211"/>
      <c r="U5097" s="222"/>
    </row>
    <row r="5098" spans="2:21" x14ac:dyDescent="0.2">
      <c r="B5098" s="207"/>
      <c r="C5098" s="210"/>
      <c r="D5098" s="211"/>
      <c r="E5098" s="211"/>
      <c r="U5098" s="222"/>
    </row>
    <row r="5099" spans="2:21" x14ac:dyDescent="0.2">
      <c r="B5099" s="207"/>
      <c r="C5099" s="210"/>
      <c r="D5099" s="211"/>
      <c r="E5099" s="211"/>
      <c r="U5099" s="222"/>
    </row>
    <row r="5100" spans="2:21" x14ac:dyDescent="0.2">
      <c r="B5100" s="207"/>
      <c r="C5100" s="210"/>
      <c r="D5100" s="211"/>
      <c r="E5100" s="211"/>
      <c r="U5100" s="222"/>
    </row>
    <row r="5101" spans="2:21" x14ac:dyDescent="0.2">
      <c r="B5101" s="207"/>
      <c r="C5101" s="210"/>
      <c r="D5101" s="211"/>
      <c r="E5101" s="211"/>
      <c r="U5101" s="222"/>
    </row>
    <row r="5102" spans="2:21" x14ac:dyDescent="0.2">
      <c r="B5102" s="207"/>
      <c r="C5102" s="210"/>
      <c r="D5102" s="211"/>
      <c r="E5102" s="211"/>
      <c r="U5102" s="222"/>
    </row>
    <row r="5103" spans="2:21" x14ac:dyDescent="0.2">
      <c r="B5103" s="207"/>
      <c r="C5103" s="210"/>
      <c r="D5103" s="211"/>
      <c r="E5103" s="211"/>
      <c r="U5103" s="222"/>
    </row>
    <row r="5104" spans="2:21" x14ac:dyDescent="0.2">
      <c r="B5104" s="207"/>
      <c r="C5104" s="210"/>
      <c r="D5104" s="211"/>
      <c r="E5104" s="211"/>
      <c r="U5104" s="222"/>
    </row>
    <row r="5105" spans="2:21" x14ac:dyDescent="0.2">
      <c r="B5105" s="207"/>
      <c r="C5105" s="210"/>
      <c r="D5105" s="211"/>
      <c r="E5105" s="211"/>
      <c r="U5105" s="222"/>
    </row>
    <row r="5106" spans="2:21" x14ac:dyDescent="0.2">
      <c r="B5106" s="207"/>
      <c r="C5106" s="210"/>
      <c r="D5106" s="211"/>
      <c r="E5106" s="211"/>
      <c r="U5106" s="222"/>
    </row>
    <row r="5107" spans="2:21" x14ac:dyDescent="0.2">
      <c r="B5107" s="207"/>
      <c r="C5107" s="210"/>
      <c r="D5107" s="211"/>
      <c r="E5107" s="211"/>
      <c r="U5107" s="222"/>
    </row>
    <row r="5108" spans="2:21" x14ac:dyDescent="0.2">
      <c r="B5108" s="207"/>
      <c r="C5108" s="210"/>
      <c r="D5108" s="211"/>
      <c r="E5108" s="211"/>
      <c r="U5108" s="222"/>
    </row>
    <row r="5109" spans="2:21" x14ac:dyDescent="0.2">
      <c r="B5109" s="207"/>
      <c r="C5109" s="210"/>
      <c r="D5109" s="211"/>
      <c r="E5109" s="211"/>
      <c r="U5109" s="222"/>
    </row>
    <row r="5110" spans="2:21" x14ac:dyDescent="0.2">
      <c r="B5110" s="207"/>
      <c r="C5110" s="210"/>
      <c r="D5110" s="211"/>
      <c r="E5110" s="211"/>
      <c r="U5110" s="222"/>
    </row>
    <row r="5111" spans="2:21" x14ac:dyDescent="0.2">
      <c r="B5111" s="207"/>
      <c r="C5111" s="210"/>
      <c r="D5111" s="211"/>
      <c r="E5111" s="211"/>
      <c r="U5111" s="222"/>
    </row>
    <row r="5112" spans="2:21" x14ac:dyDescent="0.2">
      <c r="B5112" s="207"/>
      <c r="C5112" s="210"/>
      <c r="D5112" s="211"/>
      <c r="E5112" s="211"/>
      <c r="U5112" s="222"/>
    </row>
    <row r="5113" spans="2:21" x14ac:dyDescent="0.2">
      <c r="B5113" s="207"/>
      <c r="C5113" s="210"/>
      <c r="D5113" s="211"/>
      <c r="E5113" s="211"/>
      <c r="U5113" s="222"/>
    </row>
    <row r="5114" spans="2:21" x14ac:dyDescent="0.2">
      <c r="B5114" s="207"/>
      <c r="C5114" s="210"/>
      <c r="D5114" s="211"/>
      <c r="E5114" s="211"/>
      <c r="U5114" s="222"/>
    </row>
    <row r="5115" spans="2:21" x14ac:dyDescent="0.2">
      <c r="B5115" s="207"/>
      <c r="C5115" s="210"/>
      <c r="D5115" s="211"/>
      <c r="E5115" s="211"/>
      <c r="U5115" s="222"/>
    </row>
    <row r="5116" spans="2:21" x14ac:dyDescent="0.2">
      <c r="B5116" s="207"/>
      <c r="C5116" s="210"/>
      <c r="D5116" s="211"/>
      <c r="E5116" s="211"/>
      <c r="U5116" s="222"/>
    </row>
    <row r="5117" spans="2:21" x14ac:dyDescent="0.2">
      <c r="B5117" s="207"/>
      <c r="C5117" s="210"/>
      <c r="D5117" s="211"/>
      <c r="E5117" s="211"/>
      <c r="U5117" s="222"/>
    </row>
    <row r="5118" spans="2:21" x14ac:dyDescent="0.2">
      <c r="B5118" s="207"/>
      <c r="C5118" s="210"/>
      <c r="D5118" s="211"/>
      <c r="E5118" s="211"/>
      <c r="U5118" s="222"/>
    </row>
    <row r="5119" spans="2:21" x14ac:dyDescent="0.2">
      <c r="B5119" s="207"/>
      <c r="C5119" s="210"/>
      <c r="D5119" s="211"/>
      <c r="E5119" s="211"/>
      <c r="U5119" s="222"/>
    </row>
    <row r="5120" spans="2:21" x14ac:dyDescent="0.2">
      <c r="B5120" s="207"/>
      <c r="C5120" s="210"/>
      <c r="D5120" s="211"/>
      <c r="E5120" s="211"/>
      <c r="U5120" s="222"/>
    </row>
    <row r="5121" spans="2:21" x14ac:dyDescent="0.2">
      <c r="B5121" s="207"/>
      <c r="C5121" s="210"/>
      <c r="D5121" s="211"/>
      <c r="E5121" s="211"/>
      <c r="U5121" s="222"/>
    </row>
    <row r="5122" spans="2:21" x14ac:dyDescent="0.2">
      <c r="B5122" s="207"/>
      <c r="C5122" s="210"/>
      <c r="D5122" s="211"/>
      <c r="E5122" s="211"/>
      <c r="U5122" s="222"/>
    </row>
    <row r="5123" spans="2:21" x14ac:dyDescent="0.2">
      <c r="B5123" s="207"/>
      <c r="C5123" s="210"/>
      <c r="D5123" s="211"/>
      <c r="E5123" s="211"/>
      <c r="U5123" s="222"/>
    </row>
    <row r="5124" spans="2:21" x14ac:dyDescent="0.2">
      <c r="B5124" s="207"/>
      <c r="C5124" s="210"/>
      <c r="D5124" s="211"/>
      <c r="E5124" s="211"/>
      <c r="U5124" s="222"/>
    </row>
    <row r="5125" spans="2:21" x14ac:dyDescent="0.2">
      <c r="B5125" s="207"/>
      <c r="C5125" s="210"/>
      <c r="D5125" s="211"/>
      <c r="E5125" s="211"/>
      <c r="U5125" s="222"/>
    </row>
    <row r="5126" spans="2:21" x14ac:dyDescent="0.2">
      <c r="B5126" s="207"/>
      <c r="C5126" s="210"/>
      <c r="D5126" s="211"/>
      <c r="E5126" s="211"/>
      <c r="U5126" s="222"/>
    </row>
    <row r="5127" spans="2:21" x14ac:dyDescent="0.2">
      <c r="B5127" s="207"/>
      <c r="C5127" s="210"/>
      <c r="D5127" s="211"/>
      <c r="E5127" s="211"/>
      <c r="U5127" s="222"/>
    </row>
    <row r="5128" spans="2:21" x14ac:dyDescent="0.2">
      <c r="B5128" s="207"/>
      <c r="C5128" s="210"/>
      <c r="D5128" s="211"/>
      <c r="E5128" s="211"/>
      <c r="U5128" s="222"/>
    </row>
    <row r="5129" spans="2:21" x14ac:dyDescent="0.2">
      <c r="B5129" s="207"/>
      <c r="C5129" s="210"/>
      <c r="D5129" s="211"/>
      <c r="E5129" s="211"/>
      <c r="U5129" s="222"/>
    </row>
    <row r="5130" spans="2:21" x14ac:dyDescent="0.2">
      <c r="B5130" s="207"/>
      <c r="C5130" s="210"/>
      <c r="D5130" s="211"/>
      <c r="E5130" s="211"/>
      <c r="U5130" s="222"/>
    </row>
    <row r="5131" spans="2:21" x14ac:dyDescent="0.2">
      <c r="B5131" s="207"/>
      <c r="C5131" s="210"/>
      <c r="D5131" s="211"/>
      <c r="E5131" s="211"/>
      <c r="U5131" s="222"/>
    </row>
    <row r="5132" spans="2:21" x14ac:dyDescent="0.2">
      <c r="B5132" s="207"/>
      <c r="C5132" s="210"/>
      <c r="D5132" s="211"/>
      <c r="E5132" s="211"/>
      <c r="U5132" s="222"/>
    </row>
    <row r="5133" spans="2:21" x14ac:dyDescent="0.2">
      <c r="B5133" s="207"/>
      <c r="C5133" s="210"/>
      <c r="D5133" s="211"/>
      <c r="E5133" s="211"/>
      <c r="U5133" s="222"/>
    </row>
    <row r="5134" spans="2:21" x14ac:dyDescent="0.2">
      <c r="B5134" s="207"/>
      <c r="C5134" s="210"/>
      <c r="D5134" s="211"/>
      <c r="E5134" s="211"/>
      <c r="U5134" s="222"/>
    </row>
    <row r="5135" spans="2:21" x14ac:dyDescent="0.2">
      <c r="B5135" s="207"/>
      <c r="C5135" s="210"/>
      <c r="D5135" s="211"/>
      <c r="E5135" s="211"/>
      <c r="U5135" s="222"/>
    </row>
    <row r="5136" spans="2:21" x14ac:dyDescent="0.2">
      <c r="B5136" s="207"/>
      <c r="C5136" s="210"/>
      <c r="D5136" s="211"/>
      <c r="E5136" s="211"/>
      <c r="U5136" s="222"/>
    </row>
    <row r="5137" spans="2:21" x14ac:dyDescent="0.2">
      <c r="B5137" s="207"/>
      <c r="C5137" s="210"/>
      <c r="D5137" s="211"/>
      <c r="E5137" s="211"/>
      <c r="U5137" s="222"/>
    </row>
    <row r="5138" spans="2:21" x14ac:dyDescent="0.2">
      <c r="B5138" s="207"/>
      <c r="C5138" s="210"/>
      <c r="D5138" s="211"/>
      <c r="E5138" s="211"/>
      <c r="U5138" s="222"/>
    </row>
    <row r="5139" spans="2:21" x14ac:dyDescent="0.2">
      <c r="B5139" s="207"/>
      <c r="C5139" s="210"/>
      <c r="D5139" s="211"/>
      <c r="E5139" s="211"/>
      <c r="U5139" s="222"/>
    </row>
    <row r="5140" spans="2:21" x14ac:dyDescent="0.2">
      <c r="B5140" s="207"/>
      <c r="C5140" s="210"/>
      <c r="D5140" s="211"/>
      <c r="E5140" s="211"/>
      <c r="U5140" s="222"/>
    </row>
    <row r="5141" spans="2:21" x14ac:dyDescent="0.2">
      <c r="B5141" s="207"/>
      <c r="C5141" s="210"/>
      <c r="D5141" s="211"/>
      <c r="E5141" s="211"/>
      <c r="U5141" s="222"/>
    </row>
    <row r="5142" spans="2:21" x14ac:dyDescent="0.2">
      <c r="B5142" s="207"/>
      <c r="C5142" s="210"/>
      <c r="D5142" s="211"/>
      <c r="E5142" s="211"/>
      <c r="U5142" s="222"/>
    </row>
    <row r="5143" spans="2:21" x14ac:dyDescent="0.2">
      <c r="B5143" s="207"/>
      <c r="C5143" s="210"/>
      <c r="D5143" s="211"/>
      <c r="E5143" s="211"/>
      <c r="U5143" s="222"/>
    </row>
    <row r="5144" spans="2:21" x14ac:dyDescent="0.2">
      <c r="B5144" s="207"/>
      <c r="C5144" s="210"/>
      <c r="D5144" s="211"/>
      <c r="E5144" s="211"/>
      <c r="U5144" s="222"/>
    </row>
    <row r="5145" spans="2:21" x14ac:dyDescent="0.2">
      <c r="B5145" s="207"/>
      <c r="C5145" s="210"/>
      <c r="D5145" s="211"/>
      <c r="E5145" s="211"/>
      <c r="U5145" s="222"/>
    </row>
    <row r="5146" spans="2:21" x14ac:dyDescent="0.2">
      <c r="B5146" s="207"/>
      <c r="C5146" s="210"/>
      <c r="D5146" s="211"/>
      <c r="E5146" s="211"/>
      <c r="U5146" s="222"/>
    </row>
    <row r="5147" spans="2:21" x14ac:dyDescent="0.2">
      <c r="B5147" s="207"/>
      <c r="C5147" s="210"/>
      <c r="D5147" s="211"/>
      <c r="E5147" s="211"/>
      <c r="U5147" s="222"/>
    </row>
    <row r="5148" spans="2:21" x14ac:dyDescent="0.2">
      <c r="B5148" s="207"/>
      <c r="C5148" s="210"/>
      <c r="D5148" s="211"/>
      <c r="E5148" s="211"/>
      <c r="U5148" s="222"/>
    </row>
    <row r="5149" spans="2:21" x14ac:dyDescent="0.2">
      <c r="B5149" s="207"/>
      <c r="C5149" s="210"/>
      <c r="D5149" s="211"/>
      <c r="E5149" s="211"/>
      <c r="U5149" s="222"/>
    </row>
    <row r="5150" spans="2:21" x14ac:dyDescent="0.2">
      <c r="B5150" s="207"/>
      <c r="C5150" s="210"/>
      <c r="D5150" s="211"/>
      <c r="E5150" s="211"/>
      <c r="U5150" s="222"/>
    </row>
    <row r="5151" spans="2:21" x14ac:dyDescent="0.2">
      <c r="B5151" s="207"/>
      <c r="C5151" s="210"/>
      <c r="D5151" s="211"/>
      <c r="E5151" s="211"/>
      <c r="U5151" s="222"/>
    </row>
    <row r="5152" spans="2:21" x14ac:dyDescent="0.2">
      <c r="B5152" s="207"/>
      <c r="C5152" s="210"/>
      <c r="D5152" s="211"/>
      <c r="E5152" s="211"/>
      <c r="U5152" s="222"/>
    </row>
    <row r="5153" spans="2:21" x14ac:dyDescent="0.2">
      <c r="B5153" s="207"/>
      <c r="C5153" s="210"/>
      <c r="D5153" s="211"/>
      <c r="E5153" s="211"/>
      <c r="U5153" s="222"/>
    </row>
    <row r="5154" spans="2:21" x14ac:dyDescent="0.2">
      <c r="B5154" s="207"/>
      <c r="C5154" s="210"/>
      <c r="D5154" s="211"/>
      <c r="E5154" s="211"/>
      <c r="U5154" s="222"/>
    </row>
    <row r="5155" spans="2:21" x14ac:dyDescent="0.2">
      <c r="B5155" s="207"/>
      <c r="C5155" s="210"/>
      <c r="D5155" s="211"/>
      <c r="E5155" s="211"/>
      <c r="U5155" s="222"/>
    </row>
    <row r="5156" spans="2:21" x14ac:dyDescent="0.2">
      <c r="B5156" s="207"/>
      <c r="C5156" s="210"/>
      <c r="D5156" s="211"/>
      <c r="E5156" s="211"/>
      <c r="U5156" s="222"/>
    </row>
    <row r="5157" spans="2:21" x14ac:dyDescent="0.2">
      <c r="B5157" s="207"/>
      <c r="C5157" s="210"/>
      <c r="D5157" s="211"/>
      <c r="E5157" s="211"/>
      <c r="U5157" s="222"/>
    </row>
    <row r="5158" spans="2:21" x14ac:dyDescent="0.2">
      <c r="B5158" s="207"/>
      <c r="C5158" s="210"/>
      <c r="D5158" s="211"/>
      <c r="E5158" s="211"/>
      <c r="U5158" s="222"/>
    </row>
    <row r="5159" spans="2:21" x14ac:dyDescent="0.2">
      <c r="B5159" s="207"/>
      <c r="C5159" s="210"/>
      <c r="D5159" s="211"/>
      <c r="E5159" s="211"/>
      <c r="U5159" s="222"/>
    </row>
    <row r="5160" spans="2:21" x14ac:dyDescent="0.2">
      <c r="B5160" s="207"/>
      <c r="C5160" s="210"/>
      <c r="D5160" s="211"/>
      <c r="E5160" s="211"/>
      <c r="U5160" s="222"/>
    </row>
    <row r="5161" spans="2:21" x14ac:dyDescent="0.2">
      <c r="B5161" s="207"/>
      <c r="C5161" s="210"/>
      <c r="D5161" s="211"/>
      <c r="E5161" s="211"/>
      <c r="U5161" s="222"/>
    </row>
    <row r="5162" spans="2:21" x14ac:dyDescent="0.2">
      <c r="B5162" s="207"/>
      <c r="C5162" s="210"/>
      <c r="D5162" s="211"/>
      <c r="E5162" s="211"/>
      <c r="U5162" s="222"/>
    </row>
    <row r="5163" spans="2:21" x14ac:dyDescent="0.2">
      <c r="B5163" s="207"/>
      <c r="C5163" s="210"/>
      <c r="D5163" s="211"/>
      <c r="E5163" s="211"/>
      <c r="U5163" s="222"/>
    </row>
    <row r="5164" spans="2:21" x14ac:dyDescent="0.2">
      <c r="B5164" s="207"/>
      <c r="C5164" s="210"/>
      <c r="D5164" s="211"/>
      <c r="E5164" s="211"/>
      <c r="U5164" s="222"/>
    </row>
    <row r="5165" spans="2:21" x14ac:dyDescent="0.2">
      <c r="B5165" s="207"/>
      <c r="C5165" s="210"/>
      <c r="D5165" s="211"/>
      <c r="E5165" s="211"/>
      <c r="U5165" s="222"/>
    </row>
    <row r="5166" spans="2:21" x14ac:dyDescent="0.2">
      <c r="B5166" s="207"/>
      <c r="C5166" s="210"/>
      <c r="D5166" s="211"/>
      <c r="E5166" s="211"/>
      <c r="U5166" s="222"/>
    </row>
    <row r="5167" spans="2:21" x14ac:dyDescent="0.2">
      <c r="B5167" s="207"/>
      <c r="C5167" s="210"/>
      <c r="D5167" s="211"/>
      <c r="E5167" s="211"/>
      <c r="U5167" s="222"/>
    </row>
    <row r="5168" spans="2:21" x14ac:dyDescent="0.2">
      <c r="B5168" s="207"/>
      <c r="C5168" s="210"/>
      <c r="D5168" s="211"/>
      <c r="E5168" s="211"/>
      <c r="U5168" s="222"/>
    </row>
    <row r="5169" spans="2:21" x14ac:dyDescent="0.2">
      <c r="B5169" s="207"/>
      <c r="C5169" s="210"/>
      <c r="D5169" s="211"/>
      <c r="E5169" s="211"/>
      <c r="U5169" s="222"/>
    </row>
    <row r="5170" spans="2:21" x14ac:dyDescent="0.2">
      <c r="B5170" s="207"/>
      <c r="C5170" s="210"/>
      <c r="D5170" s="211"/>
      <c r="E5170" s="211"/>
      <c r="U5170" s="222"/>
    </row>
    <row r="5171" spans="2:21" x14ac:dyDescent="0.2">
      <c r="B5171" s="207"/>
      <c r="C5171" s="210"/>
      <c r="D5171" s="211"/>
      <c r="E5171" s="211"/>
      <c r="U5171" s="222"/>
    </row>
    <row r="5172" spans="2:21" x14ac:dyDescent="0.2">
      <c r="B5172" s="207"/>
      <c r="C5172" s="210"/>
      <c r="D5172" s="211"/>
      <c r="E5172" s="211"/>
      <c r="U5172" s="222"/>
    </row>
    <row r="5173" spans="2:21" x14ac:dyDescent="0.2">
      <c r="B5173" s="207"/>
      <c r="C5173" s="210"/>
      <c r="D5173" s="211"/>
      <c r="E5173" s="211"/>
      <c r="U5173" s="222"/>
    </row>
    <row r="5174" spans="2:21" x14ac:dyDescent="0.2">
      <c r="B5174" s="207"/>
      <c r="C5174" s="210"/>
      <c r="D5174" s="211"/>
      <c r="E5174" s="211"/>
      <c r="U5174" s="222"/>
    </row>
    <row r="5175" spans="2:21" x14ac:dyDescent="0.2">
      <c r="B5175" s="207"/>
      <c r="C5175" s="210"/>
      <c r="D5175" s="211"/>
      <c r="E5175" s="211"/>
      <c r="U5175" s="222"/>
    </row>
    <row r="5176" spans="2:21" x14ac:dyDescent="0.2">
      <c r="B5176" s="207"/>
      <c r="C5176" s="210"/>
      <c r="D5176" s="211"/>
      <c r="E5176" s="211"/>
      <c r="U5176" s="222"/>
    </row>
    <row r="5177" spans="2:21" x14ac:dyDescent="0.2">
      <c r="B5177" s="207"/>
      <c r="C5177" s="210"/>
      <c r="D5177" s="211"/>
      <c r="E5177" s="211"/>
      <c r="U5177" s="222"/>
    </row>
    <row r="5178" spans="2:21" x14ac:dyDescent="0.2">
      <c r="B5178" s="207"/>
      <c r="C5178" s="210"/>
      <c r="D5178" s="211"/>
      <c r="E5178" s="211"/>
      <c r="U5178" s="222"/>
    </row>
    <row r="5179" spans="2:21" x14ac:dyDescent="0.2">
      <c r="B5179" s="207"/>
      <c r="C5179" s="210"/>
      <c r="D5179" s="211"/>
      <c r="E5179" s="211"/>
      <c r="U5179" s="222"/>
    </row>
    <row r="5180" spans="2:21" x14ac:dyDescent="0.2">
      <c r="B5180" s="207"/>
      <c r="C5180" s="210"/>
      <c r="D5180" s="211"/>
      <c r="E5180" s="211"/>
      <c r="U5180" s="222"/>
    </row>
    <row r="5181" spans="2:21" x14ac:dyDescent="0.2">
      <c r="B5181" s="207"/>
      <c r="C5181" s="210"/>
      <c r="D5181" s="211"/>
      <c r="E5181" s="211"/>
      <c r="U5181" s="222"/>
    </row>
    <row r="5182" spans="2:21" x14ac:dyDescent="0.2">
      <c r="B5182" s="207"/>
      <c r="C5182" s="210"/>
      <c r="D5182" s="211"/>
      <c r="E5182" s="211"/>
      <c r="U5182" s="222"/>
    </row>
    <row r="5183" spans="2:21" x14ac:dyDescent="0.2">
      <c r="B5183" s="207"/>
      <c r="C5183" s="210"/>
      <c r="D5183" s="211"/>
      <c r="E5183" s="211"/>
      <c r="U5183" s="222"/>
    </row>
    <row r="5184" spans="2:21" x14ac:dyDescent="0.2">
      <c r="B5184" s="207"/>
      <c r="C5184" s="210"/>
      <c r="D5184" s="211"/>
      <c r="E5184" s="211"/>
      <c r="U5184" s="222"/>
    </row>
    <row r="5185" spans="2:21" x14ac:dyDescent="0.2">
      <c r="B5185" s="207"/>
      <c r="C5185" s="210"/>
      <c r="D5185" s="211"/>
      <c r="E5185" s="211"/>
      <c r="U5185" s="222"/>
    </row>
    <row r="5186" spans="2:21" x14ac:dyDescent="0.2">
      <c r="B5186" s="207"/>
      <c r="C5186" s="210"/>
      <c r="D5186" s="211"/>
      <c r="E5186" s="211"/>
      <c r="U5186" s="222"/>
    </row>
    <row r="5187" spans="2:21" x14ac:dyDescent="0.2">
      <c r="B5187" s="207"/>
      <c r="C5187" s="210"/>
      <c r="D5187" s="211"/>
      <c r="E5187" s="211"/>
      <c r="U5187" s="222"/>
    </row>
    <row r="5188" spans="2:21" x14ac:dyDescent="0.2">
      <c r="B5188" s="207"/>
      <c r="C5188" s="210"/>
      <c r="D5188" s="211"/>
      <c r="E5188" s="211"/>
      <c r="U5188" s="222"/>
    </row>
    <row r="5189" spans="2:21" x14ac:dyDescent="0.2">
      <c r="B5189" s="207"/>
      <c r="C5189" s="210"/>
      <c r="D5189" s="211"/>
      <c r="E5189" s="211"/>
      <c r="U5189" s="222"/>
    </row>
    <row r="5190" spans="2:21" x14ac:dyDescent="0.2">
      <c r="B5190" s="207"/>
      <c r="C5190" s="210"/>
      <c r="D5190" s="211"/>
      <c r="E5190" s="211"/>
      <c r="U5190" s="222"/>
    </row>
    <row r="5191" spans="2:21" x14ac:dyDescent="0.2">
      <c r="B5191" s="207"/>
      <c r="C5191" s="210"/>
      <c r="D5191" s="211"/>
      <c r="E5191" s="211"/>
      <c r="U5191" s="222"/>
    </row>
    <row r="5192" spans="2:21" x14ac:dyDescent="0.2">
      <c r="B5192" s="207"/>
      <c r="C5192" s="210"/>
      <c r="D5192" s="211"/>
      <c r="E5192" s="211"/>
      <c r="U5192" s="222"/>
    </row>
    <row r="5193" spans="2:21" x14ac:dyDescent="0.2">
      <c r="B5193" s="207"/>
      <c r="C5193" s="210"/>
      <c r="D5193" s="211"/>
      <c r="E5193" s="211"/>
      <c r="U5193" s="222"/>
    </row>
    <row r="5194" spans="2:21" x14ac:dyDescent="0.2">
      <c r="B5194" s="207"/>
      <c r="C5194" s="210"/>
      <c r="D5194" s="211"/>
      <c r="E5194" s="211"/>
      <c r="U5194" s="222"/>
    </row>
    <row r="5195" spans="2:21" x14ac:dyDescent="0.2">
      <c r="B5195" s="207"/>
      <c r="C5195" s="210"/>
      <c r="D5195" s="211"/>
      <c r="E5195" s="211"/>
      <c r="U5195" s="222"/>
    </row>
    <row r="5196" spans="2:21" x14ac:dyDescent="0.2">
      <c r="B5196" s="207"/>
      <c r="C5196" s="210"/>
      <c r="D5196" s="211"/>
      <c r="E5196" s="211"/>
      <c r="U5196" s="222"/>
    </row>
    <row r="5197" spans="2:21" x14ac:dyDescent="0.2">
      <c r="B5197" s="207"/>
      <c r="C5197" s="210"/>
      <c r="D5197" s="211"/>
      <c r="E5197" s="211"/>
      <c r="U5197" s="222"/>
    </row>
    <row r="5198" spans="2:21" x14ac:dyDescent="0.2">
      <c r="B5198" s="207"/>
      <c r="C5198" s="210"/>
      <c r="D5198" s="211"/>
      <c r="E5198" s="211"/>
      <c r="U5198" s="222"/>
    </row>
    <row r="5199" spans="2:21" x14ac:dyDescent="0.2">
      <c r="B5199" s="207"/>
      <c r="C5199" s="210"/>
      <c r="D5199" s="211"/>
      <c r="E5199" s="211"/>
      <c r="U5199" s="222"/>
    </row>
    <row r="5200" spans="2:21" x14ac:dyDescent="0.2">
      <c r="B5200" s="207"/>
      <c r="C5200" s="210"/>
      <c r="D5200" s="211"/>
      <c r="E5200" s="211"/>
      <c r="U5200" s="222"/>
    </row>
    <row r="5201" spans="2:21" x14ac:dyDescent="0.2">
      <c r="B5201" s="207"/>
      <c r="C5201" s="210"/>
      <c r="D5201" s="211"/>
      <c r="E5201" s="211"/>
      <c r="U5201" s="222"/>
    </row>
    <row r="5202" spans="2:21" x14ac:dyDescent="0.2">
      <c r="B5202" s="207"/>
      <c r="C5202" s="210"/>
      <c r="D5202" s="211"/>
      <c r="E5202" s="211"/>
      <c r="U5202" s="222"/>
    </row>
    <row r="5203" spans="2:21" x14ac:dyDescent="0.2">
      <c r="B5203" s="207"/>
      <c r="C5203" s="210"/>
      <c r="D5203" s="211"/>
      <c r="E5203" s="211"/>
      <c r="U5203" s="222"/>
    </row>
    <row r="5204" spans="2:21" x14ac:dyDescent="0.2">
      <c r="B5204" s="207"/>
      <c r="C5204" s="210"/>
      <c r="D5204" s="211"/>
      <c r="E5204" s="211"/>
      <c r="U5204" s="222"/>
    </row>
    <row r="5205" spans="2:21" x14ac:dyDescent="0.2">
      <c r="B5205" s="207"/>
      <c r="C5205" s="210"/>
      <c r="D5205" s="211"/>
      <c r="E5205" s="211"/>
      <c r="U5205" s="222"/>
    </row>
    <row r="5206" spans="2:21" x14ac:dyDescent="0.2">
      <c r="B5206" s="207"/>
      <c r="C5206" s="210"/>
      <c r="D5206" s="211"/>
      <c r="E5206" s="211"/>
      <c r="U5206" s="222"/>
    </row>
    <row r="5207" spans="2:21" x14ac:dyDescent="0.2">
      <c r="B5207" s="207"/>
      <c r="C5207" s="210"/>
      <c r="D5207" s="211"/>
      <c r="E5207" s="211"/>
      <c r="U5207" s="222"/>
    </row>
    <row r="5208" spans="2:21" x14ac:dyDescent="0.2">
      <c r="B5208" s="207"/>
      <c r="C5208" s="210"/>
      <c r="D5208" s="211"/>
      <c r="E5208" s="211"/>
      <c r="U5208" s="222"/>
    </row>
    <row r="5209" spans="2:21" x14ac:dyDescent="0.2">
      <c r="B5209" s="207"/>
      <c r="C5209" s="210"/>
      <c r="D5209" s="211"/>
      <c r="E5209" s="211"/>
      <c r="U5209" s="222"/>
    </row>
    <row r="5210" spans="2:21" x14ac:dyDescent="0.2">
      <c r="B5210" s="207"/>
      <c r="C5210" s="210"/>
      <c r="D5210" s="211"/>
      <c r="E5210" s="211"/>
      <c r="U5210" s="222"/>
    </row>
    <row r="5211" spans="2:21" x14ac:dyDescent="0.2">
      <c r="B5211" s="207"/>
      <c r="C5211" s="210"/>
      <c r="D5211" s="211"/>
      <c r="E5211" s="211"/>
      <c r="U5211" s="222"/>
    </row>
    <row r="5212" spans="2:21" x14ac:dyDescent="0.2">
      <c r="B5212" s="207"/>
      <c r="C5212" s="210"/>
      <c r="D5212" s="211"/>
      <c r="E5212" s="211"/>
      <c r="U5212" s="222"/>
    </row>
    <row r="5213" spans="2:21" x14ac:dyDescent="0.2">
      <c r="B5213" s="207"/>
      <c r="C5213" s="210"/>
      <c r="D5213" s="211"/>
      <c r="E5213" s="211"/>
      <c r="U5213" s="222"/>
    </row>
    <row r="5214" spans="2:21" x14ac:dyDescent="0.2">
      <c r="B5214" s="207"/>
      <c r="C5214" s="210"/>
      <c r="D5214" s="211"/>
      <c r="E5214" s="211"/>
      <c r="U5214" s="222"/>
    </row>
    <row r="5215" spans="2:21" x14ac:dyDescent="0.2">
      <c r="B5215" s="207"/>
      <c r="C5215" s="210"/>
      <c r="D5215" s="211"/>
      <c r="E5215" s="211"/>
      <c r="U5215" s="222"/>
    </row>
    <row r="5216" spans="2:21" x14ac:dyDescent="0.2">
      <c r="B5216" s="207"/>
      <c r="C5216" s="210"/>
      <c r="D5216" s="211"/>
      <c r="E5216" s="211"/>
      <c r="U5216" s="222"/>
    </row>
    <row r="5217" spans="2:21" x14ac:dyDescent="0.2">
      <c r="B5217" s="207"/>
      <c r="C5217" s="210"/>
      <c r="D5217" s="211"/>
      <c r="E5217" s="211"/>
      <c r="U5217" s="222"/>
    </row>
    <row r="5218" spans="2:21" x14ac:dyDescent="0.2">
      <c r="B5218" s="207"/>
      <c r="C5218" s="210"/>
      <c r="D5218" s="211"/>
      <c r="E5218" s="211"/>
      <c r="U5218" s="222"/>
    </row>
    <row r="5219" spans="2:21" x14ac:dyDescent="0.2">
      <c r="B5219" s="207"/>
      <c r="C5219" s="210"/>
      <c r="D5219" s="211"/>
      <c r="E5219" s="211"/>
      <c r="U5219" s="222"/>
    </row>
    <row r="5220" spans="2:21" x14ac:dyDescent="0.2">
      <c r="B5220" s="207"/>
      <c r="C5220" s="210"/>
      <c r="D5220" s="211"/>
      <c r="E5220" s="211"/>
      <c r="U5220" s="222"/>
    </row>
    <row r="5221" spans="2:21" x14ac:dyDescent="0.2">
      <c r="B5221" s="207"/>
      <c r="C5221" s="210"/>
      <c r="D5221" s="211"/>
      <c r="E5221" s="211"/>
      <c r="U5221" s="222"/>
    </row>
    <row r="5222" spans="2:21" x14ac:dyDescent="0.2">
      <c r="B5222" s="207"/>
      <c r="C5222" s="210"/>
      <c r="D5222" s="211"/>
      <c r="E5222" s="211"/>
      <c r="U5222" s="222"/>
    </row>
    <row r="5223" spans="2:21" x14ac:dyDescent="0.2">
      <c r="B5223" s="207"/>
      <c r="C5223" s="210"/>
      <c r="D5223" s="211"/>
      <c r="E5223" s="211"/>
      <c r="U5223" s="222"/>
    </row>
    <row r="5224" spans="2:21" x14ac:dyDescent="0.2">
      <c r="B5224" s="207"/>
      <c r="C5224" s="210"/>
      <c r="D5224" s="211"/>
      <c r="E5224" s="211"/>
      <c r="U5224" s="222"/>
    </row>
    <row r="5225" spans="2:21" x14ac:dyDescent="0.2">
      <c r="B5225" s="207"/>
      <c r="C5225" s="210"/>
      <c r="D5225" s="211"/>
      <c r="E5225" s="211"/>
      <c r="U5225" s="222"/>
    </row>
    <row r="5226" spans="2:21" x14ac:dyDescent="0.2">
      <c r="B5226" s="207"/>
      <c r="C5226" s="210"/>
      <c r="D5226" s="211"/>
      <c r="E5226" s="211"/>
      <c r="U5226" s="222"/>
    </row>
    <row r="5227" spans="2:21" x14ac:dyDescent="0.2">
      <c r="B5227" s="207"/>
      <c r="C5227" s="210"/>
      <c r="D5227" s="211"/>
      <c r="E5227" s="211"/>
      <c r="U5227" s="222"/>
    </row>
    <row r="5228" spans="2:21" x14ac:dyDescent="0.2">
      <c r="B5228" s="207"/>
      <c r="C5228" s="210"/>
      <c r="D5228" s="211"/>
      <c r="E5228" s="211"/>
      <c r="U5228" s="222"/>
    </row>
    <row r="5229" spans="2:21" x14ac:dyDescent="0.2">
      <c r="B5229" s="207"/>
      <c r="C5229" s="210"/>
      <c r="D5229" s="211"/>
      <c r="E5229" s="211"/>
      <c r="U5229" s="222"/>
    </row>
    <row r="5230" spans="2:21" x14ac:dyDescent="0.2">
      <c r="B5230" s="207"/>
      <c r="C5230" s="210"/>
      <c r="D5230" s="211"/>
      <c r="E5230" s="211"/>
      <c r="U5230" s="222"/>
    </row>
    <row r="5231" spans="2:21" x14ac:dyDescent="0.2">
      <c r="B5231" s="207"/>
      <c r="C5231" s="210"/>
      <c r="D5231" s="211"/>
      <c r="E5231" s="211"/>
      <c r="U5231" s="222"/>
    </row>
    <row r="5232" spans="2:21" x14ac:dyDescent="0.2">
      <c r="B5232" s="207"/>
      <c r="C5232" s="210"/>
      <c r="D5232" s="211"/>
      <c r="E5232" s="211"/>
      <c r="U5232" s="222"/>
    </row>
    <row r="5233" spans="2:21" x14ac:dyDescent="0.2">
      <c r="B5233" s="207"/>
      <c r="C5233" s="210"/>
      <c r="D5233" s="211"/>
      <c r="E5233" s="211"/>
      <c r="U5233" s="222"/>
    </row>
    <row r="5234" spans="2:21" x14ac:dyDescent="0.2">
      <c r="B5234" s="207"/>
      <c r="C5234" s="210"/>
      <c r="D5234" s="211"/>
      <c r="E5234" s="211"/>
      <c r="U5234" s="222"/>
    </row>
    <row r="5235" spans="2:21" x14ac:dyDescent="0.2">
      <c r="B5235" s="207"/>
      <c r="C5235" s="210"/>
      <c r="D5235" s="211"/>
      <c r="E5235" s="211"/>
      <c r="U5235" s="222"/>
    </row>
    <row r="5236" spans="2:21" x14ac:dyDescent="0.2">
      <c r="B5236" s="207"/>
      <c r="C5236" s="210"/>
      <c r="D5236" s="211"/>
      <c r="E5236" s="211"/>
      <c r="U5236" s="222"/>
    </row>
    <row r="5237" spans="2:21" x14ac:dyDescent="0.2">
      <c r="B5237" s="207"/>
      <c r="C5237" s="210"/>
      <c r="D5237" s="211"/>
      <c r="E5237" s="211"/>
      <c r="U5237" s="222"/>
    </row>
    <row r="5238" spans="2:21" x14ac:dyDescent="0.2">
      <c r="B5238" s="207"/>
      <c r="C5238" s="210"/>
      <c r="D5238" s="211"/>
      <c r="E5238" s="211"/>
      <c r="U5238" s="222"/>
    </row>
    <row r="5239" spans="2:21" x14ac:dyDescent="0.2">
      <c r="B5239" s="207"/>
      <c r="C5239" s="210"/>
      <c r="D5239" s="211"/>
      <c r="E5239" s="211"/>
      <c r="U5239" s="222"/>
    </row>
    <row r="5240" spans="2:21" x14ac:dyDescent="0.2">
      <c r="B5240" s="207"/>
      <c r="C5240" s="210"/>
      <c r="D5240" s="211"/>
      <c r="E5240" s="211"/>
      <c r="U5240" s="222"/>
    </row>
    <row r="5241" spans="2:21" x14ac:dyDescent="0.2">
      <c r="B5241" s="207"/>
      <c r="C5241" s="210"/>
      <c r="D5241" s="211"/>
      <c r="E5241" s="211"/>
      <c r="U5241" s="222"/>
    </row>
    <row r="5242" spans="2:21" x14ac:dyDescent="0.2">
      <c r="B5242" s="207"/>
      <c r="C5242" s="210"/>
      <c r="D5242" s="211"/>
      <c r="E5242" s="211"/>
      <c r="U5242" s="222"/>
    </row>
    <row r="5243" spans="2:21" x14ac:dyDescent="0.2">
      <c r="B5243" s="207"/>
      <c r="C5243" s="210"/>
      <c r="D5243" s="211"/>
      <c r="E5243" s="211"/>
      <c r="U5243" s="222"/>
    </row>
    <row r="5244" spans="2:21" x14ac:dyDescent="0.2">
      <c r="B5244" s="207"/>
      <c r="C5244" s="210"/>
      <c r="D5244" s="211"/>
      <c r="E5244" s="211"/>
      <c r="U5244" s="222"/>
    </row>
    <row r="5245" spans="2:21" x14ac:dyDescent="0.2">
      <c r="B5245" s="207"/>
      <c r="C5245" s="210"/>
      <c r="D5245" s="211"/>
      <c r="E5245" s="211"/>
      <c r="U5245" s="222"/>
    </row>
    <row r="5246" spans="2:21" x14ac:dyDescent="0.2">
      <c r="B5246" s="207"/>
      <c r="C5246" s="210"/>
      <c r="D5246" s="211"/>
      <c r="E5246" s="211"/>
      <c r="U5246" s="222"/>
    </row>
    <row r="5247" spans="2:21" x14ac:dyDescent="0.2">
      <c r="B5247" s="207"/>
      <c r="C5247" s="210"/>
      <c r="D5247" s="211"/>
      <c r="E5247" s="211"/>
      <c r="U5247" s="222"/>
    </row>
    <row r="5248" spans="2:21" x14ac:dyDescent="0.2">
      <c r="B5248" s="207"/>
      <c r="C5248" s="210"/>
      <c r="D5248" s="211"/>
      <c r="E5248" s="211"/>
      <c r="U5248" s="222"/>
    </row>
    <row r="5249" spans="2:21" x14ac:dyDescent="0.2">
      <c r="B5249" s="207"/>
      <c r="C5249" s="210"/>
      <c r="D5249" s="211"/>
      <c r="E5249" s="211"/>
      <c r="U5249" s="222"/>
    </row>
    <row r="5250" spans="2:21" x14ac:dyDescent="0.2">
      <c r="B5250" s="207"/>
      <c r="C5250" s="210"/>
      <c r="D5250" s="211"/>
      <c r="E5250" s="211"/>
      <c r="U5250" s="222"/>
    </row>
    <row r="5251" spans="2:21" x14ac:dyDescent="0.2">
      <c r="B5251" s="207"/>
      <c r="C5251" s="210"/>
      <c r="D5251" s="211"/>
      <c r="E5251" s="211"/>
      <c r="U5251" s="222"/>
    </row>
    <row r="5252" spans="2:21" x14ac:dyDescent="0.2">
      <c r="B5252" s="207"/>
      <c r="C5252" s="210"/>
      <c r="D5252" s="211"/>
      <c r="E5252" s="211"/>
      <c r="U5252" s="222"/>
    </row>
    <row r="5253" spans="2:21" x14ac:dyDescent="0.2">
      <c r="B5253" s="207"/>
      <c r="C5253" s="210"/>
      <c r="D5253" s="211"/>
      <c r="E5253" s="211"/>
      <c r="U5253" s="222"/>
    </row>
    <row r="5254" spans="2:21" x14ac:dyDescent="0.2">
      <c r="B5254" s="207"/>
      <c r="C5254" s="210"/>
      <c r="D5254" s="211"/>
      <c r="E5254" s="211"/>
      <c r="U5254" s="222"/>
    </row>
    <row r="5255" spans="2:21" x14ac:dyDescent="0.2">
      <c r="B5255" s="207"/>
      <c r="C5255" s="210"/>
      <c r="D5255" s="211"/>
      <c r="E5255" s="211"/>
      <c r="U5255" s="222"/>
    </row>
    <row r="5256" spans="2:21" x14ac:dyDescent="0.2">
      <c r="B5256" s="207"/>
      <c r="C5256" s="210"/>
      <c r="D5256" s="211"/>
      <c r="E5256" s="211"/>
      <c r="U5256" s="222"/>
    </row>
    <row r="5257" spans="2:21" x14ac:dyDescent="0.2">
      <c r="B5257" s="207"/>
      <c r="C5257" s="210"/>
      <c r="D5257" s="211"/>
      <c r="E5257" s="211"/>
      <c r="U5257" s="222"/>
    </row>
    <row r="5258" spans="2:21" x14ac:dyDescent="0.2">
      <c r="B5258" s="207"/>
      <c r="C5258" s="210"/>
      <c r="D5258" s="211"/>
      <c r="E5258" s="211"/>
      <c r="U5258" s="222"/>
    </row>
    <row r="5259" spans="2:21" x14ac:dyDescent="0.2">
      <c r="B5259" s="207"/>
      <c r="C5259" s="210"/>
      <c r="D5259" s="211"/>
      <c r="E5259" s="211"/>
      <c r="U5259" s="222"/>
    </row>
    <row r="5260" spans="2:21" x14ac:dyDescent="0.2">
      <c r="B5260" s="207"/>
      <c r="C5260" s="210"/>
      <c r="D5260" s="211"/>
      <c r="E5260" s="211"/>
      <c r="U5260" s="222"/>
    </row>
    <row r="5261" spans="2:21" x14ac:dyDescent="0.2">
      <c r="B5261" s="207"/>
      <c r="C5261" s="210"/>
      <c r="D5261" s="211"/>
      <c r="E5261" s="211"/>
      <c r="U5261" s="222"/>
    </row>
    <row r="5262" spans="2:21" x14ac:dyDescent="0.2">
      <c r="B5262" s="207"/>
      <c r="C5262" s="210"/>
      <c r="D5262" s="211"/>
      <c r="E5262" s="211"/>
      <c r="U5262" s="222"/>
    </row>
    <row r="5263" spans="2:21" x14ac:dyDescent="0.2">
      <c r="B5263" s="207"/>
      <c r="C5263" s="210"/>
      <c r="D5263" s="211"/>
      <c r="E5263" s="211"/>
      <c r="U5263" s="222"/>
    </row>
    <row r="5264" spans="2:21" x14ac:dyDescent="0.2">
      <c r="B5264" s="207"/>
      <c r="C5264" s="210"/>
      <c r="D5264" s="211"/>
      <c r="E5264" s="211"/>
      <c r="U5264" s="222"/>
    </row>
    <row r="5265" spans="2:21" x14ac:dyDescent="0.2">
      <c r="B5265" s="207"/>
      <c r="C5265" s="210"/>
      <c r="D5265" s="211"/>
      <c r="E5265" s="211"/>
      <c r="U5265" s="222"/>
    </row>
    <row r="5266" spans="2:21" x14ac:dyDescent="0.2">
      <c r="B5266" s="207"/>
      <c r="C5266" s="210"/>
      <c r="D5266" s="211"/>
      <c r="E5266" s="211"/>
      <c r="U5266" s="222"/>
    </row>
    <row r="5267" spans="2:21" x14ac:dyDescent="0.2">
      <c r="B5267" s="207"/>
      <c r="C5267" s="210"/>
      <c r="D5267" s="211"/>
      <c r="E5267" s="211"/>
      <c r="U5267" s="222"/>
    </row>
    <row r="5268" spans="2:21" x14ac:dyDescent="0.2">
      <c r="B5268" s="207"/>
      <c r="C5268" s="210"/>
      <c r="D5268" s="211"/>
      <c r="E5268" s="211"/>
      <c r="U5268" s="222"/>
    </row>
    <row r="5269" spans="2:21" x14ac:dyDescent="0.2">
      <c r="B5269" s="207"/>
      <c r="C5269" s="210"/>
      <c r="D5269" s="211"/>
      <c r="E5269" s="211"/>
      <c r="U5269" s="222"/>
    </row>
    <row r="5270" spans="2:21" x14ac:dyDescent="0.2">
      <c r="B5270" s="207"/>
      <c r="C5270" s="210"/>
      <c r="D5270" s="211"/>
      <c r="E5270" s="211"/>
      <c r="U5270" s="222"/>
    </row>
    <row r="5271" spans="2:21" x14ac:dyDescent="0.2">
      <c r="B5271" s="207"/>
      <c r="C5271" s="210"/>
      <c r="D5271" s="211"/>
      <c r="E5271" s="211"/>
      <c r="U5271" s="222"/>
    </row>
    <row r="5272" spans="2:21" x14ac:dyDescent="0.2">
      <c r="B5272" s="207"/>
      <c r="C5272" s="210"/>
      <c r="D5272" s="211"/>
      <c r="E5272" s="211"/>
      <c r="U5272" s="222"/>
    </row>
    <row r="5273" spans="2:21" x14ac:dyDescent="0.2">
      <c r="B5273" s="207"/>
      <c r="C5273" s="210"/>
      <c r="D5273" s="211"/>
      <c r="E5273" s="211"/>
      <c r="U5273" s="222"/>
    </row>
    <row r="5274" spans="2:21" x14ac:dyDescent="0.2">
      <c r="B5274" s="207"/>
      <c r="C5274" s="210"/>
      <c r="D5274" s="211"/>
      <c r="E5274" s="211"/>
      <c r="U5274" s="222"/>
    </row>
    <row r="5275" spans="2:21" x14ac:dyDescent="0.2">
      <c r="B5275" s="207"/>
      <c r="C5275" s="210"/>
      <c r="D5275" s="211"/>
      <c r="E5275" s="211"/>
      <c r="U5275" s="222"/>
    </row>
    <row r="5276" spans="2:21" x14ac:dyDescent="0.2">
      <c r="B5276" s="207"/>
      <c r="C5276" s="210"/>
      <c r="D5276" s="211"/>
      <c r="E5276" s="211"/>
      <c r="U5276" s="222"/>
    </row>
    <row r="5277" spans="2:21" x14ac:dyDescent="0.2">
      <c r="B5277" s="207"/>
      <c r="C5277" s="210"/>
      <c r="D5277" s="211"/>
      <c r="E5277" s="211"/>
      <c r="U5277" s="222"/>
    </row>
    <row r="5278" spans="2:21" x14ac:dyDescent="0.2">
      <c r="B5278" s="207"/>
      <c r="C5278" s="210"/>
      <c r="D5278" s="211"/>
      <c r="E5278" s="211"/>
      <c r="U5278" s="222"/>
    </row>
    <row r="5279" spans="2:21" x14ac:dyDescent="0.2">
      <c r="B5279" s="207"/>
      <c r="C5279" s="210"/>
      <c r="D5279" s="211"/>
      <c r="E5279" s="211"/>
      <c r="U5279" s="222"/>
    </row>
    <row r="5280" spans="2:21" x14ac:dyDescent="0.2">
      <c r="B5280" s="207"/>
      <c r="C5280" s="210"/>
      <c r="D5280" s="211"/>
      <c r="E5280" s="211"/>
      <c r="U5280" s="222"/>
    </row>
    <row r="5281" spans="2:21" x14ac:dyDescent="0.2">
      <c r="B5281" s="207"/>
      <c r="C5281" s="210"/>
      <c r="D5281" s="211"/>
      <c r="E5281" s="211"/>
      <c r="U5281" s="222"/>
    </row>
    <row r="5282" spans="2:21" x14ac:dyDescent="0.2">
      <c r="B5282" s="207"/>
      <c r="C5282" s="210"/>
      <c r="D5282" s="211"/>
      <c r="E5282" s="211"/>
      <c r="U5282" s="222"/>
    </row>
    <row r="5283" spans="2:21" x14ac:dyDescent="0.2">
      <c r="B5283" s="207"/>
      <c r="C5283" s="210"/>
      <c r="D5283" s="211"/>
      <c r="E5283" s="211"/>
      <c r="U5283" s="222"/>
    </row>
    <row r="5284" spans="2:21" x14ac:dyDescent="0.2">
      <c r="B5284" s="207"/>
      <c r="C5284" s="210"/>
      <c r="D5284" s="211"/>
      <c r="E5284" s="211"/>
      <c r="U5284" s="222"/>
    </row>
    <row r="5285" spans="2:21" x14ac:dyDescent="0.2">
      <c r="B5285" s="207"/>
      <c r="C5285" s="210"/>
      <c r="D5285" s="211"/>
      <c r="E5285" s="211"/>
      <c r="U5285" s="222"/>
    </row>
    <row r="5286" spans="2:21" x14ac:dyDescent="0.2">
      <c r="B5286" s="207"/>
      <c r="C5286" s="210"/>
      <c r="D5286" s="211"/>
      <c r="E5286" s="211"/>
      <c r="U5286" s="222"/>
    </row>
    <row r="5287" spans="2:21" x14ac:dyDescent="0.2">
      <c r="B5287" s="207"/>
      <c r="C5287" s="210"/>
      <c r="D5287" s="211"/>
      <c r="E5287" s="211"/>
      <c r="U5287" s="222"/>
    </row>
    <row r="5288" spans="2:21" x14ac:dyDescent="0.2">
      <c r="B5288" s="207"/>
      <c r="C5288" s="210"/>
      <c r="D5288" s="211"/>
      <c r="E5288" s="211"/>
      <c r="U5288" s="222"/>
    </row>
    <row r="5289" spans="2:21" x14ac:dyDescent="0.2">
      <c r="B5289" s="207"/>
      <c r="C5289" s="210"/>
      <c r="D5289" s="211"/>
      <c r="E5289" s="211"/>
      <c r="U5289" s="222"/>
    </row>
    <row r="5290" spans="2:21" x14ac:dyDescent="0.2">
      <c r="B5290" s="207"/>
      <c r="C5290" s="210"/>
      <c r="D5290" s="211"/>
      <c r="E5290" s="211"/>
      <c r="U5290" s="222"/>
    </row>
    <row r="5291" spans="2:21" x14ac:dyDescent="0.2">
      <c r="B5291" s="207"/>
      <c r="C5291" s="210"/>
      <c r="D5291" s="211"/>
      <c r="E5291" s="211"/>
      <c r="U5291" s="222"/>
    </row>
    <row r="5292" spans="2:21" x14ac:dyDescent="0.2">
      <c r="B5292" s="207"/>
      <c r="C5292" s="210"/>
      <c r="D5292" s="211"/>
      <c r="E5292" s="211"/>
      <c r="U5292" s="222"/>
    </row>
    <row r="5293" spans="2:21" x14ac:dyDescent="0.2">
      <c r="B5293" s="207"/>
      <c r="C5293" s="210"/>
      <c r="D5293" s="211"/>
      <c r="E5293" s="211"/>
      <c r="U5293" s="222"/>
    </row>
    <row r="5294" spans="2:21" x14ac:dyDescent="0.2">
      <c r="B5294" s="207"/>
      <c r="C5294" s="210"/>
      <c r="D5294" s="211"/>
      <c r="E5294" s="211"/>
      <c r="U5294" s="222"/>
    </row>
    <row r="5295" spans="2:21" x14ac:dyDescent="0.2">
      <c r="B5295" s="207"/>
      <c r="C5295" s="210"/>
      <c r="D5295" s="211"/>
      <c r="E5295" s="211"/>
      <c r="U5295" s="222"/>
    </row>
    <row r="5296" spans="2:21" x14ac:dyDescent="0.2">
      <c r="B5296" s="207"/>
      <c r="C5296" s="210"/>
      <c r="D5296" s="211"/>
      <c r="E5296" s="211"/>
      <c r="U5296" s="222"/>
    </row>
    <row r="5297" spans="2:21" x14ac:dyDescent="0.2">
      <c r="B5297" s="207"/>
      <c r="C5297" s="210"/>
      <c r="D5297" s="211"/>
      <c r="E5297" s="211"/>
      <c r="U5297" s="222"/>
    </row>
    <row r="5298" spans="2:21" x14ac:dyDescent="0.2">
      <c r="B5298" s="207"/>
      <c r="C5298" s="210"/>
      <c r="D5298" s="211"/>
      <c r="E5298" s="211"/>
      <c r="U5298" s="222"/>
    </row>
    <row r="5299" spans="2:21" x14ac:dyDescent="0.2">
      <c r="B5299" s="207"/>
      <c r="C5299" s="210"/>
      <c r="D5299" s="211"/>
      <c r="E5299" s="211"/>
      <c r="U5299" s="222"/>
    </row>
    <row r="5300" spans="2:21" x14ac:dyDescent="0.2">
      <c r="B5300" s="207"/>
      <c r="C5300" s="210"/>
      <c r="D5300" s="211"/>
      <c r="E5300" s="211"/>
      <c r="U5300" s="222"/>
    </row>
    <row r="5301" spans="2:21" x14ac:dyDescent="0.2">
      <c r="B5301" s="207"/>
      <c r="C5301" s="210"/>
      <c r="D5301" s="211"/>
      <c r="E5301" s="211"/>
      <c r="U5301" s="222"/>
    </row>
    <row r="5302" spans="2:21" x14ac:dyDescent="0.2">
      <c r="B5302" s="207"/>
      <c r="C5302" s="210"/>
      <c r="D5302" s="211"/>
      <c r="E5302" s="211"/>
      <c r="U5302" s="222"/>
    </row>
    <row r="5303" spans="2:21" x14ac:dyDescent="0.2">
      <c r="B5303" s="207"/>
      <c r="C5303" s="210"/>
      <c r="D5303" s="211"/>
      <c r="E5303" s="211"/>
      <c r="U5303" s="222"/>
    </row>
    <row r="5304" spans="2:21" x14ac:dyDescent="0.2">
      <c r="B5304" s="207"/>
      <c r="C5304" s="210"/>
      <c r="D5304" s="211"/>
      <c r="E5304" s="211"/>
      <c r="U5304" s="222"/>
    </row>
    <row r="5305" spans="2:21" x14ac:dyDescent="0.2">
      <c r="B5305" s="207"/>
      <c r="C5305" s="210"/>
      <c r="D5305" s="211"/>
      <c r="E5305" s="211"/>
      <c r="U5305" s="222"/>
    </row>
    <row r="5306" spans="2:21" x14ac:dyDescent="0.2">
      <c r="B5306" s="207"/>
      <c r="C5306" s="210"/>
      <c r="D5306" s="211"/>
      <c r="E5306" s="211"/>
      <c r="U5306" s="222"/>
    </row>
    <row r="5307" spans="2:21" x14ac:dyDescent="0.2">
      <c r="B5307" s="207"/>
      <c r="C5307" s="210"/>
      <c r="D5307" s="211"/>
      <c r="E5307" s="211"/>
      <c r="U5307" s="222"/>
    </row>
    <row r="5308" spans="2:21" x14ac:dyDescent="0.2">
      <c r="B5308" s="207"/>
      <c r="C5308" s="210"/>
      <c r="D5308" s="211"/>
      <c r="E5308" s="211"/>
      <c r="U5308" s="222"/>
    </row>
    <row r="5309" spans="2:21" x14ac:dyDescent="0.2">
      <c r="B5309" s="207"/>
      <c r="C5309" s="210"/>
      <c r="D5309" s="211"/>
      <c r="E5309" s="211"/>
      <c r="U5309" s="222"/>
    </row>
    <row r="5310" spans="2:21" x14ac:dyDescent="0.2">
      <c r="B5310" s="207"/>
      <c r="C5310" s="210"/>
      <c r="D5310" s="211"/>
      <c r="E5310" s="211"/>
      <c r="U5310" s="222"/>
    </row>
    <row r="5311" spans="2:21" x14ac:dyDescent="0.2">
      <c r="B5311" s="207"/>
      <c r="C5311" s="210"/>
      <c r="D5311" s="211"/>
      <c r="E5311" s="211"/>
      <c r="U5311" s="222"/>
    </row>
    <row r="5312" spans="2:21" x14ac:dyDescent="0.2">
      <c r="B5312" s="207"/>
      <c r="C5312" s="210"/>
      <c r="D5312" s="211"/>
      <c r="E5312" s="211"/>
      <c r="U5312" s="222"/>
    </row>
    <row r="5313" spans="2:21" x14ac:dyDescent="0.2">
      <c r="B5313" s="207"/>
      <c r="C5313" s="210"/>
      <c r="D5313" s="211"/>
      <c r="E5313" s="211"/>
      <c r="U5313" s="222"/>
    </row>
    <row r="5314" spans="2:21" x14ac:dyDescent="0.2">
      <c r="B5314" s="207"/>
      <c r="C5314" s="210"/>
      <c r="D5314" s="211"/>
      <c r="E5314" s="211"/>
      <c r="U5314" s="222"/>
    </row>
    <row r="5315" spans="2:21" x14ac:dyDescent="0.2">
      <c r="B5315" s="207"/>
      <c r="C5315" s="210"/>
      <c r="D5315" s="211"/>
      <c r="E5315" s="211"/>
      <c r="U5315" s="222"/>
    </row>
    <row r="5316" spans="2:21" x14ac:dyDescent="0.2">
      <c r="B5316" s="207"/>
      <c r="C5316" s="210"/>
      <c r="D5316" s="211"/>
      <c r="E5316" s="211"/>
      <c r="U5316" s="222"/>
    </row>
    <row r="5317" spans="2:21" x14ac:dyDescent="0.2">
      <c r="B5317" s="207"/>
      <c r="C5317" s="210"/>
      <c r="D5317" s="211"/>
      <c r="E5317" s="211"/>
      <c r="U5317" s="222"/>
    </row>
    <row r="5318" spans="2:21" x14ac:dyDescent="0.2">
      <c r="B5318" s="207"/>
      <c r="C5318" s="210"/>
      <c r="D5318" s="211"/>
      <c r="E5318" s="211"/>
      <c r="U5318" s="222"/>
    </row>
    <row r="5319" spans="2:21" x14ac:dyDescent="0.2">
      <c r="B5319" s="207"/>
      <c r="C5319" s="210"/>
      <c r="D5319" s="211"/>
      <c r="E5319" s="211"/>
      <c r="U5319" s="222"/>
    </row>
    <row r="5320" spans="2:21" x14ac:dyDescent="0.2">
      <c r="B5320" s="207"/>
      <c r="C5320" s="210"/>
      <c r="D5320" s="211"/>
      <c r="E5320" s="211"/>
      <c r="U5320" s="222"/>
    </row>
    <row r="5321" spans="2:21" x14ac:dyDescent="0.2">
      <c r="B5321" s="207"/>
      <c r="C5321" s="210"/>
      <c r="D5321" s="211"/>
      <c r="E5321" s="211"/>
      <c r="U5321" s="222"/>
    </row>
    <row r="5322" spans="2:21" x14ac:dyDescent="0.2">
      <c r="B5322" s="207"/>
      <c r="C5322" s="210"/>
      <c r="D5322" s="211"/>
      <c r="E5322" s="211"/>
      <c r="U5322" s="222"/>
    </row>
    <row r="5323" spans="2:21" x14ac:dyDescent="0.2">
      <c r="B5323" s="207"/>
      <c r="C5323" s="210"/>
      <c r="D5323" s="211"/>
      <c r="E5323" s="211"/>
      <c r="U5323" s="222"/>
    </row>
    <row r="5324" spans="2:21" x14ac:dyDescent="0.2">
      <c r="B5324" s="207"/>
      <c r="C5324" s="210"/>
      <c r="D5324" s="211"/>
      <c r="E5324" s="211"/>
      <c r="U5324" s="222"/>
    </row>
    <row r="5325" spans="2:21" x14ac:dyDescent="0.2">
      <c r="B5325" s="207"/>
      <c r="C5325" s="210"/>
      <c r="D5325" s="211"/>
      <c r="E5325" s="211"/>
      <c r="U5325" s="222"/>
    </row>
    <row r="5326" spans="2:21" x14ac:dyDescent="0.2">
      <c r="B5326" s="207"/>
      <c r="C5326" s="210"/>
      <c r="D5326" s="211"/>
      <c r="E5326" s="211"/>
      <c r="U5326" s="222"/>
    </row>
    <row r="5327" spans="2:21" x14ac:dyDescent="0.2">
      <c r="B5327" s="207"/>
      <c r="C5327" s="210"/>
      <c r="D5327" s="211"/>
      <c r="E5327" s="211"/>
      <c r="U5327" s="222"/>
    </row>
    <row r="5328" spans="2:21" x14ac:dyDescent="0.2">
      <c r="B5328" s="207"/>
      <c r="C5328" s="210"/>
      <c r="D5328" s="211"/>
      <c r="E5328" s="211"/>
      <c r="U5328" s="222"/>
    </row>
    <row r="5329" spans="2:21" x14ac:dyDescent="0.2">
      <c r="B5329" s="207"/>
      <c r="C5329" s="210"/>
      <c r="D5329" s="211"/>
      <c r="E5329" s="211"/>
      <c r="U5329" s="222"/>
    </row>
    <row r="5330" spans="2:21" x14ac:dyDescent="0.2">
      <c r="B5330" s="207"/>
      <c r="C5330" s="210"/>
      <c r="D5330" s="211"/>
      <c r="E5330" s="211"/>
      <c r="U5330" s="222"/>
    </row>
    <row r="5331" spans="2:21" x14ac:dyDescent="0.2">
      <c r="B5331" s="207"/>
      <c r="C5331" s="210"/>
      <c r="D5331" s="211"/>
      <c r="E5331" s="211"/>
      <c r="U5331" s="222"/>
    </row>
    <row r="5332" spans="2:21" x14ac:dyDescent="0.2">
      <c r="B5332" s="207"/>
      <c r="C5332" s="210"/>
      <c r="D5332" s="211"/>
      <c r="E5332" s="211"/>
      <c r="U5332" s="222"/>
    </row>
    <row r="5333" spans="2:21" x14ac:dyDescent="0.2">
      <c r="B5333" s="207"/>
      <c r="C5333" s="210"/>
      <c r="D5333" s="211"/>
      <c r="E5333" s="211"/>
      <c r="U5333" s="222"/>
    </row>
    <row r="5334" spans="2:21" x14ac:dyDescent="0.2">
      <c r="B5334" s="207"/>
      <c r="C5334" s="210"/>
      <c r="D5334" s="211"/>
      <c r="E5334" s="211"/>
      <c r="U5334" s="222"/>
    </row>
    <row r="5335" spans="2:21" x14ac:dyDescent="0.2">
      <c r="B5335" s="207"/>
      <c r="C5335" s="210"/>
      <c r="D5335" s="211"/>
      <c r="E5335" s="211"/>
      <c r="U5335" s="222"/>
    </row>
    <row r="5336" spans="2:21" x14ac:dyDescent="0.2">
      <c r="B5336" s="207"/>
      <c r="C5336" s="210"/>
      <c r="D5336" s="211"/>
      <c r="E5336" s="211"/>
      <c r="U5336" s="222"/>
    </row>
    <row r="5337" spans="2:21" x14ac:dyDescent="0.2">
      <c r="B5337" s="207"/>
      <c r="C5337" s="210"/>
      <c r="D5337" s="211"/>
      <c r="E5337" s="211"/>
      <c r="U5337" s="222"/>
    </row>
    <row r="5338" spans="2:21" x14ac:dyDescent="0.2">
      <c r="B5338" s="207"/>
      <c r="C5338" s="210"/>
      <c r="D5338" s="211"/>
      <c r="E5338" s="211"/>
      <c r="U5338" s="222"/>
    </row>
    <row r="5339" spans="2:21" x14ac:dyDescent="0.2">
      <c r="B5339" s="207"/>
      <c r="C5339" s="210"/>
      <c r="D5339" s="211"/>
      <c r="E5339" s="211"/>
      <c r="U5339" s="222"/>
    </row>
    <row r="5340" spans="2:21" x14ac:dyDescent="0.2">
      <c r="B5340" s="207"/>
      <c r="C5340" s="210"/>
      <c r="D5340" s="211"/>
      <c r="E5340" s="211"/>
      <c r="U5340" s="222"/>
    </row>
    <row r="5341" spans="2:21" x14ac:dyDescent="0.2">
      <c r="B5341" s="207"/>
      <c r="C5341" s="210"/>
      <c r="D5341" s="211"/>
      <c r="E5341" s="211"/>
      <c r="U5341" s="222"/>
    </row>
    <row r="5342" spans="2:21" x14ac:dyDescent="0.2">
      <c r="B5342" s="207"/>
      <c r="C5342" s="210"/>
      <c r="D5342" s="211"/>
      <c r="E5342" s="211"/>
      <c r="U5342" s="222"/>
    </row>
    <row r="5343" spans="2:21" x14ac:dyDescent="0.2">
      <c r="B5343" s="207"/>
      <c r="C5343" s="210"/>
      <c r="D5343" s="211"/>
      <c r="E5343" s="211"/>
      <c r="U5343" s="222"/>
    </row>
    <row r="5344" spans="2:21" x14ac:dyDescent="0.2">
      <c r="B5344" s="207"/>
      <c r="C5344" s="210"/>
      <c r="D5344" s="211"/>
      <c r="E5344" s="211"/>
      <c r="U5344" s="222"/>
    </row>
    <row r="5345" spans="2:21" x14ac:dyDescent="0.2">
      <c r="B5345" s="207"/>
      <c r="C5345" s="210"/>
      <c r="D5345" s="211"/>
      <c r="E5345" s="211"/>
      <c r="U5345" s="222"/>
    </row>
    <row r="5346" spans="2:21" x14ac:dyDescent="0.2">
      <c r="B5346" s="207"/>
      <c r="C5346" s="210"/>
      <c r="D5346" s="211"/>
      <c r="E5346" s="211"/>
      <c r="U5346" s="222"/>
    </row>
    <row r="5347" spans="2:21" x14ac:dyDescent="0.2">
      <c r="B5347" s="207"/>
      <c r="C5347" s="210"/>
      <c r="D5347" s="211"/>
      <c r="E5347" s="211"/>
      <c r="U5347" s="222"/>
    </row>
    <row r="5348" spans="2:21" x14ac:dyDescent="0.2">
      <c r="B5348" s="207"/>
      <c r="C5348" s="210"/>
      <c r="D5348" s="211"/>
      <c r="E5348" s="211"/>
      <c r="U5348" s="222"/>
    </row>
    <row r="5349" spans="2:21" x14ac:dyDescent="0.2">
      <c r="B5349" s="207"/>
      <c r="C5349" s="210"/>
      <c r="D5349" s="211"/>
      <c r="E5349" s="211"/>
      <c r="U5349" s="222"/>
    </row>
    <row r="5350" spans="2:21" x14ac:dyDescent="0.2">
      <c r="B5350" s="207"/>
      <c r="C5350" s="210"/>
      <c r="D5350" s="211"/>
      <c r="E5350" s="211"/>
      <c r="U5350" s="222"/>
    </row>
    <row r="5351" spans="2:21" x14ac:dyDescent="0.2">
      <c r="B5351" s="207"/>
      <c r="C5351" s="210"/>
      <c r="D5351" s="211"/>
      <c r="E5351" s="211"/>
      <c r="U5351" s="222"/>
    </row>
    <row r="5352" spans="2:21" x14ac:dyDescent="0.2">
      <c r="B5352" s="207"/>
      <c r="C5352" s="210"/>
      <c r="D5352" s="211"/>
      <c r="E5352" s="211"/>
      <c r="U5352" s="222"/>
    </row>
    <row r="5353" spans="2:21" x14ac:dyDescent="0.2">
      <c r="B5353" s="207"/>
      <c r="C5353" s="210"/>
      <c r="D5353" s="211"/>
      <c r="E5353" s="211"/>
      <c r="U5353" s="222"/>
    </row>
    <row r="5354" spans="2:21" x14ac:dyDescent="0.2">
      <c r="B5354" s="207"/>
      <c r="C5354" s="210"/>
      <c r="D5354" s="211"/>
      <c r="E5354" s="211"/>
      <c r="U5354" s="222"/>
    </row>
    <row r="5355" spans="2:21" x14ac:dyDescent="0.2">
      <c r="B5355" s="207"/>
      <c r="C5355" s="210"/>
      <c r="D5355" s="211"/>
      <c r="E5355" s="211"/>
      <c r="U5355" s="222"/>
    </row>
    <row r="5356" spans="2:21" x14ac:dyDescent="0.2">
      <c r="B5356" s="207"/>
      <c r="C5356" s="210"/>
      <c r="D5356" s="211"/>
      <c r="E5356" s="211"/>
      <c r="U5356" s="222"/>
    </row>
    <row r="5357" spans="2:21" x14ac:dyDescent="0.2">
      <c r="B5357" s="207"/>
      <c r="C5357" s="210"/>
      <c r="D5357" s="211"/>
      <c r="E5357" s="211"/>
      <c r="U5357" s="222"/>
    </row>
    <row r="5358" spans="2:21" x14ac:dyDescent="0.2">
      <c r="B5358" s="207"/>
      <c r="C5358" s="210"/>
      <c r="D5358" s="211"/>
      <c r="E5358" s="211"/>
      <c r="U5358" s="222"/>
    </row>
    <row r="5359" spans="2:21" x14ac:dyDescent="0.2">
      <c r="B5359" s="207"/>
      <c r="C5359" s="210"/>
      <c r="D5359" s="211"/>
      <c r="E5359" s="211"/>
      <c r="U5359" s="222"/>
    </row>
    <row r="5360" spans="2:21" x14ac:dyDescent="0.2">
      <c r="B5360" s="207"/>
      <c r="C5360" s="210"/>
      <c r="D5360" s="211"/>
      <c r="E5360" s="211"/>
      <c r="U5360" s="222"/>
    </row>
    <row r="5361" spans="2:21" x14ac:dyDescent="0.2">
      <c r="B5361" s="207"/>
      <c r="C5361" s="210"/>
      <c r="D5361" s="211"/>
      <c r="E5361" s="211"/>
      <c r="U5361" s="222"/>
    </row>
    <row r="5362" spans="2:21" x14ac:dyDescent="0.2">
      <c r="B5362" s="207"/>
      <c r="C5362" s="210"/>
      <c r="D5362" s="211"/>
      <c r="E5362" s="211"/>
      <c r="U5362" s="222"/>
    </row>
    <row r="5363" spans="2:21" x14ac:dyDescent="0.2">
      <c r="B5363" s="207"/>
      <c r="C5363" s="210"/>
      <c r="D5363" s="211"/>
      <c r="E5363" s="211"/>
      <c r="U5363" s="222"/>
    </row>
    <row r="5364" spans="2:21" x14ac:dyDescent="0.2">
      <c r="B5364" s="207"/>
      <c r="C5364" s="210"/>
      <c r="D5364" s="211"/>
      <c r="E5364" s="211"/>
      <c r="U5364" s="222"/>
    </row>
    <row r="5365" spans="2:21" x14ac:dyDescent="0.2">
      <c r="B5365" s="207"/>
      <c r="C5365" s="210"/>
      <c r="D5365" s="211"/>
      <c r="E5365" s="211"/>
      <c r="U5365" s="222"/>
    </row>
    <row r="5366" spans="2:21" x14ac:dyDescent="0.2">
      <c r="B5366" s="207"/>
      <c r="C5366" s="210"/>
      <c r="D5366" s="211"/>
      <c r="E5366" s="211"/>
      <c r="U5366" s="222"/>
    </row>
    <row r="5367" spans="2:21" x14ac:dyDescent="0.2">
      <c r="B5367" s="207"/>
      <c r="C5367" s="210"/>
      <c r="D5367" s="211"/>
      <c r="E5367" s="211"/>
      <c r="U5367" s="222"/>
    </row>
    <row r="5368" spans="2:21" x14ac:dyDescent="0.2">
      <c r="B5368" s="207"/>
      <c r="C5368" s="210"/>
      <c r="D5368" s="211"/>
      <c r="E5368" s="211"/>
      <c r="U5368" s="222"/>
    </row>
    <row r="5369" spans="2:21" x14ac:dyDescent="0.2">
      <c r="B5369" s="207"/>
      <c r="C5369" s="210"/>
      <c r="D5369" s="211"/>
      <c r="E5369" s="211"/>
      <c r="U5369" s="222"/>
    </row>
    <row r="5370" spans="2:21" x14ac:dyDescent="0.2">
      <c r="B5370" s="207"/>
      <c r="C5370" s="210"/>
      <c r="D5370" s="211"/>
      <c r="E5370" s="211"/>
      <c r="U5370" s="222"/>
    </row>
    <row r="5371" spans="2:21" x14ac:dyDescent="0.2">
      <c r="B5371" s="207"/>
      <c r="C5371" s="210"/>
      <c r="D5371" s="211"/>
      <c r="E5371" s="211"/>
      <c r="U5371" s="222"/>
    </row>
    <row r="5372" spans="2:21" x14ac:dyDescent="0.2">
      <c r="B5372" s="207"/>
      <c r="C5372" s="210"/>
      <c r="D5372" s="211"/>
      <c r="E5372" s="211"/>
      <c r="U5372" s="222"/>
    </row>
    <row r="5373" spans="2:21" x14ac:dyDescent="0.2">
      <c r="B5373" s="207"/>
      <c r="C5373" s="210"/>
      <c r="D5373" s="211"/>
      <c r="E5373" s="211"/>
      <c r="U5373" s="222"/>
    </row>
    <row r="5374" spans="2:21" x14ac:dyDescent="0.2">
      <c r="B5374" s="207"/>
      <c r="C5374" s="210"/>
      <c r="D5374" s="211"/>
      <c r="E5374" s="211"/>
      <c r="U5374" s="222"/>
    </row>
    <row r="5375" spans="2:21" x14ac:dyDescent="0.2">
      <c r="B5375" s="207"/>
      <c r="C5375" s="210"/>
      <c r="D5375" s="211"/>
      <c r="E5375" s="211"/>
      <c r="U5375" s="222"/>
    </row>
    <row r="5376" spans="2:21" x14ac:dyDescent="0.2">
      <c r="B5376" s="207"/>
      <c r="C5376" s="210"/>
      <c r="D5376" s="211"/>
      <c r="E5376" s="211"/>
      <c r="U5376" s="222"/>
    </row>
    <row r="5377" spans="2:21" x14ac:dyDescent="0.2">
      <c r="B5377" s="207"/>
      <c r="C5377" s="210"/>
      <c r="D5377" s="211"/>
      <c r="E5377" s="211"/>
      <c r="U5377" s="222"/>
    </row>
    <row r="5378" spans="2:21" x14ac:dyDescent="0.2">
      <c r="B5378" s="207"/>
      <c r="C5378" s="210"/>
      <c r="D5378" s="211"/>
      <c r="E5378" s="211"/>
      <c r="U5378" s="222"/>
    </row>
    <row r="5379" spans="2:21" x14ac:dyDescent="0.2">
      <c r="B5379" s="207"/>
      <c r="C5379" s="210"/>
      <c r="D5379" s="211"/>
      <c r="E5379" s="211"/>
      <c r="U5379" s="222"/>
    </row>
    <row r="5380" spans="2:21" x14ac:dyDescent="0.2">
      <c r="B5380" s="207"/>
      <c r="C5380" s="210"/>
      <c r="D5380" s="211"/>
      <c r="E5380" s="211"/>
      <c r="U5380" s="222"/>
    </row>
    <row r="5381" spans="2:21" x14ac:dyDescent="0.2">
      <c r="B5381" s="207"/>
      <c r="C5381" s="210"/>
      <c r="D5381" s="211"/>
      <c r="E5381" s="211"/>
      <c r="U5381" s="222"/>
    </row>
    <row r="5382" spans="2:21" x14ac:dyDescent="0.2">
      <c r="B5382" s="207"/>
      <c r="C5382" s="210"/>
      <c r="D5382" s="211"/>
      <c r="E5382" s="211"/>
      <c r="U5382" s="222"/>
    </row>
    <row r="5383" spans="2:21" x14ac:dyDescent="0.2">
      <c r="B5383" s="207"/>
      <c r="C5383" s="210"/>
      <c r="D5383" s="211"/>
      <c r="E5383" s="211"/>
      <c r="U5383" s="222"/>
    </row>
    <row r="5384" spans="2:21" x14ac:dyDescent="0.2">
      <c r="B5384" s="207"/>
      <c r="C5384" s="210"/>
      <c r="D5384" s="211"/>
      <c r="E5384" s="211"/>
      <c r="U5384" s="222"/>
    </row>
    <row r="5385" spans="2:21" x14ac:dyDescent="0.2">
      <c r="B5385" s="207"/>
      <c r="C5385" s="210"/>
      <c r="D5385" s="211"/>
      <c r="E5385" s="211"/>
      <c r="U5385" s="222"/>
    </row>
    <row r="5386" spans="2:21" x14ac:dyDescent="0.2">
      <c r="B5386" s="207"/>
      <c r="C5386" s="210"/>
      <c r="D5386" s="211"/>
      <c r="E5386" s="211"/>
      <c r="U5386" s="222"/>
    </row>
    <row r="5387" spans="2:21" x14ac:dyDescent="0.2">
      <c r="B5387" s="207"/>
      <c r="C5387" s="210"/>
      <c r="D5387" s="211"/>
      <c r="E5387" s="211"/>
      <c r="U5387" s="222"/>
    </row>
    <row r="5388" spans="2:21" x14ac:dyDescent="0.2">
      <c r="B5388" s="207"/>
      <c r="C5388" s="210"/>
      <c r="D5388" s="211"/>
      <c r="E5388" s="211"/>
      <c r="U5388" s="222"/>
    </row>
    <row r="5389" spans="2:21" x14ac:dyDescent="0.2">
      <c r="B5389" s="207"/>
      <c r="C5389" s="210"/>
      <c r="D5389" s="211"/>
      <c r="E5389" s="211"/>
      <c r="U5389" s="222"/>
    </row>
    <row r="5390" spans="2:21" x14ac:dyDescent="0.2">
      <c r="B5390" s="207"/>
      <c r="C5390" s="210"/>
      <c r="D5390" s="211"/>
      <c r="E5390" s="211"/>
      <c r="U5390" s="222"/>
    </row>
    <row r="5391" spans="2:21" x14ac:dyDescent="0.2">
      <c r="B5391" s="207"/>
      <c r="C5391" s="210"/>
      <c r="D5391" s="211"/>
      <c r="E5391" s="211"/>
      <c r="U5391" s="222"/>
    </row>
    <row r="5392" spans="2:21" x14ac:dyDescent="0.2">
      <c r="B5392" s="207"/>
      <c r="C5392" s="210"/>
      <c r="D5392" s="211"/>
      <c r="E5392" s="211"/>
      <c r="U5392" s="222"/>
    </row>
    <row r="5393" spans="2:21" x14ac:dyDescent="0.2">
      <c r="B5393" s="207"/>
      <c r="C5393" s="210"/>
      <c r="D5393" s="211"/>
      <c r="E5393" s="211"/>
      <c r="U5393" s="222"/>
    </row>
    <row r="5394" spans="2:21" x14ac:dyDescent="0.2">
      <c r="B5394" s="207"/>
      <c r="C5394" s="210"/>
      <c r="D5394" s="211"/>
      <c r="E5394" s="211"/>
      <c r="U5394" s="222"/>
    </row>
    <row r="5395" spans="2:21" x14ac:dyDescent="0.2">
      <c r="B5395" s="207"/>
      <c r="C5395" s="210"/>
      <c r="D5395" s="211"/>
      <c r="E5395" s="211"/>
      <c r="U5395" s="222"/>
    </row>
    <row r="5396" spans="2:21" x14ac:dyDescent="0.2">
      <c r="B5396" s="207"/>
      <c r="C5396" s="210"/>
      <c r="D5396" s="211"/>
      <c r="E5396" s="211"/>
      <c r="U5396" s="222"/>
    </row>
    <row r="5397" spans="2:21" x14ac:dyDescent="0.2">
      <c r="B5397" s="207"/>
      <c r="C5397" s="210"/>
      <c r="D5397" s="211"/>
      <c r="E5397" s="211"/>
      <c r="U5397" s="222"/>
    </row>
    <row r="5398" spans="2:21" x14ac:dyDescent="0.2">
      <c r="B5398" s="207"/>
      <c r="C5398" s="210"/>
      <c r="D5398" s="211"/>
      <c r="E5398" s="211"/>
      <c r="U5398" s="222"/>
    </row>
    <row r="5399" spans="2:21" x14ac:dyDescent="0.2">
      <c r="B5399" s="207"/>
      <c r="C5399" s="210"/>
      <c r="D5399" s="211"/>
      <c r="E5399" s="211"/>
      <c r="U5399" s="222"/>
    </row>
    <row r="5400" spans="2:21" x14ac:dyDescent="0.2">
      <c r="B5400" s="207"/>
      <c r="C5400" s="210"/>
      <c r="D5400" s="211"/>
      <c r="E5400" s="211"/>
      <c r="U5400" s="222"/>
    </row>
    <row r="5401" spans="2:21" x14ac:dyDescent="0.2">
      <c r="B5401" s="207"/>
      <c r="C5401" s="210"/>
      <c r="D5401" s="211"/>
      <c r="E5401" s="211"/>
      <c r="U5401" s="222"/>
    </row>
    <row r="5402" spans="2:21" x14ac:dyDescent="0.2">
      <c r="B5402" s="207"/>
      <c r="C5402" s="210"/>
      <c r="D5402" s="211"/>
      <c r="E5402" s="211"/>
      <c r="U5402" s="222"/>
    </row>
    <row r="5403" spans="2:21" x14ac:dyDescent="0.2">
      <c r="B5403" s="207"/>
      <c r="C5403" s="210"/>
      <c r="D5403" s="211"/>
      <c r="E5403" s="211"/>
      <c r="U5403" s="222"/>
    </row>
    <row r="5404" spans="2:21" x14ac:dyDescent="0.2">
      <c r="B5404" s="207"/>
      <c r="C5404" s="210"/>
      <c r="D5404" s="211"/>
      <c r="E5404" s="211"/>
      <c r="U5404" s="222"/>
    </row>
    <row r="5405" spans="2:21" x14ac:dyDescent="0.2">
      <c r="B5405" s="207"/>
      <c r="C5405" s="210"/>
      <c r="D5405" s="211"/>
      <c r="E5405" s="211"/>
      <c r="U5405" s="222"/>
    </row>
    <row r="5406" spans="2:21" x14ac:dyDescent="0.2">
      <c r="B5406" s="207"/>
      <c r="C5406" s="210"/>
      <c r="D5406" s="211"/>
      <c r="E5406" s="211"/>
      <c r="U5406" s="222"/>
    </row>
    <row r="5407" spans="2:21" x14ac:dyDescent="0.2">
      <c r="B5407" s="207"/>
      <c r="C5407" s="210"/>
      <c r="D5407" s="211"/>
      <c r="E5407" s="211"/>
      <c r="U5407" s="222"/>
    </row>
    <row r="5408" spans="2:21" x14ac:dyDescent="0.2">
      <c r="B5408" s="207"/>
      <c r="C5408" s="210"/>
      <c r="D5408" s="211"/>
      <c r="E5408" s="211"/>
      <c r="U5408" s="222"/>
    </row>
    <row r="5409" spans="2:21" x14ac:dyDescent="0.2">
      <c r="B5409" s="207"/>
      <c r="C5409" s="210"/>
      <c r="D5409" s="211"/>
      <c r="E5409" s="211"/>
      <c r="U5409" s="222"/>
    </row>
    <row r="5410" spans="2:21" x14ac:dyDescent="0.2">
      <c r="B5410" s="207"/>
      <c r="C5410" s="210"/>
      <c r="D5410" s="211"/>
      <c r="E5410" s="211"/>
      <c r="U5410" s="222"/>
    </row>
    <row r="5411" spans="2:21" x14ac:dyDescent="0.2">
      <c r="B5411" s="207"/>
      <c r="C5411" s="210"/>
      <c r="D5411" s="211"/>
      <c r="E5411" s="211"/>
      <c r="U5411" s="222"/>
    </row>
    <row r="5412" spans="2:21" x14ac:dyDescent="0.2">
      <c r="B5412" s="207"/>
      <c r="C5412" s="210"/>
      <c r="D5412" s="211"/>
      <c r="E5412" s="211"/>
      <c r="U5412" s="222"/>
    </row>
    <row r="5413" spans="2:21" x14ac:dyDescent="0.2">
      <c r="B5413" s="207"/>
      <c r="C5413" s="210"/>
      <c r="D5413" s="211"/>
      <c r="E5413" s="211"/>
      <c r="U5413" s="222"/>
    </row>
    <row r="5414" spans="2:21" x14ac:dyDescent="0.2">
      <c r="B5414" s="207"/>
      <c r="C5414" s="210"/>
      <c r="D5414" s="211"/>
      <c r="E5414" s="211"/>
      <c r="U5414" s="222"/>
    </row>
    <row r="5415" spans="2:21" x14ac:dyDescent="0.2">
      <c r="B5415" s="207"/>
      <c r="C5415" s="210"/>
      <c r="D5415" s="211"/>
      <c r="E5415" s="211"/>
      <c r="U5415" s="222"/>
    </row>
    <row r="5416" spans="2:21" x14ac:dyDescent="0.2">
      <c r="B5416" s="207"/>
      <c r="C5416" s="210"/>
      <c r="D5416" s="211"/>
      <c r="E5416" s="211"/>
      <c r="U5416" s="222"/>
    </row>
    <row r="5417" spans="2:21" x14ac:dyDescent="0.2">
      <c r="B5417" s="207"/>
      <c r="C5417" s="210"/>
      <c r="D5417" s="211"/>
      <c r="E5417" s="211"/>
      <c r="U5417" s="222"/>
    </row>
    <row r="5418" spans="2:21" x14ac:dyDescent="0.2">
      <c r="B5418" s="207"/>
      <c r="C5418" s="210"/>
      <c r="D5418" s="211"/>
      <c r="E5418" s="211"/>
      <c r="U5418" s="222"/>
    </row>
    <row r="5419" spans="2:21" x14ac:dyDescent="0.2">
      <c r="B5419" s="207"/>
      <c r="C5419" s="210"/>
      <c r="D5419" s="211"/>
      <c r="E5419" s="211"/>
      <c r="U5419" s="222"/>
    </row>
    <row r="5420" spans="2:21" x14ac:dyDescent="0.2">
      <c r="B5420" s="207"/>
      <c r="C5420" s="210"/>
      <c r="D5420" s="211"/>
      <c r="E5420" s="211"/>
      <c r="U5420" s="222"/>
    </row>
    <row r="5421" spans="2:21" x14ac:dyDescent="0.2">
      <c r="B5421" s="207"/>
      <c r="C5421" s="210"/>
      <c r="D5421" s="211"/>
      <c r="E5421" s="211"/>
      <c r="U5421" s="222"/>
    </row>
    <row r="5422" spans="2:21" x14ac:dyDescent="0.2">
      <c r="B5422" s="207"/>
      <c r="C5422" s="210"/>
      <c r="D5422" s="211"/>
      <c r="E5422" s="211"/>
      <c r="U5422" s="222"/>
    </row>
    <row r="5423" spans="2:21" x14ac:dyDescent="0.2">
      <c r="B5423" s="207"/>
      <c r="C5423" s="210"/>
      <c r="D5423" s="211"/>
      <c r="E5423" s="211"/>
      <c r="U5423" s="222"/>
    </row>
    <row r="5424" spans="2:21" x14ac:dyDescent="0.2">
      <c r="B5424" s="207"/>
      <c r="C5424" s="210"/>
      <c r="D5424" s="211"/>
      <c r="E5424" s="211"/>
      <c r="U5424" s="222"/>
    </row>
    <row r="5425" spans="2:21" x14ac:dyDescent="0.2">
      <c r="B5425" s="207"/>
      <c r="C5425" s="210"/>
      <c r="D5425" s="211"/>
      <c r="E5425" s="211"/>
      <c r="U5425" s="222"/>
    </row>
    <row r="5426" spans="2:21" x14ac:dyDescent="0.2">
      <c r="B5426" s="207"/>
      <c r="C5426" s="210"/>
      <c r="D5426" s="211"/>
      <c r="E5426" s="211"/>
      <c r="U5426" s="222"/>
    </row>
    <row r="5427" spans="2:21" x14ac:dyDescent="0.2">
      <c r="B5427" s="207"/>
      <c r="C5427" s="210"/>
      <c r="D5427" s="211"/>
      <c r="E5427" s="211"/>
      <c r="U5427" s="222"/>
    </row>
    <row r="5428" spans="2:21" x14ac:dyDescent="0.2">
      <c r="B5428" s="207"/>
      <c r="C5428" s="210"/>
      <c r="D5428" s="211"/>
      <c r="E5428" s="211"/>
      <c r="U5428" s="222"/>
    </row>
    <row r="5429" spans="2:21" x14ac:dyDescent="0.2">
      <c r="B5429" s="207"/>
      <c r="C5429" s="210"/>
      <c r="D5429" s="211"/>
      <c r="E5429" s="211"/>
      <c r="U5429" s="222"/>
    </row>
    <row r="5430" spans="2:21" x14ac:dyDescent="0.2">
      <c r="B5430" s="207"/>
      <c r="C5430" s="210"/>
      <c r="D5430" s="211"/>
      <c r="E5430" s="211"/>
      <c r="U5430" s="222"/>
    </row>
    <row r="5431" spans="2:21" x14ac:dyDescent="0.2">
      <c r="B5431" s="207"/>
      <c r="C5431" s="210"/>
      <c r="D5431" s="211"/>
      <c r="E5431" s="211"/>
      <c r="U5431" s="222"/>
    </row>
    <row r="5432" spans="2:21" x14ac:dyDescent="0.2">
      <c r="B5432" s="207"/>
      <c r="C5432" s="210"/>
      <c r="D5432" s="211"/>
      <c r="E5432" s="211"/>
      <c r="U5432" s="222"/>
    </row>
    <row r="5433" spans="2:21" x14ac:dyDescent="0.2">
      <c r="B5433" s="207"/>
      <c r="C5433" s="210"/>
      <c r="D5433" s="211"/>
      <c r="E5433" s="211"/>
      <c r="U5433" s="222"/>
    </row>
    <row r="5434" spans="2:21" x14ac:dyDescent="0.2">
      <c r="B5434" s="207"/>
      <c r="C5434" s="210"/>
      <c r="D5434" s="211"/>
      <c r="E5434" s="211"/>
      <c r="U5434" s="222"/>
    </row>
    <row r="5435" spans="2:21" x14ac:dyDescent="0.2">
      <c r="B5435" s="207"/>
      <c r="C5435" s="210"/>
      <c r="D5435" s="211"/>
      <c r="E5435" s="211"/>
      <c r="U5435" s="222"/>
    </row>
    <row r="5436" spans="2:21" x14ac:dyDescent="0.2">
      <c r="B5436" s="207"/>
      <c r="C5436" s="210"/>
      <c r="D5436" s="211"/>
      <c r="E5436" s="211"/>
      <c r="U5436" s="222"/>
    </row>
    <row r="5437" spans="2:21" x14ac:dyDescent="0.2">
      <c r="B5437" s="207"/>
      <c r="C5437" s="210"/>
      <c r="D5437" s="211"/>
      <c r="E5437" s="211"/>
      <c r="U5437" s="222"/>
    </row>
    <row r="5438" spans="2:21" x14ac:dyDescent="0.2">
      <c r="B5438" s="207"/>
      <c r="C5438" s="210"/>
      <c r="D5438" s="211"/>
      <c r="E5438" s="211"/>
      <c r="U5438" s="222"/>
    </row>
    <row r="5439" spans="2:21" x14ac:dyDescent="0.2">
      <c r="B5439" s="207"/>
      <c r="C5439" s="210"/>
      <c r="D5439" s="211"/>
      <c r="E5439" s="211"/>
      <c r="U5439" s="222"/>
    </row>
    <row r="5440" spans="2:21" x14ac:dyDescent="0.2">
      <c r="B5440" s="207"/>
      <c r="C5440" s="210"/>
      <c r="D5440" s="211"/>
      <c r="E5440" s="211"/>
      <c r="U5440" s="222"/>
    </row>
    <row r="5441" spans="2:21" x14ac:dyDescent="0.2">
      <c r="B5441" s="207"/>
      <c r="C5441" s="210"/>
      <c r="D5441" s="211"/>
      <c r="E5441" s="211"/>
      <c r="U5441" s="222"/>
    </row>
    <row r="5442" spans="2:21" x14ac:dyDescent="0.2">
      <c r="B5442" s="207"/>
      <c r="C5442" s="210"/>
      <c r="D5442" s="211"/>
      <c r="E5442" s="211"/>
      <c r="U5442" s="222"/>
    </row>
    <row r="5443" spans="2:21" x14ac:dyDescent="0.2">
      <c r="B5443" s="207"/>
      <c r="C5443" s="210"/>
      <c r="D5443" s="211"/>
      <c r="E5443" s="211"/>
      <c r="U5443" s="222"/>
    </row>
    <row r="5444" spans="2:21" x14ac:dyDescent="0.2">
      <c r="B5444" s="207"/>
      <c r="C5444" s="210"/>
      <c r="D5444" s="211"/>
      <c r="E5444" s="211"/>
      <c r="U5444" s="222"/>
    </row>
    <row r="5445" spans="2:21" x14ac:dyDescent="0.2">
      <c r="B5445" s="207"/>
      <c r="C5445" s="210"/>
      <c r="D5445" s="211"/>
      <c r="E5445" s="211"/>
      <c r="U5445" s="222"/>
    </row>
    <row r="5446" spans="2:21" x14ac:dyDescent="0.2">
      <c r="B5446" s="207"/>
      <c r="C5446" s="210"/>
      <c r="D5446" s="211"/>
      <c r="E5446" s="211"/>
      <c r="U5446" s="222"/>
    </row>
    <row r="5447" spans="2:21" x14ac:dyDescent="0.2">
      <c r="B5447" s="207"/>
      <c r="C5447" s="210"/>
      <c r="D5447" s="211"/>
      <c r="E5447" s="211"/>
      <c r="U5447" s="222"/>
    </row>
    <row r="5448" spans="2:21" x14ac:dyDescent="0.2">
      <c r="B5448" s="207"/>
      <c r="C5448" s="210"/>
      <c r="D5448" s="211"/>
      <c r="E5448" s="211"/>
      <c r="U5448" s="222"/>
    </row>
    <row r="5449" spans="2:21" x14ac:dyDescent="0.2">
      <c r="B5449" s="207"/>
      <c r="C5449" s="210"/>
      <c r="D5449" s="211"/>
      <c r="E5449" s="211"/>
      <c r="U5449" s="222"/>
    </row>
    <row r="5450" spans="2:21" x14ac:dyDescent="0.2">
      <c r="B5450" s="207"/>
      <c r="C5450" s="210"/>
      <c r="D5450" s="211"/>
      <c r="E5450" s="211"/>
      <c r="U5450" s="222"/>
    </row>
    <row r="5451" spans="2:21" x14ac:dyDescent="0.2">
      <c r="B5451" s="207"/>
      <c r="C5451" s="210"/>
      <c r="D5451" s="211"/>
      <c r="E5451" s="211"/>
      <c r="U5451" s="222"/>
    </row>
    <row r="5452" spans="2:21" x14ac:dyDescent="0.2">
      <c r="B5452" s="207"/>
      <c r="C5452" s="210"/>
      <c r="D5452" s="211"/>
      <c r="E5452" s="211"/>
      <c r="U5452" s="222"/>
    </row>
    <row r="5453" spans="2:21" x14ac:dyDescent="0.2">
      <c r="B5453" s="207"/>
      <c r="C5453" s="210"/>
      <c r="D5453" s="211"/>
      <c r="E5453" s="211"/>
      <c r="U5453" s="222"/>
    </row>
    <row r="5454" spans="2:21" x14ac:dyDescent="0.2">
      <c r="B5454" s="207"/>
      <c r="C5454" s="210"/>
      <c r="D5454" s="211"/>
      <c r="E5454" s="211"/>
      <c r="U5454" s="222"/>
    </row>
    <row r="5455" spans="2:21" x14ac:dyDescent="0.2">
      <c r="B5455" s="207"/>
      <c r="C5455" s="210"/>
      <c r="D5455" s="211"/>
      <c r="E5455" s="211"/>
      <c r="U5455" s="222"/>
    </row>
    <row r="5456" spans="2:21" x14ac:dyDescent="0.2">
      <c r="B5456" s="207"/>
      <c r="C5456" s="210"/>
      <c r="D5456" s="211"/>
      <c r="E5456" s="211"/>
      <c r="U5456" s="222"/>
    </row>
    <row r="5457" spans="2:21" x14ac:dyDescent="0.2">
      <c r="B5457" s="207"/>
      <c r="C5457" s="210"/>
      <c r="D5457" s="211"/>
      <c r="E5457" s="211"/>
      <c r="U5457" s="222"/>
    </row>
    <row r="5458" spans="2:21" x14ac:dyDescent="0.2">
      <c r="B5458" s="207"/>
      <c r="C5458" s="210"/>
      <c r="D5458" s="211"/>
      <c r="E5458" s="211"/>
      <c r="U5458" s="222"/>
    </row>
    <row r="5459" spans="2:21" x14ac:dyDescent="0.2">
      <c r="B5459" s="207"/>
      <c r="C5459" s="210"/>
      <c r="D5459" s="211"/>
      <c r="E5459" s="211"/>
      <c r="U5459" s="222"/>
    </row>
    <row r="5460" spans="2:21" x14ac:dyDescent="0.2">
      <c r="B5460" s="207"/>
      <c r="C5460" s="210"/>
      <c r="D5460" s="211"/>
      <c r="E5460" s="211"/>
      <c r="U5460" s="222"/>
    </row>
    <row r="5461" spans="2:21" x14ac:dyDescent="0.2">
      <c r="B5461" s="207"/>
      <c r="C5461" s="210"/>
      <c r="D5461" s="211"/>
      <c r="E5461" s="211"/>
      <c r="U5461" s="222"/>
    </row>
    <row r="5462" spans="2:21" x14ac:dyDescent="0.2">
      <c r="B5462" s="207"/>
      <c r="C5462" s="210"/>
      <c r="D5462" s="211"/>
      <c r="E5462" s="211"/>
      <c r="U5462" s="222"/>
    </row>
    <row r="5463" spans="2:21" x14ac:dyDescent="0.2">
      <c r="B5463" s="207"/>
      <c r="C5463" s="210"/>
      <c r="D5463" s="211"/>
      <c r="E5463" s="211"/>
      <c r="U5463" s="222"/>
    </row>
    <row r="5464" spans="2:21" x14ac:dyDescent="0.2">
      <c r="B5464" s="207"/>
      <c r="C5464" s="210"/>
      <c r="D5464" s="211"/>
      <c r="E5464" s="211"/>
      <c r="U5464" s="222"/>
    </row>
    <row r="5465" spans="2:21" x14ac:dyDescent="0.2">
      <c r="B5465" s="207"/>
      <c r="C5465" s="210"/>
      <c r="D5465" s="211"/>
      <c r="E5465" s="211"/>
      <c r="U5465" s="222"/>
    </row>
    <row r="5466" spans="2:21" x14ac:dyDescent="0.2">
      <c r="B5466" s="207"/>
      <c r="C5466" s="210"/>
      <c r="D5466" s="211"/>
      <c r="E5466" s="211"/>
      <c r="U5466" s="222"/>
    </row>
    <row r="5467" spans="2:21" x14ac:dyDescent="0.2">
      <c r="B5467" s="207"/>
      <c r="C5467" s="210"/>
      <c r="D5467" s="211"/>
      <c r="E5467" s="211"/>
      <c r="U5467" s="222"/>
    </row>
    <row r="5468" spans="2:21" x14ac:dyDescent="0.2">
      <c r="B5468" s="207"/>
      <c r="C5468" s="210"/>
      <c r="D5468" s="211"/>
      <c r="E5468" s="211"/>
      <c r="U5468" s="222"/>
    </row>
    <row r="5469" spans="2:21" x14ac:dyDescent="0.2">
      <c r="B5469" s="207"/>
      <c r="C5469" s="210"/>
      <c r="D5469" s="211"/>
      <c r="E5469" s="211"/>
      <c r="U5469" s="222"/>
    </row>
    <row r="5470" spans="2:21" x14ac:dyDescent="0.2">
      <c r="B5470" s="207"/>
      <c r="C5470" s="210"/>
      <c r="D5470" s="211"/>
      <c r="E5470" s="211"/>
      <c r="U5470" s="222"/>
    </row>
    <row r="5471" spans="2:21" x14ac:dyDescent="0.2">
      <c r="B5471" s="207"/>
      <c r="C5471" s="210"/>
      <c r="D5471" s="211"/>
      <c r="E5471" s="211"/>
      <c r="U5471" s="222"/>
    </row>
    <row r="5472" spans="2:21" x14ac:dyDescent="0.2">
      <c r="B5472" s="207"/>
      <c r="C5472" s="210"/>
      <c r="D5472" s="211"/>
      <c r="E5472" s="211"/>
      <c r="U5472" s="222"/>
    </row>
    <row r="5473" spans="2:21" x14ac:dyDescent="0.2">
      <c r="B5473" s="207"/>
      <c r="C5473" s="210"/>
      <c r="D5473" s="211"/>
      <c r="E5473" s="211"/>
      <c r="U5473" s="222"/>
    </row>
    <row r="5474" spans="2:21" x14ac:dyDescent="0.2">
      <c r="B5474" s="207"/>
      <c r="C5474" s="210"/>
      <c r="D5474" s="211"/>
      <c r="E5474" s="211"/>
      <c r="U5474" s="222"/>
    </row>
    <row r="5475" spans="2:21" x14ac:dyDescent="0.2">
      <c r="B5475" s="207"/>
      <c r="C5475" s="210"/>
      <c r="D5475" s="211"/>
      <c r="E5475" s="211"/>
      <c r="U5475" s="222"/>
    </row>
    <row r="5476" spans="2:21" x14ac:dyDescent="0.2">
      <c r="B5476" s="207"/>
      <c r="C5476" s="210"/>
      <c r="D5476" s="211"/>
      <c r="E5476" s="211"/>
      <c r="U5476" s="222"/>
    </row>
    <row r="5477" spans="2:21" x14ac:dyDescent="0.2">
      <c r="B5477" s="207"/>
      <c r="C5477" s="210"/>
      <c r="D5477" s="211"/>
      <c r="E5477" s="211"/>
      <c r="U5477" s="222"/>
    </row>
    <row r="5478" spans="2:21" x14ac:dyDescent="0.2">
      <c r="B5478" s="207"/>
      <c r="C5478" s="210"/>
      <c r="D5478" s="211"/>
      <c r="E5478" s="211"/>
      <c r="U5478" s="222"/>
    </row>
    <row r="5479" spans="2:21" x14ac:dyDescent="0.2">
      <c r="B5479" s="207"/>
      <c r="C5479" s="210"/>
      <c r="D5479" s="211"/>
      <c r="E5479" s="211"/>
      <c r="U5479" s="222"/>
    </row>
    <row r="5480" spans="2:21" x14ac:dyDescent="0.2">
      <c r="B5480" s="207"/>
      <c r="C5480" s="210"/>
      <c r="D5480" s="211"/>
      <c r="E5480" s="211"/>
      <c r="U5480" s="222"/>
    </row>
    <row r="5481" spans="2:21" x14ac:dyDescent="0.2">
      <c r="B5481" s="207"/>
      <c r="C5481" s="210"/>
      <c r="D5481" s="211"/>
      <c r="E5481" s="211"/>
      <c r="U5481" s="222"/>
    </row>
    <row r="5482" spans="2:21" x14ac:dyDescent="0.2">
      <c r="B5482" s="207"/>
      <c r="C5482" s="210"/>
      <c r="D5482" s="211"/>
      <c r="E5482" s="211"/>
      <c r="U5482" s="222"/>
    </row>
    <row r="5483" spans="2:21" x14ac:dyDescent="0.2">
      <c r="B5483" s="207"/>
      <c r="C5483" s="210"/>
      <c r="D5483" s="211"/>
      <c r="E5483" s="211"/>
      <c r="U5483" s="222"/>
    </row>
    <row r="5484" spans="2:21" x14ac:dyDescent="0.2">
      <c r="B5484" s="207"/>
      <c r="C5484" s="210"/>
      <c r="D5484" s="211"/>
      <c r="E5484" s="211"/>
      <c r="U5484" s="222"/>
    </row>
    <row r="5485" spans="2:21" x14ac:dyDescent="0.2">
      <c r="B5485" s="207"/>
      <c r="C5485" s="210"/>
      <c r="D5485" s="211"/>
      <c r="E5485" s="211"/>
      <c r="U5485" s="222"/>
    </row>
    <row r="5486" spans="2:21" x14ac:dyDescent="0.2">
      <c r="B5486" s="207"/>
      <c r="C5486" s="210"/>
      <c r="D5486" s="211"/>
      <c r="E5486" s="211"/>
      <c r="U5486" s="222"/>
    </row>
    <row r="5487" spans="2:21" x14ac:dyDescent="0.2">
      <c r="B5487" s="207"/>
      <c r="C5487" s="210"/>
      <c r="D5487" s="211"/>
      <c r="E5487" s="211"/>
      <c r="U5487" s="222"/>
    </row>
    <row r="5488" spans="2:21" x14ac:dyDescent="0.2">
      <c r="B5488" s="207"/>
      <c r="C5488" s="210"/>
      <c r="D5488" s="211"/>
      <c r="E5488" s="211"/>
      <c r="U5488" s="222"/>
    </row>
    <row r="5489" spans="2:21" x14ac:dyDescent="0.2">
      <c r="B5489" s="207"/>
      <c r="C5489" s="210"/>
      <c r="D5489" s="211"/>
      <c r="E5489" s="211"/>
      <c r="U5489" s="222"/>
    </row>
    <row r="5490" spans="2:21" x14ac:dyDescent="0.2">
      <c r="B5490" s="207"/>
      <c r="C5490" s="210"/>
      <c r="D5490" s="211"/>
      <c r="E5490" s="211"/>
      <c r="U5490" s="222"/>
    </row>
    <row r="5491" spans="2:21" x14ac:dyDescent="0.2">
      <c r="B5491" s="207"/>
      <c r="C5491" s="210"/>
      <c r="D5491" s="211"/>
      <c r="E5491" s="211"/>
      <c r="U5491" s="222"/>
    </row>
    <row r="5492" spans="2:21" x14ac:dyDescent="0.2">
      <c r="B5492" s="207"/>
      <c r="C5492" s="210"/>
      <c r="D5492" s="211"/>
      <c r="E5492" s="211"/>
      <c r="U5492" s="222"/>
    </row>
    <row r="5493" spans="2:21" x14ac:dyDescent="0.2">
      <c r="B5493" s="207"/>
      <c r="C5493" s="210"/>
      <c r="D5493" s="211"/>
      <c r="E5493" s="211"/>
      <c r="U5493" s="222"/>
    </row>
    <row r="5494" spans="2:21" x14ac:dyDescent="0.2">
      <c r="B5494" s="207"/>
      <c r="C5494" s="210"/>
      <c r="D5494" s="211"/>
      <c r="E5494" s="211"/>
      <c r="U5494" s="222"/>
    </row>
    <row r="5495" spans="2:21" x14ac:dyDescent="0.2">
      <c r="B5495" s="207"/>
      <c r="C5495" s="210"/>
      <c r="D5495" s="211"/>
      <c r="E5495" s="211"/>
      <c r="U5495" s="222"/>
    </row>
    <row r="5496" spans="2:21" x14ac:dyDescent="0.2">
      <c r="B5496" s="207"/>
      <c r="C5496" s="210"/>
      <c r="D5496" s="211"/>
      <c r="E5496" s="211"/>
      <c r="U5496" s="222"/>
    </row>
    <row r="5497" spans="2:21" x14ac:dyDescent="0.2">
      <c r="B5497" s="207"/>
      <c r="C5497" s="210"/>
      <c r="D5497" s="211"/>
      <c r="E5497" s="211"/>
      <c r="U5497" s="222"/>
    </row>
    <row r="5498" spans="2:21" x14ac:dyDescent="0.2">
      <c r="B5498" s="207"/>
      <c r="C5498" s="210"/>
      <c r="D5498" s="211"/>
      <c r="E5498" s="211"/>
      <c r="U5498" s="222"/>
    </row>
    <row r="5499" spans="2:21" x14ac:dyDescent="0.2">
      <c r="B5499" s="207"/>
      <c r="C5499" s="210"/>
      <c r="D5499" s="211"/>
      <c r="E5499" s="211"/>
      <c r="U5499" s="222"/>
    </row>
    <row r="5500" spans="2:21" x14ac:dyDescent="0.2">
      <c r="B5500" s="207"/>
      <c r="C5500" s="210"/>
      <c r="D5500" s="211"/>
      <c r="E5500" s="211"/>
      <c r="U5500" s="222"/>
    </row>
    <row r="5501" spans="2:21" x14ac:dyDescent="0.2">
      <c r="B5501" s="207"/>
      <c r="C5501" s="210"/>
      <c r="D5501" s="211"/>
      <c r="E5501" s="211"/>
      <c r="U5501" s="222"/>
    </row>
    <row r="5502" spans="2:21" x14ac:dyDescent="0.2">
      <c r="B5502" s="207"/>
      <c r="C5502" s="210"/>
      <c r="D5502" s="211"/>
      <c r="E5502" s="211"/>
      <c r="U5502" s="222"/>
    </row>
    <row r="5503" spans="2:21" x14ac:dyDescent="0.2">
      <c r="B5503" s="207"/>
      <c r="C5503" s="210"/>
      <c r="D5503" s="211"/>
      <c r="E5503" s="211"/>
      <c r="U5503" s="222"/>
    </row>
    <row r="5504" spans="2:21" x14ac:dyDescent="0.2">
      <c r="B5504" s="207"/>
      <c r="C5504" s="210"/>
      <c r="D5504" s="211"/>
      <c r="E5504" s="211"/>
      <c r="U5504" s="222"/>
    </row>
    <row r="5505" spans="2:21" x14ac:dyDescent="0.2">
      <c r="B5505" s="207"/>
      <c r="C5505" s="210"/>
      <c r="D5505" s="211"/>
      <c r="E5505" s="211"/>
      <c r="U5505" s="222"/>
    </row>
    <row r="5506" spans="2:21" x14ac:dyDescent="0.2">
      <c r="B5506" s="207"/>
      <c r="C5506" s="210"/>
      <c r="D5506" s="211"/>
      <c r="E5506" s="211"/>
      <c r="U5506" s="222"/>
    </row>
    <row r="5507" spans="2:21" x14ac:dyDescent="0.2">
      <c r="B5507" s="207"/>
      <c r="C5507" s="210"/>
      <c r="D5507" s="211"/>
      <c r="E5507" s="211"/>
      <c r="U5507" s="222"/>
    </row>
    <row r="5508" spans="2:21" x14ac:dyDescent="0.2">
      <c r="B5508" s="207"/>
      <c r="C5508" s="210"/>
      <c r="D5508" s="211"/>
      <c r="E5508" s="211"/>
      <c r="U5508" s="222"/>
    </row>
    <row r="5509" spans="2:21" x14ac:dyDescent="0.2">
      <c r="B5509" s="207"/>
      <c r="C5509" s="210"/>
      <c r="D5509" s="211"/>
      <c r="E5509" s="211"/>
      <c r="U5509" s="222"/>
    </row>
    <row r="5510" spans="2:21" x14ac:dyDescent="0.2">
      <c r="B5510" s="207"/>
      <c r="C5510" s="210"/>
      <c r="D5510" s="211"/>
      <c r="E5510" s="211"/>
      <c r="U5510" s="222"/>
    </row>
    <row r="5511" spans="2:21" x14ac:dyDescent="0.2">
      <c r="B5511" s="207"/>
      <c r="C5511" s="210"/>
      <c r="D5511" s="211"/>
      <c r="E5511" s="211"/>
      <c r="U5511" s="222"/>
    </row>
    <row r="5512" spans="2:21" x14ac:dyDescent="0.2">
      <c r="B5512" s="207"/>
      <c r="C5512" s="210"/>
      <c r="D5512" s="211"/>
      <c r="E5512" s="211"/>
      <c r="U5512" s="222"/>
    </row>
    <row r="5513" spans="2:21" x14ac:dyDescent="0.2">
      <c r="B5513" s="207"/>
      <c r="C5513" s="210"/>
      <c r="D5513" s="211"/>
      <c r="E5513" s="211"/>
      <c r="U5513" s="222"/>
    </row>
    <row r="5514" spans="2:21" x14ac:dyDescent="0.2">
      <c r="B5514" s="207"/>
      <c r="C5514" s="210"/>
      <c r="D5514" s="211"/>
      <c r="E5514" s="211"/>
      <c r="U5514" s="222"/>
    </row>
    <row r="5515" spans="2:21" x14ac:dyDescent="0.2">
      <c r="B5515" s="207"/>
      <c r="C5515" s="210"/>
      <c r="D5515" s="211"/>
      <c r="E5515" s="211"/>
      <c r="U5515" s="222"/>
    </row>
    <row r="5516" spans="2:21" x14ac:dyDescent="0.2">
      <c r="B5516" s="207"/>
      <c r="C5516" s="210"/>
      <c r="D5516" s="211"/>
      <c r="E5516" s="211"/>
      <c r="U5516" s="222"/>
    </row>
    <row r="5517" spans="2:21" x14ac:dyDescent="0.2">
      <c r="B5517" s="207"/>
      <c r="C5517" s="210"/>
      <c r="D5517" s="211"/>
      <c r="E5517" s="211"/>
      <c r="U5517" s="222"/>
    </row>
    <row r="5518" spans="2:21" x14ac:dyDescent="0.2">
      <c r="B5518" s="207"/>
      <c r="C5518" s="210"/>
      <c r="D5518" s="211"/>
      <c r="E5518" s="211"/>
      <c r="U5518" s="222"/>
    </row>
    <row r="5519" spans="2:21" x14ac:dyDescent="0.2">
      <c r="B5519" s="207"/>
      <c r="C5519" s="210"/>
      <c r="D5519" s="211"/>
      <c r="E5519" s="211"/>
      <c r="U5519" s="222"/>
    </row>
    <row r="5520" spans="2:21" x14ac:dyDescent="0.2">
      <c r="B5520" s="207"/>
      <c r="C5520" s="210"/>
      <c r="D5520" s="211"/>
      <c r="E5520" s="211"/>
      <c r="U5520" s="222"/>
    </row>
    <row r="5521" spans="2:21" x14ac:dyDescent="0.2">
      <c r="B5521" s="207"/>
      <c r="C5521" s="210"/>
      <c r="D5521" s="211"/>
      <c r="E5521" s="211"/>
      <c r="U5521" s="222"/>
    </row>
    <row r="5522" spans="2:21" x14ac:dyDescent="0.2">
      <c r="B5522" s="207"/>
      <c r="C5522" s="210"/>
      <c r="D5522" s="211"/>
      <c r="E5522" s="211"/>
      <c r="U5522" s="222"/>
    </row>
    <row r="5523" spans="2:21" x14ac:dyDescent="0.2">
      <c r="B5523" s="207"/>
      <c r="C5523" s="210"/>
      <c r="D5523" s="211"/>
      <c r="E5523" s="211"/>
      <c r="U5523" s="222"/>
    </row>
    <row r="5524" spans="2:21" x14ac:dyDescent="0.2">
      <c r="B5524" s="207"/>
      <c r="C5524" s="210"/>
      <c r="D5524" s="211"/>
      <c r="E5524" s="211"/>
      <c r="U5524" s="222"/>
    </row>
    <row r="5525" spans="2:21" x14ac:dyDescent="0.2">
      <c r="B5525" s="207"/>
      <c r="C5525" s="210"/>
      <c r="D5525" s="211"/>
      <c r="E5525" s="211"/>
      <c r="U5525" s="222"/>
    </row>
    <row r="5526" spans="2:21" x14ac:dyDescent="0.2">
      <c r="B5526" s="207"/>
      <c r="C5526" s="210"/>
      <c r="D5526" s="211"/>
      <c r="E5526" s="211"/>
      <c r="U5526" s="222"/>
    </row>
    <row r="5527" spans="2:21" x14ac:dyDescent="0.2">
      <c r="B5527" s="207"/>
      <c r="C5527" s="210"/>
      <c r="D5527" s="211"/>
      <c r="E5527" s="211"/>
      <c r="U5527" s="222"/>
    </row>
    <row r="5528" spans="2:21" x14ac:dyDescent="0.2">
      <c r="B5528" s="207"/>
      <c r="C5528" s="210"/>
      <c r="D5528" s="211"/>
      <c r="E5528" s="211"/>
      <c r="U5528" s="222"/>
    </row>
    <row r="5529" spans="2:21" x14ac:dyDescent="0.2">
      <c r="B5529" s="207"/>
      <c r="C5529" s="210"/>
      <c r="D5529" s="211"/>
      <c r="E5529" s="211"/>
      <c r="U5529" s="222"/>
    </row>
    <row r="5530" spans="2:21" x14ac:dyDescent="0.2">
      <c r="B5530" s="207"/>
      <c r="C5530" s="210"/>
      <c r="D5530" s="211"/>
      <c r="E5530" s="211"/>
      <c r="U5530" s="222"/>
    </row>
    <row r="5531" spans="2:21" x14ac:dyDescent="0.2">
      <c r="B5531" s="207"/>
      <c r="C5531" s="210"/>
      <c r="D5531" s="211"/>
      <c r="E5531" s="211"/>
      <c r="U5531" s="222"/>
    </row>
    <row r="5532" spans="2:21" x14ac:dyDescent="0.2">
      <c r="B5532" s="207"/>
      <c r="C5532" s="210"/>
      <c r="D5532" s="211"/>
      <c r="E5532" s="211"/>
      <c r="U5532" s="222"/>
    </row>
    <row r="5533" spans="2:21" x14ac:dyDescent="0.2">
      <c r="B5533" s="207"/>
      <c r="C5533" s="210"/>
      <c r="D5533" s="211"/>
      <c r="E5533" s="211"/>
      <c r="U5533" s="222"/>
    </row>
    <row r="5534" spans="2:21" x14ac:dyDescent="0.2">
      <c r="B5534" s="207"/>
      <c r="C5534" s="210"/>
      <c r="D5534" s="211"/>
      <c r="E5534" s="211"/>
      <c r="U5534" s="222"/>
    </row>
    <row r="5535" spans="2:21" x14ac:dyDescent="0.2">
      <c r="B5535" s="207"/>
      <c r="C5535" s="210"/>
      <c r="D5535" s="211"/>
      <c r="E5535" s="211"/>
      <c r="U5535" s="222"/>
    </row>
    <row r="5536" spans="2:21" x14ac:dyDescent="0.2">
      <c r="B5536" s="207"/>
      <c r="C5536" s="210"/>
      <c r="D5536" s="211"/>
      <c r="E5536" s="211"/>
      <c r="U5536" s="222"/>
    </row>
    <row r="5537" spans="2:21" x14ac:dyDescent="0.2">
      <c r="B5537" s="207"/>
      <c r="C5537" s="210"/>
      <c r="D5537" s="211"/>
      <c r="E5537" s="211"/>
      <c r="U5537" s="222"/>
    </row>
    <row r="5538" spans="2:21" x14ac:dyDescent="0.2">
      <c r="B5538" s="207"/>
      <c r="C5538" s="210"/>
      <c r="D5538" s="211"/>
      <c r="E5538" s="211"/>
      <c r="U5538" s="222"/>
    </row>
    <row r="5539" spans="2:21" x14ac:dyDescent="0.2">
      <c r="B5539" s="207"/>
      <c r="C5539" s="210"/>
      <c r="D5539" s="211"/>
      <c r="E5539" s="211"/>
      <c r="U5539" s="222"/>
    </row>
    <row r="5540" spans="2:21" x14ac:dyDescent="0.2">
      <c r="B5540" s="207"/>
      <c r="C5540" s="210"/>
      <c r="D5540" s="211"/>
      <c r="E5540" s="211"/>
      <c r="U5540" s="222"/>
    </row>
    <row r="5541" spans="2:21" x14ac:dyDescent="0.2">
      <c r="B5541" s="207"/>
      <c r="C5541" s="210"/>
      <c r="D5541" s="211"/>
      <c r="E5541" s="211"/>
      <c r="U5541" s="222"/>
    </row>
    <row r="5542" spans="2:21" x14ac:dyDescent="0.2">
      <c r="B5542" s="207"/>
      <c r="C5542" s="210"/>
      <c r="D5542" s="211"/>
      <c r="E5542" s="211"/>
      <c r="U5542" s="222"/>
    </row>
    <row r="5543" spans="2:21" x14ac:dyDescent="0.2">
      <c r="B5543" s="207"/>
      <c r="C5543" s="210"/>
      <c r="D5543" s="211"/>
      <c r="E5543" s="211"/>
      <c r="U5543" s="222"/>
    </row>
    <row r="5544" spans="2:21" x14ac:dyDescent="0.2">
      <c r="B5544" s="207"/>
      <c r="C5544" s="210"/>
      <c r="D5544" s="211"/>
      <c r="E5544" s="211"/>
      <c r="U5544" s="222"/>
    </row>
    <row r="5545" spans="2:21" x14ac:dyDescent="0.2">
      <c r="B5545" s="207"/>
      <c r="C5545" s="210"/>
      <c r="D5545" s="211"/>
      <c r="E5545" s="211"/>
      <c r="U5545" s="222"/>
    </row>
    <row r="5546" spans="2:21" x14ac:dyDescent="0.2">
      <c r="B5546" s="207"/>
      <c r="C5546" s="210"/>
      <c r="D5546" s="211"/>
      <c r="E5546" s="211"/>
      <c r="U5546" s="222"/>
    </row>
    <row r="5547" spans="2:21" x14ac:dyDescent="0.2">
      <c r="B5547" s="207"/>
      <c r="C5547" s="210"/>
      <c r="D5547" s="211"/>
      <c r="E5547" s="211"/>
      <c r="U5547" s="222"/>
    </row>
    <row r="5548" spans="2:21" x14ac:dyDescent="0.2">
      <c r="B5548" s="207"/>
      <c r="C5548" s="210"/>
      <c r="D5548" s="211"/>
      <c r="E5548" s="211"/>
      <c r="U5548" s="222"/>
    </row>
    <row r="5549" spans="2:21" x14ac:dyDescent="0.2">
      <c r="B5549" s="207"/>
      <c r="C5549" s="210"/>
      <c r="D5549" s="211"/>
      <c r="E5549" s="211"/>
      <c r="U5549" s="222"/>
    </row>
    <row r="5550" spans="2:21" x14ac:dyDescent="0.2">
      <c r="B5550" s="207"/>
      <c r="C5550" s="210"/>
      <c r="D5550" s="211"/>
      <c r="E5550" s="211"/>
      <c r="U5550" s="222"/>
    </row>
    <row r="5551" spans="2:21" x14ac:dyDescent="0.2">
      <c r="B5551" s="207"/>
      <c r="C5551" s="210"/>
      <c r="D5551" s="211"/>
      <c r="E5551" s="211"/>
      <c r="U5551" s="222"/>
    </row>
    <row r="5552" spans="2:21" x14ac:dyDescent="0.2">
      <c r="B5552" s="207"/>
      <c r="C5552" s="210"/>
      <c r="D5552" s="211"/>
      <c r="E5552" s="211"/>
      <c r="U5552" s="222"/>
    </row>
    <row r="5553" spans="2:21" x14ac:dyDescent="0.2">
      <c r="B5553" s="207"/>
      <c r="C5553" s="210"/>
      <c r="D5553" s="211"/>
      <c r="E5553" s="211"/>
      <c r="U5553" s="222"/>
    </row>
    <row r="5554" spans="2:21" x14ac:dyDescent="0.2">
      <c r="B5554" s="207"/>
      <c r="C5554" s="210"/>
      <c r="D5554" s="211"/>
      <c r="E5554" s="211"/>
      <c r="U5554" s="222"/>
    </row>
    <row r="5555" spans="2:21" x14ac:dyDescent="0.2">
      <c r="B5555" s="207"/>
      <c r="C5555" s="210"/>
      <c r="D5555" s="211"/>
      <c r="E5555" s="211"/>
      <c r="U5555" s="222"/>
    </row>
    <row r="5556" spans="2:21" x14ac:dyDescent="0.2">
      <c r="B5556" s="207"/>
      <c r="C5556" s="210"/>
      <c r="D5556" s="211"/>
      <c r="E5556" s="211"/>
      <c r="U5556" s="222"/>
    </row>
    <row r="5557" spans="2:21" x14ac:dyDescent="0.2">
      <c r="B5557" s="207"/>
      <c r="C5557" s="210"/>
      <c r="D5557" s="211"/>
      <c r="E5557" s="211"/>
      <c r="U5557" s="222"/>
    </row>
    <row r="5558" spans="2:21" x14ac:dyDescent="0.2">
      <c r="B5558" s="207"/>
      <c r="C5558" s="210"/>
      <c r="D5558" s="211"/>
      <c r="E5558" s="211"/>
      <c r="U5558" s="222"/>
    </row>
    <row r="5559" spans="2:21" x14ac:dyDescent="0.2">
      <c r="B5559" s="207"/>
      <c r="C5559" s="210"/>
      <c r="D5559" s="211"/>
      <c r="E5559" s="211"/>
      <c r="U5559" s="222"/>
    </row>
    <row r="5560" spans="2:21" x14ac:dyDescent="0.2">
      <c r="B5560" s="207"/>
      <c r="C5560" s="210"/>
      <c r="D5560" s="211"/>
      <c r="E5560" s="211"/>
      <c r="U5560" s="222"/>
    </row>
    <row r="5561" spans="2:21" x14ac:dyDescent="0.2">
      <c r="B5561" s="207"/>
      <c r="C5561" s="210"/>
      <c r="D5561" s="211"/>
      <c r="E5561" s="211"/>
      <c r="U5561" s="222"/>
    </row>
    <row r="5562" spans="2:21" x14ac:dyDescent="0.2">
      <c r="B5562" s="207"/>
      <c r="C5562" s="210"/>
      <c r="D5562" s="211"/>
      <c r="E5562" s="211"/>
      <c r="U5562" s="222"/>
    </row>
    <row r="5563" spans="2:21" x14ac:dyDescent="0.2">
      <c r="B5563" s="207"/>
      <c r="C5563" s="210"/>
      <c r="D5563" s="211"/>
      <c r="E5563" s="211"/>
      <c r="U5563" s="222"/>
    </row>
    <row r="5564" spans="2:21" x14ac:dyDescent="0.2">
      <c r="B5564" s="207"/>
      <c r="C5564" s="210"/>
      <c r="D5564" s="211"/>
      <c r="E5564" s="211"/>
      <c r="U5564" s="222"/>
    </row>
    <row r="5565" spans="2:21" x14ac:dyDescent="0.2">
      <c r="B5565" s="207"/>
      <c r="C5565" s="210"/>
      <c r="D5565" s="211"/>
      <c r="E5565" s="211"/>
      <c r="U5565" s="222"/>
    </row>
    <row r="5566" spans="2:21" x14ac:dyDescent="0.2">
      <c r="B5566" s="207"/>
      <c r="C5566" s="210"/>
      <c r="D5566" s="211"/>
      <c r="E5566" s="211"/>
      <c r="U5566" s="222"/>
    </row>
    <row r="5567" spans="2:21" x14ac:dyDescent="0.2">
      <c r="B5567" s="207"/>
      <c r="C5567" s="210"/>
      <c r="D5567" s="211"/>
      <c r="E5567" s="211"/>
      <c r="U5567" s="222"/>
    </row>
    <row r="5568" spans="2:21" x14ac:dyDescent="0.2">
      <c r="B5568" s="207"/>
      <c r="C5568" s="210"/>
      <c r="D5568" s="211"/>
      <c r="E5568" s="211"/>
      <c r="U5568" s="222"/>
    </row>
    <row r="5569" spans="2:21" x14ac:dyDescent="0.2">
      <c r="B5569" s="207"/>
      <c r="C5569" s="210"/>
      <c r="D5569" s="211"/>
      <c r="E5569" s="211"/>
      <c r="U5569" s="222"/>
    </row>
    <row r="5570" spans="2:21" x14ac:dyDescent="0.2">
      <c r="B5570" s="207"/>
      <c r="C5570" s="210"/>
      <c r="D5570" s="211"/>
      <c r="E5570" s="211"/>
      <c r="U5570" s="222"/>
    </row>
    <row r="5571" spans="2:21" x14ac:dyDescent="0.2">
      <c r="B5571" s="207"/>
      <c r="C5571" s="210"/>
      <c r="D5571" s="211"/>
      <c r="E5571" s="211"/>
      <c r="U5571" s="222"/>
    </row>
    <row r="5572" spans="2:21" x14ac:dyDescent="0.2">
      <c r="B5572" s="207"/>
      <c r="C5572" s="210"/>
      <c r="D5572" s="211"/>
      <c r="E5572" s="211"/>
      <c r="U5572" s="222"/>
    </row>
    <row r="5573" spans="2:21" x14ac:dyDescent="0.2">
      <c r="B5573" s="207"/>
      <c r="C5573" s="210"/>
      <c r="D5573" s="211"/>
      <c r="E5573" s="211"/>
      <c r="U5573" s="222"/>
    </row>
    <row r="5574" spans="2:21" x14ac:dyDescent="0.2">
      <c r="B5574" s="207"/>
      <c r="C5574" s="210"/>
      <c r="D5574" s="211"/>
      <c r="E5574" s="211"/>
      <c r="U5574" s="222"/>
    </row>
    <row r="5575" spans="2:21" x14ac:dyDescent="0.2">
      <c r="B5575" s="207"/>
      <c r="C5575" s="210"/>
      <c r="D5575" s="211"/>
      <c r="E5575" s="211"/>
      <c r="U5575" s="222"/>
    </row>
    <row r="5576" spans="2:21" x14ac:dyDescent="0.2">
      <c r="B5576" s="207"/>
      <c r="C5576" s="210"/>
      <c r="D5576" s="211"/>
      <c r="E5576" s="211"/>
      <c r="U5576" s="222"/>
    </row>
    <row r="5577" spans="2:21" x14ac:dyDescent="0.2">
      <c r="B5577" s="207"/>
      <c r="C5577" s="210"/>
      <c r="D5577" s="211"/>
      <c r="E5577" s="211"/>
      <c r="U5577" s="222"/>
    </row>
    <row r="5578" spans="2:21" x14ac:dyDescent="0.2">
      <c r="B5578" s="207"/>
      <c r="C5578" s="210"/>
      <c r="D5578" s="211"/>
      <c r="E5578" s="211"/>
      <c r="U5578" s="222"/>
    </row>
    <row r="5579" spans="2:21" x14ac:dyDescent="0.2">
      <c r="B5579" s="207"/>
      <c r="C5579" s="210"/>
      <c r="D5579" s="211"/>
      <c r="E5579" s="211"/>
      <c r="U5579" s="222"/>
    </row>
    <row r="5580" spans="2:21" x14ac:dyDescent="0.2">
      <c r="B5580" s="207"/>
      <c r="C5580" s="210"/>
      <c r="D5580" s="211"/>
      <c r="E5580" s="211"/>
      <c r="U5580" s="222"/>
    </row>
    <row r="5581" spans="2:21" x14ac:dyDescent="0.2">
      <c r="B5581" s="207"/>
      <c r="C5581" s="210"/>
      <c r="D5581" s="211"/>
      <c r="E5581" s="211"/>
      <c r="U5581" s="222"/>
    </row>
    <row r="5582" spans="2:21" x14ac:dyDescent="0.2">
      <c r="B5582" s="207"/>
      <c r="C5582" s="210"/>
      <c r="D5582" s="211"/>
      <c r="E5582" s="211"/>
      <c r="U5582" s="222"/>
    </row>
    <row r="5583" spans="2:21" x14ac:dyDescent="0.2">
      <c r="B5583" s="207"/>
      <c r="C5583" s="210"/>
      <c r="D5583" s="211"/>
      <c r="E5583" s="211"/>
      <c r="U5583" s="222"/>
    </row>
    <row r="5584" spans="2:21" x14ac:dyDescent="0.2">
      <c r="B5584" s="207"/>
      <c r="C5584" s="210"/>
      <c r="D5584" s="211"/>
      <c r="E5584" s="211"/>
      <c r="U5584" s="222"/>
    </row>
    <row r="5585" spans="2:21" x14ac:dyDescent="0.2">
      <c r="B5585" s="207"/>
      <c r="C5585" s="210"/>
      <c r="D5585" s="211"/>
      <c r="E5585" s="211"/>
      <c r="U5585" s="222"/>
    </row>
    <row r="5586" spans="2:21" x14ac:dyDescent="0.2">
      <c r="B5586" s="207"/>
      <c r="C5586" s="210"/>
      <c r="D5586" s="211"/>
      <c r="E5586" s="211"/>
      <c r="U5586" s="222"/>
    </row>
    <row r="5587" spans="2:21" x14ac:dyDescent="0.2">
      <c r="B5587" s="207"/>
      <c r="C5587" s="210"/>
      <c r="D5587" s="211"/>
      <c r="E5587" s="211"/>
      <c r="U5587" s="222"/>
    </row>
    <row r="5588" spans="2:21" x14ac:dyDescent="0.2">
      <c r="B5588" s="207"/>
      <c r="C5588" s="210"/>
      <c r="D5588" s="211"/>
      <c r="E5588" s="211"/>
      <c r="U5588" s="222"/>
    </row>
    <row r="5589" spans="2:21" x14ac:dyDescent="0.2">
      <c r="B5589" s="207"/>
      <c r="C5589" s="210"/>
      <c r="D5589" s="211"/>
      <c r="E5589" s="211"/>
      <c r="U5589" s="222"/>
    </row>
    <row r="5590" spans="2:21" x14ac:dyDescent="0.2">
      <c r="B5590" s="207"/>
      <c r="C5590" s="210"/>
      <c r="D5590" s="211"/>
      <c r="E5590" s="211"/>
      <c r="U5590" s="222"/>
    </row>
    <row r="5591" spans="2:21" x14ac:dyDescent="0.2">
      <c r="B5591" s="207"/>
      <c r="C5591" s="210"/>
      <c r="D5591" s="211"/>
      <c r="E5591" s="211"/>
      <c r="U5591" s="222"/>
    </row>
    <row r="5592" spans="2:21" x14ac:dyDescent="0.2">
      <c r="B5592" s="207"/>
      <c r="C5592" s="210"/>
      <c r="D5592" s="211"/>
      <c r="E5592" s="211"/>
      <c r="U5592" s="222"/>
    </row>
    <row r="5593" spans="2:21" x14ac:dyDescent="0.2">
      <c r="B5593" s="207"/>
      <c r="C5593" s="210"/>
      <c r="D5593" s="211"/>
      <c r="E5593" s="211"/>
      <c r="U5593" s="222"/>
    </row>
    <row r="5594" spans="2:21" x14ac:dyDescent="0.2">
      <c r="B5594" s="207"/>
      <c r="C5594" s="210"/>
      <c r="D5594" s="211"/>
      <c r="E5594" s="211"/>
      <c r="U5594" s="222"/>
    </row>
    <row r="5595" spans="2:21" x14ac:dyDescent="0.2">
      <c r="B5595" s="207"/>
      <c r="C5595" s="210"/>
      <c r="D5595" s="211"/>
      <c r="E5595" s="211"/>
      <c r="U5595" s="222"/>
    </row>
    <row r="5596" spans="2:21" x14ac:dyDescent="0.2">
      <c r="B5596" s="207"/>
      <c r="C5596" s="210"/>
      <c r="D5596" s="211"/>
      <c r="E5596" s="211"/>
      <c r="U5596" s="222"/>
    </row>
    <row r="5597" spans="2:21" x14ac:dyDescent="0.2">
      <c r="B5597" s="207"/>
      <c r="C5597" s="210"/>
      <c r="D5597" s="211"/>
      <c r="E5597" s="211"/>
      <c r="U5597" s="222"/>
    </row>
    <row r="5598" spans="2:21" x14ac:dyDescent="0.2">
      <c r="B5598" s="207"/>
      <c r="C5598" s="210"/>
      <c r="D5598" s="211"/>
      <c r="E5598" s="211"/>
      <c r="U5598" s="222"/>
    </row>
    <row r="5599" spans="2:21" x14ac:dyDescent="0.2">
      <c r="B5599" s="207"/>
      <c r="C5599" s="210"/>
      <c r="D5599" s="211"/>
      <c r="E5599" s="211"/>
      <c r="U5599" s="222"/>
    </row>
    <row r="5600" spans="2:21" x14ac:dyDescent="0.2">
      <c r="B5600" s="207"/>
      <c r="C5600" s="210"/>
      <c r="D5600" s="211"/>
      <c r="E5600" s="211"/>
      <c r="U5600" s="222"/>
    </row>
    <row r="5601" spans="2:21" x14ac:dyDescent="0.2">
      <c r="B5601" s="207"/>
      <c r="C5601" s="210"/>
      <c r="D5601" s="211"/>
      <c r="E5601" s="211"/>
      <c r="U5601" s="222"/>
    </row>
    <row r="5602" spans="2:21" x14ac:dyDescent="0.2">
      <c r="B5602" s="207"/>
      <c r="C5602" s="210"/>
      <c r="D5602" s="211"/>
      <c r="E5602" s="211"/>
      <c r="U5602" s="222"/>
    </row>
    <row r="5603" spans="2:21" x14ac:dyDescent="0.2">
      <c r="B5603" s="207"/>
      <c r="C5603" s="210"/>
      <c r="D5603" s="211"/>
      <c r="E5603" s="211"/>
      <c r="U5603" s="222"/>
    </row>
    <row r="5604" spans="2:21" x14ac:dyDescent="0.2">
      <c r="B5604" s="207"/>
      <c r="C5604" s="210"/>
      <c r="D5604" s="211"/>
      <c r="E5604" s="211"/>
      <c r="U5604" s="222"/>
    </row>
    <row r="5605" spans="2:21" x14ac:dyDescent="0.2">
      <c r="B5605" s="207"/>
      <c r="C5605" s="210"/>
      <c r="D5605" s="211"/>
      <c r="E5605" s="211"/>
      <c r="U5605" s="222"/>
    </row>
    <row r="5606" spans="2:21" x14ac:dyDescent="0.2">
      <c r="B5606" s="207"/>
      <c r="C5606" s="210"/>
      <c r="D5606" s="211"/>
      <c r="E5606" s="211"/>
      <c r="U5606" s="222"/>
    </row>
    <row r="5607" spans="2:21" x14ac:dyDescent="0.2">
      <c r="B5607" s="207"/>
      <c r="C5607" s="210"/>
      <c r="D5607" s="211"/>
      <c r="E5607" s="211"/>
      <c r="U5607" s="222"/>
    </row>
    <row r="5608" spans="2:21" x14ac:dyDescent="0.2">
      <c r="B5608" s="207"/>
      <c r="C5608" s="210"/>
      <c r="D5608" s="211"/>
      <c r="E5608" s="211"/>
      <c r="U5608" s="222"/>
    </row>
    <row r="5609" spans="2:21" x14ac:dyDescent="0.2">
      <c r="B5609" s="207"/>
      <c r="C5609" s="210"/>
      <c r="D5609" s="211"/>
      <c r="E5609" s="211"/>
      <c r="U5609" s="222"/>
    </row>
    <row r="5610" spans="2:21" x14ac:dyDescent="0.2">
      <c r="B5610" s="207"/>
      <c r="C5610" s="210"/>
      <c r="D5610" s="211"/>
      <c r="E5610" s="211"/>
      <c r="U5610" s="222"/>
    </row>
    <row r="5611" spans="2:21" x14ac:dyDescent="0.2">
      <c r="B5611" s="207"/>
      <c r="C5611" s="210"/>
      <c r="D5611" s="211"/>
      <c r="E5611" s="211"/>
      <c r="U5611" s="222"/>
    </row>
    <row r="5612" spans="2:21" x14ac:dyDescent="0.2">
      <c r="B5612" s="207"/>
      <c r="C5612" s="210"/>
      <c r="D5612" s="211"/>
      <c r="E5612" s="211"/>
      <c r="U5612" s="222"/>
    </row>
    <row r="5613" spans="2:21" x14ac:dyDescent="0.2">
      <c r="B5613" s="207"/>
      <c r="C5613" s="210"/>
      <c r="D5613" s="211"/>
      <c r="E5613" s="211"/>
      <c r="U5613" s="222"/>
    </row>
    <row r="5614" spans="2:21" x14ac:dyDescent="0.2">
      <c r="B5614" s="207"/>
      <c r="C5614" s="210"/>
      <c r="D5614" s="211"/>
      <c r="E5614" s="211"/>
      <c r="U5614" s="222"/>
    </row>
    <row r="5615" spans="2:21" x14ac:dyDescent="0.2">
      <c r="B5615" s="207"/>
      <c r="C5615" s="210"/>
      <c r="D5615" s="211"/>
      <c r="E5615" s="211"/>
      <c r="U5615" s="222"/>
    </row>
    <row r="5616" spans="2:21" x14ac:dyDescent="0.2">
      <c r="B5616" s="207"/>
      <c r="C5616" s="210"/>
      <c r="D5616" s="211"/>
      <c r="E5616" s="211"/>
      <c r="U5616" s="222"/>
    </row>
    <row r="5617" spans="2:21" x14ac:dyDescent="0.2">
      <c r="B5617" s="207"/>
      <c r="C5617" s="210"/>
      <c r="D5617" s="211"/>
      <c r="E5617" s="211"/>
      <c r="U5617" s="222"/>
    </row>
    <row r="5618" spans="2:21" x14ac:dyDescent="0.2">
      <c r="B5618" s="207"/>
      <c r="C5618" s="210"/>
      <c r="D5618" s="211"/>
      <c r="E5618" s="211"/>
      <c r="U5618" s="222"/>
    </row>
    <row r="5619" spans="2:21" x14ac:dyDescent="0.2">
      <c r="B5619" s="207"/>
      <c r="C5619" s="210"/>
      <c r="D5619" s="211"/>
      <c r="E5619" s="211"/>
      <c r="U5619" s="222"/>
    </row>
    <row r="5620" spans="2:21" x14ac:dyDescent="0.2">
      <c r="B5620" s="207"/>
      <c r="C5620" s="210"/>
      <c r="D5620" s="211"/>
      <c r="E5620" s="211"/>
      <c r="U5620" s="222"/>
    </row>
    <row r="5621" spans="2:21" x14ac:dyDescent="0.2">
      <c r="B5621" s="207"/>
      <c r="C5621" s="210"/>
      <c r="D5621" s="211"/>
      <c r="E5621" s="211"/>
      <c r="U5621" s="222"/>
    </row>
    <row r="5622" spans="2:21" x14ac:dyDescent="0.2">
      <c r="B5622" s="207"/>
      <c r="C5622" s="210"/>
      <c r="D5622" s="211"/>
      <c r="E5622" s="211"/>
      <c r="U5622" s="222"/>
    </row>
    <row r="5623" spans="2:21" x14ac:dyDescent="0.2">
      <c r="B5623" s="207"/>
      <c r="C5623" s="210"/>
      <c r="D5623" s="211"/>
      <c r="E5623" s="211"/>
      <c r="U5623" s="222"/>
    </row>
    <row r="5624" spans="2:21" x14ac:dyDescent="0.2">
      <c r="B5624" s="207"/>
      <c r="C5624" s="210"/>
      <c r="D5624" s="211"/>
      <c r="E5624" s="211"/>
      <c r="U5624" s="222"/>
    </row>
    <row r="5625" spans="2:21" x14ac:dyDescent="0.2">
      <c r="B5625" s="207"/>
      <c r="C5625" s="210"/>
      <c r="D5625" s="211"/>
      <c r="E5625" s="211"/>
      <c r="U5625" s="222"/>
    </row>
    <row r="5626" spans="2:21" x14ac:dyDescent="0.2">
      <c r="B5626" s="207"/>
      <c r="C5626" s="210"/>
      <c r="D5626" s="211"/>
      <c r="E5626" s="211"/>
      <c r="U5626" s="222"/>
    </row>
    <row r="5627" spans="2:21" x14ac:dyDescent="0.2">
      <c r="B5627" s="207"/>
      <c r="C5627" s="210"/>
      <c r="D5627" s="211"/>
      <c r="E5627" s="211"/>
      <c r="U5627" s="222"/>
    </row>
    <row r="5628" spans="2:21" x14ac:dyDescent="0.2">
      <c r="B5628" s="207"/>
      <c r="C5628" s="210"/>
      <c r="D5628" s="211"/>
      <c r="E5628" s="211"/>
      <c r="U5628" s="222"/>
    </row>
    <row r="5629" spans="2:21" x14ac:dyDescent="0.2">
      <c r="B5629" s="207"/>
      <c r="C5629" s="210"/>
      <c r="D5629" s="211"/>
      <c r="E5629" s="211"/>
      <c r="U5629" s="222"/>
    </row>
    <row r="5630" spans="2:21" x14ac:dyDescent="0.2">
      <c r="B5630" s="207"/>
      <c r="C5630" s="210"/>
      <c r="D5630" s="211"/>
      <c r="E5630" s="211"/>
      <c r="U5630" s="222"/>
    </row>
    <row r="5631" spans="2:21" x14ac:dyDescent="0.2">
      <c r="B5631" s="207"/>
      <c r="C5631" s="210"/>
      <c r="D5631" s="211"/>
      <c r="E5631" s="211"/>
      <c r="U5631" s="222"/>
    </row>
    <row r="5632" spans="2:21" x14ac:dyDescent="0.2">
      <c r="B5632" s="207"/>
      <c r="C5632" s="210"/>
      <c r="D5632" s="211"/>
      <c r="E5632" s="211"/>
      <c r="U5632" s="222"/>
    </row>
    <row r="5633" spans="2:21" x14ac:dyDescent="0.2">
      <c r="B5633" s="207"/>
      <c r="C5633" s="210"/>
      <c r="D5633" s="211"/>
      <c r="E5633" s="211"/>
      <c r="U5633" s="222"/>
    </row>
    <row r="5634" spans="2:21" x14ac:dyDescent="0.2">
      <c r="B5634" s="207"/>
      <c r="C5634" s="210"/>
      <c r="D5634" s="211"/>
      <c r="E5634" s="211"/>
      <c r="U5634" s="222"/>
    </row>
    <row r="5635" spans="2:21" x14ac:dyDescent="0.2">
      <c r="B5635" s="207"/>
      <c r="C5635" s="210"/>
      <c r="D5635" s="211"/>
      <c r="E5635" s="211"/>
      <c r="U5635" s="222"/>
    </row>
    <row r="5636" spans="2:21" x14ac:dyDescent="0.2">
      <c r="B5636" s="207"/>
      <c r="C5636" s="210"/>
      <c r="D5636" s="211"/>
      <c r="E5636" s="211"/>
      <c r="U5636" s="222"/>
    </row>
    <row r="5637" spans="2:21" x14ac:dyDescent="0.2">
      <c r="B5637" s="207"/>
      <c r="C5637" s="210"/>
      <c r="D5637" s="211"/>
      <c r="E5637" s="211"/>
      <c r="U5637" s="222"/>
    </row>
    <row r="5638" spans="2:21" x14ac:dyDescent="0.2">
      <c r="B5638" s="207"/>
      <c r="C5638" s="210"/>
      <c r="D5638" s="211"/>
      <c r="E5638" s="211"/>
      <c r="U5638" s="222"/>
    </row>
    <row r="5639" spans="2:21" x14ac:dyDescent="0.2">
      <c r="B5639" s="207"/>
      <c r="C5639" s="210"/>
      <c r="D5639" s="211"/>
      <c r="E5639" s="211"/>
      <c r="U5639" s="222"/>
    </row>
    <row r="5640" spans="2:21" x14ac:dyDescent="0.2">
      <c r="B5640" s="207"/>
      <c r="C5640" s="210"/>
      <c r="D5640" s="211"/>
      <c r="E5640" s="211"/>
      <c r="U5640" s="222"/>
    </row>
    <row r="5641" spans="2:21" x14ac:dyDescent="0.2">
      <c r="B5641" s="207"/>
      <c r="C5641" s="210"/>
      <c r="D5641" s="211"/>
      <c r="E5641" s="211"/>
      <c r="U5641" s="222"/>
    </row>
    <row r="5642" spans="2:21" x14ac:dyDescent="0.2">
      <c r="B5642" s="207"/>
      <c r="C5642" s="210"/>
      <c r="D5642" s="211"/>
      <c r="E5642" s="211"/>
      <c r="U5642" s="222"/>
    </row>
    <row r="5643" spans="2:21" x14ac:dyDescent="0.2">
      <c r="B5643" s="207"/>
      <c r="C5643" s="210"/>
      <c r="D5643" s="211"/>
      <c r="E5643" s="211"/>
      <c r="U5643" s="222"/>
    </row>
    <row r="5644" spans="2:21" x14ac:dyDescent="0.2">
      <c r="B5644" s="207"/>
      <c r="C5644" s="210"/>
      <c r="D5644" s="211"/>
      <c r="E5644" s="211"/>
      <c r="U5644" s="222"/>
    </row>
    <row r="5645" spans="2:21" x14ac:dyDescent="0.2">
      <c r="B5645" s="207"/>
      <c r="C5645" s="210"/>
      <c r="D5645" s="211"/>
      <c r="E5645" s="211"/>
      <c r="U5645" s="222"/>
    </row>
    <row r="5646" spans="2:21" x14ac:dyDescent="0.2">
      <c r="B5646" s="207"/>
      <c r="C5646" s="210"/>
      <c r="D5646" s="211"/>
      <c r="E5646" s="211"/>
      <c r="U5646" s="222"/>
    </row>
    <row r="5647" spans="2:21" x14ac:dyDescent="0.2">
      <c r="B5647" s="207"/>
      <c r="C5647" s="210"/>
      <c r="D5647" s="211"/>
      <c r="E5647" s="211"/>
      <c r="U5647" s="222"/>
    </row>
    <row r="5648" spans="2:21" x14ac:dyDescent="0.2">
      <c r="B5648" s="207"/>
      <c r="C5648" s="210"/>
      <c r="D5648" s="211"/>
      <c r="E5648" s="211"/>
      <c r="U5648" s="222"/>
    </row>
    <row r="5649" spans="2:21" x14ac:dyDescent="0.2">
      <c r="B5649" s="207"/>
      <c r="C5649" s="210"/>
      <c r="D5649" s="211"/>
      <c r="E5649" s="211"/>
      <c r="U5649" s="222"/>
    </row>
    <row r="5650" spans="2:21" x14ac:dyDescent="0.2">
      <c r="B5650" s="207"/>
      <c r="C5650" s="210"/>
      <c r="D5650" s="211"/>
      <c r="E5650" s="211"/>
      <c r="U5650" s="222"/>
    </row>
    <row r="5651" spans="2:21" x14ac:dyDescent="0.2">
      <c r="B5651" s="207"/>
      <c r="C5651" s="210"/>
      <c r="D5651" s="211"/>
      <c r="E5651" s="211"/>
      <c r="U5651" s="222"/>
    </row>
    <row r="5652" spans="2:21" x14ac:dyDescent="0.2">
      <c r="B5652" s="207"/>
      <c r="C5652" s="210"/>
      <c r="D5652" s="211"/>
      <c r="E5652" s="211"/>
      <c r="U5652" s="222"/>
    </row>
    <row r="5653" spans="2:21" x14ac:dyDescent="0.2">
      <c r="B5653" s="207"/>
      <c r="C5653" s="210"/>
      <c r="D5653" s="211"/>
      <c r="E5653" s="211"/>
      <c r="U5653" s="222"/>
    </row>
    <row r="5654" spans="2:21" x14ac:dyDescent="0.2">
      <c r="B5654" s="207"/>
      <c r="C5654" s="210"/>
      <c r="D5654" s="211"/>
      <c r="E5654" s="211"/>
      <c r="U5654" s="222"/>
    </row>
    <row r="5655" spans="2:21" x14ac:dyDescent="0.2">
      <c r="B5655" s="207"/>
      <c r="C5655" s="210"/>
      <c r="D5655" s="211"/>
      <c r="E5655" s="211"/>
      <c r="U5655" s="222"/>
    </row>
    <row r="5656" spans="2:21" x14ac:dyDescent="0.2">
      <c r="B5656" s="207"/>
      <c r="C5656" s="210"/>
      <c r="D5656" s="211"/>
      <c r="E5656" s="211"/>
      <c r="U5656" s="222"/>
    </row>
    <row r="5657" spans="2:21" x14ac:dyDescent="0.2">
      <c r="B5657" s="207"/>
      <c r="C5657" s="210"/>
      <c r="D5657" s="211"/>
      <c r="E5657" s="211"/>
      <c r="U5657" s="222"/>
    </row>
    <row r="5658" spans="2:21" x14ac:dyDescent="0.2">
      <c r="B5658" s="207"/>
      <c r="C5658" s="210"/>
      <c r="D5658" s="211"/>
      <c r="E5658" s="211"/>
      <c r="U5658" s="222"/>
    </row>
    <row r="5659" spans="2:21" x14ac:dyDescent="0.2">
      <c r="B5659" s="207"/>
      <c r="C5659" s="210"/>
      <c r="D5659" s="211"/>
      <c r="E5659" s="211"/>
      <c r="U5659" s="222"/>
    </row>
    <row r="5660" spans="2:21" x14ac:dyDescent="0.2">
      <c r="B5660" s="207"/>
      <c r="C5660" s="210"/>
      <c r="D5660" s="211"/>
      <c r="E5660" s="211"/>
      <c r="U5660" s="222"/>
    </row>
    <row r="5661" spans="2:21" x14ac:dyDescent="0.2">
      <c r="B5661" s="207"/>
      <c r="C5661" s="210"/>
      <c r="D5661" s="211"/>
      <c r="E5661" s="211"/>
      <c r="U5661" s="222"/>
    </row>
    <row r="5662" spans="2:21" x14ac:dyDescent="0.2">
      <c r="B5662" s="207"/>
      <c r="C5662" s="210"/>
      <c r="D5662" s="211"/>
      <c r="E5662" s="211"/>
      <c r="U5662" s="222"/>
    </row>
    <row r="5663" spans="2:21" x14ac:dyDescent="0.2">
      <c r="B5663" s="207"/>
      <c r="C5663" s="210"/>
      <c r="D5663" s="211"/>
      <c r="E5663" s="211"/>
      <c r="U5663" s="222"/>
    </row>
    <row r="5664" spans="2:21" x14ac:dyDescent="0.2">
      <c r="B5664" s="207"/>
      <c r="C5664" s="210"/>
      <c r="D5664" s="211"/>
      <c r="E5664" s="211"/>
      <c r="U5664" s="222"/>
    </row>
    <row r="5665" spans="2:21" x14ac:dyDescent="0.2">
      <c r="B5665" s="207"/>
      <c r="C5665" s="210"/>
      <c r="D5665" s="211"/>
      <c r="E5665" s="211"/>
      <c r="U5665" s="222"/>
    </row>
    <row r="5666" spans="2:21" x14ac:dyDescent="0.2">
      <c r="B5666" s="207"/>
      <c r="C5666" s="210"/>
      <c r="D5666" s="211"/>
      <c r="E5666" s="211"/>
      <c r="U5666" s="222"/>
    </row>
    <row r="5667" spans="2:21" x14ac:dyDescent="0.2">
      <c r="B5667" s="207"/>
      <c r="C5667" s="210"/>
      <c r="D5667" s="211"/>
      <c r="E5667" s="211"/>
      <c r="U5667" s="222"/>
    </row>
    <row r="5668" spans="2:21" x14ac:dyDescent="0.2">
      <c r="B5668" s="207"/>
      <c r="C5668" s="210"/>
      <c r="D5668" s="211"/>
      <c r="E5668" s="211"/>
      <c r="U5668" s="222"/>
    </row>
    <row r="5669" spans="2:21" x14ac:dyDescent="0.2">
      <c r="B5669" s="207"/>
      <c r="C5669" s="210"/>
      <c r="D5669" s="211"/>
      <c r="E5669" s="211"/>
      <c r="U5669" s="222"/>
    </row>
    <row r="5670" spans="2:21" x14ac:dyDescent="0.2">
      <c r="B5670" s="207"/>
      <c r="C5670" s="210"/>
      <c r="D5670" s="211"/>
      <c r="E5670" s="211"/>
      <c r="U5670" s="222"/>
    </row>
    <row r="5671" spans="2:21" x14ac:dyDescent="0.2">
      <c r="B5671" s="207"/>
      <c r="C5671" s="210"/>
      <c r="D5671" s="211"/>
      <c r="E5671" s="211"/>
      <c r="U5671" s="222"/>
    </row>
    <row r="5672" spans="2:21" x14ac:dyDescent="0.2">
      <c r="B5672" s="207"/>
      <c r="C5672" s="210"/>
      <c r="D5672" s="211"/>
      <c r="E5672" s="211"/>
      <c r="U5672" s="222"/>
    </row>
    <row r="5673" spans="2:21" x14ac:dyDescent="0.2">
      <c r="B5673" s="207"/>
      <c r="C5673" s="210"/>
      <c r="D5673" s="211"/>
      <c r="E5673" s="211"/>
      <c r="U5673" s="222"/>
    </row>
    <row r="5674" spans="2:21" x14ac:dyDescent="0.2">
      <c r="B5674" s="207"/>
      <c r="C5674" s="210"/>
      <c r="D5674" s="211"/>
      <c r="E5674" s="211"/>
      <c r="U5674" s="222"/>
    </row>
    <row r="5675" spans="2:21" x14ac:dyDescent="0.2">
      <c r="B5675" s="207"/>
      <c r="C5675" s="210"/>
      <c r="D5675" s="211"/>
      <c r="E5675" s="211"/>
      <c r="U5675" s="222"/>
    </row>
    <row r="5676" spans="2:21" x14ac:dyDescent="0.2">
      <c r="B5676" s="207"/>
      <c r="C5676" s="210"/>
      <c r="D5676" s="211"/>
      <c r="E5676" s="211"/>
      <c r="U5676" s="222"/>
    </row>
    <row r="5677" spans="2:21" x14ac:dyDescent="0.2">
      <c r="B5677" s="207"/>
      <c r="C5677" s="210"/>
      <c r="D5677" s="211"/>
      <c r="E5677" s="211"/>
      <c r="U5677" s="222"/>
    </row>
    <row r="5678" spans="2:21" x14ac:dyDescent="0.2">
      <c r="B5678" s="207"/>
      <c r="C5678" s="210"/>
      <c r="D5678" s="211"/>
      <c r="E5678" s="211"/>
      <c r="U5678" s="222"/>
    </row>
    <row r="5679" spans="2:21" x14ac:dyDescent="0.2">
      <c r="B5679" s="207"/>
      <c r="C5679" s="210"/>
      <c r="D5679" s="211"/>
      <c r="E5679" s="211"/>
      <c r="U5679" s="222"/>
    </row>
    <row r="5680" spans="2:21" x14ac:dyDescent="0.2">
      <c r="B5680" s="207"/>
      <c r="C5680" s="210"/>
      <c r="D5680" s="211"/>
      <c r="E5680" s="211"/>
      <c r="U5680" s="222"/>
    </row>
    <row r="5681" spans="2:21" x14ac:dyDescent="0.2">
      <c r="B5681" s="207"/>
      <c r="C5681" s="210"/>
      <c r="D5681" s="211"/>
      <c r="E5681" s="211"/>
      <c r="U5681" s="222"/>
    </row>
    <row r="5682" spans="2:21" x14ac:dyDescent="0.2">
      <c r="B5682" s="207"/>
      <c r="C5682" s="210"/>
      <c r="D5682" s="211"/>
      <c r="E5682" s="211"/>
      <c r="U5682" s="222"/>
    </row>
    <row r="5683" spans="2:21" x14ac:dyDescent="0.2">
      <c r="B5683" s="207"/>
      <c r="C5683" s="210"/>
      <c r="D5683" s="211"/>
      <c r="E5683" s="211"/>
      <c r="U5683" s="222"/>
    </row>
    <row r="5684" spans="2:21" x14ac:dyDescent="0.2">
      <c r="B5684" s="207"/>
      <c r="C5684" s="210"/>
      <c r="D5684" s="211"/>
      <c r="E5684" s="211"/>
      <c r="U5684" s="222"/>
    </row>
    <row r="5685" spans="2:21" x14ac:dyDescent="0.2">
      <c r="B5685" s="207"/>
      <c r="C5685" s="210"/>
      <c r="D5685" s="211"/>
      <c r="E5685" s="211"/>
      <c r="U5685" s="222"/>
    </row>
    <row r="5686" spans="2:21" x14ac:dyDescent="0.2">
      <c r="B5686" s="207"/>
      <c r="C5686" s="210"/>
      <c r="D5686" s="211"/>
      <c r="E5686" s="211"/>
      <c r="U5686" s="222"/>
    </row>
    <row r="5687" spans="2:21" x14ac:dyDescent="0.2">
      <c r="B5687" s="207"/>
      <c r="C5687" s="210"/>
      <c r="D5687" s="211"/>
      <c r="E5687" s="211"/>
      <c r="U5687" s="222"/>
    </row>
    <row r="5688" spans="2:21" x14ac:dyDescent="0.2">
      <c r="B5688" s="207"/>
      <c r="C5688" s="210"/>
      <c r="D5688" s="211"/>
      <c r="E5688" s="211"/>
      <c r="U5688" s="222"/>
    </row>
    <row r="5689" spans="2:21" x14ac:dyDescent="0.2">
      <c r="B5689" s="207"/>
      <c r="C5689" s="210"/>
      <c r="D5689" s="211"/>
      <c r="E5689" s="211"/>
      <c r="U5689" s="222"/>
    </row>
    <row r="5690" spans="2:21" x14ac:dyDescent="0.2">
      <c r="B5690" s="207"/>
      <c r="C5690" s="210"/>
      <c r="D5690" s="211"/>
      <c r="E5690" s="211"/>
      <c r="U5690" s="222"/>
    </row>
    <row r="5691" spans="2:21" x14ac:dyDescent="0.2">
      <c r="B5691" s="207"/>
      <c r="C5691" s="210"/>
      <c r="D5691" s="211"/>
      <c r="E5691" s="211"/>
      <c r="U5691" s="222"/>
    </row>
    <row r="5692" spans="2:21" x14ac:dyDescent="0.2">
      <c r="B5692" s="207"/>
      <c r="C5692" s="210"/>
      <c r="D5692" s="211"/>
      <c r="E5692" s="211"/>
      <c r="U5692" s="222"/>
    </row>
    <row r="5693" spans="2:21" x14ac:dyDescent="0.2">
      <c r="B5693" s="207"/>
      <c r="C5693" s="210"/>
      <c r="D5693" s="211"/>
      <c r="E5693" s="211"/>
      <c r="U5693" s="222"/>
    </row>
    <row r="5694" spans="2:21" x14ac:dyDescent="0.2">
      <c r="B5694" s="207"/>
      <c r="C5694" s="210"/>
      <c r="D5694" s="211"/>
      <c r="E5694" s="211"/>
      <c r="U5694" s="222"/>
    </row>
    <row r="5695" spans="2:21" x14ac:dyDescent="0.2">
      <c r="B5695" s="207"/>
      <c r="C5695" s="210"/>
      <c r="D5695" s="211"/>
      <c r="E5695" s="211"/>
      <c r="U5695" s="222"/>
    </row>
    <row r="5696" spans="2:21" x14ac:dyDescent="0.2">
      <c r="B5696" s="207"/>
      <c r="C5696" s="210"/>
      <c r="D5696" s="211"/>
      <c r="E5696" s="211"/>
      <c r="U5696" s="222"/>
    </row>
    <row r="5697" spans="2:21" x14ac:dyDescent="0.2">
      <c r="B5697" s="207"/>
      <c r="C5697" s="210"/>
      <c r="D5697" s="211"/>
      <c r="E5697" s="211"/>
      <c r="U5697" s="222"/>
    </row>
    <row r="5698" spans="2:21" x14ac:dyDescent="0.2">
      <c r="B5698" s="207"/>
      <c r="C5698" s="210"/>
      <c r="D5698" s="211"/>
      <c r="E5698" s="211"/>
      <c r="U5698" s="222"/>
    </row>
    <row r="5699" spans="2:21" x14ac:dyDescent="0.2">
      <c r="B5699" s="207"/>
      <c r="C5699" s="210"/>
      <c r="D5699" s="211"/>
      <c r="E5699" s="211"/>
      <c r="U5699" s="222"/>
    </row>
    <row r="5700" spans="2:21" x14ac:dyDescent="0.2">
      <c r="B5700" s="207"/>
      <c r="C5700" s="210"/>
      <c r="D5700" s="211"/>
      <c r="E5700" s="211"/>
      <c r="U5700" s="222"/>
    </row>
    <row r="5701" spans="2:21" x14ac:dyDescent="0.2">
      <c r="B5701" s="207"/>
      <c r="C5701" s="210"/>
      <c r="D5701" s="211"/>
      <c r="E5701" s="211"/>
      <c r="U5701" s="222"/>
    </row>
    <row r="5702" spans="2:21" x14ac:dyDescent="0.2">
      <c r="B5702" s="207"/>
      <c r="C5702" s="210"/>
      <c r="D5702" s="211"/>
      <c r="E5702" s="211"/>
      <c r="U5702" s="222"/>
    </row>
    <row r="5703" spans="2:21" x14ac:dyDescent="0.2">
      <c r="B5703" s="207"/>
      <c r="C5703" s="210"/>
      <c r="D5703" s="211"/>
      <c r="E5703" s="211"/>
      <c r="U5703" s="222"/>
    </row>
    <row r="5704" spans="2:21" x14ac:dyDescent="0.2">
      <c r="B5704" s="207"/>
      <c r="C5704" s="210"/>
      <c r="D5704" s="211"/>
      <c r="E5704" s="211"/>
      <c r="U5704" s="222"/>
    </row>
    <row r="5705" spans="2:21" x14ac:dyDescent="0.2">
      <c r="B5705" s="207"/>
      <c r="C5705" s="210"/>
      <c r="D5705" s="211"/>
      <c r="E5705" s="211"/>
      <c r="U5705" s="222"/>
    </row>
    <row r="5706" spans="2:21" x14ac:dyDescent="0.2">
      <c r="B5706" s="207"/>
      <c r="C5706" s="210"/>
      <c r="D5706" s="211"/>
      <c r="E5706" s="211"/>
      <c r="U5706" s="222"/>
    </row>
    <row r="5707" spans="2:21" x14ac:dyDescent="0.2">
      <c r="B5707" s="207"/>
      <c r="C5707" s="210"/>
      <c r="D5707" s="211"/>
      <c r="E5707" s="211"/>
      <c r="U5707" s="222"/>
    </row>
    <row r="5708" spans="2:21" x14ac:dyDescent="0.2">
      <c r="B5708" s="207"/>
      <c r="C5708" s="210"/>
      <c r="D5708" s="211"/>
      <c r="E5708" s="211"/>
      <c r="U5708" s="222"/>
    </row>
    <row r="5709" spans="2:21" x14ac:dyDescent="0.2">
      <c r="B5709" s="207"/>
      <c r="C5709" s="210"/>
      <c r="D5709" s="211"/>
      <c r="E5709" s="211"/>
      <c r="U5709" s="222"/>
    </row>
    <row r="5710" spans="2:21" x14ac:dyDescent="0.2">
      <c r="B5710" s="207"/>
      <c r="C5710" s="210"/>
      <c r="D5710" s="211"/>
      <c r="E5710" s="211"/>
      <c r="U5710" s="222"/>
    </row>
    <row r="5711" spans="2:21" x14ac:dyDescent="0.2">
      <c r="B5711" s="207"/>
      <c r="C5711" s="210"/>
      <c r="D5711" s="211"/>
      <c r="E5711" s="211"/>
      <c r="U5711" s="222"/>
    </row>
    <row r="5712" spans="2:21" x14ac:dyDescent="0.2">
      <c r="B5712" s="207"/>
      <c r="C5712" s="210"/>
      <c r="D5712" s="211"/>
      <c r="E5712" s="211"/>
      <c r="U5712" s="222"/>
    </row>
    <row r="5713" spans="2:21" x14ac:dyDescent="0.2">
      <c r="B5713" s="207"/>
      <c r="C5713" s="210"/>
      <c r="D5713" s="211"/>
      <c r="E5713" s="211"/>
      <c r="U5713" s="222"/>
    </row>
    <row r="5714" spans="2:21" x14ac:dyDescent="0.2">
      <c r="B5714" s="207"/>
      <c r="C5714" s="210"/>
      <c r="D5714" s="211"/>
      <c r="E5714" s="211"/>
      <c r="U5714" s="222"/>
    </row>
    <row r="5715" spans="2:21" x14ac:dyDescent="0.2">
      <c r="B5715" s="207"/>
      <c r="C5715" s="210"/>
      <c r="D5715" s="211"/>
      <c r="E5715" s="211"/>
      <c r="U5715" s="222"/>
    </row>
    <row r="5716" spans="2:21" x14ac:dyDescent="0.2">
      <c r="B5716" s="207"/>
      <c r="C5716" s="210"/>
      <c r="D5716" s="211"/>
      <c r="E5716" s="211"/>
      <c r="U5716" s="222"/>
    </row>
    <row r="5717" spans="2:21" x14ac:dyDescent="0.2">
      <c r="B5717" s="207"/>
      <c r="C5717" s="210"/>
      <c r="D5717" s="211"/>
      <c r="E5717" s="211"/>
      <c r="U5717" s="222"/>
    </row>
    <row r="5718" spans="2:21" x14ac:dyDescent="0.2">
      <c r="B5718" s="207"/>
      <c r="C5718" s="210"/>
      <c r="D5718" s="211"/>
      <c r="E5718" s="211"/>
      <c r="U5718" s="222"/>
    </row>
    <row r="5719" spans="2:21" x14ac:dyDescent="0.2">
      <c r="B5719" s="207"/>
      <c r="C5719" s="210"/>
      <c r="D5719" s="211"/>
      <c r="E5719" s="211"/>
      <c r="U5719" s="222"/>
    </row>
    <row r="5720" spans="2:21" x14ac:dyDescent="0.2">
      <c r="B5720" s="207"/>
      <c r="C5720" s="210"/>
      <c r="D5720" s="211"/>
      <c r="E5720" s="211"/>
      <c r="U5720" s="222"/>
    </row>
    <row r="5721" spans="2:21" x14ac:dyDescent="0.2">
      <c r="B5721" s="207"/>
      <c r="C5721" s="210"/>
      <c r="D5721" s="211"/>
      <c r="E5721" s="211"/>
      <c r="U5721" s="222"/>
    </row>
    <row r="5722" spans="2:21" x14ac:dyDescent="0.2">
      <c r="B5722" s="207"/>
      <c r="C5722" s="210"/>
      <c r="D5722" s="211"/>
      <c r="E5722" s="211"/>
      <c r="U5722" s="222"/>
    </row>
    <row r="5723" spans="2:21" x14ac:dyDescent="0.2">
      <c r="B5723" s="207"/>
      <c r="C5723" s="210"/>
      <c r="D5723" s="211"/>
      <c r="E5723" s="211"/>
      <c r="U5723" s="222"/>
    </row>
    <row r="5724" spans="2:21" x14ac:dyDescent="0.2">
      <c r="B5724" s="207"/>
      <c r="C5724" s="210"/>
      <c r="D5724" s="211"/>
      <c r="E5724" s="211"/>
      <c r="U5724" s="222"/>
    </row>
    <row r="5725" spans="2:21" x14ac:dyDescent="0.2">
      <c r="B5725" s="207"/>
      <c r="C5725" s="210"/>
      <c r="D5725" s="211"/>
      <c r="E5725" s="211"/>
      <c r="U5725" s="222"/>
    </row>
    <row r="5726" spans="2:21" x14ac:dyDescent="0.2">
      <c r="B5726" s="207"/>
      <c r="C5726" s="210"/>
      <c r="D5726" s="211"/>
      <c r="E5726" s="211"/>
      <c r="U5726" s="222"/>
    </row>
    <row r="5727" spans="2:21" x14ac:dyDescent="0.2">
      <c r="B5727" s="207"/>
      <c r="C5727" s="210"/>
      <c r="D5727" s="211"/>
      <c r="E5727" s="211"/>
      <c r="U5727" s="222"/>
    </row>
    <row r="5728" spans="2:21" x14ac:dyDescent="0.2">
      <c r="B5728" s="207"/>
      <c r="C5728" s="210"/>
      <c r="D5728" s="211"/>
      <c r="E5728" s="211"/>
      <c r="U5728" s="222"/>
    </row>
    <row r="5729" spans="2:21" x14ac:dyDescent="0.2">
      <c r="B5729" s="207"/>
      <c r="C5729" s="210"/>
      <c r="D5729" s="211"/>
      <c r="E5729" s="211"/>
      <c r="U5729" s="222"/>
    </row>
    <row r="5730" spans="2:21" x14ac:dyDescent="0.2">
      <c r="B5730" s="207"/>
      <c r="C5730" s="210"/>
      <c r="D5730" s="211"/>
      <c r="E5730" s="211"/>
      <c r="U5730" s="222"/>
    </row>
    <row r="5731" spans="2:21" x14ac:dyDescent="0.2">
      <c r="B5731" s="207"/>
      <c r="C5731" s="210"/>
      <c r="D5731" s="211"/>
      <c r="E5731" s="211"/>
      <c r="U5731" s="222"/>
    </row>
    <row r="5732" spans="2:21" x14ac:dyDescent="0.2">
      <c r="B5732" s="207"/>
      <c r="C5732" s="210"/>
      <c r="D5732" s="211"/>
      <c r="E5732" s="211"/>
      <c r="U5732" s="222"/>
    </row>
    <row r="5733" spans="2:21" x14ac:dyDescent="0.2">
      <c r="B5733" s="207"/>
      <c r="C5733" s="210"/>
      <c r="D5733" s="211"/>
      <c r="E5733" s="211"/>
      <c r="U5733" s="222"/>
    </row>
    <row r="5734" spans="2:21" x14ac:dyDescent="0.2">
      <c r="B5734" s="207"/>
      <c r="C5734" s="210"/>
      <c r="D5734" s="211"/>
      <c r="E5734" s="211"/>
      <c r="U5734" s="222"/>
    </row>
    <row r="5735" spans="2:21" x14ac:dyDescent="0.2">
      <c r="B5735" s="207"/>
      <c r="C5735" s="210"/>
      <c r="D5735" s="211"/>
      <c r="E5735" s="211"/>
      <c r="U5735" s="222"/>
    </row>
    <row r="5736" spans="2:21" x14ac:dyDescent="0.2">
      <c r="B5736" s="207"/>
      <c r="C5736" s="210"/>
      <c r="D5736" s="211"/>
      <c r="E5736" s="211"/>
      <c r="U5736" s="222"/>
    </row>
    <row r="5737" spans="2:21" x14ac:dyDescent="0.2">
      <c r="B5737" s="207"/>
      <c r="C5737" s="210"/>
      <c r="D5737" s="211"/>
      <c r="E5737" s="211"/>
      <c r="U5737" s="222"/>
    </row>
    <row r="5738" spans="2:21" x14ac:dyDescent="0.2">
      <c r="B5738" s="207"/>
      <c r="C5738" s="210"/>
      <c r="D5738" s="211"/>
      <c r="E5738" s="211"/>
      <c r="U5738" s="222"/>
    </row>
    <row r="5739" spans="2:21" x14ac:dyDescent="0.2">
      <c r="B5739" s="207"/>
      <c r="C5739" s="210"/>
      <c r="D5739" s="211"/>
      <c r="E5739" s="211"/>
      <c r="U5739" s="222"/>
    </row>
    <row r="5740" spans="2:21" x14ac:dyDescent="0.2">
      <c r="B5740" s="207"/>
      <c r="C5740" s="210"/>
      <c r="D5740" s="211"/>
      <c r="E5740" s="211"/>
      <c r="U5740" s="222"/>
    </row>
    <row r="5741" spans="2:21" x14ac:dyDescent="0.2">
      <c r="B5741" s="207"/>
      <c r="C5741" s="210"/>
      <c r="D5741" s="211"/>
      <c r="E5741" s="211"/>
      <c r="U5741" s="222"/>
    </row>
    <row r="5742" spans="2:21" x14ac:dyDescent="0.2">
      <c r="B5742" s="207"/>
      <c r="C5742" s="210"/>
      <c r="D5742" s="211"/>
      <c r="E5742" s="211"/>
      <c r="U5742" s="222"/>
    </row>
    <row r="5743" spans="2:21" x14ac:dyDescent="0.2">
      <c r="B5743" s="207"/>
      <c r="C5743" s="210"/>
      <c r="D5743" s="211"/>
      <c r="E5743" s="211"/>
      <c r="U5743" s="222"/>
    </row>
    <row r="5744" spans="2:21" x14ac:dyDescent="0.2">
      <c r="B5744" s="207"/>
      <c r="C5744" s="210"/>
      <c r="D5744" s="211"/>
      <c r="E5744" s="211"/>
      <c r="U5744" s="222"/>
    </row>
    <row r="5745" spans="2:21" x14ac:dyDescent="0.2">
      <c r="B5745" s="207"/>
      <c r="C5745" s="210"/>
      <c r="D5745" s="211"/>
      <c r="E5745" s="211"/>
      <c r="U5745" s="222"/>
    </row>
    <row r="5746" spans="2:21" x14ac:dyDescent="0.2">
      <c r="B5746" s="207"/>
      <c r="C5746" s="210"/>
      <c r="D5746" s="211"/>
      <c r="E5746" s="211"/>
      <c r="U5746" s="222"/>
    </row>
    <row r="5747" spans="2:21" x14ac:dyDescent="0.2">
      <c r="B5747" s="207"/>
      <c r="C5747" s="210"/>
      <c r="D5747" s="211"/>
      <c r="E5747" s="211"/>
      <c r="U5747" s="222"/>
    </row>
    <row r="5748" spans="2:21" x14ac:dyDescent="0.2">
      <c r="B5748" s="207"/>
      <c r="C5748" s="210"/>
      <c r="D5748" s="211"/>
      <c r="E5748" s="211"/>
      <c r="U5748" s="222"/>
    </row>
    <row r="5749" spans="2:21" x14ac:dyDescent="0.2">
      <c r="B5749" s="207"/>
      <c r="C5749" s="210"/>
      <c r="D5749" s="211"/>
      <c r="E5749" s="211"/>
      <c r="U5749" s="222"/>
    </row>
    <row r="5750" spans="2:21" x14ac:dyDescent="0.2">
      <c r="B5750" s="207"/>
      <c r="C5750" s="210"/>
      <c r="D5750" s="211"/>
      <c r="E5750" s="211"/>
      <c r="U5750" s="222"/>
    </row>
    <row r="5751" spans="2:21" x14ac:dyDescent="0.2">
      <c r="B5751" s="207"/>
      <c r="C5751" s="210"/>
      <c r="D5751" s="211"/>
      <c r="E5751" s="211"/>
      <c r="U5751" s="222"/>
    </row>
    <row r="5752" spans="2:21" x14ac:dyDescent="0.2">
      <c r="B5752" s="207"/>
      <c r="C5752" s="210"/>
      <c r="D5752" s="211"/>
      <c r="E5752" s="211"/>
      <c r="U5752" s="222"/>
    </row>
    <row r="5753" spans="2:21" x14ac:dyDescent="0.2">
      <c r="B5753" s="207"/>
      <c r="C5753" s="210"/>
      <c r="D5753" s="211"/>
      <c r="E5753" s="211"/>
      <c r="U5753" s="222"/>
    </row>
    <row r="5754" spans="2:21" x14ac:dyDescent="0.2">
      <c r="B5754" s="207"/>
      <c r="C5754" s="210"/>
      <c r="D5754" s="211"/>
      <c r="E5754" s="211"/>
      <c r="U5754" s="222"/>
    </row>
    <row r="5755" spans="2:21" x14ac:dyDescent="0.2">
      <c r="B5755" s="207"/>
      <c r="C5755" s="210"/>
      <c r="D5755" s="211"/>
      <c r="E5755" s="211"/>
      <c r="U5755" s="222"/>
    </row>
    <row r="5756" spans="2:21" x14ac:dyDescent="0.2">
      <c r="B5756" s="207"/>
      <c r="C5756" s="210"/>
      <c r="D5756" s="211"/>
      <c r="E5756" s="211"/>
      <c r="U5756" s="222"/>
    </row>
    <row r="5757" spans="2:21" x14ac:dyDescent="0.2">
      <c r="B5757" s="207"/>
      <c r="C5757" s="210"/>
      <c r="D5757" s="211"/>
      <c r="E5757" s="211"/>
      <c r="U5757" s="222"/>
    </row>
    <row r="5758" spans="2:21" x14ac:dyDescent="0.2">
      <c r="B5758" s="207"/>
      <c r="C5758" s="210"/>
      <c r="D5758" s="211"/>
      <c r="E5758" s="211"/>
      <c r="U5758" s="222"/>
    </row>
    <row r="5759" spans="2:21" x14ac:dyDescent="0.2">
      <c r="B5759" s="207"/>
      <c r="C5759" s="210"/>
      <c r="D5759" s="211"/>
      <c r="E5759" s="211"/>
      <c r="U5759" s="222"/>
    </row>
    <row r="5760" spans="2:21" x14ac:dyDescent="0.2">
      <c r="B5760" s="207"/>
      <c r="C5760" s="210"/>
      <c r="D5760" s="211"/>
      <c r="E5760" s="211"/>
      <c r="U5760" s="222"/>
    </row>
    <row r="5761" spans="2:21" x14ac:dyDescent="0.2">
      <c r="B5761" s="207"/>
      <c r="C5761" s="210"/>
      <c r="D5761" s="211"/>
      <c r="E5761" s="211"/>
      <c r="U5761" s="222"/>
    </row>
    <row r="5762" spans="2:21" x14ac:dyDescent="0.2">
      <c r="B5762" s="207"/>
      <c r="C5762" s="210"/>
      <c r="D5762" s="211"/>
      <c r="E5762" s="211"/>
      <c r="U5762" s="222"/>
    </row>
    <row r="5763" spans="2:21" x14ac:dyDescent="0.2">
      <c r="B5763" s="207"/>
      <c r="C5763" s="210"/>
      <c r="D5763" s="211"/>
      <c r="E5763" s="211"/>
      <c r="U5763" s="222"/>
    </row>
    <row r="5764" spans="2:21" x14ac:dyDescent="0.2">
      <c r="B5764" s="207"/>
      <c r="C5764" s="210"/>
      <c r="D5764" s="211"/>
      <c r="E5764" s="211"/>
      <c r="U5764" s="222"/>
    </row>
    <row r="5765" spans="2:21" x14ac:dyDescent="0.2">
      <c r="B5765" s="207"/>
      <c r="C5765" s="210"/>
      <c r="D5765" s="211"/>
      <c r="E5765" s="211"/>
      <c r="U5765" s="222"/>
    </row>
    <row r="5766" spans="2:21" x14ac:dyDescent="0.2">
      <c r="B5766" s="207"/>
      <c r="C5766" s="210"/>
      <c r="D5766" s="211"/>
      <c r="E5766" s="211"/>
      <c r="U5766" s="222"/>
    </row>
    <row r="5767" spans="2:21" x14ac:dyDescent="0.2">
      <c r="B5767" s="207"/>
      <c r="C5767" s="210"/>
      <c r="D5767" s="211"/>
      <c r="E5767" s="211"/>
      <c r="U5767" s="222"/>
    </row>
    <row r="5768" spans="2:21" x14ac:dyDescent="0.2">
      <c r="B5768" s="207"/>
      <c r="C5768" s="210"/>
      <c r="D5768" s="211"/>
      <c r="E5768" s="211"/>
      <c r="U5768" s="222"/>
    </row>
    <row r="5769" spans="2:21" x14ac:dyDescent="0.2">
      <c r="B5769" s="207"/>
      <c r="C5769" s="210"/>
      <c r="D5769" s="211"/>
      <c r="E5769" s="211"/>
      <c r="U5769" s="222"/>
    </row>
    <row r="5770" spans="2:21" x14ac:dyDescent="0.2">
      <c r="B5770" s="207"/>
      <c r="C5770" s="210"/>
      <c r="D5770" s="211"/>
      <c r="E5770" s="211"/>
      <c r="U5770" s="222"/>
    </row>
    <row r="5771" spans="2:21" x14ac:dyDescent="0.2">
      <c r="B5771" s="207"/>
      <c r="C5771" s="210"/>
      <c r="D5771" s="211"/>
      <c r="E5771" s="211"/>
      <c r="U5771" s="222"/>
    </row>
    <row r="5772" spans="2:21" x14ac:dyDescent="0.2">
      <c r="B5772" s="207"/>
      <c r="C5772" s="210"/>
      <c r="D5772" s="211"/>
      <c r="E5772" s="211"/>
      <c r="U5772" s="222"/>
    </row>
    <row r="5773" spans="2:21" x14ac:dyDescent="0.2">
      <c r="B5773" s="207"/>
      <c r="C5773" s="210"/>
      <c r="D5773" s="211"/>
      <c r="E5773" s="211"/>
      <c r="U5773" s="222"/>
    </row>
    <row r="5774" spans="2:21" x14ac:dyDescent="0.2">
      <c r="B5774" s="207"/>
      <c r="C5774" s="210"/>
      <c r="D5774" s="211"/>
      <c r="E5774" s="211"/>
      <c r="U5774" s="222"/>
    </row>
    <row r="5775" spans="2:21" x14ac:dyDescent="0.2">
      <c r="B5775" s="207"/>
      <c r="C5775" s="210"/>
      <c r="D5775" s="211"/>
      <c r="E5775" s="211"/>
      <c r="U5775" s="222"/>
    </row>
    <row r="5776" spans="2:21" x14ac:dyDescent="0.2">
      <c r="B5776" s="207"/>
      <c r="C5776" s="210"/>
      <c r="D5776" s="211"/>
      <c r="E5776" s="211"/>
      <c r="U5776" s="222"/>
    </row>
    <row r="5777" spans="2:21" x14ac:dyDescent="0.2">
      <c r="B5777" s="207"/>
      <c r="C5777" s="210"/>
      <c r="D5777" s="211"/>
      <c r="E5777" s="211"/>
      <c r="U5777" s="222"/>
    </row>
    <row r="5778" spans="2:21" x14ac:dyDescent="0.2">
      <c r="B5778" s="207"/>
      <c r="C5778" s="210"/>
      <c r="D5778" s="211"/>
      <c r="E5778" s="211"/>
      <c r="U5778" s="222"/>
    </row>
    <row r="5779" spans="2:21" x14ac:dyDescent="0.2">
      <c r="B5779" s="207"/>
      <c r="C5779" s="210"/>
      <c r="D5779" s="211"/>
      <c r="E5779" s="211"/>
      <c r="U5779" s="222"/>
    </row>
    <row r="5780" spans="2:21" x14ac:dyDescent="0.2">
      <c r="B5780" s="207"/>
      <c r="C5780" s="210"/>
      <c r="D5780" s="211"/>
      <c r="E5780" s="211"/>
      <c r="U5780" s="222"/>
    </row>
    <row r="5781" spans="2:21" x14ac:dyDescent="0.2">
      <c r="B5781" s="207"/>
      <c r="C5781" s="210"/>
      <c r="D5781" s="211"/>
      <c r="E5781" s="211"/>
      <c r="U5781" s="222"/>
    </row>
    <row r="5782" spans="2:21" x14ac:dyDescent="0.2">
      <c r="B5782" s="207"/>
      <c r="C5782" s="210"/>
      <c r="D5782" s="211"/>
      <c r="E5782" s="211"/>
      <c r="U5782" s="222"/>
    </row>
    <row r="5783" spans="2:21" x14ac:dyDescent="0.2">
      <c r="B5783" s="207"/>
      <c r="C5783" s="210"/>
      <c r="D5783" s="211"/>
      <c r="E5783" s="211"/>
      <c r="U5783" s="222"/>
    </row>
    <row r="5784" spans="2:21" x14ac:dyDescent="0.2">
      <c r="B5784" s="207"/>
      <c r="C5784" s="210"/>
      <c r="D5784" s="211"/>
      <c r="E5784" s="211"/>
      <c r="U5784" s="222"/>
    </row>
    <row r="5785" spans="2:21" x14ac:dyDescent="0.2">
      <c r="B5785" s="207"/>
      <c r="C5785" s="210"/>
      <c r="D5785" s="211"/>
      <c r="E5785" s="211"/>
      <c r="U5785" s="222"/>
    </row>
    <row r="5786" spans="2:21" x14ac:dyDescent="0.2">
      <c r="B5786" s="207"/>
      <c r="C5786" s="210"/>
      <c r="D5786" s="211"/>
      <c r="E5786" s="211"/>
      <c r="U5786" s="222"/>
    </row>
    <row r="5787" spans="2:21" x14ac:dyDescent="0.2">
      <c r="B5787" s="207"/>
      <c r="C5787" s="210"/>
      <c r="D5787" s="211"/>
      <c r="E5787" s="211"/>
      <c r="U5787" s="222"/>
    </row>
    <row r="5788" spans="2:21" x14ac:dyDescent="0.2">
      <c r="B5788" s="207"/>
      <c r="C5788" s="210"/>
      <c r="D5788" s="211"/>
      <c r="E5788" s="211"/>
      <c r="U5788" s="222"/>
    </row>
    <row r="5789" spans="2:21" x14ac:dyDescent="0.2">
      <c r="B5789" s="207"/>
      <c r="C5789" s="210"/>
      <c r="D5789" s="211"/>
      <c r="E5789" s="211"/>
      <c r="U5789" s="222"/>
    </row>
    <row r="5790" spans="2:21" x14ac:dyDescent="0.2">
      <c r="B5790" s="207"/>
      <c r="C5790" s="210"/>
      <c r="D5790" s="211"/>
      <c r="E5790" s="211"/>
      <c r="U5790" s="222"/>
    </row>
    <row r="5791" spans="2:21" x14ac:dyDescent="0.2">
      <c r="B5791" s="207"/>
      <c r="C5791" s="210"/>
      <c r="D5791" s="211"/>
      <c r="E5791" s="211"/>
      <c r="U5791" s="222"/>
    </row>
    <row r="5792" spans="2:21" x14ac:dyDescent="0.2">
      <c r="B5792" s="207"/>
      <c r="C5792" s="210"/>
      <c r="D5792" s="211"/>
      <c r="E5792" s="211"/>
      <c r="U5792" s="222"/>
    </row>
    <row r="5793" spans="2:21" x14ac:dyDescent="0.2">
      <c r="B5793" s="207"/>
      <c r="C5793" s="210"/>
      <c r="D5793" s="211"/>
      <c r="E5793" s="211"/>
      <c r="U5793" s="222"/>
    </row>
    <row r="5794" spans="2:21" x14ac:dyDescent="0.2">
      <c r="B5794" s="207"/>
      <c r="C5794" s="210"/>
      <c r="D5794" s="211"/>
      <c r="E5794" s="211"/>
      <c r="U5794" s="222"/>
    </row>
    <row r="5795" spans="2:21" x14ac:dyDescent="0.2">
      <c r="B5795" s="207"/>
      <c r="C5795" s="210"/>
      <c r="D5795" s="211"/>
      <c r="E5795" s="211"/>
      <c r="U5795" s="222"/>
    </row>
    <row r="5796" spans="2:21" x14ac:dyDescent="0.2">
      <c r="B5796" s="207"/>
      <c r="C5796" s="210"/>
      <c r="D5796" s="211"/>
      <c r="E5796" s="211"/>
      <c r="U5796" s="222"/>
    </row>
    <row r="5797" spans="2:21" x14ac:dyDescent="0.2">
      <c r="B5797" s="207"/>
      <c r="C5797" s="210"/>
      <c r="D5797" s="211"/>
      <c r="E5797" s="211"/>
      <c r="U5797" s="222"/>
    </row>
    <row r="5798" spans="2:21" x14ac:dyDescent="0.2">
      <c r="B5798" s="207"/>
      <c r="C5798" s="210"/>
      <c r="D5798" s="211"/>
      <c r="E5798" s="211"/>
      <c r="U5798" s="222"/>
    </row>
    <row r="5799" spans="2:21" x14ac:dyDescent="0.2">
      <c r="B5799" s="207"/>
      <c r="C5799" s="210"/>
      <c r="D5799" s="211"/>
      <c r="E5799" s="211"/>
      <c r="U5799" s="222"/>
    </row>
    <row r="5800" spans="2:21" x14ac:dyDescent="0.2">
      <c r="B5800" s="207"/>
      <c r="C5800" s="210"/>
      <c r="D5800" s="211"/>
      <c r="E5800" s="211"/>
      <c r="U5800" s="222"/>
    </row>
    <row r="5801" spans="2:21" x14ac:dyDescent="0.2">
      <c r="B5801" s="207"/>
      <c r="C5801" s="210"/>
      <c r="D5801" s="211"/>
      <c r="E5801" s="211"/>
      <c r="U5801" s="222"/>
    </row>
    <row r="5802" spans="2:21" x14ac:dyDescent="0.2">
      <c r="B5802" s="207"/>
      <c r="C5802" s="210"/>
      <c r="D5802" s="211"/>
      <c r="E5802" s="211"/>
      <c r="U5802" s="222"/>
    </row>
    <row r="5803" spans="2:21" x14ac:dyDescent="0.2">
      <c r="B5803" s="207"/>
      <c r="C5803" s="210"/>
      <c r="D5803" s="211"/>
      <c r="E5803" s="211"/>
      <c r="U5803" s="222"/>
    </row>
    <row r="5804" spans="2:21" x14ac:dyDescent="0.2">
      <c r="B5804" s="207"/>
      <c r="C5804" s="210"/>
      <c r="D5804" s="211"/>
      <c r="E5804" s="211"/>
      <c r="U5804" s="222"/>
    </row>
    <row r="5805" spans="2:21" x14ac:dyDescent="0.2">
      <c r="B5805" s="207"/>
      <c r="C5805" s="210"/>
      <c r="D5805" s="211"/>
      <c r="E5805" s="211"/>
      <c r="U5805" s="222"/>
    </row>
    <row r="5806" spans="2:21" x14ac:dyDescent="0.2">
      <c r="B5806" s="207"/>
      <c r="C5806" s="210"/>
      <c r="D5806" s="211"/>
      <c r="E5806" s="211"/>
      <c r="U5806" s="222"/>
    </row>
    <row r="5807" spans="2:21" x14ac:dyDescent="0.2">
      <c r="B5807" s="207"/>
      <c r="C5807" s="210"/>
      <c r="D5807" s="211"/>
      <c r="E5807" s="211"/>
      <c r="U5807" s="222"/>
    </row>
    <row r="5808" spans="2:21" x14ac:dyDescent="0.2">
      <c r="B5808" s="207"/>
      <c r="C5808" s="210"/>
      <c r="D5808" s="211"/>
      <c r="E5808" s="211"/>
      <c r="U5808" s="222"/>
    </row>
    <row r="5809" spans="2:21" x14ac:dyDescent="0.2">
      <c r="B5809" s="207"/>
      <c r="C5809" s="210"/>
      <c r="D5809" s="211"/>
      <c r="E5809" s="211"/>
      <c r="U5809" s="222"/>
    </row>
    <row r="5810" spans="2:21" x14ac:dyDescent="0.2">
      <c r="B5810" s="207"/>
      <c r="C5810" s="210"/>
      <c r="D5810" s="211"/>
      <c r="E5810" s="211"/>
      <c r="U5810" s="222"/>
    </row>
    <row r="5811" spans="2:21" x14ac:dyDescent="0.2">
      <c r="B5811" s="207"/>
      <c r="C5811" s="210"/>
      <c r="D5811" s="211"/>
      <c r="E5811" s="211"/>
      <c r="U5811" s="222"/>
    </row>
    <row r="5812" spans="2:21" x14ac:dyDescent="0.2">
      <c r="B5812" s="207"/>
      <c r="C5812" s="210"/>
      <c r="D5812" s="211"/>
      <c r="E5812" s="211"/>
      <c r="U5812" s="222"/>
    </row>
    <row r="5813" spans="2:21" x14ac:dyDescent="0.2">
      <c r="B5813" s="207"/>
      <c r="C5813" s="210"/>
      <c r="D5813" s="211"/>
      <c r="E5813" s="211"/>
      <c r="U5813" s="222"/>
    </row>
    <row r="5814" spans="2:21" x14ac:dyDescent="0.2">
      <c r="B5814" s="207"/>
      <c r="C5814" s="210"/>
      <c r="D5814" s="211"/>
      <c r="E5814" s="211"/>
      <c r="U5814" s="222"/>
    </row>
    <row r="5815" spans="2:21" x14ac:dyDescent="0.2">
      <c r="B5815" s="207"/>
      <c r="C5815" s="210"/>
      <c r="D5815" s="211"/>
      <c r="E5815" s="211"/>
      <c r="U5815" s="222"/>
    </row>
    <row r="5816" spans="2:21" x14ac:dyDescent="0.2">
      <c r="B5816" s="207"/>
      <c r="C5816" s="210"/>
      <c r="D5816" s="211"/>
      <c r="E5816" s="211"/>
      <c r="U5816" s="222"/>
    </row>
    <row r="5817" spans="2:21" x14ac:dyDescent="0.2">
      <c r="B5817" s="207"/>
      <c r="C5817" s="210"/>
      <c r="D5817" s="211"/>
      <c r="E5817" s="211"/>
      <c r="U5817" s="222"/>
    </row>
    <row r="5818" spans="2:21" x14ac:dyDescent="0.2">
      <c r="B5818" s="207"/>
      <c r="C5818" s="210"/>
      <c r="D5818" s="211"/>
      <c r="E5818" s="211"/>
      <c r="U5818" s="222"/>
    </row>
    <row r="5819" spans="2:21" x14ac:dyDescent="0.2">
      <c r="B5819" s="207"/>
      <c r="C5819" s="210"/>
      <c r="D5819" s="211"/>
      <c r="E5819" s="211"/>
      <c r="U5819" s="222"/>
    </row>
    <row r="5820" spans="2:21" x14ac:dyDescent="0.2">
      <c r="B5820" s="207"/>
      <c r="C5820" s="210"/>
      <c r="D5820" s="211"/>
      <c r="E5820" s="211"/>
      <c r="U5820" s="222"/>
    </row>
    <row r="5821" spans="2:21" x14ac:dyDescent="0.2">
      <c r="B5821" s="207"/>
      <c r="C5821" s="210"/>
      <c r="D5821" s="211"/>
      <c r="E5821" s="211"/>
      <c r="U5821" s="222"/>
    </row>
    <row r="5822" spans="2:21" x14ac:dyDescent="0.2">
      <c r="B5822" s="207"/>
      <c r="C5822" s="210"/>
      <c r="D5822" s="211"/>
      <c r="E5822" s="211"/>
      <c r="U5822" s="222"/>
    </row>
    <row r="5823" spans="2:21" x14ac:dyDescent="0.2">
      <c r="B5823" s="207"/>
      <c r="C5823" s="210"/>
      <c r="D5823" s="211"/>
      <c r="E5823" s="211"/>
      <c r="U5823" s="222"/>
    </row>
    <row r="5824" spans="2:21" x14ac:dyDescent="0.2">
      <c r="B5824" s="207"/>
      <c r="C5824" s="210"/>
      <c r="D5824" s="211"/>
      <c r="E5824" s="211"/>
      <c r="U5824" s="222"/>
    </row>
    <row r="5825" spans="2:21" x14ac:dyDescent="0.2">
      <c r="B5825" s="207"/>
      <c r="C5825" s="210"/>
      <c r="D5825" s="211"/>
      <c r="E5825" s="211"/>
      <c r="U5825" s="222"/>
    </row>
    <row r="5826" spans="2:21" x14ac:dyDescent="0.2">
      <c r="B5826" s="207"/>
      <c r="C5826" s="210"/>
      <c r="D5826" s="211"/>
      <c r="E5826" s="211"/>
      <c r="U5826" s="222"/>
    </row>
    <row r="5827" spans="2:21" x14ac:dyDescent="0.2">
      <c r="B5827" s="207"/>
      <c r="C5827" s="210"/>
      <c r="D5827" s="211"/>
      <c r="E5827" s="211"/>
      <c r="U5827" s="222"/>
    </row>
    <row r="5828" spans="2:21" x14ac:dyDescent="0.2">
      <c r="B5828" s="207"/>
      <c r="C5828" s="210"/>
      <c r="D5828" s="211"/>
      <c r="E5828" s="211"/>
      <c r="U5828" s="222"/>
    </row>
    <row r="5829" spans="2:21" x14ac:dyDescent="0.2">
      <c r="B5829" s="207"/>
      <c r="C5829" s="210"/>
      <c r="D5829" s="211"/>
      <c r="E5829" s="211"/>
      <c r="U5829" s="222"/>
    </row>
    <row r="5830" spans="2:21" x14ac:dyDescent="0.2">
      <c r="B5830" s="207"/>
      <c r="C5830" s="210"/>
      <c r="D5830" s="211"/>
      <c r="E5830" s="211"/>
      <c r="U5830" s="222"/>
    </row>
    <row r="5831" spans="2:21" x14ac:dyDescent="0.2">
      <c r="B5831" s="207"/>
      <c r="C5831" s="210"/>
      <c r="D5831" s="211"/>
      <c r="E5831" s="211"/>
      <c r="U5831" s="222"/>
    </row>
    <row r="5832" spans="2:21" x14ac:dyDescent="0.2">
      <c r="B5832" s="207"/>
      <c r="C5832" s="210"/>
      <c r="D5832" s="211"/>
      <c r="E5832" s="211"/>
      <c r="U5832" s="222"/>
    </row>
    <row r="5833" spans="2:21" x14ac:dyDescent="0.2">
      <c r="B5833" s="207"/>
      <c r="C5833" s="210"/>
      <c r="D5833" s="211"/>
      <c r="E5833" s="211"/>
      <c r="U5833" s="222"/>
    </row>
    <row r="5834" spans="2:21" x14ac:dyDescent="0.2">
      <c r="B5834" s="207"/>
      <c r="C5834" s="210"/>
      <c r="D5834" s="211"/>
      <c r="E5834" s="211"/>
      <c r="U5834" s="222"/>
    </row>
    <row r="5835" spans="2:21" x14ac:dyDescent="0.2">
      <c r="B5835" s="207"/>
      <c r="C5835" s="210"/>
      <c r="D5835" s="211"/>
      <c r="E5835" s="211"/>
      <c r="U5835" s="222"/>
    </row>
    <row r="5836" spans="2:21" x14ac:dyDescent="0.2">
      <c r="B5836" s="207"/>
      <c r="C5836" s="210"/>
      <c r="D5836" s="211"/>
      <c r="E5836" s="211"/>
      <c r="U5836" s="222"/>
    </row>
    <row r="5837" spans="2:21" x14ac:dyDescent="0.2">
      <c r="B5837" s="207"/>
      <c r="C5837" s="210"/>
      <c r="D5837" s="211"/>
      <c r="E5837" s="211"/>
      <c r="U5837" s="222"/>
    </row>
    <row r="5838" spans="2:21" x14ac:dyDescent="0.2">
      <c r="B5838" s="207"/>
      <c r="C5838" s="210"/>
      <c r="D5838" s="211"/>
      <c r="E5838" s="211"/>
      <c r="U5838" s="222"/>
    </row>
    <row r="5839" spans="2:21" x14ac:dyDescent="0.2">
      <c r="B5839" s="207"/>
      <c r="C5839" s="210"/>
      <c r="D5839" s="211"/>
      <c r="E5839" s="211"/>
      <c r="U5839" s="222"/>
    </row>
    <row r="5840" spans="2:21" x14ac:dyDescent="0.2">
      <c r="B5840" s="207"/>
      <c r="C5840" s="210"/>
      <c r="D5840" s="211"/>
      <c r="E5840" s="211"/>
      <c r="U5840" s="222"/>
    </row>
    <row r="5841" spans="2:21" x14ac:dyDescent="0.2">
      <c r="B5841" s="207"/>
      <c r="C5841" s="210"/>
      <c r="D5841" s="211"/>
      <c r="E5841" s="211"/>
      <c r="U5841" s="222"/>
    </row>
    <row r="5842" spans="2:21" x14ac:dyDescent="0.2">
      <c r="B5842" s="207"/>
      <c r="C5842" s="210"/>
      <c r="D5842" s="211"/>
      <c r="E5842" s="211"/>
      <c r="U5842" s="222"/>
    </row>
    <row r="5843" spans="2:21" x14ac:dyDescent="0.2">
      <c r="B5843" s="207"/>
      <c r="C5843" s="210"/>
      <c r="D5843" s="211"/>
      <c r="E5843" s="211"/>
      <c r="U5843" s="222"/>
    </row>
    <row r="5844" spans="2:21" x14ac:dyDescent="0.2">
      <c r="B5844" s="207"/>
      <c r="C5844" s="210"/>
      <c r="D5844" s="211"/>
      <c r="E5844" s="211"/>
      <c r="U5844" s="222"/>
    </row>
    <row r="5845" spans="2:21" x14ac:dyDescent="0.2">
      <c r="B5845" s="207"/>
      <c r="C5845" s="210"/>
      <c r="D5845" s="211"/>
      <c r="E5845" s="211"/>
      <c r="U5845" s="222"/>
    </row>
    <row r="5846" spans="2:21" x14ac:dyDescent="0.2">
      <c r="B5846" s="207"/>
      <c r="C5846" s="210"/>
      <c r="D5846" s="211"/>
      <c r="E5846" s="211"/>
      <c r="U5846" s="222"/>
    </row>
    <row r="5847" spans="2:21" x14ac:dyDescent="0.2">
      <c r="B5847" s="207"/>
      <c r="C5847" s="210"/>
      <c r="D5847" s="211"/>
      <c r="E5847" s="211"/>
      <c r="U5847" s="222"/>
    </row>
    <row r="5848" spans="2:21" x14ac:dyDescent="0.2">
      <c r="B5848" s="207"/>
      <c r="C5848" s="210"/>
      <c r="D5848" s="211"/>
      <c r="E5848" s="211"/>
      <c r="U5848" s="222"/>
    </row>
    <row r="5849" spans="2:21" x14ac:dyDescent="0.2">
      <c r="B5849" s="207"/>
      <c r="C5849" s="210"/>
      <c r="D5849" s="211"/>
      <c r="E5849" s="211"/>
      <c r="U5849" s="222"/>
    </row>
    <row r="5850" spans="2:21" x14ac:dyDescent="0.2">
      <c r="B5850" s="207"/>
      <c r="C5850" s="210"/>
      <c r="D5850" s="211"/>
      <c r="E5850" s="211"/>
      <c r="U5850" s="222"/>
    </row>
    <row r="5851" spans="2:21" x14ac:dyDescent="0.2">
      <c r="B5851" s="207"/>
      <c r="C5851" s="210"/>
      <c r="D5851" s="211"/>
      <c r="E5851" s="211"/>
      <c r="U5851" s="222"/>
    </row>
    <row r="5852" spans="2:21" x14ac:dyDescent="0.2">
      <c r="B5852" s="207"/>
      <c r="C5852" s="210"/>
      <c r="D5852" s="211"/>
      <c r="E5852" s="211"/>
      <c r="U5852" s="222"/>
    </row>
    <row r="5853" spans="2:21" x14ac:dyDescent="0.2">
      <c r="B5853" s="207"/>
      <c r="C5853" s="210"/>
      <c r="D5853" s="211"/>
      <c r="E5853" s="211"/>
      <c r="U5853" s="222"/>
    </row>
    <row r="5854" spans="2:21" x14ac:dyDescent="0.2">
      <c r="B5854" s="207"/>
      <c r="C5854" s="210"/>
      <c r="D5854" s="211"/>
      <c r="E5854" s="211"/>
      <c r="U5854" s="222"/>
    </row>
    <row r="5855" spans="2:21" x14ac:dyDescent="0.2">
      <c r="B5855" s="207"/>
      <c r="C5855" s="210"/>
      <c r="D5855" s="211"/>
      <c r="E5855" s="211"/>
      <c r="U5855" s="222"/>
    </row>
    <row r="5856" spans="2:21" x14ac:dyDescent="0.2">
      <c r="B5856" s="207"/>
      <c r="C5856" s="210"/>
      <c r="D5856" s="211"/>
      <c r="E5856" s="211"/>
      <c r="U5856" s="222"/>
    </row>
    <row r="5857" spans="2:21" x14ac:dyDescent="0.2">
      <c r="B5857" s="207"/>
      <c r="C5857" s="210"/>
      <c r="D5857" s="211"/>
      <c r="E5857" s="211"/>
      <c r="U5857" s="222"/>
    </row>
    <row r="5858" spans="2:21" x14ac:dyDescent="0.2">
      <c r="B5858" s="207"/>
      <c r="C5858" s="210"/>
      <c r="D5858" s="211"/>
      <c r="E5858" s="211"/>
      <c r="U5858" s="222"/>
    </row>
    <row r="5859" spans="2:21" x14ac:dyDescent="0.2">
      <c r="B5859" s="207"/>
      <c r="C5859" s="210"/>
      <c r="D5859" s="211"/>
      <c r="E5859" s="211"/>
      <c r="U5859" s="222"/>
    </row>
    <row r="5860" spans="2:21" x14ac:dyDescent="0.2">
      <c r="B5860" s="207"/>
      <c r="C5860" s="210"/>
      <c r="D5860" s="211"/>
      <c r="E5860" s="211"/>
      <c r="U5860" s="222"/>
    </row>
    <row r="5861" spans="2:21" x14ac:dyDescent="0.2">
      <c r="B5861" s="207"/>
      <c r="C5861" s="210"/>
      <c r="D5861" s="211"/>
      <c r="E5861" s="211"/>
      <c r="U5861" s="222"/>
    </row>
    <row r="5862" spans="2:21" x14ac:dyDescent="0.2">
      <c r="B5862" s="207"/>
      <c r="C5862" s="210"/>
      <c r="D5862" s="211"/>
      <c r="E5862" s="211"/>
      <c r="U5862" s="222"/>
    </row>
    <row r="5863" spans="2:21" x14ac:dyDescent="0.2">
      <c r="B5863" s="207"/>
      <c r="C5863" s="210"/>
      <c r="D5863" s="211"/>
      <c r="E5863" s="211"/>
      <c r="U5863" s="222"/>
    </row>
    <row r="5864" spans="2:21" x14ac:dyDescent="0.2">
      <c r="B5864" s="207"/>
      <c r="C5864" s="210"/>
      <c r="D5864" s="211"/>
      <c r="E5864" s="211"/>
      <c r="U5864" s="222"/>
    </row>
    <row r="5865" spans="2:21" x14ac:dyDescent="0.2">
      <c r="B5865" s="207"/>
      <c r="C5865" s="210"/>
      <c r="D5865" s="211"/>
      <c r="E5865" s="211"/>
      <c r="U5865" s="222"/>
    </row>
    <row r="5866" spans="2:21" x14ac:dyDescent="0.2">
      <c r="B5866" s="207"/>
      <c r="C5866" s="210"/>
      <c r="D5866" s="211"/>
      <c r="E5866" s="211"/>
      <c r="U5866" s="222"/>
    </row>
    <row r="5867" spans="2:21" x14ac:dyDescent="0.2">
      <c r="B5867" s="207"/>
      <c r="C5867" s="210"/>
      <c r="D5867" s="211"/>
      <c r="E5867" s="211"/>
      <c r="U5867" s="222"/>
    </row>
    <row r="5868" spans="2:21" x14ac:dyDescent="0.2">
      <c r="B5868" s="207"/>
      <c r="C5868" s="210"/>
      <c r="D5868" s="211"/>
      <c r="E5868" s="211"/>
      <c r="U5868" s="222"/>
    </row>
    <row r="5869" spans="2:21" x14ac:dyDescent="0.2">
      <c r="B5869" s="207"/>
      <c r="C5869" s="210"/>
      <c r="D5869" s="211"/>
      <c r="E5869" s="211"/>
      <c r="U5869" s="222"/>
    </row>
    <row r="5870" spans="2:21" x14ac:dyDescent="0.2">
      <c r="B5870" s="207"/>
      <c r="C5870" s="210"/>
      <c r="D5870" s="211"/>
      <c r="E5870" s="211"/>
      <c r="U5870" s="222"/>
    </row>
    <row r="5871" spans="2:21" x14ac:dyDescent="0.2">
      <c r="B5871" s="207"/>
      <c r="C5871" s="210"/>
      <c r="D5871" s="211"/>
      <c r="E5871" s="211"/>
      <c r="U5871" s="222"/>
    </row>
    <row r="5872" spans="2:21" x14ac:dyDescent="0.2">
      <c r="B5872" s="207"/>
      <c r="C5872" s="210"/>
      <c r="D5872" s="211"/>
      <c r="E5872" s="211"/>
      <c r="U5872" s="222"/>
    </row>
    <row r="5873" spans="2:21" x14ac:dyDescent="0.2">
      <c r="B5873" s="207"/>
      <c r="C5873" s="210"/>
      <c r="D5873" s="211"/>
      <c r="E5873" s="211"/>
      <c r="U5873" s="222"/>
    </row>
    <row r="5874" spans="2:21" x14ac:dyDescent="0.2">
      <c r="B5874" s="207"/>
      <c r="C5874" s="210"/>
      <c r="D5874" s="211"/>
      <c r="E5874" s="211"/>
      <c r="U5874" s="222"/>
    </row>
    <row r="5875" spans="2:21" x14ac:dyDescent="0.2">
      <c r="B5875" s="207"/>
      <c r="C5875" s="210"/>
      <c r="D5875" s="211"/>
      <c r="E5875" s="211"/>
      <c r="U5875" s="222"/>
    </row>
    <row r="5876" spans="2:21" x14ac:dyDescent="0.2">
      <c r="B5876" s="207"/>
      <c r="C5876" s="210"/>
      <c r="D5876" s="211"/>
      <c r="E5876" s="211"/>
      <c r="U5876" s="222"/>
    </row>
    <row r="5877" spans="2:21" x14ac:dyDescent="0.2">
      <c r="B5877" s="207"/>
      <c r="C5877" s="210"/>
      <c r="D5877" s="211"/>
      <c r="E5877" s="211"/>
      <c r="U5877" s="222"/>
    </row>
    <row r="5878" spans="2:21" x14ac:dyDescent="0.2">
      <c r="B5878" s="207"/>
      <c r="C5878" s="210"/>
      <c r="D5878" s="211"/>
      <c r="E5878" s="211"/>
      <c r="U5878" s="222"/>
    </row>
    <row r="5879" spans="2:21" x14ac:dyDescent="0.2">
      <c r="B5879" s="207"/>
      <c r="C5879" s="210"/>
      <c r="D5879" s="211"/>
      <c r="E5879" s="211"/>
      <c r="U5879" s="222"/>
    </row>
    <row r="5880" spans="2:21" x14ac:dyDescent="0.2">
      <c r="B5880" s="207"/>
      <c r="C5880" s="210"/>
      <c r="D5880" s="211"/>
      <c r="E5880" s="211"/>
      <c r="U5880" s="222"/>
    </row>
    <row r="5881" spans="2:21" x14ac:dyDescent="0.2">
      <c r="B5881" s="207"/>
      <c r="C5881" s="210"/>
      <c r="D5881" s="211"/>
      <c r="E5881" s="211"/>
      <c r="U5881" s="222"/>
    </row>
    <row r="5882" spans="2:21" x14ac:dyDescent="0.2">
      <c r="B5882" s="207"/>
      <c r="C5882" s="210"/>
      <c r="D5882" s="211"/>
      <c r="E5882" s="211"/>
      <c r="U5882" s="222"/>
    </row>
    <row r="5883" spans="2:21" x14ac:dyDescent="0.2">
      <c r="B5883" s="207"/>
      <c r="C5883" s="210"/>
      <c r="D5883" s="211"/>
      <c r="E5883" s="211"/>
      <c r="U5883" s="222"/>
    </row>
    <row r="5884" spans="2:21" x14ac:dyDescent="0.2">
      <c r="B5884" s="207"/>
      <c r="C5884" s="210"/>
      <c r="D5884" s="211"/>
      <c r="E5884" s="211"/>
      <c r="U5884" s="222"/>
    </row>
    <row r="5885" spans="2:21" x14ac:dyDescent="0.2">
      <c r="B5885" s="207"/>
      <c r="C5885" s="210"/>
      <c r="D5885" s="211"/>
      <c r="E5885" s="211"/>
      <c r="U5885" s="222"/>
    </row>
    <row r="5886" spans="2:21" x14ac:dyDescent="0.2">
      <c r="B5886" s="207"/>
      <c r="C5886" s="210"/>
      <c r="D5886" s="211"/>
      <c r="E5886" s="211"/>
      <c r="U5886" s="222"/>
    </row>
    <row r="5887" spans="2:21" x14ac:dyDescent="0.2">
      <c r="B5887" s="207"/>
      <c r="C5887" s="210"/>
      <c r="D5887" s="211"/>
      <c r="E5887" s="211"/>
      <c r="U5887" s="222"/>
    </row>
    <row r="5888" spans="2:21" x14ac:dyDescent="0.2">
      <c r="B5888" s="207"/>
      <c r="C5888" s="210"/>
      <c r="D5888" s="211"/>
      <c r="E5888" s="211"/>
      <c r="U5888" s="222"/>
    </row>
    <row r="5889" spans="2:21" x14ac:dyDescent="0.2">
      <c r="B5889" s="207"/>
      <c r="C5889" s="210"/>
      <c r="D5889" s="211"/>
      <c r="E5889" s="211"/>
      <c r="U5889" s="222"/>
    </row>
    <row r="5890" spans="2:21" x14ac:dyDescent="0.2">
      <c r="B5890" s="207"/>
      <c r="C5890" s="210"/>
      <c r="D5890" s="211"/>
      <c r="E5890" s="211"/>
      <c r="U5890" s="222"/>
    </row>
    <row r="5891" spans="2:21" x14ac:dyDescent="0.2">
      <c r="B5891" s="207"/>
      <c r="C5891" s="210"/>
      <c r="D5891" s="211"/>
      <c r="E5891" s="211"/>
      <c r="U5891" s="222"/>
    </row>
    <row r="5892" spans="2:21" x14ac:dyDescent="0.2">
      <c r="B5892" s="207"/>
      <c r="C5892" s="210"/>
      <c r="D5892" s="211"/>
      <c r="E5892" s="211"/>
      <c r="U5892" s="222"/>
    </row>
    <row r="5893" spans="2:21" x14ac:dyDescent="0.2">
      <c r="B5893" s="207"/>
      <c r="C5893" s="210"/>
      <c r="D5893" s="211"/>
      <c r="E5893" s="211"/>
      <c r="U5893" s="222"/>
    </row>
    <row r="5894" spans="2:21" x14ac:dyDescent="0.2">
      <c r="B5894" s="207"/>
      <c r="C5894" s="210"/>
      <c r="D5894" s="211"/>
      <c r="E5894" s="211"/>
      <c r="U5894" s="222"/>
    </row>
    <row r="5895" spans="2:21" x14ac:dyDescent="0.2">
      <c r="B5895" s="207"/>
      <c r="C5895" s="210"/>
      <c r="D5895" s="211"/>
      <c r="E5895" s="211"/>
      <c r="U5895" s="222"/>
    </row>
    <row r="5896" spans="2:21" x14ac:dyDescent="0.2">
      <c r="B5896" s="207"/>
      <c r="C5896" s="210"/>
      <c r="D5896" s="211"/>
      <c r="E5896" s="211"/>
      <c r="U5896" s="222"/>
    </row>
    <row r="5897" spans="2:21" x14ac:dyDescent="0.2">
      <c r="B5897" s="207"/>
      <c r="C5897" s="210"/>
      <c r="D5897" s="211"/>
      <c r="E5897" s="211"/>
      <c r="U5897" s="222"/>
    </row>
    <row r="5898" spans="2:21" x14ac:dyDescent="0.2">
      <c r="B5898" s="207"/>
      <c r="C5898" s="210"/>
      <c r="D5898" s="211"/>
      <c r="E5898" s="211"/>
      <c r="U5898" s="222"/>
    </row>
    <row r="5899" spans="2:21" x14ac:dyDescent="0.2">
      <c r="B5899" s="207"/>
      <c r="C5899" s="210"/>
      <c r="D5899" s="211"/>
      <c r="E5899" s="211"/>
      <c r="U5899" s="222"/>
    </row>
    <row r="5900" spans="2:21" x14ac:dyDescent="0.2">
      <c r="B5900" s="207"/>
      <c r="C5900" s="210"/>
      <c r="D5900" s="211"/>
      <c r="E5900" s="211"/>
      <c r="U5900" s="222"/>
    </row>
    <row r="5901" spans="2:21" x14ac:dyDescent="0.2">
      <c r="B5901" s="207"/>
      <c r="C5901" s="210"/>
      <c r="D5901" s="211"/>
      <c r="E5901" s="211"/>
      <c r="U5901" s="222"/>
    </row>
    <row r="5902" spans="2:21" x14ac:dyDescent="0.2">
      <c r="B5902" s="207"/>
      <c r="C5902" s="210"/>
      <c r="D5902" s="211"/>
      <c r="E5902" s="211"/>
      <c r="U5902" s="222"/>
    </row>
    <row r="5903" spans="2:21" x14ac:dyDescent="0.2">
      <c r="B5903" s="207"/>
      <c r="C5903" s="210"/>
      <c r="D5903" s="211"/>
      <c r="E5903" s="211"/>
      <c r="U5903" s="222"/>
    </row>
    <row r="5904" spans="2:21" x14ac:dyDescent="0.2">
      <c r="B5904" s="207"/>
      <c r="C5904" s="210"/>
      <c r="D5904" s="211"/>
      <c r="E5904" s="211"/>
      <c r="U5904" s="222"/>
    </row>
    <row r="5905" spans="2:21" x14ac:dyDescent="0.2">
      <c r="B5905" s="207"/>
      <c r="C5905" s="210"/>
      <c r="D5905" s="211"/>
      <c r="E5905" s="211"/>
      <c r="U5905" s="222"/>
    </row>
    <row r="5906" spans="2:21" x14ac:dyDescent="0.2">
      <c r="B5906" s="207"/>
      <c r="C5906" s="210"/>
      <c r="D5906" s="211"/>
      <c r="E5906" s="211"/>
      <c r="U5906" s="222"/>
    </row>
    <row r="5907" spans="2:21" x14ac:dyDescent="0.2">
      <c r="B5907" s="207"/>
      <c r="C5907" s="210"/>
      <c r="D5907" s="211"/>
      <c r="E5907" s="211"/>
      <c r="U5907" s="222"/>
    </row>
    <row r="5908" spans="2:21" x14ac:dyDescent="0.2">
      <c r="B5908" s="207"/>
      <c r="C5908" s="210"/>
      <c r="D5908" s="211"/>
      <c r="E5908" s="211"/>
      <c r="U5908" s="222"/>
    </row>
    <row r="5909" spans="2:21" x14ac:dyDescent="0.2">
      <c r="B5909" s="207"/>
      <c r="C5909" s="210"/>
      <c r="D5909" s="211"/>
      <c r="E5909" s="211"/>
      <c r="U5909" s="222"/>
    </row>
    <row r="5910" spans="2:21" x14ac:dyDescent="0.2">
      <c r="B5910" s="207"/>
      <c r="C5910" s="210"/>
      <c r="D5910" s="211"/>
      <c r="E5910" s="211"/>
      <c r="U5910" s="222"/>
    </row>
    <row r="5911" spans="2:21" x14ac:dyDescent="0.2">
      <c r="B5911" s="207"/>
      <c r="C5911" s="210"/>
      <c r="D5911" s="211"/>
      <c r="E5911" s="211"/>
      <c r="U5911" s="222"/>
    </row>
    <row r="5912" spans="2:21" x14ac:dyDescent="0.2">
      <c r="B5912" s="207"/>
      <c r="C5912" s="210"/>
      <c r="D5912" s="211"/>
      <c r="E5912" s="211"/>
      <c r="U5912" s="222"/>
    </row>
    <row r="5913" spans="2:21" x14ac:dyDescent="0.2">
      <c r="B5913" s="207"/>
      <c r="C5913" s="210"/>
      <c r="D5913" s="211"/>
      <c r="E5913" s="211"/>
      <c r="U5913" s="222"/>
    </row>
    <row r="5914" spans="2:21" x14ac:dyDescent="0.2">
      <c r="B5914" s="207"/>
      <c r="C5914" s="210"/>
      <c r="D5914" s="211"/>
      <c r="E5914" s="211"/>
      <c r="U5914" s="222"/>
    </row>
    <row r="5915" spans="2:21" x14ac:dyDescent="0.2">
      <c r="B5915" s="207"/>
      <c r="C5915" s="210"/>
      <c r="D5915" s="211"/>
      <c r="E5915" s="211"/>
      <c r="U5915" s="222"/>
    </row>
    <row r="5916" spans="2:21" x14ac:dyDescent="0.2">
      <c r="B5916" s="207"/>
      <c r="C5916" s="210"/>
      <c r="D5916" s="211"/>
      <c r="E5916" s="211"/>
      <c r="U5916" s="222"/>
    </row>
    <row r="5917" spans="2:21" x14ac:dyDescent="0.2">
      <c r="B5917" s="207"/>
      <c r="C5917" s="210"/>
      <c r="D5917" s="211"/>
      <c r="E5917" s="211"/>
      <c r="U5917" s="222"/>
    </row>
    <row r="5918" spans="2:21" x14ac:dyDescent="0.2">
      <c r="B5918" s="207"/>
      <c r="C5918" s="210"/>
      <c r="D5918" s="211"/>
      <c r="E5918" s="211"/>
      <c r="U5918" s="222"/>
    </row>
    <row r="5919" spans="2:21" x14ac:dyDescent="0.2">
      <c r="B5919" s="207"/>
      <c r="C5919" s="210"/>
      <c r="D5919" s="211"/>
      <c r="E5919" s="211"/>
      <c r="U5919" s="222"/>
    </row>
    <row r="5920" spans="2:21" x14ac:dyDescent="0.2">
      <c r="B5920" s="207"/>
      <c r="C5920" s="210"/>
      <c r="D5920" s="211"/>
      <c r="E5920" s="211"/>
      <c r="U5920" s="222"/>
    </row>
    <row r="5921" spans="2:21" x14ac:dyDescent="0.2">
      <c r="B5921" s="207"/>
      <c r="C5921" s="210"/>
      <c r="D5921" s="211"/>
      <c r="E5921" s="211"/>
      <c r="U5921" s="222"/>
    </row>
    <row r="5922" spans="2:21" x14ac:dyDescent="0.2">
      <c r="B5922" s="207"/>
      <c r="C5922" s="210"/>
      <c r="D5922" s="211"/>
      <c r="E5922" s="211"/>
      <c r="U5922" s="222"/>
    </row>
    <row r="5923" spans="2:21" x14ac:dyDescent="0.2">
      <c r="B5923" s="207"/>
      <c r="C5923" s="210"/>
      <c r="D5923" s="211"/>
      <c r="E5923" s="211"/>
      <c r="U5923" s="222"/>
    </row>
    <row r="5924" spans="2:21" x14ac:dyDescent="0.2">
      <c r="B5924" s="207"/>
      <c r="C5924" s="210"/>
      <c r="D5924" s="211"/>
      <c r="E5924" s="211"/>
      <c r="U5924" s="222"/>
    </row>
    <row r="5925" spans="2:21" x14ac:dyDescent="0.2">
      <c r="B5925" s="207"/>
      <c r="C5925" s="210"/>
      <c r="D5925" s="211"/>
      <c r="E5925" s="211"/>
      <c r="U5925" s="222"/>
    </row>
    <row r="5926" spans="2:21" x14ac:dyDescent="0.2">
      <c r="B5926" s="207"/>
      <c r="C5926" s="210"/>
      <c r="D5926" s="211"/>
      <c r="E5926" s="211"/>
      <c r="U5926" s="222"/>
    </row>
    <row r="5927" spans="2:21" x14ac:dyDescent="0.2">
      <c r="B5927" s="207"/>
      <c r="C5927" s="210"/>
      <c r="D5927" s="211"/>
      <c r="E5927" s="211"/>
      <c r="U5927" s="222"/>
    </row>
    <row r="5928" spans="2:21" x14ac:dyDescent="0.2">
      <c r="B5928" s="207"/>
      <c r="C5928" s="210"/>
      <c r="D5928" s="211"/>
      <c r="E5928" s="211"/>
      <c r="U5928" s="222"/>
    </row>
    <row r="5929" spans="2:21" x14ac:dyDescent="0.2">
      <c r="B5929" s="207"/>
      <c r="C5929" s="210"/>
      <c r="D5929" s="211"/>
      <c r="E5929" s="211"/>
      <c r="U5929" s="222"/>
    </row>
    <row r="5930" spans="2:21" x14ac:dyDescent="0.2">
      <c r="B5930" s="207"/>
      <c r="C5930" s="210"/>
      <c r="D5930" s="211"/>
      <c r="E5930" s="211"/>
      <c r="U5930" s="222"/>
    </row>
    <row r="5931" spans="2:21" x14ac:dyDescent="0.2">
      <c r="B5931" s="207"/>
      <c r="C5931" s="210"/>
      <c r="D5931" s="211"/>
      <c r="E5931" s="211"/>
      <c r="U5931" s="222"/>
    </row>
    <row r="5932" spans="2:21" x14ac:dyDescent="0.2">
      <c r="B5932" s="207"/>
      <c r="C5932" s="210"/>
      <c r="D5932" s="211"/>
      <c r="E5932" s="211"/>
      <c r="U5932" s="222"/>
    </row>
    <row r="5933" spans="2:21" x14ac:dyDescent="0.2">
      <c r="B5933" s="207"/>
      <c r="C5933" s="210"/>
      <c r="D5933" s="211"/>
      <c r="E5933" s="211"/>
      <c r="U5933" s="222"/>
    </row>
    <row r="5934" spans="2:21" x14ac:dyDescent="0.2">
      <c r="B5934" s="207"/>
      <c r="C5934" s="210"/>
      <c r="D5934" s="211"/>
      <c r="E5934" s="211"/>
      <c r="U5934" s="222"/>
    </row>
    <row r="5935" spans="2:21" x14ac:dyDescent="0.2">
      <c r="B5935" s="207"/>
      <c r="C5935" s="210"/>
      <c r="D5935" s="211"/>
      <c r="E5935" s="211"/>
      <c r="U5935" s="222"/>
    </row>
    <row r="5936" spans="2:21" x14ac:dyDescent="0.2">
      <c r="B5936" s="207"/>
      <c r="C5936" s="210"/>
      <c r="D5936" s="211"/>
      <c r="E5936" s="211"/>
      <c r="U5936" s="222"/>
    </row>
    <row r="5937" spans="2:21" x14ac:dyDescent="0.2">
      <c r="B5937" s="207"/>
      <c r="C5937" s="210"/>
      <c r="D5937" s="211"/>
      <c r="E5937" s="211"/>
      <c r="U5937" s="222"/>
    </row>
    <row r="5938" spans="2:21" x14ac:dyDescent="0.2">
      <c r="B5938" s="207"/>
      <c r="C5938" s="210"/>
      <c r="D5938" s="211"/>
      <c r="E5938" s="211"/>
      <c r="U5938" s="222"/>
    </row>
    <row r="5939" spans="2:21" x14ac:dyDescent="0.2">
      <c r="B5939" s="207"/>
      <c r="C5939" s="210"/>
      <c r="D5939" s="211"/>
      <c r="E5939" s="211"/>
      <c r="U5939" s="222"/>
    </row>
    <row r="5940" spans="2:21" x14ac:dyDescent="0.2">
      <c r="B5940" s="207"/>
      <c r="C5940" s="210"/>
      <c r="D5940" s="211"/>
      <c r="E5940" s="211"/>
      <c r="U5940" s="222"/>
    </row>
    <row r="5941" spans="2:21" x14ac:dyDescent="0.2">
      <c r="B5941" s="207"/>
      <c r="C5941" s="210"/>
      <c r="D5941" s="211"/>
      <c r="E5941" s="211"/>
      <c r="U5941" s="222"/>
    </row>
    <row r="5942" spans="2:21" x14ac:dyDescent="0.2">
      <c r="B5942" s="207"/>
      <c r="C5942" s="210"/>
      <c r="D5942" s="211"/>
      <c r="E5942" s="211"/>
      <c r="U5942" s="222"/>
    </row>
    <row r="5943" spans="2:21" x14ac:dyDescent="0.2">
      <c r="B5943" s="207"/>
      <c r="C5943" s="210"/>
      <c r="D5943" s="211"/>
      <c r="E5943" s="211"/>
      <c r="U5943" s="222"/>
    </row>
    <row r="5944" spans="2:21" x14ac:dyDescent="0.2">
      <c r="B5944" s="207"/>
      <c r="C5944" s="210"/>
      <c r="D5944" s="211"/>
      <c r="E5944" s="211"/>
      <c r="U5944" s="222"/>
    </row>
    <row r="5945" spans="2:21" x14ac:dyDescent="0.2">
      <c r="B5945" s="207"/>
      <c r="C5945" s="210"/>
      <c r="D5945" s="211"/>
      <c r="E5945" s="211"/>
      <c r="U5945" s="222"/>
    </row>
    <row r="5946" spans="2:21" x14ac:dyDescent="0.2">
      <c r="B5946" s="207"/>
      <c r="C5946" s="210"/>
      <c r="D5946" s="211"/>
      <c r="E5946" s="211"/>
      <c r="U5946" s="222"/>
    </row>
    <row r="5947" spans="2:21" x14ac:dyDescent="0.2">
      <c r="B5947" s="207"/>
      <c r="C5947" s="210"/>
      <c r="D5947" s="211"/>
      <c r="E5947" s="211"/>
      <c r="U5947" s="222"/>
    </row>
    <row r="5948" spans="2:21" x14ac:dyDescent="0.2">
      <c r="B5948" s="207"/>
      <c r="C5948" s="210"/>
      <c r="D5948" s="211"/>
      <c r="E5948" s="211"/>
      <c r="U5948" s="222"/>
    </row>
    <row r="5949" spans="2:21" x14ac:dyDescent="0.2">
      <c r="B5949" s="207"/>
      <c r="C5949" s="210"/>
      <c r="D5949" s="211"/>
      <c r="E5949" s="211"/>
      <c r="U5949" s="222"/>
    </row>
    <row r="5950" spans="2:21" x14ac:dyDescent="0.2">
      <c r="B5950" s="207"/>
      <c r="C5950" s="210"/>
      <c r="D5950" s="211"/>
      <c r="E5950" s="211"/>
      <c r="U5950" s="222"/>
    </row>
    <row r="5951" spans="2:21" x14ac:dyDescent="0.2">
      <c r="B5951" s="207"/>
      <c r="C5951" s="210"/>
      <c r="D5951" s="211"/>
      <c r="E5951" s="211"/>
      <c r="U5951" s="222"/>
    </row>
    <row r="5952" spans="2:21" x14ac:dyDescent="0.2">
      <c r="B5952" s="207"/>
      <c r="C5952" s="210"/>
      <c r="D5952" s="211"/>
      <c r="E5952" s="211"/>
      <c r="U5952" s="222"/>
    </row>
    <row r="5953" spans="2:21" x14ac:dyDescent="0.2">
      <c r="B5953" s="207"/>
      <c r="C5953" s="210"/>
      <c r="D5953" s="211"/>
      <c r="E5953" s="211"/>
      <c r="U5953" s="222"/>
    </row>
    <row r="5954" spans="2:21" x14ac:dyDescent="0.2">
      <c r="B5954" s="207"/>
      <c r="C5954" s="210"/>
      <c r="D5954" s="211"/>
      <c r="E5954" s="211"/>
      <c r="U5954" s="222"/>
    </row>
    <row r="5955" spans="2:21" x14ac:dyDescent="0.2">
      <c r="B5955" s="207"/>
      <c r="C5955" s="210"/>
      <c r="D5955" s="211"/>
      <c r="E5955" s="211"/>
      <c r="U5955" s="222"/>
    </row>
    <row r="5956" spans="2:21" x14ac:dyDescent="0.2">
      <c r="B5956" s="207"/>
      <c r="C5956" s="210"/>
      <c r="D5956" s="211"/>
      <c r="E5956" s="211"/>
      <c r="U5956" s="222"/>
    </row>
    <row r="5957" spans="2:21" x14ac:dyDescent="0.2">
      <c r="B5957" s="207"/>
      <c r="C5957" s="210"/>
      <c r="D5957" s="211"/>
      <c r="E5957" s="211"/>
      <c r="U5957" s="222"/>
    </row>
    <row r="5958" spans="2:21" x14ac:dyDescent="0.2">
      <c r="B5958" s="207"/>
      <c r="C5958" s="210"/>
      <c r="D5958" s="211"/>
      <c r="E5958" s="211"/>
      <c r="U5958" s="222"/>
    </row>
    <row r="5959" spans="2:21" x14ac:dyDescent="0.2">
      <c r="B5959" s="207"/>
      <c r="C5959" s="210"/>
      <c r="D5959" s="211"/>
      <c r="E5959" s="211"/>
      <c r="U5959" s="222"/>
    </row>
    <row r="5960" spans="2:21" x14ac:dyDescent="0.2">
      <c r="B5960" s="207"/>
      <c r="C5960" s="210"/>
      <c r="D5960" s="211"/>
      <c r="E5960" s="211"/>
      <c r="U5960" s="222"/>
    </row>
    <row r="5961" spans="2:21" x14ac:dyDescent="0.2">
      <c r="B5961" s="207"/>
      <c r="C5961" s="210"/>
      <c r="D5961" s="211"/>
      <c r="E5961" s="211"/>
      <c r="U5961" s="222"/>
    </row>
    <row r="5962" spans="2:21" x14ac:dyDescent="0.2">
      <c r="B5962" s="207"/>
      <c r="C5962" s="210"/>
      <c r="D5962" s="211"/>
      <c r="E5962" s="211"/>
      <c r="U5962" s="222"/>
    </row>
    <row r="5963" spans="2:21" x14ac:dyDescent="0.2">
      <c r="B5963" s="207"/>
      <c r="C5963" s="210"/>
      <c r="D5963" s="211"/>
      <c r="E5963" s="211"/>
      <c r="U5963" s="222"/>
    </row>
    <row r="5964" spans="2:21" x14ac:dyDescent="0.2">
      <c r="B5964" s="207"/>
      <c r="C5964" s="210"/>
      <c r="D5964" s="211"/>
      <c r="E5964" s="211"/>
      <c r="U5964" s="222"/>
    </row>
    <row r="5965" spans="2:21" x14ac:dyDescent="0.2">
      <c r="B5965" s="207"/>
      <c r="C5965" s="210"/>
      <c r="D5965" s="211"/>
      <c r="E5965" s="211"/>
      <c r="U5965" s="222"/>
    </row>
    <row r="5966" spans="2:21" x14ac:dyDescent="0.2">
      <c r="B5966" s="207"/>
      <c r="C5966" s="210"/>
      <c r="D5966" s="211"/>
      <c r="E5966" s="211"/>
      <c r="U5966" s="222"/>
    </row>
    <row r="5967" spans="2:21" x14ac:dyDescent="0.2">
      <c r="B5967" s="207"/>
      <c r="C5967" s="210"/>
      <c r="D5967" s="211"/>
      <c r="E5967" s="211"/>
      <c r="U5967" s="222"/>
    </row>
    <row r="5968" spans="2:21" x14ac:dyDescent="0.2">
      <c r="B5968" s="207"/>
      <c r="C5968" s="210"/>
      <c r="D5968" s="211"/>
      <c r="E5968" s="211"/>
      <c r="U5968" s="222"/>
    </row>
    <row r="5969" spans="2:21" x14ac:dyDescent="0.2">
      <c r="B5969" s="207"/>
      <c r="C5969" s="210"/>
      <c r="D5969" s="211"/>
      <c r="E5969" s="211"/>
      <c r="U5969" s="222"/>
    </row>
    <row r="5970" spans="2:21" x14ac:dyDescent="0.2">
      <c r="B5970" s="207"/>
      <c r="C5970" s="210"/>
      <c r="D5970" s="211"/>
      <c r="E5970" s="211"/>
      <c r="U5970" s="222"/>
    </row>
    <row r="5971" spans="2:21" x14ac:dyDescent="0.2">
      <c r="B5971" s="207"/>
      <c r="C5971" s="210"/>
      <c r="D5971" s="211"/>
      <c r="E5971" s="211"/>
      <c r="U5971" s="222"/>
    </row>
    <row r="5972" spans="2:21" x14ac:dyDescent="0.2">
      <c r="B5972" s="207"/>
      <c r="C5972" s="210"/>
      <c r="D5972" s="211"/>
      <c r="E5972" s="211"/>
      <c r="U5972" s="222"/>
    </row>
    <row r="5973" spans="2:21" x14ac:dyDescent="0.2">
      <c r="B5973" s="207"/>
      <c r="C5973" s="210"/>
      <c r="D5973" s="211"/>
      <c r="E5973" s="211"/>
      <c r="U5973" s="222"/>
    </row>
    <row r="5974" spans="2:21" x14ac:dyDescent="0.2">
      <c r="B5974" s="207"/>
      <c r="C5974" s="210"/>
      <c r="D5974" s="211"/>
      <c r="E5974" s="211"/>
      <c r="U5974" s="222"/>
    </row>
    <row r="5975" spans="2:21" x14ac:dyDescent="0.2">
      <c r="B5975" s="207"/>
      <c r="C5975" s="210"/>
      <c r="D5975" s="211"/>
      <c r="E5975" s="211"/>
      <c r="U5975" s="222"/>
    </row>
    <row r="5976" spans="2:21" x14ac:dyDescent="0.2">
      <c r="B5976" s="207"/>
      <c r="C5976" s="210"/>
      <c r="D5976" s="211"/>
      <c r="E5976" s="211"/>
      <c r="U5976" s="222"/>
    </row>
    <row r="5977" spans="2:21" x14ac:dyDescent="0.2">
      <c r="B5977" s="207"/>
      <c r="C5977" s="210"/>
      <c r="D5977" s="211"/>
      <c r="E5977" s="211"/>
      <c r="U5977" s="222"/>
    </row>
    <row r="5978" spans="2:21" x14ac:dyDescent="0.2">
      <c r="B5978" s="207"/>
      <c r="C5978" s="210"/>
      <c r="D5978" s="211"/>
      <c r="E5978" s="211"/>
      <c r="U5978" s="222"/>
    </row>
    <row r="5979" spans="2:21" x14ac:dyDescent="0.2">
      <c r="B5979" s="207"/>
      <c r="C5979" s="210"/>
      <c r="D5979" s="211"/>
      <c r="E5979" s="211"/>
      <c r="U5979" s="222"/>
    </row>
    <row r="5980" spans="2:21" x14ac:dyDescent="0.2">
      <c r="B5980" s="207"/>
      <c r="C5980" s="210"/>
      <c r="D5980" s="211"/>
      <c r="E5980" s="211"/>
      <c r="U5980" s="222"/>
    </row>
    <row r="5981" spans="2:21" x14ac:dyDescent="0.2">
      <c r="B5981" s="207"/>
      <c r="C5981" s="210"/>
      <c r="D5981" s="211"/>
      <c r="E5981" s="211"/>
      <c r="U5981" s="222"/>
    </row>
    <row r="5982" spans="2:21" x14ac:dyDescent="0.2">
      <c r="B5982" s="207"/>
      <c r="C5982" s="210"/>
      <c r="D5982" s="211"/>
      <c r="E5982" s="211"/>
      <c r="U5982" s="222"/>
    </row>
    <row r="5983" spans="2:21" x14ac:dyDescent="0.2">
      <c r="B5983" s="207"/>
      <c r="C5983" s="210"/>
      <c r="D5983" s="211"/>
      <c r="E5983" s="211"/>
      <c r="U5983" s="222"/>
    </row>
    <row r="5984" spans="2:21" x14ac:dyDescent="0.2">
      <c r="B5984" s="207"/>
      <c r="C5984" s="210"/>
      <c r="D5984" s="211"/>
      <c r="E5984" s="211"/>
      <c r="U5984" s="222"/>
    </row>
    <row r="5985" spans="2:21" x14ac:dyDescent="0.2">
      <c r="B5985" s="207"/>
      <c r="C5985" s="210"/>
      <c r="D5985" s="211"/>
      <c r="E5985" s="211"/>
      <c r="U5985" s="222"/>
    </row>
    <row r="5986" spans="2:21" x14ac:dyDescent="0.2">
      <c r="B5986" s="207"/>
      <c r="C5986" s="210"/>
      <c r="D5986" s="211"/>
      <c r="E5986" s="211"/>
      <c r="U5986" s="222"/>
    </row>
    <row r="5987" spans="2:21" x14ac:dyDescent="0.2">
      <c r="B5987" s="207"/>
      <c r="C5987" s="210"/>
      <c r="D5987" s="211"/>
      <c r="E5987" s="211"/>
      <c r="U5987" s="222"/>
    </row>
    <row r="5988" spans="2:21" x14ac:dyDescent="0.2">
      <c r="B5988" s="207"/>
      <c r="C5988" s="210"/>
      <c r="D5988" s="211"/>
      <c r="E5988" s="211"/>
      <c r="U5988" s="222"/>
    </row>
    <row r="5989" spans="2:21" x14ac:dyDescent="0.2">
      <c r="B5989" s="207"/>
      <c r="C5989" s="210"/>
      <c r="D5989" s="211"/>
      <c r="E5989" s="211"/>
      <c r="U5989" s="222"/>
    </row>
    <row r="5990" spans="2:21" x14ac:dyDescent="0.2">
      <c r="B5990" s="207"/>
      <c r="C5990" s="210"/>
      <c r="D5990" s="211"/>
      <c r="E5990" s="211"/>
      <c r="U5990" s="222"/>
    </row>
    <row r="5991" spans="2:21" x14ac:dyDescent="0.2">
      <c r="B5991" s="207"/>
      <c r="C5991" s="210"/>
      <c r="D5991" s="211"/>
      <c r="E5991" s="211"/>
      <c r="U5991" s="222"/>
    </row>
    <row r="5992" spans="2:21" x14ac:dyDescent="0.2">
      <c r="B5992" s="207"/>
      <c r="C5992" s="210"/>
      <c r="D5992" s="211"/>
      <c r="E5992" s="211"/>
      <c r="U5992" s="222"/>
    </row>
    <row r="5993" spans="2:21" x14ac:dyDescent="0.2">
      <c r="B5993" s="207"/>
      <c r="C5993" s="210"/>
      <c r="D5993" s="211"/>
      <c r="E5993" s="211"/>
      <c r="U5993" s="222"/>
    </row>
    <row r="5994" spans="2:21" x14ac:dyDescent="0.2">
      <c r="B5994" s="207"/>
      <c r="C5994" s="210"/>
      <c r="D5994" s="211"/>
      <c r="E5994" s="211"/>
      <c r="U5994" s="222"/>
    </row>
    <row r="5995" spans="2:21" x14ac:dyDescent="0.2">
      <c r="B5995" s="207"/>
      <c r="C5995" s="210"/>
      <c r="D5995" s="211"/>
      <c r="E5995" s="211"/>
      <c r="U5995" s="222"/>
    </row>
    <row r="5996" spans="2:21" x14ac:dyDescent="0.2">
      <c r="B5996" s="207"/>
      <c r="C5996" s="210"/>
      <c r="D5996" s="211"/>
      <c r="E5996" s="211"/>
      <c r="U5996" s="222"/>
    </row>
    <row r="5997" spans="2:21" x14ac:dyDescent="0.2">
      <c r="B5997" s="207"/>
      <c r="C5997" s="210"/>
      <c r="D5997" s="211"/>
      <c r="E5997" s="211"/>
      <c r="U5997" s="222"/>
    </row>
    <row r="5998" spans="2:21" x14ac:dyDescent="0.2">
      <c r="B5998" s="207"/>
      <c r="C5998" s="210"/>
      <c r="D5998" s="211"/>
      <c r="E5998" s="211"/>
      <c r="U5998" s="222"/>
    </row>
    <row r="5999" spans="2:21" x14ac:dyDescent="0.2">
      <c r="B5999" s="207"/>
      <c r="C5999" s="210"/>
      <c r="D5999" s="211"/>
      <c r="E5999" s="211"/>
      <c r="U5999" s="222"/>
    </row>
    <row r="6000" spans="2:21" x14ac:dyDescent="0.2">
      <c r="B6000" s="207"/>
      <c r="C6000" s="210"/>
      <c r="D6000" s="211"/>
      <c r="E6000" s="211"/>
      <c r="U6000" s="222"/>
    </row>
    <row r="6001" spans="2:21" x14ac:dyDescent="0.2">
      <c r="B6001" s="207"/>
      <c r="C6001" s="210"/>
      <c r="D6001" s="211"/>
      <c r="E6001" s="211"/>
      <c r="U6001" s="222"/>
    </row>
    <row r="6002" spans="2:21" x14ac:dyDescent="0.2">
      <c r="B6002" s="207"/>
      <c r="C6002" s="210"/>
      <c r="D6002" s="211"/>
      <c r="E6002" s="211"/>
      <c r="U6002" s="222"/>
    </row>
    <row r="6003" spans="2:21" x14ac:dyDescent="0.2">
      <c r="B6003" s="207"/>
      <c r="C6003" s="210"/>
      <c r="D6003" s="211"/>
      <c r="E6003" s="211"/>
      <c r="U6003" s="222"/>
    </row>
    <row r="6004" spans="2:21" x14ac:dyDescent="0.2">
      <c r="B6004" s="207"/>
      <c r="C6004" s="210"/>
      <c r="D6004" s="211"/>
      <c r="E6004" s="211"/>
      <c r="U6004" s="222"/>
    </row>
    <row r="6005" spans="2:21" x14ac:dyDescent="0.2">
      <c r="B6005" s="207"/>
      <c r="C6005" s="210"/>
      <c r="D6005" s="211"/>
      <c r="E6005" s="211"/>
      <c r="U6005" s="222"/>
    </row>
    <row r="6006" spans="2:21" x14ac:dyDescent="0.2">
      <c r="B6006" s="207"/>
      <c r="C6006" s="210"/>
      <c r="D6006" s="211"/>
      <c r="E6006" s="211"/>
      <c r="U6006" s="222"/>
    </row>
    <row r="6007" spans="2:21" x14ac:dyDescent="0.2">
      <c r="B6007" s="207"/>
      <c r="C6007" s="210"/>
      <c r="D6007" s="211"/>
      <c r="E6007" s="211"/>
      <c r="U6007" s="222"/>
    </row>
    <row r="6008" spans="2:21" x14ac:dyDescent="0.2">
      <c r="B6008" s="207"/>
      <c r="C6008" s="210"/>
      <c r="D6008" s="211"/>
      <c r="E6008" s="211"/>
      <c r="U6008" s="222"/>
    </row>
    <row r="6009" spans="2:21" x14ac:dyDescent="0.2">
      <c r="B6009" s="207"/>
      <c r="C6009" s="210"/>
      <c r="D6009" s="211"/>
      <c r="E6009" s="211"/>
      <c r="U6009" s="222"/>
    </row>
    <row r="6010" spans="2:21" x14ac:dyDescent="0.2">
      <c r="B6010" s="207"/>
      <c r="C6010" s="210"/>
      <c r="D6010" s="211"/>
      <c r="E6010" s="211"/>
      <c r="U6010" s="222"/>
    </row>
    <row r="6011" spans="2:21" x14ac:dyDescent="0.2">
      <c r="B6011" s="207"/>
      <c r="C6011" s="210"/>
      <c r="D6011" s="211"/>
      <c r="E6011" s="211"/>
      <c r="U6011" s="222"/>
    </row>
    <row r="6012" spans="2:21" x14ac:dyDescent="0.2">
      <c r="B6012" s="207"/>
      <c r="C6012" s="210"/>
      <c r="D6012" s="211"/>
      <c r="E6012" s="211"/>
      <c r="U6012" s="222"/>
    </row>
    <row r="6013" spans="2:21" x14ac:dyDescent="0.2">
      <c r="B6013" s="207"/>
      <c r="C6013" s="210"/>
      <c r="D6013" s="211"/>
      <c r="E6013" s="211"/>
      <c r="U6013" s="222"/>
    </row>
    <row r="6014" spans="2:21" x14ac:dyDescent="0.2">
      <c r="B6014" s="207"/>
      <c r="C6014" s="210"/>
      <c r="D6014" s="211"/>
      <c r="E6014" s="211"/>
      <c r="U6014" s="222"/>
    </row>
    <row r="6015" spans="2:21" x14ac:dyDescent="0.2">
      <c r="B6015" s="207"/>
      <c r="C6015" s="210"/>
      <c r="D6015" s="211"/>
      <c r="E6015" s="211"/>
      <c r="U6015" s="222"/>
    </row>
    <row r="6016" spans="2:21" x14ac:dyDescent="0.2">
      <c r="B6016" s="207"/>
      <c r="C6016" s="210"/>
      <c r="D6016" s="211"/>
      <c r="E6016" s="211"/>
      <c r="U6016" s="222"/>
    </row>
    <row r="6017" spans="2:21" x14ac:dyDescent="0.2">
      <c r="B6017" s="207"/>
      <c r="C6017" s="210"/>
      <c r="D6017" s="211"/>
      <c r="E6017" s="211"/>
      <c r="U6017" s="222"/>
    </row>
    <row r="6018" spans="2:21" x14ac:dyDescent="0.2">
      <c r="B6018" s="207"/>
      <c r="C6018" s="210"/>
      <c r="D6018" s="211"/>
      <c r="E6018" s="211"/>
      <c r="U6018" s="222"/>
    </row>
    <row r="6019" spans="2:21" x14ac:dyDescent="0.2">
      <c r="B6019" s="207"/>
      <c r="C6019" s="210"/>
      <c r="D6019" s="211"/>
      <c r="E6019" s="211"/>
      <c r="U6019" s="222"/>
    </row>
    <row r="6020" spans="2:21" x14ac:dyDescent="0.2">
      <c r="B6020" s="207"/>
      <c r="C6020" s="210"/>
      <c r="D6020" s="211"/>
      <c r="E6020" s="211"/>
      <c r="U6020" s="222"/>
    </row>
    <row r="6021" spans="2:21" x14ac:dyDescent="0.2">
      <c r="B6021" s="207"/>
      <c r="C6021" s="210"/>
      <c r="D6021" s="211"/>
      <c r="E6021" s="211"/>
      <c r="U6021" s="222"/>
    </row>
    <row r="6022" spans="2:21" x14ac:dyDescent="0.2">
      <c r="B6022" s="207"/>
      <c r="C6022" s="210"/>
      <c r="D6022" s="211"/>
      <c r="E6022" s="211"/>
      <c r="U6022" s="222"/>
    </row>
    <row r="6023" spans="2:21" x14ac:dyDescent="0.2">
      <c r="B6023" s="207"/>
      <c r="C6023" s="210"/>
      <c r="D6023" s="211"/>
      <c r="E6023" s="211"/>
      <c r="U6023" s="222"/>
    </row>
    <row r="6024" spans="2:21" x14ac:dyDescent="0.2">
      <c r="B6024" s="207"/>
      <c r="C6024" s="210"/>
      <c r="D6024" s="211"/>
      <c r="E6024" s="211"/>
      <c r="U6024" s="222"/>
    </row>
    <row r="6025" spans="2:21" x14ac:dyDescent="0.2">
      <c r="B6025" s="207"/>
      <c r="C6025" s="210"/>
      <c r="D6025" s="211"/>
      <c r="E6025" s="211"/>
      <c r="U6025" s="222"/>
    </row>
    <row r="6026" spans="2:21" x14ac:dyDescent="0.2">
      <c r="B6026" s="207"/>
      <c r="C6026" s="210"/>
      <c r="D6026" s="211"/>
      <c r="E6026" s="211"/>
      <c r="U6026" s="222"/>
    </row>
    <row r="6027" spans="2:21" x14ac:dyDescent="0.2">
      <c r="B6027" s="207"/>
      <c r="C6027" s="210"/>
      <c r="D6027" s="211"/>
      <c r="E6027" s="211"/>
      <c r="U6027" s="222"/>
    </row>
    <row r="6028" spans="2:21" x14ac:dyDescent="0.2">
      <c r="B6028" s="207"/>
      <c r="C6028" s="210"/>
      <c r="D6028" s="211"/>
      <c r="E6028" s="211"/>
      <c r="U6028" s="222"/>
    </row>
    <row r="6029" spans="2:21" x14ac:dyDescent="0.2">
      <c r="B6029" s="207"/>
      <c r="C6029" s="210"/>
      <c r="D6029" s="211"/>
      <c r="E6029" s="211"/>
      <c r="U6029" s="222"/>
    </row>
    <row r="6030" spans="2:21" x14ac:dyDescent="0.2">
      <c r="B6030" s="207"/>
      <c r="C6030" s="210"/>
      <c r="D6030" s="211"/>
      <c r="E6030" s="211"/>
      <c r="U6030" s="222"/>
    </row>
    <row r="6031" spans="2:21" x14ac:dyDescent="0.2">
      <c r="B6031" s="207"/>
      <c r="C6031" s="210"/>
      <c r="D6031" s="211"/>
      <c r="E6031" s="211"/>
      <c r="U6031" s="222"/>
    </row>
    <row r="6032" spans="2:21" x14ac:dyDescent="0.2">
      <c r="B6032" s="207"/>
      <c r="C6032" s="210"/>
      <c r="D6032" s="211"/>
      <c r="E6032" s="211"/>
      <c r="U6032" s="222"/>
    </row>
    <row r="6033" spans="2:21" x14ac:dyDescent="0.2">
      <c r="B6033" s="207"/>
      <c r="C6033" s="210"/>
      <c r="D6033" s="211"/>
      <c r="E6033" s="211"/>
      <c r="U6033" s="222"/>
    </row>
    <row r="6034" spans="2:21" x14ac:dyDescent="0.2">
      <c r="B6034" s="207"/>
      <c r="C6034" s="210"/>
      <c r="D6034" s="211"/>
      <c r="E6034" s="211"/>
      <c r="U6034" s="222"/>
    </row>
    <row r="6035" spans="2:21" x14ac:dyDescent="0.2">
      <c r="B6035" s="207"/>
      <c r="C6035" s="210"/>
      <c r="D6035" s="211"/>
      <c r="E6035" s="211"/>
      <c r="U6035" s="222"/>
    </row>
    <row r="6036" spans="2:21" x14ac:dyDescent="0.2">
      <c r="B6036" s="207"/>
      <c r="C6036" s="210"/>
      <c r="D6036" s="211"/>
      <c r="E6036" s="211"/>
      <c r="U6036" s="222"/>
    </row>
    <row r="6037" spans="2:21" x14ac:dyDescent="0.2">
      <c r="B6037" s="207"/>
      <c r="C6037" s="210"/>
      <c r="D6037" s="211"/>
      <c r="E6037" s="211"/>
      <c r="U6037" s="222"/>
    </row>
    <row r="6038" spans="2:21" x14ac:dyDescent="0.2">
      <c r="B6038" s="207"/>
      <c r="C6038" s="210"/>
      <c r="D6038" s="211"/>
      <c r="E6038" s="211"/>
      <c r="U6038" s="222"/>
    </row>
    <row r="6039" spans="2:21" x14ac:dyDescent="0.2">
      <c r="B6039" s="207"/>
      <c r="C6039" s="210"/>
      <c r="D6039" s="211"/>
      <c r="E6039" s="211"/>
      <c r="U6039" s="222"/>
    </row>
    <row r="6040" spans="2:21" x14ac:dyDescent="0.2">
      <c r="B6040" s="207"/>
      <c r="C6040" s="210"/>
      <c r="D6040" s="211"/>
      <c r="E6040" s="211"/>
      <c r="U6040" s="222"/>
    </row>
    <row r="6041" spans="2:21" x14ac:dyDescent="0.2">
      <c r="B6041" s="207"/>
      <c r="C6041" s="210"/>
      <c r="D6041" s="211"/>
      <c r="E6041" s="211"/>
      <c r="U6041" s="222"/>
    </row>
    <row r="6042" spans="2:21" x14ac:dyDescent="0.2">
      <c r="B6042" s="207"/>
      <c r="C6042" s="210"/>
      <c r="D6042" s="211"/>
      <c r="E6042" s="211"/>
      <c r="U6042" s="222"/>
    </row>
    <row r="6043" spans="2:21" x14ac:dyDescent="0.2">
      <c r="B6043" s="207"/>
      <c r="C6043" s="210"/>
      <c r="D6043" s="211"/>
      <c r="E6043" s="211"/>
      <c r="U6043" s="222"/>
    </row>
    <row r="6044" spans="2:21" x14ac:dyDescent="0.2">
      <c r="B6044" s="207"/>
      <c r="C6044" s="210"/>
      <c r="D6044" s="211"/>
      <c r="E6044" s="211"/>
      <c r="U6044" s="222"/>
    </row>
    <row r="6045" spans="2:21" x14ac:dyDescent="0.2">
      <c r="B6045" s="207"/>
      <c r="C6045" s="210"/>
      <c r="D6045" s="211"/>
      <c r="E6045" s="211"/>
      <c r="U6045" s="222"/>
    </row>
    <row r="6046" spans="2:21" x14ac:dyDescent="0.2">
      <c r="B6046" s="207"/>
      <c r="C6046" s="210"/>
      <c r="D6046" s="211"/>
      <c r="E6046" s="211"/>
      <c r="U6046" s="222"/>
    </row>
    <row r="6047" spans="2:21" x14ac:dyDescent="0.2">
      <c r="B6047" s="207"/>
      <c r="C6047" s="210"/>
      <c r="D6047" s="211"/>
      <c r="E6047" s="211"/>
      <c r="U6047" s="222"/>
    </row>
    <row r="6048" spans="2:21" x14ac:dyDescent="0.2">
      <c r="B6048" s="207"/>
      <c r="C6048" s="210"/>
      <c r="D6048" s="211"/>
      <c r="E6048" s="211"/>
      <c r="U6048" s="222"/>
    </row>
    <row r="6049" spans="2:21" x14ac:dyDescent="0.2">
      <c r="B6049" s="207"/>
      <c r="C6049" s="210"/>
      <c r="D6049" s="211"/>
      <c r="E6049" s="211"/>
      <c r="U6049" s="222"/>
    </row>
    <row r="6050" spans="2:21" x14ac:dyDescent="0.2">
      <c r="B6050" s="207"/>
      <c r="C6050" s="210"/>
      <c r="D6050" s="211"/>
      <c r="E6050" s="211"/>
      <c r="U6050" s="222"/>
    </row>
    <row r="6051" spans="2:21" x14ac:dyDescent="0.2">
      <c r="B6051" s="207"/>
      <c r="C6051" s="210"/>
      <c r="D6051" s="211"/>
      <c r="E6051" s="211"/>
      <c r="U6051" s="222"/>
    </row>
    <row r="6052" spans="2:21" x14ac:dyDescent="0.2">
      <c r="B6052" s="207"/>
      <c r="C6052" s="210"/>
      <c r="D6052" s="211"/>
      <c r="E6052" s="211"/>
      <c r="U6052" s="222"/>
    </row>
    <row r="6053" spans="2:21" x14ac:dyDescent="0.2">
      <c r="B6053" s="207"/>
      <c r="C6053" s="210"/>
      <c r="D6053" s="211"/>
      <c r="E6053" s="211"/>
      <c r="U6053" s="222"/>
    </row>
    <row r="6054" spans="2:21" x14ac:dyDescent="0.2">
      <c r="B6054" s="207"/>
      <c r="C6054" s="210"/>
      <c r="D6054" s="211"/>
      <c r="E6054" s="211"/>
      <c r="U6054" s="222"/>
    </row>
    <row r="6055" spans="2:21" x14ac:dyDescent="0.2">
      <c r="B6055" s="207"/>
      <c r="C6055" s="210"/>
      <c r="D6055" s="211"/>
      <c r="E6055" s="211"/>
      <c r="U6055" s="222"/>
    </row>
    <row r="6056" spans="2:21" x14ac:dyDescent="0.2">
      <c r="B6056" s="207"/>
      <c r="C6056" s="210"/>
      <c r="D6056" s="211"/>
      <c r="E6056" s="211"/>
      <c r="U6056" s="222"/>
    </row>
    <row r="6057" spans="2:21" x14ac:dyDescent="0.2">
      <c r="B6057" s="207"/>
      <c r="C6057" s="210"/>
      <c r="D6057" s="211"/>
      <c r="E6057" s="211"/>
      <c r="U6057" s="222"/>
    </row>
    <row r="6058" spans="2:21" x14ac:dyDescent="0.2">
      <c r="B6058" s="207"/>
      <c r="C6058" s="210"/>
      <c r="D6058" s="211"/>
      <c r="E6058" s="211"/>
      <c r="U6058" s="222"/>
    </row>
    <row r="6059" spans="2:21" x14ac:dyDescent="0.2">
      <c r="B6059" s="207"/>
      <c r="C6059" s="210"/>
      <c r="D6059" s="211"/>
      <c r="E6059" s="211"/>
      <c r="U6059" s="222"/>
    </row>
    <row r="6060" spans="2:21" x14ac:dyDescent="0.2">
      <c r="B6060" s="207"/>
      <c r="C6060" s="210"/>
      <c r="D6060" s="211"/>
      <c r="E6060" s="211"/>
      <c r="U6060" s="222"/>
    </row>
    <row r="6061" spans="2:21" x14ac:dyDescent="0.2">
      <c r="B6061" s="207"/>
      <c r="C6061" s="210"/>
      <c r="D6061" s="211"/>
      <c r="E6061" s="211"/>
      <c r="U6061" s="222"/>
    </row>
    <row r="6062" spans="2:21" x14ac:dyDescent="0.2">
      <c r="B6062" s="207"/>
      <c r="C6062" s="210"/>
      <c r="D6062" s="211"/>
      <c r="E6062" s="211"/>
      <c r="U6062" s="222"/>
    </row>
    <row r="6063" spans="2:21" x14ac:dyDescent="0.2">
      <c r="B6063" s="207"/>
      <c r="C6063" s="210"/>
      <c r="D6063" s="211"/>
      <c r="E6063" s="211"/>
      <c r="U6063" s="222"/>
    </row>
    <row r="6064" spans="2:21" x14ac:dyDescent="0.2">
      <c r="B6064" s="207"/>
      <c r="C6064" s="210"/>
      <c r="D6064" s="211"/>
      <c r="E6064" s="211"/>
      <c r="U6064" s="222"/>
    </row>
    <row r="6065" spans="2:21" x14ac:dyDescent="0.2">
      <c r="B6065" s="207"/>
      <c r="C6065" s="210"/>
      <c r="D6065" s="211"/>
      <c r="E6065" s="211"/>
      <c r="U6065" s="222"/>
    </row>
    <row r="6066" spans="2:21" x14ac:dyDescent="0.2">
      <c r="B6066" s="207"/>
      <c r="C6066" s="210"/>
      <c r="D6066" s="211"/>
      <c r="E6066" s="211"/>
      <c r="U6066" s="222"/>
    </row>
    <row r="6067" spans="2:21" x14ac:dyDescent="0.2">
      <c r="B6067" s="207"/>
      <c r="C6067" s="210"/>
      <c r="D6067" s="211"/>
      <c r="E6067" s="211"/>
      <c r="U6067" s="222"/>
    </row>
    <row r="6068" spans="2:21" x14ac:dyDescent="0.2">
      <c r="B6068" s="207"/>
      <c r="C6068" s="210"/>
      <c r="D6068" s="211"/>
      <c r="E6068" s="211"/>
      <c r="U6068" s="222"/>
    </row>
    <row r="6069" spans="2:21" x14ac:dyDescent="0.2">
      <c r="B6069" s="207"/>
      <c r="C6069" s="210"/>
      <c r="D6069" s="211"/>
      <c r="E6069" s="211"/>
      <c r="U6069" s="222"/>
    </row>
    <row r="6070" spans="2:21" x14ac:dyDescent="0.2">
      <c r="B6070" s="207"/>
      <c r="C6070" s="210"/>
      <c r="D6070" s="211"/>
      <c r="E6070" s="211"/>
      <c r="U6070" s="222"/>
    </row>
    <row r="6071" spans="2:21" x14ac:dyDescent="0.2">
      <c r="B6071" s="207"/>
      <c r="C6071" s="210"/>
      <c r="D6071" s="211"/>
      <c r="E6071" s="211"/>
      <c r="U6071" s="222"/>
    </row>
    <row r="6072" spans="2:21" x14ac:dyDescent="0.2">
      <c r="B6072" s="207"/>
      <c r="C6072" s="210"/>
      <c r="D6072" s="211"/>
      <c r="E6072" s="211"/>
      <c r="U6072" s="222"/>
    </row>
    <row r="6073" spans="2:21" x14ac:dyDescent="0.2">
      <c r="B6073" s="207"/>
      <c r="C6073" s="210"/>
      <c r="D6073" s="211"/>
      <c r="E6073" s="211"/>
      <c r="U6073" s="222"/>
    </row>
    <row r="6074" spans="2:21" x14ac:dyDescent="0.2">
      <c r="B6074" s="207"/>
      <c r="C6074" s="210"/>
      <c r="D6074" s="211"/>
      <c r="E6074" s="211"/>
      <c r="U6074" s="222"/>
    </row>
    <row r="6075" spans="2:21" x14ac:dyDescent="0.2">
      <c r="B6075" s="207"/>
      <c r="C6075" s="210"/>
      <c r="D6075" s="211"/>
      <c r="E6075" s="211"/>
      <c r="U6075" s="222"/>
    </row>
    <row r="6076" spans="2:21" x14ac:dyDescent="0.2">
      <c r="B6076" s="207"/>
      <c r="C6076" s="210"/>
      <c r="D6076" s="211"/>
      <c r="E6076" s="211"/>
      <c r="U6076" s="222"/>
    </row>
    <row r="6077" spans="2:21" x14ac:dyDescent="0.2">
      <c r="B6077" s="207"/>
      <c r="C6077" s="210"/>
      <c r="D6077" s="211"/>
      <c r="E6077" s="211"/>
      <c r="U6077" s="222"/>
    </row>
    <row r="6078" spans="2:21" x14ac:dyDescent="0.2">
      <c r="B6078" s="207"/>
      <c r="C6078" s="210"/>
      <c r="D6078" s="211"/>
      <c r="E6078" s="211"/>
      <c r="U6078" s="222"/>
    </row>
    <row r="6079" spans="2:21" x14ac:dyDescent="0.2">
      <c r="B6079" s="207"/>
      <c r="C6079" s="210"/>
      <c r="D6079" s="211"/>
      <c r="E6079" s="211"/>
      <c r="U6079" s="222"/>
    </row>
    <row r="6080" spans="2:21" x14ac:dyDescent="0.2">
      <c r="B6080" s="207"/>
      <c r="C6080" s="210"/>
      <c r="D6080" s="211"/>
      <c r="E6080" s="211"/>
      <c r="U6080" s="222"/>
    </row>
    <row r="6081" spans="2:21" x14ac:dyDescent="0.2">
      <c r="B6081" s="207"/>
      <c r="C6081" s="210"/>
      <c r="D6081" s="211"/>
      <c r="E6081" s="211"/>
      <c r="U6081" s="222"/>
    </row>
    <row r="6082" spans="2:21" x14ac:dyDescent="0.2">
      <c r="B6082" s="207"/>
      <c r="C6082" s="210"/>
      <c r="D6082" s="211"/>
      <c r="E6082" s="211"/>
      <c r="U6082" s="222"/>
    </row>
    <row r="6083" spans="2:21" x14ac:dyDescent="0.2">
      <c r="B6083" s="207"/>
      <c r="C6083" s="210"/>
      <c r="D6083" s="211"/>
      <c r="E6083" s="211"/>
      <c r="U6083" s="222"/>
    </row>
    <row r="6084" spans="2:21" x14ac:dyDescent="0.2">
      <c r="B6084" s="207"/>
      <c r="C6084" s="210"/>
      <c r="D6084" s="211"/>
      <c r="E6084" s="211"/>
      <c r="U6084" s="222"/>
    </row>
    <row r="6085" spans="2:21" x14ac:dyDescent="0.2">
      <c r="B6085" s="207"/>
      <c r="C6085" s="210"/>
      <c r="D6085" s="211"/>
      <c r="E6085" s="211"/>
      <c r="U6085" s="222"/>
    </row>
    <row r="6086" spans="2:21" x14ac:dyDescent="0.2">
      <c r="B6086" s="207"/>
      <c r="C6086" s="210"/>
      <c r="D6086" s="211"/>
      <c r="E6086" s="211"/>
      <c r="U6086" s="222"/>
    </row>
    <row r="6087" spans="2:21" x14ac:dyDescent="0.2">
      <c r="B6087" s="207"/>
      <c r="C6087" s="210"/>
      <c r="D6087" s="211"/>
      <c r="E6087" s="211"/>
      <c r="U6087" s="222"/>
    </row>
    <row r="6088" spans="2:21" x14ac:dyDescent="0.2">
      <c r="B6088" s="207"/>
      <c r="C6088" s="210"/>
      <c r="D6088" s="211"/>
      <c r="E6088" s="211"/>
      <c r="U6088" s="222"/>
    </row>
    <row r="6089" spans="2:21" x14ac:dyDescent="0.2">
      <c r="B6089" s="207"/>
      <c r="C6089" s="210"/>
      <c r="D6089" s="211"/>
      <c r="E6089" s="211"/>
      <c r="U6089" s="222"/>
    </row>
    <row r="6090" spans="2:21" x14ac:dyDescent="0.2">
      <c r="B6090" s="207"/>
      <c r="C6090" s="210"/>
      <c r="D6090" s="211"/>
      <c r="E6090" s="211"/>
      <c r="U6090" s="222"/>
    </row>
    <row r="6091" spans="2:21" x14ac:dyDescent="0.2">
      <c r="B6091" s="207"/>
      <c r="C6091" s="210"/>
      <c r="D6091" s="211"/>
      <c r="E6091" s="211"/>
      <c r="U6091" s="222"/>
    </row>
    <row r="6092" spans="2:21" x14ac:dyDescent="0.2">
      <c r="B6092" s="207"/>
      <c r="C6092" s="210"/>
      <c r="D6092" s="211"/>
      <c r="E6092" s="211"/>
      <c r="U6092" s="222"/>
    </row>
    <row r="6093" spans="2:21" x14ac:dyDescent="0.2">
      <c r="B6093" s="207"/>
      <c r="C6093" s="210"/>
      <c r="D6093" s="211"/>
      <c r="E6093" s="211"/>
      <c r="U6093" s="222"/>
    </row>
    <row r="6094" spans="2:21" x14ac:dyDescent="0.2">
      <c r="B6094" s="207"/>
      <c r="C6094" s="210"/>
      <c r="D6094" s="211"/>
      <c r="E6094" s="211"/>
      <c r="U6094" s="222"/>
    </row>
    <row r="6095" spans="2:21" x14ac:dyDescent="0.2">
      <c r="B6095" s="207"/>
      <c r="C6095" s="210"/>
      <c r="D6095" s="211"/>
      <c r="E6095" s="211"/>
      <c r="U6095" s="222"/>
    </row>
    <row r="6096" spans="2:21" x14ac:dyDescent="0.2">
      <c r="B6096" s="207"/>
      <c r="C6096" s="210"/>
      <c r="D6096" s="211"/>
      <c r="E6096" s="211"/>
      <c r="U6096" s="222"/>
    </row>
    <row r="6097" spans="2:21" x14ac:dyDescent="0.2">
      <c r="B6097" s="207"/>
      <c r="C6097" s="210"/>
      <c r="D6097" s="211"/>
      <c r="E6097" s="211"/>
      <c r="U6097" s="222"/>
    </row>
    <row r="6098" spans="2:21" x14ac:dyDescent="0.2">
      <c r="B6098" s="207"/>
      <c r="C6098" s="210"/>
      <c r="D6098" s="211"/>
      <c r="E6098" s="211"/>
      <c r="U6098" s="222"/>
    </row>
    <row r="6099" spans="2:21" x14ac:dyDescent="0.2">
      <c r="B6099" s="207"/>
      <c r="C6099" s="210"/>
      <c r="D6099" s="211"/>
      <c r="E6099" s="211"/>
      <c r="U6099" s="222"/>
    </row>
    <row r="6100" spans="2:21" x14ac:dyDescent="0.2">
      <c r="B6100" s="207"/>
      <c r="C6100" s="210"/>
      <c r="D6100" s="211"/>
      <c r="E6100" s="211"/>
      <c r="U6100" s="222"/>
    </row>
    <row r="6101" spans="2:21" x14ac:dyDescent="0.2">
      <c r="B6101" s="207"/>
      <c r="C6101" s="210"/>
      <c r="D6101" s="211"/>
      <c r="E6101" s="211"/>
      <c r="U6101" s="222"/>
    </row>
    <row r="6102" spans="2:21" x14ac:dyDescent="0.2">
      <c r="B6102" s="207"/>
      <c r="C6102" s="210"/>
      <c r="D6102" s="211"/>
      <c r="E6102" s="211"/>
      <c r="U6102" s="222"/>
    </row>
    <row r="6103" spans="2:21" x14ac:dyDescent="0.2">
      <c r="B6103" s="207"/>
      <c r="C6103" s="210"/>
      <c r="D6103" s="211"/>
      <c r="E6103" s="211"/>
      <c r="U6103" s="222"/>
    </row>
    <row r="6104" spans="2:21" x14ac:dyDescent="0.2">
      <c r="B6104" s="207"/>
      <c r="C6104" s="210"/>
      <c r="D6104" s="211"/>
      <c r="E6104" s="211"/>
      <c r="U6104" s="222"/>
    </row>
    <row r="6105" spans="2:21" x14ac:dyDescent="0.2">
      <c r="B6105" s="207"/>
      <c r="C6105" s="210"/>
      <c r="D6105" s="211"/>
      <c r="E6105" s="211"/>
      <c r="U6105" s="222"/>
    </row>
    <row r="6106" spans="2:21" x14ac:dyDescent="0.2">
      <c r="B6106" s="207"/>
      <c r="C6106" s="210"/>
      <c r="D6106" s="211"/>
      <c r="E6106" s="211"/>
      <c r="U6106" s="222"/>
    </row>
    <row r="6107" spans="2:21" x14ac:dyDescent="0.2">
      <c r="B6107" s="207"/>
      <c r="C6107" s="210"/>
      <c r="D6107" s="211"/>
      <c r="E6107" s="211"/>
      <c r="U6107" s="222"/>
    </row>
    <row r="6108" spans="2:21" x14ac:dyDescent="0.2">
      <c r="B6108" s="207"/>
      <c r="C6108" s="210"/>
      <c r="D6108" s="211"/>
      <c r="E6108" s="211"/>
      <c r="U6108" s="222"/>
    </row>
    <row r="6109" spans="2:21" x14ac:dyDescent="0.2">
      <c r="B6109" s="207"/>
      <c r="C6109" s="210"/>
      <c r="D6109" s="211"/>
      <c r="E6109" s="211"/>
      <c r="U6109" s="222"/>
    </row>
    <row r="6110" spans="2:21" x14ac:dyDescent="0.2">
      <c r="B6110" s="207"/>
      <c r="C6110" s="210"/>
      <c r="D6110" s="211"/>
      <c r="E6110" s="211"/>
      <c r="U6110" s="222"/>
    </row>
    <row r="6111" spans="2:21" x14ac:dyDescent="0.2">
      <c r="B6111" s="207"/>
      <c r="C6111" s="210"/>
      <c r="D6111" s="211"/>
      <c r="E6111" s="211"/>
      <c r="U6111" s="222"/>
    </row>
    <row r="6112" spans="2:21" x14ac:dyDescent="0.2">
      <c r="B6112" s="207"/>
      <c r="C6112" s="210"/>
      <c r="D6112" s="211"/>
      <c r="E6112" s="211"/>
      <c r="U6112" s="222"/>
    </row>
    <row r="6113" spans="2:21" x14ac:dyDescent="0.2">
      <c r="B6113" s="207"/>
      <c r="C6113" s="210"/>
      <c r="D6113" s="211"/>
      <c r="E6113" s="211"/>
      <c r="U6113" s="222"/>
    </row>
    <row r="6114" spans="2:21" x14ac:dyDescent="0.2">
      <c r="B6114" s="207"/>
      <c r="C6114" s="210"/>
      <c r="D6114" s="211"/>
      <c r="E6114" s="211"/>
      <c r="U6114" s="222"/>
    </row>
    <row r="6115" spans="2:21" x14ac:dyDescent="0.2">
      <c r="B6115" s="207"/>
      <c r="C6115" s="210"/>
      <c r="D6115" s="211"/>
      <c r="E6115" s="211"/>
      <c r="U6115" s="222"/>
    </row>
    <row r="6116" spans="2:21" x14ac:dyDescent="0.2">
      <c r="B6116" s="207"/>
      <c r="C6116" s="210"/>
      <c r="D6116" s="211"/>
      <c r="E6116" s="211"/>
      <c r="U6116" s="222"/>
    </row>
    <row r="6117" spans="2:21" x14ac:dyDescent="0.2">
      <c r="B6117" s="207"/>
      <c r="C6117" s="210"/>
      <c r="D6117" s="211"/>
      <c r="E6117" s="211"/>
      <c r="U6117" s="222"/>
    </row>
    <row r="6118" spans="2:21" x14ac:dyDescent="0.2">
      <c r="B6118" s="207"/>
      <c r="C6118" s="210"/>
      <c r="D6118" s="211"/>
      <c r="E6118" s="211"/>
      <c r="U6118" s="222"/>
    </row>
    <row r="6119" spans="2:21" x14ac:dyDescent="0.2">
      <c r="B6119" s="207"/>
      <c r="C6119" s="210"/>
      <c r="D6119" s="211"/>
      <c r="E6119" s="211"/>
      <c r="U6119" s="222"/>
    </row>
    <row r="6120" spans="2:21" x14ac:dyDescent="0.2">
      <c r="B6120" s="207"/>
      <c r="C6120" s="210"/>
      <c r="D6120" s="211"/>
      <c r="E6120" s="211"/>
      <c r="U6120" s="222"/>
    </row>
    <row r="6121" spans="2:21" x14ac:dyDescent="0.2">
      <c r="B6121" s="207"/>
      <c r="C6121" s="210"/>
      <c r="D6121" s="211"/>
      <c r="E6121" s="211"/>
      <c r="U6121" s="222"/>
    </row>
    <row r="6122" spans="2:21" x14ac:dyDescent="0.2">
      <c r="B6122" s="207"/>
      <c r="C6122" s="210"/>
      <c r="D6122" s="211"/>
      <c r="E6122" s="211"/>
      <c r="U6122" s="222"/>
    </row>
    <row r="6123" spans="2:21" x14ac:dyDescent="0.2">
      <c r="B6123" s="207"/>
      <c r="C6123" s="210"/>
      <c r="D6123" s="211"/>
      <c r="E6123" s="211"/>
      <c r="U6123" s="222"/>
    </row>
    <row r="6124" spans="2:21" x14ac:dyDescent="0.2">
      <c r="B6124" s="207"/>
      <c r="C6124" s="210"/>
      <c r="D6124" s="211"/>
      <c r="E6124" s="211"/>
      <c r="U6124" s="222"/>
    </row>
    <row r="6125" spans="2:21" x14ac:dyDescent="0.2">
      <c r="B6125" s="207"/>
      <c r="C6125" s="210"/>
      <c r="D6125" s="211"/>
      <c r="E6125" s="211"/>
      <c r="U6125" s="222"/>
    </row>
    <row r="6126" spans="2:21" x14ac:dyDescent="0.2">
      <c r="B6126" s="207"/>
      <c r="C6126" s="210"/>
      <c r="D6126" s="211"/>
      <c r="E6126" s="211"/>
      <c r="U6126" s="222"/>
    </row>
    <row r="6127" spans="2:21" x14ac:dyDescent="0.2">
      <c r="B6127" s="207"/>
      <c r="C6127" s="210"/>
      <c r="D6127" s="211"/>
      <c r="E6127" s="211"/>
      <c r="U6127" s="222"/>
    </row>
    <row r="6128" spans="2:21" x14ac:dyDescent="0.2">
      <c r="B6128" s="207"/>
      <c r="C6128" s="210"/>
      <c r="D6128" s="211"/>
      <c r="E6128" s="211"/>
      <c r="U6128" s="222"/>
    </row>
    <row r="6129" spans="2:21" x14ac:dyDescent="0.2">
      <c r="B6129" s="207"/>
      <c r="C6129" s="210"/>
      <c r="D6129" s="211"/>
      <c r="E6129" s="211"/>
      <c r="U6129" s="222"/>
    </row>
    <row r="6130" spans="2:21" x14ac:dyDescent="0.2">
      <c r="B6130" s="207"/>
      <c r="C6130" s="210"/>
      <c r="D6130" s="211"/>
      <c r="E6130" s="211"/>
      <c r="U6130" s="222"/>
    </row>
    <row r="6131" spans="2:21" x14ac:dyDescent="0.2">
      <c r="B6131" s="207"/>
      <c r="C6131" s="210"/>
      <c r="D6131" s="211"/>
      <c r="E6131" s="211"/>
      <c r="U6131" s="222"/>
    </row>
    <row r="6132" spans="2:21" x14ac:dyDescent="0.2">
      <c r="B6132" s="207"/>
      <c r="C6132" s="210"/>
      <c r="D6132" s="211"/>
      <c r="E6132" s="211"/>
      <c r="U6132" s="222"/>
    </row>
    <row r="6133" spans="2:21" x14ac:dyDescent="0.2">
      <c r="B6133" s="207"/>
      <c r="C6133" s="210"/>
      <c r="D6133" s="211"/>
      <c r="E6133" s="211"/>
      <c r="U6133" s="222"/>
    </row>
    <row r="6134" spans="2:21" x14ac:dyDescent="0.2">
      <c r="B6134" s="207"/>
      <c r="C6134" s="210"/>
      <c r="D6134" s="211"/>
      <c r="E6134" s="211"/>
      <c r="U6134" s="222"/>
    </row>
    <row r="6135" spans="2:21" x14ac:dyDescent="0.2">
      <c r="B6135" s="207"/>
      <c r="C6135" s="210"/>
      <c r="D6135" s="211"/>
      <c r="E6135" s="211"/>
      <c r="U6135" s="222"/>
    </row>
    <row r="6136" spans="2:21" x14ac:dyDescent="0.2">
      <c r="B6136" s="207"/>
      <c r="C6136" s="210"/>
      <c r="D6136" s="211"/>
      <c r="E6136" s="211"/>
      <c r="U6136" s="222"/>
    </row>
    <row r="6137" spans="2:21" x14ac:dyDescent="0.2">
      <c r="B6137" s="207"/>
      <c r="C6137" s="210"/>
      <c r="D6137" s="211"/>
      <c r="E6137" s="211"/>
      <c r="U6137" s="222"/>
    </row>
    <row r="6138" spans="2:21" x14ac:dyDescent="0.2">
      <c r="B6138" s="207"/>
      <c r="C6138" s="210"/>
      <c r="D6138" s="211"/>
      <c r="E6138" s="211"/>
      <c r="U6138" s="222"/>
    </row>
    <row r="6139" spans="2:21" x14ac:dyDescent="0.2">
      <c r="B6139" s="207"/>
      <c r="C6139" s="210"/>
      <c r="D6139" s="211"/>
      <c r="E6139" s="211"/>
      <c r="U6139" s="222"/>
    </row>
    <row r="6140" spans="2:21" x14ac:dyDescent="0.2">
      <c r="B6140" s="207"/>
      <c r="C6140" s="210"/>
      <c r="D6140" s="211"/>
      <c r="E6140" s="211"/>
      <c r="U6140" s="222"/>
    </row>
    <row r="6141" spans="2:21" x14ac:dyDescent="0.2">
      <c r="B6141" s="207"/>
      <c r="C6141" s="210"/>
      <c r="D6141" s="211"/>
      <c r="E6141" s="211"/>
      <c r="U6141" s="222"/>
    </row>
    <row r="6142" spans="2:21" x14ac:dyDescent="0.2">
      <c r="B6142" s="207"/>
      <c r="C6142" s="210"/>
      <c r="D6142" s="211"/>
      <c r="E6142" s="211"/>
      <c r="U6142" s="222"/>
    </row>
    <row r="6143" spans="2:21" x14ac:dyDescent="0.2">
      <c r="B6143" s="207"/>
      <c r="C6143" s="210"/>
      <c r="D6143" s="211"/>
      <c r="E6143" s="211"/>
      <c r="U6143" s="222"/>
    </row>
    <row r="6144" spans="2:21" x14ac:dyDescent="0.2">
      <c r="B6144" s="207"/>
      <c r="C6144" s="210"/>
      <c r="D6144" s="211"/>
      <c r="E6144" s="211"/>
      <c r="U6144" s="222"/>
    </row>
    <row r="6145" spans="2:21" x14ac:dyDescent="0.2">
      <c r="B6145" s="207"/>
      <c r="C6145" s="210"/>
      <c r="D6145" s="211"/>
      <c r="E6145" s="211"/>
      <c r="U6145" s="222"/>
    </row>
    <row r="6146" spans="2:21" x14ac:dyDescent="0.2">
      <c r="B6146" s="207"/>
      <c r="C6146" s="210"/>
      <c r="D6146" s="211"/>
      <c r="E6146" s="211"/>
      <c r="U6146" s="222"/>
    </row>
    <row r="6147" spans="2:21" x14ac:dyDescent="0.2">
      <c r="B6147" s="207"/>
      <c r="C6147" s="210"/>
      <c r="D6147" s="211"/>
      <c r="E6147" s="211"/>
      <c r="U6147" s="222"/>
    </row>
    <row r="6148" spans="2:21" x14ac:dyDescent="0.2">
      <c r="B6148" s="207"/>
      <c r="C6148" s="210"/>
      <c r="D6148" s="211"/>
      <c r="E6148" s="211"/>
      <c r="U6148" s="222"/>
    </row>
    <row r="6149" spans="2:21" x14ac:dyDescent="0.2">
      <c r="B6149" s="207"/>
      <c r="C6149" s="210"/>
      <c r="D6149" s="211"/>
      <c r="E6149" s="211"/>
      <c r="U6149" s="222"/>
    </row>
    <row r="6150" spans="2:21" x14ac:dyDescent="0.2">
      <c r="B6150" s="207"/>
      <c r="C6150" s="210"/>
      <c r="D6150" s="211"/>
      <c r="E6150" s="211"/>
      <c r="U6150" s="222"/>
    </row>
    <row r="6151" spans="2:21" x14ac:dyDescent="0.2">
      <c r="B6151" s="207"/>
      <c r="C6151" s="210"/>
      <c r="D6151" s="211"/>
      <c r="E6151" s="211"/>
      <c r="U6151" s="222"/>
    </row>
    <row r="6152" spans="2:21" x14ac:dyDescent="0.2">
      <c r="B6152" s="207"/>
      <c r="C6152" s="210"/>
      <c r="D6152" s="211"/>
      <c r="E6152" s="211"/>
      <c r="U6152" s="222"/>
    </row>
    <row r="6153" spans="2:21" x14ac:dyDescent="0.2">
      <c r="B6153" s="207"/>
      <c r="C6153" s="210"/>
      <c r="D6153" s="211"/>
      <c r="E6153" s="211"/>
      <c r="U6153" s="222"/>
    </row>
    <row r="6154" spans="2:21" x14ac:dyDescent="0.2">
      <c r="B6154" s="207"/>
      <c r="C6154" s="210"/>
      <c r="D6154" s="211"/>
      <c r="E6154" s="211"/>
      <c r="U6154" s="222"/>
    </row>
    <row r="6155" spans="2:21" x14ac:dyDescent="0.2">
      <c r="B6155" s="207"/>
      <c r="C6155" s="210"/>
      <c r="D6155" s="211"/>
      <c r="E6155" s="211"/>
      <c r="U6155" s="222"/>
    </row>
    <row r="6156" spans="2:21" x14ac:dyDescent="0.2">
      <c r="B6156" s="207"/>
      <c r="C6156" s="210"/>
      <c r="D6156" s="211"/>
      <c r="E6156" s="211"/>
      <c r="U6156" s="222"/>
    </row>
    <row r="6157" spans="2:21" x14ac:dyDescent="0.2">
      <c r="B6157" s="207"/>
      <c r="C6157" s="210"/>
      <c r="D6157" s="211"/>
      <c r="E6157" s="211"/>
      <c r="U6157" s="222"/>
    </row>
    <row r="6158" spans="2:21" x14ac:dyDescent="0.2">
      <c r="B6158" s="207"/>
      <c r="C6158" s="210"/>
      <c r="D6158" s="211"/>
      <c r="E6158" s="211"/>
      <c r="U6158" s="222"/>
    </row>
    <row r="6159" spans="2:21" x14ac:dyDescent="0.2">
      <c r="B6159" s="207"/>
      <c r="C6159" s="210"/>
      <c r="D6159" s="211"/>
      <c r="E6159" s="211"/>
      <c r="U6159" s="222"/>
    </row>
    <row r="6160" spans="2:21" x14ac:dyDescent="0.2">
      <c r="B6160" s="207"/>
      <c r="C6160" s="210"/>
      <c r="D6160" s="211"/>
      <c r="E6160" s="211"/>
      <c r="U6160" s="222"/>
    </row>
    <row r="6161" spans="2:21" x14ac:dyDescent="0.2">
      <c r="B6161" s="207"/>
      <c r="C6161" s="210"/>
      <c r="D6161" s="211"/>
      <c r="E6161" s="211"/>
      <c r="U6161" s="222"/>
    </row>
    <row r="6162" spans="2:21" x14ac:dyDescent="0.2">
      <c r="B6162" s="207"/>
      <c r="C6162" s="210"/>
      <c r="D6162" s="211"/>
      <c r="E6162" s="211"/>
      <c r="U6162" s="222"/>
    </row>
    <row r="6163" spans="2:21" x14ac:dyDescent="0.2">
      <c r="B6163" s="207"/>
      <c r="C6163" s="210"/>
      <c r="D6163" s="211"/>
      <c r="E6163" s="211"/>
      <c r="U6163" s="222"/>
    </row>
    <row r="6164" spans="2:21" x14ac:dyDescent="0.2">
      <c r="B6164" s="207"/>
      <c r="C6164" s="210"/>
      <c r="D6164" s="211"/>
      <c r="E6164" s="211"/>
      <c r="U6164" s="222"/>
    </row>
    <row r="6165" spans="2:21" x14ac:dyDescent="0.2">
      <c r="B6165" s="207"/>
      <c r="C6165" s="210"/>
      <c r="D6165" s="211"/>
      <c r="E6165" s="211"/>
      <c r="U6165" s="222"/>
    </row>
    <row r="6166" spans="2:21" x14ac:dyDescent="0.2">
      <c r="B6166" s="207"/>
      <c r="C6166" s="210"/>
      <c r="D6166" s="211"/>
      <c r="E6166" s="211"/>
      <c r="U6166" s="222"/>
    </row>
    <row r="6167" spans="2:21" x14ac:dyDescent="0.2">
      <c r="B6167" s="207"/>
      <c r="C6167" s="210"/>
      <c r="D6167" s="211"/>
      <c r="E6167" s="211"/>
      <c r="U6167" s="222"/>
    </row>
    <row r="6168" spans="2:21" x14ac:dyDescent="0.2">
      <c r="B6168" s="207"/>
      <c r="C6168" s="210"/>
      <c r="D6168" s="211"/>
      <c r="E6168" s="211"/>
      <c r="U6168" s="222"/>
    </row>
    <row r="6169" spans="2:21" x14ac:dyDescent="0.2">
      <c r="B6169" s="207"/>
      <c r="C6169" s="210"/>
      <c r="D6169" s="211"/>
      <c r="E6169" s="211"/>
      <c r="U6169" s="222"/>
    </row>
    <row r="6170" spans="2:21" x14ac:dyDescent="0.2">
      <c r="B6170" s="207"/>
      <c r="C6170" s="210"/>
      <c r="D6170" s="211"/>
      <c r="E6170" s="211"/>
      <c r="U6170" s="222"/>
    </row>
    <row r="6171" spans="2:21" x14ac:dyDescent="0.2">
      <c r="B6171" s="207"/>
      <c r="C6171" s="210"/>
      <c r="D6171" s="211"/>
      <c r="E6171" s="211"/>
      <c r="U6171" s="222"/>
    </row>
    <row r="6172" spans="2:21" x14ac:dyDescent="0.2">
      <c r="B6172" s="207"/>
      <c r="C6172" s="210"/>
      <c r="D6172" s="211"/>
      <c r="E6172" s="211"/>
      <c r="U6172" s="222"/>
    </row>
    <row r="6173" spans="2:21" x14ac:dyDescent="0.2">
      <c r="B6173" s="207"/>
      <c r="C6173" s="210"/>
      <c r="D6173" s="211"/>
      <c r="E6173" s="211"/>
      <c r="U6173" s="222"/>
    </row>
    <row r="6174" spans="2:21" x14ac:dyDescent="0.2">
      <c r="B6174" s="207"/>
      <c r="C6174" s="210"/>
      <c r="D6174" s="211"/>
      <c r="E6174" s="211"/>
      <c r="U6174" s="222"/>
    </row>
    <row r="6175" spans="2:21" x14ac:dyDescent="0.2">
      <c r="B6175" s="207"/>
      <c r="C6175" s="210"/>
      <c r="D6175" s="211"/>
      <c r="E6175" s="211"/>
      <c r="U6175" s="222"/>
    </row>
    <row r="6176" spans="2:21" x14ac:dyDescent="0.2">
      <c r="B6176" s="207"/>
      <c r="C6176" s="210"/>
      <c r="D6176" s="211"/>
      <c r="E6176" s="211"/>
      <c r="U6176" s="222"/>
    </row>
    <row r="6177" spans="2:21" x14ac:dyDescent="0.2">
      <c r="B6177" s="207"/>
      <c r="C6177" s="210"/>
      <c r="D6177" s="211"/>
      <c r="E6177" s="211"/>
      <c r="U6177" s="222"/>
    </row>
    <row r="6178" spans="2:21" x14ac:dyDescent="0.2">
      <c r="B6178" s="207"/>
      <c r="C6178" s="210"/>
      <c r="D6178" s="211"/>
      <c r="E6178" s="211"/>
      <c r="U6178" s="222"/>
    </row>
    <row r="6179" spans="2:21" x14ac:dyDescent="0.2">
      <c r="B6179" s="207"/>
      <c r="C6179" s="210"/>
      <c r="D6179" s="211"/>
      <c r="E6179" s="211"/>
      <c r="U6179" s="222"/>
    </row>
    <row r="6180" spans="2:21" x14ac:dyDescent="0.2">
      <c r="B6180" s="207"/>
      <c r="C6180" s="210"/>
      <c r="D6180" s="211"/>
      <c r="E6180" s="211"/>
      <c r="U6180" s="222"/>
    </row>
    <row r="6181" spans="2:21" x14ac:dyDescent="0.2">
      <c r="B6181" s="207"/>
      <c r="C6181" s="210"/>
      <c r="D6181" s="211"/>
      <c r="E6181" s="211"/>
      <c r="U6181" s="222"/>
    </row>
    <row r="6182" spans="2:21" x14ac:dyDescent="0.2">
      <c r="B6182" s="207"/>
      <c r="C6182" s="210"/>
      <c r="D6182" s="211"/>
      <c r="E6182" s="211"/>
      <c r="U6182" s="222"/>
    </row>
    <row r="6183" spans="2:21" x14ac:dyDescent="0.2">
      <c r="B6183" s="207"/>
      <c r="C6183" s="210"/>
      <c r="D6183" s="211"/>
      <c r="E6183" s="211"/>
      <c r="U6183" s="222"/>
    </row>
    <row r="6184" spans="2:21" x14ac:dyDescent="0.2">
      <c r="B6184" s="207"/>
      <c r="C6184" s="210"/>
      <c r="D6184" s="211"/>
      <c r="E6184" s="211"/>
      <c r="U6184" s="222"/>
    </row>
    <row r="6185" spans="2:21" x14ac:dyDescent="0.2">
      <c r="B6185" s="207"/>
      <c r="C6185" s="210"/>
      <c r="D6185" s="211"/>
      <c r="E6185" s="211"/>
      <c r="U6185" s="222"/>
    </row>
    <row r="6186" spans="2:21" x14ac:dyDescent="0.2">
      <c r="B6186" s="207"/>
      <c r="C6186" s="210"/>
      <c r="D6186" s="211"/>
      <c r="E6186" s="211"/>
      <c r="U6186" s="222"/>
    </row>
    <row r="6187" spans="2:21" x14ac:dyDescent="0.2">
      <c r="B6187" s="207"/>
      <c r="C6187" s="210"/>
      <c r="D6187" s="211"/>
      <c r="E6187" s="211"/>
      <c r="U6187" s="222"/>
    </row>
    <row r="6188" spans="2:21" x14ac:dyDescent="0.2">
      <c r="B6188" s="207"/>
      <c r="C6188" s="210"/>
      <c r="D6188" s="211"/>
      <c r="E6188" s="211"/>
      <c r="U6188" s="222"/>
    </row>
    <row r="6189" spans="2:21" x14ac:dyDescent="0.2">
      <c r="B6189" s="207"/>
      <c r="C6189" s="210"/>
      <c r="D6189" s="211"/>
      <c r="E6189" s="211"/>
      <c r="U6189" s="222"/>
    </row>
    <row r="6190" spans="2:21" x14ac:dyDescent="0.2">
      <c r="B6190" s="207"/>
      <c r="C6190" s="210"/>
      <c r="D6190" s="211"/>
      <c r="E6190" s="211"/>
      <c r="U6190" s="222"/>
    </row>
    <row r="6191" spans="2:21" x14ac:dyDescent="0.2">
      <c r="B6191" s="207"/>
      <c r="C6191" s="210"/>
      <c r="D6191" s="211"/>
      <c r="E6191" s="211"/>
      <c r="U6191" s="222"/>
    </row>
    <row r="6192" spans="2:21" x14ac:dyDescent="0.2">
      <c r="B6192" s="207"/>
      <c r="C6192" s="210"/>
      <c r="D6192" s="211"/>
      <c r="E6192" s="211"/>
      <c r="U6192" s="222"/>
    </row>
    <row r="6193" spans="2:21" x14ac:dyDescent="0.2">
      <c r="B6193" s="207"/>
      <c r="C6193" s="210"/>
      <c r="D6193" s="211"/>
      <c r="E6193" s="211"/>
      <c r="U6193" s="222"/>
    </row>
    <row r="6194" spans="2:21" x14ac:dyDescent="0.2">
      <c r="B6194" s="207"/>
      <c r="C6194" s="210"/>
      <c r="D6194" s="211"/>
      <c r="E6194" s="211"/>
      <c r="U6194" s="222"/>
    </row>
    <row r="6195" spans="2:21" x14ac:dyDescent="0.2">
      <c r="B6195" s="207"/>
      <c r="C6195" s="210"/>
      <c r="D6195" s="211"/>
      <c r="E6195" s="211"/>
      <c r="U6195" s="222"/>
    </row>
    <row r="6196" spans="2:21" x14ac:dyDescent="0.2">
      <c r="B6196" s="207"/>
      <c r="C6196" s="210"/>
      <c r="D6196" s="211"/>
      <c r="E6196" s="211"/>
      <c r="U6196" s="222"/>
    </row>
    <row r="6197" spans="2:21" x14ac:dyDescent="0.2">
      <c r="B6197" s="207"/>
      <c r="C6197" s="210"/>
      <c r="D6197" s="211"/>
      <c r="E6197" s="211"/>
      <c r="U6197" s="222"/>
    </row>
    <row r="6198" spans="2:21" x14ac:dyDescent="0.2">
      <c r="B6198" s="207"/>
      <c r="C6198" s="210"/>
      <c r="D6198" s="211"/>
      <c r="E6198" s="211"/>
      <c r="U6198" s="222"/>
    </row>
    <row r="6199" spans="2:21" x14ac:dyDescent="0.2">
      <c r="B6199" s="207"/>
      <c r="C6199" s="210"/>
      <c r="D6199" s="211"/>
      <c r="E6199" s="211"/>
      <c r="U6199" s="222"/>
    </row>
    <row r="6200" spans="2:21" x14ac:dyDescent="0.2">
      <c r="B6200" s="207"/>
      <c r="C6200" s="210"/>
      <c r="D6200" s="211"/>
      <c r="E6200" s="211"/>
      <c r="U6200" s="222"/>
    </row>
    <row r="6201" spans="2:21" x14ac:dyDescent="0.2">
      <c r="B6201" s="207"/>
      <c r="C6201" s="210"/>
      <c r="D6201" s="211"/>
      <c r="E6201" s="211"/>
      <c r="U6201" s="222"/>
    </row>
    <row r="6202" spans="2:21" x14ac:dyDescent="0.2">
      <c r="B6202" s="207"/>
      <c r="C6202" s="210"/>
      <c r="D6202" s="211"/>
      <c r="E6202" s="211"/>
      <c r="U6202" s="222"/>
    </row>
    <row r="6203" spans="2:21" x14ac:dyDescent="0.2">
      <c r="B6203" s="207"/>
      <c r="C6203" s="210"/>
      <c r="D6203" s="211"/>
      <c r="E6203" s="211"/>
      <c r="U6203" s="222"/>
    </row>
    <row r="6204" spans="2:21" x14ac:dyDescent="0.2">
      <c r="B6204" s="207"/>
      <c r="C6204" s="210"/>
      <c r="D6204" s="211"/>
      <c r="E6204" s="211"/>
      <c r="U6204" s="222"/>
    </row>
    <row r="6205" spans="2:21" x14ac:dyDescent="0.2">
      <c r="B6205" s="207"/>
      <c r="C6205" s="210"/>
      <c r="D6205" s="211"/>
      <c r="E6205" s="211"/>
      <c r="U6205" s="222"/>
    </row>
    <row r="6206" spans="2:21" x14ac:dyDescent="0.2">
      <c r="B6206" s="207"/>
      <c r="C6206" s="210"/>
      <c r="D6206" s="211"/>
      <c r="E6206" s="211"/>
      <c r="U6206" s="222"/>
    </row>
    <row r="6207" spans="2:21" x14ac:dyDescent="0.2">
      <c r="B6207" s="207"/>
      <c r="C6207" s="210"/>
      <c r="D6207" s="211"/>
      <c r="E6207" s="211"/>
      <c r="U6207" s="222"/>
    </row>
    <row r="6208" spans="2:21" x14ac:dyDescent="0.2">
      <c r="B6208" s="207"/>
      <c r="C6208" s="210"/>
      <c r="D6208" s="211"/>
      <c r="E6208" s="211"/>
      <c r="U6208" s="222"/>
    </row>
    <row r="6209" spans="2:21" x14ac:dyDescent="0.2">
      <c r="B6209" s="207"/>
      <c r="C6209" s="210"/>
      <c r="D6209" s="211"/>
      <c r="E6209" s="211"/>
      <c r="U6209" s="222"/>
    </row>
    <row r="6210" spans="2:21" x14ac:dyDescent="0.2">
      <c r="B6210" s="207"/>
      <c r="C6210" s="210"/>
      <c r="D6210" s="211"/>
      <c r="E6210" s="211"/>
      <c r="U6210" s="222"/>
    </row>
    <row r="6211" spans="2:21" x14ac:dyDescent="0.2">
      <c r="B6211" s="207"/>
      <c r="C6211" s="210"/>
      <c r="D6211" s="211"/>
      <c r="E6211" s="211"/>
      <c r="U6211" s="222"/>
    </row>
    <row r="6212" spans="2:21" x14ac:dyDescent="0.2">
      <c r="B6212" s="207"/>
      <c r="C6212" s="210"/>
      <c r="D6212" s="211"/>
      <c r="E6212" s="211"/>
      <c r="U6212" s="222"/>
    </row>
    <row r="6213" spans="2:21" x14ac:dyDescent="0.2">
      <c r="B6213" s="207"/>
      <c r="C6213" s="210"/>
      <c r="D6213" s="211"/>
      <c r="E6213" s="211"/>
      <c r="U6213" s="222"/>
    </row>
    <row r="6214" spans="2:21" x14ac:dyDescent="0.2">
      <c r="B6214" s="207"/>
      <c r="C6214" s="210"/>
      <c r="D6214" s="211"/>
      <c r="E6214" s="211"/>
      <c r="U6214" s="222"/>
    </row>
    <row r="6215" spans="2:21" x14ac:dyDescent="0.2">
      <c r="B6215" s="207"/>
      <c r="C6215" s="210"/>
      <c r="D6215" s="211"/>
      <c r="E6215" s="211"/>
      <c r="U6215" s="222"/>
    </row>
    <row r="6216" spans="2:21" x14ac:dyDescent="0.2">
      <c r="B6216" s="207"/>
      <c r="C6216" s="210"/>
      <c r="D6216" s="211"/>
      <c r="E6216" s="211"/>
      <c r="U6216" s="222"/>
    </row>
    <row r="6217" spans="2:21" x14ac:dyDescent="0.2">
      <c r="B6217" s="207"/>
      <c r="C6217" s="210"/>
      <c r="D6217" s="211"/>
      <c r="E6217" s="211"/>
      <c r="U6217" s="222"/>
    </row>
    <row r="6218" spans="2:21" x14ac:dyDescent="0.2">
      <c r="B6218" s="207"/>
      <c r="C6218" s="210"/>
      <c r="D6218" s="211"/>
      <c r="E6218" s="211"/>
      <c r="U6218" s="222"/>
    </row>
    <row r="6219" spans="2:21" x14ac:dyDescent="0.2">
      <c r="B6219" s="207"/>
      <c r="C6219" s="210"/>
      <c r="D6219" s="211"/>
      <c r="E6219" s="211"/>
      <c r="U6219" s="222"/>
    </row>
    <row r="6220" spans="2:21" x14ac:dyDescent="0.2">
      <c r="B6220" s="207"/>
      <c r="C6220" s="210"/>
      <c r="D6220" s="211"/>
      <c r="E6220" s="211"/>
      <c r="U6220" s="222"/>
    </row>
    <row r="6221" spans="2:21" x14ac:dyDescent="0.2">
      <c r="B6221" s="207"/>
      <c r="C6221" s="210"/>
      <c r="D6221" s="211"/>
      <c r="E6221" s="211"/>
      <c r="U6221" s="222"/>
    </row>
    <row r="6222" spans="2:21" x14ac:dyDescent="0.2">
      <c r="B6222" s="207"/>
      <c r="C6222" s="210"/>
      <c r="D6222" s="211"/>
      <c r="E6222" s="211"/>
      <c r="U6222" s="222"/>
    </row>
    <row r="6223" spans="2:21" x14ac:dyDescent="0.2">
      <c r="B6223" s="207"/>
      <c r="C6223" s="210"/>
      <c r="D6223" s="211"/>
      <c r="E6223" s="211"/>
      <c r="U6223" s="222"/>
    </row>
    <row r="6224" spans="2:21" x14ac:dyDescent="0.2">
      <c r="B6224" s="207"/>
      <c r="C6224" s="210"/>
      <c r="D6224" s="211"/>
      <c r="E6224" s="211"/>
      <c r="U6224" s="222"/>
    </row>
    <row r="6225" spans="2:21" x14ac:dyDescent="0.2">
      <c r="B6225" s="207"/>
      <c r="C6225" s="210"/>
      <c r="D6225" s="211"/>
      <c r="E6225" s="211"/>
      <c r="U6225" s="222"/>
    </row>
    <row r="6226" spans="2:21" x14ac:dyDescent="0.2">
      <c r="B6226" s="207"/>
      <c r="C6226" s="210"/>
      <c r="D6226" s="211"/>
      <c r="E6226" s="211"/>
      <c r="U6226" s="222"/>
    </row>
    <row r="6227" spans="2:21" x14ac:dyDescent="0.2">
      <c r="B6227" s="207"/>
      <c r="C6227" s="210"/>
      <c r="D6227" s="211"/>
      <c r="E6227" s="211"/>
      <c r="U6227" s="222"/>
    </row>
    <row r="6228" spans="2:21" x14ac:dyDescent="0.2">
      <c r="B6228" s="207"/>
      <c r="C6228" s="210"/>
      <c r="D6228" s="211"/>
      <c r="E6228" s="211"/>
      <c r="U6228" s="222"/>
    </row>
    <row r="6229" spans="2:21" x14ac:dyDescent="0.2">
      <c r="B6229" s="207"/>
      <c r="C6229" s="210"/>
      <c r="D6229" s="211"/>
      <c r="E6229" s="211"/>
      <c r="U6229" s="222"/>
    </row>
    <row r="6230" spans="2:21" x14ac:dyDescent="0.2">
      <c r="B6230" s="207"/>
      <c r="C6230" s="210"/>
      <c r="D6230" s="211"/>
      <c r="E6230" s="211"/>
      <c r="U6230" s="222"/>
    </row>
    <row r="6231" spans="2:21" x14ac:dyDescent="0.2">
      <c r="B6231" s="207"/>
      <c r="C6231" s="210"/>
      <c r="D6231" s="211"/>
      <c r="E6231" s="211"/>
      <c r="U6231" s="222"/>
    </row>
    <row r="6232" spans="2:21" x14ac:dyDescent="0.2">
      <c r="B6232" s="207"/>
      <c r="C6232" s="210"/>
      <c r="D6232" s="211"/>
      <c r="E6232" s="211"/>
      <c r="U6232" s="222"/>
    </row>
    <row r="6233" spans="2:21" x14ac:dyDescent="0.2">
      <c r="B6233" s="207"/>
      <c r="C6233" s="210"/>
      <c r="D6233" s="211"/>
      <c r="E6233" s="211"/>
      <c r="U6233" s="222"/>
    </row>
    <row r="6234" spans="2:21" x14ac:dyDescent="0.2">
      <c r="B6234" s="207"/>
      <c r="C6234" s="210"/>
      <c r="D6234" s="211"/>
      <c r="E6234" s="211"/>
      <c r="U6234" s="222"/>
    </row>
    <row r="6235" spans="2:21" x14ac:dyDescent="0.2">
      <c r="B6235" s="207"/>
      <c r="C6235" s="210"/>
      <c r="D6235" s="211"/>
      <c r="E6235" s="211"/>
      <c r="U6235" s="222"/>
    </row>
    <row r="6236" spans="2:21" x14ac:dyDescent="0.2">
      <c r="B6236" s="207"/>
      <c r="C6236" s="210"/>
      <c r="D6236" s="211"/>
      <c r="E6236" s="211"/>
      <c r="U6236" s="222"/>
    </row>
    <row r="6237" spans="2:21" x14ac:dyDescent="0.2">
      <c r="B6237" s="207"/>
      <c r="C6237" s="210"/>
      <c r="D6237" s="211"/>
      <c r="E6237" s="211"/>
      <c r="U6237" s="222"/>
    </row>
    <row r="6238" spans="2:21" x14ac:dyDescent="0.2">
      <c r="B6238" s="207"/>
      <c r="C6238" s="210"/>
      <c r="D6238" s="211"/>
      <c r="E6238" s="211"/>
      <c r="U6238" s="222"/>
    </row>
    <row r="6239" spans="2:21" x14ac:dyDescent="0.2">
      <c r="B6239" s="207"/>
      <c r="C6239" s="210"/>
      <c r="D6239" s="211"/>
      <c r="E6239" s="211"/>
      <c r="U6239" s="222"/>
    </row>
    <row r="6240" spans="2:21" x14ac:dyDescent="0.2">
      <c r="B6240" s="207"/>
      <c r="C6240" s="210"/>
      <c r="D6240" s="211"/>
      <c r="E6240" s="211"/>
      <c r="U6240" s="222"/>
    </row>
    <row r="6241" spans="2:21" x14ac:dyDescent="0.2">
      <c r="B6241" s="207"/>
      <c r="C6241" s="210"/>
      <c r="D6241" s="211"/>
      <c r="E6241" s="211"/>
      <c r="U6241" s="222"/>
    </row>
    <row r="6242" spans="2:21" x14ac:dyDescent="0.2">
      <c r="B6242" s="207"/>
      <c r="C6242" s="210"/>
      <c r="D6242" s="211"/>
      <c r="E6242" s="211"/>
      <c r="U6242" s="222"/>
    </row>
    <row r="6243" spans="2:21" x14ac:dyDescent="0.2">
      <c r="B6243" s="207"/>
      <c r="C6243" s="210"/>
      <c r="D6243" s="211"/>
      <c r="E6243" s="211"/>
      <c r="U6243" s="222"/>
    </row>
    <row r="6244" spans="2:21" x14ac:dyDescent="0.2">
      <c r="B6244" s="207"/>
      <c r="C6244" s="210"/>
      <c r="D6244" s="211"/>
      <c r="E6244" s="211"/>
      <c r="U6244" s="222"/>
    </row>
    <row r="6245" spans="2:21" x14ac:dyDescent="0.2">
      <c r="B6245" s="207"/>
      <c r="C6245" s="210"/>
      <c r="D6245" s="211"/>
      <c r="E6245" s="211"/>
      <c r="U6245" s="222"/>
    </row>
    <row r="6246" spans="2:21" x14ac:dyDescent="0.2">
      <c r="B6246" s="207"/>
      <c r="C6246" s="210"/>
      <c r="D6246" s="211"/>
      <c r="E6246" s="211"/>
      <c r="U6246" s="222"/>
    </row>
    <row r="6247" spans="2:21" x14ac:dyDescent="0.2">
      <c r="B6247" s="207"/>
      <c r="C6247" s="210"/>
      <c r="D6247" s="211"/>
      <c r="E6247" s="211"/>
      <c r="U6247" s="222"/>
    </row>
    <row r="6248" spans="2:21" x14ac:dyDescent="0.2">
      <c r="B6248" s="207"/>
      <c r="C6248" s="210"/>
      <c r="D6248" s="211"/>
      <c r="E6248" s="211"/>
      <c r="U6248" s="222"/>
    </row>
    <row r="6249" spans="2:21" x14ac:dyDescent="0.2">
      <c r="B6249" s="207"/>
      <c r="C6249" s="210"/>
      <c r="D6249" s="211"/>
      <c r="E6249" s="211"/>
      <c r="U6249" s="222"/>
    </row>
    <row r="6250" spans="2:21" x14ac:dyDescent="0.2">
      <c r="B6250" s="207"/>
      <c r="C6250" s="210"/>
      <c r="D6250" s="211"/>
      <c r="E6250" s="211"/>
      <c r="U6250" s="222"/>
    </row>
    <row r="6251" spans="2:21" x14ac:dyDescent="0.2">
      <c r="B6251" s="207"/>
      <c r="C6251" s="210"/>
      <c r="D6251" s="211"/>
      <c r="E6251" s="211"/>
      <c r="U6251" s="222"/>
    </row>
    <row r="6252" spans="2:21" x14ac:dyDescent="0.2">
      <c r="B6252" s="207"/>
      <c r="C6252" s="210"/>
      <c r="D6252" s="211"/>
      <c r="E6252" s="211"/>
      <c r="U6252" s="222"/>
    </row>
    <row r="6253" spans="2:21" x14ac:dyDescent="0.2">
      <c r="B6253" s="207"/>
      <c r="C6253" s="210"/>
      <c r="D6253" s="211"/>
      <c r="E6253" s="211"/>
      <c r="U6253" s="222"/>
    </row>
    <row r="6254" spans="2:21" x14ac:dyDescent="0.2">
      <c r="B6254" s="207"/>
      <c r="C6254" s="210"/>
      <c r="D6254" s="211"/>
      <c r="E6254" s="211"/>
      <c r="U6254" s="222"/>
    </row>
    <row r="6255" spans="2:21" x14ac:dyDescent="0.2">
      <c r="B6255" s="207"/>
      <c r="C6255" s="210"/>
      <c r="D6255" s="211"/>
      <c r="E6255" s="211"/>
      <c r="U6255" s="222"/>
    </row>
    <row r="6256" spans="2:21" x14ac:dyDescent="0.2">
      <c r="B6256" s="207"/>
      <c r="C6256" s="210"/>
      <c r="D6256" s="211"/>
      <c r="E6256" s="211"/>
      <c r="U6256" s="222"/>
    </row>
    <row r="6257" spans="2:21" x14ac:dyDescent="0.2">
      <c r="B6257" s="207"/>
      <c r="C6257" s="210"/>
      <c r="D6257" s="211"/>
      <c r="E6257" s="211"/>
      <c r="U6257" s="222"/>
    </row>
    <row r="6258" spans="2:21" x14ac:dyDescent="0.2">
      <c r="B6258" s="207"/>
      <c r="C6258" s="210"/>
      <c r="D6258" s="211"/>
      <c r="E6258" s="211"/>
      <c r="U6258" s="222"/>
    </row>
    <row r="6259" spans="2:21" x14ac:dyDescent="0.2">
      <c r="B6259" s="207"/>
      <c r="C6259" s="210"/>
      <c r="D6259" s="211"/>
      <c r="E6259" s="211"/>
      <c r="U6259" s="222"/>
    </row>
    <row r="6260" spans="2:21" x14ac:dyDescent="0.2">
      <c r="B6260" s="207"/>
      <c r="C6260" s="210"/>
      <c r="D6260" s="211"/>
      <c r="E6260" s="211"/>
      <c r="U6260" s="222"/>
    </row>
    <row r="6261" spans="2:21" x14ac:dyDescent="0.2">
      <c r="B6261" s="207"/>
      <c r="C6261" s="210"/>
      <c r="D6261" s="211"/>
      <c r="E6261" s="211"/>
      <c r="U6261" s="222"/>
    </row>
    <row r="6262" spans="2:21" x14ac:dyDescent="0.2">
      <c r="B6262" s="207"/>
      <c r="C6262" s="210"/>
      <c r="D6262" s="211"/>
      <c r="E6262" s="211"/>
      <c r="U6262" s="222"/>
    </row>
    <row r="6263" spans="2:21" x14ac:dyDescent="0.2">
      <c r="B6263" s="207"/>
      <c r="C6263" s="210"/>
      <c r="D6263" s="211"/>
      <c r="E6263" s="211"/>
      <c r="U6263" s="222"/>
    </row>
    <row r="6264" spans="2:21" x14ac:dyDescent="0.2">
      <c r="B6264" s="207"/>
      <c r="C6264" s="210"/>
      <c r="D6264" s="211"/>
      <c r="E6264" s="211"/>
      <c r="U6264" s="222"/>
    </row>
    <row r="6265" spans="2:21" x14ac:dyDescent="0.2">
      <c r="B6265" s="207"/>
      <c r="C6265" s="210"/>
      <c r="D6265" s="211"/>
      <c r="E6265" s="211"/>
      <c r="U6265" s="222"/>
    </row>
    <row r="6266" spans="2:21" x14ac:dyDescent="0.2">
      <c r="B6266" s="207"/>
      <c r="C6266" s="210"/>
      <c r="D6266" s="211"/>
      <c r="E6266" s="211"/>
      <c r="U6266" s="222"/>
    </row>
    <row r="6267" spans="2:21" x14ac:dyDescent="0.2">
      <c r="B6267" s="207"/>
      <c r="C6267" s="210"/>
      <c r="D6267" s="211"/>
      <c r="E6267" s="211"/>
      <c r="U6267" s="222"/>
    </row>
    <row r="6268" spans="2:21" x14ac:dyDescent="0.2">
      <c r="B6268" s="207"/>
      <c r="C6268" s="210"/>
      <c r="D6268" s="211"/>
      <c r="E6268" s="211"/>
      <c r="U6268" s="222"/>
    </row>
    <row r="6269" spans="2:21" x14ac:dyDescent="0.2">
      <c r="B6269" s="207"/>
      <c r="C6269" s="210"/>
      <c r="D6269" s="211"/>
      <c r="E6269" s="211"/>
      <c r="U6269" s="222"/>
    </row>
    <row r="6270" spans="2:21" x14ac:dyDescent="0.2">
      <c r="B6270" s="207"/>
      <c r="C6270" s="210"/>
      <c r="D6270" s="211"/>
      <c r="E6270" s="211"/>
      <c r="U6270" s="222"/>
    </row>
    <row r="6271" spans="2:21" x14ac:dyDescent="0.2">
      <c r="B6271" s="207"/>
      <c r="C6271" s="210"/>
      <c r="D6271" s="211"/>
      <c r="E6271" s="211"/>
      <c r="U6271" s="222"/>
    </row>
    <row r="6272" spans="2:21" x14ac:dyDescent="0.2">
      <c r="B6272" s="207"/>
      <c r="C6272" s="210"/>
      <c r="D6272" s="211"/>
      <c r="E6272" s="211"/>
      <c r="U6272" s="222"/>
    </row>
    <row r="6273" spans="2:21" x14ac:dyDescent="0.2">
      <c r="B6273" s="207"/>
      <c r="C6273" s="210"/>
      <c r="D6273" s="211"/>
      <c r="E6273" s="211"/>
      <c r="U6273" s="222"/>
    </row>
    <row r="6274" spans="2:21" x14ac:dyDescent="0.2">
      <c r="B6274" s="207"/>
      <c r="C6274" s="210"/>
      <c r="D6274" s="211"/>
      <c r="E6274" s="211"/>
      <c r="U6274" s="222"/>
    </row>
    <row r="6275" spans="2:21" x14ac:dyDescent="0.2">
      <c r="B6275" s="207"/>
      <c r="C6275" s="210"/>
      <c r="D6275" s="211"/>
      <c r="E6275" s="211"/>
      <c r="U6275" s="222"/>
    </row>
    <row r="6276" spans="2:21" x14ac:dyDescent="0.2">
      <c r="B6276" s="207"/>
      <c r="C6276" s="210"/>
      <c r="D6276" s="211"/>
      <c r="E6276" s="211"/>
      <c r="U6276" s="222"/>
    </row>
    <row r="6277" spans="2:21" x14ac:dyDescent="0.2">
      <c r="B6277" s="207"/>
      <c r="C6277" s="210"/>
      <c r="D6277" s="211"/>
      <c r="E6277" s="211"/>
      <c r="U6277" s="222"/>
    </row>
    <row r="6278" spans="2:21" x14ac:dyDescent="0.2">
      <c r="B6278" s="207"/>
      <c r="C6278" s="210"/>
      <c r="D6278" s="211"/>
      <c r="E6278" s="211"/>
      <c r="U6278" s="222"/>
    </row>
    <row r="6279" spans="2:21" x14ac:dyDescent="0.2">
      <c r="B6279" s="207"/>
      <c r="C6279" s="210"/>
      <c r="D6279" s="211"/>
      <c r="E6279" s="211"/>
      <c r="U6279" s="222"/>
    </row>
    <row r="6280" spans="2:21" x14ac:dyDescent="0.2">
      <c r="B6280" s="207"/>
      <c r="C6280" s="210"/>
      <c r="D6280" s="211"/>
      <c r="E6280" s="211"/>
      <c r="U6280" s="222"/>
    </row>
    <row r="6281" spans="2:21" x14ac:dyDescent="0.2">
      <c r="B6281" s="207"/>
      <c r="C6281" s="210"/>
      <c r="D6281" s="211"/>
      <c r="E6281" s="211"/>
      <c r="U6281" s="222"/>
    </row>
    <row r="6282" spans="2:21" x14ac:dyDescent="0.2">
      <c r="B6282" s="207"/>
      <c r="C6282" s="210"/>
      <c r="D6282" s="211"/>
      <c r="E6282" s="211"/>
      <c r="U6282" s="222"/>
    </row>
    <row r="6283" spans="2:21" x14ac:dyDescent="0.2">
      <c r="B6283" s="207"/>
      <c r="C6283" s="210"/>
      <c r="D6283" s="211"/>
      <c r="E6283" s="211"/>
      <c r="U6283" s="222"/>
    </row>
    <row r="6284" spans="2:21" x14ac:dyDescent="0.2">
      <c r="B6284" s="207"/>
      <c r="C6284" s="210"/>
      <c r="D6284" s="211"/>
      <c r="E6284" s="211"/>
      <c r="U6284" s="222"/>
    </row>
    <row r="6285" spans="2:21" x14ac:dyDescent="0.2">
      <c r="B6285" s="207"/>
      <c r="C6285" s="210"/>
      <c r="D6285" s="211"/>
      <c r="E6285" s="211"/>
      <c r="U6285" s="222"/>
    </row>
    <row r="6286" spans="2:21" x14ac:dyDescent="0.2">
      <c r="B6286" s="207"/>
      <c r="C6286" s="210"/>
      <c r="D6286" s="211"/>
      <c r="E6286" s="211"/>
      <c r="U6286" s="222"/>
    </row>
    <row r="6287" spans="2:21" x14ac:dyDescent="0.2">
      <c r="B6287" s="207"/>
      <c r="C6287" s="210"/>
      <c r="D6287" s="211"/>
      <c r="E6287" s="211"/>
      <c r="U6287" s="222"/>
    </row>
    <row r="6288" spans="2:21" x14ac:dyDescent="0.2">
      <c r="B6288" s="207"/>
      <c r="C6288" s="210"/>
      <c r="D6288" s="211"/>
      <c r="E6288" s="211"/>
      <c r="U6288" s="222"/>
    </row>
    <row r="6289" spans="2:21" x14ac:dyDescent="0.2">
      <c r="B6289" s="207"/>
      <c r="C6289" s="210"/>
      <c r="D6289" s="211"/>
      <c r="E6289" s="211"/>
      <c r="U6289" s="222"/>
    </row>
    <row r="6290" spans="2:21" x14ac:dyDescent="0.2">
      <c r="B6290" s="207"/>
      <c r="C6290" s="210"/>
      <c r="D6290" s="211"/>
      <c r="E6290" s="211"/>
      <c r="U6290" s="222"/>
    </row>
    <row r="6291" spans="2:21" x14ac:dyDescent="0.2">
      <c r="B6291" s="207"/>
      <c r="C6291" s="210"/>
      <c r="D6291" s="211"/>
      <c r="E6291" s="211"/>
      <c r="U6291" s="222"/>
    </row>
    <row r="6292" spans="2:21" x14ac:dyDescent="0.2">
      <c r="B6292" s="207"/>
      <c r="C6292" s="210"/>
      <c r="D6292" s="211"/>
      <c r="E6292" s="211"/>
      <c r="U6292" s="222"/>
    </row>
    <row r="6293" spans="2:21" x14ac:dyDescent="0.2">
      <c r="B6293" s="207"/>
      <c r="C6293" s="210"/>
      <c r="D6293" s="211"/>
      <c r="E6293" s="211"/>
      <c r="U6293" s="222"/>
    </row>
    <row r="6294" spans="2:21" x14ac:dyDescent="0.2">
      <c r="B6294" s="207"/>
      <c r="C6294" s="210"/>
      <c r="D6294" s="211"/>
      <c r="E6294" s="211"/>
      <c r="U6294" s="222"/>
    </row>
    <row r="6295" spans="2:21" x14ac:dyDescent="0.2">
      <c r="B6295" s="207"/>
      <c r="C6295" s="210"/>
      <c r="D6295" s="211"/>
      <c r="E6295" s="211"/>
      <c r="U6295" s="222"/>
    </row>
    <row r="6296" spans="2:21" x14ac:dyDescent="0.2">
      <c r="B6296" s="207"/>
      <c r="C6296" s="210"/>
      <c r="D6296" s="211"/>
      <c r="E6296" s="211"/>
      <c r="U6296" s="222"/>
    </row>
    <row r="6297" spans="2:21" x14ac:dyDescent="0.2">
      <c r="B6297" s="207"/>
      <c r="C6297" s="210"/>
      <c r="D6297" s="211"/>
      <c r="E6297" s="211"/>
      <c r="U6297" s="222"/>
    </row>
    <row r="6298" spans="2:21" x14ac:dyDescent="0.2">
      <c r="B6298" s="207"/>
      <c r="C6298" s="210"/>
      <c r="D6298" s="211"/>
      <c r="E6298" s="211"/>
      <c r="U6298" s="222"/>
    </row>
    <row r="6299" spans="2:21" x14ac:dyDescent="0.2">
      <c r="B6299" s="207"/>
      <c r="C6299" s="210"/>
      <c r="D6299" s="211"/>
      <c r="E6299" s="211"/>
      <c r="U6299" s="222"/>
    </row>
    <row r="6300" spans="2:21" x14ac:dyDescent="0.2">
      <c r="B6300" s="207"/>
      <c r="C6300" s="210"/>
      <c r="D6300" s="211"/>
      <c r="E6300" s="211"/>
      <c r="U6300" s="222"/>
    </row>
    <row r="6301" spans="2:21" x14ac:dyDescent="0.2">
      <c r="B6301" s="207"/>
      <c r="C6301" s="210"/>
      <c r="D6301" s="211"/>
      <c r="E6301" s="211"/>
      <c r="U6301" s="222"/>
    </row>
    <row r="6302" spans="2:21" x14ac:dyDescent="0.2">
      <c r="B6302" s="207"/>
      <c r="C6302" s="210"/>
      <c r="D6302" s="211"/>
      <c r="E6302" s="211"/>
      <c r="U6302" s="222"/>
    </row>
    <row r="6303" spans="2:21" x14ac:dyDescent="0.2">
      <c r="B6303" s="207"/>
      <c r="C6303" s="210"/>
      <c r="D6303" s="211"/>
      <c r="E6303" s="211"/>
      <c r="U6303" s="222"/>
    </row>
    <row r="6304" spans="2:21" x14ac:dyDescent="0.2">
      <c r="B6304" s="207"/>
      <c r="C6304" s="210"/>
      <c r="D6304" s="211"/>
      <c r="E6304" s="211"/>
      <c r="U6304" s="222"/>
    </row>
    <row r="6305" spans="2:21" x14ac:dyDescent="0.2">
      <c r="B6305" s="207"/>
      <c r="C6305" s="210"/>
      <c r="D6305" s="211"/>
      <c r="E6305" s="211"/>
      <c r="U6305" s="222"/>
    </row>
    <row r="6306" spans="2:21" x14ac:dyDescent="0.2">
      <c r="B6306" s="207"/>
      <c r="C6306" s="210"/>
      <c r="D6306" s="211"/>
      <c r="E6306" s="211"/>
      <c r="U6306" s="222"/>
    </row>
    <row r="6307" spans="2:21" x14ac:dyDescent="0.2">
      <c r="B6307" s="207"/>
      <c r="C6307" s="210"/>
      <c r="D6307" s="211"/>
      <c r="E6307" s="211"/>
      <c r="U6307" s="222"/>
    </row>
    <row r="6308" spans="2:21" x14ac:dyDescent="0.2">
      <c r="B6308" s="207"/>
      <c r="C6308" s="210"/>
      <c r="D6308" s="211"/>
      <c r="E6308" s="211"/>
      <c r="U6308" s="222"/>
    </row>
    <row r="6309" spans="2:21" x14ac:dyDescent="0.2">
      <c r="B6309" s="207"/>
      <c r="C6309" s="210"/>
      <c r="D6309" s="211"/>
      <c r="E6309" s="211"/>
      <c r="U6309" s="222"/>
    </row>
    <row r="6310" spans="2:21" x14ac:dyDescent="0.2">
      <c r="B6310" s="207"/>
      <c r="C6310" s="210"/>
      <c r="D6310" s="211"/>
      <c r="E6310" s="211"/>
      <c r="U6310" s="222"/>
    </row>
    <row r="6311" spans="2:21" x14ac:dyDescent="0.2">
      <c r="B6311" s="207"/>
      <c r="C6311" s="210"/>
      <c r="D6311" s="211"/>
      <c r="E6311" s="211"/>
      <c r="U6311" s="222"/>
    </row>
    <row r="6312" spans="2:21" x14ac:dyDescent="0.2">
      <c r="B6312" s="207"/>
      <c r="C6312" s="210"/>
      <c r="D6312" s="211"/>
      <c r="E6312" s="211"/>
      <c r="U6312" s="222"/>
    </row>
    <row r="6313" spans="2:21" x14ac:dyDescent="0.2">
      <c r="B6313" s="207"/>
      <c r="C6313" s="210"/>
      <c r="D6313" s="211"/>
      <c r="E6313" s="211"/>
      <c r="U6313" s="222"/>
    </row>
    <row r="6314" spans="2:21" x14ac:dyDescent="0.2">
      <c r="B6314" s="207"/>
      <c r="C6314" s="210"/>
      <c r="D6314" s="211"/>
      <c r="E6314" s="211"/>
      <c r="U6314" s="222"/>
    </row>
    <row r="6315" spans="2:21" x14ac:dyDescent="0.2">
      <c r="B6315" s="207"/>
      <c r="C6315" s="210"/>
      <c r="D6315" s="211"/>
      <c r="E6315" s="211"/>
      <c r="U6315" s="222"/>
    </row>
    <row r="6316" spans="2:21" x14ac:dyDescent="0.2">
      <c r="B6316" s="207"/>
      <c r="C6316" s="210"/>
      <c r="D6316" s="211"/>
      <c r="E6316" s="211"/>
      <c r="U6316" s="222"/>
    </row>
    <row r="6317" spans="2:21" x14ac:dyDescent="0.2">
      <c r="B6317" s="207"/>
      <c r="C6317" s="210"/>
      <c r="D6317" s="211"/>
      <c r="E6317" s="211"/>
      <c r="U6317" s="222"/>
    </row>
    <row r="6318" spans="2:21" x14ac:dyDescent="0.2">
      <c r="B6318" s="207"/>
      <c r="C6318" s="210"/>
      <c r="D6318" s="211"/>
      <c r="E6318" s="211"/>
      <c r="U6318" s="222"/>
    </row>
    <row r="6319" spans="2:21" x14ac:dyDescent="0.2">
      <c r="B6319" s="207"/>
      <c r="C6319" s="210"/>
      <c r="D6319" s="211"/>
      <c r="E6319" s="211"/>
      <c r="U6319" s="222"/>
    </row>
    <row r="6320" spans="2:21" x14ac:dyDescent="0.2">
      <c r="B6320" s="207"/>
      <c r="C6320" s="210"/>
      <c r="D6320" s="211"/>
      <c r="E6320" s="211"/>
      <c r="U6320" s="222"/>
    </row>
    <row r="6321" spans="2:21" x14ac:dyDescent="0.2">
      <c r="B6321" s="207"/>
      <c r="C6321" s="210"/>
      <c r="D6321" s="211"/>
      <c r="E6321" s="211"/>
      <c r="U6321" s="222"/>
    </row>
    <row r="6322" spans="2:21" x14ac:dyDescent="0.2">
      <c r="B6322" s="207"/>
      <c r="C6322" s="210"/>
      <c r="D6322" s="211"/>
      <c r="E6322" s="211"/>
      <c r="U6322" s="222"/>
    </row>
    <row r="6323" spans="2:21" x14ac:dyDescent="0.2">
      <c r="B6323" s="207"/>
      <c r="C6323" s="210"/>
      <c r="D6323" s="211"/>
      <c r="E6323" s="211"/>
      <c r="U6323" s="222"/>
    </row>
    <row r="6324" spans="2:21" x14ac:dyDescent="0.2">
      <c r="B6324" s="207"/>
      <c r="C6324" s="210"/>
      <c r="D6324" s="211"/>
      <c r="E6324" s="211"/>
      <c r="U6324" s="222"/>
    </row>
    <row r="6325" spans="2:21" x14ac:dyDescent="0.2">
      <c r="B6325" s="207"/>
      <c r="C6325" s="210"/>
      <c r="D6325" s="211"/>
      <c r="E6325" s="211"/>
      <c r="U6325" s="222"/>
    </row>
    <row r="6326" spans="2:21" x14ac:dyDescent="0.2">
      <c r="B6326" s="207"/>
      <c r="C6326" s="210"/>
      <c r="D6326" s="211"/>
      <c r="E6326" s="211"/>
      <c r="U6326" s="222"/>
    </row>
    <row r="6327" spans="2:21" x14ac:dyDescent="0.2">
      <c r="B6327" s="207"/>
      <c r="C6327" s="210"/>
      <c r="D6327" s="211"/>
      <c r="E6327" s="211"/>
      <c r="U6327" s="222"/>
    </row>
    <row r="6328" spans="2:21" x14ac:dyDescent="0.2">
      <c r="B6328" s="207"/>
      <c r="C6328" s="210"/>
      <c r="D6328" s="211"/>
      <c r="E6328" s="211"/>
      <c r="U6328" s="222"/>
    </row>
    <row r="6329" spans="2:21" x14ac:dyDescent="0.2">
      <c r="B6329" s="207"/>
      <c r="C6329" s="210"/>
      <c r="D6329" s="211"/>
      <c r="E6329" s="211"/>
      <c r="U6329" s="222"/>
    </row>
    <row r="6330" spans="2:21" x14ac:dyDescent="0.2">
      <c r="B6330" s="207"/>
      <c r="C6330" s="210"/>
      <c r="D6330" s="211"/>
      <c r="E6330" s="211"/>
      <c r="U6330" s="222"/>
    </row>
    <row r="6331" spans="2:21" x14ac:dyDescent="0.2">
      <c r="B6331" s="207"/>
      <c r="C6331" s="210"/>
      <c r="D6331" s="211"/>
      <c r="E6331" s="211"/>
      <c r="U6331" s="222"/>
    </row>
    <row r="6332" spans="2:21" x14ac:dyDescent="0.2">
      <c r="B6332" s="207"/>
      <c r="C6332" s="210"/>
      <c r="D6332" s="211"/>
      <c r="E6332" s="211"/>
      <c r="U6332" s="222"/>
    </row>
    <row r="6333" spans="2:21" x14ac:dyDescent="0.2">
      <c r="B6333" s="207"/>
      <c r="C6333" s="210"/>
      <c r="D6333" s="211"/>
      <c r="E6333" s="211"/>
      <c r="U6333" s="222"/>
    </row>
    <row r="6334" spans="2:21" x14ac:dyDescent="0.2">
      <c r="B6334" s="207"/>
      <c r="C6334" s="210"/>
      <c r="D6334" s="211"/>
      <c r="E6334" s="211"/>
      <c r="U6334" s="222"/>
    </row>
    <row r="6335" spans="2:21" x14ac:dyDescent="0.2">
      <c r="B6335" s="207"/>
      <c r="C6335" s="210"/>
      <c r="D6335" s="211"/>
      <c r="E6335" s="211"/>
      <c r="U6335" s="222"/>
    </row>
    <row r="6336" spans="2:21" x14ac:dyDescent="0.2">
      <c r="B6336" s="207"/>
      <c r="C6336" s="210"/>
      <c r="D6336" s="211"/>
      <c r="E6336" s="211"/>
      <c r="U6336" s="222"/>
    </row>
    <row r="6337" spans="2:21" x14ac:dyDescent="0.2">
      <c r="B6337" s="207"/>
      <c r="C6337" s="210"/>
      <c r="D6337" s="211"/>
      <c r="E6337" s="211"/>
      <c r="U6337" s="222"/>
    </row>
    <row r="6338" spans="2:21" x14ac:dyDescent="0.2">
      <c r="B6338" s="207"/>
      <c r="C6338" s="210"/>
      <c r="D6338" s="211"/>
      <c r="E6338" s="211"/>
      <c r="U6338" s="222"/>
    </row>
    <row r="6339" spans="2:21" x14ac:dyDescent="0.2">
      <c r="B6339" s="207"/>
      <c r="C6339" s="210"/>
      <c r="D6339" s="211"/>
      <c r="E6339" s="211"/>
      <c r="U6339" s="222"/>
    </row>
    <row r="6340" spans="2:21" x14ac:dyDescent="0.2">
      <c r="B6340" s="207"/>
      <c r="C6340" s="210"/>
      <c r="D6340" s="211"/>
      <c r="E6340" s="211"/>
      <c r="U6340" s="222"/>
    </row>
    <row r="6341" spans="2:21" x14ac:dyDescent="0.2">
      <c r="B6341" s="207"/>
      <c r="C6341" s="210"/>
      <c r="D6341" s="211"/>
      <c r="E6341" s="211"/>
      <c r="U6341" s="222"/>
    </row>
    <row r="6342" spans="2:21" x14ac:dyDescent="0.2">
      <c r="B6342" s="207"/>
      <c r="C6342" s="210"/>
      <c r="D6342" s="211"/>
      <c r="E6342" s="211"/>
      <c r="U6342" s="222"/>
    </row>
    <row r="6343" spans="2:21" x14ac:dyDescent="0.2">
      <c r="B6343" s="207"/>
      <c r="C6343" s="210"/>
      <c r="D6343" s="211"/>
      <c r="E6343" s="211"/>
      <c r="U6343" s="222"/>
    </row>
    <row r="6344" spans="2:21" x14ac:dyDescent="0.2">
      <c r="B6344" s="207"/>
      <c r="C6344" s="210"/>
      <c r="D6344" s="211"/>
      <c r="E6344" s="211"/>
      <c r="U6344" s="222"/>
    </row>
    <row r="6345" spans="2:21" x14ac:dyDescent="0.2">
      <c r="B6345" s="207"/>
      <c r="C6345" s="210"/>
      <c r="D6345" s="211"/>
      <c r="E6345" s="211"/>
      <c r="U6345" s="222"/>
    </row>
    <row r="6346" spans="2:21" x14ac:dyDescent="0.2">
      <c r="B6346" s="207"/>
      <c r="C6346" s="210"/>
      <c r="D6346" s="211"/>
      <c r="E6346" s="211"/>
      <c r="U6346" s="222"/>
    </row>
    <row r="6347" spans="2:21" x14ac:dyDescent="0.2">
      <c r="B6347" s="207"/>
      <c r="C6347" s="210"/>
      <c r="D6347" s="211"/>
      <c r="E6347" s="211"/>
      <c r="U6347" s="222"/>
    </row>
    <row r="6348" spans="2:21" x14ac:dyDescent="0.2">
      <c r="B6348" s="207"/>
      <c r="C6348" s="210"/>
      <c r="D6348" s="211"/>
      <c r="E6348" s="211"/>
      <c r="U6348" s="222"/>
    </row>
    <row r="6349" spans="2:21" x14ac:dyDescent="0.2">
      <c r="B6349" s="207"/>
      <c r="C6349" s="210"/>
      <c r="D6349" s="211"/>
      <c r="E6349" s="211"/>
      <c r="U6349" s="222"/>
    </row>
    <row r="6350" spans="2:21" x14ac:dyDescent="0.2">
      <c r="B6350" s="207"/>
      <c r="C6350" s="210"/>
      <c r="D6350" s="211"/>
      <c r="E6350" s="211"/>
      <c r="U6350" s="222"/>
    </row>
    <row r="6351" spans="2:21" x14ac:dyDescent="0.2">
      <c r="B6351" s="207"/>
      <c r="C6351" s="210"/>
      <c r="D6351" s="211"/>
      <c r="E6351" s="211"/>
      <c r="U6351" s="222"/>
    </row>
    <row r="6352" spans="2:21" x14ac:dyDescent="0.2">
      <c r="B6352" s="207"/>
      <c r="C6352" s="210"/>
      <c r="D6352" s="211"/>
      <c r="E6352" s="211"/>
      <c r="U6352" s="222"/>
    </row>
    <row r="6353" spans="2:21" x14ac:dyDescent="0.2">
      <c r="B6353" s="207"/>
      <c r="C6353" s="210"/>
      <c r="D6353" s="211"/>
      <c r="E6353" s="211"/>
      <c r="U6353" s="222"/>
    </row>
    <row r="6354" spans="2:21" x14ac:dyDescent="0.2">
      <c r="B6354" s="207"/>
      <c r="C6354" s="210"/>
      <c r="D6354" s="211"/>
      <c r="E6354" s="211"/>
      <c r="U6354" s="222"/>
    </row>
    <row r="6355" spans="2:21" x14ac:dyDescent="0.2">
      <c r="B6355" s="207"/>
      <c r="C6355" s="210"/>
      <c r="D6355" s="211"/>
      <c r="E6355" s="211"/>
      <c r="U6355" s="222"/>
    </row>
    <row r="6356" spans="2:21" x14ac:dyDescent="0.2">
      <c r="B6356" s="207"/>
      <c r="C6356" s="210"/>
      <c r="D6356" s="211"/>
      <c r="E6356" s="211"/>
      <c r="U6356" s="222"/>
    </row>
    <row r="6357" spans="2:21" x14ac:dyDescent="0.2">
      <c r="B6357" s="207"/>
      <c r="C6357" s="210"/>
      <c r="D6357" s="211"/>
      <c r="E6357" s="211"/>
      <c r="U6357" s="222"/>
    </row>
    <row r="6358" spans="2:21" x14ac:dyDescent="0.2">
      <c r="B6358" s="207"/>
      <c r="C6358" s="210"/>
      <c r="D6358" s="211"/>
      <c r="E6358" s="211"/>
      <c r="U6358" s="222"/>
    </row>
    <row r="6359" spans="2:21" x14ac:dyDescent="0.2">
      <c r="B6359" s="207"/>
      <c r="C6359" s="210"/>
      <c r="D6359" s="211"/>
      <c r="E6359" s="211"/>
      <c r="U6359" s="222"/>
    </row>
    <row r="6360" spans="2:21" x14ac:dyDescent="0.2">
      <c r="B6360" s="207"/>
      <c r="C6360" s="210"/>
      <c r="D6360" s="211"/>
      <c r="E6360" s="211"/>
      <c r="U6360" s="222"/>
    </row>
    <row r="6361" spans="2:21" x14ac:dyDescent="0.2">
      <c r="B6361" s="207"/>
      <c r="C6361" s="210"/>
      <c r="D6361" s="211"/>
      <c r="E6361" s="211"/>
      <c r="U6361" s="222"/>
    </row>
    <row r="6362" spans="2:21" x14ac:dyDescent="0.2">
      <c r="B6362" s="207"/>
      <c r="C6362" s="210"/>
      <c r="D6362" s="211"/>
      <c r="E6362" s="211"/>
      <c r="U6362" s="222"/>
    </row>
    <row r="6363" spans="2:21" x14ac:dyDescent="0.2">
      <c r="B6363" s="207"/>
      <c r="C6363" s="210"/>
      <c r="D6363" s="211"/>
      <c r="E6363" s="211"/>
      <c r="U6363" s="222"/>
    </row>
    <row r="6364" spans="2:21" x14ac:dyDescent="0.2">
      <c r="B6364" s="207"/>
      <c r="C6364" s="210"/>
      <c r="D6364" s="211"/>
      <c r="E6364" s="211"/>
      <c r="U6364" s="222"/>
    </row>
    <row r="6365" spans="2:21" x14ac:dyDescent="0.2">
      <c r="B6365" s="207"/>
      <c r="C6365" s="210"/>
      <c r="D6365" s="211"/>
      <c r="E6365" s="211"/>
      <c r="U6365" s="222"/>
    </row>
    <row r="6366" spans="2:21" x14ac:dyDescent="0.2">
      <c r="B6366" s="207"/>
      <c r="C6366" s="210"/>
      <c r="D6366" s="211"/>
      <c r="E6366" s="211"/>
      <c r="U6366" s="222"/>
    </row>
    <row r="6367" spans="2:21" x14ac:dyDescent="0.2">
      <c r="B6367" s="207"/>
      <c r="C6367" s="210"/>
      <c r="D6367" s="211"/>
      <c r="E6367" s="211"/>
      <c r="U6367" s="222"/>
    </row>
    <row r="6368" spans="2:21" x14ac:dyDescent="0.2">
      <c r="B6368" s="207"/>
      <c r="C6368" s="210"/>
      <c r="D6368" s="211"/>
      <c r="E6368" s="211"/>
      <c r="U6368" s="222"/>
    </row>
    <row r="6369" spans="2:21" x14ac:dyDescent="0.2">
      <c r="B6369" s="207"/>
      <c r="C6369" s="210"/>
      <c r="D6369" s="211"/>
      <c r="E6369" s="211"/>
      <c r="U6369" s="222"/>
    </row>
    <row r="6370" spans="2:21" x14ac:dyDescent="0.2">
      <c r="B6370" s="207"/>
      <c r="C6370" s="210"/>
      <c r="D6370" s="211"/>
      <c r="E6370" s="211"/>
      <c r="U6370" s="222"/>
    </row>
    <row r="6371" spans="2:21" x14ac:dyDescent="0.2">
      <c r="B6371" s="207"/>
      <c r="C6371" s="210"/>
      <c r="D6371" s="211"/>
      <c r="E6371" s="211"/>
      <c r="U6371" s="222"/>
    </row>
    <row r="6372" spans="2:21" x14ac:dyDescent="0.2">
      <c r="B6372" s="207"/>
      <c r="C6372" s="210"/>
      <c r="D6372" s="211"/>
      <c r="E6372" s="211"/>
      <c r="U6372" s="222"/>
    </row>
    <row r="6373" spans="2:21" x14ac:dyDescent="0.2">
      <c r="B6373" s="207"/>
      <c r="C6373" s="210"/>
      <c r="D6373" s="211"/>
      <c r="E6373" s="211"/>
      <c r="U6373" s="222"/>
    </row>
    <row r="6374" spans="2:21" x14ac:dyDescent="0.2">
      <c r="B6374" s="207"/>
      <c r="C6374" s="210"/>
      <c r="D6374" s="211"/>
      <c r="E6374" s="211"/>
      <c r="U6374" s="222"/>
    </row>
    <row r="6375" spans="2:21" x14ac:dyDescent="0.2">
      <c r="B6375" s="207"/>
      <c r="C6375" s="210"/>
      <c r="D6375" s="211"/>
      <c r="E6375" s="211"/>
      <c r="U6375" s="222"/>
    </row>
    <row r="6376" spans="2:21" x14ac:dyDescent="0.2">
      <c r="B6376" s="207"/>
      <c r="C6376" s="210"/>
      <c r="D6376" s="211"/>
      <c r="E6376" s="211"/>
      <c r="U6376" s="222"/>
    </row>
    <row r="6377" spans="2:21" x14ac:dyDescent="0.2">
      <c r="B6377" s="207"/>
      <c r="C6377" s="210"/>
      <c r="D6377" s="211"/>
      <c r="E6377" s="211"/>
      <c r="U6377" s="222"/>
    </row>
    <row r="6378" spans="2:21" x14ac:dyDescent="0.2">
      <c r="B6378" s="207"/>
      <c r="C6378" s="210"/>
      <c r="D6378" s="211"/>
      <c r="E6378" s="211"/>
      <c r="U6378" s="222"/>
    </row>
    <row r="6379" spans="2:21" x14ac:dyDescent="0.2">
      <c r="B6379" s="207"/>
      <c r="C6379" s="210"/>
      <c r="D6379" s="211"/>
      <c r="E6379" s="211"/>
      <c r="U6379" s="222"/>
    </row>
    <row r="6380" spans="2:21" x14ac:dyDescent="0.2">
      <c r="B6380" s="207"/>
      <c r="C6380" s="210"/>
      <c r="D6380" s="211"/>
      <c r="E6380" s="211"/>
      <c r="U6380" s="222"/>
    </row>
    <row r="6381" spans="2:21" x14ac:dyDescent="0.2">
      <c r="B6381" s="207"/>
      <c r="C6381" s="210"/>
      <c r="D6381" s="211"/>
      <c r="E6381" s="211"/>
      <c r="U6381" s="222"/>
    </row>
    <row r="6382" spans="2:21" x14ac:dyDescent="0.2">
      <c r="B6382" s="207"/>
      <c r="C6382" s="210"/>
      <c r="D6382" s="211"/>
      <c r="E6382" s="211"/>
      <c r="U6382" s="222"/>
    </row>
    <row r="6383" spans="2:21" x14ac:dyDescent="0.2">
      <c r="B6383" s="207"/>
      <c r="C6383" s="210"/>
      <c r="D6383" s="211"/>
      <c r="E6383" s="211"/>
      <c r="U6383" s="222"/>
    </row>
    <row r="6384" spans="2:21" x14ac:dyDescent="0.2">
      <c r="B6384" s="207"/>
      <c r="C6384" s="210"/>
      <c r="D6384" s="211"/>
      <c r="E6384" s="211"/>
      <c r="U6384" s="222"/>
    </row>
    <row r="6385" spans="2:21" x14ac:dyDescent="0.2">
      <c r="B6385" s="207"/>
      <c r="C6385" s="210"/>
      <c r="D6385" s="211"/>
      <c r="E6385" s="211"/>
      <c r="U6385" s="222"/>
    </row>
    <row r="6386" spans="2:21" x14ac:dyDescent="0.2">
      <c r="B6386" s="207"/>
      <c r="C6386" s="210"/>
      <c r="D6386" s="211"/>
      <c r="E6386" s="211"/>
      <c r="U6386" s="222"/>
    </row>
    <row r="6387" spans="2:21" x14ac:dyDescent="0.2">
      <c r="B6387" s="207"/>
      <c r="C6387" s="210"/>
      <c r="D6387" s="211"/>
      <c r="E6387" s="211"/>
      <c r="U6387" s="222"/>
    </row>
    <row r="6388" spans="2:21" x14ac:dyDescent="0.2">
      <c r="B6388" s="207"/>
      <c r="C6388" s="210"/>
      <c r="D6388" s="211"/>
      <c r="E6388" s="211"/>
      <c r="U6388" s="222"/>
    </row>
    <row r="6389" spans="2:21" x14ac:dyDescent="0.2">
      <c r="B6389" s="207"/>
      <c r="C6389" s="210"/>
      <c r="D6389" s="211"/>
      <c r="E6389" s="211"/>
      <c r="U6389" s="222"/>
    </row>
    <row r="6390" spans="2:21" x14ac:dyDescent="0.2">
      <c r="B6390" s="207"/>
      <c r="C6390" s="210"/>
      <c r="D6390" s="211"/>
      <c r="E6390" s="211"/>
      <c r="U6390" s="222"/>
    </row>
    <row r="6391" spans="2:21" x14ac:dyDescent="0.2">
      <c r="B6391" s="207"/>
      <c r="C6391" s="210"/>
      <c r="D6391" s="211"/>
      <c r="E6391" s="211"/>
      <c r="U6391" s="222"/>
    </row>
    <row r="6392" spans="2:21" x14ac:dyDescent="0.2">
      <c r="B6392" s="207"/>
      <c r="C6392" s="210"/>
      <c r="D6392" s="211"/>
      <c r="E6392" s="211"/>
      <c r="U6392" s="222"/>
    </row>
    <row r="6393" spans="2:21" x14ac:dyDescent="0.2">
      <c r="B6393" s="207"/>
      <c r="C6393" s="210"/>
      <c r="D6393" s="211"/>
      <c r="E6393" s="211"/>
      <c r="U6393" s="222"/>
    </row>
    <row r="6394" spans="2:21" x14ac:dyDescent="0.2">
      <c r="B6394" s="207"/>
      <c r="C6394" s="210"/>
      <c r="D6394" s="211"/>
      <c r="E6394" s="211"/>
      <c r="U6394" s="222"/>
    </row>
    <row r="6395" spans="2:21" x14ac:dyDescent="0.2">
      <c r="B6395" s="207"/>
      <c r="C6395" s="210"/>
      <c r="D6395" s="211"/>
      <c r="E6395" s="211"/>
      <c r="U6395" s="222"/>
    </row>
    <row r="6396" spans="2:21" x14ac:dyDescent="0.2">
      <c r="B6396" s="207"/>
      <c r="C6396" s="210"/>
      <c r="D6396" s="211"/>
      <c r="E6396" s="211"/>
      <c r="U6396" s="222"/>
    </row>
    <row r="6397" spans="2:21" x14ac:dyDescent="0.2">
      <c r="B6397" s="207"/>
      <c r="C6397" s="210"/>
      <c r="D6397" s="211"/>
      <c r="E6397" s="211"/>
      <c r="U6397" s="222"/>
    </row>
    <row r="6398" spans="2:21" x14ac:dyDescent="0.2">
      <c r="B6398" s="207"/>
      <c r="C6398" s="210"/>
      <c r="D6398" s="211"/>
      <c r="E6398" s="211"/>
      <c r="U6398" s="222"/>
    </row>
    <row r="6399" spans="2:21" x14ac:dyDescent="0.2">
      <c r="B6399" s="207"/>
      <c r="C6399" s="210"/>
      <c r="D6399" s="211"/>
      <c r="E6399" s="211"/>
      <c r="U6399" s="222"/>
    </row>
    <row r="6400" spans="2:21" x14ac:dyDescent="0.2">
      <c r="B6400" s="207"/>
      <c r="C6400" s="210"/>
      <c r="D6400" s="211"/>
      <c r="E6400" s="211"/>
      <c r="U6400" s="222"/>
    </row>
    <row r="6401" spans="2:21" x14ac:dyDescent="0.2">
      <c r="B6401" s="207"/>
      <c r="C6401" s="210"/>
      <c r="D6401" s="211"/>
      <c r="E6401" s="211"/>
      <c r="U6401" s="222"/>
    </row>
    <row r="6402" spans="2:21" x14ac:dyDescent="0.2">
      <c r="B6402" s="207"/>
      <c r="C6402" s="210"/>
      <c r="D6402" s="211"/>
      <c r="E6402" s="211"/>
      <c r="U6402" s="222"/>
    </row>
    <row r="6403" spans="2:21" x14ac:dyDescent="0.2">
      <c r="B6403" s="207"/>
      <c r="C6403" s="210"/>
      <c r="D6403" s="211"/>
      <c r="E6403" s="211"/>
      <c r="U6403" s="222"/>
    </row>
    <row r="6404" spans="2:21" x14ac:dyDescent="0.2">
      <c r="B6404" s="207"/>
      <c r="C6404" s="210"/>
      <c r="D6404" s="211"/>
      <c r="E6404" s="211"/>
      <c r="U6404" s="222"/>
    </row>
    <row r="6405" spans="2:21" x14ac:dyDescent="0.2">
      <c r="B6405" s="207"/>
      <c r="C6405" s="210"/>
      <c r="D6405" s="211"/>
      <c r="E6405" s="211"/>
      <c r="U6405" s="222"/>
    </row>
    <row r="6406" spans="2:21" x14ac:dyDescent="0.2">
      <c r="B6406" s="207"/>
      <c r="C6406" s="210"/>
      <c r="D6406" s="211"/>
      <c r="E6406" s="211"/>
      <c r="U6406" s="222"/>
    </row>
    <row r="6407" spans="2:21" x14ac:dyDescent="0.2">
      <c r="B6407" s="207"/>
      <c r="C6407" s="210"/>
      <c r="D6407" s="211"/>
      <c r="E6407" s="211"/>
      <c r="U6407" s="222"/>
    </row>
    <row r="6408" spans="2:21" x14ac:dyDescent="0.2">
      <c r="B6408" s="207"/>
      <c r="C6408" s="210"/>
      <c r="D6408" s="211"/>
      <c r="E6408" s="211"/>
      <c r="U6408" s="222"/>
    </row>
    <row r="6409" spans="2:21" x14ac:dyDescent="0.2">
      <c r="B6409" s="207"/>
      <c r="C6409" s="210"/>
      <c r="D6409" s="211"/>
      <c r="E6409" s="211"/>
      <c r="U6409" s="222"/>
    </row>
    <row r="6410" spans="2:21" x14ac:dyDescent="0.2">
      <c r="B6410" s="207"/>
      <c r="C6410" s="210"/>
      <c r="D6410" s="211"/>
      <c r="E6410" s="211"/>
      <c r="U6410" s="222"/>
    </row>
    <row r="6411" spans="2:21" x14ac:dyDescent="0.2">
      <c r="B6411" s="207"/>
      <c r="C6411" s="210"/>
      <c r="D6411" s="211"/>
      <c r="E6411" s="211"/>
      <c r="U6411" s="222"/>
    </row>
    <row r="6412" spans="2:21" x14ac:dyDescent="0.2">
      <c r="B6412" s="207"/>
      <c r="C6412" s="210"/>
      <c r="D6412" s="211"/>
      <c r="E6412" s="211"/>
      <c r="U6412" s="222"/>
    </row>
    <row r="6413" spans="2:21" x14ac:dyDescent="0.2">
      <c r="B6413" s="207"/>
      <c r="C6413" s="210"/>
      <c r="D6413" s="211"/>
      <c r="E6413" s="211"/>
      <c r="U6413" s="222"/>
    </row>
    <row r="6414" spans="2:21" x14ac:dyDescent="0.2">
      <c r="B6414" s="207"/>
      <c r="C6414" s="210"/>
      <c r="D6414" s="211"/>
      <c r="E6414" s="211"/>
      <c r="U6414" s="222"/>
    </row>
    <row r="6415" spans="2:21" x14ac:dyDescent="0.2">
      <c r="B6415" s="207"/>
      <c r="C6415" s="210"/>
      <c r="D6415" s="211"/>
      <c r="E6415" s="211"/>
      <c r="U6415" s="222"/>
    </row>
    <row r="6416" spans="2:21" x14ac:dyDescent="0.2">
      <c r="B6416" s="207"/>
      <c r="C6416" s="210"/>
      <c r="D6416" s="211"/>
      <c r="E6416" s="211"/>
      <c r="U6416" s="222"/>
    </row>
    <row r="6417" spans="2:21" x14ac:dyDescent="0.2">
      <c r="B6417" s="207"/>
      <c r="C6417" s="210"/>
      <c r="D6417" s="211"/>
      <c r="E6417" s="211"/>
      <c r="U6417" s="222"/>
    </row>
    <row r="6418" spans="2:21" x14ac:dyDescent="0.2">
      <c r="B6418" s="207"/>
      <c r="C6418" s="210"/>
      <c r="D6418" s="211"/>
      <c r="E6418" s="211"/>
      <c r="U6418" s="222"/>
    </row>
    <row r="6419" spans="2:21" x14ac:dyDescent="0.2">
      <c r="B6419" s="207"/>
      <c r="C6419" s="210"/>
      <c r="D6419" s="211"/>
      <c r="E6419" s="211"/>
      <c r="U6419" s="222"/>
    </row>
    <row r="6420" spans="2:21" x14ac:dyDescent="0.2">
      <c r="B6420" s="207"/>
      <c r="C6420" s="210"/>
      <c r="D6420" s="211"/>
      <c r="E6420" s="211"/>
      <c r="U6420" s="222"/>
    </row>
    <row r="6421" spans="2:21" x14ac:dyDescent="0.2">
      <c r="B6421" s="207"/>
      <c r="C6421" s="210"/>
      <c r="D6421" s="211"/>
      <c r="E6421" s="211"/>
      <c r="U6421" s="222"/>
    </row>
    <row r="6422" spans="2:21" x14ac:dyDescent="0.2">
      <c r="B6422" s="207"/>
      <c r="C6422" s="210"/>
      <c r="D6422" s="211"/>
      <c r="E6422" s="211"/>
      <c r="U6422" s="222"/>
    </row>
    <row r="6423" spans="2:21" x14ac:dyDescent="0.2">
      <c r="B6423" s="207"/>
      <c r="C6423" s="210"/>
      <c r="D6423" s="211"/>
      <c r="E6423" s="211"/>
      <c r="U6423" s="222"/>
    </row>
    <row r="6424" spans="2:21" x14ac:dyDescent="0.2">
      <c r="B6424" s="207"/>
      <c r="C6424" s="210"/>
      <c r="D6424" s="211"/>
      <c r="E6424" s="211"/>
      <c r="U6424" s="222"/>
    </row>
    <row r="6425" spans="2:21" x14ac:dyDescent="0.2">
      <c r="B6425" s="207"/>
      <c r="C6425" s="210"/>
      <c r="D6425" s="211"/>
      <c r="E6425" s="211"/>
      <c r="U6425" s="222"/>
    </row>
    <row r="6426" spans="2:21" x14ac:dyDescent="0.2">
      <c r="B6426" s="207"/>
      <c r="C6426" s="210"/>
      <c r="D6426" s="211"/>
      <c r="E6426" s="211"/>
      <c r="U6426" s="222"/>
    </row>
    <row r="6427" spans="2:21" x14ac:dyDescent="0.2">
      <c r="B6427" s="207"/>
      <c r="C6427" s="210"/>
      <c r="D6427" s="211"/>
      <c r="E6427" s="211"/>
      <c r="U6427" s="222"/>
    </row>
    <row r="6428" spans="2:21" x14ac:dyDescent="0.2">
      <c r="B6428" s="207"/>
      <c r="C6428" s="210"/>
      <c r="D6428" s="211"/>
      <c r="E6428" s="211"/>
      <c r="U6428" s="222"/>
    </row>
    <row r="6429" spans="2:21" x14ac:dyDescent="0.2">
      <c r="B6429" s="207"/>
      <c r="C6429" s="210"/>
      <c r="D6429" s="211"/>
      <c r="E6429" s="211"/>
      <c r="U6429" s="222"/>
    </row>
    <row r="6430" spans="2:21" x14ac:dyDescent="0.2">
      <c r="B6430" s="207"/>
      <c r="C6430" s="210"/>
      <c r="D6430" s="211"/>
      <c r="E6430" s="211"/>
      <c r="U6430" s="222"/>
    </row>
    <row r="6431" spans="2:21" x14ac:dyDescent="0.2">
      <c r="B6431" s="207"/>
      <c r="C6431" s="210"/>
      <c r="D6431" s="211"/>
      <c r="E6431" s="211"/>
      <c r="U6431" s="222"/>
    </row>
    <row r="6432" spans="2:21" x14ac:dyDescent="0.2">
      <c r="B6432" s="207"/>
      <c r="C6432" s="210"/>
      <c r="D6432" s="211"/>
      <c r="E6432" s="211"/>
      <c r="U6432" s="222"/>
    </row>
    <row r="6433" spans="2:21" x14ac:dyDescent="0.2">
      <c r="B6433" s="207"/>
      <c r="C6433" s="210"/>
      <c r="D6433" s="211"/>
      <c r="E6433" s="211"/>
      <c r="U6433" s="222"/>
    </row>
    <row r="6434" spans="2:21" x14ac:dyDescent="0.2">
      <c r="B6434" s="207"/>
      <c r="C6434" s="210"/>
      <c r="D6434" s="211"/>
      <c r="E6434" s="211"/>
      <c r="U6434" s="222"/>
    </row>
    <row r="6435" spans="2:21" x14ac:dyDescent="0.2">
      <c r="B6435" s="207"/>
      <c r="C6435" s="210"/>
      <c r="D6435" s="211"/>
      <c r="E6435" s="211"/>
      <c r="U6435" s="222"/>
    </row>
    <row r="6436" spans="2:21" x14ac:dyDescent="0.2">
      <c r="B6436" s="207"/>
      <c r="C6436" s="210"/>
      <c r="D6436" s="211"/>
      <c r="E6436" s="211"/>
      <c r="U6436" s="222"/>
    </row>
    <row r="6437" spans="2:21" x14ac:dyDescent="0.2">
      <c r="B6437" s="207"/>
      <c r="C6437" s="210"/>
      <c r="D6437" s="211"/>
      <c r="E6437" s="211"/>
      <c r="U6437" s="222"/>
    </row>
    <row r="6438" spans="2:21" x14ac:dyDescent="0.2">
      <c r="B6438" s="207"/>
      <c r="C6438" s="210"/>
      <c r="D6438" s="211"/>
      <c r="E6438" s="211"/>
      <c r="U6438" s="222"/>
    </row>
    <row r="6439" spans="2:21" x14ac:dyDescent="0.2">
      <c r="B6439" s="207"/>
      <c r="C6439" s="210"/>
      <c r="D6439" s="211"/>
      <c r="E6439" s="211"/>
      <c r="U6439" s="222"/>
    </row>
    <row r="6440" spans="2:21" x14ac:dyDescent="0.2">
      <c r="B6440" s="207"/>
      <c r="C6440" s="210"/>
      <c r="D6440" s="211"/>
      <c r="E6440" s="211"/>
      <c r="U6440" s="222"/>
    </row>
    <row r="6441" spans="2:21" x14ac:dyDescent="0.2">
      <c r="B6441" s="207"/>
      <c r="C6441" s="210"/>
      <c r="D6441" s="211"/>
      <c r="E6441" s="211"/>
      <c r="U6441" s="222"/>
    </row>
    <row r="6442" spans="2:21" x14ac:dyDescent="0.2">
      <c r="B6442" s="207"/>
      <c r="C6442" s="210"/>
      <c r="D6442" s="211"/>
      <c r="E6442" s="211"/>
      <c r="U6442" s="222"/>
    </row>
    <row r="6443" spans="2:21" x14ac:dyDescent="0.2">
      <c r="B6443" s="207"/>
      <c r="C6443" s="210"/>
      <c r="D6443" s="211"/>
      <c r="E6443" s="211"/>
      <c r="U6443" s="222"/>
    </row>
    <row r="6444" spans="2:21" x14ac:dyDescent="0.2">
      <c r="B6444" s="207"/>
      <c r="C6444" s="210"/>
      <c r="D6444" s="211"/>
      <c r="E6444" s="211"/>
      <c r="U6444" s="222"/>
    </row>
    <row r="6445" spans="2:21" x14ac:dyDescent="0.2">
      <c r="B6445" s="207"/>
      <c r="C6445" s="210"/>
      <c r="D6445" s="211"/>
      <c r="E6445" s="211"/>
      <c r="U6445" s="222"/>
    </row>
    <row r="6446" spans="2:21" x14ac:dyDescent="0.2">
      <c r="B6446" s="207"/>
      <c r="C6446" s="210"/>
      <c r="D6446" s="211"/>
      <c r="E6446" s="211"/>
      <c r="U6446" s="222"/>
    </row>
    <row r="6447" spans="2:21" x14ac:dyDescent="0.2">
      <c r="B6447" s="207"/>
      <c r="C6447" s="210"/>
      <c r="D6447" s="211"/>
      <c r="E6447" s="211"/>
      <c r="U6447" s="222"/>
    </row>
    <row r="6448" spans="2:21" x14ac:dyDescent="0.2">
      <c r="B6448" s="207"/>
      <c r="C6448" s="210"/>
      <c r="D6448" s="211"/>
      <c r="E6448" s="211"/>
      <c r="U6448" s="222"/>
    </row>
    <row r="6449" spans="2:21" x14ac:dyDescent="0.2">
      <c r="B6449" s="207"/>
      <c r="C6449" s="210"/>
      <c r="D6449" s="211"/>
      <c r="E6449" s="211"/>
      <c r="U6449" s="222"/>
    </row>
    <row r="6450" spans="2:21" x14ac:dyDescent="0.2">
      <c r="B6450" s="207"/>
      <c r="C6450" s="210"/>
      <c r="D6450" s="211"/>
      <c r="E6450" s="211"/>
      <c r="U6450" s="222"/>
    </row>
    <row r="6451" spans="2:21" x14ac:dyDescent="0.2">
      <c r="B6451" s="207"/>
      <c r="C6451" s="210"/>
      <c r="D6451" s="211"/>
      <c r="E6451" s="211"/>
      <c r="U6451" s="222"/>
    </row>
    <row r="6452" spans="2:21" x14ac:dyDescent="0.2">
      <c r="B6452" s="207"/>
      <c r="C6452" s="210"/>
      <c r="D6452" s="211"/>
      <c r="E6452" s="211"/>
      <c r="U6452" s="222"/>
    </row>
    <row r="6453" spans="2:21" x14ac:dyDescent="0.2">
      <c r="B6453" s="207"/>
      <c r="C6453" s="210"/>
      <c r="D6453" s="211"/>
      <c r="E6453" s="211"/>
      <c r="U6453" s="222"/>
    </row>
    <row r="6454" spans="2:21" x14ac:dyDescent="0.2">
      <c r="B6454" s="207"/>
      <c r="C6454" s="210"/>
      <c r="D6454" s="211"/>
      <c r="E6454" s="211"/>
      <c r="U6454" s="222"/>
    </row>
    <row r="6455" spans="2:21" x14ac:dyDescent="0.2">
      <c r="B6455" s="207"/>
      <c r="C6455" s="210"/>
      <c r="D6455" s="211"/>
      <c r="E6455" s="211"/>
      <c r="U6455" s="222"/>
    </row>
    <row r="6456" spans="2:21" x14ac:dyDescent="0.2">
      <c r="B6456" s="207"/>
      <c r="C6456" s="210"/>
      <c r="D6456" s="211"/>
      <c r="E6456" s="211"/>
      <c r="U6456" s="222"/>
    </row>
    <row r="6457" spans="2:21" x14ac:dyDescent="0.2">
      <c r="B6457" s="207"/>
      <c r="C6457" s="210"/>
      <c r="D6457" s="211"/>
      <c r="E6457" s="211"/>
      <c r="U6457" s="222"/>
    </row>
    <row r="6458" spans="2:21" x14ac:dyDescent="0.2">
      <c r="B6458" s="207"/>
      <c r="C6458" s="210"/>
      <c r="D6458" s="211"/>
      <c r="E6458" s="211"/>
      <c r="U6458" s="222"/>
    </row>
    <row r="6459" spans="2:21" x14ac:dyDescent="0.2">
      <c r="B6459" s="207"/>
      <c r="C6459" s="210"/>
      <c r="D6459" s="211"/>
      <c r="E6459" s="211"/>
      <c r="U6459" s="222"/>
    </row>
    <row r="6460" spans="2:21" x14ac:dyDescent="0.2">
      <c r="B6460" s="207"/>
      <c r="C6460" s="210"/>
      <c r="D6460" s="211"/>
      <c r="E6460" s="211"/>
      <c r="U6460" s="222"/>
    </row>
    <row r="6461" spans="2:21" x14ac:dyDescent="0.2">
      <c r="B6461" s="207"/>
      <c r="C6461" s="210"/>
      <c r="D6461" s="211"/>
      <c r="E6461" s="211"/>
      <c r="U6461" s="222"/>
    </row>
    <row r="6462" spans="2:21" x14ac:dyDescent="0.2">
      <c r="B6462" s="207"/>
      <c r="C6462" s="210"/>
      <c r="D6462" s="211"/>
      <c r="E6462" s="211"/>
      <c r="U6462" s="222"/>
    </row>
    <row r="6463" spans="2:21" x14ac:dyDescent="0.2">
      <c r="B6463" s="207"/>
      <c r="C6463" s="210"/>
      <c r="D6463" s="211"/>
      <c r="E6463" s="211"/>
      <c r="U6463" s="222"/>
    </row>
    <row r="6464" spans="2:21" x14ac:dyDescent="0.2">
      <c r="B6464" s="207"/>
      <c r="C6464" s="210"/>
      <c r="D6464" s="211"/>
      <c r="E6464" s="211"/>
      <c r="U6464" s="222"/>
    </row>
    <row r="6465" spans="2:21" x14ac:dyDescent="0.2">
      <c r="B6465" s="207"/>
      <c r="C6465" s="210"/>
      <c r="D6465" s="211"/>
      <c r="E6465" s="211"/>
      <c r="U6465" s="222"/>
    </row>
    <row r="6466" spans="2:21" x14ac:dyDescent="0.2">
      <c r="B6466" s="207"/>
      <c r="C6466" s="210"/>
      <c r="D6466" s="211"/>
      <c r="E6466" s="211"/>
      <c r="U6466" s="222"/>
    </row>
    <row r="6467" spans="2:21" x14ac:dyDescent="0.2">
      <c r="B6467" s="207"/>
      <c r="C6467" s="210"/>
      <c r="D6467" s="211"/>
      <c r="E6467" s="211"/>
      <c r="U6467" s="222"/>
    </row>
    <row r="6468" spans="2:21" x14ac:dyDescent="0.2">
      <c r="B6468" s="207"/>
      <c r="C6468" s="210"/>
      <c r="D6468" s="211"/>
      <c r="E6468" s="211"/>
      <c r="U6468" s="222"/>
    </row>
    <row r="6469" spans="2:21" x14ac:dyDescent="0.2">
      <c r="B6469" s="207"/>
      <c r="C6469" s="210"/>
      <c r="D6469" s="211"/>
      <c r="E6469" s="211"/>
      <c r="U6469" s="222"/>
    </row>
    <row r="6470" spans="2:21" x14ac:dyDescent="0.2">
      <c r="B6470" s="207"/>
      <c r="C6470" s="210"/>
      <c r="D6470" s="211"/>
      <c r="E6470" s="211"/>
      <c r="U6470" s="222"/>
    </row>
    <row r="6471" spans="2:21" x14ac:dyDescent="0.2">
      <c r="B6471" s="207"/>
      <c r="C6471" s="210"/>
      <c r="D6471" s="211"/>
      <c r="E6471" s="211"/>
      <c r="U6471" s="222"/>
    </row>
    <row r="6472" spans="2:21" x14ac:dyDescent="0.2">
      <c r="B6472" s="207"/>
      <c r="C6472" s="210"/>
      <c r="D6472" s="211"/>
      <c r="E6472" s="211"/>
      <c r="U6472" s="222"/>
    </row>
    <row r="6473" spans="2:21" x14ac:dyDescent="0.2">
      <c r="B6473" s="207"/>
      <c r="C6473" s="210"/>
      <c r="D6473" s="211"/>
      <c r="E6473" s="211"/>
      <c r="U6473" s="222"/>
    </row>
    <row r="6474" spans="2:21" x14ac:dyDescent="0.2">
      <c r="B6474" s="207"/>
      <c r="C6474" s="210"/>
      <c r="D6474" s="211"/>
      <c r="E6474" s="211"/>
      <c r="U6474" s="222"/>
    </row>
    <row r="6475" spans="2:21" x14ac:dyDescent="0.2">
      <c r="B6475" s="207"/>
      <c r="C6475" s="210"/>
      <c r="D6475" s="211"/>
      <c r="E6475" s="211"/>
      <c r="U6475" s="222"/>
    </row>
    <row r="6476" spans="2:21" x14ac:dyDescent="0.2">
      <c r="B6476" s="207"/>
      <c r="C6476" s="210"/>
      <c r="D6476" s="211"/>
      <c r="E6476" s="211"/>
      <c r="U6476" s="222"/>
    </row>
    <row r="6477" spans="2:21" x14ac:dyDescent="0.2">
      <c r="B6477" s="207"/>
      <c r="C6477" s="210"/>
      <c r="D6477" s="211"/>
      <c r="E6477" s="211"/>
      <c r="U6477" s="222"/>
    </row>
    <row r="6478" spans="2:21" x14ac:dyDescent="0.2">
      <c r="B6478" s="207"/>
      <c r="C6478" s="210"/>
      <c r="D6478" s="211"/>
      <c r="E6478" s="211"/>
      <c r="U6478" s="222"/>
    </row>
    <row r="6479" spans="2:21" x14ac:dyDescent="0.2">
      <c r="B6479" s="207"/>
      <c r="C6479" s="210"/>
      <c r="D6479" s="211"/>
      <c r="E6479" s="211"/>
      <c r="U6479" s="222"/>
    </row>
    <row r="6480" spans="2:21" x14ac:dyDescent="0.2">
      <c r="B6480" s="207"/>
      <c r="C6480" s="210"/>
      <c r="D6480" s="211"/>
      <c r="E6480" s="211"/>
      <c r="U6480" s="222"/>
    </row>
    <row r="6481" spans="2:21" x14ac:dyDescent="0.2">
      <c r="B6481" s="207"/>
      <c r="C6481" s="210"/>
      <c r="D6481" s="211"/>
      <c r="E6481" s="211"/>
      <c r="U6481" s="222"/>
    </row>
    <row r="6482" spans="2:21" x14ac:dyDescent="0.2">
      <c r="B6482" s="207"/>
      <c r="C6482" s="210"/>
      <c r="D6482" s="211"/>
      <c r="E6482" s="211"/>
      <c r="U6482" s="222"/>
    </row>
    <row r="6483" spans="2:21" x14ac:dyDescent="0.2">
      <c r="B6483" s="207"/>
      <c r="C6483" s="210"/>
      <c r="D6483" s="211"/>
      <c r="E6483" s="211"/>
      <c r="U6483" s="222"/>
    </row>
    <row r="6484" spans="2:21" x14ac:dyDescent="0.2">
      <c r="B6484" s="207"/>
      <c r="C6484" s="210"/>
      <c r="D6484" s="211"/>
      <c r="E6484" s="211"/>
      <c r="U6484" s="222"/>
    </row>
    <row r="6485" spans="2:21" x14ac:dyDescent="0.2">
      <c r="B6485" s="207"/>
      <c r="C6485" s="210"/>
      <c r="D6485" s="211"/>
      <c r="E6485" s="211"/>
      <c r="U6485" s="222"/>
    </row>
    <row r="6486" spans="2:21" x14ac:dyDescent="0.2">
      <c r="B6486" s="207"/>
      <c r="C6486" s="210"/>
      <c r="D6486" s="211"/>
      <c r="E6486" s="211"/>
      <c r="U6486" s="222"/>
    </row>
    <row r="6487" spans="2:21" x14ac:dyDescent="0.2">
      <c r="B6487" s="207"/>
      <c r="C6487" s="210"/>
      <c r="D6487" s="211"/>
      <c r="E6487" s="211"/>
      <c r="U6487" s="222"/>
    </row>
    <row r="6488" spans="2:21" x14ac:dyDescent="0.2">
      <c r="B6488" s="207"/>
      <c r="C6488" s="210"/>
      <c r="D6488" s="211"/>
      <c r="E6488" s="211"/>
      <c r="U6488" s="222"/>
    </row>
    <row r="6489" spans="2:21" x14ac:dyDescent="0.2">
      <c r="B6489" s="207"/>
      <c r="C6489" s="210"/>
      <c r="D6489" s="211"/>
      <c r="E6489" s="211"/>
      <c r="U6489" s="222"/>
    </row>
    <row r="6490" spans="2:21" x14ac:dyDescent="0.2">
      <c r="B6490" s="207"/>
      <c r="C6490" s="210"/>
      <c r="D6490" s="211"/>
      <c r="E6490" s="211"/>
      <c r="U6490" s="222"/>
    </row>
    <row r="6491" spans="2:21" x14ac:dyDescent="0.2">
      <c r="B6491" s="207"/>
      <c r="C6491" s="210"/>
      <c r="D6491" s="211"/>
      <c r="E6491" s="211"/>
      <c r="U6491" s="222"/>
    </row>
    <row r="6492" spans="2:21" x14ac:dyDescent="0.2">
      <c r="B6492" s="207"/>
      <c r="C6492" s="210"/>
      <c r="D6492" s="211"/>
      <c r="E6492" s="211"/>
      <c r="U6492" s="222"/>
    </row>
    <row r="6493" spans="2:21" x14ac:dyDescent="0.2">
      <c r="B6493" s="207"/>
      <c r="C6493" s="210"/>
      <c r="D6493" s="211"/>
      <c r="E6493" s="211"/>
      <c r="U6493" s="222"/>
    </row>
    <row r="6494" spans="2:21" x14ac:dyDescent="0.2">
      <c r="B6494" s="207"/>
      <c r="C6494" s="210"/>
      <c r="D6494" s="211"/>
      <c r="E6494" s="211"/>
      <c r="U6494" s="222"/>
    </row>
    <row r="6495" spans="2:21" x14ac:dyDescent="0.2">
      <c r="B6495" s="207"/>
      <c r="C6495" s="210"/>
      <c r="D6495" s="211"/>
      <c r="E6495" s="211"/>
      <c r="U6495" s="222"/>
    </row>
    <row r="6496" spans="2:21" x14ac:dyDescent="0.2">
      <c r="B6496" s="207"/>
      <c r="C6496" s="210"/>
      <c r="D6496" s="211"/>
      <c r="E6496" s="211"/>
      <c r="U6496" s="222"/>
    </row>
    <row r="6497" spans="2:21" x14ac:dyDescent="0.2">
      <c r="B6497" s="207"/>
      <c r="C6497" s="210"/>
      <c r="D6497" s="211"/>
      <c r="E6497" s="211"/>
      <c r="U6497" s="222"/>
    </row>
    <row r="6498" spans="2:21" x14ac:dyDescent="0.2">
      <c r="B6498" s="207"/>
      <c r="C6498" s="210"/>
      <c r="D6498" s="211"/>
      <c r="E6498" s="211"/>
      <c r="U6498" s="222"/>
    </row>
    <row r="6499" spans="2:21" x14ac:dyDescent="0.2">
      <c r="B6499" s="207"/>
      <c r="C6499" s="210"/>
      <c r="D6499" s="211"/>
      <c r="E6499" s="211"/>
      <c r="U6499" s="222"/>
    </row>
    <row r="6500" spans="2:21" x14ac:dyDescent="0.2">
      <c r="B6500" s="207"/>
      <c r="C6500" s="210"/>
      <c r="D6500" s="211"/>
      <c r="E6500" s="211"/>
      <c r="U6500" s="222"/>
    </row>
    <row r="6501" spans="2:21" x14ac:dyDescent="0.2">
      <c r="B6501" s="207"/>
      <c r="C6501" s="210"/>
      <c r="D6501" s="211"/>
      <c r="E6501" s="211"/>
      <c r="U6501" s="222"/>
    </row>
    <row r="6502" spans="2:21" x14ac:dyDescent="0.2">
      <c r="B6502" s="207"/>
      <c r="C6502" s="210"/>
      <c r="D6502" s="211"/>
      <c r="E6502" s="211"/>
      <c r="U6502" s="222"/>
    </row>
    <row r="6503" spans="2:21" x14ac:dyDescent="0.2">
      <c r="B6503" s="207"/>
      <c r="C6503" s="210"/>
      <c r="D6503" s="211"/>
      <c r="E6503" s="211"/>
      <c r="U6503" s="222"/>
    </row>
    <row r="6504" spans="2:21" x14ac:dyDescent="0.2">
      <c r="B6504" s="207"/>
      <c r="C6504" s="210"/>
      <c r="D6504" s="211"/>
      <c r="E6504" s="211"/>
      <c r="U6504" s="222"/>
    </row>
    <row r="6505" spans="2:21" x14ac:dyDescent="0.2">
      <c r="B6505" s="207"/>
      <c r="C6505" s="210"/>
      <c r="D6505" s="211"/>
      <c r="E6505" s="211"/>
      <c r="U6505" s="222"/>
    </row>
    <row r="6506" spans="2:21" x14ac:dyDescent="0.2">
      <c r="B6506" s="207"/>
      <c r="C6506" s="210"/>
      <c r="D6506" s="211"/>
      <c r="E6506" s="211"/>
      <c r="U6506" s="222"/>
    </row>
    <row r="6507" spans="2:21" x14ac:dyDescent="0.2">
      <c r="B6507" s="207"/>
      <c r="C6507" s="210"/>
      <c r="D6507" s="211"/>
      <c r="E6507" s="211"/>
      <c r="U6507" s="222"/>
    </row>
    <row r="6508" spans="2:21" x14ac:dyDescent="0.2">
      <c r="B6508" s="207"/>
      <c r="C6508" s="210"/>
      <c r="D6508" s="211"/>
      <c r="E6508" s="211"/>
      <c r="U6508" s="222"/>
    </row>
    <row r="6509" spans="2:21" x14ac:dyDescent="0.2">
      <c r="B6509" s="207"/>
      <c r="C6509" s="210"/>
      <c r="D6509" s="211"/>
      <c r="E6509" s="211"/>
      <c r="U6509" s="222"/>
    </row>
    <row r="6510" spans="2:21" x14ac:dyDescent="0.2">
      <c r="B6510" s="207"/>
      <c r="C6510" s="210"/>
      <c r="D6510" s="211"/>
      <c r="E6510" s="211"/>
      <c r="U6510" s="222"/>
    </row>
    <row r="6511" spans="2:21" x14ac:dyDescent="0.2">
      <c r="B6511" s="207"/>
      <c r="C6511" s="210"/>
      <c r="D6511" s="211"/>
      <c r="E6511" s="211"/>
      <c r="U6511" s="222"/>
    </row>
    <row r="6512" spans="2:21" x14ac:dyDescent="0.2">
      <c r="B6512" s="207"/>
      <c r="C6512" s="210"/>
      <c r="D6512" s="211"/>
      <c r="E6512" s="211"/>
      <c r="U6512" s="222"/>
    </row>
    <row r="6513" spans="2:21" x14ac:dyDescent="0.2">
      <c r="B6513" s="207"/>
      <c r="C6513" s="210"/>
      <c r="D6513" s="211"/>
      <c r="E6513" s="211"/>
      <c r="U6513" s="222"/>
    </row>
    <row r="6514" spans="2:21" x14ac:dyDescent="0.2">
      <c r="B6514" s="207"/>
      <c r="C6514" s="210"/>
      <c r="D6514" s="211"/>
      <c r="E6514" s="211"/>
      <c r="U6514" s="222"/>
    </row>
    <row r="6515" spans="2:21" x14ac:dyDescent="0.2">
      <c r="B6515" s="207"/>
      <c r="C6515" s="210"/>
      <c r="D6515" s="211"/>
      <c r="E6515" s="211"/>
      <c r="U6515" s="222"/>
    </row>
    <row r="6516" spans="2:21" x14ac:dyDescent="0.2">
      <c r="B6516" s="207"/>
      <c r="C6516" s="210"/>
      <c r="D6516" s="211"/>
      <c r="E6516" s="211"/>
      <c r="U6516" s="222"/>
    </row>
    <row r="6517" spans="2:21" x14ac:dyDescent="0.2">
      <c r="B6517" s="207"/>
      <c r="C6517" s="210"/>
      <c r="D6517" s="211"/>
      <c r="E6517" s="211"/>
      <c r="U6517" s="222"/>
    </row>
    <row r="6518" spans="2:21" x14ac:dyDescent="0.2">
      <c r="B6518" s="207"/>
      <c r="C6518" s="210"/>
      <c r="D6518" s="211"/>
      <c r="E6518" s="211"/>
      <c r="U6518" s="222"/>
    </row>
    <row r="6519" spans="2:21" x14ac:dyDescent="0.2">
      <c r="B6519" s="207"/>
      <c r="C6519" s="210"/>
      <c r="D6519" s="211"/>
      <c r="E6519" s="211"/>
      <c r="U6519" s="222"/>
    </row>
    <row r="6520" spans="2:21" x14ac:dyDescent="0.2">
      <c r="B6520" s="207"/>
      <c r="C6520" s="210"/>
      <c r="D6520" s="211"/>
      <c r="E6520" s="211"/>
      <c r="U6520" s="222"/>
    </row>
    <row r="6521" spans="2:21" x14ac:dyDescent="0.2">
      <c r="B6521" s="207"/>
      <c r="C6521" s="210"/>
      <c r="D6521" s="211"/>
      <c r="E6521" s="211"/>
      <c r="U6521" s="222"/>
    </row>
    <row r="6522" spans="2:21" x14ac:dyDescent="0.2">
      <c r="B6522" s="207"/>
      <c r="C6522" s="210"/>
      <c r="D6522" s="211"/>
      <c r="E6522" s="211"/>
      <c r="U6522" s="222"/>
    </row>
    <row r="6523" spans="2:21" x14ac:dyDescent="0.2">
      <c r="B6523" s="207"/>
      <c r="C6523" s="210"/>
      <c r="D6523" s="211"/>
      <c r="E6523" s="211"/>
      <c r="U6523" s="222"/>
    </row>
    <row r="6524" spans="2:21" x14ac:dyDescent="0.2">
      <c r="B6524" s="207"/>
      <c r="C6524" s="210"/>
      <c r="D6524" s="211"/>
      <c r="E6524" s="211"/>
      <c r="U6524" s="222"/>
    </row>
    <row r="6525" spans="2:21" x14ac:dyDescent="0.2">
      <c r="B6525" s="207"/>
      <c r="C6525" s="210"/>
      <c r="D6525" s="211"/>
      <c r="E6525" s="211"/>
      <c r="U6525" s="222"/>
    </row>
    <row r="6526" spans="2:21" x14ac:dyDescent="0.2">
      <c r="B6526" s="207"/>
      <c r="C6526" s="210"/>
      <c r="D6526" s="211"/>
      <c r="E6526" s="211"/>
      <c r="U6526" s="222"/>
    </row>
    <row r="6527" spans="2:21" x14ac:dyDescent="0.2">
      <c r="B6527" s="207"/>
      <c r="C6527" s="210"/>
      <c r="D6527" s="211"/>
      <c r="E6527" s="211"/>
      <c r="U6527" s="222"/>
    </row>
    <row r="6528" spans="2:21" x14ac:dyDescent="0.2">
      <c r="B6528" s="207"/>
      <c r="C6528" s="210"/>
      <c r="D6528" s="211"/>
      <c r="E6528" s="211"/>
      <c r="U6528" s="222"/>
    </row>
    <row r="6529" spans="2:21" x14ac:dyDescent="0.2">
      <c r="B6529" s="207"/>
      <c r="C6529" s="210"/>
      <c r="D6529" s="211"/>
      <c r="E6529" s="211"/>
      <c r="U6529" s="222"/>
    </row>
    <row r="6530" spans="2:21" x14ac:dyDescent="0.2">
      <c r="B6530" s="207"/>
      <c r="C6530" s="210"/>
      <c r="D6530" s="211"/>
      <c r="E6530" s="211"/>
      <c r="U6530" s="222"/>
    </row>
    <row r="6531" spans="2:21" x14ac:dyDescent="0.2">
      <c r="B6531" s="207"/>
      <c r="C6531" s="210"/>
      <c r="D6531" s="211"/>
      <c r="E6531" s="211"/>
      <c r="U6531" s="222"/>
    </row>
    <row r="6532" spans="2:21" x14ac:dyDescent="0.2">
      <c r="B6532" s="207"/>
      <c r="C6532" s="210"/>
      <c r="D6532" s="211"/>
      <c r="E6532" s="211"/>
      <c r="U6532" s="222"/>
    </row>
    <row r="6533" spans="2:21" x14ac:dyDescent="0.2">
      <c r="B6533" s="207"/>
      <c r="C6533" s="210"/>
      <c r="D6533" s="211"/>
      <c r="E6533" s="211"/>
      <c r="U6533" s="222"/>
    </row>
    <row r="6534" spans="2:21" x14ac:dyDescent="0.2">
      <c r="B6534" s="207"/>
      <c r="C6534" s="210"/>
      <c r="D6534" s="211"/>
      <c r="E6534" s="211"/>
      <c r="U6534" s="222"/>
    </row>
    <row r="6535" spans="2:21" x14ac:dyDescent="0.2">
      <c r="B6535" s="207"/>
      <c r="C6535" s="210"/>
      <c r="D6535" s="211"/>
      <c r="E6535" s="211"/>
      <c r="U6535" s="222"/>
    </row>
    <row r="6536" spans="2:21" x14ac:dyDescent="0.2">
      <c r="B6536" s="207"/>
      <c r="C6536" s="210"/>
      <c r="D6536" s="211"/>
      <c r="E6536" s="211"/>
      <c r="U6536" s="222"/>
    </row>
    <row r="6537" spans="2:21" x14ac:dyDescent="0.2">
      <c r="B6537" s="207"/>
      <c r="C6537" s="210"/>
      <c r="D6537" s="211"/>
      <c r="E6537" s="211"/>
      <c r="U6537" s="222"/>
    </row>
    <row r="6538" spans="2:21" x14ac:dyDescent="0.2">
      <c r="B6538" s="207"/>
      <c r="C6538" s="210"/>
      <c r="D6538" s="211"/>
      <c r="E6538" s="211"/>
      <c r="U6538" s="222"/>
    </row>
    <row r="6539" spans="2:21" x14ac:dyDescent="0.2">
      <c r="B6539" s="207"/>
      <c r="C6539" s="210"/>
      <c r="D6539" s="211"/>
      <c r="E6539" s="211"/>
      <c r="U6539" s="222"/>
    </row>
    <row r="6540" spans="2:21" x14ac:dyDescent="0.2">
      <c r="B6540" s="207"/>
      <c r="C6540" s="210"/>
      <c r="D6540" s="211"/>
      <c r="E6540" s="211"/>
      <c r="U6540" s="222"/>
    </row>
    <row r="6541" spans="2:21" x14ac:dyDescent="0.2">
      <c r="B6541" s="207"/>
      <c r="C6541" s="210"/>
      <c r="D6541" s="211"/>
      <c r="E6541" s="211"/>
      <c r="U6541" s="222"/>
    </row>
    <row r="6542" spans="2:21" x14ac:dyDescent="0.2">
      <c r="B6542" s="207"/>
      <c r="C6542" s="210"/>
      <c r="D6542" s="211"/>
      <c r="E6542" s="211"/>
      <c r="U6542" s="222"/>
    </row>
    <row r="6543" spans="2:21" x14ac:dyDescent="0.2">
      <c r="B6543" s="207"/>
      <c r="C6543" s="210"/>
      <c r="D6543" s="211"/>
      <c r="E6543" s="211"/>
      <c r="U6543" s="222"/>
    </row>
    <row r="6544" spans="2:21" x14ac:dyDescent="0.2">
      <c r="B6544" s="207"/>
      <c r="C6544" s="210"/>
      <c r="D6544" s="211"/>
      <c r="E6544" s="211"/>
      <c r="U6544" s="222"/>
    </row>
    <row r="6545" spans="2:21" x14ac:dyDescent="0.2">
      <c r="B6545" s="207"/>
      <c r="C6545" s="210"/>
      <c r="D6545" s="211"/>
      <c r="E6545" s="211"/>
      <c r="U6545" s="222"/>
    </row>
    <row r="6546" spans="2:21" x14ac:dyDescent="0.2">
      <c r="B6546" s="207"/>
      <c r="C6546" s="210"/>
      <c r="D6546" s="211"/>
      <c r="E6546" s="211"/>
      <c r="U6546" s="222"/>
    </row>
    <row r="6547" spans="2:21" x14ac:dyDescent="0.2">
      <c r="B6547" s="207"/>
      <c r="C6547" s="210"/>
      <c r="D6547" s="211"/>
      <c r="E6547" s="211"/>
      <c r="U6547" s="222"/>
    </row>
    <row r="6548" spans="2:21" x14ac:dyDescent="0.2">
      <c r="B6548" s="207"/>
      <c r="C6548" s="210"/>
      <c r="D6548" s="211"/>
      <c r="E6548" s="211"/>
      <c r="U6548" s="222"/>
    </row>
    <row r="6549" spans="2:21" x14ac:dyDescent="0.2">
      <c r="B6549" s="207"/>
      <c r="C6549" s="210"/>
      <c r="D6549" s="211"/>
      <c r="E6549" s="211"/>
      <c r="U6549" s="222"/>
    </row>
    <row r="6550" spans="2:21" x14ac:dyDescent="0.2">
      <c r="B6550" s="207"/>
      <c r="C6550" s="210"/>
      <c r="D6550" s="211"/>
      <c r="E6550" s="211"/>
      <c r="U6550" s="222"/>
    </row>
    <row r="6551" spans="2:21" x14ac:dyDescent="0.2">
      <c r="B6551" s="207"/>
      <c r="C6551" s="210"/>
      <c r="D6551" s="211"/>
      <c r="E6551" s="211"/>
      <c r="U6551" s="222"/>
    </row>
    <row r="6552" spans="2:21" x14ac:dyDescent="0.2">
      <c r="B6552" s="207"/>
      <c r="C6552" s="210"/>
      <c r="D6552" s="211"/>
      <c r="E6552" s="211"/>
      <c r="U6552" s="222"/>
    </row>
    <row r="6553" spans="2:21" x14ac:dyDescent="0.2">
      <c r="B6553" s="207"/>
      <c r="C6553" s="210"/>
      <c r="D6553" s="211"/>
      <c r="E6553" s="211"/>
      <c r="U6553" s="222"/>
    </row>
    <row r="6554" spans="2:21" x14ac:dyDescent="0.2">
      <c r="B6554" s="207"/>
      <c r="C6554" s="210"/>
      <c r="D6554" s="211"/>
      <c r="E6554" s="211"/>
      <c r="U6554" s="222"/>
    </row>
    <row r="6555" spans="2:21" x14ac:dyDescent="0.2">
      <c r="B6555" s="207"/>
      <c r="C6555" s="210"/>
      <c r="D6555" s="211"/>
      <c r="E6555" s="211"/>
      <c r="U6555" s="222"/>
    </row>
    <row r="6556" spans="2:21" x14ac:dyDescent="0.2">
      <c r="B6556" s="207"/>
      <c r="C6556" s="210"/>
      <c r="D6556" s="211"/>
      <c r="E6556" s="211"/>
      <c r="U6556" s="222"/>
    </row>
    <row r="6557" spans="2:21" x14ac:dyDescent="0.2">
      <c r="B6557" s="207"/>
      <c r="C6557" s="210"/>
      <c r="D6557" s="211"/>
      <c r="E6557" s="211"/>
      <c r="U6557" s="222"/>
    </row>
    <row r="6558" spans="2:21" x14ac:dyDescent="0.2">
      <c r="B6558" s="207"/>
      <c r="C6558" s="210"/>
      <c r="D6558" s="211"/>
      <c r="E6558" s="211"/>
      <c r="U6558" s="222"/>
    </row>
    <row r="6559" spans="2:21" x14ac:dyDescent="0.2">
      <c r="B6559" s="207"/>
      <c r="C6559" s="210"/>
      <c r="D6559" s="211"/>
      <c r="E6559" s="211"/>
      <c r="U6559" s="222"/>
    </row>
    <row r="6560" spans="2:21" x14ac:dyDescent="0.2">
      <c r="B6560" s="207"/>
      <c r="C6560" s="210"/>
      <c r="D6560" s="211"/>
      <c r="E6560" s="211"/>
      <c r="U6560" s="222"/>
    </row>
    <row r="6561" spans="2:21" x14ac:dyDescent="0.2">
      <c r="B6561" s="207"/>
      <c r="C6561" s="210"/>
      <c r="D6561" s="211"/>
      <c r="E6561" s="211"/>
      <c r="U6561" s="222"/>
    </row>
    <row r="6562" spans="2:21" x14ac:dyDescent="0.2">
      <c r="B6562" s="207"/>
      <c r="C6562" s="210"/>
      <c r="D6562" s="211"/>
      <c r="E6562" s="211"/>
      <c r="U6562" s="222"/>
    </row>
    <row r="6563" spans="2:21" x14ac:dyDescent="0.2">
      <c r="B6563" s="207"/>
      <c r="C6563" s="210"/>
      <c r="D6563" s="211"/>
      <c r="E6563" s="211"/>
      <c r="U6563" s="222"/>
    </row>
    <row r="6564" spans="2:21" x14ac:dyDescent="0.2">
      <c r="B6564" s="207"/>
      <c r="C6564" s="210"/>
      <c r="D6564" s="211"/>
      <c r="E6564" s="211"/>
      <c r="U6564" s="222"/>
    </row>
    <row r="6565" spans="2:21" x14ac:dyDescent="0.2">
      <c r="B6565" s="207"/>
      <c r="C6565" s="210"/>
      <c r="D6565" s="211"/>
      <c r="E6565" s="211"/>
      <c r="U6565" s="222"/>
    </row>
    <row r="6566" spans="2:21" x14ac:dyDescent="0.2">
      <c r="B6566" s="207"/>
      <c r="C6566" s="210"/>
      <c r="D6566" s="211"/>
      <c r="E6566" s="211"/>
      <c r="U6566" s="222"/>
    </row>
    <row r="6567" spans="2:21" x14ac:dyDescent="0.2">
      <c r="B6567" s="207"/>
      <c r="C6567" s="210"/>
      <c r="D6567" s="211"/>
      <c r="E6567" s="211"/>
      <c r="U6567" s="222"/>
    </row>
    <row r="6568" spans="2:21" x14ac:dyDescent="0.2">
      <c r="B6568" s="207"/>
      <c r="C6568" s="210"/>
      <c r="D6568" s="211"/>
      <c r="E6568" s="211"/>
      <c r="U6568" s="222"/>
    </row>
    <row r="6569" spans="2:21" x14ac:dyDescent="0.2">
      <c r="B6569" s="207"/>
      <c r="C6569" s="210"/>
      <c r="D6569" s="211"/>
      <c r="E6569" s="211"/>
      <c r="U6569" s="222"/>
    </row>
    <row r="6570" spans="2:21" x14ac:dyDescent="0.2">
      <c r="B6570" s="207"/>
      <c r="C6570" s="210"/>
      <c r="D6570" s="211"/>
      <c r="E6570" s="211"/>
      <c r="U6570" s="222"/>
    </row>
    <row r="6571" spans="2:21" x14ac:dyDescent="0.2">
      <c r="B6571" s="207"/>
      <c r="C6571" s="210"/>
      <c r="D6571" s="211"/>
      <c r="E6571" s="211"/>
      <c r="U6571" s="222"/>
    </row>
    <row r="6572" spans="2:21" x14ac:dyDescent="0.2">
      <c r="B6572" s="207"/>
      <c r="C6572" s="210"/>
      <c r="D6572" s="211"/>
      <c r="E6572" s="211"/>
      <c r="U6572" s="222"/>
    </row>
    <row r="6573" spans="2:21" x14ac:dyDescent="0.2">
      <c r="B6573" s="207"/>
      <c r="C6573" s="210"/>
      <c r="D6573" s="211"/>
      <c r="E6573" s="211"/>
      <c r="U6573" s="222"/>
    </row>
    <row r="6574" spans="2:21" x14ac:dyDescent="0.2">
      <c r="B6574" s="207"/>
      <c r="C6574" s="210"/>
      <c r="D6574" s="211"/>
      <c r="E6574" s="211"/>
      <c r="U6574" s="222"/>
    </row>
    <row r="6575" spans="2:21" x14ac:dyDescent="0.2">
      <c r="B6575" s="207"/>
      <c r="C6575" s="210"/>
      <c r="D6575" s="211"/>
      <c r="E6575" s="211"/>
      <c r="U6575" s="222"/>
    </row>
    <row r="6576" spans="2:21" x14ac:dyDescent="0.2">
      <c r="B6576" s="207"/>
      <c r="C6576" s="210"/>
      <c r="D6576" s="211"/>
      <c r="E6576" s="211"/>
      <c r="U6576" s="222"/>
    </row>
    <row r="6577" spans="2:21" x14ac:dyDescent="0.2">
      <c r="B6577" s="207"/>
      <c r="C6577" s="210"/>
      <c r="D6577" s="211"/>
      <c r="E6577" s="211"/>
      <c r="U6577" s="222"/>
    </row>
    <row r="6578" spans="2:21" x14ac:dyDescent="0.2">
      <c r="B6578" s="207"/>
      <c r="C6578" s="210"/>
      <c r="D6578" s="211"/>
      <c r="E6578" s="211"/>
      <c r="U6578" s="222"/>
    </row>
    <row r="6579" spans="2:21" x14ac:dyDescent="0.2">
      <c r="B6579" s="207"/>
      <c r="C6579" s="210"/>
      <c r="D6579" s="211"/>
      <c r="E6579" s="211"/>
      <c r="U6579" s="222"/>
    </row>
    <row r="6580" spans="2:21" x14ac:dyDescent="0.2">
      <c r="B6580" s="207"/>
      <c r="C6580" s="210"/>
      <c r="D6580" s="211"/>
      <c r="E6580" s="211"/>
      <c r="U6580" s="222"/>
    </row>
    <row r="6581" spans="2:21" x14ac:dyDescent="0.2">
      <c r="B6581" s="207"/>
      <c r="C6581" s="210"/>
      <c r="D6581" s="211"/>
      <c r="E6581" s="211"/>
      <c r="U6581" s="222"/>
    </row>
    <row r="6582" spans="2:21" x14ac:dyDescent="0.2">
      <c r="B6582" s="207"/>
      <c r="C6582" s="210"/>
      <c r="D6582" s="211"/>
      <c r="E6582" s="211"/>
      <c r="U6582" s="222"/>
    </row>
    <row r="6583" spans="2:21" x14ac:dyDescent="0.2">
      <c r="B6583" s="207"/>
      <c r="C6583" s="210"/>
      <c r="D6583" s="211"/>
      <c r="E6583" s="211"/>
      <c r="U6583" s="222"/>
    </row>
    <row r="6584" spans="2:21" x14ac:dyDescent="0.2">
      <c r="B6584" s="207"/>
      <c r="C6584" s="210"/>
      <c r="D6584" s="211"/>
      <c r="E6584" s="211"/>
      <c r="U6584" s="222"/>
    </row>
    <row r="6585" spans="2:21" x14ac:dyDescent="0.2">
      <c r="B6585" s="207"/>
      <c r="C6585" s="210"/>
      <c r="D6585" s="211"/>
      <c r="E6585" s="211"/>
      <c r="U6585" s="222"/>
    </row>
    <row r="6586" spans="2:21" x14ac:dyDescent="0.2">
      <c r="B6586" s="207"/>
      <c r="C6586" s="210"/>
      <c r="D6586" s="211"/>
      <c r="E6586" s="211"/>
      <c r="U6586" s="222"/>
    </row>
    <row r="6587" spans="2:21" x14ac:dyDescent="0.2">
      <c r="B6587" s="207"/>
      <c r="C6587" s="210"/>
      <c r="D6587" s="211"/>
      <c r="E6587" s="211"/>
      <c r="U6587" s="222"/>
    </row>
    <row r="6588" spans="2:21" x14ac:dyDescent="0.2">
      <c r="B6588" s="207"/>
      <c r="C6588" s="210"/>
      <c r="D6588" s="211"/>
      <c r="E6588" s="211"/>
      <c r="U6588" s="222"/>
    </row>
    <row r="6589" spans="2:21" x14ac:dyDescent="0.2">
      <c r="B6589" s="207"/>
      <c r="C6589" s="210"/>
      <c r="D6589" s="211"/>
      <c r="E6589" s="211"/>
      <c r="U6589" s="222"/>
    </row>
    <row r="6590" spans="2:21" x14ac:dyDescent="0.2">
      <c r="B6590" s="207"/>
      <c r="C6590" s="210"/>
      <c r="D6590" s="211"/>
      <c r="E6590" s="211"/>
      <c r="U6590" s="222"/>
    </row>
    <row r="6591" spans="2:21" x14ac:dyDescent="0.2">
      <c r="B6591" s="207"/>
      <c r="C6591" s="210"/>
      <c r="D6591" s="211"/>
      <c r="E6591" s="211"/>
      <c r="U6591" s="222"/>
    </row>
    <row r="6592" spans="2:21" x14ac:dyDescent="0.2">
      <c r="B6592" s="207"/>
      <c r="C6592" s="210"/>
      <c r="D6592" s="211"/>
      <c r="E6592" s="211"/>
      <c r="U6592" s="222"/>
    </row>
    <row r="6593" spans="2:21" x14ac:dyDescent="0.2">
      <c r="B6593" s="207"/>
      <c r="C6593" s="210"/>
      <c r="D6593" s="211"/>
      <c r="E6593" s="211"/>
      <c r="U6593" s="222"/>
    </row>
    <row r="6594" spans="2:21" x14ac:dyDescent="0.2">
      <c r="B6594" s="207"/>
      <c r="C6594" s="210"/>
      <c r="D6594" s="211"/>
      <c r="E6594" s="211"/>
      <c r="U6594" s="222"/>
    </row>
    <row r="6595" spans="2:21" x14ac:dyDescent="0.2">
      <c r="B6595" s="207"/>
      <c r="C6595" s="210"/>
      <c r="D6595" s="211"/>
      <c r="E6595" s="211"/>
      <c r="U6595" s="222"/>
    </row>
    <row r="6596" spans="2:21" x14ac:dyDescent="0.2">
      <c r="B6596" s="207"/>
      <c r="C6596" s="210"/>
      <c r="D6596" s="211"/>
      <c r="E6596" s="211"/>
      <c r="U6596" s="222"/>
    </row>
    <row r="6597" spans="2:21" x14ac:dyDescent="0.2">
      <c r="B6597" s="207"/>
      <c r="C6597" s="210"/>
      <c r="D6597" s="211"/>
      <c r="E6597" s="211"/>
      <c r="U6597" s="222"/>
    </row>
    <row r="6598" spans="2:21" x14ac:dyDescent="0.2">
      <c r="B6598" s="207"/>
      <c r="C6598" s="210"/>
      <c r="D6598" s="211"/>
      <c r="E6598" s="211"/>
      <c r="U6598" s="222"/>
    </row>
    <row r="6599" spans="2:21" x14ac:dyDescent="0.2">
      <c r="B6599" s="207"/>
      <c r="C6599" s="210"/>
      <c r="D6599" s="211"/>
      <c r="E6599" s="211"/>
      <c r="U6599" s="222"/>
    </row>
    <row r="6600" spans="2:21" x14ac:dyDescent="0.2">
      <c r="B6600" s="207"/>
      <c r="C6600" s="210"/>
      <c r="D6600" s="211"/>
      <c r="E6600" s="211"/>
      <c r="U6600" s="222"/>
    </row>
    <row r="6601" spans="2:21" x14ac:dyDescent="0.2">
      <c r="B6601" s="207"/>
      <c r="C6601" s="210"/>
      <c r="D6601" s="211"/>
      <c r="E6601" s="211"/>
      <c r="U6601" s="222"/>
    </row>
    <row r="6602" spans="2:21" x14ac:dyDescent="0.2">
      <c r="B6602" s="207"/>
      <c r="C6602" s="210"/>
      <c r="D6602" s="211"/>
      <c r="E6602" s="211"/>
      <c r="U6602" s="222"/>
    </row>
    <row r="6603" spans="2:21" x14ac:dyDescent="0.2">
      <c r="B6603" s="207"/>
      <c r="C6603" s="210"/>
      <c r="D6603" s="211"/>
      <c r="E6603" s="211"/>
      <c r="U6603" s="222"/>
    </row>
    <row r="6604" spans="2:21" x14ac:dyDescent="0.2">
      <c r="B6604" s="207"/>
      <c r="C6604" s="210"/>
      <c r="D6604" s="211"/>
      <c r="E6604" s="211"/>
      <c r="U6604" s="222"/>
    </row>
    <row r="6605" spans="2:21" x14ac:dyDescent="0.2">
      <c r="B6605" s="207"/>
      <c r="C6605" s="210"/>
      <c r="D6605" s="211"/>
      <c r="E6605" s="211"/>
      <c r="U6605" s="222"/>
    </row>
    <row r="6606" spans="2:21" x14ac:dyDescent="0.2">
      <c r="B6606" s="207"/>
      <c r="C6606" s="210"/>
      <c r="D6606" s="211"/>
      <c r="E6606" s="211"/>
      <c r="U6606" s="222"/>
    </row>
    <row r="6607" spans="2:21" x14ac:dyDescent="0.2">
      <c r="B6607" s="207"/>
      <c r="C6607" s="210"/>
      <c r="D6607" s="211"/>
      <c r="E6607" s="211"/>
      <c r="U6607" s="222"/>
    </row>
    <row r="6608" spans="2:21" x14ac:dyDescent="0.2">
      <c r="B6608" s="207"/>
      <c r="C6608" s="210"/>
      <c r="D6608" s="211"/>
      <c r="E6608" s="211"/>
      <c r="U6608" s="222"/>
    </row>
    <row r="6609" spans="2:21" x14ac:dyDescent="0.2">
      <c r="B6609" s="207"/>
      <c r="C6609" s="210"/>
      <c r="D6609" s="211"/>
      <c r="E6609" s="211"/>
      <c r="U6609" s="222"/>
    </row>
    <row r="6610" spans="2:21" x14ac:dyDescent="0.2">
      <c r="B6610" s="207"/>
      <c r="C6610" s="210"/>
      <c r="D6610" s="211"/>
      <c r="E6610" s="211"/>
      <c r="U6610" s="222"/>
    </row>
    <row r="6611" spans="2:21" x14ac:dyDescent="0.2">
      <c r="B6611" s="207"/>
      <c r="C6611" s="210"/>
      <c r="D6611" s="211"/>
      <c r="E6611" s="211"/>
      <c r="U6611" s="222"/>
    </row>
    <row r="6612" spans="2:21" x14ac:dyDescent="0.2">
      <c r="B6612" s="207"/>
      <c r="C6612" s="210"/>
      <c r="D6612" s="211"/>
      <c r="E6612" s="211"/>
      <c r="U6612" s="222"/>
    </row>
    <row r="6613" spans="2:21" x14ac:dyDescent="0.2">
      <c r="B6613" s="207"/>
      <c r="C6613" s="210"/>
      <c r="D6613" s="211"/>
      <c r="E6613" s="211"/>
      <c r="U6613" s="222"/>
    </row>
    <row r="6614" spans="2:21" x14ac:dyDescent="0.2">
      <c r="B6614" s="207"/>
      <c r="C6614" s="210"/>
      <c r="D6614" s="211"/>
      <c r="E6614" s="211"/>
      <c r="U6614" s="222"/>
    </row>
    <row r="6615" spans="2:21" x14ac:dyDescent="0.2">
      <c r="B6615" s="207"/>
      <c r="C6615" s="210"/>
      <c r="D6615" s="211"/>
      <c r="E6615" s="211"/>
      <c r="U6615" s="222"/>
    </row>
    <row r="6616" spans="2:21" x14ac:dyDescent="0.2">
      <c r="B6616" s="207"/>
      <c r="C6616" s="210"/>
      <c r="D6616" s="211"/>
      <c r="E6616" s="211"/>
      <c r="U6616" s="222"/>
    </row>
    <row r="6617" spans="2:21" x14ac:dyDescent="0.2">
      <c r="B6617" s="207"/>
      <c r="C6617" s="210"/>
      <c r="D6617" s="211"/>
      <c r="E6617" s="211"/>
      <c r="U6617" s="222"/>
    </row>
    <row r="6618" spans="2:21" x14ac:dyDescent="0.2">
      <c r="B6618" s="207"/>
      <c r="C6618" s="210"/>
      <c r="D6618" s="211"/>
      <c r="E6618" s="211"/>
      <c r="U6618" s="222"/>
    </row>
    <row r="6619" spans="2:21" x14ac:dyDescent="0.2">
      <c r="B6619" s="207"/>
      <c r="C6619" s="210"/>
      <c r="D6619" s="211"/>
      <c r="E6619" s="211"/>
      <c r="U6619" s="222"/>
    </row>
    <row r="6620" spans="2:21" x14ac:dyDescent="0.2">
      <c r="B6620" s="207"/>
      <c r="C6620" s="210"/>
      <c r="D6620" s="211"/>
      <c r="E6620" s="211"/>
      <c r="U6620" s="222"/>
    </row>
    <row r="6621" spans="2:21" x14ac:dyDescent="0.2">
      <c r="B6621" s="207"/>
      <c r="C6621" s="210"/>
      <c r="D6621" s="211"/>
      <c r="E6621" s="211"/>
      <c r="U6621" s="222"/>
    </row>
    <row r="6622" spans="2:21" x14ac:dyDescent="0.2">
      <c r="B6622" s="207"/>
      <c r="C6622" s="210"/>
      <c r="D6622" s="211"/>
      <c r="E6622" s="211"/>
      <c r="U6622" s="222"/>
    </row>
    <row r="6623" spans="2:21" x14ac:dyDescent="0.2">
      <c r="B6623" s="207"/>
      <c r="C6623" s="210"/>
      <c r="D6623" s="211"/>
      <c r="E6623" s="211"/>
      <c r="U6623" s="222"/>
    </row>
    <row r="6624" spans="2:21" x14ac:dyDescent="0.2">
      <c r="B6624" s="207"/>
      <c r="C6624" s="210"/>
      <c r="D6624" s="211"/>
      <c r="E6624" s="211"/>
      <c r="U6624" s="222"/>
    </row>
    <row r="6625" spans="2:21" x14ac:dyDescent="0.2">
      <c r="B6625" s="207"/>
      <c r="C6625" s="210"/>
      <c r="D6625" s="211"/>
      <c r="E6625" s="211"/>
      <c r="U6625" s="222"/>
    </row>
    <row r="6626" spans="2:21" x14ac:dyDescent="0.2">
      <c r="B6626" s="207"/>
      <c r="C6626" s="210"/>
      <c r="D6626" s="211"/>
      <c r="E6626" s="211"/>
      <c r="U6626" s="222"/>
    </row>
    <row r="6627" spans="2:21" x14ac:dyDescent="0.2">
      <c r="B6627" s="207"/>
      <c r="C6627" s="210"/>
      <c r="D6627" s="211"/>
      <c r="E6627" s="211"/>
      <c r="U6627" s="222"/>
    </row>
    <row r="6628" spans="2:21" x14ac:dyDescent="0.2">
      <c r="B6628" s="207"/>
      <c r="C6628" s="210"/>
      <c r="D6628" s="211"/>
      <c r="E6628" s="211"/>
      <c r="U6628" s="222"/>
    </row>
    <row r="6629" spans="2:21" x14ac:dyDescent="0.2">
      <c r="B6629" s="207"/>
      <c r="C6629" s="210"/>
      <c r="D6629" s="211"/>
      <c r="E6629" s="211"/>
      <c r="U6629" s="222"/>
    </row>
    <row r="6630" spans="2:21" x14ac:dyDescent="0.2">
      <c r="B6630" s="207"/>
      <c r="C6630" s="210"/>
      <c r="D6630" s="211"/>
      <c r="E6630" s="211"/>
      <c r="U6630" s="222"/>
    </row>
    <row r="6631" spans="2:21" x14ac:dyDescent="0.2">
      <c r="B6631" s="207"/>
      <c r="C6631" s="210"/>
      <c r="D6631" s="211"/>
      <c r="E6631" s="211"/>
      <c r="U6631" s="222"/>
    </row>
    <row r="6632" spans="2:21" x14ac:dyDescent="0.2">
      <c r="B6632" s="207"/>
      <c r="C6632" s="210"/>
      <c r="D6632" s="211"/>
      <c r="E6632" s="211"/>
      <c r="U6632" s="222"/>
    </row>
    <row r="6633" spans="2:21" x14ac:dyDescent="0.2">
      <c r="B6633" s="207"/>
      <c r="C6633" s="210"/>
      <c r="D6633" s="211"/>
      <c r="E6633" s="211"/>
      <c r="U6633" s="222"/>
    </row>
    <row r="6634" spans="2:21" x14ac:dyDescent="0.2">
      <c r="B6634" s="207"/>
      <c r="C6634" s="210"/>
      <c r="D6634" s="211"/>
      <c r="E6634" s="211"/>
      <c r="U6634" s="222"/>
    </row>
    <row r="6635" spans="2:21" x14ac:dyDescent="0.2">
      <c r="B6635" s="207"/>
      <c r="C6635" s="210"/>
      <c r="D6635" s="211"/>
      <c r="E6635" s="211"/>
      <c r="U6635" s="222"/>
    </row>
    <row r="6636" spans="2:21" x14ac:dyDescent="0.2">
      <c r="B6636" s="207"/>
      <c r="C6636" s="210"/>
      <c r="D6636" s="211"/>
      <c r="E6636" s="211"/>
      <c r="U6636" s="222"/>
    </row>
    <row r="6637" spans="2:21" x14ac:dyDescent="0.2">
      <c r="B6637" s="207"/>
      <c r="C6637" s="210"/>
      <c r="D6637" s="211"/>
      <c r="E6637" s="211"/>
      <c r="U6637" s="222"/>
    </row>
    <row r="6638" spans="2:21" x14ac:dyDescent="0.2">
      <c r="B6638" s="207"/>
      <c r="C6638" s="210"/>
      <c r="D6638" s="211"/>
      <c r="E6638" s="211"/>
      <c r="U6638" s="222"/>
    </row>
    <row r="6639" spans="2:21" x14ac:dyDescent="0.2">
      <c r="B6639" s="207"/>
      <c r="C6639" s="210"/>
      <c r="D6639" s="211"/>
      <c r="E6639" s="211"/>
      <c r="U6639" s="222"/>
    </row>
    <row r="6640" spans="2:21" x14ac:dyDescent="0.2">
      <c r="B6640" s="207"/>
      <c r="C6640" s="210"/>
      <c r="D6640" s="211"/>
      <c r="E6640" s="211"/>
      <c r="U6640" s="222"/>
    </row>
    <row r="6641" spans="2:21" x14ac:dyDescent="0.2">
      <c r="B6641" s="207"/>
      <c r="C6641" s="210"/>
      <c r="D6641" s="211"/>
      <c r="E6641" s="211"/>
      <c r="U6641" s="222"/>
    </row>
    <row r="6642" spans="2:21" x14ac:dyDescent="0.2">
      <c r="B6642" s="207"/>
      <c r="C6642" s="210"/>
      <c r="D6642" s="211"/>
      <c r="E6642" s="211"/>
      <c r="U6642" s="222"/>
    </row>
    <row r="6643" spans="2:21" x14ac:dyDescent="0.2">
      <c r="B6643" s="207"/>
      <c r="C6643" s="210"/>
      <c r="D6643" s="211"/>
      <c r="E6643" s="211"/>
      <c r="U6643" s="222"/>
    </row>
    <row r="6644" spans="2:21" x14ac:dyDescent="0.2">
      <c r="B6644" s="207"/>
      <c r="C6644" s="210"/>
      <c r="D6644" s="211"/>
      <c r="E6644" s="211"/>
      <c r="U6644" s="222"/>
    </row>
    <row r="6645" spans="2:21" x14ac:dyDescent="0.2">
      <c r="B6645" s="207"/>
      <c r="C6645" s="210"/>
      <c r="D6645" s="211"/>
      <c r="E6645" s="211"/>
      <c r="U6645" s="222"/>
    </row>
    <row r="6646" spans="2:21" x14ac:dyDescent="0.2">
      <c r="B6646" s="207"/>
      <c r="C6646" s="210"/>
      <c r="D6646" s="211"/>
      <c r="E6646" s="211"/>
      <c r="U6646" s="222"/>
    </row>
    <row r="6647" spans="2:21" x14ac:dyDescent="0.2">
      <c r="B6647" s="207"/>
      <c r="C6647" s="210"/>
      <c r="D6647" s="211"/>
      <c r="E6647" s="211"/>
      <c r="U6647" s="222"/>
    </row>
    <row r="6648" spans="2:21" x14ac:dyDescent="0.2">
      <c r="B6648" s="207"/>
      <c r="C6648" s="210"/>
      <c r="D6648" s="211"/>
      <c r="E6648" s="211"/>
      <c r="U6648" s="222"/>
    </row>
    <row r="6649" spans="2:21" x14ac:dyDescent="0.2">
      <c r="B6649" s="207"/>
      <c r="C6649" s="210"/>
      <c r="D6649" s="211"/>
      <c r="E6649" s="211"/>
      <c r="U6649" s="222"/>
    </row>
    <row r="6650" spans="2:21" x14ac:dyDescent="0.2">
      <c r="B6650" s="207"/>
      <c r="C6650" s="210"/>
      <c r="D6650" s="211"/>
      <c r="E6650" s="211"/>
      <c r="U6650" s="222"/>
    </row>
    <row r="6651" spans="2:21" x14ac:dyDescent="0.2">
      <c r="B6651" s="207"/>
      <c r="C6651" s="210"/>
      <c r="D6651" s="211"/>
      <c r="E6651" s="211"/>
      <c r="U6651" s="222"/>
    </row>
    <row r="6652" spans="2:21" x14ac:dyDescent="0.2">
      <c r="B6652" s="207"/>
      <c r="C6652" s="210"/>
      <c r="D6652" s="211"/>
      <c r="E6652" s="211"/>
      <c r="U6652" s="222"/>
    </row>
    <row r="6653" spans="2:21" x14ac:dyDescent="0.2">
      <c r="B6653" s="207"/>
      <c r="C6653" s="210"/>
      <c r="D6653" s="211"/>
      <c r="E6653" s="211"/>
      <c r="U6653" s="222"/>
    </row>
    <row r="6654" spans="2:21" x14ac:dyDescent="0.2">
      <c r="B6654" s="207"/>
      <c r="C6654" s="210"/>
      <c r="D6654" s="211"/>
      <c r="E6654" s="211"/>
      <c r="U6654" s="222"/>
    </row>
    <row r="6655" spans="2:21" x14ac:dyDescent="0.2">
      <c r="B6655" s="207"/>
      <c r="C6655" s="210"/>
      <c r="D6655" s="211"/>
      <c r="E6655" s="211"/>
      <c r="U6655" s="222"/>
    </row>
    <row r="6656" spans="2:21" x14ac:dyDescent="0.2">
      <c r="B6656" s="207"/>
      <c r="C6656" s="210"/>
      <c r="D6656" s="211"/>
      <c r="E6656" s="211"/>
      <c r="U6656" s="222"/>
    </row>
    <row r="6657" spans="2:21" x14ac:dyDescent="0.2">
      <c r="B6657" s="207"/>
      <c r="C6657" s="210"/>
      <c r="D6657" s="211"/>
      <c r="E6657" s="211"/>
      <c r="U6657" s="222"/>
    </row>
    <row r="6658" spans="2:21" x14ac:dyDescent="0.2">
      <c r="B6658" s="207"/>
      <c r="C6658" s="210"/>
      <c r="D6658" s="211"/>
      <c r="E6658" s="211"/>
      <c r="U6658" s="222"/>
    </row>
    <row r="6659" spans="2:21" x14ac:dyDescent="0.2">
      <c r="B6659" s="207"/>
      <c r="C6659" s="210"/>
      <c r="D6659" s="211"/>
      <c r="E6659" s="211"/>
      <c r="U6659" s="222"/>
    </row>
    <row r="6660" spans="2:21" x14ac:dyDescent="0.2">
      <c r="B6660" s="207"/>
      <c r="C6660" s="210"/>
      <c r="D6660" s="211"/>
      <c r="E6660" s="211"/>
      <c r="U6660" s="222"/>
    </row>
    <row r="6661" spans="2:21" x14ac:dyDescent="0.2">
      <c r="B6661" s="207"/>
      <c r="C6661" s="210"/>
      <c r="D6661" s="211"/>
      <c r="E6661" s="211"/>
      <c r="U6661" s="222"/>
    </row>
    <row r="6662" spans="2:21" x14ac:dyDescent="0.2">
      <c r="B6662" s="207"/>
      <c r="C6662" s="210"/>
      <c r="D6662" s="211"/>
      <c r="E6662" s="211"/>
      <c r="U6662" s="222"/>
    </row>
    <row r="6663" spans="2:21" x14ac:dyDescent="0.2">
      <c r="B6663" s="207"/>
      <c r="C6663" s="210"/>
      <c r="D6663" s="211"/>
      <c r="E6663" s="211"/>
      <c r="U6663" s="222"/>
    </row>
    <row r="6664" spans="2:21" x14ac:dyDescent="0.2">
      <c r="B6664" s="207"/>
      <c r="C6664" s="210"/>
      <c r="D6664" s="211"/>
      <c r="E6664" s="211"/>
      <c r="U6664" s="222"/>
    </row>
    <row r="6665" spans="2:21" x14ac:dyDescent="0.2">
      <c r="B6665" s="207"/>
      <c r="C6665" s="210"/>
      <c r="D6665" s="211"/>
      <c r="E6665" s="211"/>
      <c r="U6665" s="222"/>
    </row>
    <row r="6666" spans="2:21" x14ac:dyDescent="0.2">
      <c r="B6666" s="207"/>
      <c r="C6666" s="210"/>
      <c r="D6666" s="211"/>
      <c r="E6666" s="211"/>
      <c r="U6666" s="222"/>
    </row>
    <row r="6667" spans="2:21" x14ac:dyDescent="0.2">
      <c r="B6667" s="207"/>
      <c r="C6667" s="210"/>
      <c r="D6667" s="211"/>
      <c r="E6667" s="211"/>
      <c r="U6667" s="222"/>
    </row>
    <row r="6668" spans="2:21" x14ac:dyDescent="0.2">
      <c r="B6668" s="207"/>
      <c r="C6668" s="210"/>
      <c r="D6668" s="211"/>
      <c r="E6668" s="211"/>
      <c r="U6668" s="222"/>
    </row>
    <row r="6669" spans="2:21" x14ac:dyDescent="0.2">
      <c r="B6669" s="207"/>
      <c r="C6669" s="210"/>
      <c r="D6669" s="211"/>
      <c r="E6669" s="211"/>
      <c r="U6669" s="222"/>
    </row>
    <row r="6670" spans="2:21" x14ac:dyDescent="0.2">
      <c r="B6670" s="207"/>
      <c r="C6670" s="210"/>
      <c r="D6670" s="211"/>
      <c r="E6670" s="211"/>
      <c r="U6670" s="222"/>
    </row>
    <row r="6671" spans="2:21" x14ac:dyDescent="0.2">
      <c r="B6671" s="207"/>
      <c r="C6671" s="210"/>
      <c r="D6671" s="211"/>
      <c r="E6671" s="211"/>
      <c r="U6671" s="222"/>
    </row>
    <row r="6672" spans="2:21" x14ac:dyDescent="0.2">
      <c r="B6672" s="207"/>
      <c r="C6672" s="210"/>
      <c r="D6672" s="211"/>
      <c r="E6672" s="211"/>
      <c r="U6672" s="222"/>
    </row>
    <row r="6673" spans="2:21" x14ac:dyDescent="0.2">
      <c r="B6673" s="207"/>
      <c r="C6673" s="210"/>
      <c r="D6673" s="211"/>
      <c r="E6673" s="211"/>
      <c r="U6673" s="222"/>
    </row>
    <row r="6674" spans="2:21" x14ac:dyDescent="0.2">
      <c r="B6674" s="207"/>
      <c r="C6674" s="210"/>
      <c r="D6674" s="211"/>
      <c r="E6674" s="211"/>
      <c r="U6674" s="222"/>
    </row>
    <row r="6675" spans="2:21" x14ac:dyDescent="0.2">
      <c r="B6675" s="207"/>
      <c r="C6675" s="210"/>
      <c r="D6675" s="211"/>
      <c r="E6675" s="211"/>
      <c r="U6675" s="222"/>
    </row>
    <row r="6676" spans="2:21" x14ac:dyDescent="0.2">
      <c r="B6676" s="207"/>
      <c r="C6676" s="210"/>
      <c r="D6676" s="211"/>
      <c r="E6676" s="211"/>
      <c r="U6676" s="222"/>
    </row>
    <row r="6677" spans="2:21" x14ac:dyDescent="0.2">
      <c r="B6677" s="207"/>
      <c r="C6677" s="210"/>
      <c r="D6677" s="211"/>
      <c r="E6677" s="211"/>
      <c r="U6677" s="222"/>
    </row>
    <row r="6678" spans="2:21" x14ac:dyDescent="0.2">
      <c r="B6678" s="207"/>
      <c r="C6678" s="210"/>
      <c r="D6678" s="211"/>
      <c r="E6678" s="211"/>
      <c r="U6678" s="222"/>
    </row>
    <row r="6679" spans="2:21" x14ac:dyDescent="0.2">
      <c r="B6679" s="207"/>
      <c r="C6679" s="210"/>
      <c r="D6679" s="211"/>
      <c r="E6679" s="211"/>
      <c r="U6679" s="222"/>
    </row>
    <row r="6680" spans="2:21" x14ac:dyDescent="0.2">
      <c r="B6680" s="207"/>
      <c r="C6680" s="210"/>
      <c r="D6680" s="211"/>
      <c r="E6680" s="211"/>
      <c r="U6680" s="222"/>
    </row>
    <row r="6681" spans="2:21" x14ac:dyDescent="0.2">
      <c r="B6681" s="207"/>
      <c r="C6681" s="210"/>
      <c r="D6681" s="211"/>
      <c r="E6681" s="211"/>
      <c r="U6681" s="222"/>
    </row>
    <row r="6682" spans="2:21" x14ac:dyDescent="0.2">
      <c r="B6682" s="207"/>
      <c r="C6682" s="210"/>
      <c r="D6682" s="211"/>
      <c r="E6682" s="211"/>
      <c r="U6682" s="222"/>
    </row>
    <row r="6683" spans="2:21" x14ac:dyDescent="0.2">
      <c r="B6683" s="207"/>
      <c r="C6683" s="210"/>
      <c r="D6683" s="211"/>
      <c r="E6683" s="211"/>
      <c r="U6683" s="222"/>
    </row>
    <row r="6684" spans="2:21" x14ac:dyDescent="0.2">
      <c r="B6684" s="207"/>
      <c r="C6684" s="210"/>
      <c r="D6684" s="211"/>
      <c r="E6684" s="211"/>
      <c r="U6684" s="222"/>
    </row>
    <row r="6685" spans="2:21" x14ac:dyDescent="0.2">
      <c r="B6685" s="207"/>
      <c r="C6685" s="210"/>
      <c r="D6685" s="211"/>
      <c r="E6685" s="211"/>
      <c r="U6685" s="222"/>
    </row>
    <row r="6686" spans="2:21" x14ac:dyDescent="0.2">
      <c r="B6686" s="207"/>
      <c r="C6686" s="210"/>
      <c r="D6686" s="211"/>
      <c r="E6686" s="211"/>
      <c r="U6686" s="222"/>
    </row>
    <row r="6687" spans="2:21" x14ac:dyDescent="0.2">
      <c r="B6687" s="207"/>
      <c r="C6687" s="210"/>
      <c r="D6687" s="211"/>
      <c r="E6687" s="211"/>
      <c r="U6687" s="222"/>
    </row>
    <row r="6688" spans="2:21" x14ac:dyDescent="0.2">
      <c r="B6688" s="207"/>
      <c r="C6688" s="210"/>
      <c r="D6688" s="211"/>
      <c r="E6688" s="211"/>
      <c r="U6688" s="222"/>
    </row>
    <row r="6689" spans="2:21" x14ac:dyDescent="0.2">
      <c r="B6689" s="207"/>
      <c r="C6689" s="210"/>
      <c r="D6689" s="211"/>
      <c r="E6689" s="211"/>
      <c r="U6689" s="222"/>
    </row>
    <row r="6690" spans="2:21" x14ac:dyDescent="0.2">
      <c r="B6690" s="207"/>
      <c r="C6690" s="210"/>
      <c r="D6690" s="211"/>
      <c r="E6690" s="211"/>
      <c r="U6690" s="222"/>
    </row>
    <row r="6691" spans="2:21" x14ac:dyDescent="0.2">
      <c r="B6691" s="207"/>
      <c r="C6691" s="210"/>
      <c r="D6691" s="211"/>
      <c r="E6691" s="211"/>
      <c r="U6691" s="222"/>
    </row>
    <row r="6692" spans="2:21" x14ac:dyDescent="0.2">
      <c r="B6692" s="207"/>
      <c r="C6692" s="210"/>
      <c r="D6692" s="211"/>
      <c r="E6692" s="211"/>
      <c r="U6692" s="222"/>
    </row>
    <row r="6693" spans="2:21" x14ac:dyDescent="0.2">
      <c r="B6693" s="207"/>
      <c r="C6693" s="210"/>
      <c r="D6693" s="211"/>
      <c r="E6693" s="211"/>
      <c r="U6693" s="222"/>
    </row>
    <row r="6694" spans="2:21" x14ac:dyDescent="0.2">
      <c r="B6694" s="207"/>
      <c r="C6694" s="210"/>
      <c r="D6694" s="211"/>
      <c r="E6694" s="211"/>
      <c r="U6694" s="222"/>
    </row>
    <row r="6695" spans="2:21" x14ac:dyDescent="0.2">
      <c r="B6695" s="207"/>
      <c r="C6695" s="210"/>
      <c r="D6695" s="211"/>
      <c r="E6695" s="211"/>
      <c r="U6695" s="222"/>
    </row>
    <row r="6696" spans="2:21" x14ac:dyDescent="0.2">
      <c r="B6696" s="207"/>
      <c r="C6696" s="210"/>
      <c r="D6696" s="211"/>
      <c r="E6696" s="211"/>
      <c r="U6696" s="222"/>
    </row>
    <row r="6697" spans="2:21" x14ac:dyDescent="0.2">
      <c r="B6697" s="207"/>
      <c r="C6697" s="210"/>
      <c r="D6697" s="211"/>
      <c r="E6697" s="211"/>
      <c r="U6697" s="222"/>
    </row>
    <row r="6698" spans="2:21" x14ac:dyDescent="0.2">
      <c r="B6698" s="207"/>
      <c r="C6698" s="210"/>
      <c r="D6698" s="211"/>
      <c r="E6698" s="211"/>
      <c r="U6698" s="222"/>
    </row>
    <row r="6699" spans="2:21" x14ac:dyDescent="0.2">
      <c r="B6699" s="207"/>
      <c r="C6699" s="210"/>
      <c r="D6699" s="211"/>
      <c r="E6699" s="211"/>
      <c r="U6699" s="222"/>
    </row>
    <row r="6700" spans="2:21" x14ac:dyDescent="0.2">
      <c r="B6700" s="207"/>
      <c r="C6700" s="210"/>
      <c r="D6700" s="211"/>
      <c r="E6700" s="211"/>
      <c r="U6700" s="222"/>
    </row>
    <row r="6701" spans="2:21" x14ac:dyDescent="0.2">
      <c r="B6701" s="207"/>
      <c r="C6701" s="210"/>
      <c r="D6701" s="211"/>
      <c r="E6701" s="211"/>
      <c r="U6701" s="222"/>
    </row>
    <row r="6702" spans="2:21" x14ac:dyDescent="0.2">
      <c r="B6702" s="207"/>
      <c r="C6702" s="210"/>
      <c r="D6702" s="211"/>
      <c r="E6702" s="211"/>
      <c r="U6702" s="222"/>
    </row>
    <row r="6703" spans="2:21" x14ac:dyDescent="0.2">
      <c r="B6703" s="207"/>
      <c r="C6703" s="210"/>
      <c r="D6703" s="211"/>
      <c r="E6703" s="211"/>
      <c r="U6703" s="222"/>
    </row>
    <row r="6704" spans="2:21" x14ac:dyDescent="0.2">
      <c r="B6704" s="207"/>
      <c r="C6704" s="210"/>
      <c r="D6704" s="211"/>
      <c r="E6704" s="211"/>
      <c r="U6704" s="222"/>
    </row>
    <row r="6705" spans="2:21" x14ac:dyDescent="0.2">
      <c r="B6705" s="207"/>
      <c r="C6705" s="210"/>
      <c r="D6705" s="211"/>
      <c r="E6705" s="211"/>
      <c r="U6705" s="222"/>
    </row>
    <row r="6706" spans="2:21" x14ac:dyDescent="0.2">
      <c r="B6706" s="207"/>
      <c r="C6706" s="210"/>
      <c r="D6706" s="211"/>
      <c r="E6706" s="211"/>
      <c r="U6706" s="222"/>
    </row>
    <row r="6707" spans="2:21" x14ac:dyDescent="0.2">
      <c r="B6707" s="207"/>
      <c r="C6707" s="210"/>
      <c r="D6707" s="211"/>
      <c r="E6707" s="211"/>
      <c r="U6707" s="222"/>
    </row>
    <row r="6708" spans="2:21" x14ac:dyDescent="0.2">
      <c r="B6708" s="207"/>
      <c r="C6708" s="210"/>
      <c r="D6708" s="211"/>
      <c r="E6708" s="211"/>
      <c r="U6708" s="222"/>
    </row>
    <row r="6709" spans="2:21" x14ac:dyDescent="0.2">
      <c r="B6709" s="207"/>
      <c r="C6709" s="210"/>
      <c r="D6709" s="211"/>
      <c r="E6709" s="211"/>
      <c r="U6709" s="222"/>
    </row>
    <row r="6710" spans="2:21" x14ac:dyDescent="0.2">
      <c r="B6710" s="207"/>
      <c r="C6710" s="210"/>
      <c r="D6710" s="211"/>
      <c r="E6710" s="211"/>
      <c r="U6710" s="222"/>
    </row>
    <row r="6711" spans="2:21" x14ac:dyDescent="0.2">
      <c r="B6711" s="207"/>
      <c r="C6711" s="210"/>
      <c r="D6711" s="211"/>
      <c r="E6711" s="211"/>
      <c r="U6711" s="222"/>
    </row>
    <row r="6712" spans="2:21" x14ac:dyDescent="0.2">
      <c r="B6712" s="207"/>
      <c r="C6712" s="210"/>
      <c r="D6712" s="211"/>
      <c r="E6712" s="211"/>
      <c r="U6712" s="222"/>
    </row>
    <row r="6713" spans="2:21" x14ac:dyDescent="0.2">
      <c r="B6713" s="207"/>
      <c r="C6713" s="210"/>
      <c r="D6713" s="211"/>
      <c r="E6713" s="211"/>
      <c r="U6713" s="222"/>
    </row>
    <row r="6714" spans="2:21" x14ac:dyDescent="0.2">
      <c r="B6714" s="207"/>
      <c r="C6714" s="210"/>
      <c r="D6714" s="211"/>
      <c r="E6714" s="211"/>
      <c r="U6714" s="222"/>
    </row>
    <row r="6715" spans="2:21" x14ac:dyDescent="0.2">
      <c r="B6715" s="207"/>
      <c r="C6715" s="210"/>
      <c r="D6715" s="211"/>
      <c r="E6715" s="211"/>
      <c r="U6715" s="222"/>
    </row>
    <row r="6716" spans="2:21" x14ac:dyDescent="0.2">
      <c r="B6716" s="207"/>
      <c r="C6716" s="210"/>
      <c r="D6716" s="211"/>
      <c r="E6716" s="211"/>
      <c r="U6716" s="222"/>
    </row>
    <row r="6717" spans="2:21" x14ac:dyDescent="0.2">
      <c r="B6717" s="207"/>
      <c r="C6717" s="210"/>
      <c r="D6717" s="211"/>
      <c r="E6717" s="211"/>
      <c r="U6717" s="222"/>
    </row>
    <row r="6718" spans="2:21" x14ac:dyDescent="0.2">
      <c r="B6718" s="207"/>
      <c r="C6718" s="210"/>
      <c r="D6718" s="211"/>
      <c r="E6718" s="211"/>
      <c r="U6718" s="222"/>
    </row>
    <row r="6719" spans="2:21" x14ac:dyDescent="0.2">
      <c r="B6719" s="207"/>
      <c r="C6719" s="210"/>
      <c r="D6719" s="211"/>
      <c r="E6719" s="211"/>
      <c r="U6719" s="222"/>
    </row>
    <row r="6720" spans="2:21" x14ac:dyDescent="0.2">
      <c r="B6720" s="207"/>
      <c r="C6720" s="210"/>
      <c r="D6720" s="211"/>
      <c r="E6720" s="211"/>
      <c r="U6720" s="222"/>
    </row>
    <row r="6721" spans="2:21" x14ac:dyDescent="0.2">
      <c r="B6721" s="207"/>
      <c r="C6721" s="210"/>
      <c r="D6721" s="211"/>
      <c r="E6721" s="211"/>
      <c r="U6721" s="222"/>
    </row>
    <row r="6722" spans="2:21" x14ac:dyDescent="0.2">
      <c r="B6722" s="207"/>
      <c r="C6722" s="210"/>
      <c r="D6722" s="211"/>
      <c r="E6722" s="211"/>
      <c r="U6722" s="222"/>
    </row>
    <row r="6723" spans="2:21" x14ac:dyDescent="0.2">
      <c r="B6723" s="207"/>
      <c r="C6723" s="210"/>
      <c r="D6723" s="211"/>
      <c r="E6723" s="211"/>
      <c r="U6723" s="222"/>
    </row>
    <row r="6724" spans="2:21" x14ac:dyDescent="0.2">
      <c r="B6724" s="207"/>
      <c r="C6724" s="210"/>
      <c r="D6724" s="211"/>
      <c r="E6724" s="211"/>
      <c r="U6724" s="222"/>
    </row>
    <row r="6725" spans="2:21" x14ac:dyDescent="0.2">
      <c r="B6725" s="207"/>
      <c r="C6725" s="210"/>
      <c r="D6725" s="211"/>
      <c r="E6725" s="211"/>
      <c r="U6725" s="222"/>
    </row>
    <row r="6726" spans="2:21" x14ac:dyDescent="0.2">
      <c r="B6726" s="207"/>
      <c r="C6726" s="210"/>
      <c r="D6726" s="211"/>
      <c r="E6726" s="211"/>
      <c r="U6726" s="222"/>
    </row>
    <row r="6727" spans="2:21" x14ac:dyDescent="0.2">
      <c r="B6727" s="207"/>
      <c r="C6727" s="210"/>
      <c r="D6727" s="211"/>
      <c r="E6727" s="211"/>
      <c r="U6727" s="222"/>
    </row>
    <row r="6728" spans="2:21" x14ac:dyDescent="0.2">
      <c r="B6728" s="207"/>
      <c r="C6728" s="210"/>
      <c r="D6728" s="211"/>
      <c r="E6728" s="211"/>
      <c r="U6728" s="222"/>
    </row>
    <row r="6729" spans="2:21" x14ac:dyDescent="0.2">
      <c r="B6729" s="207"/>
      <c r="C6729" s="210"/>
      <c r="D6729" s="211"/>
      <c r="E6729" s="211"/>
      <c r="U6729" s="222"/>
    </row>
    <row r="6730" spans="2:21" x14ac:dyDescent="0.2">
      <c r="B6730" s="207"/>
      <c r="C6730" s="210"/>
      <c r="D6730" s="211"/>
      <c r="E6730" s="211"/>
      <c r="U6730" s="222"/>
    </row>
    <row r="6731" spans="2:21" x14ac:dyDescent="0.2">
      <c r="B6731" s="207"/>
      <c r="C6731" s="210"/>
      <c r="D6731" s="211"/>
      <c r="E6731" s="211"/>
      <c r="U6731" s="222"/>
    </row>
    <row r="6732" spans="2:21" x14ac:dyDescent="0.2">
      <c r="B6732" s="207"/>
      <c r="C6732" s="210"/>
      <c r="D6732" s="211"/>
      <c r="E6732" s="211"/>
      <c r="U6732" s="222"/>
    </row>
    <row r="6733" spans="2:21" x14ac:dyDescent="0.2">
      <c r="B6733" s="207"/>
      <c r="C6733" s="210"/>
      <c r="D6733" s="211"/>
      <c r="E6733" s="211"/>
      <c r="U6733" s="222"/>
    </row>
    <row r="6734" spans="2:21" x14ac:dyDescent="0.2">
      <c r="B6734" s="207"/>
      <c r="C6734" s="210"/>
      <c r="D6734" s="211"/>
      <c r="E6734" s="211"/>
      <c r="U6734" s="222"/>
    </row>
    <row r="6735" spans="2:21" x14ac:dyDescent="0.2">
      <c r="B6735" s="207"/>
      <c r="C6735" s="210"/>
      <c r="D6735" s="211"/>
      <c r="E6735" s="211"/>
      <c r="U6735" s="222"/>
    </row>
    <row r="6736" spans="2:21" x14ac:dyDescent="0.2">
      <c r="B6736" s="207"/>
      <c r="C6736" s="210"/>
      <c r="D6736" s="211"/>
      <c r="E6736" s="211"/>
      <c r="U6736" s="222"/>
    </row>
    <row r="6737" spans="2:21" x14ac:dyDescent="0.2">
      <c r="B6737" s="207"/>
      <c r="C6737" s="210"/>
      <c r="D6737" s="211"/>
      <c r="E6737" s="211"/>
      <c r="U6737" s="222"/>
    </row>
    <row r="6738" spans="2:21" x14ac:dyDescent="0.2">
      <c r="B6738" s="207"/>
      <c r="C6738" s="210"/>
      <c r="D6738" s="211"/>
      <c r="E6738" s="211"/>
      <c r="U6738" s="222"/>
    </row>
    <row r="6739" spans="2:21" x14ac:dyDescent="0.2">
      <c r="B6739" s="207"/>
      <c r="C6739" s="210"/>
      <c r="D6739" s="211"/>
      <c r="E6739" s="211"/>
      <c r="U6739" s="222"/>
    </row>
    <row r="6740" spans="2:21" x14ac:dyDescent="0.2">
      <c r="B6740" s="207"/>
      <c r="C6740" s="210"/>
      <c r="D6740" s="211"/>
      <c r="E6740" s="211"/>
      <c r="U6740" s="222"/>
    </row>
    <row r="6741" spans="2:21" x14ac:dyDescent="0.2">
      <c r="B6741" s="207"/>
      <c r="C6741" s="210"/>
      <c r="D6741" s="211"/>
      <c r="E6741" s="211"/>
      <c r="U6741" s="222"/>
    </row>
    <row r="6742" spans="2:21" x14ac:dyDescent="0.2">
      <c r="B6742" s="207"/>
      <c r="C6742" s="210"/>
      <c r="D6742" s="211"/>
      <c r="E6742" s="211"/>
      <c r="U6742" s="222"/>
    </row>
    <row r="6743" spans="2:21" x14ac:dyDescent="0.2">
      <c r="B6743" s="207"/>
      <c r="C6743" s="210"/>
      <c r="D6743" s="211"/>
      <c r="E6743" s="211"/>
      <c r="U6743" s="222"/>
    </row>
    <row r="6744" spans="2:21" x14ac:dyDescent="0.2">
      <c r="B6744" s="207"/>
      <c r="C6744" s="210"/>
      <c r="D6744" s="211"/>
      <c r="E6744" s="211"/>
      <c r="U6744" s="222"/>
    </row>
    <row r="6745" spans="2:21" x14ac:dyDescent="0.2">
      <c r="B6745" s="207"/>
      <c r="C6745" s="210"/>
      <c r="D6745" s="211"/>
      <c r="E6745" s="211"/>
      <c r="U6745" s="222"/>
    </row>
    <row r="6746" spans="2:21" x14ac:dyDescent="0.2">
      <c r="B6746" s="207"/>
      <c r="C6746" s="210"/>
      <c r="D6746" s="211"/>
      <c r="E6746" s="211"/>
      <c r="U6746" s="222"/>
    </row>
    <row r="6747" spans="2:21" x14ac:dyDescent="0.2">
      <c r="B6747" s="207"/>
      <c r="C6747" s="210"/>
      <c r="D6747" s="211"/>
      <c r="E6747" s="211"/>
      <c r="U6747" s="222"/>
    </row>
    <row r="6748" spans="2:21" x14ac:dyDescent="0.2">
      <c r="B6748" s="207"/>
      <c r="C6748" s="210"/>
      <c r="D6748" s="211"/>
      <c r="E6748" s="211"/>
      <c r="U6748" s="222"/>
    </row>
    <row r="6749" spans="2:21" x14ac:dyDescent="0.2">
      <c r="B6749" s="207"/>
      <c r="C6749" s="210"/>
      <c r="D6749" s="211"/>
      <c r="E6749" s="211"/>
      <c r="U6749" s="222"/>
    </row>
    <row r="6750" spans="2:21" x14ac:dyDescent="0.2">
      <c r="B6750" s="207"/>
      <c r="C6750" s="210"/>
      <c r="D6750" s="211"/>
      <c r="E6750" s="211"/>
      <c r="U6750" s="222"/>
    </row>
    <row r="6751" spans="2:21" x14ac:dyDescent="0.2">
      <c r="B6751" s="207"/>
      <c r="C6751" s="210"/>
      <c r="D6751" s="211"/>
      <c r="E6751" s="211"/>
      <c r="U6751" s="222"/>
    </row>
    <row r="6752" spans="2:21" x14ac:dyDescent="0.2">
      <c r="B6752" s="207"/>
      <c r="C6752" s="210"/>
      <c r="D6752" s="211"/>
      <c r="E6752" s="211"/>
      <c r="U6752" s="222"/>
    </row>
    <row r="6753" spans="2:21" x14ac:dyDescent="0.2">
      <c r="B6753" s="207"/>
      <c r="C6753" s="210"/>
      <c r="D6753" s="211"/>
      <c r="E6753" s="211"/>
      <c r="U6753" s="222"/>
    </row>
    <row r="6754" spans="2:21" x14ac:dyDescent="0.2">
      <c r="B6754" s="207"/>
      <c r="C6754" s="210"/>
      <c r="D6754" s="211"/>
      <c r="E6754" s="211"/>
      <c r="U6754" s="222"/>
    </row>
    <row r="6755" spans="2:21" x14ac:dyDescent="0.2">
      <c r="B6755" s="207"/>
      <c r="C6755" s="210"/>
      <c r="D6755" s="211"/>
      <c r="E6755" s="211"/>
      <c r="U6755" s="222"/>
    </row>
    <row r="6756" spans="2:21" x14ac:dyDescent="0.2">
      <c r="B6756" s="207"/>
      <c r="C6756" s="210"/>
      <c r="D6756" s="211"/>
      <c r="E6756" s="211"/>
      <c r="U6756" s="222"/>
    </row>
    <row r="6757" spans="2:21" x14ac:dyDescent="0.2">
      <c r="B6757" s="207"/>
      <c r="C6757" s="210"/>
      <c r="D6757" s="211"/>
      <c r="E6757" s="211"/>
      <c r="U6757" s="222"/>
    </row>
    <row r="6758" spans="2:21" x14ac:dyDescent="0.2">
      <c r="B6758" s="207"/>
      <c r="C6758" s="210"/>
      <c r="D6758" s="211"/>
      <c r="E6758" s="211"/>
      <c r="U6758" s="222"/>
    </row>
    <row r="6759" spans="2:21" x14ac:dyDescent="0.2">
      <c r="B6759" s="207"/>
      <c r="C6759" s="210"/>
      <c r="D6759" s="211"/>
      <c r="E6759" s="211"/>
      <c r="U6759" s="222"/>
    </row>
    <row r="6760" spans="2:21" x14ac:dyDescent="0.2">
      <c r="B6760" s="207"/>
      <c r="C6760" s="210"/>
      <c r="D6760" s="211"/>
      <c r="E6760" s="211"/>
      <c r="U6760" s="222"/>
    </row>
    <row r="6761" spans="2:21" x14ac:dyDescent="0.2">
      <c r="B6761" s="207"/>
      <c r="C6761" s="210"/>
      <c r="D6761" s="211"/>
      <c r="E6761" s="211"/>
      <c r="U6761" s="222"/>
    </row>
    <row r="6762" spans="2:21" x14ac:dyDescent="0.2">
      <c r="B6762" s="207"/>
      <c r="C6762" s="210"/>
      <c r="D6762" s="211"/>
      <c r="E6762" s="211"/>
      <c r="U6762" s="222"/>
    </row>
    <row r="6763" spans="2:21" x14ac:dyDescent="0.2">
      <c r="B6763" s="207"/>
      <c r="C6763" s="210"/>
      <c r="D6763" s="211"/>
      <c r="E6763" s="211"/>
      <c r="U6763" s="222"/>
    </row>
    <row r="6764" spans="2:21" x14ac:dyDescent="0.2">
      <c r="B6764" s="207"/>
      <c r="C6764" s="210"/>
      <c r="D6764" s="211"/>
      <c r="E6764" s="211"/>
      <c r="U6764" s="222"/>
    </row>
    <row r="6765" spans="2:21" x14ac:dyDescent="0.2">
      <c r="B6765" s="207"/>
      <c r="C6765" s="210"/>
      <c r="D6765" s="211"/>
      <c r="E6765" s="211"/>
      <c r="U6765" s="222"/>
    </row>
    <row r="6766" spans="2:21" x14ac:dyDescent="0.2">
      <c r="B6766" s="207"/>
      <c r="C6766" s="210"/>
      <c r="D6766" s="211"/>
      <c r="E6766" s="211"/>
      <c r="U6766" s="222"/>
    </row>
    <row r="6767" spans="2:21" x14ac:dyDescent="0.2">
      <c r="B6767" s="207"/>
      <c r="C6767" s="210"/>
      <c r="D6767" s="211"/>
      <c r="E6767" s="211"/>
      <c r="U6767" s="222"/>
    </row>
    <row r="6768" spans="2:21" x14ac:dyDescent="0.2">
      <c r="B6768" s="207"/>
      <c r="C6768" s="210"/>
      <c r="D6768" s="211"/>
      <c r="E6768" s="211"/>
      <c r="U6768" s="222"/>
    </row>
    <row r="6769" spans="2:21" x14ac:dyDescent="0.2">
      <c r="B6769" s="207"/>
      <c r="C6769" s="210"/>
      <c r="D6769" s="211"/>
      <c r="E6769" s="211"/>
      <c r="U6769" s="222"/>
    </row>
    <row r="6770" spans="2:21" x14ac:dyDescent="0.2">
      <c r="B6770" s="207"/>
      <c r="C6770" s="210"/>
      <c r="D6770" s="211"/>
      <c r="E6770" s="211"/>
      <c r="U6770" s="222"/>
    </row>
    <row r="6771" spans="2:21" x14ac:dyDescent="0.2">
      <c r="B6771" s="207"/>
      <c r="C6771" s="210"/>
      <c r="D6771" s="211"/>
      <c r="E6771" s="211"/>
      <c r="U6771" s="222"/>
    </row>
    <row r="6772" spans="2:21" x14ac:dyDescent="0.2">
      <c r="B6772" s="207"/>
      <c r="C6772" s="210"/>
      <c r="D6772" s="211"/>
      <c r="E6772" s="211"/>
      <c r="U6772" s="222"/>
    </row>
    <row r="6773" spans="2:21" x14ac:dyDescent="0.2">
      <c r="B6773" s="207"/>
      <c r="C6773" s="210"/>
      <c r="D6773" s="211"/>
      <c r="E6773" s="211"/>
      <c r="U6773" s="222"/>
    </row>
    <row r="6774" spans="2:21" x14ac:dyDescent="0.2">
      <c r="B6774" s="207"/>
      <c r="C6774" s="210"/>
      <c r="D6774" s="211"/>
      <c r="E6774" s="211"/>
      <c r="U6774" s="222"/>
    </row>
    <row r="6775" spans="2:21" x14ac:dyDescent="0.2">
      <c r="B6775" s="207"/>
      <c r="C6775" s="210"/>
      <c r="D6775" s="211"/>
      <c r="E6775" s="211"/>
      <c r="U6775" s="222"/>
    </row>
    <row r="6776" spans="2:21" x14ac:dyDescent="0.2">
      <c r="B6776" s="207"/>
      <c r="C6776" s="210"/>
      <c r="D6776" s="211"/>
      <c r="E6776" s="211"/>
      <c r="U6776" s="222"/>
    </row>
    <row r="6777" spans="2:21" x14ac:dyDescent="0.2">
      <c r="B6777" s="207"/>
      <c r="C6777" s="210"/>
      <c r="D6777" s="211"/>
      <c r="E6777" s="211"/>
      <c r="U6777" s="222"/>
    </row>
    <row r="6778" spans="2:21" x14ac:dyDescent="0.2">
      <c r="B6778" s="207"/>
      <c r="C6778" s="210"/>
      <c r="D6778" s="211"/>
      <c r="E6778" s="211"/>
      <c r="U6778" s="222"/>
    </row>
    <row r="6779" spans="2:21" x14ac:dyDescent="0.2">
      <c r="B6779" s="207"/>
      <c r="C6779" s="210"/>
      <c r="D6779" s="211"/>
      <c r="E6779" s="211"/>
      <c r="U6779" s="222"/>
    </row>
    <row r="6780" spans="2:21" x14ac:dyDescent="0.2">
      <c r="B6780" s="207"/>
      <c r="C6780" s="210"/>
      <c r="D6780" s="211"/>
      <c r="E6780" s="211"/>
      <c r="U6780" s="222"/>
    </row>
    <row r="6781" spans="2:21" x14ac:dyDescent="0.2">
      <c r="B6781" s="207"/>
      <c r="C6781" s="210"/>
      <c r="D6781" s="211"/>
      <c r="E6781" s="211"/>
      <c r="U6781" s="222"/>
    </row>
    <row r="6782" spans="2:21" x14ac:dyDescent="0.2">
      <c r="B6782" s="207"/>
      <c r="C6782" s="210"/>
      <c r="D6782" s="211"/>
      <c r="E6782" s="211"/>
      <c r="U6782" s="222"/>
    </row>
    <row r="6783" spans="2:21" x14ac:dyDescent="0.2">
      <c r="B6783" s="207"/>
      <c r="C6783" s="210"/>
      <c r="D6783" s="211"/>
      <c r="E6783" s="211"/>
      <c r="U6783" s="222"/>
    </row>
    <row r="6784" spans="2:21" x14ac:dyDescent="0.2">
      <c r="B6784" s="207"/>
      <c r="C6784" s="210"/>
      <c r="D6784" s="211"/>
      <c r="E6784" s="211"/>
      <c r="U6784" s="222"/>
    </row>
    <row r="6785" spans="2:21" x14ac:dyDescent="0.2">
      <c r="B6785" s="207"/>
      <c r="C6785" s="210"/>
      <c r="D6785" s="211"/>
      <c r="E6785" s="211"/>
      <c r="U6785" s="222"/>
    </row>
    <row r="6786" spans="2:21" x14ac:dyDescent="0.2">
      <c r="B6786" s="207"/>
      <c r="C6786" s="210"/>
      <c r="D6786" s="211"/>
      <c r="E6786" s="211"/>
      <c r="U6786" s="222"/>
    </row>
    <row r="6787" spans="2:21" x14ac:dyDescent="0.2">
      <c r="B6787" s="207"/>
      <c r="C6787" s="210"/>
      <c r="D6787" s="211"/>
      <c r="E6787" s="211"/>
      <c r="U6787" s="222"/>
    </row>
    <row r="6788" spans="2:21" x14ac:dyDescent="0.2">
      <c r="B6788" s="207"/>
      <c r="C6788" s="210"/>
      <c r="D6788" s="211"/>
      <c r="E6788" s="211"/>
      <c r="U6788" s="222"/>
    </row>
    <row r="6789" spans="2:21" x14ac:dyDescent="0.2">
      <c r="B6789" s="207"/>
      <c r="C6789" s="210"/>
      <c r="D6789" s="211"/>
      <c r="E6789" s="211"/>
      <c r="U6789" s="222"/>
    </row>
    <row r="6790" spans="2:21" x14ac:dyDescent="0.2">
      <c r="B6790" s="207"/>
      <c r="C6790" s="210"/>
      <c r="D6790" s="211"/>
      <c r="E6790" s="211"/>
      <c r="U6790" s="222"/>
    </row>
    <row r="6791" spans="2:21" x14ac:dyDescent="0.2">
      <c r="B6791" s="207"/>
      <c r="C6791" s="210"/>
      <c r="D6791" s="211"/>
      <c r="E6791" s="211"/>
      <c r="U6791" s="222"/>
    </row>
    <row r="6792" spans="2:21" x14ac:dyDescent="0.2">
      <c r="B6792" s="207"/>
      <c r="C6792" s="210"/>
      <c r="D6792" s="211"/>
      <c r="E6792" s="211"/>
      <c r="U6792" s="222"/>
    </row>
    <row r="6793" spans="2:21" x14ac:dyDescent="0.2">
      <c r="B6793" s="207"/>
      <c r="C6793" s="210"/>
      <c r="D6793" s="211"/>
      <c r="E6793" s="211"/>
      <c r="U6793" s="222"/>
    </row>
    <row r="6794" spans="2:21" x14ac:dyDescent="0.2">
      <c r="B6794" s="207"/>
      <c r="C6794" s="210"/>
      <c r="D6794" s="211"/>
      <c r="E6794" s="211"/>
      <c r="U6794" s="222"/>
    </row>
    <row r="6795" spans="2:21" x14ac:dyDescent="0.2">
      <c r="B6795" s="207"/>
      <c r="C6795" s="210"/>
      <c r="D6795" s="211"/>
      <c r="E6795" s="211"/>
      <c r="U6795" s="222"/>
    </row>
    <row r="6796" spans="2:21" x14ac:dyDescent="0.2">
      <c r="B6796" s="207"/>
      <c r="C6796" s="210"/>
      <c r="D6796" s="211"/>
      <c r="E6796" s="211"/>
      <c r="U6796" s="222"/>
    </row>
    <row r="6797" spans="2:21" x14ac:dyDescent="0.2">
      <c r="B6797" s="207"/>
      <c r="C6797" s="210"/>
      <c r="D6797" s="211"/>
      <c r="E6797" s="211"/>
      <c r="U6797" s="222"/>
    </row>
    <row r="6798" spans="2:21" x14ac:dyDescent="0.2">
      <c r="B6798" s="207"/>
      <c r="C6798" s="210"/>
      <c r="D6798" s="211"/>
      <c r="E6798" s="211"/>
      <c r="U6798" s="222"/>
    </row>
    <row r="6799" spans="2:21" x14ac:dyDescent="0.2">
      <c r="B6799" s="207"/>
      <c r="C6799" s="210"/>
      <c r="D6799" s="211"/>
      <c r="E6799" s="211"/>
      <c r="U6799" s="222"/>
    </row>
    <row r="6800" spans="2:21" x14ac:dyDescent="0.2">
      <c r="B6800" s="207"/>
      <c r="C6800" s="210"/>
      <c r="D6800" s="211"/>
      <c r="E6800" s="211"/>
      <c r="U6800" s="222"/>
    </row>
    <row r="6801" spans="2:21" x14ac:dyDescent="0.2">
      <c r="B6801" s="207"/>
      <c r="C6801" s="210"/>
      <c r="D6801" s="211"/>
      <c r="E6801" s="211"/>
      <c r="U6801" s="222"/>
    </row>
    <row r="6802" spans="2:21" x14ac:dyDescent="0.2">
      <c r="B6802" s="207"/>
      <c r="C6802" s="210"/>
      <c r="D6802" s="211"/>
      <c r="E6802" s="211"/>
      <c r="U6802" s="222"/>
    </row>
    <row r="6803" spans="2:21" x14ac:dyDescent="0.2">
      <c r="B6803" s="207"/>
      <c r="C6803" s="210"/>
      <c r="D6803" s="211"/>
      <c r="E6803" s="211"/>
      <c r="U6803" s="222"/>
    </row>
    <row r="6804" spans="2:21" x14ac:dyDescent="0.2">
      <c r="B6804" s="207"/>
      <c r="C6804" s="210"/>
      <c r="D6804" s="211"/>
      <c r="E6804" s="211"/>
      <c r="U6804" s="222"/>
    </row>
    <row r="6805" spans="2:21" x14ac:dyDescent="0.2">
      <c r="B6805" s="207"/>
      <c r="C6805" s="210"/>
      <c r="D6805" s="211"/>
      <c r="E6805" s="211"/>
      <c r="U6805" s="222"/>
    </row>
    <row r="6806" spans="2:21" x14ac:dyDescent="0.2">
      <c r="B6806" s="207"/>
      <c r="C6806" s="210"/>
      <c r="D6806" s="211"/>
      <c r="E6806" s="211"/>
      <c r="U6806" s="222"/>
    </row>
    <row r="6807" spans="2:21" x14ac:dyDescent="0.2">
      <c r="B6807" s="207"/>
      <c r="C6807" s="210"/>
      <c r="D6807" s="211"/>
      <c r="E6807" s="211"/>
      <c r="U6807" s="222"/>
    </row>
    <row r="6808" spans="2:21" x14ac:dyDescent="0.2">
      <c r="B6808" s="207"/>
      <c r="C6808" s="210"/>
      <c r="D6808" s="211"/>
      <c r="E6808" s="211"/>
      <c r="U6808" s="222"/>
    </row>
    <row r="6809" spans="2:21" x14ac:dyDescent="0.2">
      <c r="B6809" s="207"/>
      <c r="C6809" s="210"/>
      <c r="D6809" s="211"/>
      <c r="E6809" s="211"/>
      <c r="U6809" s="222"/>
    </row>
    <row r="6810" spans="2:21" x14ac:dyDescent="0.2">
      <c r="B6810" s="207"/>
      <c r="C6810" s="210"/>
      <c r="D6810" s="211"/>
      <c r="E6810" s="211"/>
      <c r="U6810" s="222"/>
    </row>
    <row r="6811" spans="2:21" x14ac:dyDescent="0.2">
      <c r="B6811" s="207"/>
      <c r="C6811" s="210"/>
      <c r="D6811" s="211"/>
      <c r="E6811" s="211"/>
      <c r="U6811" s="222"/>
    </row>
    <row r="6812" spans="2:21" x14ac:dyDescent="0.2">
      <c r="B6812" s="207"/>
      <c r="C6812" s="210"/>
      <c r="D6812" s="211"/>
      <c r="E6812" s="211"/>
      <c r="U6812" s="222"/>
    </row>
    <row r="6813" spans="2:21" x14ac:dyDescent="0.2">
      <c r="B6813" s="207"/>
      <c r="C6813" s="210"/>
      <c r="D6813" s="211"/>
      <c r="E6813" s="211"/>
      <c r="U6813" s="222"/>
    </row>
    <row r="6814" spans="2:21" x14ac:dyDescent="0.2">
      <c r="B6814" s="207"/>
      <c r="C6814" s="210"/>
      <c r="D6814" s="211"/>
      <c r="E6814" s="211"/>
      <c r="U6814" s="222"/>
    </row>
    <row r="6815" spans="2:21" x14ac:dyDescent="0.2">
      <c r="B6815" s="207"/>
      <c r="C6815" s="210"/>
      <c r="D6815" s="211"/>
      <c r="E6815" s="211"/>
      <c r="U6815" s="222"/>
    </row>
    <row r="6816" spans="2:21" x14ac:dyDescent="0.2">
      <c r="B6816" s="207"/>
      <c r="C6816" s="210"/>
      <c r="D6816" s="211"/>
      <c r="E6816" s="211"/>
      <c r="U6816" s="222"/>
    </row>
    <row r="6817" spans="2:21" x14ac:dyDescent="0.2">
      <c r="B6817" s="207"/>
      <c r="C6817" s="210"/>
      <c r="D6817" s="211"/>
      <c r="E6817" s="211"/>
      <c r="U6817" s="222"/>
    </row>
    <row r="6818" spans="2:21" x14ac:dyDescent="0.2">
      <c r="B6818" s="207"/>
      <c r="C6818" s="210"/>
      <c r="D6818" s="211"/>
      <c r="E6818" s="211"/>
      <c r="U6818" s="222"/>
    </row>
    <row r="6819" spans="2:21" x14ac:dyDescent="0.2">
      <c r="B6819" s="207"/>
      <c r="C6819" s="210"/>
      <c r="D6819" s="211"/>
      <c r="E6819" s="211"/>
      <c r="U6819" s="222"/>
    </row>
    <row r="6820" spans="2:21" x14ac:dyDescent="0.2">
      <c r="B6820" s="207"/>
      <c r="C6820" s="210"/>
      <c r="D6820" s="211"/>
      <c r="E6820" s="211"/>
      <c r="U6820" s="222"/>
    </row>
    <row r="6821" spans="2:21" x14ac:dyDescent="0.2">
      <c r="B6821" s="207"/>
      <c r="C6821" s="210"/>
      <c r="D6821" s="211"/>
      <c r="E6821" s="211"/>
      <c r="U6821" s="222"/>
    </row>
    <row r="6822" spans="2:21" x14ac:dyDescent="0.2">
      <c r="B6822" s="207"/>
      <c r="C6822" s="210"/>
      <c r="D6822" s="211"/>
      <c r="E6822" s="211"/>
      <c r="U6822" s="222"/>
    </row>
    <row r="6823" spans="2:21" x14ac:dyDescent="0.2">
      <c r="B6823" s="207"/>
      <c r="C6823" s="210"/>
      <c r="D6823" s="211"/>
      <c r="E6823" s="211"/>
      <c r="U6823" s="222"/>
    </row>
    <row r="6824" spans="2:21" x14ac:dyDescent="0.2">
      <c r="B6824" s="207"/>
      <c r="C6824" s="210"/>
      <c r="D6824" s="211"/>
      <c r="E6824" s="211"/>
      <c r="U6824" s="222"/>
    </row>
    <row r="6825" spans="2:21" x14ac:dyDescent="0.2">
      <c r="B6825" s="207"/>
      <c r="C6825" s="210"/>
      <c r="D6825" s="211"/>
      <c r="E6825" s="211"/>
      <c r="U6825" s="222"/>
    </row>
    <row r="6826" spans="2:21" x14ac:dyDescent="0.2">
      <c r="B6826" s="207"/>
      <c r="C6826" s="210"/>
      <c r="D6826" s="211"/>
      <c r="E6826" s="211"/>
      <c r="U6826" s="222"/>
    </row>
    <row r="6827" spans="2:21" x14ac:dyDescent="0.2">
      <c r="B6827" s="207"/>
      <c r="C6827" s="210"/>
      <c r="D6827" s="211"/>
      <c r="E6827" s="211"/>
      <c r="U6827" s="222"/>
    </row>
    <row r="6828" spans="2:21" x14ac:dyDescent="0.2">
      <c r="B6828" s="207"/>
      <c r="C6828" s="210"/>
      <c r="D6828" s="211"/>
      <c r="E6828" s="211"/>
      <c r="U6828" s="222"/>
    </row>
    <row r="6829" spans="2:21" x14ac:dyDescent="0.2">
      <c r="B6829" s="207"/>
      <c r="C6829" s="210"/>
      <c r="D6829" s="211"/>
      <c r="E6829" s="211"/>
      <c r="U6829" s="222"/>
    </row>
    <row r="6830" spans="2:21" x14ac:dyDescent="0.2">
      <c r="B6830" s="207"/>
      <c r="C6830" s="210"/>
      <c r="D6830" s="211"/>
      <c r="E6830" s="211"/>
      <c r="U6830" s="222"/>
    </row>
    <row r="6831" spans="2:21" x14ac:dyDescent="0.2">
      <c r="B6831" s="207"/>
      <c r="C6831" s="210"/>
      <c r="D6831" s="211"/>
      <c r="E6831" s="211"/>
      <c r="U6831" s="222"/>
    </row>
    <row r="6832" spans="2:21" x14ac:dyDescent="0.2">
      <c r="B6832" s="207"/>
      <c r="C6832" s="210"/>
      <c r="D6832" s="211"/>
      <c r="E6832" s="211"/>
      <c r="U6832" s="222"/>
    </row>
    <row r="6833" spans="2:21" x14ac:dyDescent="0.2">
      <c r="B6833" s="207"/>
      <c r="C6833" s="210"/>
      <c r="D6833" s="211"/>
      <c r="E6833" s="211"/>
      <c r="U6833" s="222"/>
    </row>
    <row r="6834" spans="2:21" x14ac:dyDescent="0.2">
      <c r="B6834" s="207"/>
      <c r="C6834" s="210"/>
      <c r="D6834" s="211"/>
      <c r="E6834" s="211"/>
      <c r="U6834" s="222"/>
    </row>
    <row r="6835" spans="2:21" x14ac:dyDescent="0.2">
      <c r="B6835" s="207"/>
      <c r="C6835" s="210"/>
      <c r="D6835" s="211"/>
      <c r="E6835" s="211"/>
      <c r="U6835" s="222"/>
    </row>
    <row r="6836" spans="2:21" x14ac:dyDescent="0.2">
      <c r="B6836" s="207"/>
      <c r="C6836" s="210"/>
      <c r="D6836" s="211"/>
      <c r="E6836" s="211"/>
      <c r="U6836" s="222"/>
    </row>
    <row r="6837" spans="2:21" x14ac:dyDescent="0.2">
      <c r="B6837" s="207"/>
      <c r="C6837" s="210"/>
      <c r="D6837" s="211"/>
      <c r="E6837" s="211"/>
      <c r="U6837" s="222"/>
    </row>
    <row r="6838" spans="2:21" x14ac:dyDescent="0.2">
      <c r="B6838" s="207"/>
      <c r="C6838" s="210"/>
      <c r="D6838" s="211"/>
      <c r="E6838" s="211"/>
      <c r="U6838" s="222"/>
    </row>
    <row r="6839" spans="2:21" x14ac:dyDescent="0.2">
      <c r="B6839" s="207"/>
      <c r="C6839" s="210"/>
      <c r="D6839" s="211"/>
      <c r="E6839" s="211"/>
      <c r="U6839" s="222"/>
    </row>
    <row r="6840" spans="2:21" x14ac:dyDescent="0.2">
      <c r="B6840" s="207"/>
      <c r="C6840" s="210"/>
      <c r="D6840" s="211"/>
      <c r="E6840" s="211"/>
      <c r="U6840" s="222"/>
    </row>
    <row r="6841" spans="2:21" x14ac:dyDescent="0.2">
      <c r="B6841" s="207"/>
      <c r="C6841" s="210"/>
      <c r="D6841" s="211"/>
      <c r="E6841" s="211"/>
      <c r="U6841" s="222"/>
    </row>
    <row r="6842" spans="2:21" x14ac:dyDescent="0.2">
      <c r="B6842" s="207"/>
      <c r="C6842" s="210"/>
      <c r="D6842" s="211"/>
      <c r="E6842" s="211"/>
      <c r="U6842" s="222"/>
    </row>
    <row r="6843" spans="2:21" x14ac:dyDescent="0.2">
      <c r="B6843" s="207"/>
      <c r="C6843" s="210"/>
      <c r="D6843" s="211"/>
      <c r="E6843" s="211"/>
      <c r="U6843" s="222"/>
    </row>
    <row r="6844" spans="2:21" x14ac:dyDescent="0.2">
      <c r="B6844" s="207"/>
      <c r="C6844" s="210"/>
      <c r="D6844" s="211"/>
      <c r="E6844" s="211"/>
      <c r="U6844" s="222"/>
    </row>
    <row r="6845" spans="2:21" x14ac:dyDescent="0.2">
      <c r="B6845" s="207"/>
      <c r="C6845" s="210"/>
      <c r="D6845" s="211"/>
      <c r="E6845" s="211"/>
      <c r="U6845" s="222"/>
    </row>
    <row r="6846" spans="2:21" x14ac:dyDescent="0.2">
      <c r="B6846" s="207"/>
      <c r="C6846" s="210"/>
      <c r="D6846" s="211"/>
      <c r="E6846" s="211"/>
      <c r="U6846" s="222"/>
    </row>
    <row r="6847" spans="2:21" x14ac:dyDescent="0.2">
      <c r="B6847" s="207"/>
      <c r="C6847" s="210"/>
      <c r="D6847" s="211"/>
      <c r="E6847" s="211"/>
      <c r="U6847" s="222"/>
    </row>
    <row r="6848" spans="2:21" x14ac:dyDescent="0.2">
      <c r="B6848" s="207"/>
      <c r="C6848" s="210"/>
      <c r="D6848" s="211"/>
      <c r="E6848" s="211"/>
      <c r="U6848" s="222"/>
    </row>
    <row r="6849" spans="2:21" x14ac:dyDescent="0.2">
      <c r="B6849" s="207"/>
      <c r="C6849" s="210"/>
      <c r="D6849" s="211"/>
      <c r="E6849" s="211"/>
      <c r="U6849" s="222"/>
    </row>
    <row r="6850" spans="2:21" x14ac:dyDescent="0.2">
      <c r="B6850" s="207"/>
      <c r="C6850" s="210"/>
      <c r="D6850" s="211"/>
      <c r="E6850" s="211"/>
      <c r="U6850" s="222"/>
    </row>
    <row r="6851" spans="2:21" x14ac:dyDescent="0.2">
      <c r="B6851" s="207"/>
      <c r="C6851" s="210"/>
      <c r="D6851" s="211"/>
      <c r="E6851" s="211"/>
      <c r="U6851" s="222"/>
    </row>
    <row r="6852" spans="2:21" x14ac:dyDescent="0.2">
      <c r="B6852" s="207"/>
      <c r="C6852" s="210"/>
      <c r="D6852" s="211"/>
      <c r="E6852" s="211"/>
      <c r="U6852" s="222"/>
    </row>
    <row r="6853" spans="2:21" x14ac:dyDescent="0.2">
      <c r="B6853" s="207"/>
      <c r="C6853" s="210"/>
      <c r="D6853" s="211"/>
      <c r="E6853" s="211"/>
      <c r="U6853" s="222"/>
    </row>
    <row r="6854" spans="2:21" x14ac:dyDescent="0.2">
      <c r="B6854" s="207"/>
      <c r="C6854" s="210"/>
      <c r="D6854" s="211"/>
      <c r="E6854" s="211"/>
      <c r="U6854" s="222"/>
    </row>
    <row r="6855" spans="2:21" x14ac:dyDescent="0.2">
      <c r="B6855" s="207"/>
      <c r="C6855" s="210"/>
      <c r="D6855" s="211"/>
      <c r="E6855" s="211"/>
      <c r="U6855" s="222"/>
    </row>
    <row r="6856" spans="2:21" x14ac:dyDescent="0.2">
      <c r="B6856" s="207"/>
      <c r="C6856" s="210"/>
      <c r="D6856" s="211"/>
      <c r="E6856" s="211"/>
      <c r="U6856" s="222"/>
    </row>
    <row r="6857" spans="2:21" x14ac:dyDescent="0.2">
      <c r="B6857" s="207"/>
      <c r="C6857" s="210"/>
      <c r="D6857" s="211"/>
      <c r="E6857" s="211"/>
      <c r="U6857" s="222"/>
    </row>
    <row r="6858" spans="2:21" x14ac:dyDescent="0.2">
      <c r="B6858" s="207"/>
      <c r="C6858" s="210"/>
      <c r="D6858" s="211"/>
      <c r="E6858" s="211"/>
      <c r="U6858" s="222"/>
    </row>
    <row r="6859" spans="2:21" x14ac:dyDescent="0.2">
      <c r="B6859" s="207"/>
      <c r="C6859" s="210"/>
      <c r="D6859" s="211"/>
      <c r="E6859" s="211"/>
      <c r="U6859" s="222"/>
    </row>
    <row r="6860" spans="2:21" x14ac:dyDescent="0.2">
      <c r="B6860" s="207"/>
      <c r="C6860" s="210"/>
      <c r="D6860" s="211"/>
      <c r="E6860" s="211"/>
      <c r="U6860" s="222"/>
    </row>
    <row r="6861" spans="2:21" x14ac:dyDescent="0.2">
      <c r="B6861" s="207"/>
      <c r="C6861" s="210"/>
      <c r="D6861" s="211"/>
      <c r="E6861" s="211"/>
      <c r="U6861" s="222"/>
    </row>
    <row r="6862" spans="2:21" x14ac:dyDescent="0.2">
      <c r="B6862" s="207"/>
      <c r="C6862" s="210"/>
      <c r="D6862" s="211"/>
      <c r="E6862" s="211"/>
      <c r="U6862" s="222"/>
    </row>
    <row r="6863" spans="2:21" x14ac:dyDescent="0.2">
      <c r="B6863" s="207"/>
      <c r="C6863" s="210"/>
      <c r="D6863" s="211"/>
      <c r="E6863" s="211"/>
      <c r="U6863" s="222"/>
    </row>
    <row r="6864" spans="2:21" x14ac:dyDescent="0.2">
      <c r="B6864" s="207"/>
      <c r="C6864" s="210"/>
      <c r="D6864" s="211"/>
      <c r="E6864" s="211"/>
      <c r="U6864" s="222"/>
    </row>
    <row r="6865" spans="2:21" x14ac:dyDescent="0.2">
      <c r="B6865" s="207"/>
      <c r="C6865" s="210"/>
      <c r="D6865" s="211"/>
      <c r="E6865" s="211"/>
      <c r="U6865" s="222"/>
    </row>
    <row r="6866" spans="2:21" x14ac:dyDescent="0.2">
      <c r="B6866" s="207"/>
      <c r="C6866" s="210"/>
      <c r="D6866" s="211"/>
      <c r="E6866" s="211"/>
      <c r="U6866" s="222"/>
    </row>
    <row r="6867" spans="2:21" x14ac:dyDescent="0.2">
      <c r="B6867" s="207"/>
      <c r="C6867" s="210"/>
      <c r="D6867" s="211"/>
      <c r="E6867" s="211"/>
      <c r="U6867" s="222"/>
    </row>
    <row r="6868" spans="2:21" x14ac:dyDescent="0.2">
      <c r="B6868" s="207"/>
      <c r="C6868" s="210"/>
      <c r="D6868" s="211"/>
      <c r="E6868" s="211"/>
      <c r="U6868" s="222"/>
    </row>
    <row r="6869" spans="2:21" x14ac:dyDescent="0.2">
      <c r="B6869" s="207"/>
      <c r="C6869" s="210"/>
      <c r="D6869" s="211"/>
      <c r="E6869" s="211"/>
      <c r="U6869" s="222"/>
    </row>
    <row r="6870" spans="2:21" x14ac:dyDescent="0.2">
      <c r="B6870" s="207"/>
      <c r="C6870" s="210"/>
      <c r="D6870" s="211"/>
      <c r="E6870" s="211"/>
      <c r="U6870" s="222"/>
    </row>
    <row r="6871" spans="2:21" x14ac:dyDescent="0.2">
      <c r="B6871" s="207"/>
      <c r="C6871" s="210"/>
      <c r="D6871" s="211"/>
      <c r="E6871" s="211"/>
      <c r="U6871" s="222"/>
    </row>
    <row r="6872" spans="2:21" x14ac:dyDescent="0.2">
      <c r="B6872" s="207"/>
      <c r="C6872" s="210"/>
      <c r="D6872" s="211"/>
      <c r="E6872" s="211"/>
      <c r="U6872" s="222"/>
    </row>
    <row r="6873" spans="2:21" x14ac:dyDescent="0.2">
      <c r="B6873" s="207"/>
      <c r="C6873" s="210"/>
      <c r="D6873" s="211"/>
      <c r="E6873" s="211"/>
      <c r="U6873" s="222"/>
    </row>
    <row r="6874" spans="2:21" x14ac:dyDescent="0.2">
      <c r="B6874" s="207"/>
      <c r="C6874" s="210"/>
      <c r="D6874" s="211"/>
      <c r="E6874" s="211"/>
      <c r="U6874" s="222"/>
    </row>
    <row r="6875" spans="2:21" x14ac:dyDescent="0.2">
      <c r="B6875" s="207"/>
      <c r="C6875" s="210"/>
      <c r="D6875" s="211"/>
      <c r="E6875" s="211"/>
      <c r="U6875" s="222"/>
    </row>
    <row r="6876" spans="2:21" x14ac:dyDescent="0.2">
      <c r="B6876" s="207"/>
      <c r="C6876" s="210"/>
      <c r="D6876" s="211"/>
      <c r="E6876" s="211"/>
      <c r="U6876" s="222"/>
    </row>
    <row r="6877" spans="2:21" x14ac:dyDescent="0.2">
      <c r="B6877" s="207"/>
      <c r="C6877" s="210"/>
      <c r="D6877" s="211"/>
      <c r="E6877" s="211"/>
      <c r="U6877" s="222"/>
    </row>
    <row r="6878" spans="2:21" x14ac:dyDescent="0.2">
      <c r="B6878" s="207"/>
      <c r="C6878" s="210"/>
      <c r="D6878" s="211"/>
      <c r="E6878" s="211"/>
      <c r="U6878" s="222"/>
    </row>
    <row r="6879" spans="2:21" x14ac:dyDescent="0.2">
      <c r="B6879" s="207"/>
      <c r="C6879" s="210"/>
      <c r="D6879" s="211"/>
      <c r="E6879" s="211"/>
      <c r="U6879" s="222"/>
    </row>
    <row r="6880" spans="2:21" x14ac:dyDescent="0.2">
      <c r="B6880" s="207"/>
      <c r="C6880" s="210"/>
      <c r="D6880" s="211"/>
      <c r="E6880" s="211"/>
      <c r="U6880" s="222"/>
    </row>
    <row r="6881" spans="2:21" x14ac:dyDescent="0.2">
      <c r="B6881" s="207"/>
      <c r="C6881" s="210"/>
      <c r="D6881" s="211"/>
      <c r="E6881" s="211"/>
      <c r="U6881" s="222"/>
    </row>
    <row r="6882" spans="2:21" x14ac:dyDescent="0.2">
      <c r="B6882" s="207"/>
      <c r="C6882" s="210"/>
      <c r="D6882" s="211"/>
      <c r="E6882" s="211"/>
      <c r="U6882" s="222"/>
    </row>
    <row r="6883" spans="2:21" x14ac:dyDescent="0.2">
      <c r="B6883" s="207"/>
      <c r="C6883" s="210"/>
      <c r="D6883" s="211"/>
      <c r="E6883" s="211"/>
      <c r="U6883" s="222"/>
    </row>
    <row r="6884" spans="2:21" x14ac:dyDescent="0.2">
      <c r="B6884" s="207"/>
      <c r="C6884" s="210"/>
      <c r="D6884" s="211"/>
      <c r="E6884" s="211"/>
      <c r="U6884" s="222"/>
    </row>
    <row r="6885" spans="2:21" x14ac:dyDescent="0.2">
      <c r="B6885" s="207"/>
      <c r="C6885" s="210"/>
      <c r="D6885" s="211"/>
      <c r="E6885" s="211"/>
      <c r="U6885" s="222"/>
    </row>
    <row r="6886" spans="2:21" x14ac:dyDescent="0.2">
      <c r="B6886" s="207"/>
      <c r="C6886" s="210"/>
      <c r="D6886" s="211"/>
      <c r="E6886" s="211"/>
      <c r="U6886" s="222"/>
    </row>
    <row r="6887" spans="2:21" x14ac:dyDescent="0.2">
      <c r="B6887" s="207"/>
      <c r="C6887" s="210"/>
      <c r="D6887" s="211"/>
      <c r="E6887" s="211"/>
      <c r="U6887" s="222"/>
    </row>
    <row r="6888" spans="2:21" x14ac:dyDescent="0.2">
      <c r="B6888" s="207"/>
      <c r="C6888" s="210"/>
      <c r="D6888" s="211"/>
      <c r="E6888" s="211"/>
      <c r="U6888" s="222"/>
    </row>
    <row r="6889" spans="2:21" x14ac:dyDescent="0.2">
      <c r="B6889" s="207"/>
      <c r="C6889" s="210"/>
      <c r="D6889" s="211"/>
      <c r="E6889" s="211"/>
      <c r="U6889" s="222"/>
    </row>
    <row r="6890" spans="2:21" x14ac:dyDescent="0.2">
      <c r="B6890" s="207"/>
      <c r="C6890" s="210"/>
      <c r="D6890" s="211"/>
      <c r="E6890" s="211"/>
      <c r="U6890" s="222"/>
    </row>
    <row r="6891" spans="2:21" x14ac:dyDescent="0.2">
      <c r="B6891" s="207"/>
      <c r="C6891" s="210"/>
      <c r="D6891" s="211"/>
      <c r="E6891" s="211"/>
      <c r="U6891" s="222"/>
    </row>
    <row r="6892" spans="2:21" x14ac:dyDescent="0.2">
      <c r="B6892" s="207"/>
      <c r="C6892" s="210"/>
      <c r="D6892" s="211"/>
      <c r="E6892" s="211"/>
      <c r="U6892" s="222"/>
    </row>
    <row r="6893" spans="2:21" x14ac:dyDescent="0.2">
      <c r="B6893" s="207"/>
      <c r="C6893" s="210"/>
      <c r="D6893" s="211"/>
      <c r="E6893" s="211"/>
      <c r="U6893" s="222"/>
    </row>
    <row r="6894" spans="2:21" x14ac:dyDescent="0.2">
      <c r="B6894" s="207"/>
      <c r="C6894" s="210"/>
      <c r="D6894" s="211"/>
      <c r="E6894" s="211"/>
      <c r="U6894" s="222"/>
    </row>
    <row r="6895" spans="2:21" x14ac:dyDescent="0.2">
      <c r="B6895" s="207"/>
      <c r="C6895" s="210"/>
      <c r="D6895" s="211"/>
      <c r="E6895" s="211"/>
      <c r="U6895" s="222"/>
    </row>
    <row r="6896" spans="2:21" x14ac:dyDescent="0.2">
      <c r="B6896" s="207"/>
      <c r="C6896" s="210"/>
      <c r="D6896" s="211"/>
      <c r="E6896" s="211"/>
      <c r="U6896" s="222"/>
    </row>
    <row r="6897" spans="2:21" x14ac:dyDescent="0.2">
      <c r="B6897" s="207"/>
      <c r="C6897" s="210"/>
      <c r="D6897" s="211"/>
      <c r="E6897" s="211"/>
      <c r="U6897" s="222"/>
    </row>
    <row r="6898" spans="2:21" x14ac:dyDescent="0.2">
      <c r="B6898" s="207"/>
      <c r="C6898" s="210"/>
      <c r="D6898" s="211"/>
      <c r="E6898" s="211"/>
      <c r="U6898" s="222"/>
    </row>
    <row r="6899" spans="2:21" x14ac:dyDescent="0.2">
      <c r="B6899" s="207"/>
      <c r="C6899" s="210"/>
      <c r="D6899" s="211"/>
      <c r="E6899" s="211"/>
      <c r="U6899" s="222"/>
    </row>
    <row r="6900" spans="2:21" x14ac:dyDescent="0.2">
      <c r="B6900" s="207"/>
      <c r="C6900" s="210"/>
      <c r="D6900" s="211"/>
      <c r="E6900" s="211"/>
      <c r="U6900" s="222"/>
    </row>
    <row r="6901" spans="2:21" x14ac:dyDescent="0.2">
      <c r="B6901" s="207"/>
      <c r="C6901" s="210"/>
      <c r="D6901" s="211"/>
      <c r="E6901" s="211"/>
      <c r="U6901" s="222"/>
    </row>
    <row r="6902" spans="2:21" x14ac:dyDescent="0.2">
      <c r="B6902" s="207"/>
      <c r="C6902" s="210"/>
      <c r="D6902" s="211"/>
      <c r="E6902" s="211"/>
      <c r="U6902" s="222"/>
    </row>
    <row r="6903" spans="2:21" x14ac:dyDescent="0.2">
      <c r="B6903" s="207"/>
      <c r="C6903" s="210"/>
      <c r="D6903" s="211"/>
      <c r="E6903" s="211"/>
      <c r="U6903" s="222"/>
    </row>
    <row r="6904" spans="2:21" x14ac:dyDescent="0.2">
      <c r="B6904" s="207"/>
      <c r="C6904" s="210"/>
      <c r="D6904" s="211"/>
      <c r="E6904" s="211"/>
      <c r="U6904" s="222"/>
    </row>
    <row r="6905" spans="2:21" x14ac:dyDescent="0.2">
      <c r="B6905" s="207"/>
      <c r="C6905" s="210"/>
      <c r="D6905" s="211"/>
      <c r="E6905" s="211"/>
      <c r="U6905" s="222"/>
    </row>
    <row r="6906" spans="2:21" x14ac:dyDescent="0.2">
      <c r="B6906" s="207"/>
      <c r="C6906" s="210"/>
      <c r="D6906" s="211"/>
      <c r="E6906" s="211"/>
      <c r="U6906" s="222"/>
    </row>
    <row r="6907" spans="2:21" x14ac:dyDescent="0.2">
      <c r="B6907" s="207"/>
      <c r="C6907" s="210"/>
      <c r="D6907" s="211"/>
      <c r="E6907" s="211"/>
      <c r="U6907" s="222"/>
    </row>
    <row r="6908" spans="2:21" x14ac:dyDescent="0.2">
      <c r="B6908" s="207"/>
      <c r="C6908" s="210"/>
      <c r="D6908" s="211"/>
      <c r="E6908" s="211"/>
      <c r="U6908" s="222"/>
    </row>
    <row r="6909" spans="2:21" x14ac:dyDescent="0.2">
      <c r="B6909" s="207"/>
      <c r="C6909" s="210"/>
      <c r="D6909" s="211"/>
      <c r="E6909" s="211"/>
      <c r="U6909" s="222"/>
    </row>
    <row r="6910" spans="2:21" x14ac:dyDescent="0.2">
      <c r="B6910" s="207"/>
      <c r="C6910" s="210"/>
      <c r="D6910" s="211"/>
      <c r="E6910" s="211"/>
      <c r="U6910" s="222"/>
    </row>
    <row r="6911" spans="2:21" x14ac:dyDescent="0.2">
      <c r="B6911" s="207"/>
      <c r="C6911" s="210"/>
      <c r="D6911" s="211"/>
      <c r="E6911" s="211"/>
      <c r="U6911" s="222"/>
    </row>
    <row r="6912" spans="2:21" x14ac:dyDescent="0.2">
      <c r="B6912" s="207"/>
      <c r="C6912" s="210"/>
      <c r="D6912" s="211"/>
      <c r="E6912" s="211"/>
      <c r="U6912" s="222"/>
    </row>
    <row r="6913" spans="2:21" x14ac:dyDescent="0.2">
      <c r="B6913" s="207"/>
      <c r="C6913" s="210"/>
      <c r="D6913" s="211"/>
      <c r="E6913" s="211"/>
      <c r="U6913" s="222"/>
    </row>
    <row r="6914" spans="2:21" x14ac:dyDescent="0.2">
      <c r="B6914" s="207"/>
      <c r="C6914" s="210"/>
      <c r="D6914" s="211"/>
      <c r="E6914" s="211"/>
      <c r="U6914" s="222"/>
    </row>
    <row r="6915" spans="2:21" x14ac:dyDescent="0.2">
      <c r="B6915" s="207"/>
      <c r="C6915" s="210"/>
      <c r="D6915" s="211"/>
      <c r="E6915" s="211"/>
      <c r="U6915" s="222"/>
    </row>
    <row r="6916" spans="2:21" x14ac:dyDescent="0.2">
      <c r="B6916" s="207"/>
      <c r="C6916" s="210"/>
      <c r="D6916" s="211"/>
      <c r="E6916" s="211"/>
      <c r="U6916" s="222"/>
    </row>
    <row r="6917" spans="2:21" x14ac:dyDescent="0.2">
      <c r="B6917" s="207"/>
      <c r="C6917" s="210"/>
      <c r="D6917" s="211"/>
      <c r="E6917" s="211"/>
      <c r="U6917" s="222"/>
    </row>
    <row r="6918" spans="2:21" x14ac:dyDescent="0.2">
      <c r="B6918" s="207"/>
      <c r="C6918" s="210"/>
      <c r="D6918" s="211"/>
      <c r="E6918" s="211"/>
      <c r="U6918" s="222"/>
    </row>
    <row r="6919" spans="2:21" x14ac:dyDescent="0.2">
      <c r="B6919" s="207"/>
      <c r="C6919" s="210"/>
      <c r="D6919" s="211"/>
      <c r="E6919" s="211"/>
      <c r="U6919" s="222"/>
    </row>
    <row r="6920" spans="2:21" x14ac:dyDescent="0.2">
      <c r="B6920" s="207"/>
      <c r="C6920" s="210"/>
      <c r="D6920" s="211"/>
      <c r="E6920" s="211"/>
      <c r="U6920" s="222"/>
    </row>
    <row r="6921" spans="2:21" x14ac:dyDescent="0.2">
      <c r="B6921" s="207"/>
      <c r="C6921" s="210"/>
      <c r="D6921" s="211"/>
      <c r="E6921" s="211"/>
      <c r="U6921" s="222"/>
    </row>
    <row r="6922" spans="2:21" x14ac:dyDescent="0.2">
      <c r="B6922" s="207"/>
      <c r="C6922" s="210"/>
      <c r="D6922" s="211"/>
      <c r="E6922" s="211"/>
      <c r="U6922" s="222"/>
    </row>
    <row r="6923" spans="2:21" x14ac:dyDescent="0.2">
      <c r="B6923" s="207"/>
      <c r="C6923" s="210"/>
      <c r="D6923" s="211"/>
      <c r="E6923" s="211"/>
      <c r="U6923" s="222"/>
    </row>
    <row r="6924" spans="2:21" x14ac:dyDescent="0.2">
      <c r="B6924" s="207"/>
      <c r="C6924" s="210"/>
      <c r="D6924" s="211"/>
      <c r="E6924" s="211"/>
      <c r="U6924" s="222"/>
    </row>
    <row r="6925" spans="2:21" x14ac:dyDescent="0.2">
      <c r="B6925" s="207"/>
      <c r="C6925" s="210"/>
      <c r="D6925" s="211"/>
      <c r="E6925" s="211"/>
      <c r="U6925" s="222"/>
    </row>
    <row r="6926" spans="2:21" x14ac:dyDescent="0.2">
      <c r="B6926" s="207"/>
      <c r="C6926" s="210"/>
      <c r="D6926" s="211"/>
      <c r="E6926" s="211"/>
      <c r="U6926" s="222"/>
    </row>
    <row r="6927" spans="2:21" x14ac:dyDescent="0.2">
      <c r="B6927" s="207"/>
      <c r="C6927" s="210"/>
      <c r="D6927" s="211"/>
      <c r="E6927" s="211"/>
      <c r="U6927" s="222"/>
    </row>
    <row r="6928" spans="2:21" x14ac:dyDescent="0.2">
      <c r="B6928" s="207"/>
      <c r="C6928" s="210"/>
      <c r="D6928" s="211"/>
      <c r="E6928" s="211"/>
      <c r="U6928" s="222"/>
    </row>
    <row r="6929" spans="2:21" x14ac:dyDescent="0.2">
      <c r="B6929" s="207"/>
      <c r="C6929" s="210"/>
      <c r="D6929" s="211"/>
      <c r="E6929" s="211"/>
      <c r="U6929" s="222"/>
    </row>
    <row r="6930" spans="2:21" x14ac:dyDescent="0.2">
      <c r="B6930" s="207"/>
      <c r="C6930" s="210"/>
      <c r="D6930" s="211"/>
      <c r="E6930" s="211"/>
      <c r="U6930" s="222"/>
    </row>
    <row r="6931" spans="2:21" x14ac:dyDescent="0.2">
      <c r="B6931" s="207"/>
      <c r="C6931" s="210"/>
      <c r="D6931" s="211"/>
      <c r="E6931" s="211"/>
      <c r="U6931" s="222"/>
    </row>
    <row r="6932" spans="2:21" x14ac:dyDescent="0.2">
      <c r="B6932" s="207"/>
      <c r="C6932" s="210"/>
      <c r="D6932" s="211"/>
      <c r="E6932" s="211"/>
      <c r="U6932" s="222"/>
    </row>
    <row r="6933" spans="2:21" x14ac:dyDescent="0.2">
      <c r="B6933" s="207"/>
      <c r="C6933" s="210"/>
      <c r="D6933" s="211"/>
      <c r="E6933" s="211"/>
      <c r="U6933" s="222"/>
    </row>
    <row r="6934" spans="2:21" x14ac:dyDescent="0.2">
      <c r="B6934" s="207"/>
      <c r="C6934" s="210"/>
      <c r="D6934" s="211"/>
      <c r="E6934" s="211"/>
      <c r="U6934" s="222"/>
    </row>
    <row r="6935" spans="2:21" x14ac:dyDescent="0.2">
      <c r="B6935" s="207"/>
      <c r="C6935" s="210"/>
      <c r="D6935" s="211"/>
      <c r="E6935" s="211"/>
      <c r="U6935" s="222"/>
    </row>
    <row r="6936" spans="2:21" x14ac:dyDescent="0.2">
      <c r="B6936" s="207"/>
      <c r="C6936" s="210"/>
      <c r="D6936" s="211"/>
      <c r="E6936" s="211"/>
      <c r="U6936" s="222"/>
    </row>
    <row r="6937" spans="2:21" x14ac:dyDescent="0.2">
      <c r="B6937" s="207"/>
      <c r="C6937" s="210"/>
      <c r="D6937" s="211"/>
      <c r="E6937" s="211"/>
      <c r="U6937" s="222"/>
    </row>
    <row r="6938" spans="2:21" x14ac:dyDescent="0.2">
      <c r="B6938" s="207"/>
      <c r="C6938" s="210"/>
      <c r="D6938" s="211"/>
      <c r="E6938" s="211"/>
      <c r="U6938" s="222"/>
    </row>
    <row r="6939" spans="2:21" x14ac:dyDescent="0.2">
      <c r="B6939" s="207"/>
      <c r="C6939" s="210"/>
      <c r="D6939" s="211"/>
      <c r="E6939" s="211"/>
      <c r="U6939" s="222"/>
    </row>
    <row r="6940" spans="2:21" x14ac:dyDescent="0.2">
      <c r="B6940" s="207"/>
      <c r="C6940" s="210"/>
      <c r="D6940" s="211"/>
      <c r="E6940" s="211"/>
      <c r="U6940" s="222"/>
    </row>
    <row r="6941" spans="2:21" x14ac:dyDescent="0.2">
      <c r="B6941" s="207"/>
      <c r="C6941" s="210"/>
      <c r="D6941" s="211"/>
      <c r="E6941" s="211"/>
      <c r="U6941" s="222"/>
    </row>
    <row r="6942" spans="2:21" x14ac:dyDescent="0.2">
      <c r="B6942" s="207"/>
      <c r="C6942" s="210"/>
      <c r="D6942" s="211"/>
      <c r="E6942" s="211"/>
      <c r="U6942" s="222"/>
    </row>
    <row r="6943" spans="2:21" x14ac:dyDescent="0.2">
      <c r="B6943" s="207"/>
      <c r="C6943" s="210"/>
      <c r="D6943" s="211"/>
      <c r="E6943" s="211"/>
      <c r="U6943" s="222"/>
    </row>
    <row r="6944" spans="2:21" x14ac:dyDescent="0.2">
      <c r="B6944" s="207"/>
      <c r="C6944" s="210"/>
      <c r="D6944" s="211"/>
      <c r="E6944" s="211"/>
      <c r="U6944" s="222"/>
    </row>
    <row r="6945" spans="2:21" x14ac:dyDescent="0.2">
      <c r="B6945" s="207"/>
      <c r="C6945" s="210"/>
      <c r="D6945" s="211"/>
      <c r="E6945" s="211"/>
      <c r="U6945" s="222"/>
    </row>
    <row r="6946" spans="2:21" x14ac:dyDescent="0.2">
      <c r="B6946" s="207"/>
      <c r="C6946" s="210"/>
      <c r="D6946" s="211"/>
      <c r="E6946" s="211"/>
      <c r="U6946" s="222"/>
    </row>
    <row r="6947" spans="2:21" x14ac:dyDescent="0.2">
      <c r="B6947" s="207"/>
      <c r="C6947" s="210"/>
      <c r="D6947" s="211"/>
      <c r="E6947" s="211"/>
      <c r="U6947" s="222"/>
    </row>
    <row r="6948" spans="2:21" x14ac:dyDescent="0.2">
      <c r="B6948" s="207"/>
      <c r="C6948" s="210"/>
      <c r="D6948" s="211"/>
      <c r="E6948" s="211"/>
      <c r="U6948" s="222"/>
    </row>
    <row r="6949" spans="2:21" x14ac:dyDescent="0.2">
      <c r="B6949" s="207"/>
      <c r="C6949" s="210"/>
      <c r="D6949" s="211"/>
      <c r="E6949" s="211"/>
      <c r="U6949" s="222"/>
    </row>
    <row r="6950" spans="2:21" x14ac:dyDescent="0.2">
      <c r="B6950" s="207"/>
      <c r="C6950" s="210"/>
      <c r="D6950" s="211"/>
      <c r="E6950" s="211"/>
      <c r="U6950" s="222"/>
    </row>
    <row r="6951" spans="2:21" x14ac:dyDescent="0.2">
      <c r="B6951" s="207"/>
      <c r="C6951" s="210"/>
      <c r="D6951" s="211"/>
      <c r="E6951" s="211"/>
      <c r="U6951" s="222"/>
    </row>
    <row r="6952" spans="2:21" x14ac:dyDescent="0.2">
      <c r="B6952" s="207"/>
      <c r="C6952" s="210"/>
      <c r="D6952" s="211"/>
      <c r="E6952" s="211"/>
      <c r="U6952" s="222"/>
    </row>
    <row r="6953" spans="2:21" x14ac:dyDescent="0.2">
      <c r="B6953" s="207"/>
      <c r="C6953" s="210"/>
      <c r="D6953" s="211"/>
      <c r="E6953" s="211"/>
      <c r="U6953" s="222"/>
    </row>
    <row r="6954" spans="2:21" x14ac:dyDescent="0.2">
      <c r="B6954" s="207"/>
      <c r="C6954" s="210"/>
      <c r="D6954" s="211"/>
      <c r="E6954" s="211"/>
      <c r="U6954" s="222"/>
    </row>
    <row r="6955" spans="2:21" x14ac:dyDescent="0.2">
      <c r="B6955" s="207"/>
      <c r="C6955" s="210"/>
      <c r="D6955" s="211"/>
      <c r="E6955" s="211"/>
      <c r="U6955" s="222"/>
    </row>
    <row r="6956" spans="2:21" x14ac:dyDescent="0.2">
      <c r="B6956" s="207"/>
      <c r="C6956" s="210"/>
      <c r="D6956" s="211"/>
      <c r="E6956" s="211"/>
      <c r="U6956" s="222"/>
    </row>
    <row r="6957" spans="2:21" x14ac:dyDescent="0.2">
      <c r="B6957" s="207"/>
      <c r="C6957" s="210"/>
      <c r="D6957" s="211"/>
      <c r="E6957" s="211"/>
      <c r="U6957" s="222"/>
    </row>
    <row r="6958" spans="2:21" x14ac:dyDescent="0.2">
      <c r="B6958" s="207"/>
      <c r="C6958" s="210"/>
      <c r="D6958" s="211"/>
      <c r="E6958" s="211"/>
      <c r="U6958" s="222"/>
    </row>
    <row r="6959" spans="2:21" x14ac:dyDescent="0.2">
      <c r="B6959" s="207"/>
      <c r="C6959" s="210"/>
      <c r="D6959" s="211"/>
      <c r="E6959" s="211"/>
      <c r="U6959" s="222"/>
    </row>
    <row r="6960" spans="2:21" x14ac:dyDescent="0.2">
      <c r="B6960" s="207"/>
      <c r="C6960" s="210"/>
      <c r="D6960" s="211"/>
      <c r="E6960" s="211"/>
      <c r="U6960" s="222"/>
    </row>
    <row r="6961" spans="2:21" x14ac:dyDescent="0.2">
      <c r="B6961" s="207"/>
      <c r="C6961" s="210"/>
      <c r="D6961" s="211"/>
      <c r="E6961" s="211"/>
      <c r="U6961" s="222"/>
    </row>
    <row r="6962" spans="2:21" x14ac:dyDescent="0.2">
      <c r="B6962" s="207"/>
      <c r="C6962" s="210"/>
      <c r="D6962" s="211"/>
      <c r="E6962" s="211"/>
      <c r="U6962" s="222"/>
    </row>
    <row r="6963" spans="2:21" x14ac:dyDescent="0.2">
      <c r="B6963" s="207"/>
      <c r="C6963" s="210"/>
      <c r="D6963" s="211"/>
      <c r="E6963" s="211"/>
      <c r="U6963" s="222"/>
    </row>
    <row r="6964" spans="2:21" x14ac:dyDescent="0.2">
      <c r="B6964" s="207"/>
      <c r="C6964" s="210"/>
      <c r="D6964" s="211"/>
      <c r="E6964" s="211"/>
      <c r="U6964" s="222"/>
    </row>
    <row r="6965" spans="2:21" x14ac:dyDescent="0.2">
      <c r="B6965" s="207"/>
      <c r="C6965" s="210"/>
      <c r="D6965" s="211"/>
      <c r="E6965" s="211"/>
      <c r="U6965" s="222"/>
    </row>
    <row r="6966" spans="2:21" x14ac:dyDescent="0.2">
      <c r="B6966" s="207"/>
      <c r="C6966" s="210"/>
      <c r="D6966" s="211"/>
      <c r="E6966" s="211"/>
      <c r="U6966" s="222"/>
    </row>
    <row r="6967" spans="2:21" x14ac:dyDescent="0.2">
      <c r="B6967" s="207"/>
      <c r="C6967" s="210"/>
      <c r="D6967" s="211"/>
      <c r="E6967" s="211"/>
      <c r="U6967" s="222"/>
    </row>
    <row r="6968" spans="2:21" x14ac:dyDescent="0.2">
      <c r="B6968" s="207"/>
      <c r="C6968" s="210"/>
      <c r="D6968" s="211"/>
      <c r="E6968" s="211"/>
      <c r="U6968" s="222"/>
    </row>
    <row r="6969" spans="2:21" x14ac:dyDescent="0.2">
      <c r="B6969" s="207"/>
      <c r="C6969" s="210"/>
      <c r="D6969" s="211"/>
      <c r="E6969" s="211"/>
      <c r="U6969" s="222"/>
    </row>
    <row r="6970" spans="2:21" x14ac:dyDescent="0.2">
      <c r="B6970" s="207"/>
      <c r="C6970" s="210"/>
      <c r="D6970" s="211"/>
      <c r="E6970" s="211"/>
      <c r="U6970" s="222"/>
    </row>
    <row r="6971" spans="2:21" x14ac:dyDescent="0.2">
      <c r="B6971" s="207"/>
      <c r="C6971" s="210"/>
      <c r="D6971" s="211"/>
      <c r="E6971" s="211"/>
      <c r="U6971" s="222"/>
    </row>
    <row r="6972" spans="2:21" x14ac:dyDescent="0.2">
      <c r="B6972" s="207"/>
      <c r="C6972" s="210"/>
      <c r="D6972" s="211"/>
      <c r="E6972" s="211"/>
      <c r="U6972" s="222"/>
    </row>
    <row r="6973" spans="2:21" x14ac:dyDescent="0.2">
      <c r="B6973" s="207"/>
      <c r="C6973" s="210"/>
      <c r="D6973" s="211"/>
      <c r="E6973" s="211"/>
      <c r="U6973" s="222"/>
    </row>
    <row r="6974" spans="2:21" x14ac:dyDescent="0.2">
      <c r="B6974" s="207"/>
      <c r="C6974" s="210"/>
      <c r="D6974" s="211"/>
      <c r="E6974" s="211"/>
      <c r="U6974" s="222"/>
    </row>
    <row r="6975" spans="2:21" x14ac:dyDescent="0.2">
      <c r="B6975" s="207"/>
      <c r="C6975" s="210"/>
      <c r="D6975" s="211"/>
      <c r="E6975" s="211"/>
      <c r="U6975" s="222"/>
    </row>
    <row r="6976" spans="2:21" x14ac:dyDescent="0.2">
      <c r="B6976" s="207"/>
      <c r="C6976" s="210"/>
      <c r="D6976" s="211"/>
      <c r="E6976" s="211"/>
      <c r="U6976" s="222"/>
    </row>
    <row r="6977" spans="2:21" x14ac:dyDescent="0.2">
      <c r="B6977" s="207"/>
      <c r="C6977" s="210"/>
      <c r="D6977" s="211"/>
      <c r="E6977" s="211"/>
      <c r="U6977" s="222"/>
    </row>
    <row r="6978" spans="2:21" x14ac:dyDescent="0.2">
      <c r="B6978" s="207"/>
      <c r="C6978" s="210"/>
      <c r="D6978" s="211"/>
      <c r="E6978" s="211"/>
      <c r="U6978" s="222"/>
    </row>
    <row r="6979" spans="2:21" x14ac:dyDescent="0.2">
      <c r="B6979" s="207"/>
      <c r="C6979" s="210"/>
      <c r="D6979" s="211"/>
      <c r="E6979" s="211"/>
      <c r="U6979" s="222"/>
    </row>
    <row r="6980" spans="2:21" x14ac:dyDescent="0.2">
      <c r="B6980" s="207"/>
      <c r="C6980" s="210"/>
      <c r="D6980" s="211"/>
      <c r="E6980" s="211"/>
      <c r="U6980" s="222"/>
    </row>
    <row r="6981" spans="2:21" x14ac:dyDescent="0.2">
      <c r="B6981" s="207"/>
      <c r="C6981" s="210"/>
      <c r="D6981" s="211"/>
      <c r="E6981" s="211"/>
      <c r="U6981" s="222"/>
    </row>
    <row r="6982" spans="2:21" x14ac:dyDescent="0.2">
      <c r="B6982" s="207"/>
      <c r="C6982" s="210"/>
      <c r="D6982" s="211"/>
      <c r="E6982" s="211"/>
      <c r="U6982" s="222"/>
    </row>
    <row r="6983" spans="2:21" x14ac:dyDescent="0.2">
      <c r="B6983" s="207"/>
      <c r="C6983" s="210"/>
      <c r="D6983" s="211"/>
      <c r="E6983" s="211"/>
      <c r="U6983" s="222"/>
    </row>
    <row r="6984" spans="2:21" x14ac:dyDescent="0.2">
      <c r="B6984" s="207"/>
      <c r="C6984" s="210"/>
      <c r="D6984" s="211"/>
      <c r="E6984" s="211"/>
      <c r="U6984" s="222"/>
    </row>
    <row r="6985" spans="2:21" x14ac:dyDescent="0.2">
      <c r="B6985" s="207"/>
      <c r="C6985" s="210"/>
      <c r="D6985" s="211"/>
      <c r="E6985" s="211"/>
      <c r="U6985" s="222"/>
    </row>
    <row r="6986" spans="2:21" x14ac:dyDescent="0.2">
      <c r="B6986" s="207"/>
      <c r="C6986" s="210"/>
      <c r="D6986" s="211"/>
      <c r="E6986" s="211"/>
      <c r="U6986" s="222"/>
    </row>
    <row r="6987" spans="2:21" x14ac:dyDescent="0.2">
      <c r="B6987" s="207"/>
      <c r="C6987" s="210"/>
      <c r="D6987" s="211"/>
      <c r="E6987" s="211"/>
      <c r="U6987" s="222"/>
    </row>
    <row r="6988" spans="2:21" x14ac:dyDescent="0.2">
      <c r="B6988" s="207"/>
      <c r="C6988" s="210"/>
      <c r="D6988" s="211"/>
      <c r="E6988" s="211"/>
      <c r="U6988" s="222"/>
    </row>
    <row r="6989" spans="2:21" x14ac:dyDescent="0.2">
      <c r="B6989" s="207"/>
      <c r="C6989" s="210"/>
      <c r="D6989" s="211"/>
      <c r="E6989" s="211"/>
      <c r="U6989" s="222"/>
    </row>
    <row r="6990" spans="2:21" x14ac:dyDescent="0.2">
      <c r="B6990" s="207"/>
      <c r="C6990" s="210"/>
      <c r="D6990" s="211"/>
      <c r="E6990" s="211"/>
      <c r="U6990" s="222"/>
    </row>
    <row r="6991" spans="2:21" x14ac:dyDescent="0.2">
      <c r="B6991" s="207"/>
      <c r="C6991" s="210"/>
      <c r="D6991" s="211"/>
      <c r="E6991" s="211"/>
      <c r="U6991" s="222"/>
    </row>
    <row r="6992" spans="2:21" x14ac:dyDescent="0.2">
      <c r="B6992" s="207"/>
      <c r="C6992" s="210"/>
      <c r="D6992" s="211"/>
      <c r="E6992" s="211"/>
      <c r="U6992" s="222"/>
    </row>
    <row r="6993" spans="2:21" x14ac:dyDescent="0.2">
      <c r="B6993" s="207"/>
      <c r="C6993" s="210"/>
      <c r="D6993" s="211"/>
      <c r="E6993" s="211"/>
      <c r="U6993" s="222"/>
    </row>
    <row r="6994" spans="2:21" x14ac:dyDescent="0.2">
      <c r="B6994" s="207"/>
      <c r="C6994" s="210"/>
      <c r="D6994" s="211"/>
      <c r="E6994" s="211"/>
      <c r="U6994" s="222"/>
    </row>
    <row r="6995" spans="2:21" x14ac:dyDescent="0.2">
      <c r="B6995" s="207"/>
      <c r="C6995" s="210"/>
      <c r="D6995" s="211"/>
      <c r="E6995" s="211"/>
      <c r="U6995" s="222"/>
    </row>
    <row r="6996" spans="2:21" x14ac:dyDescent="0.2">
      <c r="B6996" s="207"/>
      <c r="C6996" s="210"/>
      <c r="D6996" s="211"/>
      <c r="E6996" s="211"/>
      <c r="U6996" s="222"/>
    </row>
    <row r="6997" spans="2:21" x14ac:dyDescent="0.2">
      <c r="B6997" s="207"/>
      <c r="C6997" s="210"/>
      <c r="D6997" s="211"/>
      <c r="E6997" s="211"/>
      <c r="U6997" s="222"/>
    </row>
    <row r="6998" spans="2:21" x14ac:dyDescent="0.2">
      <c r="B6998" s="207"/>
      <c r="C6998" s="210"/>
      <c r="D6998" s="211"/>
      <c r="E6998" s="211"/>
      <c r="U6998" s="222"/>
    </row>
    <row r="6999" spans="2:21" x14ac:dyDescent="0.2">
      <c r="B6999" s="207"/>
      <c r="C6999" s="210"/>
      <c r="D6999" s="211"/>
      <c r="E6999" s="211"/>
      <c r="U6999" s="222"/>
    </row>
    <row r="7000" spans="2:21" x14ac:dyDescent="0.2">
      <c r="B7000" s="207"/>
      <c r="C7000" s="210"/>
      <c r="D7000" s="211"/>
      <c r="E7000" s="211"/>
      <c r="U7000" s="222"/>
    </row>
    <row r="7001" spans="2:21" x14ac:dyDescent="0.2">
      <c r="B7001" s="207"/>
      <c r="C7001" s="210"/>
      <c r="D7001" s="211"/>
      <c r="E7001" s="211"/>
      <c r="U7001" s="222"/>
    </row>
    <row r="7002" spans="2:21" x14ac:dyDescent="0.2">
      <c r="B7002" s="207"/>
      <c r="C7002" s="210"/>
      <c r="D7002" s="211"/>
      <c r="E7002" s="211"/>
      <c r="U7002" s="222"/>
    </row>
    <row r="7003" spans="2:21" x14ac:dyDescent="0.2">
      <c r="B7003" s="207"/>
      <c r="C7003" s="210"/>
      <c r="D7003" s="211"/>
      <c r="E7003" s="211"/>
      <c r="U7003" s="222"/>
    </row>
    <row r="7004" spans="2:21" x14ac:dyDescent="0.2">
      <c r="B7004" s="207"/>
      <c r="C7004" s="210"/>
      <c r="D7004" s="211"/>
      <c r="E7004" s="211"/>
      <c r="U7004" s="222"/>
    </row>
    <row r="7005" spans="2:21" x14ac:dyDescent="0.2">
      <c r="B7005" s="207"/>
      <c r="C7005" s="210"/>
      <c r="D7005" s="211"/>
      <c r="E7005" s="211"/>
      <c r="U7005" s="222"/>
    </row>
    <row r="7006" spans="2:21" x14ac:dyDescent="0.2">
      <c r="B7006" s="207"/>
      <c r="C7006" s="210"/>
      <c r="D7006" s="211"/>
      <c r="E7006" s="211"/>
      <c r="U7006" s="222"/>
    </row>
    <row r="7007" spans="2:21" x14ac:dyDescent="0.2">
      <c r="B7007" s="207"/>
      <c r="C7007" s="210"/>
      <c r="D7007" s="211"/>
      <c r="E7007" s="211"/>
      <c r="U7007" s="222"/>
    </row>
    <row r="7008" spans="2:21" x14ac:dyDescent="0.2">
      <c r="B7008" s="207"/>
      <c r="C7008" s="210"/>
      <c r="D7008" s="211"/>
      <c r="E7008" s="211"/>
      <c r="U7008" s="222"/>
    </row>
    <row r="7009" spans="2:21" x14ac:dyDescent="0.2">
      <c r="B7009" s="207"/>
      <c r="C7009" s="210"/>
      <c r="D7009" s="211"/>
      <c r="E7009" s="211"/>
      <c r="U7009" s="222"/>
    </row>
    <row r="7010" spans="2:21" x14ac:dyDescent="0.2">
      <c r="B7010" s="207"/>
      <c r="C7010" s="210"/>
      <c r="D7010" s="211"/>
      <c r="E7010" s="211"/>
      <c r="U7010" s="222"/>
    </row>
    <row r="7011" spans="2:21" x14ac:dyDescent="0.2">
      <c r="B7011" s="207"/>
      <c r="C7011" s="210"/>
      <c r="D7011" s="211"/>
      <c r="E7011" s="211"/>
      <c r="U7011" s="222"/>
    </row>
    <row r="7012" spans="2:21" x14ac:dyDescent="0.2">
      <c r="B7012" s="207"/>
      <c r="C7012" s="210"/>
      <c r="D7012" s="211"/>
      <c r="E7012" s="211"/>
      <c r="U7012" s="222"/>
    </row>
    <row r="7013" spans="2:21" x14ac:dyDescent="0.2">
      <c r="B7013" s="207"/>
      <c r="C7013" s="210"/>
      <c r="D7013" s="211"/>
      <c r="E7013" s="211"/>
      <c r="U7013" s="222"/>
    </row>
    <row r="7014" spans="2:21" x14ac:dyDescent="0.2">
      <c r="B7014" s="207"/>
      <c r="C7014" s="210"/>
      <c r="D7014" s="211"/>
      <c r="E7014" s="211"/>
      <c r="U7014" s="222"/>
    </row>
    <row r="7015" spans="2:21" x14ac:dyDescent="0.2">
      <c r="B7015" s="207"/>
      <c r="C7015" s="210"/>
      <c r="D7015" s="211"/>
      <c r="E7015" s="211"/>
      <c r="U7015" s="222"/>
    </row>
    <row r="7016" spans="2:21" x14ac:dyDescent="0.2">
      <c r="B7016" s="207"/>
      <c r="C7016" s="210"/>
      <c r="D7016" s="211"/>
      <c r="E7016" s="211"/>
      <c r="U7016" s="222"/>
    </row>
    <row r="7017" spans="2:21" x14ac:dyDescent="0.2">
      <c r="B7017" s="207"/>
      <c r="C7017" s="210"/>
      <c r="D7017" s="211"/>
      <c r="E7017" s="211"/>
      <c r="U7017" s="222"/>
    </row>
    <row r="7018" spans="2:21" x14ac:dyDescent="0.2">
      <c r="B7018" s="207"/>
      <c r="C7018" s="210"/>
      <c r="D7018" s="211"/>
      <c r="E7018" s="211"/>
      <c r="U7018" s="222"/>
    </row>
    <row r="7019" spans="2:21" x14ac:dyDescent="0.2">
      <c r="B7019" s="207"/>
      <c r="C7019" s="210"/>
      <c r="D7019" s="211"/>
      <c r="E7019" s="211"/>
      <c r="U7019" s="222"/>
    </row>
    <row r="7020" spans="2:21" x14ac:dyDescent="0.2">
      <c r="B7020" s="207"/>
      <c r="C7020" s="210"/>
      <c r="D7020" s="211"/>
      <c r="E7020" s="211"/>
      <c r="U7020" s="222"/>
    </row>
    <row r="7021" spans="2:21" x14ac:dyDescent="0.2">
      <c r="B7021" s="207"/>
      <c r="C7021" s="210"/>
      <c r="D7021" s="211"/>
      <c r="E7021" s="211"/>
      <c r="U7021" s="222"/>
    </row>
    <row r="7022" spans="2:21" x14ac:dyDescent="0.2">
      <c r="B7022" s="207"/>
      <c r="C7022" s="210"/>
      <c r="D7022" s="211"/>
      <c r="E7022" s="211"/>
      <c r="U7022" s="222"/>
    </row>
    <row r="7023" spans="2:21" x14ac:dyDescent="0.2">
      <c r="B7023" s="207"/>
      <c r="C7023" s="210"/>
      <c r="D7023" s="211"/>
      <c r="E7023" s="211"/>
      <c r="U7023" s="222"/>
    </row>
    <row r="7024" spans="2:21" x14ac:dyDescent="0.2">
      <c r="B7024" s="207"/>
      <c r="C7024" s="210"/>
      <c r="D7024" s="211"/>
      <c r="E7024" s="211"/>
      <c r="U7024" s="222"/>
    </row>
    <row r="7025" spans="2:21" x14ac:dyDescent="0.2">
      <c r="B7025" s="207"/>
      <c r="C7025" s="210"/>
      <c r="D7025" s="211"/>
      <c r="E7025" s="211"/>
      <c r="U7025" s="222"/>
    </row>
    <row r="7026" spans="2:21" x14ac:dyDescent="0.2">
      <c r="B7026" s="207"/>
      <c r="C7026" s="210"/>
      <c r="D7026" s="211"/>
      <c r="E7026" s="211"/>
      <c r="U7026" s="222"/>
    </row>
    <row r="7027" spans="2:21" x14ac:dyDescent="0.2">
      <c r="B7027" s="207"/>
      <c r="C7027" s="210"/>
      <c r="D7027" s="211"/>
      <c r="E7027" s="211"/>
      <c r="U7027" s="222"/>
    </row>
    <row r="7028" spans="2:21" x14ac:dyDescent="0.2">
      <c r="B7028" s="207"/>
      <c r="C7028" s="210"/>
      <c r="D7028" s="211"/>
      <c r="E7028" s="211"/>
      <c r="U7028" s="222"/>
    </row>
    <row r="7029" spans="2:21" x14ac:dyDescent="0.2">
      <c r="B7029" s="207"/>
      <c r="C7029" s="210"/>
      <c r="D7029" s="211"/>
      <c r="E7029" s="211"/>
      <c r="U7029" s="222"/>
    </row>
    <row r="7030" spans="2:21" x14ac:dyDescent="0.2">
      <c r="B7030" s="207"/>
      <c r="C7030" s="210"/>
      <c r="D7030" s="211"/>
      <c r="E7030" s="211"/>
      <c r="U7030" s="222"/>
    </row>
    <row r="7031" spans="2:21" x14ac:dyDescent="0.2">
      <c r="B7031" s="207"/>
      <c r="C7031" s="210"/>
      <c r="D7031" s="211"/>
      <c r="E7031" s="211"/>
      <c r="U7031" s="222"/>
    </row>
    <row r="7032" spans="2:21" x14ac:dyDescent="0.2">
      <c r="B7032" s="207"/>
      <c r="C7032" s="210"/>
      <c r="D7032" s="211"/>
      <c r="E7032" s="211"/>
      <c r="U7032" s="222"/>
    </row>
    <row r="7033" spans="2:21" x14ac:dyDescent="0.2">
      <c r="B7033" s="207"/>
      <c r="C7033" s="210"/>
      <c r="D7033" s="211"/>
      <c r="E7033" s="211"/>
      <c r="U7033" s="222"/>
    </row>
    <row r="7034" spans="2:21" x14ac:dyDescent="0.2">
      <c r="B7034" s="207"/>
      <c r="C7034" s="210"/>
      <c r="D7034" s="211"/>
      <c r="E7034" s="211"/>
      <c r="U7034" s="222"/>
    </row>
    <row r="7035" spans="2:21" x14ac:dyDescent="0.2">
      <c r="B7035" s="207"/>
      <c r="C7035" s="210"/>
      <c r="D7035" s="211"/>
      <c r="E7035" s="211"/>
      <c r="U7035" s="222"/>
    </row>
    <row r="7036" spans="2:21" x14ac:dyDescent="0.2">
      <c r="B7036" s="207"/>
      <c r="C7036" s="210"/>
      <c r="D7036" s="211"/>
      <c r="E7036" s="211"/>
      <c r="U7036" s="222"/>
    </row>
    <row r="7037" spans="2:21" x14ac:dyDescent="0.2">
      <c r="B7037" s="207"/>
      <c r="C7037" s="210"/>
      <c r="D7037" s="211"/>
      <c r="E7037" s="211"/>
      <c r="U7037" s="222"/>
    </row>
    <row r="7038" spans="2:21" x14ac:dyDescent="0.2">
      <c r="B7038" s="207"/>
      <c r="C7038" s="210"/>
      <c r="D7038" s="211"/>
      <c r="E7038" s="211"/>
      <c r="U7038" s="222"/>
    </row>
    <row r="7039" spans="2:21" x14ac:dyDescent="0.2">
      <c r="B7039" s="207"/>
      <c r="C7039" s="210"/>
      <c r="D7039" s="211"/>
      <c r="E7039" s="211"/>
      <c r="U7039" s="222"/>
    </row>
    <row r="7040" spans="2:21" x14ac:dyDescent="0.2">
      <c r="B7040" s="207"/>
      <c r="C7040" s="210"/>
      <c r="D7040" s="211"/>
      <c r="E7040" s="211"/>
      <c r="U7040" s="222"/>
    </row>
    <row r="7041" spans="2:21" x14ac:dyDescent="0.2">
      <c r="B7041" s="207"/>
      <c r="C7041" s="210"/>
      <c r="D7041" s="211"/>
      <c r="E7041" s="211"/>
      <c r="U7041" s="222"/>
    </row>
    <row r="7042" spans="2:21" x14ac:dyDescent="0.2">
      <c r="B7042" s="207"/>
      <c r="C7042" s="210"/>
      <c r="D7042" s="211"/>
      <c r="E7042" s="211"/>
      <c r="U7042" s="222"/>
    </row>
    <row r="7043" spans="2:21" x14ac:dyDescent="0.2">
      <c r="B7043" s="207"/>
      <c r="C7043" s="210"/>
      <c r="D7043" s="211"/>
      <c r="E7043" s="211"/>
      <c r="U7043" s="222"/>
    </row>
    <row r="7044" spans="2:21" x14ac:dyDescent="0.2">
      <c r="B7044" s="207"/>
      <c r="C7044" s="210"/>
      <c r="D7044" s="211"/>
      <c r="E7044" s="211"/>
      <c r="U7044" s="222"/>
    </row>
    <row r="7045" spans="2:21" x14ac:dyDescent="0.2">
      <c r="B7045" s="207"/>
      <c r="C7045" s="210"/>
      <c r="D7045" s="211"/>
      <c r="E7045" s="211"/>
      <c r="U7045" s="222"/>
    </row>
    <row r="7046" spans="2:21" x14ac:dyDescent="0.2">
      <c r="B7046" s="207"/>
      <c r="C7046" s="210"/>
      <c r="D7046" s="211"/>
      <c r="E7046" s="211"/>
      <c r="U7046" s="222"/>
    </row>
    <row r="7047" spans="2:21" x14ac:dyDescent="0.2">
      <c r="B7047" s="207"/>
      <c r="C7047" s="210"/>
      <c r="D7047" s="211"/>
      <c r="E7047" s="211"/>
      <c r="U7047" s="222"/>
    </row>
    <row r="7048" spans="2:21" x14ac:dyDescent="0.2">
      <c r="B7048" s="207"/>
      <c r="C7048" s="210"/>
      <c r="D7048" s="211"/>
      <c r="E7048" s="211"/>
      <c r="U7048" s="222"/>
    </row>
    <row r="7049" spans="2:21" x14ac:dyDescent="0.2">
      <c r="B7049" s="207"/>
      <c r="C7049" s="210"/>
      <c r="D7049" s="211"/>
      <c r="E7049" s="211"/>
      <c r="U7049" s="222"/>
    </row>
    <row r="7050" spans="2:21" x14ac:dyDescent="0.2">
      <c r="B7050" s="207"/>
      <c r="C7050" s="210"/>
      <c r="D7050" s="211"/>
      <c r="E7050" s="211"/>
      <c r="U7050" s="222"/>
    </row>
    <row r="7051" spans="2:21" x14ac:dyDescent="0.2">
      <c r="B7051" s="207"/>
      <c r="C7051" s="210"/>
      <c r="D7051" s="211"/>
      <c r="E7051" s="211"/>
      <c r="U7051" s="222"/>
    </row>
    <row r="7052" spans="2:21" x14ac:dyDescent="0.2">
      <c r="B7052" s="207"/>
      <c r="C7052" s="210"/>
      <c r="D7052" s="211"/>
      <c r="E7052" s="211"/>
      <c r="U7052" s="222"/>
    </row>
    <row r="7053" spans="2:21" x14ac:dyDescent="0.2">
      <c r="B7053" s="207"/>
      <c r="C7053" s="210"/>
      <c r="D7053" s="211"/>
      <c r="E7053" s="211"/>
      <c r="U7053" s="222"/>
    </row>
    <row r="7054" spans="2:21" x14ac:dyDescent="0.2">
      <c r="B7054" s="207"/>
      <c r="C7054" s="210"/>
      <c r="D7054" s="211"/>
      <c r="E7054" s="211"/>
      <c r="U7054" s="222"/>
    </row>
    <row r="7055" spans="2:21" x14ac:dyDescent="0.2">
      <c r="B7055" s="207"/>
      <c r="C7055" s="210"/>
      <c r="D7055" s="211"/>
      <c r="E7055" s="211"/>
      <c r="U7055" s="222"/>
    </row>
    <row r="7056" spans="2:21" x14ac:dyDescent="0.2">
      <c r="B7056" s="207"/>
      <c r="C7056" s="210"/>
      <c r="D7056" s="211"/>
      <c r="E7056" s="211"/>
      <c r="U7056" s="222"/>
    </row>
    <row r="7057" spans="2:21" x14ac:dyDescent="0.2">
      <c r="B7057" s="207"/>
      <c r="C7057" s="210"/>
      <c r="D7057" s="211"/>
      <c r="E7057" s="211"/>
      <c r="U7057" s="222"/>
    </row>
    <row r="7058" spans="2:21" x14ac:dyDescent="0.2">
      <c r="B7058" s="207"/>
      <c r="C7058" s="210"/>
      <c r="D7058" s="211"/>
      <c r="E7058" s="211"/>
      <c r="U7058" s="222"/>
    </row>
    <row r="7059" spans="2:21" x14ac:dyDescent="0.2">
      <c r="B7059" s="207"/>
      <c r="C7059" s="210"/>
      <c r="D7059" s="211"/>
      <c r="E7059" s="211"/>
      <c r="U7059" s="222"/>
    </row>
    <row r="7060" spans="2:21" x14ac:dyDescent="0.2">
      <c r="B7060" s="207"/>
      <c r="C7060" s="210"/>
      <c r="D7060" s="211"/>
      <c r="E7060" s="211"/>
      <c r="U7060" s="222"/>
    </row>
    <row r="7061" spans="2:21" x14ac:dyDescent="0.2">
      <c r="B7061" s="207"/>
      <c r="C7061" s="210"/>
      <c r="D7061" s="211"/>
      <c r="E7061" s="211"/>
      <c r="U7061" s="222"/>
    </row>
    <row r="7062" spans="2:21" x14ac:dyDescent="0.2">
      <c r="B7062" s="207"/>
      <c r="C7062" s="210"/>
      <c r="D7062" s="211"/>
      <c r="E7062" s="211"/>
      <c r="U7062" s="222"/>
    </row>
    <row r="7063" spans="2:21" x14ac:dyDescent="0.2">
      <c r="B7063" s="207"/>
      <c r="C7063" s="210"/>
      <c r="D7063" s="211"/>
      <c r="E7063" s="211"/>
      <c r="U7063" s="222"/>
    </row>
    <row r="7064" spans="2:21" x14ac:dyDescent="0.2">
      <c r="B7064" s="207"/>
      <c r="C7064" s="210"/>
      <c r="D7064" s="211"/>
      <c r="E7064" s="211"/>
      <c r="U7064" s="222"/>
    </row>
    <row r="7065" spans="2:21" x14ac:dyDescent="0.2">
      <c r="B7065" s="207"/>
      <c r="C7065" s="210"/>
      <c r="D7065" s="211"/>
      <c r="E7065" s="211"/>
      <c r="U7065" s="222"/>
    </row>
    <row r="7066" spans="2:21" x14ac:dyDescent="0.2">
      <c r="B7066" s="207"/>
      <c r="C7066" s="210"/>
      <c r="D7066" s="211"/>
      <c r="E7066" s="211"/>
      <c r="U7066" s="222"/>
    </row>
    <row r="7067" spans="2:21" x14ac:dyDescent="0.2">
      <c r="B7067" s="207"/>
      <c r="C7067" s="210"/>
      <c r="D7067" s="211"/>
      <c r="E7067" s="211"/>
      <c r="U7067" s="222"/>
    </row>
    <row r="7068" spans="2:21" x14ac:dyDescent="0.2">
      <c r="B7068" s="207"/>
      <c r="C7068" s="210"/>
      <c r="D7068" s="211"/>
      <c r="E7068" s="211"/>
      <c r="U7068" s="222"/>
    </row>
    <row r="7069" spans="2:21" x14ac:dyDescent="0.2">
      <c r="B7069" s="207"/>
      <c r="C7069" s="210"/>
      <c r="D7069" s="211"/>
      <c r="E7069" s="211"/>
      <c r="U7069" s="222"/>
    </row>
    <row r="7070" spans="2:21" x14ac:dyDescent="0.2">
      <c r="B7070" s="207"/>
      <c r="C7070" s="210"/>
      <c r="D7070" s="211"/>
      <c r="E7070" s="211"/>
      <c r="U7070" s="222"/>
    </row>
    <row r="7071" spans="2:21" x14ac:dyDescent="0.2">
      <c r="B7071" s="207"/>
      <c r="C7071" s="210"/>
      <c r="D7071" s="211"/>
      <c r="E7071" s="211"/>
      <c r="U7071" s="222"/>
    </row>
    <row r="7072" spans="2:21" x14ac:dyDescent="0.2">
      <c r="B7072" s="207"/>
      <c r="C7072" s="210"/>
      <c r="D7072" s="211"/>
      <c r="E7072" s="211"/>
      <c r="U7072" s="222"/>
    </row>
    <row r="7073" spans="2:21" x14ac:dyDescent="0.2">
      <c r="B7073" s="207"/>
      <c r="C7073" s="210"/>
      <c r="D7073" s="211"/>
      <c r="E7073" s="211"/>
      <c r="U7073" s="222"/>
    </row>
    <row r="7074" spans="2:21" x14ac:dyDescent="0.2">
      <c r="B7074" s="207"/>
      <c r="C7074" s="210"/>
      <c r="D7074" s="211"/>
      <c r="E7074" s="211"/>
      <c r="U7074" s="222"/>
    </row>
    <row r="7075" spans="2:21" x14ac:dyDescent="0.2">
      <c r="B7075" s="207"/>
      <c r="C7075" s="210"/>
      <c r="D7075" s="211"/>
      <c r="E7075" s="211"/>
      <c r="U7075" s="222"/>
    </row>
    <row r="7076" spans="2:21" x14ac:dyDescent="0.2">
      <c r="B7076" s="207"/>
      <c r="C7076" s="210"/>
      <c r="D7076" s="211"/>
      <c r="E7076" s="211"/>
      <c r="U7076" s="222"/>
    </row>
    <row r="7077" spans="2:21" x14ac:dyDescent="0.2">
      <c r="B7077" s="207"/>
      <c r="C7077" s="210"/>
      <c r="D7077" s="211"/>
      <c r="E7077" s="211"/>
      <c r="U7077" s="222"/>
    </row>
    <row r="7078" spans="2:21" x14ac:dyDescent="0.2">
      <c r="B7078" s="207"/>
      <c r="C7078" s="210"/>
      <c r="D7078" s="211"/>
      <c r="E7078" s="211"/>
      <c r="U7078" s="222"/>
    </row>
    <row r="7079" spans="2:21" x14ac:dyDescent="0.2">
      <c r="B7079" s="207"/>
      <c r="C7079" s="210"/>
      <c r="D7079" s="211"/>
      <c r="E7079" s="211"/>
      <c r="U7079" s="222"/>
    </row>
    <row r="7080" spans="2:21" x14ac:dyDescent="0.2">
      <c r="B7080" s="207"/>
      <c r="C7080" s="210"/>
      <c r="D7080" s="211"/>
      <c r="E7080" s="211"/>
      <c r="U7080" s="222"/>
    </row>
    <row r="7081" spans="2:21" x14ac:dyDescent="0.2">
      <c r="B7081" s="207"/>
      <c r="C7081" s="210"/>
      <c r="D7081" s="211"/>
      <c r="E7081" s="211"/>
      <c r="U7081" s="222"/>
    </row>
    <row r="7082" spans="2:21" x14ac:dyDescent="0.2">
      <c r="B7082" s="207"/>
      <c r="C7082" s="210"/>
      <c r="D7082" s="211"/>
      <c r="E7082" s="211"/>
      <c r="U7082" s="222"/>
    </row>
    <row r="7083" spans="2:21" x14ac:dyDescent="0.2">
      <c r="B7083" s="207"/>
      <c r="C7083" s="210"/>
      <c r="D7083" s="211"/>
      <c r="E7083" s="211"/>
      <c r="U7083" s="222"/>
    </row>
    <row r="7084" spans="2:21" x14ac:dyDescent="0.2">
      <c r="B7084" s="207"/>
      <c r="C7084" s="210"/>
      <c r="D7084" s="211"/>
      <c r="E7084" s="211"/>
      <c r="U7084" s="222"/>
    </row>
    <row r="7085" spans="2:21" x14ac:dyDescent="0.2">
      <c r="B7085" s="207"/>
      <c r="C7085" s="210"/>
      <c r="D7085" s="211"/>
      <c r="E7085" s="211"/>
      <c r="U7085" s="222"/>
    </row>
    <row r="7086" spans="2:21" x14ac:dyDescent="0.2">
      <c r="B7086" s="207"/>
      <c r="C7086" s="210"/>
      <c r="D7086" s="211"/>
      <c r="E7086" s="211"/>
      <c r="U7086" s="222"/>
    </row>
    <row r="7087" spans="2:21" x14ac:dyDescent="0.2">
      <c r="B7087" s="207"/>
      <c r="C7087" s="210"/>
      <c r="D7087" s="211"/>
      <c r="E7087" s="211"/>
      <c r="U7087" s="222"/>
    </row>
    <row r="7088" spans="2:21" x14ac:dyDescent="0.2">
      <c r="B7088" s="207"/>
      <c r="C7088" s="210"/>
      <c r="D7088" s="211"/>
      <c r="E7088" s="211"/>
      <c r="U7088" s="222"/>
    </row>
    <row r="7089" spans="2:21" x14ac:dyDescent="0.2">
      <c r="B7089" s="207"/>
      <c r="C7089" s="210"/>
      <c r="D7089" s="211"/>
      <c r="E7089" s="211"/>
      <c r="U7089" s="222"/>
    </row>
    <row r="7090" spans="2:21" x14ac:dyDescent="0.2">
      <c r="B7090" s="207"/>
      <c r="C7090" s="210"/>
      <c r="D7090" s="211"/>
      <c r="E7090" s="211"/>
      <c r="U7090" s="222"/>
    </row>
    <row r="7091" spans="2:21" x14ac:dyDescent="0.2">
      <c r="B7091" s="207"/>
      <c r="C7091" s="210"/>
      <c r="D7091" s="211"/>
      <c r="E7091" s="211"/>
      <c r="U7091" s="222"/>
    </row>
    <row r="7092" spans="2:21" x14ac:dyDescent="0.2">
      <c r="B7092" s="207"/>
      <c r="C7092" s="210"/>
      <c r="D7092" s="211"/>
      <c r="E7092" s="211"/>
      <c r="U7092" s="222"/>
    </row>
    <row r="7093" spans="2:21" x14ac:dyDescent="0.2">
      <c r="B7093" s="207"/>
      <c r="C7093" s="210"/>
      <c r="D7093" s="211"/>
      <c r="E7093" s="211"/>
      <c r="U7093" s="222"/>
    </row>
    <row r="7094" spans="2:21" x14ac:dyDescent="0.2">
      <c r="B7094" s="207"/>
      <c r="C7094" s="210"/>
      <c r="D7094" s="211"/>
      <c r="E7094" s="211"/>
      <c r="U7094" s="222"/>
    </row>
    <row r="7095" spans="2:21" x14ac:dyDescent="0.2">
      <c r="B7095" s="207"/>
      <c r="C7095" s="210"/>
      <c r="D7095" s="211"/>
      <c r="E7095" s="211"/>
      <c r="U7095" s="222"/>
    </row>
    <row r="7096" spans="2:21" x14ac:dyDescent="0.2">
      <c r="B7096" s="207"/>
      <c r="C7096" s="210"/>
      <c r="D7096" s="211"/>
      <c r="E7096" s="211"/>
      <c r="U7096" s="222"/>
    </row>
    <row r="7097" spans="2:21" x14ac:dyDescent="0.2">
      <c r="B7097" s="207"/>
      <c r="C7097" s="210"/>
      <c r="D7097" s="211"/>
      <c r="E7097" s="211"/>
      <c r="U7097" s="222"/>
    </row>
    <row r="7098" spans="2:21" x14ac:dyDescent="0.2">
      <c r="B7098" s="207"/>
      <c r="C7098" s="210"/>
      <c r="D7098" s="211"/>
      <c r="E7098" s="211"/>
      <c r="U7098" s="222"/>
    </row>
    <row r="7099" spans="2:21" x14ac:dyDescent="0.2">
      <c r="B7099" s="207"/>
      <c r="C7099" s="210"/>
      <c r="D7099" s="211"/>
      <c r="E7099" s="211"/>
      <c r="U7099" s="222"/>
    </row>
    <row r="7100" spans="2:21" x14ac:dyDescent="0.2">
      <c r="B7100" s="207"/>
      <c r="C7100" s="210"/>
      <c r="D7100" s="211"/>
      <c r="E7100" s="211"/>
      <c r="U7100" s="222"/>
    </row>
    <row r="7101" spans="2:21" x14ac:dyDescent="0.2">
      <c r="B7101" s="207"/>
      <c r="C7101" s="210"/>
      <c r="D7101" s="211"/>
      <c r="E7101" s="211"/>
      <c r="U7101" s="222"/>
    </row>
    <row r="7102" spans="2:21" x14ac:dyDescent="0.2">
      <c r="B7102" s="207"/>
      <c r="C7102" s="210"/>
      <c r="D7102" s="211"/>
      <c r="E7102" s="211"/>
      <c r="U7102" s="222"/>
    </row>
    <row r="7103" spans="2:21" x14ac:dyDescent="0.2">
      <c r="B7103" s="207"/>
      <c r="C7103" s="210"/>
      <c r="D7103" s="211"/>
      <c r="E7103" s="211"/>
      <c r="U7103" s="222"/>
    </row>
    <row r="7104" spans="2:21" x14ac:dyDescent="0.2">
      <c r="B7104" s="207"/>
      <c r="C7104" s="210"/>
      <c r="D7104" s="211"/>
      <c r="E7104" s="211"/>
      <c r="U7104" s="222"/>
    </row>
    <row r="7105" spans="2:21" x14ac:dyDescent="0.2">
      <c r="B7105" s="207"/>
      <c r="C7105" s="210"/>
      <c r="D7105" s="211"/>
      <c r="E7105" s="211"/>
      <c r="U7105" s="222"/>
    </row>
    <row r="7106" spans="2:21" x14ac:dyDescent="0.2">
      <c r="B7106" s="207"/>
      <c r="C7106" s="210"/>
      <c r="D7106" s="211"/>
      <c r="E7106" s="211"/>
      <c r="U7106" s="222"/>
    </row>
    <row r="7107" spans="2:21" x14ac:dyDescent="0.2">
      <c r="B7107" s="207"/>
      <c r="C7107" s="210"/>
      <c r="D7107" s="211"/>
      <c r="E7107" s="211"/>
      <c r="U7107" s="222"/>
    </row>
    <row r="7108" spans="2:21" x14ac:dyDescent="0.2">
      <c r="B7108" s="207"/>
      <c r="C7108" s="210"/>
      <c r="D7108" s="211"/>
      <c r="E7108" s="211"/>
      <c r="U7108" s="222"/>
    </row>
    <row r="7109" spans="2:21" x14ac:dyDescent="0.2">
      <c r="B7109" s="207"/>
      <c r="C7109" s="210"/>
      <c r="D7109" s="211"/>
      <c r="E7109" s="211"/>
      <c r="U7109" s="222"/>
    </row>
    <row r="7110" spans="2:21" x14ac:dyDescent="0.2">
      <c r="B7110" s="207"/>
      <c r="C7110" s="210"/>
      <c r="D7110" s="211"/>
      <c r="E7110" s="211"/>
      <c r="U7110" s="222"/>
    </row>
    <row r="7111" spans="2:21" x14ac:dyDescent="0.2">
      <c r="B7111" s="207"/>
      <c r="C7111" s="210"/>
      <c r="D7111" s="211"/>
      <c r="E7111" s="211"/>
      <c r="U7111" s="222"/>
    </row>
    <row r="7112" spans="2:21" x14ac:dyDescent="0.2">
      <c r="B7112" s="207"/>
      <c r="C7112" s="210"/>
      <c r="D7112" s="211"/>
      <c r="E7112" s="211"/>
      <c r="U7112" s="222"/>
    </row>
    <row r="7113" spans="2:21" x14ac:dyDescent="0.2">
      <c r="B7113" s="207"/>
      <c r="C7113" s="210"/>
      <c r="D7113" s="211"/>
      <c r="E7113" s="211"/>
      <c r="U7113" s="222"/>
    </row>
    <row r="7114" spans="2:21" x14ac:dyDescent="0.2">
      <c r="B7114" s="207"/>
      <c r="C7114" s="210"/>
      <c r="D7114" s="211"/>
      <c r="E7114" s="211"/>
      <c r="U7114" s="222"/>
    </row>
    <row r="7115" spans="2:21" x14ac:dyDescent="0.2">
      <c r="B7115" s="207"/>
      <c r="C7115" s="210"/>
      <c r="D7115" s="211"/>
      <c r="E7115" s="211"/>
      <c r="U7115" s="222"/>
    </row>
    <row r="7116" spans="2:21" x14ac:dyDescent="0.2">
      <c r="B7116" s="207"/>
      <c r="C7116" s="210"/>
      <c r="D7116" s="211"/>
      <c r="E7116" s="211"/>
      <c r="U7116" s="222"/>
    </row>
    <row r="7117" spans="2:21" x14ac:dyDescent="0.2">
      <c r="B7117" s="207"/>
      <c r="C7117" s="210"/>
      <c r="D7117" s="211"/>
      <c r="E7117" s="211"/>
      <c r="U7117" s="222"/>
    </row>
    <row r="7118" spans="2:21" x14ac:dyDescent="0.2">
      <c r="B7118" s="207"/>
      <c r="C7118" s="210"/>
      <c r="D7118" s="211"/>
      <c r="E7118" s="211"/>
      <c r="U7118" s="222"/>
    </row>
    <row r="7119" spans="2:21" x14ac:dyDescent="0.2">
      <c r="B7119" s="207"/>
      <c r="C7119" s="210"/>
      <c r="D7119" s="211"/>
      <c r="E7119" s="211"/>
      <c r="U7119" s="222"/>
    </row>
    <row r="7120" spans="2:21" x14ac:dyDescent="0.2">
      <c r="B7120" s="207"/>
      <c r="C7120" s="210"/>
      <c r="D7120" s="211"/>
      <c r="E7120" s="211"/>
      <c r="U7120" s="222"/>
    </row>
    <row r="7121" spans="2:21" x14ac:dyDescent="0.2">
      <c r="B7121" s="207"/>
      <c r="C7121" s="210"/>
      <c r="D7121" s="211"/>
      <c r="E7121" s="211"/>
      <c r="U7121" s="222"/>
    </row>
    <row r="7122" spans="2:21" x14ac:dyDescent="0.2">
      <c r="B7122" s="207"/>
      <c r="C7122" s="210"/>
      <c r="D7122" s="211"/>
      <c r="E7122" s="211"/>
      <c r="U7122" s="222"/>
    </row>
    <row r="7123" spans="2:21" x14ac:dyDescent="0.2">
      <c r="B7123" s="207"/>
      <c r="C7123" s="210"/>
      <c r="D7123" s="211"/>
      <c r="E7123" s="211"/>
      <c r="U7123" s="222"/>
    </row>
    <row r="7124" spans="2:21" x14ac:dyDescent="0.2">
      <c r="B7124" s="207"/>
      <c r="C7124" s="210"/>
      <c r="D7124" s="211"/>
      <c r="E7124" s="211"/>
      <c r="U7124" s="222"/>
    </row>
    <row r="7125" spans="2:21" x14ac:dyDescent="0.2">
      <c r="B7125" s="207"/>
      <c r="C7125" s="210"/>
      <c r="D7125" s="211"/>
      <c r="E7125" s="211"/>
      <c r="U7125" s="222"/>
    </row>
    <row r="7126" spans="2:21" x14ac:dyDescent="0.2">
      <c r="B7126" s="207"/>
      <c r="C7126" s="210"/>
      <c r="D7126" s="211"/>
      <c r="E7126" s="211"/>
      <c r="U7126" s="222"/>
    </row>
    <row r="7127" spans="2:21" x14ac:dyDescent="0.2">
      <c r="B7127" s="207"/>
      <c r="C7127" s="210"/>
      <c r="D7127" s="211"/>
      <c r="E7127" s="211"/>
      <c r="U7127" s="222"/>
    </row>
    <row r="7128" spans="2:21" x14ac:dyDescent="0.2">
      <c r="B7128" s="207"/>
      <c r="C7128" s="210"/>
      <c r="D7128" s="211"/>
      <c r="E7128" s="211"/>
      <c r="U7128" s="222"/>
    </row>
    <row r="7129" spans="2:21" x14ac:dyDescent="0.2">
      <c r="B7129" s="207"/>
      <c r="C7129" s="210"/>
      <c r="D7129" s="211"/>
      <c r="E7129" s="211"/>
      <c r="U7129" s="222"/>
    </row>
    <row r="7130" spans="2:21" x14ac:dyDescent="0.2">
      <c r="B7130" s="207"/>
      <c r="C7130" s="210"/>
      <c r="D7130" s="211"/>
      <c r="E7130" s="211"/>
      <c r="U7130" s="222"/>
    </row>
    <row r="7131" spans="2:21" x14ac:dyDescent="0.2">
      <c r="B7131" s="207"/>
      <c r="C7131" s="210"/>
      <c r="D7131" s="211"/>
      <c r="E7131" s="211"/>
      <c r="U7131" s="222"/>
    </row>
    <row r="7132" spans="2:21" x14ac:dyDescent="0.2">
      <c r="B7132" s="207"/>
      <c r="C7132" s="210"/>
      <c r="D7132" s="211"/>
      <c r="E7132" s="211"/>
      <c r="U7132" s="222"/>
    </row>
    <row r="7133" spans="2:21" x14ac:dyDescent="0.2">
      <c r="B7133" s="207"/>
      <c r="C7133" s="210"/>
      <c r="D7133" s="211"/>
      <c r="E7133" s="211"/>
      <c r="U7133" s="222"/>
    </row>
    <row r="7134" spans="2:21" x14ac:dyDescent="0.2">
      <c r="B7134" s="207"/>
      <c r="C7134" s="210"/>
      <c r="D7134" s="211"/>
      <c r="E7134" s="211"/>
      <c r="U7134" s="222"/>
    </row>
    <row r="7135" spans="2:21" x14ac:dyDescent="0.2">
      <c r="B7135" s="207"/>
      <c r="C7135" s="210"/>
      <c r="D7135" s="211"/>
      <c r="E7135" s="211"/>
      <c r="U7135" s="222"/>
    </row>
    <row r="7136" spans="2:21" x14ac:dyDescent="0.2">
      <c r="B7136" s="207"/>
      <c r="C7136" s="210"/>
      <c r="D7136" s="211"/>
      <c r="E7136" s="211"/>
      <c r="U7136" s="222"/>
    </row>
    <row r="7137" spans="2:21" x14ac:dyDescent="0.2">
      <c r="B7137" s="207"/>
      <c r="C7137" s="210"/>
      <c r="D7137" s="211"/>
      <c r="E7137" s="211"/>
      <c r="U7137" s="222"/>
    </row>
    <row r="7138" spans="2:21" x14ac:dyDescent="0.2">
      <c r="B7138" s="207"/>
      <c r="C7138" s="210"/>
      <c r="D7138" s="211"/>
      <c r="E7138" s="211"/>
      <c r="U7138" s="222"/>
    </row>
    <row r="7139" spans="2:21" x14ac:dyDescent="0.2">
      <c r="B7139" s="207"/>
      <c r="C7139" s="210"/>
      <c r="D7139" s="211"/>
      <c r="E7139" s="211"/>
      <c r="U7139" s="222"/>
    </row>
    <row r="7140" spans="2:21" x14ac:dyDescent="0.2">
      <c r="B7140" s="207"/>
      <c r="C7140" s="210"/>
      <c r="D7140" s="211"/>
      <c r="E7140" s="211"/>
      <c r="U7140" s="222"/>
    </row>
    <row r="7141" spans="2:21" x14ac:dyDescent="0.2">
      <c r="B7141" s="207"/>
      <c r="C7141" s="210"/>
      <c r="D7141" s="211"/>
      <c r="E7141" s="211"/>
      <c r="U7141" s="222"/>
    </row>
    <row r="7142" spans="2:21" x14ac:dyDescent="0.2">
      <c r="B7142" s="207"/>
      <c r="C7142" s="210"/>
      <c r="D7142" s="211"/>
      <c r="E7142" s="211"/>
      <c r="U7142" s="222"/>
    </row>
    <row r="7143" spans="2:21" x14ac:dyDescent="0.2">
      <c r="B7143" s="207"/>
      <c r="C7143" s="210"/>
      <c r="D7143" s="211"/>
      <c r="E7143" s="211"/>
      <c r="U7143" s="222"/>
    </row>
    <row r="7144" spans="2:21" x14ac:dyDescent="0.2">
      <c r="B7144" s="207"/>
      <c r="C7144" s="210"/>
      <c r="D7144" s="211"/>
      <c r="E7144" s="211"/>
      <c r="U7144" s="222"/>
    </row>
    <row r="7145" spans="2:21" x14ac:dyDescent="0.2">
      <c r="B7145" s="207"/>
      <c r="C7145" s="210"/>
      <c r="D7145" s="211"/>
      <c r="E7145" s="211"/>
      <c r="U7145" s="222"/>
    </row>
    <row r="7146" spans="2:21" x14ac:dyDescent="0.2">
      <c r="B7146" s="207"/>
      <c r="C7146" s="210"/>
      <c r="D7146" s="211"/>
      <c r="E7146" s="211"/>
      <c r="U7146" s="222"/>
    </row>
    <row r="7147" spans="2:21" x14ac:dyDescent="0.2">
      <c r="B7147" s="207"/>
      <c r="C7147" s="210"/>
      <c r="D7147" s="211"/>
      <c r="E7147" s="211"/>
      <c r="U7147" s="222"/>
    </row>
    <row r="7148" spans="2:21" x14ac:dyDescent="0.2">
      <c r="B7148" s="207"/>
      <c r="C7148" s="210"/>
      <c r="D7148" s="211"/>
      <c r="E7148" s="211"/>
      <c r="U7148" s="222"/>
    </row>
    <row r="7149" spans="2:21" x14ac:dyDescent="0.2">
      <c r="B7149" s="207"/>
      <c r="C7149" s="210"/>
      <c r="D7149" s="211"/>
      <c r="E7149" s="211"/>
      <c r="U7149" s="222"/>
    </row>
    <row r="7150" spans="2:21" x14ac:dyDescent="0.2">
      <c r="B7150" s="207"/>
      <c r="C7150" s="210"/>
      <c r="D7150" s="211"/>
      <c r="E7150" s="211"/>
      <c r="U7150" s="222"/>
    </row>
    <row r="7151" spans="2:21" x14ac:dyDescent="0.2">
      <c r="B7151" s="207"/>
      <c r="C7151" s="210"/>
      <c r="D7151" s="211"/>
      <c r="E7151" s="211"/>
      <c r="U7151" s="222"/>
    </row>
    <row r="7152" spans="2:21" x14ac:dyDescent="0.2">
      <c r="B7152" s="207"/>
      <c r="C7152" s="210"/>
      <c r="D7152" s="211"/>
      <c r="E7152" s="211"/>
      <c r="U7152" s="222"/>
    </row>
    <row r="7153" spans="2:21" x14ac:dyDescent="0.2">
      <c r="B7153" s="207"/>
      <c r="C7153" s="210"/>
      <c r="D7153" s="211"/>
      <c r="E7153" s="211"/>
      <c r="U7153" s="222"/>
    </row>
    <row r="7154" spans="2:21" x14ac:dyDescent="0.2">
      <c r="B7154" s="207"/>
      <c r="C7154" s="210"/>
      <c r="D7154" s="211"/>
      <c r="E7154" s="211"/>
      <c r="U7154" s="222"/>
    </row>
    <row r="7155" spans="2:21" x14ac:dyDescent="0.2">
      <c r="B7155" s="207"/>
      <c r="C7155" s="210"/>
      <c r="D7155" s="211"/>
      <c r="E7155" s="211"/>
      <c r="U7155" s="222"/>
    </row>
    <row r="7156" spans="2:21" x14ac:dyDescent="0.2">
      <c r="B7156" s="207"/>
      <c r="C7156" s="210"/>
      <c r="D7156" s="211"/>
      <c r="E7156" s="211"/>
      <c r="U7156" s="222"/>
    </row>
    <row r="7157" spans="2:21" x14ac:dyDescent="0.2">
      <c r="B7157" s="207"/>
      <c r="C7157" s="210"/>
      <c r="D7157" s="211"/>
      <c r="E7157" s="211"/>
      <c r="U7157" s="222"/>
    </row>
    <row r="7158" spans="2:21" x14ac:dyDescent="0.2">
      <c r="B7158" s="207"/>
      <c r="C7158" s="210"/>
      <c r="D7158" s="211"/>
      <c r="E7158" s="211"/>
      <c r="U7158" s="222"/>
    </row>
    <row r="7159" spans="2:21" x14ac:dyDescent="0.2">
      <c r="B7159" s="207"/>
      <c r="C7159" s="210"/>
      <c r="D7159" s="211"/>
      <c r="E7159" s="211"/>
      <c r="U7159" s="222"/>
    </row>
    <row r="7160" spans="2:21" x14ac:dyDescent="0.2">
      <c r="B7160" s="207"/>
      <c r="C7160" s="210"/>
      <c r="D7160" s="211"/>
      <c r="E7160" s="211"/>
      <c r="U7160" s="222"/>
    </row>
    <row r="7161" spans="2:21" x14ac:dyDescent="0.2">
      <c r="B7161" s="207"/>
      <c r="C7161" s="210"/>
      <c r="D7161" s="211"/>
      <c r="E7161" s="211"/>
      <c r="U7161" s="222"/>
    </row>
    <row r="7162" spans="2:21" x14ac:dyDescent="0.2">
      <c r="B7162" s="207"/>
      <c r="C7162" s="210"/>
      <c r="D7162" s="211"/>
      <c r="E7162" s="211"/>
      <c r="U7162" s="222"/>
    </row>
    <row r="7163" spans="2:21" x14ac:dyDescent="0.2">
      <c r="B7163" s="207"/>
      <c r="C7163" s="210"/>
      <c r="D7163" s="211"/>
      <c r="E7163" s="211"/>
      <c r="U7163" s="222"/>
    </row>
    <row r="7164" spans="2:21" x14ac:dyDescent="0.2">
      <c r="B7164" s="207"/>
      <c r="C7164" s="210"/>
      <c r="D7164" s="211"/>
      <c r="E7164" s="211"/>
      <c r="U7164" s="222"/>
    </row>
    <row r="7165" spans="2:21" x14ac:dyDescent="0.2">
      <c r="B7165" s="207"/>
      <c r="C7165" s="210"/>
      <c r="D7165" s="211"/>
      <c r="E7165" s="211"/>
      <c r="U7165" s="222"/>
    </row>
    <row r="7166" spans="2:21" x14ac:dyDescent="0.2">
      <c r="B7166" s="207"/>
      <c r="C7166" s="210"/>
      <c r="D7166" s="211"/>
      <c r="E7166" s="211"/>
      <c r="U7166" s="222"/>
    </row>
    <row r="7167" spans="2:21" x14ac:dyDescent="0.2">
      <c r="B7167" s="207"/>
      <c r="C7167" s="210"/>
      <c r="D7167" s="211"/>
      <c r="E7167" s="211"/>
      <c r="U7167" s="222"/>
    </row>
    <row r="7168" spans="2:21" x14ac:dyDescent="0.2">
      <c r="B7168" s="207"/>
      <c r="C7168" s="210"/>
      <c r="D7168" s="211"/>
      <c r="E7168" s="211"/>
      <c r="U7168" s="222"/>
    </row>
    <row r="7169" spans="2:21" x14ac:dyDescent="0.2">
      <c r="B7169" s="207"/>
      <c r="C7169" s="210"/>
      <c r="D7169" s="211"/>
      <c r="E7169" s="211"/>
      <c r="U7169" s="222"/>
    </row>
    <row r="7170" spans="2:21" x14ac:dyDescent="0.2">
      <c r="B7170" s="207"/>
      <c r="C7170" s="210"/>
      <c r="D7170" s="211"/>
      <c r="E7170" s="211"/>
      <c r="U7170" s="222"/>
    </row>
    <row r="7171" spans="2:21" x14ac:dyDescent="0.2">
      <c r="B7171" s="207"/>
      <c r="C7171" s="210"/>
      <c r="D7171" s="211"/>
      <c r="E7171" s="211"/>
      <c r="U7171" s="222"/>
    </row>
    <row r="7172" spans="2:21" x14ac:dyDescent="0.2">
      <c r="B7172" s="207"/>
      <c r="C7172" s="210"/>
      <c r="D7172" s="211"/>
      <c r="E7172" s="211"/>
      <c r="U7172" s="222"/>
    </row>
    <row r="7173" spans="2:21" x14ac:dyDescent="0.2">
      <c r="B7173" s="207"/>
      <c r="C7173" s="210"/>
      <c r="D7173" s="211"/>
      <c r="E7173" s="211"/>
      <c r="U7173" s="222"/>
    </row>
    <row r="7174" spans="2:21" x14ac:dyDescent="0.2">
      <c r="B7174" s="207"/>
      <c r="C7174" s="210"/>
      <c r="D7174" s="211"/>
      <c r="E7174" s="211"/>
      <c r="U7174" s="222"/>
    </row>
    <row r="7175" spans="2:21" x14ac:dyDescent="0.2">
      <c r="B7175" s="207"/>
      <c r="C7175" s="210"/>
      <c r="D7175" s="211"/>
      <c r="E7175" s="211"/>
      <c r="U7175" s="222"/>
    </row>
    <row r="7176" spans="2:21" x14ac:dyDescent="0.2">
      <c r="B7176" s="207"/>
      <c r="C7176" s="210"/>
      <c r="D7176" s="211"/>
      <c r="E7176" s="211"/>
      <c r="U7176" s="222"/>
    </row>
    <row r="7177" spans="2:21" x14ac:dyDescent="0.2">
      <c r="B7177" s="207"/>
      <c r="C7177" s="210"/>
      <c r="D7177" s="211"/>
      <c r="E7177" s="211"/>
      <c r="U7177" s="222"/>
    </row>
    <row r="7178" spans="2:21" x14ac:dyDescent="0.2">
      <c r="B7178" s="207"/>
      <c r="C7178" s="210"/>
      <c r="D7178" s="211"/>
      <c r="E7178" s="211"/>
      <c r="U7178" s="222"/>
    </row>
    <row r="7179" spans="2:21" x14ac:dyDescent="0.2">
      <c r="B7179" s="207"/>
      <c r="C7179" s="210"/>
      <c r="D7179" s="211"/>
      <c r="E7179" s="211"/>
      <c r="U7179" s="222"/>
    </row>
    <row r="7180" spans="2:21" x14ac:dyDescent="0.2">
      <c r="B7180" s="207"/>
      <c r="C7180" s="210"/>
      <c r="D7180" s="211"/>
      <c r="E7180" s="211"/>
      <c r="U7180" s="222"/>
    </row>
    <row r="7181" spans="2:21" x14ac:dyDescent="0.2">
      <c r="B7181" s="207"/>
      <c r="C7181" s="210"/>
      <c r="D7181" s="211"/>
      <c r="E7181" s="211"/>
      <c r="U7181" s="222"/>
    </row>
    <row r="7182" spans="2:21" x14ac:dyDescent="0.2">
      <c r="B7182" s="207"/>
      <c r="C7182" s="210"/>
      <c r="D7182" s="211"/>
      <c r="E7182" s="211"/>
      <c r="U7182" s="222"/>
    </row>
    <row r="7183" spans="2:21" x14ac:dyDescent="0.2">
      <c r="B7183" s="207"/>
      <c r="C7183" s="210"/>
      <c r="D7183" s="211"/>
      <c r="E7183" s="211"/>
      <c r="U7183" s="222"/>
    </row>
    <row r="7184" spans="2:21" x14ac:dyDescent="0.2">
      <c r="B7184" s="207"/>
      <c r="C7184" s="210"/>
      <c r="D7184" s="211"/>
      <c r="E7184" s="211"/>
      <c r="U7184" s="222"/>
    </row>
    <row r="7185" spans="2:21" x14ac:dyDescent="0.2">
      <c r="B7185" s="207"/>
      <c r="C7185" s="210"/>
      <c r="D7185" s="211"/>
      <c r="E7185" s="211"/>
      <c r="U7185" s="222"/>
    </row>
    <row r="7186" spans="2:21" x14ac:dyDescent="0.2">
      <c r="B7186" s="207"/>
      <c r="C7186" s="210"/>
      <c r="D7186" s="211"/>
      <c r="E7186" s="211"/>
      <c r="U7186" s="222"/>
    </row>
    <row r="7187" spans="2:21" x14ac:dyDescent="0.2">
      <c r="B7187" s="207"/>
      <c r="C7187" s="210"/>
      <c r="D7187" s="211"/>
      <c r="E7187" s="211"/>
      <c r="U7187" s="222"/>
    </row>
    <row r="7188" spans="2:21" x14ac:dyDescent="0.2">
      <c r="B7188" s="207"/>
      <c r="C7188" s="210"/>
      <c r="D7188" s="211"/>
      <c r="E7188" s="211"/>
      <c r="U7188" s="222"/>
    </row>
    <row r="7189" spans="2:21" x14ac:dyDescent="0.2">
      <c r="B7189" s="207"/>
      <c r="C7189" s="210"/>
      <c r="D7189" s="211"/>
      <c r="E7189" s="211"/>
      <c r="U7189" s="222"/>
    </row>
    <row r="7190" spans="2:21" x14ac:dyDescent="0.2">
      <c r="B7190" s="207"/>
      <c r="C7190" s="210"/>
      <c r="D7190" s="211"/>
      <c r="E7190" s="211"/>
      <c r="U7190" s="222"/>
    </row>
    <row r="7191" spans="2:21" x14ac:dyDescent="0.2">
      <c r="B7191" s="207"/>
      <c r="C7191" s="210"/>
      <c r="D7191" s="211"/>
      <c r="E7191" s="211"/>
      <c r="U7191" s="222"/>
    </row>
    <row r="7192" spans="2:21" x14ac:dyDescent="0.2">
      <c r="B7192" s="207"/>
      <c r="C7192" s="210"/>
      <c r="D7192" s="211"/>
      <c r="E7192" s="211"/>
      <c r="U7192" s="222"/>
    </row>
    <row r="7193" spans="2:21" x14ac:dyDescent="0.2">
      <c r="B7193" s="207"/>
      <c r="C7193" s="210"/>
      <c r="D7193" s="211"/>
      <c r="E7193" s="211"/>
      <c r="U7193" s="222"/>
    </row>
    <row r="7194" spans="2:21" x14ac:dyDescent="0.2">
      <c r="B7194" s="207"/>
      <c r="C7194" s="210"/>
      <c r="D7194" s="211"/>
      <c r="E7194" s="211"/>
      <c r="U7194" s="222"/>
    </row>
    <row r="7195" spans="2:21" x14ac:dyDescent="0.2">
      <c r="B7195" s="207"/>
      <c r="C7195" s="210"/>
      <c r="D7195" s="211"/>
      <c r="E7195" s="211"/>
      <c r="U7195" s="222"/>
    </row>
    <row r="7196" spans="2:21" x14ac:dyDescent="0.2">
      <c r="B7196" s="207"/>
      <c r="C7196" s="210"/>
      <c r="D7196" s="211"/>
      <c r="E7196" s="211"/>
      <c r="U7196" s="222"/>
    </row>
    <row r="7197" spans="2:21" x14ac:dyDescent="0.2">
      <c r="B7197" s="207"/>
      <c r="C7197" s="210"/>
      <c r="D7197" s="211"/>
      <c r="E7197" s="211"/>
      <c r="U7197" s="222"/>
    </row>
    <row r="7198" spans="2:21" x14ac:dyDescent="0.2">
      <c r="B7198" s="207"/>
      <c r="C7198" s="210"/>
      <c r="D7198" s="211"/>
      <c r="E7198" s="211"/>
      <c r="U7198" s="222"/>
    </row>
    <row r="7199" spans="2:21" x14ac:dyDescent="0.2">
      <c r="B7199" s="207"/>
      <c r="C7199" s="210"/>
      <c r="D7199" s="211"/>
      <c r="E7199" s="211"/>
      <c r="U7199" s="222"/>
    </row>
    <row r="7200" spans="2:21" x14ac:dyDescent="0.2">
      <c r="B7200" s="207"/>
      <c r="C7200" s="210"/>
      <c r="D7200" s="211"/>
      <c r="E7200" s="211"/>
      <c r="U7200" s="222"/>
    </row>
    <row r="7201" spans="2:21" x14ac:dyDescent="0.2">
      <c r="B7201" s="207"/>
      <c r="C7201" s="210"/>
      <c r="D7201" s="211"/>
      <c r="E7201" s="211"/>
      <c r="U7201" s="222"/>
    </row>
    <row r="7202" spans="2:21" x14ac:dyDescent="0.2">
      <c r="B7202" s="207"/>
      <c r="C7202" s="210"/>
      <c r="D7202" s="211"/>
      <c r="E7202" s="211"/>
      <c r="U7202" s="222"/>
    </row>
    <row r="7203" spans="2:21" x14ac:dyDescent="0.2">
      <c r="B7203" s="207"/>
      <c r="C7203" s="210"/>
      <c r="D7203" s="211"/>
      <c r="E7203" s="211"/>
      <c r="U7203" s="222"/>
    </row>
    <row r="7204" spans="2:21" x14ac:dyDescent="0.2">
      <c r="B7204" s="207"/>
      <c r="C7204" s="210"/>
      <c r="D7204" s="211"/>
      <c r="E7204" s="211"/>
      <c r="U7204" s="222"/>
    </row>
    <row r="7205" spans="2:21" x14ac:dyDescent="0.2">
      <c r="B7205" s="207"/>
      <c r="C7205" s="210"/>
      <c r="D7205" s="211"/>
      <c r="E7205" s="211"/>
      <c r="U7205" s="222"/>
    </row>
    <row r="7206" spans="2:21" x14ac:dyDescent="0.2">
      <c r="B7206" s="207"/>
      <c r="C7206" s="210"/>
      <c r="D7206" s="211"/>
      <c r="E7206" s="211"/>
      <c r="U7206" s="222"/>
    </row>
    <row r="7207" spans="2:21" x14ac:dyDescent="0.2">
      <c r="B7207" s="207"/>
      <c r="C7207" s="210"/>
      <c r="D7207" s="211"/>
      <c r="E7207" s="211"/>
      <c r="U7207" s="222"/>
    </row>
    <row r="7208" spans="2:21" x14ac:dyDescent="0.2">
      <c r="B7208" s="207"/>
      <c r="C7208" s="210"/>
      <c r="D7208" s="211"/>
      <c r="E7208" s="211"/>
      <c r="U7208" s="222"/>
    </row>
    <row r="7209" spans="2:21" x14ac:dyDescent="0.2">
      <c r="B7209" s="207"/>
      <c r="C7209" s="210"/>
      <c r="D7209" s="211"/>
      <c r="E7209" s="211"/>
      <c r="U7209" s="222"/>
    </row>
    <row r="7210" spans="2:21" x14ac:dyDescent="0.2">
      <c r="B7210" s="207"/>
      <c r="C7210" s="210"/>
      <c r="D7210" s="211"/>
      <c r="E7210" s="211"/>
      <c r="U7210" s="222"/>
    </row>
    <row r="7211" spans="2:21" x14ac:dyDescent="0.2">
      <c r="B7211" s="207"/>
      <c r="C7211" s="210"/>
      <c r="D7211" s="211"/>
      <c r="E7211" s="211"/>
      <c r="U7211" s="222"/>
    </row>
    <row r="7212" spans="2:21" x14ac:dyDescent="0.2">
      <c r="B7212" s="207"/>
      <c r="C7212" s="210"/>
      <c r="D7212" s="211"/>
      <c r="E7212" s="211"/>
      <c r="U7212" s="222"/>
    </row>
    <row r="7213" spans="2:21" x14ac:dyDescent="0.2">
      <c r="B7213" s="207"/>
      <c r="C7213" s="210"/>
      <c r="D7213" s="211"/>
      <c r="E7213" s="211"/>
      <c r="U7213" s="222"/>
    </row>
    <row r="7214" spans="2:21" x14ac:dyDescent="0.2">
      <c r="B7214" s="207"/>
      <c r="C7214" s="210"/>
      <c r="D7214" s="211"/>
      <c r="E7214" s="211"/>
      <c r="U7214" s="222"/>
    </row>
    <row r="7215" spans="2:21" x14ac:dyDescent="0.2">
      <c r="B7215" s="207"/>
      <c r="C7215" s="210"/>
      <c r="D7215" s="211"/>
      <c r="E7215" s="211"/>
      <c r="U7215" s="222"/>
    </row>
    <row r="7216" spans="2:21" x14ac:dyDescent="0.2">
      <c r="B7216" s="207"/>
      <c r="C7216" s="210"/>
      <c r="D7216" s="211"/>
      <c r="E7216" s="211"/>
      <c r="U7216" s="222"/>
    </row>
    <row r="7217" spans="2:21" x14ac:dyDescent="0.2">
      <c r="B7217" s="207"/>
      <c r="C7217" s="210"/>
      <c r="D7217" s="211"/>
      <c r="E7217" s="211"/>
      <c r="U7217" s="222"/>
    </row>
    <row r="7218" spans="2:21" x14ac:dyDescent="0.2">
      <c r="B7218" s="207"/>
      <c r="C7218" s="210"/>
      <c r="D7218" s="211"/>
      <c r="E7218" s="211"/>
      <c r="U7218" s="222"/>
    </row>
    <row r="7219" spans="2:21" x14ac:dyDescent="0.2">
      <c r="B7219" s="207"/>
      <c r="C7219" s="210"/>
      <c r="D7219" s="211"/>
      <c r="E7219" s="211"/>
      <c r="U7219" s="222"/>
    </row>
    <row r="7220" spans="2:21" x14ac:dyDescent="0.2">
      <c r="B7220" s="207"/>
      <c r="C7220" s="210"/>
      <c r="D7220" s="211"/>
      <c r="E7220" s="211"/>
      <c r="U7220" s="222"/>
    </row>
    <row r="7221" spans="2:21" x14ac:dyDescent="0.2">
      <c r="B7221" s="207"/>
      <c r="C7221" s="210"/>
      <c r="D7221" s="211"/>
      <c r="E7221" s="211"/>
      <c r="U7221" s="222"/>
    </row>
    <row r="7222" spans="2:21" x14ac:dyDescent="0.2">
      <c r="B7222" s="207"/>
      <c r="C7222" s="210"/>
      <c r="D7222" s="211"/>
      <c r="E7222" s="211"/>
      <c r="U7222" s="222"/>
    </row>
    <row r="7223" spans="2:21" x14ac:dyDescent="0.2">
      <c r="B7223" s="207"/>
      <c r="C7223" s="210"/>
      <c r="D7223" s="211"/>
      <c r="E7223" s="211"/>
      <c r="U7223" s="222"/>
    </row>
    <row r="7224" spans="2:21" x14ac:dyDescent="0.2">
      <c r="B7224" s="207"/>
      <c r="C7224" s="210"/>
      <c r="D7224" s="211"/>
      <c r="E7224" s="211"/>
      <c r="U7224" s="222"/>
    </row>
    <row r="7225" spans="2:21" x14ac:dyDescent="0.2">
      <c r="B7225" s="207"/>
      <c r="C7225" s="210"/>
      <c r="D7225" s="211"/>
      <c r="E7225" s="211"/>
      <c r="U7225" s="222"/>
    </row>
    <row r="7226" spans="2:21" x14ac:dyDescent="0.2">
      <c r="B7226" s="207"/>
      <c r="C7226" s="210"/>
      <c r="D7226" s="211"/>
      <c r="E7226" s="211"/>
      <c r="U7226" s="222"/>
    </row>
    <row r="7227" spans="2:21" x14ac:dyDescent="0.2">
      <c r="B7227" s="207"/>
      <c r="C7227" s="210"/>
      <c r="D7227" s="211"/>
      <c r="E7227" s="211"/>
      <c r="U7227" s="222"/>
    </row>
    <row r="7228" spans="2:21" x14ac:dyDescent="0.2">
      <c r="B7228" s="207"/>
      <c r="C7228" s="210"/>
      <c r="D7228" s="211"/>
      <c r="E7228" s="211"/>
      <c r="U7228" s="222"/>
    </row>
    <row r="7229" spans="2:21" x14ac:dyDescent="0.2">
      <c r="B7229" s="207"/>
      <c r="C7229" s="210"/>
      <c r="D7229" s="211"/>
      <c r="E7229" s="211"/>
      <c r="U7229" s="222"/>
    </row>
    <row r="7230" spans="2:21" x14ac:dyDescent="0.2">
      <c r="B7230" s="207"/>
      <c r="C7230" s="210"/>
      <c r="D7230" s="211"/>
      <c r="E7230" s="211"/>
      <c r="U7230" s="222"/>
    </row>
    <row r="7231" spans="2:21" x14ac:dyDescent="0.2">
      <c r="B7231" s="207"/>
      <c r="C7231" s="210"/>
      <c r="D7231" s="211"/>
      <c r="E7231" s="211"/>
      <c r="U7231" s="222"/>
    </row>
    <row r="7232" spans="2:21" x14ac:dyDescent="0.2">
      <c r="B7232" s="207"/>
      <c r="C7232" s="210"/>
      <c r="D7232" s="211"/>
      <c r="E7232" s="211"/>
      <c r="U7232" s="222"/>
    </row>
    <row r="7233" spans="2:21" x14ac:dyDescent="0.2">
      <c r="B7233" s="207"/>
      <c r="C7233" s="210"/>
      <c r="D7233" s="211"/>
      <c r="E7233" s="211"/>
      <c r="U7233" s="222"/>
    </row>
    <row r="7234" spans="2:21" x14ac:dyDescent="0.2">
      <c r="B7234" s="207"/>
      <c r="C7234" s="210"/>
      <c r="D7234" s="211"/>
      <c r="E7234" s="211"/>
      <c r="U7234" s="222"/>
    </row>
    <row r="7235" spans="2:21" x14ac:dyDescent="0.2">
      <c r="B7235" s="207"/>
      <c r="C7235" s="210"/>
      <c r="D7235" s="211"/>
      <c r="E7235" s="211"/>
      <c r="U7235" s="222"/>
    </row>
    <row r="7236" spans="2:21" x14ac:dyDescent="0.2">
      <c r="B7236" s="207"/>
      <c r="C7236" s="210"/>
      <c r="D7236" s="211"/>
      <c r="E7236" s="211"/>
      <c r="U7236" s="222"/>
    </row>
    <row r="7237" spans="2:21" x14ac:dyDescent="0.2">
      <c r="B7237" s="207"/>
      <c r="C7237" s="210"/>
      <c r="D7237" s="211"/>
      <c r="E7237" s="211"/>
      <c r="U7237" s="222"/>
    </row>
    <row r="7238" spans="2:21" x14ac:dyDescent="0.2">
      <c r="B7238" s="207"/>
      <c r="C7238" s="210"/>
      <c r="D7238" s="211"/>
      <c r="E7238" s="211"/>
      <c r="U7238" s="222"/>
    </row>
    <row r="7239" spans="2:21" x14ac:dyDescent="0.2">
      <c r="B7239" s="207"/>
      <c r="C7239" s="210"/>
      <c r="D7239" s="211"/>
      <c r="E7239" s="211"/>
      <c r="U7239" s="222"/>
    </row>
    <row r="7240" spans="2:21" x14ac:dyDescent="0.2">
      <c r="B7240" s="207"/>
      <c r="C7240" s="210"/>
      <c r="D7240" s="211"/>
      <c r="E7240" s="211"/>
      <c r="U7240" s="222"/>
    </row>
    <row r="7241" spans="2:21" x14ac:dyDescent="0.2">
      <c r="B7241" s="207"/>
      <c r="C7241" s="210"/>
      <c r="D7241" s="211"/>
      <c r="E7241" s="211"/>
      <c r="U7241" s="222"/>
    </row>
    <row r="7242" spans="2:21" x14ac:dyDescent="0.2">
      <c r="B7242" s="207"/>
      <c r="C7242" s="210"/>
      <c r="D7242" s="211"/>
      <c r="E7242" s="211"/>
      <c r="U7242" s="222"/>
    </row>
    <row r="7243" spans="2:21" x14ac:dyDescent="0.2">
      <c r="B7243" s="207"/>
      <c r="C7243" s="210"/>
      <c r="D7243" s="211"/>
      <c r="E7243" s="211"/>
      <c r="U7243" s="222"/>
    </row>
    <row r="7244" spans="2:21" x14ac:dyDescent="0.2">
      <c r="B7244" s="207"/>
      <c r="C7244" s="210"/>
      <c r="D7244" s="211"/>
      <c r="E7244" s="211"/>
      <c r="U7244" s="222"/>
    </row>
    <row r="7245" spans="2:21" x14ac:dyDescent="0.2">
      <c r="B7245" s="207"/>
      <c r="C7245" s="210"/>
      <c r="D7245" s="211"/>
      <c r="E7245" s="211"/>
      <c r="U7245" s="222"/>
    </row>
    <row r="7246" spans="2:21" x14ac:dyDescent="0.2">
      <c r="B7246" s="207"/>
      <c r="C7246" s="210"/>
      <c r="D7246" s="211"/>
      <c r="E7246" s="211"/>
      <c r="U7246" s="222"/>
    </row>
    <row r="7247" spans="2:21" x14ac:dyDescent="0.2">
      <c r="B7247" s="207"/>
      <c r="C7247" s="210"/>
      <c r="D7247" s="211"/>
      <c r="E7247" s="211"/>
      <c r="U7247" s="222"/>
    </row>
    <row r="7248" spans="2:21" x14ac:dyDescent="0.2">
      <c r="B7248" s="207"/>
      <c r="C7248" s="210"/>
      <c r="D7248" s="211"/>
      <c r="E7248" s="211"/>
      <c r="U7248" s="222"/>
    </row>
    <row r="7249" spans="2:21" x14ac:dyDescent="0.2">
      <c r="B7249" s="207"/>
      <c r="C7249" s="210"/>
      <c r="D7249" s="211"/>
      <c r="E7249" s="211"/>
      <c r="U7249" s="222"/>
    </row>
    <row r="7250" spans="2:21" x14ac:dyDescent="0.2">
      <c r="B7250" s="207"/>
      <c r="C7250" s="210"/>
      <c r="D7250" s="211"/>
      <c r="E7250" s="211"/>
      <c r="U7250" s="222"/>
    </row>
    <row r="7251" spans="2:21" x14ac:dyDescent="0.2">
      <c r="B7251" s="207"/>
      <c r="C7251" s="210"/>
      <c r="D7251" s="211"/>
      <c r="E7251" s="211"/>
      <c r="U7251" s="222"/>
    </row>
    <row r="7252" spans="2:21" x14ac:dyDescent="0.2">
      <c r="B7252" s="207"/>
      <c r="C7252" s="210"/>
      <c r="D7252" s="211"/>
      <c r="E7252" s="211"/>
      <c r="U7252" s="222"/>
    </row>
    <row r="7253" spans="2:21" x14ac:dyDescent="0.2">
      <c r="B7253" s="207"/>
      <c r="C7253" s="210"/>
      <c r="D7253" s="211"/>
      <c r="E7253" s="211"/>
      <c r="U7253" s="222"/>
    </row>
    <row r="7254" spans="2:21" x14ac:dyDescent="0.2">
      <c r="B7254" s="207"/>
      <c r="C7254" s="210"/>
      <c r="D7254" s="211"/>
      <c r="E7254" s="211"/>
      <c r="U7254" s="222"/>
    </row>
    <row r="7255" spans="2:21" x14ac:dyDescent="0.2">
      <c r="B7255" s="207"/>
      <c r="C7255" s="210"/>
      <c r="D7255" s="211"/>
      <c r="E7255" s="211"/>
      <c r="U7255" s="222"/>
    </row>
    <row r="7256" spans="2:21" x14ac:dyDescent="0.2">
      <c r="B7256" s="207"/>
      <c r="C7256" s="210"/>
      <c r="D7256" s="211"/>
      <c r="E7256" s="211"/>
      <c r="U7256" s="222"/>
    </row>
    <row r="7257" spans="2:21" x14ac:dyDescent="0.2">
      <c r="B7257" s="207"/>
      <c r="C7257" s="210"/>
      <c r="D7257" s="211"/>
      <c r="E7257" s="211"/>
      <c r="U7257" s="222"/>
    </row>
    <row r="7258" spans="2:21" x14ac:dyDescent="0.2">
      <c r="B7258" s="207"/>
      <c r="C7258" s="210"/>
      <c r="D7258" s="211"/>
      <c r="E7258" s="211"/>
      <c r="U7258" s="222"/>
    </row>
    <row r="7259" spans="2:21" x14ac:dyDescent="0.2">
      <c r="B7259" s="207"/>
      <c r="C7259" s="210"/>
      <c r="D7259" s="211"/>
      <c r="E7259" s="211"/>
      <c r="U7259" s="222"/>
    </row>
    <row r="7260" spans="2:21" x14ac:dyDescent="0.2">
      <c r="B7260" s="207"/>
      <c r="C7260" s="210"/>
      <c r="D7260" s="211"/>
      <c r="E7260" s="211"/>
      <c r="U7260" s="222"/>
    </row>
    <row r="7261" spans="2:21" x14ac:dyDescent="0.2">
      <c r="B7261" s="207"/>
      <c r="C7261" s="210"/>
      <c r="D7261" s="211"/>
      <c r="E7261" s="211"/>
      <c r="U7261" s="222"/>
    </row>
    <row r="7262" spans="2:21" x14ac:dyDescent="0.2">
      <c r="B7262" s="207"/>
      <c r="C7262" s="210"/>
      <c r="D7262" s="211"/>
      <c r="E7262" s="211"/>
      <c r="U7262" s="222"/>
    </row>
    <row r="7263" spans="2:21" x14ac:dyDescent="0.2">
      <c r="B7263" s="207"/>
      <c r="C7263" s="210"/>
      <c r="D7263" s="211"/>
      <c r="E7263" s="211"/>
      <c r="U7263" s="222"/>
    </row>
    <row r="7264" spans="2:21" x14ac:dyDescent="0.2">
      <c r="B7264" s="207"/>
      <c r="C7264" s="210"/>
      <c r="D7264" s="211"/>
      <c r="E7264" s="211"/>
      <c r="U7264" s="222"/>
    </row>
    <row r="7265" spans="2:21" x14ac:dyDescent="0.2">
      <c r="B7265" s="207"/>
      <c r="C7265" s="210"/>
      <c r="D7265" s="211"/>
      <c r="E7265" s="211"/>
      <c r="U7265" s="222"/>
    </row>
    <row r="7266" spans="2:21" x14ac:dyDescent="0.2">
      <c r="B7266" s="207"/>
      <c r="C7266" s="210"/>
      <c r="D7266" s="211"/>
      <c r="E7266" s="211"/>
      <c r="U7266" s="222"/>
    </row>
    <row r="7267" spans="2:21" x14ac:dyDescent="0.2">
      <c r="B7267" s="207"/>
      <c r="C7267" s="210"/>
      <c r="D7267" s="211"/>
      <c r="E7267" s="211"/>
      <c r="U7267" s="222"/>
    </row>
    <row r="7268" spans="2:21" x14ac:dyDescent="0.2">
      <c r="B7268" s="207"/>
      <c r="C7268" s="210"/>
      <c r="D7268" s="211"/>
      <c r="E7268" s="211"/>
      <c r="U7268" s="222"/>
    </row>
    <row r="7269" spans="2:21" x14ac:dyDescent="0.2">
      <c r="B7269" s="207"/>
      <c r="C7269" s="210"/>
      <c r="D7269" s="211"/>
      <c r="E7269" s="211"/>
      <c r="U7269" s="222"/>
    </row>
    <row r="7270" spans="2:21" x14ac:dyDescent="0.2">
      <c r="B7270" s="207"/>
      <c r="C7270" s="210"/>
      <c r="D7270" s="211"/>
      <c r="E7270" s="211"/>
      <c r="U7270" s="222"/>
    </row>
    <row r="7271" spans="2:21" x14ac:dyDescent="0.2">
      <c r="B7271" s="207"/>
      <c r="C7271" s="210"/>
      <c r="D7271" s="211"/>
      <c r="E7271" s="211"/>
      <c r="U7271" s="222"/>
    </row>
    <row r="7272" spans="2:21" x14ac:dyDescent="0.2">
      <c r="B7272" s="207"/>
      <c r="C7272" s="210"/>
      <c r="D7272" s="211"/>
      <c r="E7272" s="211"/>
      <c r="U7272" s="222"/>
    </row>
    <row r="7273" spans="2:21" x14ac:dyDescent="0.2">
      <c r="B7273" s="207"/>
      <c r="C7273" s="210"/>
      <c r="D7273" s="211"/>
      <c r="E7273" s="211"/>
      <c r="U7273" s="222"/>
    </row>
    <row r="7274" spans="2:21" x14ac:dyDescent="0.2">
      <c r="B7274" s="207"/>
      <c r="C7274" s="210"/>
      <c r="D7274" s="211"/>
      <c r="E7274" s="211"/>
      <c r="U7274" s="222"/>
    </row>
    <row r="7275" spans="2:21" x14ac:dyDescent="0.2">
      <c r="B7275" s="207"/>
      <c r="C7275" s="210"/>
      <c r="D7275" s="211"/>
      <c r="E7275" s="211"/>
      <c r="U7275" s="222"/>
    </row>
    <row r="7276" spans="2:21" x14ac:dyDescent="0.2">
      <c r="B7276" s="207"/>
      <c r="C7276" s="210"/>
      <c r="D7276" s="211"/>
      <c r="E7276" s="211"/>
      <c r="U7276" s="222"/>
    </row>
    <row r="7277" spans="2:21" x14ac:dyDescent="0.2">
      <c r="B7277" s="207"/>
      <c r="C7277" s="210"/>
      <c r="D7277" s="211"/>
      <c r="E7277" s="211"/>
      <c r="U7277" s="222"/>
    </row>
    <row r="7278" spans="2:21" x14ac:dyDescent="0.2">
      <c r="B7278" s="207"/>
      <c r="C7278" s="210"/>
      <c r="D7278" s="211"/>
      <c r="E7278" s="211"/>
      <c r="U7278" s="222"/>
    </row>
    <row r="7279" spans="2:21" x14ac:dyDescent="0.2">
      <c r="B7279" s="207"/>
      <c r="C7279" s="210"/>
      <c r="D7279" s="211"/>
      <c r="E7279" s="211"/>
      <c r="U7279" s="222"/>
    </row>
    <row r="7280" spans="2:21" x14ac:dyDescent="0.2">
      <c r="B7280" s="207"/>
      <c r="C7280" s="210"/>
      <c r="D7280" s="211"/>
      <c r="E7280" s="211"/>
      <c r="U7280" s="222"/>
    </row>
    <row r="7281" spans="2:21" x14ac:dyDescent="0.2">
      <c r="B7281" s="207"/>
      <c r="C7281" s="210"/>
      <c r="D7281" s="211"/>
      <c r="E7281" s="211"/>
      <c r="U7281" s="222"/>
    </row>
    <row r="7282" spans="2:21" x14ac:dyDescent="0.2">
      <c r="B7282" s="207"/>
      <c r="C7282" s="210"/>
      <c r="D7282" s="211"/>
      <c r="E7282" s="211"/>
      <c r="U7282" s="222"/>
    </row>
    <row r="7283" spans="2:21" x14ac:dyDescent="0.2">
      <c r="B7283" s="207"/>
      <c r="C7283" s="210"/>
      <c r="D7283" s="211"/>
      <c r="E7283" s="211"/>
      <c r="U7283" s="222"/>
    </row>
    <row r="7284" spans="2:21" x14ac:dyDescent="0.2">
      <c r="B7284" s="207"/>
      <c r="C7284" s="210"/>
      <c r="D7284" s="211"/>
      <c r="E7284" s="211"/>
      <c r="U7284" s="222"/>
    </row>
    <row r="7285" spans="2:21" x14ac:dyDescent="0.2">
      <c r="B7285" s="207"/>
      <c r="C7285" s="210"/>
      <c r="D7285" s="211"/>
      <c r="E7285" s="211"/>
      <c r="U7285" s="222"/>
    </row>
    <row r="7286" spans="2:21" x14ac:dyDescent="0.2">
      <c r="B7286" s="207"/>
      <c r="C7286" s="210"/>
      <c r="D7286" s="211"/>
      <c r="E7286" s="211"/>
      <c r="U7286" s="222"/>
    </row>
    <row r="7287" spans="2:21" x14ac:dyDescent="0.2">
      <c r="B7287" s="207"/>
      <c r="C7287" s="210"/>
      <c r="D7287" s="211"/>
      <c r="E7287" s="211"/>
      <c r="U7287" s="222"/>
    </row>
    <row r="7288" spans="2:21" x14ac:dyDescent="0.2">
      <c r="B7288" s="207"/>
      <c r="C7288" s="210"/>
      <c r="D7288" s="211"/>
      <c r="E7288" s="211"/>
      <c r="U7288" s="222"/>
    </row>
    <row r="7289" spans="2:21" x14ac:dyDescent="0.2">
      <c r="B7289" s="207"/>
      <c r="C7289" s="210"/>
      <c r="D7289" s="211"/>
      <c r="E7289" s="211"/>
      <c r="U7289" s="222"/>
    </row>
    <row r="7290" spans="2:21" x14ac:dyDescent="0.2">
      <c r="B7290" s="207"/>
      <c r="C7290" s="210"/>
      <c r="D7290" s="211"/>
      <c r="E7290" s="211"/>
      <c r="U7290" s="222"/>
    </row>
    <row r="7291" spans="2:21" x14ac:dyDescent="0.2">
      <c r="B7291" s="207"/>
      <c r="C7291" s="210"/>
      <c r="D7291" s="211"/>
      <c r="E7291" s="211"/>
      <c r="U7291" s="222"/>
    </row>
    <row r="7292" spans="2:21" x14ac:dyDescent="0.2">
      <c r="B7292" s="207"/>
      <c r="C7292" s="210"/>
      <c r="D7292" s="211"/>
      <c r="E7292" s="211"/>
      <c r="U7292" s="222"/>
    </row>
    <row r="7293" spans="2:21" x14ac:dyDescent="0.2">
      <c r="B7293" s="207"/>
      <c r="C7293" s="210"/>
      <c r="D7293" s="211"/>
      <c r="E7293" s="211"/>
      <c r="U7293" s="222"/>
    </row>
    <row r="7294" spans="2:21" x14ac:dyDescent="0.2">
      <c r="B7294" s="207"/>
      <c r="C7294" s="210"/>
      <c r="D7294" s="211"/>
      <c r="E7294" s="211"/>
      <c r="U7294" s="222"/>
    </row>
    <row r="7295" spans="2:21" x14ac:dyDescent="0.2">
      <c r="B7295" s="207"/>
      <c r="C7295" s="210"/>
      <c r="D7295" s="211"/>
      <c r="E7295" s="211"/>
      <c r="U7295" s="222"/>
    </row>
    <row r="7296" spans="2:21" x14ac:dyDescent="0.2">
      <c r="B7296" s="207"/>
      <c r="C7296" s="210"/>
      <c r="D7296" s="211"/>
      <c r="E7296" s="211"/>
      <c r="U7296" s="222"/>
    </row>
    <row r="7297" spans="2:21" x14ac:dyDescent="0.2">
      <c r="B7297" s="207"/>
      <c r="C7297" s="210"/>
      <c r="D7297" s="211"/>
      <c r="E7297" s="211"/>
      <c r="U7297" s="222"/>
    </row>
    <row r="7298" spans="2:21" x14ac:dyDescent="0.2">
      <c r="B7298" s="207"/>
      <c r="C7298" s="210"/>
      <c r="D7298" s="211"/>
      <c r="E7298" s="211"/>
      <c r="U7298" s="222"/>
    </row>
    <row r="7299" spans="2:21" x14ac:dyDescent="0.2">
      <c r="B7299" s="207"/>
      <c r="C7299" s="210"/>
      <c r="D7299" s="211"/>
      <c r="E7299" s="211"/>
      <c r="U7299" s="222"/>
    </row>
    <row r="7300" spans="2:21" x14ac:dyDescent="0.2">
      <c r="B7300" s="207"/>
      <c r="C7300" s="210"/>
      <c r="D7300" s="211"/>
      <c r="E7300" s="211"/>
      <c r="U7300" s="222"/>
    </row>
    <row r="7301" spans="2:21" x14ac:dyDescent="0.2">
      <c r="B7301" s="207"/>
      <c r="C7301" s="210"/>
      <c r="D7301" s="211"/>
      <c r="E7301" s="211"/>
      <c r="U7301" s="222"/>
    </row>
    <row r="7302" spans="2:21" x14ac:dyDescent="0.2">
      <c r="B7302" s="207"/>
      <c r="C7302" s="210"/>
      <c r="D7302" s="211"/>
      <c r="E7302" s="211"/>
      <c r="U7302" s="222"/>
    </row>
    <row r="7303" spans="2:21" x14ac:dyDescent="0.2">
      <c r="B7303" s="207"/>
      <c r="C7303" s="210"/>
      <c r="D7303" s="211"/>
      <c r="E7303" s="211"/>
      <c r="U7303" s="222"/>
    </row>
    <row r="7304" spans="2:21" x14ac:dyDescent="0.2">
      <c r="B7304" s="207"/>
      <c r="C7304" s="210"/>
      <c r="D7304" s="211"/>
      <c r="E7304" s="211"/>
      <c r="U7304" s="222"/>
    </row>
    <row r="7305" spans="2:21" x14ac:dyDescent="0.2">
      <c r="B7305" s="207"/>
      <c r="C7305" s="210"/>
      <c r="D7305" s="211"/>
      <c r="E7305" s="211"/>
      <c r="U7305" s="222"/>
    </row>
    <row r="7306" spans="2:21" x14ac:dyDescent="0.2">
      <c r="B7306" s="207"/>
      <c r="C7306" s="210"/>
      <c r="D7306" s="211"/>
      <c r="E7306" s="211"/>
      <c r="U7306" s="222"/>
    </row>
    <row r="7307" spans="2:21" x14ac:dyDescent="0.2">
      <c r="B7307" s="207"/>
      <c r="C7307" s="210"/>
      <c r="D7307" s="211"/>
      <c r="E7307" s="211"/>
      <c r="U7307" s="222"/>
    </row>
    <row r="7308" spans="2:21" x14ac:dyDescent="0.2">
      <c r="B7308" s="207"/>
      <c r="C7308" s="210"/>
      <c r="D7308" s="211"/>
      <c r="E7308" s="211"/>
      <c r="U7308" s="222"/>
    </row>
    <row r="7309" spans="2:21" x14ac:dyDescent="0.2">
      <c r="B7309" s="207"/>
      <c r="C7309" s="210"/>
      <c r="D7309" s="211"/>
      <c r="E7309" s="211"/>
      <c r="U7309" s="222"/>
    </row>
    <row r="7310" spans="2:21" x14ac:dyDescent="0.2">
      <c r="B7310" s="207"/>
      <c r="C7310" s="210"/>
      <c r="D7310" s="211"/>
      <c r="E7310" s="211"/>
      <c r="U7310" s="222"/>
    </row>
    <row r="7311" spans="2:21" x14ac:dyDescent="0.2">
      <c r="B7311" s="207"/>
      <c r="C7311" s="210"/>
      <c r="D7311" s="211"/>
      <c r="E7311" s="211"/>
      <c r="U7311" s="222"/>
    </row>
    <row r="7312" spans="2:21" x14ac:dyDescent="0.2">
      <c r="B7312" s="207"/>
      <c r="C7312" s="210"/>
      <c r="D7312" s="211"/>
      <c r="E7312" s="211"/>
      <c r="U7312" s="222"/>
    </row>
    <row r="7313" spans="2:21" x14ac:dyDescent="0.2">
      <c r="B7313" s="207"/>
      <c r="C7313" s="210"/>
      <c r="D7313" s="211"/>
      <c r="E7313" s="211"/>
      <c r="U7313" s="222"/>
    </row>
    <row r="7314" spans="2:21" x14ac:dyDescent="0.2">
      <c r="B7314" s="207"/>
      <c r="C7314" s="210"/>
      <c r="D7314" s="211"/>
      <c r="E7314" s="211"/>
      <c r="U7314" s="222"/>
    </row>
    <row r="7315" spans="2:21" x14ac:dyDescent="0.2">
      <c r="B7315" s="207"/>
      <c r="C7315" s="210"/>
      <c r="D7315" s="211"/>
      <c r="E7315" s="211"/>
      <c r="U7315" s="222"/>
    </row>
    <row r="7316" spans="2:21" x14ac:dyDescent="0.2">
      <c r="B7316" s="207"/>
      <c r="C7316" s="210"/>
      <c r="D7316" s="211"/>
      <c r="E7316" s="211"/>
      <c r="U7316" s="222"/>
    </row>
    <row r="7317" spans="2:21" x14ac:dyDescent="0.2">
      <c r="B7317" s="207"/>
      <c r="C7317" s="210"/>
      <c r="D7317" s="211"/>
      <c r="E7317" s="211"/>
      <c r="U7317" s="222"/>
    </row>
    <row r="7318" spans="2:21" x14ac:dyDescent="0.2">
      <c r="B7318" s="207"/>
      <c r="C7318" s="210"/>
      <c r="D7318" s="211"/>
      <c r="E7318" s="211"/>
      <c r="U7318" s="222"/>
    </row>
    <row r="7319" spans="2:21" x14ac:dyDescent="0.2">
      <c r="B7319" s="207"/>
      <c r="C7319" s="210"/>
      <c r="D7319" s="211"/>
      <c r="E7319" s="211"/>
      <c r="U7319" s="222"/>
    </row>
    <row r="7320" spans="2:21" x14ac:dyDescent="0.2">
      <c r="B7320" s="207"/>
      <c r="C7320" s="210"/>
      <c r="D7320" s="211"/>
      <c r="E7320" s="211"/>
      <c r="U7320" s="222"/>
    </row>
    <row r="7321" spans="2:21" x14ac:dyDescent="0.2">
      <c r="B7321" s="207"/>
      <c r="C7321" s="210"/>
      <c r="D7321" s="211"/>
      <c r="E7321" s="211"/>
      <c r="U7321" s="222"/>
    </row>
    <row r="7322" spans="2:21" x14ac:dyDescent="0.2">
      <c r="B7322" s="207"/>
      <c r="C7322" s="210"/>
      <c r="D7322" s="211"/>
      <c r="E7322" s="211"/>
      <c r="U7322" s="222"/>
    </row>
    <row r="7323" spans="2:21" x14ac:dyDescent="0.2">
      <c r="B7323" s="207"/>
      <c r="C7323" s="210"/>
      <c r="D7323" s="211"/>
      <c r="E7323" s="211"/>
      <c r="U7323" s="222"/>
    </row>
    <row r="7324" spans="2:21" x14ac:dyDescent="0.2">
      <c r="B7324" s="207"/>
      <c r="C7324" s="210"/>
      <c r="D7324" s="211"/>
      <c r="E7324" s="211"/>
      <c r="U7324" s="222"/>
    </row>
    <row r="7325" spans="2:21" x14ac:dyDescent="0.2">
      <c r="B7325" s="207"/>
      <c r="C7325" s="210"/>
      <c r="D7325" s="211"/>
      <c r="E7325" s="211"/>
      <c r="U7325" s="222"/>
    </row>
    <row r="7326" spans="2:21" x14ac:dyDescent="0.2">
      <c r="B7326" s="207"/>
      <c r="C7326" s="210"/>
      <c r="D7326" s="211"/>
      <c r="E7326" s="211"/>
      <c r="U7326" s="222"/>
    </row>
    <row r="7327" spans="2:21" x14ac:dyDescent="0.2">
      <c r="B7327" s="207"/>
      <c r="C7327" s="210"/>
      <c r="D7327" s="211"/>
      <c r="E7327" s="211"/>
      <c r="U7327" s="222"/>
    </row>
    <row r="7328" spans="2:21" x14ac:dyDescent="0.2">
      <c r="B7328" s="207"/>
      <c r="C7328" s="210"/>
      <c r="D7328" s="211"/>
      <c r="E7328" s="211"/>
      <c r="U7328" s="222"/>
    </row>
    <row r="7329" spans="2:21" x14ac:dyDescent="0.2">
      <c r="B7329" s="207"/>
      <c r="C7329" s="210"/>
      <c r="D7329" s="211"/>
      <c r="E7329" s="211"/>
      <c r="U7329" s="222"/>
    </row>
    <row r="7330" spans="2:21" x14ac:dyDescent="0.2">
      <c r="B7330" s="207"/>
      <c r="C7330" s="210"/>
      <c r="D7330" s="211"/>
      <c r="E7330" s="211"/>
      <c r="U7330" s="222"/>
    </row>
    <row r="7331" spans="2:21" x14ac:dyDescent="0.2">
      <c r="B7331" s="207"/>
      <c r="C7331" s="210"/>
      <c r="D7331" s="211"/>
      <c r="E7331" s="211"/>
      <c r="U7331" s="222"/>
    </row>
    <row r="7332" spans="2:21" x14ac:dyDescent="0.2">
      <c r="B7332" s="207"/>
      <c r="C7332" s="210"/>
      <c r="D7332" s="211"/>
      <c r="E7332" s="211"/>
      <c r="U7332" s="222"/>
    </row>
    <row r="7333" spans="2:21" x14ac:dyDescent="0.2">
      <c r="B7333" s="207"/>
      <c r="C7333" s="210"/>
      <c r="D7333" s="211"/>
      <c r="E7333" s="211"/>
      <c r="U7333" s="222"/>
    </row>
    <row r="7334" spans="2:21" x14ac:dyDescent="0.2">
      <c r="B7334" s="207"/>
      <c r="C7334" s="210"/>
      <c r="D7334" s="211"/>
      <c r="E7334" s="211"/>
      <c r="U7334" s="222"/>
    </row>
    <row r="7335" spans="2:21" x14ac:dyDescent="0.2">
      <c r="B7335" s="207"/>
      <c r="C7335" s="210"/>
      <c r="D7335" s="211"/>
      <c r="E7335" s="211"/>
      <c r="U7335" s="222"/>
    </row>
    <row r="7336" spans="2:21" x14ac:dyDescent="0.2">
      <c r="B7336" s="207"/>
      <c r="C7336" s="210"/>
      <c r="D7336" s="211"/>
      <c r="E7336" s="211"/>
      <c r="U7336" s="222"/>
    </row>
    <row r="7337" spans="2:21" x14ac:dyDescent="0.2">
      <c r="B7337" s="207"/>
      <c r="C7337" s="210"/>
      <c r="D7337" s="211"/>
      <c r="E7337" s="211"/>
      <c r="U7337" s="222"/>
    </row>
    <row r="7338" spans="2:21" x14ac:dyDescent="0.2">
      <c r="B7338" s="207"/>
      <c r="C7338" s="210"/>
      <c r="D7338" s="211"/>
      <c r="E7338" s="211"/>
      <c r="U7338" s="222"/>
    </row>
    <row r="7339" spans="2:21" x14ac:dyDescent="0.2">
      <c r="B7339" s="207"/>
      <c r="C7339" s="210"/>
      <c r="D7339" s="211"/>
      <c r="E7339" s="211"/>
      <c r="U7339" s="222"/>
    </row>
    <row r="7340" spans="2:21" x14ac:dyDescent="0.2">
      <c r="B7340" s="207"/>
      <c r="C7340" s="210"/>
      <c r="D7340" s="211"/>
      <c r="E7340" s="211"/>
      <c r="U7340" s="222"/>
    </row>
    <row r="7341" spans="2:21" x14ac:dyDescent="0.2">
      <c r="B7341" s="207"/>
      <c r="C7341" s="210"/>
      <c r="D7341" s="211"/>
      <c r="E7341" s="211"/>
      <c r="U7341" s="222"/>
    </row>
    <row r="7342" spans="2:21" x14ac:dyDescent="0.2">
      <c r="B7342" s="207"/>
      <c r="C7342" s="210"/>
      <c r="D7342" s="211"/>
      <c r="E7342" s="211"/>
      <c r="U7342" s="222"/>
    </row>
    <row r="7343" spans="2:21" x14ac:dyDescent="0.2">
      <c r="B7343" s="207"/>
      <c r="C7343" s="210"/>
      <c r="D7343" s="211"/>
      <c r="E7343" s="211"/>
      <c r="U7343" s="222"/>
    </row>
    <row r="7344" spans="2:21" x14ac:dyDescent="0.2">
      <c r="B7344" s="207"/>
      <c r="C7344" s="210"/>
      <c r="D7344" s="211"/>
      <c r="E7344" s="211"/>
      <c r="U7344" s="222"/>
    </row>
    <row r="7345" spans="2:21" x14ac:dyDescent="0.2">
      <c r="B7345" s="207"/>
      <c r="C7345" s="210"/>
      <c r="D7345" s="211"/>
      <c r="E7345" s="211"/>
      <c r="U7345" s="222"/>
    </row>
    <row r="7346" spans="2:21" x14ac:dyDescent="0.2">
      <c r="B7346" s="207"/>
      <c r="C7346" s="210"/>
      <c r="D7346" s="211"/>
      <c r="E7346" s="211"/>
      <c r="U7346" s="222"/>
    </row>
    <row r="7347" spans="2:21" x14ac:dyDescent="0.2">
      <c r="B7347" s="207"/>
      <c r="C7347" s="210"/>
      <c r="D7347" s="211"/>
      <c r="E7347" s="211"/>
      <c r="U7347" s="222"/>
    </row>
    <row r="7348" spans="2:21" x14ac:dyDescent="0.2">
      <c r="B7348" s="207"/>
      <c r="C7348" s="210"/>
      <c r="D7348" s="211"/>
      <c r="E7348" s="211"/>
      <c r="U7348" s="222"/>
    </row>
    <row r="7349" spans="2:21" x14ac:dyDescent="0.2">
      <c r="B7349" s="207"/>
      <c r="C7349" s="210"/>
      <c r="D7349" s="211"/>
      <c r="E7349" s="211"/>
      <c r="U7349" s="222"/>
    </row>
    <row r="7350" spans="2:21" x14ac:dyDescent="0.2">
      <c r="B7350" s="207"/>
      <c r="C7350" s="210"/>
      <c r="D7350" s="211"/>
      <c r="E7350" s="211"/>
      <c r="U7350" s="222"/>
    </row>
    <row r="7351" spans="2:21" x14ac:dyDescent="0.2">
      <c r="B7351" s="207"/>
      <c r="C7351" s="210"/>
      <c r="D7351" s="211"/>
      <c r="E7351" s="211"/>
      <c r="U7351" s="222"/>
    </row>
    <row r="7352" spans="2:21" x14ac:dyDescent="0.2">
      <c r="B7352" s="207"/>
      <c r="C7352" s="210"/>
      <c r="D7352" s="211"/>
      <c r="E7352" s="211"/>
      <c r="U7352" s="222"/>
    </row>
    <row r="7353" spans="2:21" x14ac:dyDescent="0.2">
      <c r="B7353" s="207"/>
      <c r="C7353" s="210"/>
      <c r="D7353" s="211"/>
      <c r="E7353" s="211"/>
      <c r="U7353" s="222"/>
    </row>
    <row r="7354" spans="2:21" x14ac:dyDescent="0.2">
      <c r="B7354" s="207"/>
      <c r="C7354" s="210"/>
      <c r="D7354" s="211"/>
      <c r="E7354" s="211"/>
      <c r="U7354" s="222"/>
    </row>
    <row r="7355" spans="2:21" x14ac:dyDescent="0.2">
      <c r="B7355" s="207"/>
      <c r="C7355" s="210"/>
      <c r="D7355" s="211"/>
      <c r="E7355" s="211"/>
      <c r="U7355" s="222"/>
    </row>
    <row r="7356" spans="2:21" x14ac:dyDescent="0.2">
      <c r="B7356" s="207"/>
      <c r="C7356" s="210"/>
      <c r="D7356" s="211"/>
      <c r="E7356" s="211"/>
      <c r="U7356" s="222"/>
    </row>
    <row r="7357" spans="2:21" x14ac:dyDescent="0.2">
      <c r="B7357" s="207"/>
      <c r="C7357" s="210"/>
      <c r="D7357" s="211"/>
      <c r="E7357" s="211"/>
      <c r="U7357" s="222"/>
    </row>
    <row r="7358" spans="2:21" x14ac:dyDescent="0.2">
      <c r="B7358" s="207"/>
      <c r="C7358" s="210"/>
      <c r="D7358" s="211"/>
      <c r="E7358" s="211"/>
      <c r="U7358" s="222"/>
    </row>
    <row r="7359" spans="2:21" x14ac:dyDescent="0.2">
      <c r="B7359" s="207"/>
      <c r="C7359" s="210"/>
      <c r="D7359" s="211"/>
      <c r="E7359" s="211"/>
      <c r="U7359" s="222"/>
    </row>
    <row r="7360" spans="2:21" x14ac:dyDescent="0.2">
      <c r="B7360" s="207"/>
      <c r="C7360" s="210"/>
      <c r="D7360" s="211"/>
      <c r="E7360" s="211"/>
      <c r="U7360" s="222"/>
    </row>
    <row r="7361" spans="2:21" x14ac:dyDescent="0.2">
      <c r="B7361" s="207"/>
      <c r="C7361" s="210"/>
      <c r="D7361" s="211"/>
      <c r="E7361" s="211"/>
      <c r="U7361" s="222"/>
    </row>
    <row r="7362" spans="2:21" x14ac:dyDescent="0.2">
      <c r="B7362" s="207"/>
      <c r="C7362" s="210"/>
      <c r="D7362" s="211"/>
      <c r="E7362" s="211"/>
      <c r="U7362" s="222"/>
    </row>
    <row r="7363" spans="2:21" x14ac:dyDescent="0.2">
      <c r="B7363" s="207"/>
      <c r="C7363" s="210"/>
      <c r="D7363" s="211"/>
      <c r="E7363" s="211"/>
      <c r="U7363" s="222"/>
    </row>
    <row r="7364" spans="2:21" x14ac:dyDescent="0.2">
      <c r="B7364" s="207"/>
      <c r="C7364" s="210"/>
      <c r="D7364" s="211"/>
      <c r="E7364" s="211"/>
      <c r="U7364" s="222"/>
    </row>
    <row r="7365" spans="2:21" x14ac:dyDescent="0.2">
      <c r="B7365" s="207"/>
      <c r="C7365" s="210"/>
      <c r="D7365" s="211"/>
      <c r="E7365" s="211"/>
      <c r="U7365" s="222"/>
    </row>
    <row r="7366" spans="2:21" x14ac:dyDescent="0.2">
      <c r="B7366" s="207"/>
      <c r="C7366" s="210"/>
      <c r="D7366" s="211"/>
      <c r="E7366" s="211"/>
      <c r="U7366" s="222"/>
    </row>
    <row r="7367" spans="2:21" x14ac:dyDescent="0.2">
      <c r="B7367" s="207"/>
      <c r="C7367" s="210"/>
      <c r="D7367" s="211"/>
      <c r="E7367" s="211"/>
      <c r="U7367" s="222"/>
    </row>
    <row r="7368" spans="2:21" x14ac:dyDescent="0.2">
      <c r="B7368" s="207"/>
      <c r="C7368" s="210"/>
      <c r="D7368" s="211"/>
      <c r="E7368" s="211"/>
      <c r="U7368" s="222"/>
    </row>
    <row r="7369" spans="2:21" x14ac:dyDescent="0.2">
      <c r="B7369" s="207"/>
      <c r="C7369" s="210"/>
      <c r="D7369" s="211"/>
      <c r="E7369" s="211"/>
      <c r="U7369" s="222"/>
    </row>
    <row r="7370" spans="2:21" x14ac:dyDescent="0.2">
      <c r="B7370" s="207"/>
      <c r="C7370" s="210"/>
      <c r="D7370" s="211"/>
      <c r="E7370" s="211"/>
      <c r="U7370" s="222"/>
    </row>
    <row r="7371" spans="2:21" x14ac:dyDescent="0.2">
      <c r="B7371" s="207"/>
      <c r="C7371" s="210"/>
      <c r="D7371" s="211"/>
      <c r="E7371" s="211"/>
      <c r="U7371" s="222"/>
    </row>
    <row r="7372" spans="2:21" x14ac:dyDescent="0.2">
      <c r="B7372" s="207"/>
      <c r="C7372" s="210"/>
      <c r="D7372" s="211"/>
      <c r="E7372" s="211"/>
      <c r="U7372" s="222"/>
    </row>
    <row r="7373" spans="2:21" x14ac:dyDescent="0.2">
      <c r="B7373" s="207"/>
      <c r="C7373" s="210"/>
      <c r="D7373" s="211"/>
      <c r="E7373" s="211"/>
      <c r="U7373" s="222"/>
    </row>
    <row r="7374" spans="2:21" x14ac:dyDescent="0.2">
      <c r="B7374" s="207"/>
      <c r="C7374" s="210"/>
      <c r="D7374" s="211"/>
      <c r="E7374" s="211"/>
      <c r="U7374" s="222"/>
    </row>
    <row r="7375" spans="2:21" x14ac:dyDescent="0.2">
      <c r="B7375" s="207"/>
      <c r="C7375" s="210"/>
      <c r="D7375" s="211"/>
      <c r="E7375" s="211"/>
      <c r="U7375" s="222"/>
    </row>
    <row r="7376" spans="2:21" x14ac:dyDescent="0.2">
      <c r="B7376" s="207"/>
      <c r="C7376" s="210"/>
      <c r="D7376" s="211"/>
      <c r="E7376" s="211"/>
      <c r="U7376" s="222"/>
    </row>
    <row r="7377" spans="2:21" x14ac:dyDescent="0.2">
      <c r="B7377" s="207"/>
      <c r="C7377" s="210"/>
      <c r="D7377" s="211"/>
      <c r="E7377" s="211"/>
      <c r="U7377" s="222"/>
    </row>
    <row r="7378" spans="2:21" x14ac:dyDescent="0.2">
      <c r="B7378" s="207"/>
      <c r="C7378" s="210"/>
      <c r="D7378" s="211"/>
      <c r="E7378" s="211"/>
      <c r="U7378" s="222"/>
    </row>
    <row r="7379" spans="2:21" x14ac:dyDescent="0.2">
      <c r="B7379" s="207"/>
      <c r="C7379" s="210"/>
      <c r="D7379" s="211"/>
      <c r="E7379" s="211"/>
      <c r="U7379" s="222"/>
    </row>
    <row r="7380" spans="2:21" x14ac:dyDescent="0.2">
      <c r="B7380" s="207"/>
      <c r="C7380" s="210"/>
      <c r="D7380" s="211"/>
      <c r="E7380" s="211"/>
      <c r="U7380" s="222"/>
    </row>
    <row r="7381" spans="2:21" x14ac:dyDescent="0.2">
      <c r="B7381" s="207"/>
      <c r="C7381" s="210"/>
      <c r="D7381" s="211"/>
      <c r="E7381" s="211"/>
      <c r="U7381" s="222"/>
    </row>
    <row r="7382" spans="2:21" x14ac:dyDescent="0.2">
      <c r="B7382" s="207"/>
      <c r="C7382" s="210"/>
      <c r="D7382" s="211"/>
      <c r="E7382" s="211"/>
      <c r="U7382" s="222"/>
    </row>
    <row r="7383" spans="2:21" x14ac:dyDescent="0.2">
      <c r="B7383" s="207"/>
      <c r="C7383" s="210"/>
      <c r="D7383" s="211"/>
      <c r="E7383" s="211"/>
      <c r="U7383" s="222"/>
    </row>
    <row r="7384" spans="2:21" x14ac:dyDescent="0.2">
      <c r="B7384" s="207"/>
      <c r="C7384" s="210"/>
      <c r="D7384" s="211"/>
      <c r="E7384" s="211"/>
      <c r="U7384" s="222"/>
    </row>
    <row r="7385" spans="2:21" x14ac:dyDescent="0.2">
      <c r="B7385" s="207"/>
      <c r="C7385" s="210"/>
      <c r="D7385" s="211"/>
      <c r="E7385" s="211"/>
      <c r="U7385" s="222"/>
    </row>
    <row r="7386" spans="2:21" x14ac:dyDescent="0.2">
      <c r="B7386" s="207"/>
      <c r="C7386" s="210"/>
      <c r="D7386" s="211"/>
      <c r="E7386" s="211"/>
      <c r="U7386" s="222"/>
    </row>
    <row r="7387" spans="2:21" x14ac:dyDescent="0.2">
      <c r="B7387" s="207"/>
      <c r="C7387" s="210"/>
      <c r="D7387" s="211"/>
      <c r="E7387" s="211"/>
      <c r="U7387" s="222"/>
    </row>
    <row r="7388" spans="2:21" x14ac:dyDescent="0.2">
      <c r="B7388" s="207"/>
      <c r="C7388" s="210"/>
      <c r="D7388" s="211"/>
      <c r="E7388" s="211"/>
      <c r="U7388" s="222"/>
    </row>
    <row r="7389" spans="2:21" x14ac:dyDescent="0.2">
      <c r="B7389" s="207"/>
      <c r="C7389" s="210"/>
      <c r="D7389" s="211"/>
      <c r="E7389" s="211"/>
      <c r="U7389" s="222"/>
    </row>
    <row r="7390" spans="2:21" x14ac:dyDescent="0.2">
      <c r="B7390" s="207"/>
      <c r="C7390" s="210"/>
      <c r="D7390" s="211"/>
      <c r="E7390" s="211"/>
      <c r="U7390" s="222"/>
    </row>
    <row r="7391" spans="2:21" x14ac:dyDescent="0.2">
      <c r="B7391" s="207"/>
      <c r="C7391" s="210"/>
      <c r="D7391" s="211"/>
      <c r="E7391" s="211"/>
      <c r="U7391" s="222"/>
    </row>
    <row r="7392" spans="2:21" x14ac:dyDescent="0.2">
      <c r="B7392" s="207"/>
      <c r="C7392" s="210"/>
      <c r="D7392" s="211"/>
      <c r="E7392" s="211"/>
      <c r="U7392" s="222"/>
    </row>
    <row r="7393" spans="2:21" x14ac:dyDescent="0.2">
      <c r="B7393" s="207"/>
      <c r="C7393" s="210"/>
      <c r="D7393" s="211"/>
      <c r="E7393" s="211"/>
      <c r="U7393" s="222"/>
    </row>
    <row r="7394" spans="2:21" x14ac:dyDescent="0.2">
      <c r="B7394" s="207"/>
      <c r="C7394" s="210"/>
      <c r="D7394" s="211"/>
      <c r="E7394" s="211"/>
      <c r="U7394" s="222"/>
    </row>
    <row r="7395" spans="2:21" x14ac:dyDescent="0.2">
      <c r="B7395" s="207"/>
      <c r="C7395" s="210"/>
      <c r="D7395" s="211"/>
      <c r="E7395" s="211"/>
      <c r="U7395" s="222"/>
    </row>
    <row r="7396" spans="2:21" x14ac:dyDescent="0.2">
      <c r="B7396" s="207"/>
      <c r="C7396" s="210"/>
      <c r="D7396" s="211"/>
      <c r="E7396" s="211"/>
      <c r="U7396" s="222"/>
    </row>
    <row r="7397" spans="2:21" x14ac:dyDescent="0.2">
      <c r="B7397" s="207"/>
      <c r="C7397" s="210"/>
      <c r="D7397" s="211"/>
      <c r="E7397" s="211"/>
      <c r="U7397" s="222"/>
    </row>
    <row r="7398" spans="2:21" x14ac:dyDescent="0.2">
      <c r="B7398" s="207"/>
      <c r="C7398" s="210"/>
      <c r="D7398" s="211"/>
      <c r="E7398" s="211"/>
      <c r="U7398" s="222"/>
    </row>
    <row r="7399" spans="2:21" x14ac:dyDescent="0.2">
      <c r="B7399" s="207"/>
      <c r="C7399" s="210"/>
      <c r="D7399" s="211"/>
      <c r="E7399" s="211"/>
      <c r="U7399" s="222"/>
    </row>
    <row r="7400" spans="2:21" x14ac:dyDescent="0.2">
      <c r="B7400" s="207"/>
      <c r="C7400" s="210"/>
      <c r="D7400" s="211"/>
      <c r="E7400" s="211"/>
      <c r="U7400" s="222"/>
    </row>
    <row r="7401" spans="2:21" x14ac:dyDescent="0.2">
      <c r="B7401" s="207"/>
      <c r="C7401" s="210"/>
      <c r="D7401" s="211"/>
      <c r="E7401" s="211"/>
      <c r="U7401" s="222"/>
    </row>
    <row r="7402" spans="2:21" x14ac:dyDescent="0.2">
      <c r="B7402" s="207"/>
      <c r="C7402" s="210"/>
      <c r="D7402" s="211"/>
      <c r="E7402" s="211"/>
      <c r="U7402" s="222"/>
    </row>
    <row r="7403" spans="2:21" x14ac:dyDescent="0.2">
      <c r="B7403" s="207"/>
      <c r="C7403" s="210"/>
      <c r="D7403" s="211"/>
      <c r="E7403" s="211"/>
      <c r="U7403" s="222"/>
    </row>
    <row r="7404" spans="2:21" x14ac:dyDescent="0.2">
      <c r="B7404" s="207"/>
      <c r="C7404" s="210"/>
      <c r="D7404" s="211"/>
      <c r="E7404" s="211"/>
      <c r="U7404" s="222"/>
    </row>
    <row r="7405" spans="2:21" x14ac:dyDescent="0.2">
      <c r="B7405" s="207"/>
      <c r="C7405" s="210"/>
      <c r="D7405" s="211"/>
      <c r="E7405" s="211"/>
      <c r="U7405" s="222"/>
    </row>
    <row r="7406" spans="2:21" x14ac:dyDescent="0.2">
      <c r="B7406" s="207"/>
      <c r="C7406" s="210"/>
      <c r="D7406" s="211"/>
      <c r="E7406" s="211"/>
      <c r="U7406" s="222"/>
    </row>
    <row r="7407" spans="2:21" x14ac:dyDescent="0.2">
      <c r="B7407" s="207"/>
      <c r="C7407" s="210"/>
      <c r="D7407" s="211"/>
      <c r="E7407" s="211"/>
      <c r="U7407" s="222"/>
    </row>
    <row r="7408" spans="2:21" x14ac:dyDescent="0.2">
      <c r="B7408" s="207"/>
      <c r="C7408" s="210"/>
      <c r="D7408" s="211"/>
      <c r="E7408" s="211"/>
      <c r="U7408" s="222"/>
    </row>
    <row r="7409" spans="2:21" x14ac:dyDescent="0.2">
      <c r="B7409" s="207"/>
      <c r="C7409" s="210"/>
      <c r="D7409" s="211"/>
      <c r="E7409" s="211"/>
      <c r="U7409" s="222"/>
    </row>
    <row r="7410" spans="2:21" x14ac:dyDescent="0.2">
      <c r="B7410" s="207"/>
      <c r="C7410" s="210"/>
      <c r="D7410" s="211"/>
      <c r="E7410" s="211"/>
      <c r="U7410" s="222"/>
    </row>
    <row r="7411" spans="2:21" x14ac:dyDescent="0.2">
      <c r="B7411" s="207"/>
      <c r="C7411" s="210"/>
      <c r="D7411" s="211"/>
      <c r="E7411" s="211"/>
      <c r="U7411" s="222"/>
    </row>
    <row r="7412" spans="2:21" x14ac:dyDescent="0.2">
      <c r="B7412" s="207"/>
      <c r="C7412" s="210"/>
      <c r="D7412" s="211"/>
      <c r="E7412" s="211"/>
      <c r="U7412" s="222"/>
    </row>
    <row r="7413" spans="2:21" x14ac:dyDescent="0.2">
      <c r="B7413" s="207"/>
      <c r="C7413" s="210"/>
      <c r="D7413" s="211"/>
      <c r="E7413" s="211"/>
      <c r="U7413" s="222"/>
    </row>
    <row r="7414" spans="2:21" x14ac:dyDescent="0.2">
      <c r="B7414" s="207"/>
      <c r="C7414" s="210"/>
      <c r="D7414" s="211"/>
      <c r="E7414" s="211"/>
      <c r="U7414" s="222"/>
    </row>
    <row r="7415" spans="2:21" x14ac:dyDescent="0.2">
      <c r="B7415" s="207"/>
      <c r="C7415" s="210"/>
      <c r="D7415" s="211"/>
      <c r="E7415" s="211"/>
      <c r="U7415" s="222"/>
    </row>
    <row r="7416" spans="2:21" x14ac:dyDescent="0.2">
      <c r="B7416" s="207"/>
      <c r="C7416" s="210"/>
      <c r="D7416" s="211"/>
      <c r="E7416" s="211"/>
      <c r="U7416" s="222"/>
    </row>
    <row r="7417" spans="2:21" x14ac:dyDescent="0.2">
      <c r="B7417" s="207"/>
      <c r="C7417" s="210"/>
      <c r="D7417" s="211"/>
      <c r="E7417" s="211"/>
      <c r="U7417" s="222"/>
    </row>
    <row r="7418" spans="2:21" x14ac:dyDescent="0.2">
      <c r="B7418" s="207"/>
      <c r="C7418" s="210"/>
      <c r="D7418" s="211"/>
      <c r="E7418" s="211"/>
      <c r="U7418" s="222"/>
    </row>
    <row r="7419" spans="2:21" x14ac:dyDescent="0.2">
      <c r="B7419" s="207"/>
      <c r="C7419" s="210"/>
      <c r="D7419" s="211"/>
      <c r="E7419" s="211"/>
      <c r="U7419" s="222"/>
    </row>
    <row r="7420" spans="2:21" x14ac:dyDescent="0.2">
      <c r="B7420" s="207"/>
      <c r="C7420" s="210"/>
      <c r="D7420" s="211"/>
      <c r="E7420" s="211"/>
      <c r="U7420" s="222"/>
    </row>
    <row r="7421" spans="2:21" x14ac:dyDescent="0.2">
      <c r="B7421" s="207"/>
      <c r="C7421" s="210"/>
      <c r="D7421" s="211"/>
      <c r="E7421" s="211"/>
      <c r="U7421" s="222"/>
    </row>
    <row r="7422" spans="2:21" x14ac:dyDescent="0.2">
      <c r="B7422" s="207"/>
      <c r="C7422" s="210"/>
      <c r="D7422" s="211"/>
      <c r="E7422" s="211"/>
      <c r="U7422" s="222"/>
    </row>
    <row r="7423" spans="2:21" x14ac:dyDescent="0.2">
      <c r="B7423" s="207"/>
      <c r="C7423" s="210"/>
      <c r="D7423" s="211"/>
      <c r="E7423" s="211"/>
      <c r="U7423" s="222"/>
    </row>
    <row r="7424" spans="2:21" x14ac:dyDescent="0.2">
      <c r="B7424" s="207"/>
      <c r="C7424" s="210"/>
      <c r="D7424" s="211"/>
      <c r="E7424" s="211"/>
      <c r="U7424" s="222"/>
    </row>
    <row r="7425" spans="2:21" x14ac:dyDescent="0.2">
      <c r="B7425" s="207"/>
      <c r="C7425" s="210"/>
      <c r="D7425" s="211"/>
      <c r="E7425" s="211"/>
      <c r="U7425" s="222"/>
    </row>
    <row r="7426" spans="2:21" x14ac:dyDescent="0.2">
      <c r="B7426" s="207"/>
      <c r="C7426" s="210"/>
      <c r="D7426" s="211"/>
      <c r="E7426" s="211"/>
      <c r="U7426" s="222"/>
    </row>
    <row r="7427" spans="2:21" x14ac:dyDescent="0.2">
      <c r="B7427" s="207"/>
      <c r="C7427" s="210"/>
      <c r="D7427" s="211"/>
      <c r="E7427" s="211"/>
      <c r="U7427" s="222"/>
    </row>
    <row r="7428" spans="2:21" x14ac:dyDescent="0.2">
      <c r="B7428" s="207"/>
      <c r="C7428" s="210"/>
      <c r="D7428" s="211"/>
      <c r="E7428" s="211"/>
      <c r="U7428" s="222"/>
    </row>
    <row r="7429" spans="2:21" x14ac:dyDescent="0.2">
      <c r="B7429" s="207"/>
      <c r="C7429" s="210"/>
      <c r="D7429" s="211"/>
      <c r="E7429" s="211"/>
      <c r="U7429" s="222"/>
    </row>
    <row r="7430" spans="2:21" x14ac:dyDescent="0.2">
      <c r="B7430" s="207"/>
      <c r="C7430" s="210"/>
      <c r="D7430" s="211"/>
      <c r="E7430" s="211"/>
      <c r="U7430" s="222"/>
    </row>
    <row r="7431" spans="2:21" x14ac:dyDescent="0.2">
      <c r="B7431" s="207"/>
      <c r="C7431" s="210"/>
      <c r="D7431" s="211"/>
      <c r="E7431" s="211"/>
      <c r="U7431" s="222"/>
    </row>
    <row r="7432" spans="2:21" x14ac:dyDescent="0.2">
      <c r="B7432" s="207"/>
      <c r="C7432" s="210"/>
      <c r="D7432" s="211"/>
      <c r="E7432" s="211"/>
      <c r="U7432" s="222"/>
    </row>
    <row r="7433" spans="2:21" x14ac:dyDescent="0.2">
      <c r="B7433" s="207"/>
      <c r="C7433" s="210"/>
      <c r="D7433" s="211"/>
      <c r="E7433" s="211"/>
      <c r="U7433" s="222"/>
    </row>
    <row r="7434" spans="2:21" x14ac:dyDescent="0.2">
      <c r="B7434" s="207"/>
      <c r="C7434" s="210"/>
      <c r="D7434" s="211"/>
      <c r="E7434" s="211"/>
      <c r="U7434" s="222"/>
    </row>
    <row r="7435" spans="2:21" x14ac:dyDescent="0.2">
      <c r="B7435" s="207"/>
      <c r="C7435" s="210"/>
      <c r="D7435" s="211"/>
      <c r="E7435" s="211"/>
      <c r="U7435" s="222"/>
    </row>
    <row r="7436" spans="2:21" x14ac:dyDescent="0.2">
      <c r="B7436" s="207"/>
      <c r="C7436" s="210"/>
      <c r="D7436" s="211"/>
      <c r="E7436" s="211"/>
      <c r="U7436" s="222"/>
    </row>
    <row r="7437" spans="2:21" x14ac:dyDescent="0.2">
      <c r="B7437" s="207"/>
      <c r="C7437" s="210"/>
      <c r="D7437" s="211"/>
      <c r="E7437" s="211"/>
      <c r="U7437" s="222"/>
    </row>
    <row r="7438" spans="2:21" x14ac:dyDescent="0.2">
      <c r="B7438" s="207"/>
      <c r="C7438" s="210"/>
      <c r="D7438" s="211"/>
      <c r="E7438" s="211"/>
      <c r="U7438" s="222"/>
    </row>
    <row r="7439" spans="2:21" x14ac:dyDescent="0.2">
      <c r="B7439" s="207"/>
      <c r="C7439" s="210"/>
      <c r="D7439" s="211"/>
      <c r="E7439" s="211"/>
      <c r="U7439" s="222"/>
    </row>
    <row r="7440" spans="2:21" x14ac:dyDescent="0.2">
      <c r="B7440" s="207"/>
      <c r="C7440" s="210"/>
      <c r="D7440" s="211"/>
      <c r="E7440" s="211"/>
      <c r="U7440" s="222"/>
    </row>
    <row r="7441" spans="2:21" x14ac:dyDescent="0.2">
      <c r="B7441" s="207"/>
      <c r="C7441" s="210"/>
      <c r="D7441" s="211"/>
      <c r="E7441" s="211"/>
      <c r="U7441" s="222"/>
    </row>
    <row r="7442" spans="2:21" x14ac:dyDescent="0.2">
      <c r="B7442" s="207"/>
      <c r="C7442" s="210"/>
      <c r="D7442" s="211"/>
      <c r="E7442" s="211"/>
      <c r="U7442" s="222"/>
    </row>
    <row r="7443" spans="2:21" x14ac:dyDescent="0.2">
      <c r="B7443" s="207"/>
      <c r="C7443" s="210"/>
      <c r="D7443" s="211"/>
      <c r="E7443" s="211"/>
      <c r="U7443" s="222"/>
    </row>
    <row r="7444" spans="2:21" x14ac:dyDescent="0.2">
      <c r="B7444" s="207"/>
      <c r="C7444" s="210"/>
      <c r="D7444" s="211"/>
      <c r="E7444" s="211"/>
      <c r="U7444" s="222"/>
    </row>
    <row r="7445" spans="2:21" x14ac:dyDescent="0.2">
      <c r="B7445" s="207"/>
      <c r="C7445" s="210"/>
      <c r="D7445" s="211"/>
      <c r="E7445" s="211"/>
      <c r="U7445" s="222"/>
    </row>
    <row r="7446" spans="2:21" x14ac:dyDescent="0.2">
      <c r="B7446" s="207"/>
      <c r="C7446" s="210"/>
      <c r="D7446" s="211"/>
      <c r="E7446" s="211"/>
      <c r="U7446" s="222"/>
    </row>
    <row r="7447" spans="2:21" x14ac:dyDescent="0.2">
      <c r="B7447" s="207"/>
      <c r="C7447" s="210"/>
      <c r="D7447" s="211"/>
      <c r="E7447" s="211"/>
      <c r="U7447" s="222"/>
    </row>
    <row r="7448" spans="2:21" x14ac:dyDescent="0.2">
      <c r="B7448" s="207"/>
      <c r="C7448" s="210"/>
      <c r="D7448" s="211"/>
      <c r="E7448" s="211"/>
      <c r="U7448" s="222"/>
    </row>
    <row r="7449" spans="2:21" x14ac:dyDescent="0.2">
      <c r="B7449" s="207"/>
      <c r="C7449" s="210"/>
      <c r="D7449" s="211"/>
      <c r="E7449" s="211"/>
      <c r="U7449" s="222"/>
    </row>
    <row r="7450" spans="2:21" x14ac:dyDescent="0.2">
      <c r="B7450" s="207"/>
      <c r="C7450" s="210"/>
      <c r="D7450" s="211"/>
      <c r="E7450" s="211"/>
      <c r="U7450" s="222"/>
    </row>
    <row r="7451" spans="2:21" x14ac:dyDescent="0.2">
      <c r="B7451" s="207"/>
      <c r="C7451" s="210"/>
      <c r="D7451" s="211"/>
      <c r="E7451" s="211"/>
      <c r="U7451" s="222"/>
    </row>
    <row r="7452" spans="2:21" x14ac:dyDescent="0.2">
      <c r="B7452" s="207"/>
      <c r="C7452" s="210"/>
      <c r="D7452" s="211"/>
      <c r="E7452" s="211"/>
      <c r="U7452" s="222"/>
    </row>
    <row r="7453" spans="2:21" x14ac:dyDescent="0.2">
      <c r="B7453" s="207"/>
      <c r="C7453" s="210"/>
      <c r="D7453" s="211"/>
      <c r="E7453" s="211"/>
      <c r="U7453" s="222"/>
    </row>
    <row r="7454" spans="2:21" x14ac:dyDescent="0.2">
      <c r="B7454" s="207"/>
      <c r="C7454" s="210"/>
      <c r="D7454" s="211"/>
      <c r="E7454" s="211"/>
      <c r="U7454" s="222"/>
    </row>
    <row r="7455" spans="2:21" x14ac:dyDescent="0.2">
      <c r="B7455" s="207"/>
      <c r="C7455" s="210"/>
      <c r="D7455" s="211"/>
      <c r="E7455" s="211"/>
      <c r="U7455" s="222"/>
    </row>
    <row r="7456" spans="2:21" x14ac:dyDescent="0.2">
      <c r="B7456" s="207"/>
      <c r="C7456" s="210"/>
      <c r="D7456" s="211"/>
      <c r="E7456" s="211"/>
      <c r="U7456" s="222"/>
    </row>
    <row r="7457" spans="2:21" x14ac:dyDescent="0.2">
      <c r="B7457" s="207"/>
      <c r="C7457" s="210"/>
      <c r="D7457" s="211"/>
      <c r="E7457" s="211"/>
      <c r="U7457" s="222"/>
    </row>
    <row r="7458" spans="2:21" x14ac:dyDescent="0.2">
      <c r="B7458" s="207"/>
      <c r="C7458" s="210"/>
      <c r="D7458" s="211"/>
      <c r="E7458" s="211"/>
      <c r="U7458" s="222"/>
    </row>
    <row r="7459" spans="2:21" x14ac:dyDescent="0.2">
      <c r="B7459" s="207"/>
      <c r="C7459" s="210"/>
      <c r="D7459" s="211"/>
      <c r="E7459" s="211"/>
      <c r="U7459" s="222"/>
    </row>
    <row r="7460" spans="2:21" x14ac:dyDescent="0.2">
      <c r="B7460" s="207"/>
      <c r="C7460" s="210"/>
      <c r="D7460" s="211"/>
      <c r="E7460" s="211"/>
      <c r="U7460" s="222"/>
    </row>
    <row r="7461" spans="2:21" x14ac:dyDescent="0.2">
      <c r="B7461" s="207"/>
      <c r="C7461" s="210"/>
      <c r="D7461" s="211"/>
      <c r="E7461" s="211"/>
      <c r="U7461" s="222"/>
    </row>
    <row r="7462" spans="2:21" x14ac:dyDescent="0.2">
      <c r="B7462" s="207"/>
      <c r="C7462" s="210"/>
      <c r="D7462" s="211"/>
      <c r="E7462" s="211"/>
      <c r="U7462" s="222"/>
    </row>
    <row r="7463" spans="2:21" x14ac:dyDescent="0.2">
      <c r="B7463" s="207"/>
      <c r="C7463" s="210"/>
      <c r="D7463" s="211"/>
      <c r="E7463" s="211"/>
      <c r="U7463" s="222"/>
    </row>
    <row r="7464" spans="2:21" x14ac:dyDescent="0.2">
      <c r="B7464" s="207"/>
      <c r="C7464" s="210"/>
      <c r="D7464" s="211"/>
      <c r="E7464" s="211"/>
      <c r="U7464" s="222"/>
    </row>
    <row r="7465" spans="2:21" x14ac:dyDescent="0.2">
      <c r="B7465" s="207"/>
      <c r="C7465" s="210"/>
      <c r="D7465" s="211"/>
      <c r="E7465" s="211"/>
      <c r="U7465" s="222"/>
    </row>
    <row r="7466" spans="2:21" x14ac:dyDescent="0.2">
      <c r="B7466" s="207"/>
      <c r="C7466" s="210"/>
      <c r="D7466" s="211"/>
      <c r="E7466" s="211"/>
      <c r="U7466" s="222"/>
    </row>
    <row r="7467" spans="2:21" x14ac:dyDescent="0.2">
      <c r="B7467" s="207"/>
      <c r="C7467" s="210"/>
      <c r="D7467" s="211"/>
      <c r="E7467" s="211"/>
      <c r="U7467" s="222"/>
    </row>
    <row r="7468" spans="2:21" x14ac:dyDescent="0.2">
      <c r="B7468" s="207"/>
      <c r="C7468" s="210"/>
      <c r="D7468" s="211"/>
      <c r="E7468" s="211"/>
      <c r="U7468" s="222"/>
    </row>
    <row r="7469" spans="2:21" x14ac:dyDescent="0.2">
      <c r="B7469" s="207"/>
      <c r="C7469" s="210"/>
      <c r="D7469" s="211"/>
      <c r="E7469" s="211"/>
      <c r="U7469" s="222"/>
    </row>
    <row r="7470" spans="2:21" x14ac:dyDescent="0.2">
      <c r="B7470" s="207"/>
      <c r="C7470" s="210"/>
      <c r="D7470" s="211"/>
      <c r="E7470" s="211"/>
      <c r="U7470" s="222"/>
    </row>
    <row r="7471" spans="2:21" x14ac:dyDescent="0.2">
      <c r="B7471" s="207"/>
      <c r="C7471" s="210"/>
      <c r="D7471" s="211"/>
      <c r="E7471" s="211"/>
      <c r="U7471" s="222"/>
    </row>
    <row r="7472" spans="2:21" x14ac:dyDescent="0.2">
      <c r="B7472" s="207"/>
      <c r="C7472" s="210"/>
      <c r="D7472" s="211"/>
      <c r="E7472" s="211"/>
      <c r="U7472" s="222"/>
    </row>
    <row r="7473" spans="2:21" x14ac:dyDescent="0.2">
      <c r="B7473" s="207"/>
      <c r="C7473" s="210"/>
      <c r="D7473" s="211"/>
      <c r="E7473" s="211"/>
      <c r="U7473" s="222"/>
    </row>
    <row r="7474" spans="2:21" x14ac:dyDescent="0.2">
      <c r="B7474" s="207"/>
      <c r="C7474" s="210"/>
      <c r="D7474" s="211"/>
      <c r="E7474" s="211"/>
      <c r="U7474" s="222"/>
    </row>
    <row r="7475" spans="2:21" x14ac:dyDescent="0.2">
      <c r="B7475" s="207"/>
      <c r="C7475" s="210"/>
      <c r="D7475" s="211"/>
      <c r="E7475" s="211"/>
      <c r="U7475" s="222"/>
    </row>
    <row r="7476" spans="2:21" x14ac:dyDescent="0.2">
      <c r="B7476" s="207"/>
      <c r="C7476" s="210"/>
      <c r="D7476" s="211"/>
      <c r="E7476" s="211"/>
      <c r="U7476" s="222"/>
    </row>
    <row r="7477" spans="2:21" x14ac:dyDescent="0.2">
      <c r="B7477" s="207"/>
      <c r="C7477" s="210"/>
      <c r="D7477" s="211"/>
      <c r="E7477" s="211"/>
      <c r="U7477" s="222"/>
    </row>
    <row r="7478" spans="2:21" x14ac:dyDescent="0.2">
      <c r="B7478" s="207"/>
      <c r="C7478" s="210"/>
      <c r="D7478" s="211"/>
      <c r="E7478" s="211"/>
      <c r="U7478" s="222"/>
    </row>
    <row r="7479" spans="2:21" x14ac:dyDescent="0.2">
      <c r="B7479" s="207"/>
      <c r="C7479" s="210"/>
      <c r="D7479" s="211"/>
      <c r="E7479" s="211"/>
      <c r="U7479" s="222"/>
    </row>
    <row r="7480" spans="2:21" x14ac:dyDescent="0.2">
      <c r="B7480" s="207"/>
      <c r="C7480" s="210"/>
      <c r="D7480" s="211"/>
      <c r="E7480" s="211"/>
      <c r="U7480" s="222"/>
    </row>
    <row r="7481" spans="2:21" x14ac:dyDescent="0.2">
      <c r="B7481" s="207"/>
      <c r="C7481" s="210"/>
      <c r="D7481" s="211"/>
      <c r="E7481" s="211"/>
      <c r="U7481" s="222"/>
    </row>
    <row r="7482" spans="2:21" x14ac:dyDescent="0.2">
      <c r="B7482" s="207"/>
      <c r="C7482" s="210"/>
      <c r="D7482" s="211"/>
      <c r="E7482" s="211"/>
      <c r="U7482" s="222"/>
    </row>
    <row r="7483" spans="2:21" x14ac:dyDescent="0.2">
      <c r="B7483" s="207"/>
      <c r="C7483" s="210"/>
      <c r="D7483" s="211"/>
      <c r="E7483" s="211"/>
      <c r="U7483" s="222"/>
    </row>
    <row r="7484" spans="2:21" x14ac:dyDescent="0.2">
      <c r="B7484" s="207"/>
      <c r="C7484" s="210"/>
      <c r="D7484" s="211"/>
      <c r="E7484" s="211"/>
      <c r="U7484" s="222"/>
    </row>
    <row r="7485" spans="2:21" x14ac:dyDescent="0.2">
      <c r="B7485" s="207"/>
      <c r="C7485" s="210"/>
      <c r="D7485" s="211"/>
      <c r="E7485" s="211"/>
      <c r="U7485" s="222"/>
    </row>
    <row r="7486" spans="2:21" x14ac:dyDescent="0.2">
      <c r="B7486" s="207"/>
      <c r="C7486" s="210"/>
      <c r="D7486" s="211"/>
      <c r="E7486" s="211"/>
      <c r="U7486" s="222"/>
    </row>
    <row r="7487" spans="2:21" x14ac:dyDescent="0.2">
      <c r="B7487" s="207"/>
      <c r="C7487" s="210"/>
      <c r="D7487" s="211"/>
      <c r="E7487" s="211"/>
      <c r="U7487" s="222"/>
    </row>
    <row r="7488" spans="2:21" x14ac:dyDescent="0.2">
      <c r="B7488" s="207"/>
      <c r="C7488" s="210"/>
      <c r="D7488" s="211"/>
      <c r="E7488" s="211"/>
      <c r="U7488" s="222"/>
    </row>
    <row r="7489" spans="2:21" x14ac:dyDescent="0.2">
      <c r="B7489" s="207"/>
      <c r="C7489" s="210"/>
      <c r="D7489" s="211"/>
      <c r="E7489" s="211"/>
      <c r="U7489" s="222"/>
    </row>
    <row r="7490" spans="2:21" x14ac:dyDescent="0.2">
      <c r="B7490" s="207"/>
      <c r="C7490" s="210"/>
      <c r="D7490" s="211"/>
      <c r="E7490" s="211"/>
      <c r="U7490" s="222"/>
    </row>
    <row r="7491" spans="2:21" x14ac:dyDescent="0.2">
      <c r="B7491" s="207"/>
      <c r="C7491" s="210"/>
      <c r="D7491" s="211"/>
      <c r="E7491" s="211"/>
      <c r="U7491" s="222"/>
    </row>
    <row r="7492" spans="2:21" x14ac:dyDescent="0.2">
      <c r="B7492" s="207"/>
      <c r="C7492" s="210"/>
      <c r="D7492" s="211"/>
      <c r="E7492" s="211"/>
      <c r="U7492" s="222"/>
    </row>
    <row r="7493" spans="2:21" x14ac:dyDescent="0.2">
      <c r="B7493" s="207"/>
      <c r="C7493" s="210"/>
      <c r="D7493" s="211"/>
      <c r="E7493" s="211"/>
      <c r="U7493" s="222"/>
    </row>
    <row r="7494" spans="2:21" x14ac:dyDescent="0.2">
      <c r="B7494" s="207"/>
      <c r="C7494" s="210"/>
      <c r="D7494" s="211"/>
      <c r="E7494" s="211"/>
      <c r="U7494" s="222"/>
    </row>
    <row r="7495" spans="2:21" x14ac:dyDescent="0.2">
      <c r="B7495" s="207"/>
      <c r="C7495" s="210"/>
      <c r="D7495" s="211"/>
      <c r="E7495" s="211"/>
      <c r="U7495" s="222"/>
    </row>
    <row r="7496" spans="2:21" x14ac:dyDescent="0.2">
      <c r="B7496" s="207"/>
      <c r="C7496" s="210"/>
      <c r="D7496" s="211"/>
      <c r="E7496" s="211"/>
      <c r="U7496" s="222"/>
    </row>
    <row r="7497" spans="2:21" x14ac:dyDescent="0.2">
      <c r="B7497" s="207"/>
      <c r="C7497" s="210"/>
      <c r="D7497" s="211"/>
      <c r="E7497" s="211"/>
      <c r="U7497" s="222"/>
    </row>
    <row r="7498" spans="2:21" x14ac:dyDescent="0.2">
      <c r="B7498" s="207"/>
      <c r="C7498" s="210"/>
      <c r="D7498" s="211"/>
      <c r="E7498" s="211"/>
      <c r="U7498" s="222"/>
    </row>
    <row r="7499" spans="2:21" x14ac:dyDescent="0.2">
      <c r="B7499" s="207"/>
      <c r="C7499" s="210"/>
      <c r="D7499" s="211"/>
      <c r="E7499" s="211"/>
      <c r="U7499" s="222"/>
    </row>
    <row r="7500" spans="2:21" x14ac:dyDescent="0.2">
      <c r="B7500" s="207"/>
      <c r="C7500" s="210"/>
      <c r="D7500" s="211"/>
      <c r="E7500" s="211"/>
      <c r="U7500" s="222"/>
    </row>
    <row r="7501" spans="2:21" x14ac:dyDescent="0.2">
      <c r="B7501" s="207"/>
      <c r="C7501" s="210"/>
      <c r="D7501" s="211"/>
      <c r="E7501" s="211"/>
      <c r="U7501" s="222"/>
    </row>
    <row r="7502" spans="2:21" x14ac:dyDescent="0.2">
      <c r="B7502" s="207"/>
      <c r="C7502" s="210"/>
      <c r="D7502" s="211"/>
      <c r="E7502" s="211"/>
      <c r="U7502" s="222"/>
    </row>
    <row r="7503" spans="2:21" x14ac:dyDescent="0.2">
      <c r="B7503" s="207"/>
      <c r="C7503" s="210"/>
      <c r="D7503" s="211"/>
      <c r="E7503" s="211"/>
      <c r="U7503" s="222"/>
    </row>
    <row r="7504" spans="2:21" x14ac:dyDescent="0.2">
      <c r="B7504" s="207"/>
      <c r="C7504" s="210"/>
      <c r="D7504" s="211"/>
      <c r="E7504" s="211"/>
      <c r="U7504" s="222"/>
    </row>
    <row r="7505" spans="2:21" x14ac:dyDescent="0.2">
      <c r="B7505" s="207"/>
      <c r="C7505" s="210"/>
      <c r="D7505" s="211"/>
      <c r="E7505" s="211"/>
      <c r="U7505" s="222"/>
    </row>
    <row r="7506" spans="2:21" x14ac:dyDescent="0.2">
      <c r="B7506" s="207"/>
      <c r="C7506" s="210"/>
      <c r="D7506" s="211"/>
      <c r="E7506" s="211"/>
      <c r="U7506" s="222"/>
    </row>
    <row r="7507" spans="2:21" x14ac:dyDescent="0.2">
      <c r="B7507" s="207"/>
      <c r="C7507" s="210"/>
      <c r="D7507" s="211"/>
      <c r="E7507" s="211"/>
      <c r="U7507" s="222"/>
    </row>
    <row r="7508" spans="2:21" x14ac:dyDescent="0.2">
      <c r="B7508" s="207"/>
      <c r="C7508" s="210"/>
      <c r="D7508" s="211"/>
      <c r="E7508" s="211"/>
      <c r="U7508" s="222"/>
    </row>
    <row r="7509" spans="2:21" x14ac:dyDescent="0.2">
      <c r="B7509" s="207"/>
      <c r="C7509" s="210"/>
      <c r="D7509" s="211"/>
      <c r="E7509" s="211"/>
      <c r="U7509" s="222"/>
    </row>
    <row r="7510" spans="2:21" x14ac:dyDescent="0.2">
      <c r="B7510" s="207"/>
      <c r="C7510" s="210"/>
      <c r="D7510" s="211"/>
      <c r="E7510" s="211"/>
      <c r="U7510" s="222"/>
    </row>
    <row r="7511" spans="2:21" x14ac:dyDescent="0.2">
      <c r="B7511" s="207"/>
      <c r="C7511" s="210"/>
      <c r="D7511" s="211"/>
      <c r="E7511" s="211"/>
      <c r="U7511" s="222"/>
    </row>
    <row r="7512" spans="2:21" x14ac:dyDescent="0.2">
      <c r="B7512" s="207"/>
      <c r="C7512" s="210"/>
      <c r="D7512" s="211"/>
      <c r="E7512" s="211"/>
      <c r="U7512" s="222"/>
    </row>
    <row r="7513" spans="2:21" x14ac:dyDescent="0.2">
      <c r="B7513" s="207"/>
      <c r="C7513" s="210"/>
      <c r="D7513" s="211"/>
      <c r="E7513" s="211"/>
      <c r="U7513" s="222"/>
    </row>
    <row r="7514" spans="2:21" x14ac:dyDescent="0.2">
      <c r="B7514" s="207"/>
      <c r="C7514" s="210"/>
      <c r="D7514" s="211"/>
      <c r="E7514" s="211"/>
      <c r="U7514" s="222"/>
    </row>
    <row r="7515" spans="2:21" x14ac:dyDescent="0.2">
      <c r="B7515" s="207"/>
      <c r="C7515" s="210"/>
      <c r="D7515" s="211"/>
      <c r="E7515" s="211"/>
      <c r="U7515" s="222"/>
    </row>
    <row r="7516" spans="2:21" x14ac:dyDescent="0.2">
      <c r="B7516" s="207"/>
      <c r="C7516" s="210"/>
      <c r="D7516" s="211"/>
      <c r="E7516" s="211"/>
      <c r="U7516" s="222"/>
    </row>
    <row r="7517" spans="2:21" x14ac:dyDescent="0.2">
      <c r="B7517" s="207"/>
      <c r="C7517" s="210"/>
      <c r="D7517" s="211"/>
      <c r="E7517" s="211"/>
      <c r="U7517" s="222"/>
    </row>
    <row r="7518" spans="2:21" x14ac:dyDescent="0.2">
      <c r="B7518" s="207"/>
      <c r="C7518" s="210"/>
      <c r="D7518" s="211"/>
      <c r="E7518" s="211"/>
      <c r="U7518" s="222"/>
    </row>
    <row r="7519" spans="2:21" x14ac:dyDescent="0.2">
      <c r="B7519" s="207"/>
      <c r="C7519" s="210"/>
      <c r="D7519" s="211"/>
      <c r="E7519" s="211"/>
      <c r="U7519" s="222"/>
    </row>
    <row r="7520" spans="2:21" x14ac:dyDescent="0.2">
      <c r="B7520" s="207"/>
      <c r="C7520" s="210"/>
      <c r="D7520" s="211"/>
      <c r="E7520" s="211"/>
      <c r="U7520" s="222"/>
    </row>
    <row r="7521" spans="2:21" x14ac:dyDescent="0.2">
      <c r="B7521" s="207"/>
      <c r="C7521" s="210"/>
      <c r="D7521" s="211"/>
      <c r="E7521" s="211"/>
      <c r="U7521" s="222"/>
    </row>
    <row r="7522" spans="2:21" x14ac:dyDescent="0.2">
      <c r="B7522" s="207"/>
      <c r="C7522" s="210"/>
      <c r="D7522" s="211"/>
      <c r="E7522" s="211"/>
      <c r="U7522" s="222"/>
    </row>
    <row r="7523" spans="2:21" x14ac:dyDescent="0.2">
      <c r="B7523" s="207"/>
      <c r="C7523" s="210"/>
      <c r="D7523" s="211"/>
      <c r="E7523" s="211"/>
      <c r="U7523" s="222"/>
    </row>
    <row r="7524" spans="2:21" x14ac:dyDescent="0.2">
      <c r="B7524" s="207"/>
      <c r="C7524" s="210"/>
      <c r="D7524" s="211"/>
      <c r="E7524" s="211"/>
      <c r="U7524" s="222"/>
    </row>
    <row r="7525" spans="2:21" x14ac:dyDescent="0.2">
      <c r="B7525" s="207"/>
      <c r="C7525" s="210"/>
      <c r="D7525" s="211"/>
      <c r="E7525" s="211"/>
      <c r="U7525" s="222"/>
    </row>
    <row r="7526" spans="2:21" x14ac:dyDescent="0.2">
      <c r="B7526" s="207"/>
      <c r="C7526" s="210"/>
      <c r="D7526" s="211"/>
      <c r="E7526" s="211"/>
      <c r="U7526" s="222"/>
    </row>
    <row r="7527" spans="2:21" x14ac:dyDescent="0.2">
      <c r="B7527" s="207"/>
      <c r="C7527" s="210"/>
      <c r="D7527" s="211"/>
      <c r="E7527" s="211"/>
      <c r="U7527" s="222"/>
    </row>
    <row r="7528" spans="2:21" x14ac:dyDescent="0.2">
      <c r="B7528" s="207"/>
      <c r="C7528" s="210"/>
      <c r="D7528" s="211"/>
      <c r="E7528" s="211"/>
      <c r="U7528" s="222"/>
    </row>
    <row r="7529" spans="2:21" x14ac:dyDescent="0.2">
      <c r="B7529" s="207"/>
      <c r="C7529" s="210"/>
      <c r="D7529" s="211"/>
      <c r="E7529" s="211"/>
      <c r="U7529" s="222"/>
    </row>
    <row r="7530" spans="2:21" x14ac:dyDescent="0.2">
      <c r="B7530" s="207"/>
      <c r="C7530" s="210"/>
      <c r="D7530" s="211"/>
      <c r="E7530" s="211"/>
      <c r="U7530" s="222"/>
    </row>
    <row r="7531" spans="2:21" x14ac:dyDescent="0.2">
      <c r="B7531" s="207"/>
      <c r="C7531" s="210"/>
      <c r="D7531" s="211"/>
      <c r="E7531" s="211"/>
      <c r="U7531" s="222"/>
    </row>
    <row r="7532" spans="2:21" x14ac:dyDescent="0.2">
      <c r="B7532" s="207"/>
      <c r="C7532" s="210"/>
      <c r="D7532" s="211"/>
      <c r="E7532" s="211"/>
      <c r="U7532" s="222"/>
    </row>
    <row r="7533" spans="2:21" x14ac:dyDescent="0.2">
      <c r="B7533" s="207"/>
      <c r="C7533" s="210"/>
      <c r="D7533" s="211"/>
      <c r="E7533" s="211"/>
      <c r="U7533" s="222"/>
    </row>
    <row r="7534" spans="2:21" x14ac:dyDescent="0.2">
      <c r="B7534" s="207"/>
      <c r="C7534" s="210"/>
      <c r="D7534" s="211"/>
      <c r="E7534" s="211"/>
      <c r="U7534" s="222"/>
    </row>
    <row r="7535" spans="2:21" x14ac:dyDescent="0.2">
      <c r="B7535" s="207"/>
      <c r="C7535" s="210"/>
      <c r="D7535" s="211"/>
      <c r="E7535" s="211"/>
      <c r="U7535" s="222"/>
    </row>
    <row r="7536" spans="2:21" x14ac:dyDescent="0.2">
      <c r="B7536" s="207"/>
      <c r="C7536" s="210"/>
      <c r="D7536" s="211"/>
      <c r="E7536" s="211"/>
      <c r="U7536" s="222"/>
    </row>
    <row r="7537" spans="2:21" x14ac:dyDescent="0.2">
      <c r="B7537" s="207"/>
      <c r="C7537" s="210"/>
      <c r="D7537" s="211"/>
      <c r="E7537" s="211"/>
      <c r="U7537" s="222"/>
    </row>
    <row r="7538" spans="2:21" x14ac:dyDescent="0.2">
      <c r="B7538" s="207"/>
      <c r="C7538" s="210"/>
      <c r="D7538" s="211"/>
      <c r="E7538" s="211"/>
      <c r="U7538" s="222"/>
    </row>
    <row r="7539" spans="2:21" x14ac:dyDescent="0.2">
      <c r="B7539" s="207"/>
      <c r="C7539" s="210"/>
      <c r="D7539" s="211"/>
      <c r="E7539" s="211"/>
      <c r="U7539" s="222"/>
    </row>
    <row r="7540" spans="2:21" x14ac:dyDescent="0.2">
      <c r="B7540" s="207"/>
      <c r="C7540" s="210"/>
      <c r="D7540" s="211"/>
      <c r="E7540" s="211"/>
      <c r="U7540" s="222"/>
    </row>
    <row r="7541" spans="2:21" x14ac:dyDescent="0.2">
      <c r="B7541" s="207"/>
      <c r="C7541" s="210"/>
      <c r="D7541" s="211"/>
      <c r="E7541" s="211"/>
      <c r="U7541" s="222"/>
    </row>
    <row r="7542" spans="2:21" x14ac:dyDescent="0.2">
      <c r="B7542" s="207"/>
      <c r="C7542" s="210"/>
      <c r="D7542" s="211"/>
      <c r="E7542" s="211"/>
      <c r="U7542" s="222"/>
    </row>
    <row r="7543" spans="2:21" x14ac:dyDescent="0.2">
      <c r="B7543" s="207"/>
      <c r="C7543" s="210"/>
      <c r="D7543" s="211"/>
      <c r="E7543" s="211"/>
      <c r="U7543" s="222"/>
    </row>
    <row r="7544" spans="2:21" x14ac:dyDescent="0.2">
      <c r="B7544" s="207"/>
      <c r="C7544" s="210"/>
      <c r="D7544" s="211"/>
      <c r="E7544" s="211"/>
      <c r="U7544" s="222"/>
    </row>
    <row r="7545" spans="2:21" x14ac:dyDescent="0.2">
      <c r="B7545" s="207"/>
      <c r="C7545" s="210"/>
      <c r="D7545" s="211"/>
      <c r="E7545" s="211"/>
      <c r="U7545" s="222"/>
    </row>
    <row r="7546" spans="2:21" x14ac:dyDescent="0.2">
      <c r="B7546" s="207"/>
      <c r="C7546" s="210"/>
      <c r="D7546" s="211"/>
      <c r="E7546" s="211"/>
      <c r="U7546" s="222"/>
    </row>
    <row r="7547" spans="2:21" x14ac:dyDescent="0.2">
      <c r="B7547" s="207"/>
      <c r="C7547" s="210"/>
      <c r="D7547" s="211"/>
      <c r="E7547" s="211"/>
      <c r="U7547" s="222"/>
    </row>
    <row r="7548" spans="2:21" x14ac:dyDescent="0.2">
      <c r="B7548" s="207"/>
      <c r="C7548" s="210"/>
      <c r="D7548" s="211"/>
      <c r="E7548" s="211"/>
      <c r="U7548" s="222"/>
    </row>
    <row r="7549" spans="2:21" x14ac:dyDescent="0.2">
      <c r="B7549" s="207"/>
      <c r="C7549" s="210"/>
      <c r="D7549" s="211"/>
      <c r="E7549" s="211"/>
      <c r="U7549" s="222"/>
    </row>
    <row r="7550" spans="2:21" x14ac:dyDescent="0.2">
      <c r="B7550" s="207"/>
      <c r="C7550" s="210"/>
      <c r="D7550" s="211"/>
      <c r="E7550" s="211"/>
      <c r="U7550" s="222"/>
    </row>
    <row r="7551" spans="2:21" x14ac:dyDescent="0.2">
      <c r="B7551" s="207"/>
      <c r="C7551" s="210"/>
      <c r="D7551" s="211"/>
      <c r="E7551" s="211"/>
      <c r="U7551" s="222"/>
    </row>
    <row r="7552" spans="2:21" x14ac:dyDescent="0.2">
      <c r="B7552" s="207"/>
      <c r="C7552" s="210"/>
      <c r="D7552" s="211"/>
      <c r="E7552" s="211"/>
      <c r="U7552" s="222"/>
    </row>
    <row r="7553" spans="2:21" x14ac:dyDescent="0.2">
      <c r="B7553" s="207"/>
      <c r="C7553" s="210"/>
      <c r="D7553" s="211"/>
      <c r="E7553" s="211"/>
      <c r="U7553" s="222"/>
    </row>
    <row r="7554" spans="2:21" x14ac:dyDescent="0.2">
      <c r="B7554" s="207"/>
      <c r="C7554" s="210"/>
      <c r="D7554" s="211"/>
      <c r="E7554" s="211"/>
      <c r="U7554" s="222"/>
    </row>
    <row r="7555" spans="2:21" x14ac:dyDescent="0.2">
      <c r="B7555" s="207"/>
      <c r="C7555" s="210"/>
      <c r="D7555" s="211"/>
      <c r="E7555" s="211"/>
      <c r="U7555" s="222"/>
    </row>
    <row r="7556" spans="2:21" x14ac:dyDescent="0.2">
      <c r="B7556" s="207"/>
      <c r="C7556" s="210"/>
      <c r="D7556" s="211"/>
      <c r="E7556" s="211"/>
      <c r="U7556" s="222"/>
    </row>
    <row r="7557" spans="2:21" x14ac:dyDescent="0.2">
      <c r="B7557" s="207"/>
      <c r="C7557" s="210"/>
      <c r="D7557" s="211"/>
      <c r="E7557" s="211"/>
      <c r="U7557" s="222"/>
    </row>
    <row r="7558" spans="2:21" x14ac:dyDescent="0.2">
      <c r="B7558" s="207"/>
      <c r="C7558" s="210"/>
      <c r="D7558" s="211"/>
      <c r="E7558" s="211"/>
      <c r="U7558" s="222"/>
    </row>
    <row r="7559" spans="2:21" x14ac:dyDescent="0.2">
      <c r="B7559" s="207"/>
      <c r="C7559" s="210"/>
      <c r="D7559" s="211"/>
      <c r="E7559" s="211"/>
      <c r="U7559" s="222"/>
    </row>
    <row r="7560" spans="2:21" x14ac:dyDescent="0.2">
      <c r="B7560" s="207"/>
      <c r="C7560" s="210"/>
      <c r="D7560" s="211"/>
      <c r="E7560" s="211"/>
      <c r="U7560" s="222"/>
    </row>
    <row r="7561" spans="2:21" x14ac:dyDescent="0.2">
      <c r="B7561" s="207"/>
      <c r="C7561" s="210"/>
      <c r="D7561" s="211"/>
      <c r="E7561" s="211"/>
      <c r="U7561" s="222"/>
    </row>
    <row r="7562" spans="2:21" x14ac:dyDescent="0.2">
      <c r="B7562" s="207"/>
      <c r="C7562" s="210"/>
      <c r="D7562" s="211"/>
      <c r="E7562" s="211"/>
      <c r="U7562" s="222"/>
    </row>
    <row r="7563" spans="2:21" x14ac:dyDescent="0.2">
      <c r="B7563" s="207"/>
      <c r="C7563" s="210"/>
      <c r="D7563" s="211"/>
      <c r="E7563" s="211"/>
      <c r="U7563" s="222"/>
    </row>
    <row r="7564" spans="2:21" x14ac:dyDescent="0.2">
      <c r="B7564" s="207"/>
      <c r="C7564" s="210"/>
      <c r="D7564" s="211"/>
      <c r="E7564" s="211"/>
      <c r="U7564" s="222"/>
    </row>
    <row r="7565" spans="2:21" x14ac:dyDescent="0.2">
      <c r="B7565" s="207"/>
      <c r="C7565" s="210"/>
      <c r="D7565" s="211"/>
      <c r="E7565" s="211"/>
      <c r="U7565" s="222"/>
    </row>
    <row r="7566" spans="2:21" x14ac:dyDescent="0.2">
      <c r="B7566" s="207"/>
      <c r="C7566" s="210"/>
      <c r="D7566" s="211"/>
      <c r="E7566" s="211"/>
      <c r="U7566" s="222"/>
    </row>
    <row r="7567" spans="2:21" x14ac:dyDescent="0.2">
      <c r="B7567" s="207"/>
      <c r="C7567" s="210"/>
      <c r="D7567" s="211"/>
      <c r="E7567" s="211"/>
      <c r="U7567" s="222"/>
    </row>
    <row r="7568" spans="2:21" x14ac:dyDescent="0.2">
      <c r="B7568" s="207"/>
      <c r="C7568" s="210"/>
      <c r="D7568" s="211"/>
      <c r="E7568" s="211"/>
      <c r="U7568" s="222"/>
    </row>
    <row r="7569" spans="2:21" x14ac:dyDescent="0.2">
      <c r="B7569" s="207"/>
      <c r="C7569" s="210"/>
      <c r="D7569" s="211"/>
      <c r="E7569" s="211"/>
      <c r="U7569" s="222"/>
    </row>
    <row r="7570" spans="2:21" x14ac:dyDescent="0.2">
      <c r="B7570" s="207"/>
      <c r="C7570" s="210"/>
      <c r="D7570" s="211"/>
      <c r="E7570" s="211"/>
      <c r="U7570" s="222"/>
    </row>
    <row r="7571" spans="2:21" x14ac:dyDescent="0.2">
      <c r="B7571" s="207"/>
      <c r="C7571" s="210"/>
      <c r="D7571" s="211"/>
      <c r="E7571" s="211"/>
      <c r="U7571" s="222"/>
    </row>
    <row r="7572" spans="2:21" x14ac:dyDescent="0.2">
      <c r="B7572" s="207"/>
      <c r="C7572" s="210"/>
      <c r="D7572" s="211"/>
      <c r="E7572" s="211"/>
      <c r="U7572" s="222"/>
    </row>
    <row r="7573" spans="2:21" x14ac:dyDescent="0.2">
      <c r="B7573" s="207"/>
      <c r="C7573" s="210"/>
      <c r="D7573" s="211"/>
      <c r="E7573" s="211"/>
      <c r="U7573" s="222"/>
    </row>
    <row r="7574" spans="2:21" x14ac:dyDescent="0.2">
      <c r="B7574" s="207"/>
      <c r="C7574" s="210"/>
      <c r="D7574" s="211"/>
      <c r="E7574" s="211"/>
      <c r="U7574" s="222"/>
    </row>
    <row r="7575" spans="2:21" x14ac:dyDescent="0.2">
      <c r="B7575" s="207"/>
      <c r="C7575" s="210"/>
      <c r="D7575" s="211"/>
      <c r="E7575" s="211"/>
      <c r="U7575" s="222"/>
    </row>
    <row r="7576" spans="2:21" x14ac:dyDescent="0.2">
      <c r="B7576" s="207"/>
      <c r="C7576" s="210"/>
      <c r="D7576" s="211"/>
      <c r="E7576" s="211"/>
      <c r="U7576" s="222"/>
    </row>
    <row r="7577" spans="2:21" x14ac:dyDescent="0.2">
      <c r="B7577" s="207"/>
      <c r="C7577" s="210"/>
      <c r="D7577" s="211"/>
      <c r="E7577" s="211"/>
      <c r="U7577" s="222"/>
    </row>
    <row r="7578" spans="2:21" x14ac:dyDescent="0.2">
      <c r="B7578" s="207"/>
      <c r="C7578" s="210"/>
      <c r="D7578" s="211"/>
      <c r="E7578" s="211"/>
      <c r="U7578" s="222"/>
    </row>
    <row r="7579" spans="2:21" x14ac:dyDescent="0.2">
      <c r="B7579" s="207"/>
      <c r="C7579" s="210"/>
      <c r="D7579" s="211"/>
      <c r="E7579" s="211"/>
      <c r="U7579" s="222"/>
    </row>
    <row r="7580" spans="2:21" x14ac:dyDescent="0.2">
      <c r="B7580" s="207"/>
      <c r="C7580" s="210"/>
      <c r="D7580" s="211"/>
      <c r="E7580" s="211"/>
      <c r="U7580" s="222"/>
    </row>
    <row r="7581" spans="2:21" x14ac:dyDescent="0.2">
      <c r="B7581" s="207"/>
      <c r="C7581" s="210"/>
      <c r="D7581" s="211"/>
      <c r="E7581" s="211"/>
      <c r="U7581" s="222"/>
    </row>
    <row r="7582" spans="2:21" x14ac:dyDescent="0.2">
      <c r="B7582" s="207"/>
      <c r="C7582" s="210"/>
      <c r="D7582" s="211"/>
      <c r="E7582" s="211"/>
      <c r="U7582" s="222"/>
    </row>
    <row r="7583" spans="2:21" x14ac:dyDescent="0.2">
      <c r="B7583" s="207"/>
      <c r="C7583" s="210"/>
      <c r="D7583" s="211"/>
      <c r="E7583" s="211"/>
      <c r="U7583" s="222"/>
    </row>
    <row r="7584" spans="2:21" x14ac:dyDescent="0.2">
      <c r="B7584" s="207"/>
      <c r="C7584" s="210"/>
      <c r="D7584" s="211"/>
      <c r="E7584" s="211"/>
      <c r="U7584" s="222"/>
    </row>
    <row r="7585" spans="2:21" x14ac:dyDescent="0.2">
      <c r="B7585" s="207"/>
      <c r="C7585" s="210"/>
      <c r="D7585" s="211"/>
      <c r="E7585" s="211"/>
      <c r="U7585" s="222"/>
    </row>
    <row r="7586" spans="2:21" x14ac:dyDescent="0.2">
      <c r="B7586" s="207"/>
      <c r="C7586" s="210"/>
      <c r="D7586" s="211"/>
      <c r="E7586" s="211"/>
      <c r="U7586" s="222"/>
    </row>
    <row r="7587" spans="2:21" x14ac:dyDescent="0.2">
      <c r="B7587" s="207"/>
      <c r="C7587" s="210"/>
      <c r="D7587" s="211"/>
      <c r="E7587" s="211"/>
      <c r="U7587" s="222"/>
    </row>
    <row r="7588" spans="2:21" x14ac:dyDescent="0.2">
      <c r="B7588" s="207"/>
      <c r="C7588" s="210"/>
      <c r="D7588" s="211"/>
      <c r="E7588" s="211"/>
      <c r="U7588" s="222"/>
    </row>
    <row r="7589" spans="2:21" x14ac:dyDescent="0.2">
      <c r="B7589" s="207"/>
      <c r="C7589" s="210"/>
      <c r="D7589" s="211"/>
      <c r="E7589" s="211"/>
      <c r="U7589" s="222"/>
    </row>
    <row r="7590" spans="2:21" x14ac:dyDescent="0.2">
      <c r="B7590" s="207"/>
      <c r="C7590" s="210"/>
      <c r="D7590" s="211"/>
      <c r="E7590" s="211"/>
      <c r="U7590" s="222"/>
    </row>
    <row r="7591" spans="2:21" x14ac:dyDescent="0.2">
      <c r="B7591" s="207"/>
      <c r="C7591" s="210"/>
      <c r="D7591" s="211"/>
      <c r="E7591" s="211"/>
      <c r="U7591" s="222"/>
    </row>
    <row r="7592" spans="2:21" x14ac:dyDescent="0.2">
      <c r="B7592" s="207"/>
      <c r="C7592" s="210"/>
      <c r="D7592" s="211"/>
      <c r="E7592" s="211"/>
      <c r="U7592" s="222"/>
    </row>
    <row r="7593" spans="2:21" x14ac:dyDescent="0.2">
      <c r="B7593" s="207"/>
      <c r="C7593" s="210"/>
      <c r="D7593" s="211"/>
      <c r="E7593" s="211"/>
      <c r="U7593" s="222"/>
    </row>
    <row r="7594" spans="2:21" x14ac:dyDescent="0.2">
      <c r="B7594" s="207"/>
      <c r="C7594" s="210"/>
      <c r="D7594" s="211"/>
      <c r="E7594" s="211"/>
      <c r="U7594" s="222"/>
    </row>
    <row r="7595" spans="2:21" x14ac:dyDescent="0.2">
      <c r="B7595" s="207"/>
      <c r="C7595" s="210"/>
      <c r="D7595" s="211"/>
      <c r="E7595" s="211"/>
      <c r="U7595" s="222"/>
    </row>
    <row r="7596" spans="2:21" x14ac:dyDescent="0.2">
      <c r="B7596" s="207"/>
      <c r="C7596" s="210"/>
      <c r="D7596" s="211"/>
      <c r="E7596" s="211"/>
      <c r="U7596" s="222"/>
    </row>
    <row r="7597" spans="2:21" x14ac:dyDescent="0.2">
      <c r="B7597" s="207"/>
      <c r="C7597" s="210"/>
      <c r="D7597" s="211"/>
      <c r="E7597" s="211"/>
      <c r="U7597" s="222"/>
    </row>
    <row r="7598" spans="2:21" x14ac:dyDescent="0.2">
      <c r="B7598" s="207"/>
      <c r="C7598" s="210"/>
      <c r="D7598" s="211"/>
      <c r="E7598" s="211"/>
      <c r="U7598" s="222"/>
    </row>
    <row r="7599" spans="2:21" x14ac:dyDescent="0.2">
      <c r="B7599" s="207"/>
      <c r="C7599" s="210"/>
      <c r="D7599" s="211"/>
      <c r="E7599" s="211"/>
      <c r="U7599" s="222"/>
    </row>
    <row r="7600" spans="2:21" x14ac:dyDescent="0.2">
      <c r="B7600" s="207"/>
      <c r="C7600" s="210"/>
      <c r="D7600" s="211"/>
      <c r="E7600" s="211"/>
      <c r="U7600" s="222"/>
    </row>
    <row r="7601" spans="2:21" x14ac:dyDescent="0.2">
      <c r="B7601" s="207"/>
      <c r="C7601" s="210"/>
      <c r="D7601" s="211"/>
      <c r="E7601" s="211"/>
      <c r="U7601" s="222"/>
    </row>
    <row r="7602" spans="2:21" x14ac:dyDescent="0.2">
      <c r="B7602" s="207"/>
      <c r="C7602" s="210"/>
      <c r="D7602" s="211"/>
      <c r="E7602" s="211"/>
      <c r="U7602" s="222"/>
    </row>
    <row r="7603" spans="2:21" x14ac:dyDescent="0.2">
      <c r="B7603" s="207"/>
      <c r="C7603" s="210"/>
      <c r="D7603" s="211"/>
      <c r="E7603" s="211"/>
      <c r="U7603" s="222"/>
    </row>
    <row r="7604" spans="2:21" x14ac:dyDescent="0.2">
      <c r="B7604" s="207"/>
      <c r="C7604" s="210"/>
      <c r="D7604" s="211"/>
      <c r="E7604" s="211"/>
      <c r="U7604" s="222"/>
    </row>
    <row r="7605" spans="2:21" x14ac:dyDescent="0.2">
      <c r="B7605" s="207"/>
      <c r="C7605" s="210"/>
      <c r="D7605" s="211"/>
      <c r="E7605" s="211"/>
      <c r="U7605" s="222"/>
    </row>
    <row r="7606" spans="2:21" x14ac:dyDescent="0.2">
      <c r="B7606" s="207"/>
      <c r="C7606" s="210"/>
      <c r="D7606" s="211"/>
      <c r="E7606" s="211"/>
      <c r="U7606" s="222"/>
    </row>
    <row r="7607" spans="2:21" x14ac:dyDescent="0.2">
      <c r="B7607" s="207"/>
      <c r="C7607" s="210"/>
      <c r="D7607" s="211"/>
      <c r="E7607" s="211"/>
      <c r="U7607" s="222"/>
    </row>
    <row r="7608" spans="2:21" x14ac:dyDescent="0.2">
      <c r="B7608" s="207"/>
      <c r="C7608" s="210"/>
      <c r="D7608" s="211"/>
      <c r="E7608" s="211"/>
      <c r="U7608" s="222"/>
    </row>
    <row r="7609" spans="2:21" x14ac:dyDescent="0.2">
      <c r="B7609" s="207"/>
      <c r="C7609" s="210"/>
      <c r="D7609" s="211"/>
      <c r="E7609" s="211"/>
      <c r="U7609" s="222"/>
    </row>
    <row r="7610" spans="2:21" x14ac:dyDescent="0.2">
      <c r="B7610" s="207"/>
      <c r="C7610" s="210"/>
      <c r="D7610" s="211"/>
      <c r="E7610" s="211"/>
      <c r="U7610" s="222"/>
    </row>
    <row r="7611" spans="2:21" x14ac:dyDescent="0.2">
      <c r="B7611" s="207"/>
      <c r="C7611" s="210"/>
      <c r="D7611" s="211"/>
      <c r="E7611" s="211"/>
      <c r="U7611" s="222"/>
    </row>
    <row r="7612" spans="2:21" x14ac:dyDescent="0.2">
      <c r="B7612" s="207"/>
      <c r="C7612" s="210"/>
      <c r="D7612" s="211"/>
      <c r="E7612" s="211"/>
      <c r="U7612" s="222"/>
    </row>
    <row r="7613" spans="2:21" x14ac:dyDescent="0.2">
      <c r="B7613" s="207"/>
      <c r="C7613" s="210"/>
      <c r="D7613" s="211"/>
      <c r="E7613" s="211"/>
      <c r="U7613" s="222"/>
    </row>
    <row r="7614" spans="2:21" x14ac:dyDescent="0.2">
      <c r="B7614" s="207"/>
      <c r="C7614" s="210"/>
      <c r="D7614" s="211"/>
      <c r="E7614" s="211"/>
      <c r="U7614" s="222"/>
    </row>
    <row r="7615" spans="2:21" x14ac:dyDescent="0.2">
      <c r="B7615" s="207"/>
      <c r="C7615" s="210"/>
      <c r="D7615" s="211"/>
      <c r="E7615" s="211"/>
      <c r="U7615" s="222"/>
    </row>
    <row r="7616" spans="2:21" x14ac:dyDescent="0.2">
      <c r="B7616" s="207"/>
      <c r="C7616" s="210"/>
      <c r="D7616" s="211"/>
      <c r="E7616" s="211"/>
      <c r="U7616" s="222"/>
    </row>
    <row r="7617" spans="2:21" x14ac:dyDescent="0.2">
      <c r="B7617" s="207"/>
      <c r="C7617" s="210"/>
      <c r="D7617" s="211"/>
      <c r="E7617" s="211"/>
      <c r="U7617" s="222"/>
    </row>
    <row r="7618" spans="2:21" x14ac:dyDescent="0.2">
      <c r="B7618" s="207"/>
      <c r="C7618" s="210"/>
      <c r="D7618" s="211"/>
      <c r="E7618" s="211"/>
      <c r="U7618" s="222"/>
    </row>
    <row r="7619" spans="2:21" x14ac:dyDescent="0.2">
      <c r="B7619" s="207"/>
      <c r="C7619" s="210"/>
      <c r="D7619" s="211"/>
      <c r="E7619" s="211"/>
      <c r="U7619" s="222"/>
    </row>
    <row r="7620" spans="2:21" x14ac:dyDescent="0.2">
      <c r="B7620" s="207"/>
      <c r="C7620" s="210"/>
      <c r="D7620" s="211"/>
      <c r="E7620" s="211"/>
      <c r="U7620" s="222"/>
    </row>
    <row r="7621" spans="2:21" x14ac:dyDescent="0.2">
      <c r="B7621" s="207"/>
      <c r="C7621" s="210"/>
      <c r="D7621" s="211"/>
      <c r="E7621" s="211"/>
      <c r="U7621" s="222"/>
    </row>
    <row r="7622" spans="2:21" x14ac:dyDescent="0.2">
      <c r="B7622" s="207"/>
      <c r="C7622" s="210"/>
      <c r="D7622" s="211"/>
      <c r="E7622" s="211"/>
      <c r="U7622" s="222"/>
    </row>
    <row r="7623" spans="2:21" x14ac:dyDescent="0.2">
      <c r="B7623" s="207"/>
      <c r="C7623" s="210"/>
      <c r="D7623" s="211"/>
      <c r="E7623" s="211"/>
      <c r="U7623" s="222"/>
    </row>
    <row r="7624" spans="2:21" x14ac:dyDescent="0.2">
      <c r="B7624" s="207"/>
      <c r="C7624" s="210"/>
      <c r="D7624" s="211"/>
      <c r="E7624" s="211"/>
      <c r="U7624" s="222"/>
    </row>
    <row r="7625" spans="2:21" x14ac:dyDescent="0.2">
      <c r="B7625" s="207"/>
      <c r="C7625" s="210"/>
      <c r="D7625" s="211"/>
      <c r="E7625" s="211"/>
      <c r="U7625" s="222"/>
    </row>
    <row r="7626" spans="2:21" x14ac:dyDescent="0.2">
      <c r="B7626" s="207"/>
      <c r="C7626" s="210"/>
      <c r="D7626" s="211"/>
      <c r="E7626" s="211"/>
      <c r="U7626" s="222"/>
    </row>
    <row r="7627" spans="2:21" x14ac:dyDescent="0.2">
      <c r="B7627" s="207"/>
      <c r="C7627" s="210"/>
      <c r="D7627" s="211"/>
      <c r="E7627" s="211"/>
      <c r="U7627" s="222"/>
    </row>
    <row r="7628" spans="2:21" x14ac:dyDescent="0.2">
      <c r="B7628" s="207"/>
      <c r="C7628" s="210"/>
      <c r="D7628" s="211"/>
      <c r="E7628" s="211"/>
      <c r="U7628" s="222"/>
    </row>
    <row r="7629" spans="2:21" x14ac:dyDescent="0.2">
      <c r="B7629" s="207"/>
      <c r="C7629" s="210"/>
      <c r="D7629" s="211"/>
      <c r="E7629" s="211"/>
      <c r="U7629" s="222"/>
    </row>
    <row r="7630" spans="2:21" x14ac:dyDescent="0.2">
      <c r="B7630" s="207"/>
      <c r="C7630" s="210"/>
      <c r="D7630" s="211"/>
      <c r="E7630" s="211"/>
      <c r="U7630" s="222"/>
    </row>
    <row r="7631" spans="2:21" x14ac:dyDescent="0.2">
      <c r="B7631" s="207"/>
      <c r="C7631" s="210"/>
      <c r="D7631" s="211"/>
      <c r="E7631" s="211"/>
      <c r="U7631" s="222"/>
    </row>
    <row r="7632" spans="2:21" x14ac:dyDescent="0.2">
      <c r="B7632" s="207"/>
      <c r="C7632" s="210"/>
      <c r="D7632" s="211"/>
      <c r="E7632" s="211"/>
      <c r="U7632" s="222"/>
    </row>
    <row r="7633" spans="2:21" x14ac:dyDescent="0.2">
      <c r="B7633" s="207"/>
      <c r="C7633" s="210"/>
      <c r="D7633" s="211"/>
      <c r="E7633" s="211"/>
      <c r="U7633" s="222"/>
    </row>
    <row r="7634" spans="2:21" x14ac:dyDescent="0.2">
      <c r="B7634" s="207"/>
      <c r="C7634" s="210"/>
      <c r="D7634" s="211"/>
      <c r="E7634" s="211"/>
      <c r="U7634" s="222"/>
    </row>
    <row r="7635" spans="2:21" x14ac:dyDescent="0.2">
      <c r="B7635" s="207"/>
      <c r="C7635" s="210"/>
      <c r="D7635" s="211"/>
      <c r="E7635" s="211"/>
      <c r="U7635" s="222"/>
    </row>
    <row r="7636" spans="2:21" x14ac:dyDescent="0.2">
      <c r="B7636" s="207"/>
      <c r="C7636" s="210"/>
      <c r="D7636" s="211"/>
      <c r="E7636" s="211"/>
      <c r="U7636" s="222"/>
    </row>
    <row r="7637" spans="2:21" x14ac:dyDescent="0.2">
      <c r="B7637" s="207"/>
      <c r="C7637" s="210"/>
      <c r="D7637" s="211"/>
      <c r="E7637" s="211"/>
      <c r="U7637" s="222"/>
    </row>
    <row r="7638" spans="2:21" x14ac:dyDescent="0.2">
      <c r="B7638" s="207"/>
      <c r="C7638" s="210"/>
      <c r="D7638" s="211"/>
      <c r="E7638" s="211"/>
      <c r="U7638" s="222"/>
    </row>
    <row r="7639" spans="2:21" x14ac:dyDescent="0.2">
      <c r="B7639" s="207"/>
      <c r="C7639" s="210"/>
      <c r="D7639" s="211"/>
      <c r="E7639" s="211"/>
      <c r="U7639" s="222"/>
    </row>
    <row r="7640" spans="2:21" x14ac:dyDescent="0.2">
      <c r="B7640" s="207"/>
      <c r="C7640" s="210"/>
      <c r="D7640" s="211"/>
      <c r="E7640" s="211"/>
      <c r="U7640" s="222"/>
    </row>
    <row r="7641" spans="2:21" x14ac:dyDescent="0.2">
      <c r="B7641" s="207"/>
      <c r="C7641" s="210"/>
      <c r="D7641" s="211"/>
      <c r="E7641" s="211"/>
      <c r="U7641" s="222"/>
    </row>
    <row r="7642" spans="2:21" x14ac:dyDescent="0.2">
      <c r="B7642" s="207"/>
      <c r="C7642" s="210"/>
      <c r="D7642" s="211"/>
      <c r="E7642" s="211"/>
      <c r="U7642" s="222"/>
    </row>
    <row r="7643" spans="2:21" x14ac:dyDescent="0.2">
      <c r="B7643" s="207"/>
      <c r="C7643" s="210"/>
      <c r="D7643" s="211"/>
      <c r="E7643" s="211"/>
      <c r="U7643" s="222"/>
    </row>
    <row r="7644" spans="2:21" x14ac:dyDescent="0.2">
      <c r="B7644" s="207"/>
      <c r="C7644" s="210"/>
      <c r="D7644" s="211"/>
      <c r="E7644" s="211"/>
      <c r="U7644" s="222"/>
    </row>
    <row r="7645" spans="2:21" x14ac:dyDescent="0.2">
      <c r="B7645" s="207"/>
      <c r="C7645" s="210"/>
      <c r="D7645" s="211"/>
      <c r="E7645" s="211"/>
      <c r="U7645" s="222"/>
    </row>
    <row r="7646" spans="2:21" x14ac:dyDescent="0.2">
      <c r="B7646" s="207"/>
      <c r="C7646" s="210"/>
      <c r="D7646" s="211"/>
      <c r="E7646" s="211"/>
      <c r="U7646" s="222"/>
    </row>
    <row r="7647" spans="2:21" x14ac:dyDescent="0.2">
      <c r="B7647" s="207"/>
      <c r="C7647" s="210"/>
      <c r="D7647" s="211"/>
      <c r="E7647" s="211"/>
      <c r="U7647" s="222"/>
    </row>
    <row r="7648" spans="2:21" x14ac:dyDescent="0.2">
      <c r="B7648" s="207"/>
      <c r="C7648" s="210"/>
      <c r="D7648" s="211"/>
      <c r="E7648" s="211"/>
      <c r="U7648" s="222"/>
    </row>
    <row r="7649" spans="2:21" x14ac:dyDescent="0.2">
      <c r="B7649" s="207"/>
      <c r="C7649" s="210"/>
      <c r="D7649" s="211"/>
      <c r="E7649" s="211"/>
      <c r="U7649" s="222"/>
    </row>
    <row r="7650" spans="2:21" x14ac:dyDescent="0.2">
      <c r="B7650" s="207"/>
      <c r="C7650" s="210"/>
      <c r="D7650" s="211"/>
      <c r="E7650" s="211"/>
      <c r="U7650" s="222"/>
    </row>
    <row r="7651" spans="2:21" x14ac:dyDescent="0.2">
      <c r="B7651" s="207"/>
      <c r="C7651" s="210"/>
      <c r="D7651" s="211"/>
      <c r="E7651" s="211"/>
      <c r="U7651" s="222"/>
    </row>
    <row r="7652" spans="2:21" x14ac:dyDescent="0.2">
      <c r="B7652" s="207"/>
      <c r="C7652" s="210"/>
      <c r="D7652" s="211"/>
      <c r="E7652" s="211"/>
      <c r="U7652" s="222"/>
    </row>
    <row r="7653" spans="2:21" x14ac:dyDescent="0.2">
      <c r="B7653" s="207"/>
      <c r="C7653" s="210"/>
      <c r="D7653" s="211"/>
      <c r="E7653" s="211"/>
      <c r="U7653" s="222"/>
    </row>
    <row r="7654" spans="2:21" x14ac:dyDescent="0.2">
      <c r="B7654" s="207"/>
      <c r="C7654" s="210"/>
      <c r="D7654" s="211"/>
      <c r="E7654" s="211"/>
      <c r="U7654" s="222"/>
    </row>
    <row r="7655" spans="2:21" x14ac:dyDescent="0.2">
      <c r="B7655" s="207"/>
      <c r="C7655" s="210"/>
      <c r="D7655" s="211"/>
      <c r="E7655" s="211"/>
      <c r="U7655" s="222"/>
    </row>
    <row r="7656" spans="2:21" x14ac:dyDescent="0.2">
      <c r="B7656" s="207"/>
      <c r="C7656" s="210"/>
      <c r="D7656" s="211"/>
      <c r="E7656" s="211"/>
      <c r="U7656" s="222"/>
    </row>
    <row r="7657" spans="2:21" x14ac:dyDescent="0.2">
      <c r="B7657" s="207"/>
      <c r="C7657" s="210"/>
      <c r="D7657" s="211"/>
      <c r="E7657" s="211"/>
      <c r="U7657" s="222"/>
    </row>
    <row r="7658" spans="2:21" x14ac:dyDescent="0.2">
      <c r="B7658" s="207"/>
      <c r="C7658" s="210"/>
      <c r="D7658" s="211"/>
      <c r="E7658" s="211"/>
      <c r="U7658" s="222"/>
    </row>
    <row r="7659" spans="2:21" x14ac:dyDescent="0.2">
      <c r="B7659" s="207"/>
      <c r="C7659" s="210"/>
      <c r="D7659" s="211"/>
      <c r="E7659" s="211"/>
      <c r="U7659" s="222"/>
    </row>
    <row r="7660" spans="2:21" x14ac:dyDescent="0.2">
      <c r="B7660" s="207"/>
      <c r="C7660" s="210"/>
      <c r="D7660" s="211"/>
      <c r="E7660" s="211"/>
      <c r="U7660" s="222"/>
    </row>
    <row r="7661" spans="2:21" x14ac:dyDescent="0.2">
      <c r="B7661" s="207"/>
      <c r="C7661" s="210"/>
      <c r="D7661" s="211"/>
      <c r="E7661" s="211"/>
      <c r="U7661" s="222"/>
    </row>
    <row r="7662" spans="2:21" x14ac:dyDescent="0.2">
      <c r="B7662" s="207"/>
      <c r="C7662" s="210"/>
      <c r="D7662" s="211"/>
      <c r="E7662" s="211"/>
      <c r="U7662" s="222"/>
    </row>
    <row r="7663" spans="2:21" x14ac:dyDescent="0.2">
      <c r="B7663" s="207"/>
      <c r="C7663" s="210"/>
      <c r="D7663" s="211"/>
      <c r="E7663" s="211"/>
      <c r="U7663" s="222"/>
    </row>
    <row r="7664" spans="2:21" x14ac:dyDescent="0.2">
      <c r="B7664" s="207"/>
      <c r="C7664" s="210"/>
      <c r="D7664" s="211"/>
      <c r="E7664" s="211"/>
      <c r="U7664" s="222"/>
    </row>
    <row r="7665" spans="2:21" x14ac:dyDescent="0.2">
      <c r="B7665" s="207"/>
      <c r="C7665" s="210"/>
      <c r="D7665" s="211"/>
      <c r="E7665" s="211"/>
      <c r="U7665" s="222"/>
    </row>
    <row r="7666" spans="2:21" x14ac:dyDescent="0.2">
      <c r="B7666" s="207"/>
      <c r="C7666" s="210"/>
      <c r="D7666" s="211"/>
      <c r="E7666" s="211"/>
      <c r="U7666" s="222"/>
    </row>
    <row r="7667" spans="2:21" x14ac:dyDescent="0.2">
      <c r="B7667" s="207"/>
      <c r="C7667" s="210"/>
      <c r="D7667" s="211"/>
      <c r="E7667" s="211"/>
      <c r="U7667" s="222"/>
    </row>
    <row r="7668" spans="2:21" x14ac:dyDescent="0.2">
      <c r="B7668" s="207"/>
      <c r="C7668" s="210"/>
      <c r="D7668" s="211"/>
      <c r="E7668" s="211"/>
      <c r="U7668" s="222"/>
    </row>
    <row r="7669" spans="2:21" x14ac:dyDescent="0.2">
      <c r="B7669" s="207"/>
      <c r="C7669" s="210"/>
      <c r="D7669" s="211"/>
      <c r="E7669" s="211"/>
      <c r="U7669" s="222"/>
    </row>
    <row r="7670" spans="2:21" x14ac:dyDescent="0.2">
      <c r="B7670" s="207"/>
      <c r="C7670" s="210"/>
      <c r="D7670" s="211"/>
      <c r="E7670" s="211"/>
      <c r="U7670" s="222"/>
    </row>
    <row r="7671" spans="2:21" x14ac:dyDescent="0.2">
      <c r="B7671" s="207"/>
      <c r="C7671" s="210"/>
      <c r="D7671" s="211"/>
      <c r="E7671" s="211"/>
      <c r="U7671" s="222"/>
    </row>
    <row r="7672" spans="2:21" x14ac:dyDescent="0.2">
      <c r="B7672" s="207"/>
      <c r="C7672" s="210"/>
      <c r="D7672" s="211"/>
      <c r="E7672" s="211"/>
      <c r="U7672" s="222"/>
    </row>
    <row r="7673" spans="2:21" x14ac:dyDescent="0.2">
      <c r="B7673" s="207"/>
      <c r="C7673" s="210"/>
      <c r="D7673" s="211"/>
      <c r="E7673" s="211"/>
      <c r="U7673" s="222"/>
    </row>
    <row r="7674" spans="2:21" x14ac:dyDescent="0.2">
      <c r="B7674" s="207"/>
      <c r="C7674" s="210"/>
      <c r="D7674" s="211"/>
      <c r="E7674" s="211"/>
      <c r="U7674" s="222"/>
    </row>
    <row r="7675" spans="2:21" x14ac:dyDescent="0.2">
      <c r="B7675" s="207"/>
      <c r="C7675" s="210"/>
      <c r="D7675" s="211"/>
      <c r="E7675" s="211"/>
      <c r="U7675" s="222"/>
    </row>
    <row r="7676" spans="2:21" x14ac:dyDescent="0.2">
      <c r="B7676" s="207"/>
      <c r="C7676" s="210"/>
      <c r="D7676" s="211"/>
      <c r="E7676" s="211"/>
      <c r="U7676" s="222"/>
    </row>
    <row r="7677" spans="2:21" x14ac:dyDescent="0.2">
      <c r="B7677" s="207"/>
      <c r="C7677" s="210"/>
      <c r="D7677" s="211"/>
      <c r="E7677" s="211"/>
      <c r="U7677" s="222"/>
    </row>
    <row r="7678" spans="2:21" x14ac:dyDescent="0.2">
      <c r="B7678" s="207"/>
      <c r="C7678" s="210"/>
      <c r="D7678" s="211"/>
      <c r="E7678" s="211"/>
      <c r="U7678" s="222"/>
    </row>
    <row r="7679" spans="2:21" x14ac:dyDescent="0.2">
      <c r="B7679" s="207"/>
      <c r="C7679" s="210"/>
      <c r="D7679" s="211"/>
      <c r="E7679" s="211"/>
      <c r="U7679" s="222"/>
    </row>
    <row r="7680" spans="2:21" x14ac:dyDescent="0.2">
      <c r="B7680" s="207"/>
      <c r="C7680" s="210"/>
      <c r="D7680" s="211"/>
      <c r="E7680" s="211"/>
      <c r="U7680" s="222"/>
    </row>
    <row r="7681" spans="2:21" x14ac:dyDescent="0.2">
      <c r="B7681" s="207"/>
      <c r="C7681" s="210"/>
      <c r="D7681" s="211"/>
      <c r="E7681" s="211"/>
      <c r="U7681" s="222"/>
    </row>
    <row r="7682" spans="2:21" x14ac:dyDescent="0.2">
      <c r="B7682" s="207"/>
      <c r="C7682" s="210"/>
      <c r="D7682" s="211"/>
      <c r="E7682" s="211"/>
      <c r="U7682" s="222"/>
    </row>
    <row r="7683" spans="2:21" x14ac:dyDescent="0.2">
      <c r="B7683" s="207"/>
      <c r="C7683" s="210"/>
      <c r="D7683" s="211"/>
      <c r="E7683" s="211"/>
      <c r="U7683" s="222"/>
    </row>
    <row r="7684" spans="2:21" x14ac:dyDescent="0.2">
      <c r="B7684" s="207"/>
      <c r="C7684" s="210"/>
      <c r="D7684" s="211"/>
      <c r="E7684" s="211"/>
      <c r="U7684" s="222"/>
    </row>
    <row r="7685" spans="2:21" x14ac:dyDescent="0.2">
      <c r="B7685" s="207"/>
      <c r="C7685" s="210"/>
      <c r="D7685" s="211"/>
      <c r="E7685" s="211"/>
      <c r="U7685" s="222"/>
    </row>
    <row r="7686" spans="2:21" x14ac:dyDescent="0.2">
      <c r="B7686" s="207"/>
      <c r="C7686" s="210"/>
      <c r="D7686" s="211"/>
      <c r="E7686" s="211"/>
      <c r="U7686" s="222"/>
    </row>
    <row r="7687" spans="2:21" x14ac:dyDescent="0.2">
      <c r="B7687" s="207"/>
      <c r="C7687" s="210"/>
      <c r="D7687" s="211"/>
      <c r="E7687" s="211"/>
      <c r="U7687" s="222"/>
    </row>
    <row r="7688" spans="2:21" x14ac:dyDescent="0.2">
      <c r="B7688" s="207"/>
      <c r="C7688" s="210"/>
      <c r="D7688" s="211"/>
      <c r="E7688" s="211"/>
      <c r="U7688" s="222"/>
    </row>
    <row r="7689" spans="2:21" x14ac:dyDescent="0.2">
      <c r="B7689" s="207"/>
      <c r="C7689" s="210"/>
      <c r="D7689" s="211"/>
      <c r="E7689" s="211"/>
      <c r="U7689" s="222"/>
    </row>
    <row r="7690" spans="2:21" x14ac:dyDescent="0.2">
      <c r="B7690" s="207"/>
      <c r="C7690" s="210"/>
      <c r="D7690" s="211"/>
      <c r="E7690" s="211"/>
      <c r="U7690" s="222"/>
    </row>
    <row r="7691" spans="2:21" x14ac:dyDescent="0.2">
      <c r="B7691" s="207"/>
      <c r="C7691" s="210"/>
      <c r="D7691" s="211"/>
      <c r="E7691" s="211"/>
      <c r="U7691" s="222"/>
    </row>
    <row r="7692" spans="2:21" x14ac:dyDescent="0.2">
      <c r="B7692" s="207"/>
      <c r="C7692" s="210"/>
      <c r="D7692" s="211"/>
      <c r="E7692" s="211"/>
      <c r="U7692" s="222"/>
    </row>
    <row r="7693" spans="2:21" x14ac:dyDescent="0.2">
      <c r="B7693" s="207"/>
      <c r="C7693" s="210"/>
      <c r="D7693" s="211"/>
      <c r="E7693" s="211"/>
      <c r="U7693" s="222"/>
    </row>
    <row r="7694" spans="2:21" x14ac:dyDescent="0.2">
      <c r="B7694" s="207"/>
      <c r="C7694" s="210"/>
      <c r="D7694" s="211"/>
      <c r="E7694" s="211"/>
      <c r="U7694" s="222"/>
    </row>
    <row r="7695" spans="2:21" x14ac:dyDescent="0.2">
      <c r="B7695" s="207"/>
      <c r="C7695" s="210"/>
      <c r="D7695" s="211"/>
      <c r="E7695" s="211"/>
      <c r="U7695" s="222"/>
    </row>
    <row r="7696" spans="2:21" x14ac:dyDescent="0.2">
      <c r="B7696" s="207"/>
      <c r="C7696" s="210"/>
      <c r="D7696" s="211"/>
      <c r="E7696" s="211"/>
      <c r="U7696" s="222"/>
    </row>
    <row r="7697" spans="2:21" x14ac:dyDescent="0.2">
      <c r="B7697" s="207"/>
      <c r="C7697" s="210"/>
      <c r="D7697" s="211"/>
      <c r="E7697" s="211"/>
      <c r="U7697" s="222"/>
    </row>
    <row r="7698" spans="2:21" x14ac:dyDescent="0.2">
      <c r="B7698" s="207"/>
      <c r="C7698" s="210"/>
      <c r="D7698" s="211"/>
      <c r="E7698" s="211"/>
      <c r="U7698" s="222"/>
    </row>
    <row r="7699" spans="2:21" x14ac:dyDescent="0.2">
      <c r="B7699" s="207"/>
      <c r="C7699" s="210"/>
      <c r="D7699" s="211"/>
      <c r="E7699" s="211"/>
      <c r="U7699" s="222"/>
    </row>
    <row r="7700" spans="2:21" x14ac:dyDescent="0.2">
      <c r="B7700" s="207"/>
      <c r="C7700" s="210"/>
      <c r="D7700" s="211"/>
      <c r="E7700" s="211"/>
      <c r="U7700" s="222"/>
    </row>
    <row r="7701" spans="2:21" x14ac:dyDescent="0.2">
      <c r="B7701" s="207"/>
      <c r="C7701" s="210"/>
      <c r="D7701" s="211"/>
      <c r="E7701" s="211"/>
      <c r="U7701" s="222"/>
    </row>
    <row r="7702" spans="2:21" x14ac:dyDescent="0.2">
      <c r="B7702" s="207"/>
      <c r="C7702" s="210"/>
      <c r="D7702" s="211"/>
      <c r="E7702" s="211"/>
      <c r="U7702" s="222"/>
    </row>
    <row r="7703" spans="2:21" x14ac:dyDescent="0.2">
      <c r="B7703" s="207"/>
      <c r="C7703" s="210"/>
      <c r="D7703" s="211"/>
      <c r="E7703" s="211"/>
      <c r="U7703" s="222"/>
    </row>
    <row r="7704" spans="2:21" x14ac:dyDescent="0.2">
      <c r="B7704" s="207"/>
      <c r="C7704" s="210"/>
      <c r="D7704" s="211"/>
      <c r="E7704" s="211"/>
      <c r="U7704" s="222"/>
    </row>
    <row r="7705" spans="2:21" x14ac:dyDescent="0.2">
      <c r="B7705" s="207"/>
      <c r="C7705" s="210"/>
      <c r="D7705" s="211"/>
      <c r="E7705" s="211"/>
      <c r="U7705" s="222"/>
    </row>
    <row r="7706" spans="2:21" x14ac:dyDescent="0.2">
      <c r="B7706" s="207"/>
      <c r="C7706" s="210"/>
      <c r="D7706" s="211"/>
      <c r="E7706" s="211"/>
      <c r="U7706" s="222"/>
    </row>
    <row r="7707" spans="2:21" x14ac:dyDescent="0.2">
      <c r="B7707" s="207"/>
      <c r="C7707" s="210"/>
      <c r="D7707" s="211"/>
      <c r="E7707" s="211"/>
      <c r="U7707" s="222"/>
    </row>
    <row r="7708" spans="2:21" x14ac:dyDescent="0.2">
      <c r="B7708" s="207"/>
      <c r="C7708" s="210"/>
      <c r="D7708" s="211"/>
      <c r="E7708" s="211"/>
      <c r="U7708" s="222"/>
    </row>
    <row r="7709" spans="2:21" x14ac:dyDescent="0.2">
      <c r="B7709" s="207"/>
      <c r="C7709" s="210"/>
      <c r="D7709" s="211"/>
      <c r="E7709" s="211"/>
      <c r="U7709" s="222"/>
    </row>
    <row r="7710" spans="2:21" x14ac:dyDescent="0.2">
      <c r="B7710" s="207"/>
      <c r="C7710" s="210"/>
      <c r="D7710" s="211"/>
      <c r="E7710" s="211"/>
      <c r="U7710" s="222"/>
    </row>
    <row r="7711" spans="2:21" x14ac:dyDescent="0.2">
      <c r="B7711" s="207"/>
      <c r="C7711" s="210"/>
      <c r="D7711" s="211"/>
      <c r="E7711" s="211"/>
      <c r="U7711" s="222"/>
    </row>
    <row r="7712" spans="2:21" x14ac:dyDescent="0.2">
      <c r="B7712" s="207"/>
      <c r="C7712" s="210"/>
      <c r="D7712" s="211"/>
      <c r="E7712" s="211"/>
      <c r="U7712" s="222"/>
    </row>
    <row r="7713" spans="2:21" x14ac:dyDescent="0.2">
      <c r="B7713" s="207"/>
      <c r="C7713" s="210"/>
      <c r="D7713" s="211"/>
      <c r="E7713" s="211"/>
      <c r="U7713" s="222"/>
    </row>
    <row r="7714" spans="2:21" x14ac:dyDescent="0.2">
      <c r="B7714" s="207"/>
      <c r="C7714" s="210"/>
      <c r="D7714" s="211"/>
      <c r="E7714" s="211"/>
      <c r="U7714" s="222"/>
    </row>
    <row r="7715" spans="2:21" x14ac:dyDescent="0.2">
      <c r="B7715" s="207"/>
      <c r="C7715" s="210"/>
      <c r="D7715" s="211"/>
      <c r="E7715" s="211"/>
      <c r="U7715" s="222"/>
    </row>
    <row r="7716" spans="2:21" x14ac:dyDescent="0.2">
      <c r="B7716" s="207"/>
      <c r="C7716" s="210"/>
      <c r="D7716" s="211"/>
      <c r="E7716" s="211"/>
      <c r="U7716" s="222"/>
    </row>
    <row r="7717" spans="2:21" x14ac:dyDescent="0.2">
      <c r="B7717" s="207"/>
      <c r="C7717" s="210"/>
      <c r="D7717" s="211"/>
      <c r="E7717" s="211"/>
      <c r="U7717" s="222"/>
    </row>
    <row r="7718" spans="2:21" x14ac:dyDescent="0.2">
      <c r="B7718" s="207"/>
      <c r="C7718" s="210"/>
      <c r="D7718" s="211"/>
      <c r="E7718" s="211"/>
      <c r="U7718" s="222"/>
    </row>
    <row r="7719" spans="2:21" x14ac:dyDescent="0.2">
      <c r="B7719" s="207"/>
      <c r="C7719" s="210"/>
      <c r="D7719" s="211"/>
      <c r="E7719" s="211"/>
      <c r="U7719" s="222"/>
    </row>
    <row r="7720" spans="2:21" x14ac:dyDescent="0.2">
      <c r="B7720" s="207"/>
      <c r="C7720" s="210"/>
      <c r="D7720" s="211"/>
      <c r="E7720" s="211"/>
      <c r="U7720" s="222"/>
    </row>
    <row r="7721" spans="2:21" x14ac:dyDescent="0.2">
      <c r="B7721" s="207"/>
      <c r="C7721" s="210"/>
      <c r="D7721" s="211"/>
      <c r="E7721" s="211"/>
      <c r="U7721" s="222"/>
    </row>
    <row r="7722" spans="2:21" x14ac:dyDescent="0.2">
      <c r="B7722" s="207"/>
      <c r="C7722" s="210"/>
      <c r="D7722" s="211"/>
      <c r="E7722" s="211"/>
      <c r="U7722" s="222"/>
    </row>
    <row r="7723" spans="2:21" x14ac:dyDescent="0.2">
      <c r="B7723" s="207"/>
      <c r="C7723" s="210"/>
      <c r="D7723" s="211"/>
      <c r="E7723" s="211"/>
      <c r="U7723" s="222"/>
    </row>
    <row r="7724" spans="2:21" x14ac:dyDescent="0.2">
      <c r="B7724" s="207"/>
      <c r="C7724" s="210"/>
      <c r="D7724" s="211"/>
      <c r="E7724" s="211"/>
      <c r="U7724" s="222"/>
    </row>
    <row r="7725" spans="2:21" x14ac:dyDescent="0.2">
      <c r="B7725" s="207"/>
      <c r="C7725" s="210"/>
      <c r="D7725" s="211"/>
      <c r="E7725" s="211"/>
      <c r="U7725" s="222"/>
    </row>
    <row r="7726" spans="2:21" x14ac:dyDescent="0.2">
      <c r="B7726" s="207"/>
      <c r="C7726" s="210"/>
      <c r="D7726" s="211"/>
      <c r="E7726" s="211"/>
      <c r="U7726" s="222"/>
    </row>
    <row r="7727" spans="2:21" x14ac:dyDescent="0.2">
      <c r="B7727" s="207"/>
      <c r="C7727" s="210"/>
      <c r="D7727" s="211"/>
      <c r="E7727" s="211"/>
      <c r="U7727" s="222"/>
    </row>
    <row r="7728" spans="2:21" x14ac:dyDescent="0.2">
      <c r="B7728" s="207"/>
      <c r="C7728" s="210"/>
      <c r="D7728" s="211"/>
      <c r="E7728" s="211"/>
      <c r="U7728" s="222"/>
    </row>
    <row r="7729" spans="2:21" x14ac:dyDescent="0.2">
      <c r="B7729" s="207"/>
      <c r="C7729" s="210"/>
      <c r="D7729" s="211"/>
      <c r="E7729" s="211"/>
      <c r="U7729" s="222"/>
    </row>
    <row r="7730" spans="2:21" x14ac:dyDescent="0.2">
      <c r="B7730" s="207"/>
      <c r="C7730" s="210"/>
      <c r="D7730" s="211"/>
      <c r="E7730" s="211"/>
      <c r="U7730" s="222"/>
    </row>
    <row r="7731" spans="2:21" x14ac:dyDescent="0.2">
      <c r="B7731" s="207"/>
      <c r="C7731" s="210"/>
      <c r="D7731" s="211"/>
      <c r="E7731" s="211"/>
      <c r="U7731" s="222"/>
    </row>
    <row r="7732" spans="2:21" x14ac:dyDescent="0.2">
      <c r="B7732" s="207"/>
      <c r="C7732" s="210"/>
      <c r="D7732" s="211"/>
      <c r="E7732" s="211"/>
      <c r="U7732" s="222"/>
    </row>
    <row r="7733" spans="2:21" x14ac:dyDescent="0.2">
      <c r="B7733" s="207"/>
      <c r="C7733" s="210"/>
      <c r="D7733" s="211"/>
      <c r="E7733" s="211"/>
      <c r="U7733" s="222"/>
    </row>
    <row r="7734" spans="2:21" x14ac:dyDescent="0.2">
      <c r="B7734" s="207"/>
      <c r="C7734" s="210"/>
      <c r="D7734" s="211"/>
      <c r="E7734" s="211"/>
      <c r="U7734" s="222"/>
    </row>
    <row r="7735" spans="2:21" x14ac:dyDescent="0.2">
      <c r="B7735" s="207"/>
      <c r="C7735" s="210"/>
      <c r="D7735" s="211"/>
      <c r="E7735" s="211"/>
      <c r="U7735" s="222"/>
    </row>
    <row r="7736" spans="2:21" x14ac:dyDescent="0.2">
      <c r="B7736" s="207"/>
      <c r="C7736" s="210"/>
      <c r="D7736" s="211"/>
      <c r="E7736" s="211"/>
      <c r="U7736" s="222"/>
    </row>
    <row r="7737" spans="2:21" x14ac:dyDescent="0.2">
      <c r="B7737" s="207"/>
      <c r="C7737" s="210"/>
      <c r="D7737" s="211"/>
      <c r="E7737" s="211"/>
      <c r="U7737" s="222"/>
    </row>
    <row r="7738" spans="2:21" x14ac:dyDescent="0.2">
      <c r="B7738" s="207"/>
      <c r="C7738" s="210"/>
      <c r="D7738" s="211"/>
      <c r="E7738" s="211"/>
      <c r="U7738" s="222"/>
    </row>
    <row r="7739" spans="2:21" x14ac:dyDescent="0.2">
      <c r="B7739" s="207"/>
      <c r="C7739" s="210"/>
      <c r="D7739" s="211"/>
      <c r="E7739" s="211"/>
      <c r="U7739" s="222"/>
    </row>
    <row r="7740" spans="2:21" x14ac:dyDescent="0.2">
      <c r="B7740" s="207"/>
      <c r="C7740" s="210"/>
      <c r="D7740" s="211"/>
      <c r="E7740" s="211"/>
      <c r="U7740" s="222"/>
    </row>
    <row r="7741" spans="2:21" x14ac:dyDescent="0.2">
      <c r="B7741" s="207"/>
      <c r="C7741" s="210"/>
      <c r="D7741" s="211"/>
      <c r="E7741" s="211"/>
      <c r="U7741" s="222"/>
    </row>
    <row r="7742" spans="2:21" x14ac:dyDescent="0.2">
      <c r="B7742" s="207"/>
      <c r="C7742" s="210"/>
      <c r="D7742" s="211"/>
      <c r="E7742" s="211"/>
      <c r="U7742" s="222"/>
    </row>
    <row r="7743" spans="2:21" x14ac:dyDescent="0.2">
      <c r="B7743" s="207"/>
      <c r="C7743" s="210"/>
      <c r="D7743" s="211"/>
      <c r="E7743" s="211"/>
      <c r="U7743" s="222"/>
    </row>
    <row r="7744" spans="2:21" x14ac:dyDescent="0.2">
      <c r="B7744" s="207"/>
      <c r="C7744" s="210"/>
      <c r="D7744" s="211"/>
      <c r="E7744" s="211"/>
      <c r="U7744" s="222"/>
    </row>
    <row r="7745" spans="2:21" x14ac:dyDescent="0.2">
      <c r="B7745" s="207"/>
      <c r="C7745" s="210"/>
      <c r="D7745" s="211"/>
      <c r="E7745" s="211"/>
      <c r="U7745" s="222"/>
    </row>
    <row r="7746" spans="2:21" x14ac:dyDescent="0.2">
      <c r="B7746" s="207"/>
      <c r="C7746" s="210"/>
      <c r="D7746" s="211"/>
      <c r="E7746" s="211"/>
      <c r="U7746" s="222"/>
    </row>
    <row r="7747" spans="2:21" x14ac:dyDescent="0.2">
      <c r="B7747" s="207"/>
      <c r="C7747" s="210"/>
      <c r="D7747" s="211"/>
      <c r="E7747" s="211"/>
      <c r="U7747" s="222"/>
    </row>
    <row r="7748" spans="2:21" x14ac:dyDescent="0.2">
      <c r="B7748" s="207"/>
      <c r="C7748" s="210"/>
      <c r="D7748" s="211"/>
      <c r="E7748" s="211"/>
      <c r="U7748" s="222"/>
    </row>
    <row r="7749" spans="2:21" x14ac:dyDescent="0.2">
      <c r="B7749" s="207"/>
      <c r="C7749" s="210"/>
      <c r="D7749" s="211"/>
      <c r="E7749" s="211"/>
      <c r="U7749" s="222"/>
    </row>
    <row r="7750" spans="2:21" x14ac:dyDescent="0.2">
      <c r="B7750" s="207"/>
      <c r="C7750" s="210"/>
      <c r="D7750" s="211"/>
      <c r="E7750" s="211"/>
      <c r="U7750" s="222"/>
    </row>
    <row r="7751" spans="2:21" x14ac:dyDescent="0.2">
      <c r="B7751" s="207"/>
      <c r="C7751" s="210"/>
      <c r="D7751" s="211"/>
      <c r="E7751" s="211"/>
      <c r="U7751" s="222"/>
    </row>
    <row r="7752" spans="2:21" x14ac:dyDescent="0.2">
      <c r="B7752" s="207"/>
      <c r="C7752" s="210"/>
      <c r="D7752" s="211"/>
      <c r="E7752" s="211"/>
      <c r="U7752" s="222"/>
    </row>
    <row r="7753" spans="2:21" x14ac:dyDescent="0.2">
      <c r="B7753" s="207"/>
      <c r="C7753" s="210"/>
      <c r="D7753" s="211"/>
      <c r="E7753" s="211"/>
      <c r="U7753" s="222"/>
    </row>
    <row r="7754" spans="2:21" x14ac:dyDescent="0.2">
      <c r="B7754" s="207"/>
      <c r="C7754" s="210"/>
      <c r="D7754" s="211"/>
      <c r="E7754" s="211"/>
      <c r="U7754" s="222"/>
    </row>
    <row r="7755" spans="2:21" x14ac:dyDescent="0.2">
      <c r="B7755" s="207"/>
      <c r="C7755" s="210"/>
      <c r="D7755" s="211"/>
      <c r="E7755" s="211"/>
      <c r="U7755" s="222"/>
    </row>
    <row r="7756" spans="2:21" x14ac:dyDescent="0.2">
      <c r="B7756" s="207"/>
      <c r="C7756" s="210"/>
      <c r="D7756" s="211"/>
      <c r="E7756" s="211"/>
      <c r="U7756" s="222"/>
    </row>
    <row r="7757" spans="2:21" x14ac:dyDescent="0.2">
      <c r="B7757" s="207"/>
      <c r="C7757" s="210"/>
      <c r="D7757" s="211"/>
      <c r="E7757" s="211"/>
      <c r="U7757" s="222"/>
    </row>
    <row r="7758" spans="2:21" x14ac:dyDescent="0.2">
      <c r="B7758" s="207"/>
      <c r="C7758" s="210"/>
      <c r="D7758" s="211"/>
      <c r="E7758" s="211"/>
      <c r="U7758" s="222"/>
    </row>
    <row r="7759" spans="2:21" x14ac:dyDescent="0.2">
      <c r="B7759" s="207"/>
      <c r="C7759" s="210"/>
      <c r="D7759" s="211"/>
      <c r="E7759" s="211"/>
      <c r="U7759" s="222"/>
    </row>
    <row r="7760" spans="2:21" x14ac:dyDescent="0.2">
      <c r="B7760" s="207"/>
      <c r="C7760" s="210"/>
      <c r="D7760" s="211"/>
      <c r="E7760" s="211"/>
      <c r="U7760" s="222"/>
    </row>
    <row r="7761" spans="2:21" x14ac:dyDescent="0.2">
      <c r="B7761" s="207"/>
      <c r="C7761" s="210"/>
      <c r="D7761" s="211"/>
      <c r="E7761" s="211"/>
      <c r="U7761" s="222"/>
    </row>
    <row r="7762" spans="2:21" x14ac:dyDescent="0.2">
      <c r="B7762" s="207"/>
      <c r="C7762" s="210"/>
      <c r="D7762" s="211"/>
      <c r="E7762" s="211"/>
      <c r="U7762" s="222"/>
    </row>
    <row r="7763" spans="2:21" x14ac:dyDescent="0.2">
      <c r="B7763" s="207"/>
      <c r="C7763" s="210"/>
      <c r="D7763" s="211"/>
      <c r="E7763" s="211"/>
      <c r="U7763" s="222"/>
    </row>
    <row r="7764" spans="2:21" x14ac:dyDescent="0.2">
      <c r="B7764" s="207"/>
      <c r="C7764" s="210"/>
      <c r="D7764" s="211"/>
      <c r="E7764" s="211"/>
      <c r="U7764" s="222"/>
    </row>
    <row r="7765" spans="2:21" x14ac:dyDescent="0.2">
      <c r="B7765" s="207"/>
      <c r="C7765" s="210"/>
      <c r="D7765" s="211"/>
      <c r="E7765" s="211"/>
      <c r="U7765" s="222"/>
    </row>
    <row r="7766" spans="2:21" x14ac:dyDescent="0.2">
      <c r="B7766" s="207"/>
      <c r="C7766" s="210"/>
      <c r="D7766" s="211"/>
      <c r="E7766" s="211"/>
      <c r="U7766" s="222"/>
    </row>
    <row r="7767" spans="2:21" x14ac:dyDescent="0.2">
      <c r="B7767" s="207"/>
      <c r="C7767" s="210"/>
      <c r="D7767" s="211"/>
      <c r="E7767" s="211"/>
      <c r="U7767" s="222"/>
    </row>
    <row r="7768" spans="2:21" x14ac:dyDescent="0.2">
      <c r="B7768" s="207"/>
      <c r="C7768" s="210"/>
      <c r="D7768" s="211"/>
      <c r="E7768" s="211"/>
      <c r="U7768" s="222"/>
    </row>
    <row r="7769" spans="2:21" x14ac:dyDescent="0.2">
      <c r="B7769" s="207"/>
      <c r="C7769" s="210"/>
      <c r="D7769" s="211"/>
      <c r="E7769" s="211"/>
      <c r="U7769" s="222"/>
    </row>
    <row r="7770" spans="2:21" x14ac:dyDescent="0.2">
      <c r="B7770" s="207"/>
      <c r="C7770" s="210"/>
      <c r="D7770" s="211"/>
      <c r="E7770" s="211"/>
      <c r="U7770" s="222"/>
    </row>
    <row r="7771" spans="2:21" x14ac:dyDescent="0.2">
      <c r="B7771" s="207"/>
      <c r="C7771" s="210"/>
      <c r="D7771" s="211"/>
      <c r="E7771" s="211"/>
      <c r="U7771" s="222"/>
    </row>
    <row r="7772" spans="2:21" x14ac:dyDescent="0.2">
      <c r="B7772" s="207"/>
      <c r="C7772" s="210"/>
      <c r="D7772" s="211"/>
      <c r="E7772" s="211"/>
      <c r="U7772" s="222"/>
    </row>
    <row r="7773" spans="2:21" x14ac:dyDescent="0.2">
      <c r="B7773" s="207"/>
      <c r="C7773" s="210"/>
      <c r="D7773" s="211"/>
      <c r="E7773" s="211"/>
      <c r="U7773" s="222"/>
    </row>
    <row r="7774" spans="2:21" x14ac:dyDescent="0.2">
      <c r="B7774" s="207"/>
      <c r="C7774" s="210"/>
      <c r="D7774" s="211"/>
      <c r="E7774" s="211"/>
      <c r="U7774" s="222"/>
    </row>
    <row r="7775" spans="2:21" x14ac:dyDescent="0.2">
      <c r="B7775" s="207"/>
      <c r="C7775" s="210"/>
      <c r="D7775" s="211"/>
      <c r="E7775" s="211"/>
      <c r="U7775" s="222"/>
    </row>
    <row r="7776" spans="2:21" x14ac:dyDescent="0.2">
      <c r="B7776" s="207"/>
      <c r="C7776" s="210"/>
      <c r="D7776" s="211"/>
      <c r="E7776" s="211"/>
      <c r="U7776" s="222"/>
    </row>
    <row r="7777" spans="2:21" x14ac:dyDescent="0.2">
      <c r="B7777" s="207"/>
      <c r="C7777" s="210"/>
      <c r="D7777" s="211"/>
      <c r="E7777" s="211"/>
      <c r="U7777" s="222"/>
    </row>
    <row r="7778" spans="2:21" x14ac:dyDescent="0.2">
      <c r="B7778" s="207"/>
      <c r="C7778" s="210"/>
      <c r="D7778" s="211"/>
      <c r="E7778" s="211"/>
      <c r="U7778" s="222"/>
    </row>
    <row r="7779" spans="2:21" x14ac:dyDescent="0.2">
      <c r="B7779" s="207"/>
      <c r="C7779" s="210"/>
      <c r="D7779" s="211"/>
      <c r="E7779" s="211"/>
      <c r="U7779" s="222"/>
    </row>
    <row r="7780" spans="2:21" x14ac:dyDescent="0.2">
      <c r="B7780" s="207"/>
      <c r="C7780" s="210"/>
      <c r="D7780" s="211"/>
      <c r="E7780" s="211"/>
      <c r="U7780" s="222"/>
    </row>
    <row r="7781" spans="2:21" x14ac:dyDescent="0.2">
      <c r="B7781" s="207"/>
      <c r="C7781" s="210"/>
      <c r="D7781" s="211"/>
      <c r="E7781" s="211"/>
      <c r="U7781" s="222"/>
    </row>
    <row r="7782" spans="2:21" x14ac:dyDescent="0.2">
      <c r="B7782" s="207"/>
      <c r="C7782" s="210"/>
      <c r="D7782" s="211"/>
      <c r="E7782" s="211"/>
      <c r="U7782" s="222"/>
    </row>
    <row r="7783" spans="2:21" x14ac:dyDescent="0.2">
      <c r="B7783" s="207"/>
      <c r="C7783" s="210"/>
      <c r="D7783" s="211"/>
      <c r="E7783" s="211"/>
      <c r="U7783" s="222"/>
    </row>
    <row r="7784" spans="2:21" x14ac:dyDescent="0.2">
      <c r="B7784" s="207"/>
      <c r="C7784" s="210"/>
      <c r="D7784" s="211"/>
      <c r="E7784" s="211"/>
      <c r="U7784" s="222"/>
    </row>
    <row r="7785" spans="2:21" x14ac:dyDescent="0.2">
      <c r="B7785" s="207"/>
      <c r="C7785" s="210"/>
      <c r="D7785" s="211"/>
      <c r="E7785" s="211"/>
      <c r="U7785" s="222"/>
    </row>
    <row r="7786" spans="2:21" x14ac:dyDescent="0.2">
      <c r="B7786" s="207"/>
      <c r="C7786" s="210"/>
      <c r="D7786" s="211"/>
      <c r="E7786" s="211"/>
      <c r="U7786" s="222"/>
    </row>
    <row r="7787" spans="2:21" x14ac:dyDescent="0.2">
      <c r="B7787" s="207"/>
      <c r="C7787" s="210"/>
      <c r="D7787" s="211"/>
      <c r="E7787" s="211"/>
      <c r="U7787" s="222"/>
    </row>
    <row r="7788" spans="2:21" x14ac:dyDescent="0.2">
      <c r="B7788" s="207"/>
      <c r="C7788" s="210"/>
      <c r="D7788" s="211"/>
      <c r="E7788" s="211"/>
      <c r="U7788" s="222"/>
    </row>
    <row r="7789" spans="2:21" x14ac:dyDescent="0.2">
      <c r="B7789" s="207"/>
      <c r="C7789" s="210"/>
      <c r="D7789" s="211"/>
      <c r="E7789" s="211"/>
      <c r="U7789" s="222"/>
    </row>
    <row r="7790" spans="2:21" x14ac:dyDescent="0.2">
      <c r="B7790" s="207"/>
      <c r="C7790" s="210"/>
      <c r="D7790" s="211"/>
      <c r="E7790" s="211"/>
      <c r="U7790" s="222"/>
    </row>
    <row r="7791" spans="2:21" x14ac:dyDescent="0.2">
      <c r="B7791" s="207"/>
      <c r="C7791" s="210"/>
      <c r="D7791" s="211"/>
      <c r="E7791" s="211"/>
      <c r="U7791" s="222"/>
    </row>
    <row r="7792" spans="2:21" x14ac:dyDescent="0.2">
      <c r="B7792" s="207"/>
      <c r="C7792" s="210"/>
      <c r="D7792" s="211"/>
      <c r="E7792" s="211"/>
      <c r="U7792" s="222"/>
    </row>
    <row r="7793" spans="2:21" x14ac:dyDescent="0.2">
      <c r="B7793" s="207"/>
      <c r="C7793" s="210"/>
      <c r="D7793" s="211"/>
      <c r="E7793" s="211"/>
      <c r="U7793" s="222"/>
    </row>
    <row r="7794" spans="2:21" x14ac:dyDescent="0.2">
      <c r="B7794" s="207"/>
      <c r="C7794" s="210"/>
      <c r="D7794" s="211"/>
      <c r="E7794" s="211"/>
      <c r="U7794" s="222"/>
    </row>
    <row r="7795" spans="2:21" x14ac:dyDescent="0.2">
      <c r="B7795" s="207"/>
      <c r="C7795" s="210"/>
      <c r="D7795" s="211"/>
      <c r="E7795" s="211"/>
      <c r="U7795" s="222"/>
    </row>
    <row r="7796" spans="2:21" x14ac:dyDescent="0.2">
      <c r="B7796" s="207"/>
      <c r="C7796" s="210"/>
      <c r="D7796" s="211"/>
      <c r="E7796" s="211"/>
      <c r="U7796" s="222"/>
    </row>
    <row r="7797" spans="2:21" x14ac:dyDescent="0.2">
      <c r="B7797" s="207"/>
      <c r="C7797" s="210"/>
      <c r="D7797" s="211"/>
      <c r="E7797" s="211"/>
      <c r="U7797" s="222"/>
    </row>
    <row r="7798" spans="2:21" x14ac:dyDescent="0.2">
      <c r="B7798" s="207"/>
      <c r="C7798" s="210"/>
      <c r="D7798" s="211"/>
      <c r="E7798" s="211"/>
      <c r="U7798" s="222"/>
    </row>
    <row r="7799" spans="2:21" x14ac:dyDescent="0.2">
      <c r="B7799" s="207"/>
      <c r="C7799" s="210"/>
      <c r="D7799" s="211"/>
      <c r="E7799" s="211"/>
      <c r="U7799" s="222"/>
    </row>
    <row r="7800" spans="2:21" x14ac:dyDescent="0.2">
      <c r="B7800" s="207"/>
      <c r="C7800" s="210"/>
      <c r="D7800" s="211"/>
      <c r="E7800" s="211"/>
      <c r="U7800" s="222"/>
    </row>
    <row r="7801" spans="2:21" x14ac:dyDescent="0.2">
      <c r="B7801" s="207"/>
      <c r="C7801" s="210"/>
      <c r="D7801" s="211"/>
      <c r="E7801" s="211"/>
      <c r="U7801" s="222"/>
    </row>
    <row r="7802" spans="2:21" x14ac:dyDescent="0.2">
      <c r="B7802" s="207"/>
      <c r="C7802" s="210"/>
      <c r="D7802" s="211"/>
      <c r="E7802" s="211"/>
      <c r="U7802" s="222"/>
    </row>
    <row r="7803" spans="2:21" x14ac:dyDescent="0.2">
      <c r="B7803" s="207"/>
      <c r="C7803" s="210"/>
      <c r="D7803" s="211"/>
      <c r="E7803" s="211"/>
      <c r="U7803" s="222"/>
    </row>
    <row r="7804" spans="2:21" x14ac:dyDescent="0.2">
      <c r="B7804" s="207"/>
      <c r="C7804" s="210"/>
      <c r="D7804" s="211"/>
      <c r="E7804" s="211"/>
      <c r="U7804" s="222"/>
    </row>
    <row r="7805" spans="2:21" x14ac:dyDescent="0.2">
      <c r="B7805" s="207"/>
      <c r="C7805" s="210"/>
      <c r="D7805" s="211"/>
      <c r="E7805" s="211"/>
      <c r="U7805" s="222"/>
    </row>
    <row r="7806" spans="2:21" x14ac:dyDescent="0.2">
      <c r="B7806" s="207"/>
      <c r="C7806" s="210"/>
      <c r="D7806" s="211"/>
      <c r="E7806" s="211"/>
      <c r="U7806" s="222"/>
    </row>
    <row r="7807" spans="2:21" x14ac:dyDescent="0.2">
      <c r="B7807" s="207"/>
      <c r="C7807" s="210"/>
      <c r="D7807" s="211"/>
      <c r="E7807" s="211"/>
      <c r="U7807" s="222"/>
    </row>
    <row r="7808" spans="2:21" x14ac:dyDescent="0.2">
      <c r="B7808" s="207"/>
      <c r="C7808" s="210"/>
      <c r="D7808" s="211"/>
      <c r="E7808" s="211"/>
      <c r="U7808" s="222"/>
    </row>
    <row r="7809" spans="2:21" x14ac:dyDescent="0.2">
      <c r="B7809" s="207"/>
      <c r="C7809" s="210"/>
      <c r="D7809" s="211"/>
      <c r="E7809" s="211"/>
      <c r="U7809" s="222"/>
    </row>
    <row r="7810" spans="2:21" x14ac:dyDescent="0.2">
      <c r="B7810" s="207"/>
      <c r="C7810" s="210"/>
      <c r="D7810" s="211"/>
      <c r="E7810" s="211"/>
      <c r="U7810" s="222"/>
    </row>
    <row r="7811" spans="2:21" x14ac:dyDescent="0.2">
      <c r="B7811" s="207"/>
      <c r="C7811" s="210"/>
      <c r="D7811" s="211"/>
      <c r="E7811" s="211"/>
      <c r="U7811" s="222"/>
    </row>
    <row r="7812" spans="2:21" x14ac:dyDescent="0.2">
      <c r="B7812" s="207"/>
      <c r="C7812" s="210"/>
      <c r="D7812" s="211"/>
      <c r="E7812" s="211"/>
      <c r="U7812" s="222"/>
    </row>
    <row r="7813" spans="2:21" x14ac:dyDescent="0.2">
      <c r="B7813" s="207"/>
      <c r="C7813" s="210"/>
      <c r="D7813" s="211"/>
      <c r="E7813" s="211"/>
      <c r="U7813" s="222"/>
    </row>
    <row r="7814" spans="2:21" x14ac:dyDescent="0.2">
      <c r="B7814" s="207"/>
      <c r="C7814" s="210"/>
      <c r="D7814" s="211"/>
      <c r="E7814" s="211"/>
      <c r="U7814" s="222"/>
    </row>
    <row r="7815" spans="2:21" x14ac:dyDescent="0.2">
      <c r="B7815" s="207"/>
      <c r="C7815" s="210"/>
      <c r="D7815" s="211"/>
      <c r="E7815" s="211"/>
      <c r="U7815" s="222"/>
    </row>
    <row r="7816" spans="2:21" x14ac:dyDescent="0.2">
      <c r="B7816" s="207"/>
      <c r="C7816" s="210"/>
      <c r="D7816" s="211"/>
      <c r="E7816" s="211"/>
      <c r="U7816" s="222"/>
    </row>
    <row r="7817" spans="2:21" x14ac:dyDescent="0.2">
      <c r="B7817" s="207"/>
      <c r="C7817" s="210"/>
      <c r="D7817" s="211"/>
      <c r="E7817" s="211"/>
      <c r="U7817" s="222"/>
    </row>
    <row r="7818" spans="2:21" x14ac:dyDescent="0.2">
      <c r="B7818" s="207"/>
      <c r="C7818" s="210"/>
      <c r="D7818" s="211"/>
      <c r="E7818" s="211"/>
      <c r="U7818" s="222"/>
    </row>
    <row r="7819" spans="2:21" x14ac:dyDescent="0.2">
      <c r="B7819" s="207"/>
      <c r="C7819" s="210"/>
      <c r="D7819" s="211"/>
      <c r="E7819" s="211"/>
      <c r="U7819" s="222"/>
    </row>
    <row r="7820" spans="2:21" x14ac:dyDescent="0.2">
      <c r="B7820" s="207"/>
      <c r="C7820" s="210"/>
      <c r="D7820" s="211"/>
      <c r="E7820" s="211"/>
      <c r="U7820" s="222"/>
    </row>
    <row r="7821" spans="2:21" x14ac:dyDescent="0.2">
      <c r="B7821" s="207"/>
      <c r="C7821" s="210"/>
      <c r="D7821" s="211"/>
      <c r="E7821" s="211"/>
      <c r="U7821" s="222"/>
    </row>
    <row r="7822" spans="2:21" x14ac:dyDescent="0.2">
      <c r="B7822" s="207"/>
      <c r="C7822" s="210"/>
      <c r="D7822" s="211"/>
      <c r="E7822" s="211"/>
      <c r="U7822" s="222"/>
    </row>
    <row r="7823" spans="2:21" x14ac:dyDescent="0.2">
      <c r="B7823" s="207"/>
      <c r="C7823" s="210"/>
      <c r="D7823" s="211"/>
      <c r="E7823" s="211"/>
      <c r="U7823" s="222"/>
    </row>
    <row r="7824" spans="2:21" x14ac:dyDescent="0.2">
      <c r="B7824" s="207"/>
      <c r="C7824" s="210"/>
      <c r="D7824" s="211"/>
      <c r="E7824" s="211"/>
      <c r="U7824" s="222"/>
    </row>
    <row r="7825" spans="2:21" x14ac:dyDescent="0.2">
      <c r="B7825" s="207"/>
      <c r="C7825" s="210"/>
      <c r="D7825" s="211"/>
      <c r="E7825" s="211"/>
      <c r="U7825" s="222"/>
    </row>
    <row r="7826" spans="2:21" x14ac:dyDescent="0.2">
      <c r="B7826" s="207"/>
      <c r="C7826" s="210"/>
      <c r="D7826" s="211"/>
      <c r="E7826" s="211"/>
      <c r="U7826" s="222"/>
    </row>
    <row r="7827" spans="2:21" x14ac:dyDescent="0.2">
      <c r="B7827" s="207"/>
      <c r="C7827" s="210"/>
      <c r="D7827" s="211"/>
      <c r="E7827" s="211"/>
      <c r="U7827" s="222"/>
    </row>
    <row r="7828" spans="2:21" x14ac:dyDescent="0.2">
      <c r="B7828" s="207"/>
      <c r="C7828" s="210"/>
      <c r="D7828" s="211"/>
      <c r="E7828" s="211"/>
      <c r="U7828" s="222"/>
    </row>
    <row r="7829" spans="2:21" x14ac:dyDescent="0.2">
      <c r="B7829" s="207"/>
      <c r="C7829" s="210"/>
      <c r="D7829" s="211"/>
      <c r="E7829" s="211"/>
      <c r="U7829" s="222"/>
    </row>
    <row r="7830" spans="2:21" x14ac:dyDescent="0.2">
      <c r="B7830" s="207"/>
      <c r="C7830" s="210"/>
      <c r="D7830" s="211"/>
      <c r="E7830" s="211"/>
      <c r="U7830" s="222"/>
    </row>
    <row r="7831" spans="2:21" x14ac:dyDescent="0.2">
      <c r="B7831" s="207"/>
      <c r="C7831" s="210"/>
      <c r="D7831" s="211"/>
      <c r="E7831" s="211"/>
      <c r="U7831" s="222"/>
    </row>
    <row r="7832" spans="2:21" x14ac:dyDescent="0.2">
      <c r="B7832" s="207"/>
      <c r="C7832" s="210"/>
      <c r="D7832" s="211"/>
      <c r="E7832" s="211"/>
      <c r="U7832" s="222"/>
    </row>
    <row r="7833" spans="2:21" x14ac:dyDescent="0.2">
      <c r="B7833" s="207"/>
      <c r="C7833" s="210"/>
      <c r="D7833" s="211"/>
      <c r="E7833" s="211"/>
      <c r="U7833" s="222"/>
    </row>
    <row r="7834" spans="2:21" x14ac:dyDescent="0.2">
      <c r="B7834" s="207"/>
      <c r="C7834" s="210"/>
      <c r="D7834" s="211"/>
      <c r="E7834" s="211"/>
      <c r="U7834" s="222"/>
    </row>
    <row r="7835" spans="2:21" x14ac:dyDescent="0.2">
      <c r="B7835" s="207"/>
      <c r="C7835" s="210"/>
      <c r="D7835" s="211"/>
      <c r="E7835" s="211"/>
      <c r="U7835" s="222"/>
    </row>
    <row r="7836" spans="2:21" x14ac:dyDescent="0.2">
      <c r="B7836" s="207"/>
      <c r="C7836" s="210"/>
      <c r="D7836" s="211"/>
      <c r="E7836" s="211"/>
      <c r="U7836" s="222"/>
    </row>
    <row r="7837" spans="2:21" x14ac:dyDescent="0.2">
      <c r="B7837" s="207"/>
      <c r="C7837" s="210"/>
      <c r="D7837" s="211"/>
      <c r="E7837" s="211"/>
      <c r="U7837" s="222"/>
    </row>
    <row r="7838" spans="2:21" x14ac:dyDescent="0.2">
      <c r="B7838" s="207"/>
      <c r="C7838" s="210"/>
      <c r="D7838" s="211"/>
      <c r="E7838" s="211"/>
      <c r="U7838" s="222"/>
    </row>
    <row r="7839" spans="2:21" x14ac:dyDescent="0.2">
      <c r="B7839" s="207"/>
      <c r="C7839" s="210"/>
      <c r="D7839" s="211"/>
      <c r="E7839" s="211"/>
      <c r="U7839" s="222"/>
    </row>
    <row r="7840" spans="2:21" x14ac:dyDescent="0.2">
      <c r="B7840" s="207"/>
      <c r="C7840" s="210"/>
      <c r="D7840" s="211"/>
      <c r="E7840" s="211"/>
      <c r="U7840" s="222"/>
    </row>
    <row r="7841" spans="2:21" x14ac:dyDescent="0.2">
      <c r="B7841" s="207"/>
      <c r="C7841" s="210"/>
      <c r="D7841" s="211"/>
      <c r="E7841" s="211"/>
      <c r="U7841" s="222"/>
    </row>
    <row r="7842" spans="2:21" x14ac:dyDescent="0.2">
      <c r="B7842" s="207"/>
      <c r="C7842" s="210"/>
      <c r="D7842" s="211"/>
      <c r="E7842" s="211"/>
      <c r="U7842" s="222"/>
    </row>
    <row r="7843" spans="2:21" x14ac:dyDescent="0.2">
      <c r="B7843" s="207"/>
      <c r="C7843" s="210"/>
      <c r="D7843" s="211"/>
      <c r="E7843" s="211"/>
      <c r="U7843" s="222"/>
    </row>
    <row r="7844" spans="2:21" x14ac:dyDescent="0.2">
      <c r="B7844" s="207"/>
      <c r="C7844" s="210"/>
      <c r="D7844" s="211"/>
      <c r="E7844" s="211"/>
      <c r="U7844" s="222"/>
    </row>
    <row r="7845" spans="2:21" x14ac:dyDescent="0.2">
      <c r="B7845" s="207"/>
      <c r="C7845" s="210"/>
      <c r="D7845" s="211"/>
      <c r="E7845" s="211"/>
      <c r="U7845" s="222"/>
    </row>
    <row r="7846" spans="2:21" x14ac:dyDescent="0.2">
      <c r="B7846" s="207"/>
      <c r="C7846" s="210"/>
      <c r="D7846" s="211"/>
      <c r="E7846" s="211"/>
      <c r="U7846" s="222"/>
    </row>
    <row r="7847" spans="2:21" x14ac:dyDescent="0.2">
      <c r="B7847" s="207"/>
      <c r="C7847" s="210"/>
      <c r="D7847" s="211"/>
      <c r="E7847" s="211"/>
      <c r="U7847" s="222"/>
    </row>
    <row r="7848" spans="2:21" x14ac:dyDescent="0.2">
      <c r="B7848" s="207"/>
      <c r="C7848" s="210"/>
      <c r="D7848" s="211"/>
      <c r="E7848" s="211"/>
      <c r="U7848" s="222"/>
    </row>
    <row r="7849" spans="2:21" x14ac:dyDescent="0.2">
      <c r="B7849" s="207"/>
      <c r="C7849" s="210"/>
      <c r="D7849" s="211"/>
      <c r="E7849" s="211"/>
      <c r="U7849" s="222"/>
    </row>
    <row r="7850" spans="2:21" x14ac:dyDescent="0.2">
      <c r="B7850" s="207"/>
      <c r="C7850" s="210"/>
      <c r="D7850" s="211"/>
      <c r="E7850" s="211"/>
      <c r="U7850" s="222"/>
    </row>
    <row r="7851" spans="2:21" x14ac:dyDescent="0.2">
      <c r="B7851" s="207"/>
      <c r="C7851" s="210"/>
      <c r="D7851" s="211"/>
      <c r="E7851" s="211"/>
      <c r="U7851" s="222"/>
    </row>
    <row r="7852" spans="2:21" x14ac:dyDescent="0.2">
      <c r="B7852" s="207"/>
      <c r="C7852" s="210"/>
      <c r="D7852" s="211"/>
      <c r="E7852" s="211"/>
      <c r="U7852" s="222"/>
    </row>
    <row r="7853" spans="2:21" x14ac:dyDescent="0.2">
      <c r="B7853" s="207"/>
      <c r="C7853" s="210"/>
      <c r="D7853" s="211"/>
      <c r="E7853" s="211"/>
      <c r="U7853" s="222"/>
    </row>
    <row r="7854" spans="2:21" x14ac:dyDescent="0.2">
      <c r="B7854" s="207"/>
      <c r="C7854" s="210"/>
      <c r="D7854" s="211"/>
      <c r="E7854" s="211"/>
      <c r="U7854" s="222"/>
    </row>
    <row r="7855" spans="2:21" x14ac:dyDescent="0.2">
      <c r="B7855" s="207"/>
      <c r="C7855" s="210"/>
      <c r="D7855" s="211"/>
      <c r="E7855" s="211"/>
      <c r="U7855" s="222"/>
    </row>
    <row r="7856" spans="2:21" x14ac:dyDescent="0.2">
      <c r="B7856" s="207"/>
      <c r="C7856" s="210"/>
      <c r="D7856" s="211"/>
      <c r="E7856" s="211"/>
      <c r="U7856" s="222"/>
    </row>
    <row r="7857" spans="2:21" x14ac:dyDescent="0.2">
      <c r="B7857" s="207"/>
      <c r="C7857" s="210"/>
      <c r="D7857" s="211"/>
      <c r="E7857" s="211"/>
      <c r="U7857" s="222"/>
    </row>
    <row r="7858" spans="2:21" x14ac:dyDescent="0.2">
      <c r="B7858" s="207"/>
      <c r="C7858" s="210"/>
      <c r="D7858" s="211"/>
      <c r="E7858" s="211"/>
      <c r="U7858" s="222"/>
    </row>
    <row r="7859" spans="2:21" x14ac:dyDescent="0.2">
      <c r="B7859" s="207"/>
      <c r="C7859" s="210"/>
      <c r="D7859" s="211"/>
      <c r="E7859" s="211"/>
      <c r="U7859" s="222"/>
    </row>
    <row r="7860" spans="2:21" x14ac:dyDescent="0.2">
      <c r="B7860" s="207"/>
      <c r="C7860" s="210"/>
      <c r="D7860" s="211"/>
      <c r="E7860" s="211"/>
      <c r="U7860" s="222"/>
    </row>
    <row r="7861" spans="2:21" x14ac:dyDescent="0.2">
      <c r="B7861" s="207"/>
      <c r="C7861" s="210"/>
      <c r="D7861" s="211"/>
      <c r="E7861" s="211"/>
      <c r="U7861" s="222"/>
    </row>
    <row r="7862" spans="2:21" x14ac:dyDescent="0.2">
      <c r="B7862" s="207"/>
      <c r="C7862" s="210"/>
      <c r="D7862" s="211"/>
      <c r="E7862" s="211"/>
      <c r="U7862" s="222"/>
    </row>
    <row r="7863" spans="2:21" x14ac:dyDescent="0.2">
      <c r="B7863" s="207"/>
      <c r="C7863" s="210"/>
      <c r="D7863" s="211"/>
      <c r="E7863" s="211"/>
      <c r="U7863" s="222"/>
    </row>
    <row r="7864" spans="2:21" x14ac:dyDescent="0.2">
      <c r="B7864" s="207"/>
      <c r="C7864" s="210"/>
      <c r="D7864" s="211"/>
      <c r="E7864" s="211"/>
      <c r="U7864" s="222"/>
    </row>
    <row r="7865" spans="2:21" x14ac:dyDescent="0.2">
      <c r="B7865" s="207"/>
      <c r="C7865" s="210"/>
      <c r="D7865" s="211"/>
      <c r="E7865" s="211"/>
      <c r="U7865" s="222"/>
    </row>
    <row r="7866" spans="2:21" x14ac:dyDescent="0.2">
      <c r="B7866" s="207"/>
      <c r="C7866" s="210"/>
      <c r="D7866" s="211"/>
      <c r="E7866" s="211"/>
      <c r="U7866" s="222"/>
    </row>
    <row r="7867" spans="2:21" x14ac:dyDescent="0.2">
      <c r="B7867" s="207"/>
      <c r="C7867" s="210"/>
      <c r="D7867" s="211"/>
      <c r="E7867" s="211"/>
      <c r="U7867" s="222"/>
    </row>
    <row r="7868" spans="2:21" x14ac:dyDescent="0.2">
      <c r="B7868" s="207"/>
      <c r="C7868" s="210"/>
      <c r="D7868" s="211"/>
      <c r="E7868" s="211"/>
      <c r="U7868" s="222"/>
    </row>
    <row r="7869" spans="2:21" x14ac:dyDescent="0.2">
      <c r="B7869" s="207"/>
      <c r="C7869" s="210"/>
      <c r="D7869" s="211"/>
      <c r="E7869" s="211"/>
      <c r="U7869" s="222"/>
    </row>
    <row r="7870" spans="2:21" x14ac:dyDescent="0.2">
      <c r="B7870" s="207"/>
      <c r="C7870" s="210"/>
      <c r="D7870" s="211"/>
      <c r="E7870" s="211"/>
      <c r="U7870" s="222"/>
    </row>
    <row r="7871" spans="2:21" x14ac:dyDescent="0.2">
      <c r="B7871" s="207"/>
      <c r="C7871" s="210"/>
      <c r="D7871" s="211"/>
      <c r="E7871" s="211"/>
      <c r="U7871" s="222"/>
    </row>
    <row r="7872" spans="2:21" x14ac:dyDescent="0.2">
      <c r="B7872" s="207"/>
      <c r="C7872" s="210"/>
      <c r="D7872" s="211"/>
      <c r="E7872" s="211"/>
      <c r="U7872" s="222"/>
    </row>
    <row r="7873" spans="2:21" x14ac:dyDescent="0.2">
      <c r="B7873" s="207"/>
      <c r="C7873" s="210"/>
      <c r="D7873" s="211"/>
      <c r="E7873" s="211"/>
      <c r="U7873" s="222"/>
    </row>
    <row r="7874" spans="2:21" x14ac:dyDescent="0.2">
      <c r="B7874" s="207"/>
      <c r="C7874" s="210"/>
      <c r="D7874" s="211"/>
      <c r="E7874" s="211"/>
      <c r="U7874" s="222"/>
    </row>
    <row r="7875" spans="2:21" x14ac:dyDescent="0.2">
      <c r="B7875" s="207"/>
      <c r="C7875" s="210"/>
      <c r="D7875" s="211"/>
      <c r="E7875" s="211"/>
      <c r="U7875" s="222"/>
    </row>
    <row r="7876" spans="2:21" x14ac:dyDescent="0.2">
      <c r="B7876" s="207"/>
      <c r="C7876" s="210"/>
      <c r="D7876" s="211"/>
      <c r="E7876" s="211"/>
      <c r="U7876" s="222"/>
    </row>
    <row r="7877" spans="2:21" x14ac:dyDescent="0.2">
      <c r="B7877" s="207"/>
      <c r="C7877" s="210"/>
      <c r="D7877" s="211"/>
      <c r="E7877" s="211"/>
      <c r="U7877" s="222"/>
    </row>
    <row r="7878" spans="2:21" x14ac:dyDescent="0.2">
      <c r="B7878" s="207"/>
      <c r="C7878" s="210"/>
      <c r="D7878" s="211"/>
      <c r="E7878" s="211"/>
      <c r="U7878" s="222"/>
    </row>
    <row r="7879" spans="2:21" x14ac:dyDescent="0.2">
      <c r="B7879" s="207"/>
      <c r="C7879" s="210"/>
      <c r="D7879" s="211"/>
      <c r="E7879" s="211"/>
      <c r="U7879" s="222"/>
    </row>
    <row r="7880" spans="2:21" x14ac:dyDescent="0.2">
      <c r="B7880" s="207"/>
      <c r="C7880" s="210"/>
      <c r="D7880" s="211"/>
      <c r="E7880" s="211"/>
      <c r="U7880" s="222"/>
    </row>
    <row r="7881" spans="2:21" x14ac:dyDescent="0.2">
      <c r="B7881" s="207"/>
      <c r="C7881" s="210"/>
      <c r="D7881" s="211"/>
      <c r="E7881" s="211"/>
      <c r="U7881" s="222"/>
    </row>
    <row r="7882" spans="2:21" x14ac:dyDescent="0.2">
      <c r="B7882" s="207"/>
      <c r="C7882" s="210"/>
      <c r="D7882" s="211"/>
      <c r="E7882" s="211"/>
      <c r="U7882" s="222"/>
    </row>
    <row r="7883" spans="2:21" x14ac:dyDescent="0.2">
      <c r="B7883" s="207"/>
      <c r="C7883" s="210"/>
      <c r="D7883" s="211"/>
      <c r="E7883" s="211"/>
      <c r="U7883" s="222"/>
    </row>
    <row r="7884" spans="2:21" x14ac:dyDescent="0.2">
      <c r="B7884" s="207"/>
      <c r="C7884" s="210"/>
      <c r="D7884" s="211"/>
      <c r="E7884" s="211"/>
      <c r="U7884" s="222"/>
    </row>
    <row r="7885" spans="2:21" x14ac:dyDescent="0.2">
      <c r="B7885" s="207"/>
      <c r="C7885" s="210"/>
      <c r="D7885" s="211"/>
      <c r="E7885" s="211"/>
      <c r="U7885" s="222"/>
    </row>
    <row r="7886" spans="2:21" x14ac:dyDescent="0.2">
      <c r="B7886" s="207"/>
      <c r="C7886" s="210"/>
      <c r="D7886" s="211"/>
      <c r="E7886" s="211"/>
      <c r="U7886" s="222"/>
    </row>
    <row r="7887" spans="2:21" x14ac:dyDescent="0.2">
      <c r="B7887" s="207"/>
      <c r="C7887" s="210"/>
      <c r="D7887" s="211"/>
      <c r="E7887" s="211"/>
      <c r="U7887" s="222"/>
    </row>
    <row r="7888" spans="2:21" x14ac:dyDescent="0.2">
      <c r="B7888" s="207"/>
      <c r="C7888" s="210"/>
      <c r="D7888" s="211"/>
      <c r="E7888" s="211"/>
      <c r="U7888" s="222"/>
    </row>
    <row r="7889" spans="2:21" x14ac:dyDescent="0.2">
      <c r="B7889" s="207"/>
      <c r="C7889" s="210"/>
      <c r="D7889" s="211"/>
      <c r="E7889" s="211"/>
      <c r="U7889" s="222"/>
    </row>
    <row r="7890" spans="2:21" x14ac:dyDescent="0.2">
      <c r="B7890" s="207"/>
      <c r="C7890" s="210"/>
      <c r="D7890" s="211"/>
      <c r="E7890" s="211"/>
      <c r="U7890" s="222"/>
    </row>
    <row r="7891" spans="2:21" x14ac:dyDescent="0.2">
      <c r="B7891" s="207"/>
      <c r="C7891" s="210"/>
      <c r="D7891" s="211"/>
      <c r="E7891" s="211"/>
      <c r="U7891" s="222"/>
    </row>
    <row r="7892" spans="2:21" x14ac:dyDescent="0.2">
      <c r="B7892" s="207"/>
      <c r="C7892" s="210"/>
      <c r="D7892" s="211"/>
      <c r="E7892" s="211"/>
      <c r="U7892" s="222"/>
    </row>
    <row r="7893" spans="2:21" x14ac:dyDescent="0.2">
      <c r="B7893" s="207"/>
      <c r="C7893" s="210"/>
      <c r="D7893" s="211"/>
      <c r="E7893" s="211"/>
      <c r="U7893" s="222"/>
    </row>
    <row r="7894" spans="2:21" x14ac:dyDescent="0.2">
      <c r="B7894" s="207"/>
      <c r="C7894" s="210"/>
      <c r="D7894" s="211"/>
      <c r="E7894" s="211"/>
      <c r="U7894" s="222"/>
    </row>
    <row r="7895" spans="2:21" x14ac:dyDescent="0.2">
      <c r="B7895" s="207"/>
      <c r="C7895" s="210"/>
      <c r="D7895" s="211"/>
      <c r="E7895" s="211"/>
      <c r="U7895" s="222"/>
    </row>
    <row r="7896" spans="2:21" x14ac:dyDescent="0.2">
      <c r="B7896" s="207"/>
      <c r="C7896" s="210"/>
      <c r="D7896" s="211"/>
      <c r="E7896" s="211"/>
      <c r="U7896" s="222"/>
    </row>
    <row r="7897" spans="2:21" x14ac:dyDescent="0.2">
      <c r="B7897" s="207"/>
      <c r="C7897" s="210"/>
      <c r="D7897" s="211"/>
      <c r="E7897" s="211"/>
      <c r="U7897" s="222"/>
    </row>
    <row r="7898" spans="2:21" x14ac:dyDescent="0.2">
      <c r="B7898" s="207"/>
      <c r="C7898" s="210"/>
      <c r="D7898" s="211"/>
      <c r="E7898" s="211"/>
      <c r="U7898" s="222"/>
    </row>
    <row r="7899" spans="2:21" x14ac:dyDescent="0.2">
      <c r="B7899" s="207"/>
      <c r="C7899" s="210"/>
      <c r="D7899" s="211"/>
      <c r="E7899" s="211"/>
      <c r="U7899" s="222"/>
    </row>
    <row r="7900" spans="2:21" x14ac:dyDescent="0.2">
      <c r="B7900" s="207"/>
      <c r="C7900" s="210"/>
      <c r="D7900" s="211"/>
      <c r="E7900" s="211"/>
      <c r="U7900" s="222"/>
    </row>
    <row r="7901" spans="2:21" x14ac:dyDescent="0.2">
      <c r="B7901" s="207"/>
      <c r="C7901" s="210"/>
      <c r="D7901" s="211"/>
      <c r="E7901" s="211"/>
      <c r="U7901" s="222"/>
    </row>
    <row r="7902" spans="2:21" x14ac:dyDescent="0.2">
      <c r="B7902" s="207"/>
      <c r="C7902" s="210"/>
      <c r="D7902" s="211"/>
      <c r="E7902" s="211"/>
      <c r="U7902" s="222"/>
    </row>
    <row r="7903" spans="2:21" x14ac:dyDescent="0.2">
      <c r="B7903" s="207"/>
      <c r="C7903" s="210"/>
      <c r="D7903" s="211"/>
      <c r="E7903" s="211"/>
      <c r="U7903" s="222"/>
    </row>
    <row r="7904" spans="2:21" x14ac:dyDescent="0.2">
      <c r="B7904" s="207"/>
      <c r="C7904" s="210"/>
      <c r="D7904" s="211"/>
      <c r="E7904" s="211"/>
      <c r="U7904" s="222"/>
    </row>
    <row r="7905" spans="2:21" x14ac:dyDescent="0.2">
      <c r="B7905" s="207"/>
      <c r="C7905" s="210"/>
      <c r="D7905" s="211"/>
      <c r="E7905" s="211"/>
      <c r="U7905" s="222"/>
    </row>
    <row r="7906" spans="2:21" x14ac:dyDescent="0.2">
      <c r="B7906" s="207"/>
      <c r="C7906" s="210"/>
      <c r="D7906" s="211"/>
      <c r="E7906" s="211"/>
      <c r="U7906" s="222"/>
    </row>
    <row r="7907" spans="2:21" x14ac:dyDescent="0.2">
      <c r="B7907" s="207"/>
      <c r="C7907" s="210"/>
      <c r="D7907" s="211"/>
      <c r="E7907" s="211"/>
      <c r="U7907" s="222"/>
    </row>
    <row r="7908" spans="2:21" x14ac:dyDescent="0.2">
      <c r="B7908" s="207"/>
      <c r="C7908" s="210"/>
      <c r="D7908" s="211"/>
      <c r="E7908" s="211"/>
      <c r="U7908" s="222"/>
    </row>
    <row r="7909" spans="2:21" x14ac:dyDescent="0.2">
      <c r="B7909" s="207"/>
      <c r="C7909" s="210"/>
      <c r="D7909" s="211"/>
      <c r="E7909" s="211"/>
      <c r="U7909" s="222"/>
    </row>
    <row r="7910" spans="2:21" x14ac:dyDescent="0.2">
      <c r="B7910" s="207"/>
      <c r="C7910" s="210"/>
      <c r="D7910" s="211"/>
      <c r="E7910" s="211"/>
      <c r="U7910" s="222"/>
    </row>
    <row r="7911" spans="2:21" x14ac:dyDescent="0.2">
      <c r="B7911" s="207"/>
      <c r="C7911" s="210"/>
      <c r="D7911" s="211"/>
      <c r="E7911" s="211"/>
      <c r="U7911" s="222"/>
    </row>
    <row r="7912" spans="2:21" x14ac:dyDescent="0.2">
      <c r="B7912" s="207"/>
      <c r="C7912" s="210"/>
      <c r="D7912" s="211"/>
      <c r="E7912" s="211"/>
      <c r="U7912" s="222"/>
    </row>
    <row r="7913" spans="2:21" x14ac:dyDescent="0.2">
      <c r="B7913" s="207"/>
      <c r="C7913" s="210"/>
      <c r="D7913" s="211"/>
      <c r="E7913" s="211"/>
      <c r="U7913" s="222"/>
    </row>
    <row r="7914" spans="2:21" x14ac:dyDescent="0.2">
      <c r="B7914" s="207"/>
      <c r="C7914" s="210"/>
      <c r="D7914" s="211"/>
      <c r="E7914" s="211"/>
      <c r="U7914" s="222"/>
    </row>
    <row r="7915" spans="2:21" x14ac:dyDescent="0.2">
      <c r="B7915" s="207"/>
      <c r="C7915" s="210"/>
      <c r="D7915" s="211"/>
      <c r="E7915" s="211"/>
      <c r="U7915" s="222"/>
    </row>
    <row r="7916" spans="2:21" x14ac:dyDescent="0.2">
      <c r="B7916" s="207"/>
      <c r="C7916" s="210"/>
      <c r="D7916" s="211"/>
      <c r="E7916" s="211"/>
      <c r="U7916" s="222"/>
    </row>
    <row r="7917" spans="2:21" x14ac:dyDescent="0.2">
      <c r="B7917" s="207"/>
      <c r="C7917" s="210"/>
      <c r="D7917" s="211"/>
      <c r="E7917" s="211"/>
      <c r="U7917" s="222"/>
    </row>
    <row r="7918" spans="2:21" x14ac:dyDescent="0.2">
      <c r="B7918" s="207"/>
      <c r="C7918" s="210"/>
      <c r="D7918" s="211"/>
      <c r="E7918" s="211"/>
      <c r="U7918" s="222"/>
    </row>
    <row r="7919" spans="2:21" x14ac:dyDescent="0.2">
      <c r="B7919" s="207"/>
      <c r="C7919" s="210"/>
      <c r="D7919" s="211"/>
      <c r="E7919" s="211"/>
      <c r="U7919" s="222"/>
    </row>
    <row r="7920" spans="2:21" x14ac:dyDescent="0.2">
      <c r="B7920" s="207"/>
      <c r="C7920" s="210"/>
      <c r="D7920" s="211"/>
      <c r="E7920" s="211"/>
      <c r="U7920" s="222"/>
    </row>
    <row r="7921" spans="2:21" x14ac:dyDescent="0.2">
      <c r="B7921" s="207"/>
      <c r="C7921" s="210"/>
      <c r="D7921" s="211"/>
      <c r="E7921" s="211"/>
      <c r="U7921" s="222"/>
    </row>
    <row r="7922" spans="2:21" x14ac:dyDescent="0.2">
      <c r="B7922" s="207"/>
      <c r="C7922" s="210"/>
      <c r="D7922" s="211"/>
      <c r="E7922" s="211"/>
      <c r="U7922" s="222"/>
    </row>
    <row r="7923" spans="2:21" x14ac:dyDescent="0.2">
      <c r="B7923" s="207"/>
      <c r="C7923" s="210"/>
      <c r="D7923" s="211"/>
      <c r="E7923" s="211"/>
      <c r="U7923" s="222"/>
    </row>
    <row r="7924" spans="2:21" x14ac:dyDescent="0.2">
      <c r="B7924" s="207"/>
      <c r="C7924" s="210"/>
      <c r="D7924" s="211"/>
      <c r="E7924" s="211"/>
      <c r="U7924" s="222"/>
    </row>
    <row r="7925" spans="2:21" x14ac:dyDescent="0.2">
      <c r="B7925" s="207"/>
      <c r="C7925" s="210"/>
      <c r="D7925" s="211"/>
      <c r="E7925" s="211"/>
      <c r="U7925" s="222"/>
    </row>
    <row r="7926" spans="2:21" x14ac:dyDescent="0.2">
      <c r="B7926" s="207"/>
      <c r="C7926" s="210"/>
      <c r="D7926" s="211"/>
      <c r="E7926" s="211"/>
      <c r="U7926" s="222"/>
    </row>
    <row r="7927" spans="2:21" x14ac:dyDescent="0.2">
      <c r="B7927" s="207"/>
      <c r="C7927" s="210"/>
      <c r="D7927" s="211"/>
      <c r="E7927" s="211"/>
      <c r="U7927" s="222"/>
    </row>
    <row r="7928" spans="2:21" x14ac:dyDescent="0.2">
      <c r="B7928" s="207"/>
      <c r="C7928" s="210"/>
      <c r="D7928" s="211"/>
      <c r="E7928" s="211"/>
      <c r="U7928" s="222"/>
    </row>
    <row r="7929" spans="2:21" x14ac:dyDescent="0.2">
      <c r="B7929" s="207"/>
      <c r="C7929" s="210"/>
      <c r="D7929" s="211"/>
      <c r="E7929" s="211"/>
      <c r="U7929" s="222"/>
    </row>
    <row r="7930" spans="2:21" x14ac:dyDescent="0.2">
      <c r="B7930" s="207"/>
      <c r="C7930" s="210"/>
      <c r="D7930" s="211"/>
      <c r="E7930" s="211"/>
      <c r="U7930" s="222"/>
    </row>
    <row r="7931" spans="2:21" x14ac:dyDescent="0.2">
      <c r="B7931" s="207"/>
      <c r="C7931" s="210"/>
      <c r="D7931" s="211"/>
      <c r="E7931" s="211"/>
      <c r="U7931" s="222"/>
    </row>
    <row r="7932" spans="2:21" x14ac:dyDescent="0.2">
      <c r="B7932" s="207"/>
      <c r="C7932" s="210"/>
      <c r="D7932" s="211"/>
      <c r="E7932" s="211"/>
      <c r="U7932" s="222"/>
    </row>
    <row r="7933" spans="2:21" x14ac:dyDescent="0.2">
      <c r="B7933" s="207"/>
      <c r="C7933" s="210"/>
      <c r="D7933" s="211"/>
      <c r="E7933" s="211"/>
      <c r="U7933" s="222"/>
    </row>
    <row r="7934" spans="2:21" x14ac:dyDescent="0.2">
      <c r="B7934" s="207"/>
      <c r="C7934" s="210"/>
      <c r="D7934" s="211"/>
      <c r="E7934" s="211"/>
      <c r="U7934" s="222"/>
    </row>
    <row r="7935" spans="2:21" x14ac:dyDescent="0.2">
      <c r="B7935" s="207"/>
      <c r="C7935" s="210"/>
      <c r="D7935" s="211"/>
      <c r="E7935" s="211"/>
      <c r="U7935" s="222"/>
    </row>
    <row r="7936" spans="2:21" x14ac:dyDescent="0.2">
      <c r="B7936" s="207"/>
      <c r="C7936" s="210"/>
      <c r="D7936" s="211"/>
      <c r="E7936" s="211"/>
      <c r="U7936" s="222"/>
    </row>
    <row r="7937" spans="2:21" x14ac:dyDescent="0.2">
      <c r="B7937" s="207"/>
      <c r="C7937" s="210"/>
      <c r="D7937" s="211"/>
      <c r="E7937" s="211"/>
      <c r="U7937" s="222"/>
    </row>
    <row r="7938" spans="2:21" x14ac:dyDescent="0.2">
      <c r="B7938" s="207"/>
      <c r="C7938" s="210"/>
      <c r="D7938" s="211"/>
      <c r="E7938" s="211"/>
      <c r="U7938" s="222"/>
    </row>
    <row r="7939" spans="2:21" x14ac:dyDescent="0.2">
      <c r="B7939" s="207"/>
      <c r="C7939" s="210"/>
      <c r="D7939" s="211"/>
      <c r="E7939" s="211"/>
      <c r="U7939" s="222"/>
    </row>
    <row r="7940" spans="2:21" x14ac:dyDescent="0.2">
      <c r="B7940" s="207"/>
      <c r="C7940" s="210"/>
      <c r="D7940" s="211"/>
      <c r="E7940" s="211"/>
      <c r="U7940" s="222"/>
    </row>
    <row r="7941" spans="2:21" x14ac:dyDescent="0.2">
      <c r="B7941" s="207"/>
      <c r="C7941" s="210"/>
      <c r="D7941" s="211"/>
      <c r="E7941" s="211"/>
      <c r="U7941" s="222"/>
    </row>
    <row r="7942" spans="2:21" x14ac:dyDescent="0.2">
      <c r="B7942" s="207"/>
      <c r="C7942" s="210"/>
      <c r="D7942" s="211"/>
      <c r="E7942" s="211"/>
      <c r="U7942" s="222"/>
    </row>
    <row r="7943" spans="2:21" x14ac:dyDescent="0.2">
      <c r="B7943" s="207"/>
      <c r="C7943" s="210"/>
      <c r="D7943" s="211"/>
      <c r="E7943" s="211"/>
      <c r="U7943" s="222"/>
    </row>
    <row r="7944" spans="2:21" x14ac:dyDescent="0.2">
      <c r="B7944" s="207"/>
      <c r="C7944" s="210"/>
      <c r="D7944" s="211"/>
      <c r="E7944" s="211"/>
      <c r="U7944" s="222"/>
    </row>
    <row r="7945" spans="2:21" x14ac:dyDescent="0.2">
      <c r="B7945" s="207"/>
      <c r="C7945" s="210"/>
      <c r="D7945" s="211"/>
      <c r="E7945" s="211"/>
      <c r="U7945" s="222"/>
    </row>
    <row r="7946" spans="2:21" x14ac:dyDescent="0.2">
      <c r="B7946" s="207"/>
      <c r="C7946" s="210"/>
      <c r="D7946" s="211"/>
      <c r="E7946" s="211"/>
      <c r="U7946" s="222"/>
    </row>
    <row r="7947" spans="2:21" x14ac:dyDescent="0.2">
      <c r="B7947" s="207"/>
      <c r="C7947" s="210"/>
      <c r="D7947" s="211"/>
      <c r="E7947" s="211"/>
      <c r="U7947" s="222"/>
    </row>
    <row r="7948" spans="2:21" x14ac:dyDescent="0.2">
      <c r="B7948" s="207"/>
      <c r="C7948" s="210"/>
      <c r="D7948" s="211"/>
      <c r="E7948" s="211"/>
      <c r="U7948" s="222"/>
    </row>
    <row r="7949" spans="2:21" x14ac:dyDescent="0.2">
      <c r="B7949" s="207"/>
      <c r="C7949" s="210"/>
      <c r="D7949" s="211"/>
      <c r="E7949" s="211"/>
      <c r="U7949" s="222"/>
    </row>
    <row r="7950" spans="2:21" x14ac:dyDescent="0.2">
      <c r="B7950" s="207"/>
      <c r="C7950" s="210"/>
      <c r="D7950" s="211"/>
      <c r="E7950" s="211"/>
      <c r="U7950" s="222"/>
    </row>
    <row r="7951" spans="2:21" x14ac:dyDescent="0.2">
      <c r="B7951" s="207"/>
      <c r="C7951" s="210"/>
      <c r="D7951" s="211"/>
      <c r="E7951" s="211"/>
      <c r="U7951" s="222"/>
    </row>
    <row r="7952" spans="2:21" x14ac:dyDescent="0.2">
      <c r="B7952" s="207"/>
      <c r="C7952" s="210"/>
      <c r="D7952" s="211"/>
      <c r="E7952" s="211"/>
      <c r="U7952" s="222"/>
    </row>
    <row r="7953" spans="2:21" x14ac:dyDescent="0.2">
      <c r="B7953" s="207"/>
      <c r="C7953" s="210"/>
      <c r="D7953" s="211"/>
      <c r="E7953" s="211"/>
      <c r="U7953" s="222"/>
    </row>
    <row r="7954" spans="2:21" x14ac:dyDescent="0.2">
      <c r="B7954" s="207"/>
      <c r="C7954" s="210"/>
      <c r="D7954" s="211"/>
      <c r="E7954" s="211"/>
      <c r="U7954" s="222"/>
    </row>
    <row r="7955" spans="2:21" x14ac:dyDescent="0.2">
      <c r="B7955" s="207"/>
      <c r="C7955" s="210"/>
      <c r="D7955" s="211"/>
      <c r="E7955" s="211"/>
      <c r="U7955" s="222"/>
    </row>
    <row r="7956" spans="2:21" x14ac:dyDescent="0.2">
      <c r="B7956" s="207"/>
      <c r="C7956" s="210"/>
      <c r="D7956" s="211"/>
      <c r="E7956" s="211"/>
      <c r="U7956" s="222"/>
    </row>
    <row r="7957" spans="2:21" x14ac:dyDescent="0.2">
      <c r="B7957" s="207"/>
      <c r="C7957" s="210"/>
      <c r="D7957" s="211"/>
      <c r="E7957" s="211"/>
      <c r="U7957" s="222"/>
    </row>
    <row r="7958" spans="2:21" x14ac:dyDescent="0.2">
      <c r="B7958" s="207"/>
      <c r="C7958" s="210"/>
      <c r="D7958" s="211"/>
      <c r="E7958" s="211"/>
      <c r="U7958" s="222"/>
    </row>
    <row r="7959" spans="2:21" x14ac:dyDescent="0.2">
      <c r="B7959" s="207"/>
      <c r="C7959" s="210"/>
      <c r="D7959" s="211"/>
      <c r="E7959" s="211"/>
      <c r="U7959" s="222"/>
    </row>
    <row r="7960" spans="2:21" x14ac:dyDescent="0.2">
      <c r="B7960" s="207"/>
      <c r="C7960" s="210"/>
      <c r="D7960" s="211"/>
      <c r="E7960" s="211"/>
      <c r="U7960" s="222"/>
    </row>
    <row r="7961" spans="2:21" x14ac:dyDescent="0.2">
      <c r="B7961" s="207"/>
      <c r="C7961" s="210"/>
      <c r="D7961" s="211"/>
      <c r="E7961" s="211"/>
      <c r="U7961" s="222"/>
    </row>
    <row r="7962" spans="2:21" x14ac:dyDescent="0.2">
      <c r="B7962" s="207"/>
      <c r="C7962" s="210"/>
      <c r="D7962" s="211"/>
      <c r="E7962" s="211"/>
      <c r="U7962" s="222"/>
    </row>
    <row r="7963" spans="2:21" x14ac:dyDescent="0.2">
      <c r="B7963" s="207"/>
      <c r="C7963" s="210"/>
      <c r="D7963" s="211"/>
      <c r="E7963" s="211"/>
      <c r="U7963" s="222"/>
    </row>
    <row r="7964" spans="2:21" x14ac:dyDescent="0.2">
      <c r="B7964" s="207"/>
      <c r="C7964" s="210"/>
      <c r="D7964" s="211"/>
      <c r="E7964" s="211"/>
      <c r="U7964" s="222"/>
    </row>
    <row r="7965" spans="2:21" x14ac:dyDescent="0.2">
      <c r="B7965" s="207"/>
      <c r="C7965" s="210"/>
      <c r="D7965" s="211"/>
      <c r="E7965" s="211"/>
      <c r="U7965" s="222"/>
    </row>
    <row r="7966" spans="2:21" x14ac:dyDescent="0.2">
      <c r="B7966" s="207"/>
      <c r="C7966" s="210"/>
      <c r="D7966" s="211"/>
      <c r="E7966" s="211"/>
      <c r="U7966" s="222"/>
    </row>
    <row r="7967" spans="2:21" x14ac:dyDescent="0.2">
      <c r="B7967" s="207"/>
      <c r="C7967" s="210"/>
      <c r="D7967" s="211"/>
      <c r="E7967" s="211"/>
      <c r="U7967" s="222"/>
    </row>
    <row r="7968" spans="2:21" x14ac:dyDescent="0.2">
      <c r="B7968" s="207"/>
      <c r="C7968" s="210"/>
      <c r="D7968" s="211"/>
      <c r="E7968" s="211"/>
      <c r="U7968" s="222"/>
    </row>
    <row r="7969" spans="2:21" x14ac:dyDescent="0.2">
      <c r="B7969" s="207"/>
      <c r="C7969" s="210"/>
      <c r="D7969" s="211"/>
      <c r="E7969" s="211"/>
      <c r="U7969" s="222"/>
    </row>
    <row r="7970" spans="2:21" x14ac:dyDescent="0.2">
      <c r="B7970" s="207"/>
      <c r="C7970" s="210"/>
      <c r="D7970" s="211"/>
      <c r="E7970" s="211"/>
      <c r="U7970" s="222"/>
    </row>
    <row r="7971" spans="2:21" x14ac:dyDescent="0.2">
      <c r="B7971" s="207"/>
      <c r="C7971" s="210"/>
      <c r="D7971" s="211"/>
      <c r="E7971" s="211"/>
      <c r="U7971" s="222"/>
    </row>
    <row r="7972" spans="2:21" x14ac:dyDescent="0.2">
      <c r="B7972" s="207"/>
      <c r="C7972" s="210"/>
      <c r="D7972" s="211"/>
      <c r="E7972" s="211"/>
      <c r="U7972" s="222"/>
    </row>
    <row r="7973" spans="2:21" x14ac:dyDescent="0.2">
      <c r="B7973" s="207"/>
      <c r="C7973" s="210"/>
      <c r="D7973" s="211"/>
      <c r="E7973" s="211"/>
      <c r="U7973" s="222"/>
    </row>
    <row r="7974" spans="2:21" x14ac:dyDescent="0.2">
      <c r="B7974" s="207"/>
      <c r="C7974" s="210"/>
      <c r="D7974" s="211"/>
      <c r="E7974" s="211"/>
      <c r="U7974" s="222"/>
    </row>
    <row r="7975" spans="2:21" x14ac:dyDescent="0.2">
      <c r="B7975" s="207"/>
      <c r="C7975" s="210"/>
      <c r="D7975" s="211"/>
      <c r="E7975" s="211"/>
      <c r="U7975" s="222"/>
    </row>
    <row r="7976" spans="2:21" x14ac:dyDescent="0.2">
      <c r="B7976" s="207"/>
      <c r="C7976" s="210"/>
      <c r="D7976" s="211"/>
      <c r="E7976" s="211"/>
      <c r="U7976" s="222"/>
    </row>
    <row r="7977" spans="2:21" x14ac:dyDescent="0.2">
      <c r="B7977" s="207"/>
      <c r="C7977" s="210"/>
      <c r="D7977" s="211"/>
      <c r="E7977" s="211"/>
      <c r="U7977" s="222"/>
    </row>
    <row r="7978" spans="2:21" x14ac:dyDescent="0.2">
      <c r="B7978" s="207"/>
      <c r="C7978" s="210"/>
      <c r="D7978" s="211"/>
      <c r="E7978" s="211"/>
      <c r="U7978" s="222"/>
    </row>
    <row r="7979" spans="2:21" x14ac:dyDescent="0.2">
      <c r="B7979" s="207"/>
      <c r="C7979" s="210"/>
      <c r="D7979" s="211"/>
      <c r="E7979" s="211"/>
      <c r="U7979" s="222"/>
    </row>
    <row r="7980" spans="2:21" x14ac:dyDescent="0.2">
      <c r="B7980" s="207"/>
      <c r="C7980" s="210"/>
      <c r="D7980" s="211"/>
      <c r="E7980" s="211"/>
      <c r="U7980" s="222"/>
    </row>
    <row r="7981" spans="2:21" x14ac:dyDescent="0.2">
      <c r="B7981" s="207"/>
      <c r="C7981" s="210"/>
      <c r="D7981" s="211"/>
      <c r="E7981" s="211"/>
      <c r="U7981" s="222"/>
    </row>
    <row r="7982" spans="2:21" x14ac:dyDescent="0.2">
      <c r="B7982" s="207"/>
      <c r="C7982" s="210"/>
      <c r="D7982" s="211"/>
      <c r="E7982" s="211"/>
      <c r="U7982" s="222"/>
    </row>
    <row r="7983" spans="2:21" x14ac:dyDescent="0.2">
      <c r="B7983" s="207"/>
      <c r="C7983" s="210"/>
      <c r="D7983" s="211"/>
      <c r="E7983" s="211"/>
      <c r="U7983" s="222"/>
    </row>
    <row r="7984" spans="2:21" x14ac:dyDescent="0.2">
      <c r="B7984" s="207"/>
      <c r="C7984" s="210"/>
      <c r="D7984" s="211"/>
      <c r="E7984" s="211"/>
      <c r="U7984" s="222"/>
    </row>
    <row r="7985" spans="2:21" x14ac:dyDescent="0.2">
      <c r="B7985" s="207"/>
      <c r="C7985" s="210"/>
      <c r="D7985" s="211"/>
      <c r="E7985" s="211"/>
      <c r="U7985" s="222"/>
    </row>
    <row r="7986" spans="2:21" x14ac:dyDescent="0.2">
      <c r="B7986" s="207"/>
      <c r="C7986" s="210"/>
      <c r="D7986" s="211"/>
      <c r="E7986" s="211"/>
      <c r="U7986" s="222"/>
    </row>
    <row r="7987" spans="2:21" x14ac:dyDescent="0.2">
      <c r="B7987" s="207"/>
      <c r="C7987" s="210"/>
      <c r="D7987" s="211"/>
      <c r="E7987" s="211"/>
      <c r="U7987" s="222"/>
    </row>
    <row r="7988" spans="2:21" x14ac:dyDescent="0.2">
      <c r="B7988" s="207"/>
      <c r="C7988" s="210"/>
      <c r="D7988" s="211"/>
      <c r="E7988" s="211"/>
      <c r="U7988" s="222"/>
    </row>
    <row r="7989" spans="2:21" x14ac:dyDescent="0.2">
      <c r="B7989" s="207"/>
      <c r="C7989" s="210"/>
      <c r="D7989" s="211"/>
      <c r="E7989" s="211"/>
      <c r="U7989" s="222"/>
    </row>
    <row r="7990" spans="2:21" x14ac:dyDescent="0.2">
      <c r="B7990" s="207"/>
      <c r="C7990" s="210"/>
      <c r="D7990" s="211"/>
      <c r="E7990" s="211"/>
      <c r="U7990" s="222"/>
    </row>
    <row r="7991" spans="2:21" x14ac:dyDescent="0.2">
      <c r="B7991" s="207"/>
      <c r="C7991" s="210"/>
      <c r="D7991" s="211"/>
      <c r="E7991" s="211"/>
      <c r="U7991" s="222"/>
    </row>
    <row r="7992" spans="2:21" x14ac:dyDescent="0.2">
      <c r="B7992" s="207"/>
      <c r="C7992" s="210"/>
      <c r="D7992" s="211"/>
      <c r="E7992" s="211"/>
      <c r="U7992" s="222"/>
    </row>
    <row r="7993" spans="2:21" x14ac:dyDescent="0.2">
      <c r="B7993" s="207"/>
      <c r="C7993" s="210"/>
      <c r="D7993" s="211"/>
      <c r="E7993" s="211"/>
      <c r="U7993" s="222"/>
    </row>
    <row r="7994" spans="2:21" x14ac:dyDescent="0.2">
      <c r="B7994" s="207"/>
      <c r="C7994" s="210"/>
      <c r="D7994" s="211"/>
      <c r="E7994" s="211"/>
      <c r="U7994" s="222"/>
    </row>
    <row r="7995" spans="2:21" x14ac:dyDescent="0.2">
      <c r="B7995" s="207"/>
      <c r="C7995" s="210"/>
      <c r="D7995" s="211"/>
      <c r="E7995" s="211"/>
      <c r="U7995" s="222"/>
    </row>
    <row r="7996" spans="2:21" x14ac:dyDescent="0.2">
      <c r="B7996" s="207"/>
      <c r="C7996" s="210"/>
      <c r="D7996" s="211"/>
      <c r="E7996" s="211"/>
      <c r="U7996" s="222"/>
    </row>
    <row r="7997" spans="2:21" x14ac:dyDescent="0.2">
      <c r="B7997" s="207"/>
      <c r="C7997" s="210"/>
      <c r="D7997" s="211"/>
      <c r="E7997" s="211"/>
      <c r="U7997" s="222"/>
    </row>
    <row r="7998" spans="2:21" x14ac:dyDescent="0.2">
      <c r="B7998" s="207"/>
      <c r="C7998" s="210"/>
      <c r="D7998" s="211"/>
      <c r="E7998" s="211"/>
      <c r="U7998" s="222"/>
    </row>
    <row r="7999" spans="2:21" x14ac:dyDescent="0.2">
      <c r="B7999" s="207"/>
      <c r="C7999" s="210"/>
      <c r="D7999" s="211"/>
      <c r="E7999" s="211"/>
      <c r="U7999" s="222"/>
    </row>
    <row r="8000" spans="2:21" x14ac:dyDescent="0.2">
      <c r="B8000" s="207"/>
      <c r="C8000" s="210"/>
      <c r="D8000" s="211"/>
      <c r="E8000" s="211"/>
      <c r="U8000" s="222"/>
    </row>
    <row r="8001" spans="2:21" x14ac:dyDescent="0.2">
      <c r="B8001" s="207"/>
      <c r="C8001" s="210"/>
      <c r="D8001" s="211"/>
      <c r="E8001" s="211"/>
      <c r="U8001" s="222"/>
    </row>
    <row r="8002" spans="2:21" x14ac:dyDescent="0.2">
      <c r="B8002" s="207"/>
      <c r="C8002" s="210"/>
      <c r="D8002" s="211"/>
      <c r="E8002" s="211"/>
      <c r="U8002" s="222"/>
    </row>
    <row r="8003" spans="2:21" x14ac:dyDescent="0.2">
      <c r="B8003" s="207"/>
      <c r="C8003" s="210"/>
      <c r="D8003" s="211"/>
      <c r="E8003" s="211"/>
      <c r="U8003" s="222"/>
    </row>
    <row r="8004" spans="2:21" x14ac:dyDescent="0.2">
      <c r="B8004" s="207"/>
      <c r="C8004" s="210"/>
      <c r="D8004" s="211"/>
      <c r="E8004" s="211"/>
      <c r="U8004" s="222"/>
    </row>
    <row r="8005" spans="2:21" x14ac:dyDescent="0.2">
      <c r="B8005" s="207"/>
      <c r="C8005" s="210"/>
      <c r="D8005" s="211"/>
      <c r="E8005" s="211"/>
      <c r="U8005" s="222"/>
    </row>
    <row r="8006" spans="2:21" x14ac:dyDescent="0.2">
      <c r="B8006" s="207"/>
      <c r="C8006" s="210"/>
      <c r="D8006" s="211"/>
      <c r="E8006" s="211"/>
      <c r="U8006" s="222"/>
    </row>
    <row r="8007" spans="2:21" x14ac:dyDescent="0.2">
      <c r="B8007" s="207"/>
      <c r="C8007" s="210"/>
      <c r="D8007" s="211"/>
      <c r="E8007" s="211"/>
      <c r="U8007" s="222"/>
    </row>
    <row r="8008" spans="2:21" x14ac:dyDescent="0.2">
      <c r="B8008" s="207"/>
      <c r="C8008" s="210"/>
      <c r="D8008" s="211"/>
      <c r="E8008" s="211"/>
      <c r="U8008" s="222"/>
    </row>
    <row r="8009" spans="2:21" x14ac:dyDescent="0.2">
      <c r="B8009" s="207"/>
      <c r="C8009" s="210"/>
      <c r="D8009" s="211"/>
      <c r="E8009" s="211"/>
      <c r="U8009" s="222"/>
    </row>
    <row r="8010" spans="2:21" x14ac:dyDescent="0.2">
      <c r="B8010" s="207"/>
      <c r="C8010" s="210"/>
      <c r="D8010" s="211"/>
      <c r="E8010" s="211"/>
      <c r="U8010" s="222"/>
    </row>
    <row r="8011" spans="2:21" x14ac:dyDescent="0.2">
      <c r="B8011" s="207"/>
      <c r="C8011" s="210"/>
      <c r="D8011" s="211"/>
      <c r="E8011" s="211"/>
      <c r="U8011" s="222"/>
    </row>
    <row r="8012" spans="2:21" x14ac:dyDescent="0.2">
      <c r="B8012" s="207"/>
      <c r="C8012" s="210"/>
      <c r="D8012" s="211"/>
      <c r="E8012" s="211"/>
      <c r="U8012" s="222"/>
    </row>
    <row r="8013" spans="2:21" x14ac:dyDescent="0.2">
      <c r="B8013" s="207"/>
      <c r="C8013" s="210"/>
      <c r="D8013" s="211"/>
      <c r="E8013" s="211"/>
      <c r="U8013" s="222"/>
    </row>
    <row r="8014" spans="2:21" x14ac:dyDescent="0.2">
      <c r="B8014" s="207"/>
      <c r="C8014" s="210"/>
      <c r="D8014" s="211"/>
      <c r="E8014" s="211"/>
      <c r="U8014" s="222"/>
    </row>
    <row r="8015" spans="2:21" x14ac:dyDescent="0.2">
      <c r="B8015" s="207"/>
      <c r="C8015" s="210"/>
      <c r="D8015" s="211"/>
      <c r="E8015" s="211"/>
      <c r="U8015" s="222"/>
    </row>
    <row r="8016" spans="2:21" x14ac:dyDescent="0.2">
      <c r="B8016" s="207"/>
      <c r="C8016" s="210"/>
      <c r="D8016" s="211"/>
      <c r="E8016" s="211"/>
      <c r="U8016" s="222"/>
    </row>
    <row r="8017" spans="2:21" x14ac:dyDescent="0.2">
      <c r="B8017" s="207"/>
      <c r="C8017" s="210"/>
      <c r="D8017" s="211"/>
      <c r="E8017" s="211"/>
      <c r="U8017" s="222"/>
    </row>
    <row r="8018" spans="2:21" x14ac:dyDescent="0.2">
      <c r="B8018" s="207"/>
      <c r="C8018" s="210"/>
      <c r="D8018" s="211"/>
      <c r="E8018" s="211"/>
      <c r="U8018" s="222"/>
    </row>
    <row r="8019" spans="2:21" x14ac:dyDescent="0.2">
      <c r="B8019" s="207"/>
      <c r="C8019" s="210"/>
      <c r="D8019" s="211"/>
      <c r="E8019" s="211"/>
      <c r="U8019" s="222"/>
    </row>
    <row r="8020" spans="2:21" x14ac:dyDescent="0.2">
      <c r="B8020" s="207"/>
      <c r="C8020" s="210"/>
      <c r="D8020" s="211"/>
      <c r="E8020" s="211"/>
      <c r="U8020" s="222"/>
    </row>
    <row r="8021" spans="2:21" x14ac:dyDescent="0.2">
      <c r="B8021" s="207"/>
      <c r="C8021" s="210"/>
      <c r="D8021" s="211"/>
      <c r="E8021" s="211"/>
      <c r="U8021" s="222"/>
    </row>
    <row r="8022" spans="2:21" x14ac:dyDescent="0.2">
      <c r="B8022" s="207"/>
      <c r="C8022" s="210"/>
      <c r="D8022" s="211"/>
      <c r="E8022" s="211"/>
      <c r="U8022" s="222"/>
    </row>
    <row r="8023" spans="2:21" x14ac:dyDescent="0.2">
      <c r="B8023" s="207"/>
      <c r="C8023" s="210"/>
      <c r="D8023" s="211"/>
      <c r="E8023" s="211"/>
      <c r="U8023" s="222"/>
    </row>
    <row r="8024" spans="2:21" x14ac:dyDescent="0.2">
      <c r="B8024" s="207"/>
      <c r="C8024" s="210"/>
      <c r="D8024" s="211"/>
      <c r="E8024" s="211"/>
      <c r="U8024" s="222"/>
    </row>
    <row r="8025" spans="2:21" x14ac:dyDescent="0.2">
      <c r="B8025" s="207"/>
      <c r="C8025" s="210"/>
      <c r="D8025" s="211"/>
      <c r="E8025" s="211"/>
      <c r="U8025" s="222"/>
    </row>
    <row r="8026" spans="2:21" x14ac:dyDescent="0.2">
      <c r="B8026" s="207"/>
      <c r="C8026" s="210"/>
      <c r="D8026" s="211"/>
      <c r="E8026" s="211"/>
      <c r="U8026" s="222"/>
    </row>
    <row r="8027" spans="2:21" x14ac:dyDescent="0.2">
      <c r="B8027" s="207"/>
      <c r="C8027" s="210"/>
      <c r="D8027" s="211"/>
      <c r="E8027" s="211"/>
      <c r="U8027" s="222"/>
    </row>
    <row r="8028" spans="2:21" x14ac:dyDescent="0.2">
      <c r="B8028" s="207"/>
      <c r="C8028" s="210"/>
      <c r="D8028" s="211"/>
      <c r="E8028" s="211"/>
      <c r="U8028" s="222"/>
    </row>
    <row r="8029" spans="2:21" x14ac:dyDescent="0.2">
      <c r="B8029" s="207"/>
      <c r="C8029" s="210"/>
      <c r="D8029" s="211"/>
      <c r="E8029" s="211"/>
      <c r="U8029" s="222"/>
    </row>
    <row r="8030" spans="2:21" x14ac:dyDescent="0.2">
      <c r="B8030" s="207"/>
      <c r="C8030" s="210"/>
      <c r="D8030" s="211"/>
      <c r="E8030" s="211"/>
      <c r="U8030" s="222"/>
    </row>
    <row r="8031" spans="2:21" x14ac:dyDescent="0.2">
      <c r="B8031" s="207"/>
      <c r="C8031" s="210"/>
      <c r="D8031" s="211"/>
      <c r="E8031" s="211"/>
      <c r="U8031" s="222"/>
    </row>
    <row r="8032" spans="2:21" x14ac:dyDescent="0.2">
      <c r="B8032" s="207"/>
      <c r="C8032" s="210"/>
      <c r="D8032" s="211"/>
      <c r="E8032" s="211"/>
      <c r="U8032" s="222"/>
    </row>
    <row r="8033" spans="2:21" x14ac:dyDescent="0.2">
      <c r="B8033" s="207"/>
      <c r="C8033" s="210"/>
      <c r="D8033" s="211"/>
      <c r="E8033" s="211"/>
      <c r="U8033" s="222"/>
    </row>
    <row r="8034" spans="2:21" x14ac:dyDescent="0.2">
      <c r="B8034" s="207"/>
      <c r="C8034" s="210"/>
      <c r="D8034" s="211"/>
      <c r="E8034" s="211"/>
      <c r="U8034" s="222"/>
    </row>
    <row r="8035" spans="2:21" x14ac:dyDescent="0.2">
      <c r="B8035" s="207"/>
      <c r="C8035" s="210"/>
      <c r="D8035" s="211"/>
      <c r="E8035" s="211"/>
      <c r="U8035" s="222"/>
    </row>
    <row r="8036" spans="2:21" x14ac:dyDescent="0.2">
      <c r="B8036" s="207"/>
      <c r="C8036" s="210"/>
      <c r="D8036" s="211"/>
      <c r="E8036" s="211"/>
      <c r="U8036" s="222"/>
    </row>
    <row r="8037" spans="2:21" x14ac:dyDescent="0.2">
      <c r="B8037" s="207"/>
      <c r="C8037" s="210"/>
      <c r="D8037" s="211"/>
      <c r="E8037" s="211"/>
      <c r="U8037" s="222"/>
    </row>
    <row r="8038" spans="2:21" x14ac:dyDescent="0.2">
      <c r="B8038" s="207"/>
      <c r="C8038" s="210"/>
      <c r="D8038" s="211"/>
      <c r="E8038" s="211"/>
      <c r="U8038" s="222"/>
    </row>
    <row r="8039" spans="2:21" x14ac:dyDescent="0.2">
      <c r="B8039" s="207"/>
      <c r="C8039" s="210"/>
      <c r="D8039" s="211"/>
      <c r="E8039" s="211"/>
      <c r="U8039" s="222"/>
    </row>
    <row r="8040" spans="2:21" x14ac:dyDescent="0.2">
      <c r="B8040" s="207"/>
      <c r="C8040" s="210"/>
      <c r="D8040" s="211"/>
      <c r="E8040" s="211"/>
      <c r="U8040" s="222"/>
    </row>
    <row r="8041" spans="2:21" x14ac:dyDescent="0.2">
      <c r="B8041" s="207"/>
      <c r="C8041" s="210"/>
      <c r="D8041" s="211"/>
      <c r="E8041" s="211"/>
      <c r="U8041" s="222"/>
    </row>
    <row r="8042" spans="2:21" x14ac:dyDescent="0.2">
      <c r="B8042" s="207"/>
      <c r="C8042" s="210"/>
      <c r="D8042" s="211"/>
      <c r="E8042" s="211"/>
      <c r="U8042" s="222"/>
    </row>
    <row r="8043" spans="2:21" x14ac:dyDescent="0.2">
      <c r="B8043" s="207"/>
      <c r="C8043" s="210"/>
      <c r="D8043" s="211"/>
      <c r="E8043" s="211"/>
      <c r="U8043" s="222"/>
    </row>
    <row r="8044" spans="2:21" x14ac:dyDescent="0.2">
      <c r="B8044" s="207"/>
      <c r="C8044" s="210"/>
      <c r="D8044" s="211"/>
      <c r="E8044" s="211"/>
      <c r="U8044" s="222"/>
    </row>
    <row r="8045" spans="2:21" x14ac:dyDescent="0.2">
      <c r="B8045" s="207"/>
      <c r="C8045" s="210"/>
      <c r="D8045" s="211"/>
      <c r="E8045" s="211"/>
      <c r="U8045" s="222"/>
    </row>
    <row r="8046" spans="2:21" x14ac:dyDescent="0.2">
      <c r="B8046" s="207"/>
      <c r="C8046" s="210"/>
      <c r="D8046" s="211"/>
      <c r="E8046" s="211"/>
      <c r="U8046" s="222"/>
    </row>
    <row r="8047" spans="2:21" x14ac:dyDescent="0.2">
      <c r="B8047" s="207"/>
      <c r="C8047" s="210"/>
      <c r="D8047" s="211"/>
      <c r="E8047" s="211"/>
      <c r="U8047" s="222"/>
    </row>
    <row r="8048" spans="2:21" x14ac:dyDescent="0.2">
      <c r="B8048" s="207"/>
      <c r="C8048" s="210"/>
      <c r="D8048" s="211"/>
      <c r="E8048" s="211"/>
      <c r="U8048" s="222"/>
    </row>
    <row r="8049" spans="2:21" x14ac:dyDescent="0.2">
      <c r="B8049" s="207"/>
      <c r="C8049" s="210"/>
      <c r="D8049" s="211"/>
      <c r="E8049" s="211"/>
      <c r="U8049" s="222"/>
    </row>
    <row r="8050" spans="2:21" x14ac:dyDescent="0.2">
      <c r="B8050" s="207"/>
      <c r="C8050" s="210"/>
      <c r="D8050" s="211"/>
      <c r="E8050" s="211"/>
      <c r="U8050" s="222"/>
    </row>
    <row r="8051" spans="2:21" x14ac:dyDescent="0.2">
      <c r="B8051" s="207"/>
      <c r="C8051" s="210"/>
      <c r="D8051" s="211"/>
      <c r="E8051" s="211"/>
      <c r="U8051" s="222"/>
    </row>
    <row r="8052" spans="2:21" x14ac:dyDescent="0.2">
      <c r="B8052" s="207"/>
      <c r="C8052" s="210"/>
      <c r="D8052" s="211"/>
      <c r="E8052" s="211"/>
      <c r="U8052" s="222"/>
    </row>
    <row r="8053" spans="2:21" x14ac:dyDescent="0.2">
      <c r="B8053" s="207"/>
      <c r="C8053" s="210"/>
      <c r="D8053" s="211"/>
      <c r="E8053" s="211"/>
      <c r="U8053" s="222"/>
    </row>
    <row r="8054" spans="2:21" x14ac:dyDescent="0.2">
      <c r="B8054" s="207"/>
      <c r="C8054" s="210"/>
      <c r="D8054" s="211"/>
      <c r="E8054" s="211"/>
      <c r="U8054" s="222"/>
    </row>
    <row r="8055" spans="2:21" x14ac:dyDescent="0.2">
      <c r="B8055" s="207"/>
      <c r="C8055" s="210"/>
      <c r="D8055" s="211"/>
      <c r="E8055" s="211"/>
      <c r="U8055" s="222"/>
    </row>
    <row r="8056" spans="2:21" x14ac:dyDescent="0.2">
      <c r="B8056" s="207"/>
      <c r="C8056" s="210"/>
      <c r="D8056" s="211"/>
      <c r="E8056" s="211"/>
      <c r="U8056" s="222"/>
    </row>
    <row r="8057" spans="2:21" x14ac:dyDescent="0.2">
      <c r="B8057" s="207"/>
      <c r="C8057" s="210"/>
      <c r="D8057" s="211"/>
      <c r="E8057" s="211"/>
      <c r="U8057" s="222"/>
    </row>
    <row r="8058" spans="2:21" x14ac:dyDescent="0.2">
      <c r="B8058" s="207"/>
      <c r="C8058" s="210"/>
      <c r="D8058" s="211"/>
      <c r="E8058" s="211"/>
      <c r="U8058" s="222"/>
    </row>
    <row r="8059" spans="2:21" x14ac:dyDescent="0.2">
      <c r="B8059" s="207"/>
      <c r="C8059" s="210"/>
      <c r="D8059" s="211"/>
      <c r="E8059" s="211"/>
      <c r="U8059" s="222"/>
    </row>
    <row r="8060" spans="2:21" x14ac:dyDescent="0.2">
      <c r="B8060" s="207"/>
      <c r="C8060" s="210"/>
      <c r="D8060" s="211"/>
      <c r="E8060" s="211"/>
      <c r="U8060" s="222"/>
    </row>
    <row r="8061" spans="2:21" x14ac:dyDescent="0.2">
      <c r="B8061" s="207"/>
      <c r="C8061" s="210"/>
      <c r="D8061" s="211"/>
      <c r="E8061" s="211"/>
      <c r="U8061" s="222"/>
    </row>
    <row r="8062" spans="2:21" x14ac:dyDescent="0.2">
      <c r="B8062" s="207"/>
      <c r="C8062" s="210"/>
      <c r="D8062" s="211"/>
      <c r="E8062" s="211"/>
      <c r="U8062" s="222"/>
    </row>
    <row r="8063" spans="2:21" x14ac:dyDescent="0.2">
      <c r="B8063" s="207"/>
      <c r="C8063" s="210"/>
      <c r="D8063" s="211"/>
      <c r="E8063" s="211"/>
      <c r="U8063" s="222"/>
    </row>
    <row r="8064" spans="2:21" x14ac:dyDescent="0.2">
      <c r="B8064" s="207"/>
      <c r="C8064" s="210"/>
      <c r="D8064" s="211"/>
      <c r="E8064" s="211"/>
      <c r="U8064" s="222"/>
    </row>
    <row r="8065" spans="2:21" x14ac:dyDescent="0.2">
      <c r="B8065" s="207"/>
      <c r="C8065" s="210"/>
      <c r="D8065" s="211"/>
      <c r="E8065" s="211"/>
      <c r="U8065" s="222"/>
    </row>
    <row r="8066" spans="2:21" x14ac:dyDescent="0.2">
      <c r="B8066" s="207"/>
      <c r="C8066" s="210"/>
      <c r="D8066" s="211"/>
      <c r="E8066" s="211"/>
      <c r="U8066" s="222"/>
    </row>
    <row r="8067" spans="2:21" x14ac:dyDescent="0.2">
      <c r="B8067" s="207"/>
      <c r="C8067" s="210"/>
      <c r="D8067" s="211"/>
      <c r="E8067" s="211"/>
      <c r="U8067" s="222"/>
    </row>
    <row r="8068" spans="2:21" x14ac:dyDescent="0.2">
      <c r="B8068" s="207"/>
      <c r="C8068" s="210"/>
      <c r="D8068" s="211"/>
      <c r="E8068" s="211"/>
      <c r="U8068" s="222"/>
    </row>
    <row r="8069" spans="2:21" x14ac:dyDescent="0.2">
      <c r="B8069" s="207"/>
      <c r="C8069" s="210"/>
      <c r="D8069" s="211"/>
      <c r="E8069" s="211"/>
      <c r="U8069" s="222"/>
    </row>
    <row r="8070" spans="2:21" x14ac:dyDescent="0.2">
      <c r="B8070" s="207"/>
      <c r="C8070" s="210"/>
      <c r="D8070" s="211"/>
      <c r="E8070" s="211"/>
      <c r="U8070" s="222"/>
    </row>
    <row r="8071" spans="2:21" x14ac:dyDescent="0.2">
      <c r="B8071" s="207"/>
      <c r="C8071" s="210"/>
      <c r="D8071" s="211"/>
      <c r="E8071" s="211"/>
      <c r="U8071" s="222"/>
    </row>
    <row r="8072" spans="2:21" x14ac:dyDescent="0.2">
      <c r="B8072" s="207"/>
      <c r="C8072" s="210"/>
      <c r="D8072" s="211"/>
      <c r="E8072" s="211"/>
      <c r="U8072" s="222"/>
    </row>
    <row r="8073" spans="2:21" x14ac:dyDescent="0.2">
      <c r="B8073" s="207"/>
      <c r="C8073" s="210"/>
      <c r="D8073" s="211"/>
      <c r="E8073" s="211"/>
      <c r="U8073" s="222"/>
    </row>
    <row r="8074" spans="2:21" x14ac:dyDescent="0.2">
      <c r="B8074" s="207"/>
      <c r="C8074" s="210"/>
      <c r="D8074" s="211"/>
      <c r="E8074" s="211"/>
      <c r="U8074" s="222"/>
    </row>
    <row r="8075" spans="2:21" x14ac:dyDescent="0.2">
      <c r="B8075" s="207"/>
      <c r="C8075" s="210"/>
      <c r="D8075" s="211"/>
      <c r="E8075" s="211"/>
      <c r="U8075" s="222"/>
    </row>
    <row r="8076" spans="2:21" x14ac:dyDescent="0.2">
      <c r="B8076" s="207"/>
      <c r="C8076" s="210"/>
      <c r="D8076" s="211"/>
      <c r="E8076" s="211"/>
      <c r="U8076" s="222"/>
    </row>
    <row r="8077" spans="2:21" x14ac:dyDescent="0.2">
      <c r="B8077" s="207"/>
      <c r="C8077" s="210"/>
      <c r="D8077" s="211"/>
      <c r="E8077" s="211"/>
      <c r="U8077" s="222"/>
    </row>
    <row r="8078" spans="2:21" x14ac:dyDescent="0.2">
      <c r="B8078" s="207"/>
      <c r="C8078" s="210"/>
      <c r="D8078" s="211"/>
      <c r="E8078" s="211"/>
      <c r="U8078" s="222"/>
    </row>
    <row r="8079" spans="2:21" x14ac:dyDescent="0.2">
      <c r="B8079" s="207"/>
      <c r="C8079" s="210"/>
      <c r="D8079" s="211"/>
      <c r="E8079" s="211"/>
      <c r="U8079" s="222"/>
    </row>
    <row r="8080" spans="2:21" x14ac:dyDescent="0.2">
      <c r="B8080" s="207"/>
      <c r="C8080" s="210"/>
      <c r="D8080" s="211"/>
      <c r="E8080" s="211"/>
      <c r="U8080" s="222"/>
    </row>
    <row r="8081" spans="2:21" x14ac:dyDescent="0.2">
      <c r="B8081" s="207"/>
      <c r="C8081" s="210"/>
      <c r="D8081" s="211"/>
      <c r="E8081" s="211"/>
      <c r="U8081" s="222"/>
    </row>
    <row r="8082" spans="2:21" x14ac:dyDescent="0.2">
      <c r="B8082" s="207"/>
      <c r="C8082" s="210"/>
      <c r="D8082" s="211"/>
      <c r="E8082" s="211"/>
      <c r="U8082" s="222"/>
    </row>
    <row r="8083" spans="2:21" x14ac:dyDescent="0.2">
      <c r="B8083" s="207"/>
      <c r="C8083" s="210"/>
      <c r="D8083" s="211"/>
      <c r="E8083" s="211"/>
      <c r="U8083" s="222"/>
    </row>
    <row r="8084" spans="2:21" x14ac:dyDescent="0.2">
      <c r="B8084" s="207"/>
      <c r="C8084" s="210"/>
      <c r="D8084" s="211"/>
      <c r="E8084" s="211"/>
      <c r="U8084" s="222"/>
    </row>
    <row r="8085" spans="2:21" x14ac:dyDescent="0.2">
      <c r="B8085" s="207"/>
      <c r="C8085" s="210"/>
      <c r="D8085" s="211"/>
      <c r="E8085" s="211"/>
      <c r="U8085" s="222"/>
    </row>
    <row r="8086" spans="2:21" x14ac:dyDescent="0.2">
      <c r="B8086" s="207"/>
      <c r="C8086" s="210"/>
      <c r="D8086" s="211"/>
      <c r="E8086" s="211"/>
      <c r="U8086" s="222"/>
    </row>
    <row r="8087" spans="2:21" x14ac:dyDescent="0.2">
      <c r="B8087" s="207"/>
      <c r="C8087" s="210"/>
      <c r="D8087" s="211"/>
      <c r="E8087" s="211"/>
      <c r="U8087" s="222"/>
    </row>
    <row r="8088" spans="2:21" x14ac:dyDescent="0.2">
      <c r="B8088" s="207"/>
      <c r="C8088" s="210"/>
      <c r="D8088" s="211"/>
      <c r="E8088" s="211"/>
      <c r="U8088" s="222"/>
    </row>
    <row r="8089" spans="2:21" x14ac:dyDescent="0.2">
      <c r="B8089" s="207"/>
      <c r="C8089" s="210"/>
      <c r="D8089" s="211"/>
      <c r="E8089" s="211"/>
      <c r="U8089" s="222"/>
    </row>
    <row r="8090" spans="2:21" x14ac:dyDescent="0.2">
      <c r="B8090" s="207"/>
      <c r="C8090" s="210"/>
      <c r="D8090" s="211"/>
      <c r="E8090" s="211"/>
      <c r="U8090" s="222"/>
    </row>
    <row r="8091" spans="2:21" x14ac:dyDescent="0.2">
      <c r="B8091" s="207"/>
      <c r="C8091" s="210"/>
      <c r="D8091" s="211"/>
      <c r="E8091" s="211"/>
      <c r="U8091" s="222"/>
    </row>
    <row r="8092" spans="2:21" x14ac:dyDescent="0.2">
      <c r="B8092" s="207"/>
      <c r="C8092" s="210"/>
      <c r="D8092" s="211"/>
      <c r="E8092" s="211"/>
      <c r="U8092" s="222"/>
    </row>
    <row r="8093" spans="2:21" x14ac:dyDescent="0.2">
      <c r="B8093" s="207"/>
      <c r="C8093" s="210"/>
      <c r="D8093" s="211"/>
      <c r="E8093" s="211"/>
      <c r="U8093" s="222"/>
    </row>
    <row r="8094" spans="2:21" x14ac:dyDescent="0.2">
      <c r="B8094" s="207"/>
      <c r="C8094" s="210"/>
      <c r="D8094" s="211"/>
      <c r="E8094" s="211"/>
      <c r="U8094" s="222"/>
    </row>
    <row r="8095" spans="2:21" x14ac:dyDescent="0.2">
      <c r="B8095" s="207"/>
      <c r="C8095" s="210"/>
      <c r="D8095" s="211"/>
      <c r="E8095" s="211"/>
      <c r="U8095" s="222"/>
    </row>
    <row r="8096" spans="2:21" x14ac:dyDescent="0.2">
      <c r="B8096" s="207"/>
      <c r="C8096" s="210"/>
      <c r="D8096" s="211"/>
      <c r="E8096" s="211"/>
      <c r="U8096" s="222"/>
    </row>
    <row r="8097" spans="2:21" x14ac:dyDescent="0.2">
      <c r="B8097" s="207"/>
      <c r="C8097" s="210"/>
      <c r="D8097" s="211"/>
      <c r="E8097" s="211"/>
      <c r="U8097" s="222"/>
    </row>
    <row r="8098" spans="2:21" x14ac:dyDescent="0.2">
      <c r="B8098" s="207"/>
      <c r="C8098" s="210"/>
      <c r="D8098" s="211"/>
      <c r="E8098" s="211"/>
      <c r="U8098" s="222"/>
    </row>
    <row r="8099" spans="2:21" x14ac:dyDescent="0.2">
      <c r="B8099" s="207"/>
      <c r="C8099" s="210"/>
      <c r="D8099" s="211"/>
      <c r="E8099" s="211"/>
      <c r="U8099" s="222"/>
    </row>
    <row r="8100" spans="2:21" x14ac:dyDescent="0.2">
      <c r="B8100" s="207"/>
      <c r="C8100" s="210"/>
      <c r="D8100" s="211"/>
      <c r="E8100" s="211"/>
      <c r="U8100" s="222"/>
    </row>
    <row r="8101" spans="2:21" x14ac:dyDescent="0.2">
      <c r="B8101" s="207"/>
      <c r="C8101" s="210"/>
      <c r="D8101" s="211"/>
      <c r="E8101" s="211"/>
      <c r="U8101" s="222"/>
    </row>
    <row r="8102" spans="2:21" x14ac:dyDescent="0.2">
      <c r="B8102" s="207"/>
      <c r="C8102" s="210"/>
      <c r="D8102" s="211"/>
      <c r="E8102" s="211"/>
      <c r="U8102" s="222"/>
    </row>
    <row r="8103" spans="2:21" x14ac:dyDescent="0.2">
      <c r="B8103" s="207"/>
      <c r="C8103" s="210"/>
      <c r="D8103" s="211"/>
      <c r="E8103" s="211"/>
      <c r="U8103" s="222"/>
    </row>
    <row r="8104" spans="2:21" x14ac:dyDescent="0.2">
      <c r="B8104" s="207"/>
      <c r="C8104" s="210"/>
      <c r="D8104" s="211"/>
      <c r="E8104" s="211"/>
      <c r="U8104" s="222"/>
    </row>
    <row r="8105" spans="2:21" x14ac:dyDescent="0.2">
      <c r="B8105" s="207"/>
      <c r="C8105" s="210"/>
      <c r="D8105" s="211"/>
      <c r="E8105" s="211"/>
      <c r="U8105" s="222"/>
    </row>
    <row r="8106" spans="2:21" x14ac:dyDescent="0.2">
      <c r="B8106" s="207"/>
      <c r="C8106" s="210"/>
      <c r="D8106" s="211"/>
      <c r="E8106" s="211"/>
      <c r="U8106" s="222"/>
    </row>
    <row r="8107" spans="2:21" x14ac:dyDescent="0.2">
      <c r="B8107" s="207"/>
      <c r="C8107" s="210"/>
      <c r="D8107" s="211"/>
      <c r="E8107" s="211"/>
      <c r="U8107" s="222"/>
    </row>
    <row r="8108" spans="2:21" x14ac:dyDescent="0.2">
      <c r="B8108" s="207"/>
      <c r="C8108" s="210"/>
      <c r="D8108" s="211"/>
      <c r="E8108" s="211"/>
      <c r="U8108" s="222"/>
    </row>
    <row r="8109" spans="2:21" x14ac:dyDescent="0.2">
      <c r="B8109" s="207"/>
      <c r="C8109" s="210"/>
      <c r="D8109" s="211"/>
      <c r="E8109" s="211"/>
      <c r="U8109" s="222"/>
    </row>
    <row r="8110" spans="2:21" x14ac:dyDescent="0.2">
      <c r="B8110" s="207"/>
      <c r="C8110" s="210"/>
      <c r="D8110" s="211"/>
      <c r="E8110" s="211"/>
      <c r="U8110" s="222"/>
    </row>
    <row r="8111" spans="2:21" x14ac:dyDescent="0.2">
      <c r="B8111" s="207"/>
      <c r="C8111" s="210"/>
      <c r="D8111" s="211"/>
      <c r="E8111" s="211"/>
      <c r="U8111" s="222"/>
    </row>
    <row r="8112" spans="2:21" x14ac:dyDescent="0.2">
      <c r="B8112" s="207"/>
      <c r="C8112" s="210"/>
      <c r="D8112" s="211"/>
      <c r="E8112" s="211"/>
      <c r="U8112" s="222"/>
    </row>
    <row r="8113" spans="2:21" x14ac:dyDescent="0.2">
      <c r="B8113" s="207"/>
      <c r="C8113" s="210"/>
      <c r="D8113" s="211"/>
      <c r="E8113" s="211"/>
      <c r="U8113" s="222"/>
    </row>
    <row r="8114" spans="2:21" x14ac:dyDescent="0.2">
      <c r="B8114" s="207"/>
      <c r="C8114" s="210"/>
      <c r="D8114" s="211"/>
      <c r="E8114" s="211"/>
      <c r="U8114" s="222"/>
    </row>
    <row r="8115" spans="2:21" x14ac:dyDescent="0.2">
      <c r="B8115" s="207"/>
      <c r="C8115" s="210"/>
      <c r="D8115" s="211"/>
      <c r="E8115" s="211"/>
      <c r="U8115" s="222"/>
    </row>
    <row r="8116" spans="2:21" x14ac:dyDescent="0.2">
      <c r="B8116" s="207"/>
      <c r="C8116" s="210"/>
      <c r="D8116" s="211"/>
      <c r="E8116" s="211"/>
      <c r="U8116" s="222"/>
    </row>
    <row r="8117" spans="2:21" x14ac:dyDescent="0.2">
      <c r="B8117" s="207"/>
      <c r="C8117" s="210"/>
      <c r="D8117" s="211"/>
      <c r="E8117" s="211"/>
      <c r="U8117" s="222"/>
    </row>
    <row r="8118" spans="2:21" x14ac:dyDescent="0.2">
      <c r="B8118" s="207"/>
      <c r="C8118" s="210"/>
      <c r="D8118" s="211"/>
      <c r="E8118" s="211"/>
      <c r="U8118" s="222"/>
    </row>
    <row r="8119" spans="2:21" x14ac:dyDescent="0.2">
      <c r="B8119" s="207"/>
      <c r="C8119" s="210"/>
      <c r="D8119" s="211"/>
      <c r="E8119" s="211"/>
      <c r="U8119" s="222"/>
    </row>
    <row r="8120" spans="2:21" x14ac:dyDescent="0.2">
      <c r="B8120" s="207"/>
      <c r="C8120" s="210"/>
      <c r="D8120" s="211"/>
      <c r="E8120" s="211"/>
      <c r="U8120" s="222"/>
    </row>
    <row r="8121" spans="2:21" x14ac:dyDescent="0.2">
      <c r="B8121" s="207"/>
      <c r="C8121" s="210"/>
      <c r="D8121" s="211"/>
      <c r="E8121" s="211"/>
      <c r="U8121" s="222"/>
    </row>
    <row r="8122" spans="2:21" x14ac:dyDescent="0.2">
      <c r="B8122" s="207"/>
      <c r="C8122" s="210"/>
      <c r="D8122" s="211"/>
      <c r="E8122" s="211"/>
      <c r="U8122" s="222"/>
    </row>
    <row r="8123" spans="2:21" x14ac:dyDescent="0.2">
      <c r="B8123" s="207"/>
      <c r="C8123" s="210"/>
      <c r="D8123" s="211"/>
      <c r="E8123" s="211"/>
      <c r="U8123" s="222"/>
    </row>
    <row r="8124" spans="2:21" x14ac:dyDescent="0.2">
      <c r="B8124" s="207"/>
      <c r="C8124" s="210"/>
      <c r="D8124" s="211"/>
      <c r="E8124" s="211"/>
      <c r="U8124" s="222"/>
    </row>
    <row r="8125" spans="2:21" x14ac:dyDescent="0.2">
      <c r="B8125" s="207"/>
      <c r="C8125" s="210"/>
      <c r="D8125" s="211"/>
      <c r="E8125" s="211"/>
      <c r="U8125" s="222"/>
    </row>
    <row r="8126" spans="2:21" x14ac:dyDescent="0.2">
      <c r="B8126" s="207"/>
      <c r="C8126" s="210"/>
      <c r="D8126" s="211"/>
      <c r="E8126" s="211"/>
      <c r="U8126" s="222"/>
    </row>
    <row r="8127" spans="2:21" x14ac:dyDescent="0.2">
      <c r="B8127" s="207"/>
      <c r="C8127" s="210"/>
      <c r="D8127" s="211"/>
      <c r="E8127" s="211"/>
      <c r="U8127" s="222"/>
    </row>
    <row r="8128" spans="2:21" x14ac:dyDescent="0.2">
      <c r="B8128" s="207"/>
      <c r="C8128" s="210"/>
      <c r="D8128" s="211"/>
      <c r="E8128" s="211"/>
      <c r="U8128" s="222"/>
    </row>
    <row r="8129" spans="2:21" x14ac:dyDescent="0.2">
      <c r="B8129" s="207"/>
      <c r="C8129" s="210"/>
      <c r="D8129" s="211"/>
      <c r="E8129" s="211"/>
      <c r="U8129" s="222"/>
    </row>
    <row r="8130" spans="2:21" x14ac:dyDescent="0.2">
      <c r="B8130" s="207"/>
      <c r="C8130" s="210"/>
      <c r="D8130" s="211"/>
      <c r="E8130" s="211"/>
      <c r="U8130" s="222"/>
    </row>
    <row r="8131" spans="2:21" x14ac:dyDescent="0.2">
      <c r="B8131" s="207"/>
      <c r="C8131" s="210"/>
      <c r="D8131" s="211"/>
      <c r="E8131" s="211"/>
      <c r="U8131" s="222"/>
    </row>
    <row r="8132" spans="2:21" x14ac:dyDescent="0.2">
      <c r="B8132" s="207"/>
      <c r="C8132" s="210"/>
      <c r="D8132" s="211"/>
      <c r="E8132" s="211"/>
      <c r="U8132" s="222"/>
    </row>
    <row r="8133" spans="2:21" x14ac:dyDescent="0.2">
      <c r="B8133" s="207"/>
      <c r="C8133" s="210"/>
      <c r="D8133" s="211"/>
      <c r="E8133" s="211"/>
      <c r="U8133" s="222"/>
    </row>
    <row r="8134" spans="2:21" x14ac:dyDescent="0.2">
      <c r="B8134" s="207"/>
      <c r="C8134" s="210"/>
      <c r="D8134" s="211"/>
      <c r="E8134" s="211"/>
      <c r="U8134" s="222"/>
    </row>
    <row r="8135" spans="2:21" x14ac:dyDescent="0.2">
      <c r="B8135" s="207"/>
      <c r="C8135" s="210"/>
      <c r="D8135" s="211"/>
      <c r="E8135" s="211"/>
      <c r="U8135" s="222"/>
    </row>
    <row r="8136" spans="2:21" x14ac:dyDescent="0.2">
      <c r="B8136" s="207"/>
      <c r="C8136" s="210"/>
      <c r="D8136" s="211"/>
      <c r="E8136" s="211"/>
      <c r="U8136" s="222"/>
    </row>
    <row r="8137" spans="2:21" x14ac:dyDescent="0.2">
      <c r="B8137" s="207"/>
      <c r="C8137" s="210"/>
      <c r="D8137" s="211"/>
      <c r="E8137" s="211"/>
      <c r="U8137" s="222"/>
    </row>
    <row r="8138" spans="2:21" x14ac:dyDescent="0.2">
      <c r="B8138" s="207"/>
      <c r="C8138" s="210"/>
      <c r="D8138" s="211"/>
      <c r="E8138" s="211"/>
      <c r="U8138" s="222"/>
    </row>
    <row r="8139" spans="2:21" x14ac:dyDescent="0.2">
      <c r="B8139" s="207"/>
      <c r="C8139" s="210"/>
      <c r="D8139" s="211"/>
      <c r="E8139" s="211"/>
      <c r="U8139" s="222"/>
    </row>
    <row r="8140" spans="2:21" x14ac:dyDescent="0.2">
      <c r="B8140" s="207"/>
      <c r="C8140" s="210"/>
      <c r="D8140" s="211"/>
      <c r="E8140" s="211"/>
      <c r="U8140" s="222"/>
    </row>
    <row r="8141" spans="2:21" x14ac:dyDescent="0.2">
      <c r="B8141" s="207"/>
      <c r="C8141" s="210"/>
      <c r="D8141" s="211"/>
      <c r="E8141" s="211"/>
      <c r="U8141" s="222"/>
    </row>
    <row r="8142" spans="2:21" x14ac:dyDescent="0.2">
      <c r="B8142" s="207"/>
      <c r="C8142" s="210"/>
      <c r="D8142" s="211"/>
      <c r="E8142" s="211"/>
      <c r="U8142" s="222"/>
    </row>
    <row r="8143" spans="2:21" x14ac:dyDescent="0.2">
      <c r="B8143" s="207"/>
      <c r="C8143" s="210"/>
      <c r="D8143" s="211"/>
      <c r="E8143" s="211"/>
      <c r="U8143" s="222"/>
    </row>
    <row r="8144" spans="2:21" x14ac:dyDescent="0.2">
      <c r="B8144" s="207"/>
      <c r="C8144" s="210"/>
      <c r="D8144" s="211"/>
      <c r="E8144" s="211"/>
      <c r="U8144" s="222"/>
    </row>
    <row r="8145" spans="2:21" x14ac:dyDescent="0.2">
      <c r="B8145" s="207"/>
      <c r="C8145" s="210"/>
      <c r="D8145" s="211"/>
      <c r="E8145" s="211"/>
      <c r="U8145" s="222"/>
    </row>
    <row r="8146" spans="2:21" x14ac:dyDescent="0.2">
      <c r="B8146" s="207"/>
      <c r="C8146" s="210"/>
      <c r="D8146" s="211"/>
      <c r="E8146" s="211"/>
      <c r="U8146" s="222"/>
    </row>
    <row r="8147" spans="2:21" x14ac:dyDescent="0.2">
      <c r="B8147" s="207"/>
      <c r="C8147" s="210"/>
      <c r="D8147" s="211"/>
      <c r="E8147" s="211"/>
      <c r="U8147" s="222"/>
    </row>
    <row r="8148" spans="2:21" x14ac:dyDescent="0.2">
      <c r="B8148" s="207"/>
      <c r="C8148" s="210"/>
      <c r="D8148" s="211"/>
      <c r="E8148" s="211"/>
      <c r="U8148" s="222"/>
    </row>
    <row r="8149" spans="2:21" x14ac:dyDescent="0.2">
      <c r="B8149" s="207"/>
      <c r="C8149" s="210"/>
      <c r="D8149" s="211"/>
      <c r="E8149" s="211"/>
      <c r="U8149" s="222"/>
    </row>
    <row r="8150" spans="2:21" x14ac:dyDescent="0.2">
      <c r="B8150" s="207"/>
      <c r="C8150" s="210"/>
      <c r="D8150" s="211"/>
      <c r="E8150" s="211"/>
      <c r="U8150" s="222"/>
    </row>
    <row r="8151" spans="2:21" x14ac:dyDescent="0.2">
      <c r="B8151" s="207"/>
      <c r="C8151" s="210"/>
      <c r="D8151" s="211"/>
      <c r="E8151" s="211"/>
      <c r="U8151" s="222"/>
    </row>
    <row r="8152" spans="2:21" x14ac:dyDescent="0.2">
      <c r="B8152" s="207"/>
      <c r="C8152" s="210"/>
      <c r="D8152" s="211"/>
      <c r="E8152" s="211"/>
      <c r="U8152" s="222"/>
    </row>
    <row r="8153" spans="2:21" x14ac:dyDescent="0.2">
      <c r="B8153" s="207"/>
      <c r="C8153" s="210"/>
      <c r="D8153" s="211"/>
      <c r="E8153" s="211"/>
      <c r="U8153" s="222"/>
    </row>
    <row r="8154" spans="2:21" x14ac:dyDescent="0.2">
      <c r="B8154" s="207"/>
      <c r="C8154" s="210"/>
      <c r="D8154" s="211"/>
      <c r="E8154" s="211"/>
      <c r="U8154" s="222"/>
    </row>
    <row r="8155" spans="2:21" x14ac:dyDescent="0.2">
      <c r="B8155" s="207"/>
      <c r="C8155" s="210"/>
      <c r="D8155" s="211"/>
      <c r="E8155" s="211"/>
      <c r="U8155" s="222"/>
    </row>
    <row r="8156" spans="2:21" x14ac:dyDescent="0.2">
      <c r="B8156" s="207"/>
      <c r="C8156" s="210"/>
      <c r="D8156" s="211"/>
      <c r="E8156" s="211"/>
      <c r="U8156" s="222"/>
    </row>
    <row r="8157" spans="2:21" x14ac:dyDescent="0.2">
      <c r="B8157" s="207"/>
      <c r="C8157" s="210"/>
      <c r="D8157" s="211"/>
      <c r="E8157" s="211"/>
      <c r="U8157" s="222"/>
    </row>
    <row r="8158" spans="2:21" x14ac:dyDescent="0.2">
      <c r="B8158" s="207"/>
      <c r="C8158" s="210"/>
      <c r="D8158" s="211"/>
      <c r="E8158" s="211"/>
      <c r="U8158" s="222"/>
    </row>
    <row r="8159" spans="2:21" x14ac:dyDescent="0.2">
      <c r="B8159" s="207"/>
      <c r="C8159" s="210"/>
      <c r="D8159" s="211"/>
      <c r="E8159" s="211"/>
      <c r="U8159" s="222"/>
    </row>
    <row r="8160" spans="2:21" x14ac:dyDescent="0.2">
      <c r="B8160" s="207"/>
      <c r="C8160" s="210"/>
      <c r="D8160" s="211"/>
      <c r="E8160" s="211"/>
      <c r="U8160" s="222"/>
    </row>
    <row r="8161" spans="2:21" x14ac:dyDescent="0.2">
      <c r="B8161" s="207"/>
      <c r="C8161" s="210"/>
      <c r="D8161" s="211"/>
      <c r="E8161" s="211"/>
      <c r="U8161" s="222"/>
    </row>
    <row r="8162" spans="2:21" x14ac:dyDescent="0.2">
      <c r="B8162" s="207"/>
      <c r="C8162" s="210"/>
      <c r="D8162" s="211"/>
      <c r="E8162" s="211"/>
      <c r="U8162" s="222"/>
    </row>
    <row r="8163" spans="2:21" x14ac:dyDescent="0.2">
      <c r="B8163" s="207"/>
      <c r="C8163" s="210"/>
      <c r="D8163" s="211"/>
      <c r="E8163" s="211"/>
      <c r="U8163" s="222"/>
    </row>
    <row r="8164" spans="2:21" x14ac:dyDescent="0.2">
      <c r="B8164" s="207"/>
      <c r="C8164" s="210"/>
      <c r="D8164" s="211"/>
      <c r="E8164" s="211"/>
      <c r="U8164" s="222"/>
    </row>
    <row r="8165" spans="2:21" x14ac:dyDescent="0.2">
      <c r="B8165" s="207"/>
      <c r="C8165" s="210"/>
      <c r="D8165" s="211"/>
      <c r="E8165" s="211"/>
      <c r="U8165" s="222"/>
    </row>
    <row r="8166" spans="2:21" x14ac:dyDescent="0.2">
      <c r="B8166" s="207"/>
      <c r="C8166" s="210"/>
      <c r="D8166" s="211"/>
      <c r="E8166" s="211"/>
      <c r="U8166" s="222"/>
    </row>
    <row r="8167" spans="2:21" x14ac:dyDescent="0.2">
      <c r="B8167" s="207"/>
      <c r="C8167" s="210"/>
      <c r="D8167" s="211"/>
      <c r="E8167" s="211"/>
      <c r="U8167" s="222"/>
    </row>
    <row r="8168" spans="2:21" x14ac:dyDescent="0.2">
      <c r="B8168" s="207"/>
      <c r="C8168" s="210"/>
      <c r="D8168" s="211"/>
      <c r="E8168" s="211"/>
      <c r="U8168" s="222"/>
    </row>
    <row r="8169" spans="2:21" x14ac:dyDescent="0.2">
      <c r="B8169" s="207"/>
      <c r="C8169" s="210"/>
      <c r="D8169" s="211"/>
      <c r="E8169" s="211"/>
      <c r="U8169" s="222"/>
    </row>
    <row r="8170" spans="2:21" x14ac:dyDescent="0.2">
      <c r="B8170" s="207"/>
      <c r="C8170" s="210"/>
      <c r="D8170" s="211"/>
      <c r="E8170" s="211"/>
      <c r="U8170" s="222"/>
    </row>
    <row r="8171" spans="2:21" x14ac:dyDescent="0.2">
      <c r="B8171" s="207"/>
      <c r="C8171" s="210"/>
      <c r="D8171" s="211"/>
      <c r="E8171" s="211"/>
      <c r="U8171" s="222"/>
    </row>
    <row r="8172" spans="2:21" x14ac:dyDescent="0.2">
      <c r="B8172" s="207"/>
      <c r="C8172" s="210"/>
      <c r="D8172" s="211"/>
      <c r="E8172" s="211"/>
      <c r="U8172" s="222"/>
    </row>
    <row r="8173" spans="2:21" x14ac:dyDescent="0.2">
      <c r="B8173" s="207"/>
      <c r="C8173" s="210"/>
      <c r="D8173" s="211"/>
      <c r="E8173" s="211"/>
      <c r="U8173" s="222"/>
    </row>
    <row r="8174" spans="2:21" x14ac:dyDescent="0.2">
      <c r="B8174" s="207"/>
      <c r="C8174" s="210"/>
      <c r="D8174" s="211"/>
      <c r="E8174" s="211"/>
      <c r="U8174" s="222"/>
    </row>
    <row r="8175" spans="2:21" x14ac:dyDescent="0.2">
      <c r="B8175" s="207"/>
      <c r="C8175" s="210"/>
      <c r="D8175" s="211"/>
      <c r="E8175" s="211"/>
      <c r="U8175" s="222"/>
    </row>
    <row r="8176" spans="2:21" x14ac:dyDescent="0.2">
      <c r="B8176" s="207"/>
      <c r="C8176" s="210"/>
      <c r="D8176" s="211"/>
      <c r="E8176" s="211"/>
      <c r="U8176" s="222"/>
    </row>
    <row r="8177" spans="2:21" x14ac:dyDescent="0.2">
      <c r="B8177" s="207"/>
      <c r="C8177" s="210"/>
      <c r="D8177" s="211"/>
      <c r="E8177" s="211"/>
      <c r="U8177" s="222"/>
    </row>
    <row r="8178" spans="2:21" x14ac:dyDescent="0.2">
      <c r="B8178" s="207"/>
      <c r="C8178" s="210"/>
      <c r="D8178" s="211"/>
      <c r="E8178" s="211"/>
      <c r="U8178" s="222"/>
    </row>
    <row r="8179" spans="2:21" x14ac:dyDescent="0.2">
      <c r="B8179" s="207"/>
      <c r="C8179" s="210"/>
      <c r="D8179" s="211"/>
      <c r="E8179" s="211"/>
      <c r="U8179" s="222"/>
    </row>
    <row r="8180" spans="2:21" x14ac:dyDescent="0.2">
      <c r="B8180" s="207"/>
      <c r="C8180" s="210"/>
      <c r="D8180" s="211"/>
      <c r="E8180" s="211"/>
      <c r="U8180" s="222"/>
    </row>
    <row r="8181" spans="2:21" x14ac:dyDescent="0.2">
      <c r="B8181" s="207"/>
      <c r="C8181" s="210"/>
      <c r="D8181" s="211"/>
      <c r="E8181" s="211"/>
      <c r="U8181" s="222"/>
    </row>
    <row r="8182" spans="2:21" x14ac:dyDescent="0.2">
      <c r="B8182" s="207"/>
      <c r="C8182" s="210"/>
      <c r="D8182" s="211"/>
      <c r="E8182" s="211"/>
      <c r="U8182" s="222"/>
    </row>
    <row r="8183" spans="2:21" x14ac:dyDescent="0.2">
      <c r="B8183" s="207"/>
      <c r="C8183" s="210"/>
      <c r="D8183" s="211"/>
      <c r="E8183" s="211"/>
      <c r="U8183" s="222"/>
    </row>
    <row r="8184" spans="2:21" x14ac:dyDescent="0.2">
      <c r="B8184" s="207"/>
      <c r="C8184" s="210"/>
      <c r="D8184" s="211"/>
      <c r="E8184" s="211"/>
      <c r="U8184" s="222"/>
    </row>
    <row r="8185" spans="2:21" x14ac:dyDescent="0.2">
      <c r="B8185" s="207"/>
      <c r="C8185" s="210"/>
      <c r="D8185" s="211"/>
      <c r="E8185" s="211"/>
      <c r="U8185" s="222"/>
    </row>
    <row r="8186" spans="2:21" x14ac:dyDescent="0.2">
      <c r="B8186" s="207"/>
      <c r="C8186" s="210"/>
      <c r="D8186" s="211"/>
      <c r="E8186" s="211"/>
      <c r="U8186" s="222"/>
    </row>
    <row r="8187" spans="2:21" x14ac:dyDescent="0.2">
      <c r="B8187" s="207"/>
      <c r="C8187" s="210"/>
      <c r="D8187" s="211"/>
      <c r="E8187" s="211"/>
      <c r="U8187" s="222"/>
    </row>
    <row r="8188" spans="2:21" x14ac:dyDescent="0.2">
      <c r="B8188" s="207"/>
      <c r="C8188" s="210"/>
      <c r="D8188" s="211"/>
      <c r="E8188" s="211"/>
      <c r="U8188" s="222"/>
    </row>
    <row r="8189" spans="2:21" x14ac:dyDescent="0.2">
      <c r="B8189" s="207"/>
      <c r="C8189" s="210"/>
      <c r="D8189" s="211"/>
      <c r="E8189" s="211"/>
      <c r="U8189" s="222"/>
    </row>
    <row r="8190" spans="2:21" x14ac:dyDescent="0.2">
      <c r="B8190" s="207"/>
      <c r="C8190" s="210"/>
      <c r="D8190" s="211"/>
      <c r="E8190" s="211"/>
      <c r="U8190" s="222"/>
    </row>
    <row r="8191" spans="2:21" x14ac:dyDescent="0.2">
      <c r="B8191" s="207"/>
      <c r="C8191" s="210"/>
      <c r="D8191" s="211"/>
      <c r="E8191" s="211"/>
      <c r="U8191" s="222"/>
    </row>
    <row r="8192" spans="2:21" x14ac:dyDescent="0.2">
      <c r="B8192" s="207"/>
      <c r="C8192" s="210"/>
      <c r="D8192" s="211"/>
      <c r="E8192" s="211"/>
      <c r="U8192" s="222"/>
    </row>
    <row r="8193" spans="2:21" x14ac:dyDescent="0.2">
      <c r="B8193" s="207"/>
      <c r="C8193" s="210"/>
      <c r="D8193" s="211"/>
      <c r="E8193" s="211"/>
      <c r="U8193" s="222"/>
    </row>
    <row r="8194" spans="2:21" x14ac:dyDescent="0.2">
      <c r="B8194" s="207"/>
      <c r="C8194" s="210"/>
      <c r="D8194" s="211"/>
      <c r="E8194" s="211"/>
      <c r="U8194" s="222"/>
    </row>
    <row r="8195" spans="2:21" x14ac:dyDescent="0.2">
      <c r="B8195" s="207"/>
      <c r="C8195" s="210"/>
      <c r="D8195" s="211"/>
      <c r="E8195" s="211"/>
      <c r="U8195" s="222"/>
    </row>
    <row r="8196" spans="2:21" x14ac:dyDescent="0.2">
      <c r="B8196" s="207"/>
      <c r="C8196" s="210"/>
      <c r="D8196" s="211"/>
      <c r="E8196" s="211"/>
      <c r="U8196" s="222"/>
    </row>
    <row r="8197" spans="2:21" x14ac:dyDescent="0.2">
      <c r="B8197" s="207"/>
      <c r="C8197" s="210"/>
      <c r="D8197" s="211"/>
      <c r="E8197" s="211"/>
      <c r="U8197" s="222"/>
    </row>
    <row r="8198" spans="2:21" x14ac:dyDescent="0.2">
      <c r="B8198" s="207"/>
      <c r="C8198" s="210"/>
      <c r="D8198" s="211"/>
      <c r="E8198" s="211"/>
      <c r="U8198" s="222"/>
    </row>
    <row r="8199" spans="2:21" x14ac:dyDescent="0.2">
      <c r="B8199" s="207"/>
      <c r="C8199" s="210"/>
      <c r="D8199" s="211"/>
      <c r="E8199" s="211"/>
      <c r="U8199" s="222"/>
    </row>
    <row r="8200" spans="2:21" x14ac:dyDescent="0.2">
      <c r="B8200" s="207"/>
      <c r="C8200" s="210"/>
      <c r="D8200" s="211"/>
      <c r="E8200" s="211"/>
      <c r="U8200" s="222"/>
    </row>
    <row r="8201" spans="2:21" x14ac:dyDescent="0.2">
      <c r="B8201" s="207"/>
      <c r="C8201" s="210"/>
      <c r="D8201" s="211"/>
      <c r="E8201" s="211"/>
      <c r="U8201" s="222"/>
    </row>
    <row r="8202" spans="2:21" x14ac:dyDescent="0.2">
      <c r="B8202" s="207"/>
      <c r="C8202" s="210"/>
      <c r="D8202" s="211"/>
      <c r="E8202" s="211"/>
      <c r="U8202" s="222"/>
    </row>
    <row r="8203" spans="2:21" x14ac:dyDescent="0.2">
      <c r="B8203" s="207"/>
      <c r="C8203" s="210"/>
      <c r="D8203" s="211"/>
      <c r="E8203" s="211"/>
      <c r="U8203" s="222"/>
    </row>
    <row r="8204" spans="2:21" x14ac:dyDescent="0.2">
      <c r="B8204" s="207"/>
      <c r="C8204" s="210"/>
      <c r="D8204" s="211"/>
      <c r="E8204" s="211"/>
      <c r="U8204" s="222"/>
    </row>
    <row r="8205" spans="2:21" x14ac:dyDescent="0.2">
      <c r="B8205" s="207"/>
      <c r="C8205" s="210"/>
      <c r="D8205" s="211"/>
      <c r="E8205" s="211"/>
      <c r="U8205" s="222"/>
    </row>
    <row r="8206" spans="2:21" x14ac:dyDescent="0.2">
      <c r="B8206" s="207"/>
      <c r="C8206" s="210"/>
      <c r="D8206" s="211"/>
      <c r="E8206" s="211"/>
      <c r="U8206" s="222"/>
    </row>
    <row r="8207" spans="2:21" x14ac:dyDescent="0.2">
      <c r="B8207" s="207"/>
      <c r="C8207" s="210"/>
      <c r="D8207" s="211"/>
      <c r="E8207" s="211"/>
      <c r="U8207" s="222"/>
    </row>
    <row r="8208" spans="2:21" x14ac:dyDescent="0.2">
      <c r="B8208" s="207"/>
      <c r="C8208" s="210"/>
      <c r="D8208" s="211"/>
      <c r="E8208" s="211"/>
      <c r="U8208" s="222"/>
    </row>
    <row r="8209" spans="2:21" x14ac:dyDescent="0.2">
      <c r="B8209" s="207"/>
      <c r="C8209" s="210"/>
      <c r="D8209" s="211"/>
      <c r="E8209" s="211"/>
      <c r="U8209" s="222"/>
    </row>
    <row r="8210" spans="2:21" x14ac:dyDescent="0.2">
      <c r="B8210" s="207"/>
      <c r="C8210" s="210"/>
      <c r="D8210" s="211"/>
      <c r="E8210" s="211"/>
      <c r="U8210" s="222"/>
    </row>
    <row r="8211" spans="2:21" x14ac:dyDescent="0.2">
      <c r="B8211" s="207"/>
      <c r="C8211" s="210"/>
      <c r="D8211" s="211"/>
      <c r="E8211" s="211"/>
      <c r="U8211" s="222"/>
    </row>
    <row r="8212" spans="2:21" x14ac:dyDescent="0.2">
      <c r="B8212" s="207"/>
      <c r="C8212" s="210"/>
      <c r="D8212" s="211"/>
      <c r="E8212" s="211"/>
      <c r="U8212" s="222"/>
    </row>
    <row r="8213" spans="2:21" x14ac:dyDescent="0.2">
      <c r="B8213" s="207"/>
      <c r="C8213" s="210"/>
      <c r="D8213" s="211"/>
      <c r="E8213" s="211"/>
      <c r="U8213" s="222"/>
    </row>
    <row r="8214" spans="2:21" x14ac:dyDescent="0.2">
      <c r="B8214" s="207"/>
      <c r="C8214" s="210"/>
      <c r="D8214" s="211"/>
      <c r="E8214" s="211"/>
      <c r="U8214" s="222"/>
    </row>
    <row r="8215" spans="2:21" x14ac:dyDescent="0.2">
      <c r="B8215" s="207"/>
      <c r="C8215" s="210"/>
      <c r="D8215" s="211"/>
      <c r="E8215" s="211"/>
      <c r="U8215" s="222"/>
    </row>
    <row r="8216" spans="2:21" x14ac:dyDescent="0.2">
      <c r="B8216" s="207"/>
      <c r="C8216" s="210"/>
      <c r="D8216" s="211"/>
      <c r="E8216" s="211"/>
      <c r="U8216" s="222"/>
    </row>
    <row r="8217" spans="2:21" x14ac:dyDescent="0.2">
      <c r="B8217" s="207"/>
      <c r="C8217" s="210"/>
      <c r="D8217" s="211"/>
      <c r="E8217" s="211"/>
      <c r="U8217" s="222"/>
    </row>
    <row r="8218" spans="2:21" x14ac:dyDescent="0.2">
      <c r="B8218" s="207"/>
      <c r="C8218" s="210"/>
      <c r="D8218" s="211"/>
      <c r="E8218" s="211"/>
      <c r="U8218" s="222"/>
    </row>
    <row r="8219" spans="2:21" x14ac:dyDescent="0.2">
      <c r="B8219" s="207"/>
      <c r="C8219" s="210"/>
      <c r="D8219" s="211"/>
      <c r="E8219" s="211"/>
      <c r="U8219" s="222"/>
    </row>
    <row r="8220" spans="2:21" x14ac:dyDescent="0.2">
      <c r="B8220" s="207"/>
      <c r="C8220" s="210"/>
      <c r="D8220" s="211"/>
      <c r="E8220" s="211"/>
      <c r="U8220" s="222"/>
    </row>
    <row r="8221" spans="2:21" x14ac:dyDescent="0.2">
      <c r="B8221" s="207"/>
      <c r="C8221" s="210"/>
      <c r="D8221" s="211"/>
      <c r="E8221" s="211"/>
      <c r="U8221" s="222"/>
    </row>
    <row r="8222" spans="2:21" x14ac:dyDescent="0.2">
      <c r="B8222" s="207"/>
      <c r="C8222" s="210"/>
      <c r="D8222" s="211"/>
      <c r="E8222" s="211"/>
      <c r="U8222" s="222"/>
    </row>
    <row r="8223" spans="2:21" x14ac:dyDescent="0.2">
      <c r="B8223" s="207"/>
      <c r="C8223" s="210"/>
      <c r="D8223" s="211"/>
      <c r="E8223" s="211"/>
      <c r="U8223" s="222"/>
    </row>
    <row r="8224" spans="2:21" x14ac:dyDescent="0.2">
      <c r="B8224" s="207"/>
      <c r="C8224" s="210"/>
      <c r="D8224" s="211"/>
      <c r="E8224" s="211"/>
      <c r="U8224" s="222"/>
    </row>
    <row r="8225" spans="2:21" x14ac:dyDescent="0.2">
      <c r="B8225" s="207"/>
      <c r="C8225" s="210"/>
      <c r="D8225" s="211"/>
      <c r="E8225" s="211"/>
      <c r="U8225" s="222"/>
    </row>
    <row r="8226" spans="2:21" x14ac:dyDescent="0.2">
      <c r="B8226" s="207"/>
      <c r="C8226" s="210"/>
      <c r="D8226" s="211"/>
      <c r="E8226" s="211"/>
      <c r="U8226" s="222"/>
    </row>
    <row r="8227" spans="2:21" x14ac:dyDescent="0.2">
      <c r="B8227" s="207"/>
      <c r="C8227" s="210"/>
      <c r="D8227" s="211"/>
      <c r="E8227" s="211"/>
      <c r="U8227" s="222"/>
    </row>
    <row r="8228" spans="2:21" x14ac:dyDescent="0.2">
      <c r="B8228" s="207"/>
      <c r="C8228" s="210"/>
      <c r="D8228" s="211"/>
      <c r="E8228" s="211"/>
      <c r="U8228" s="222"/>
    </row>
    <row r="8229" spans="2:21" x14ac:dyDescent="0.2">
      <c r="B8229" s="207"/>
      <c r="C8229" s="210"/>
      <c r="D8229" s="211"/>
      <c r="E8229" s="211"/>
      <c r="U8229" s="222"/>
    </row>
    <row r="8230" spans="2:21" x14ac:dyDescent="0.2">
      <c r="B8230" s="207"/>
      <c r="C8230" s="210"/>
      <c r="D8230" s="211"/>
      <c r="E8230" s="211"/>
      <c r="U8230" s="222"/>
    </row>
    <row r="8231" spans="2:21" x14ac:dyDescent="0.2">
      <c r="B8231" s="207"/>
      <c r="C8231" s="210"/>
      <c r="D8231" s="211"/>
      <c r="E8231" s="211"/>
      <c r="U8231" s="222"/>
    </row>
    <row r="8232" spans="2:21" x14ac:dyDescent="0.2">
      <c r="B8232" s="207"/>
      <c r="C8232" s="210"/>
      <c r="D8232" s="211"/>
      <c r="E8232" s="211"/>
      <c r="U8232" s="222"/>
    </row>
    <row r="8233" spans="2:21" x14ac:dyDescent="0.2">
      <c r="B8233" s="207"/>
      <c r="C8233" s="210"/>
      <c r="D8233" s="211"/>
      <c r="E8233" s="211"/>
      <c r="U8233" s="222"/>
    </row>
    <row r="8234" spans="2:21" x14ac:dyDescent="0.2">
      <c r="B8234" s="207"/>
      <c r="C8234" s="210"/>
      <c r="D8234" s="211"/>
      <c r="E8234" s="211"/>
      <c r="U8234" s="222"/>
    </row>
    <row r="8235" spans="2:21" x14ac:dyDescent="0.2">
      <c r="B8235" s="207"/>
      <c r="C8235" s="210"/>
      <c r="D8235" s="211"/>
      <c r="E8235" s="211"/>
      <c r="U8235" s="222"/>
    </row>
    <row r="8236" spans="2:21" x14ac:dyDescent="0.2">
      <c r="B8236" s="207"/>
      <c r="C8236" s="210"/>
      <c r="D8236" s="211"/>
      <c r="E8236" s="211"/>
      <c r="U8236" s="222"/>
    </row>
    <row r="8237" spans="2:21" x14ac:dyDescent="0.2">
      <c r="B8237" s="207"/>
      <c r="C8237" s="210"/>
      <c r="D8237" s="211"/>
      <c r="E8237" s="211"/>
      <c r="U8237" s="222"/>
    </row>
    <row r="8238" spans="2:21" x14ac:dyDescent="0.2">
      <c r="B8238" s="207"/>
      <c r="C8238" s="210"/>
      <c r="D8238" s="211"/>
      <c r="E8238" s="211"/>
      <c r="U8238" s="222"/>
    </row>
    <row r="8239" spans="2:21" x14ac:dyDescent="0.2">
      <c r="B8239" s="207"/>
      <c r="C8239" s="210"/>
      <c r="D8239" s="211"/>
      <c r="E8239" s="211"/>
      <c r="U8239" s="222"/>
    </row>
    <row r="8240" spans="2:21" x14ac:dyDescent="0.2">
      <c r="B8240" s="207"/>
      <c r="C8240" s="210"/>
      <c r="D8240" s="211"/>
      <c r="E8240" s="211"/>
      <c r="U8240" s="222"/>
    </row>
    <row r="8241" spans="2:21" x14ac:dyDescent="0.2">
      <c r="B8241" s="207"/>
      <c r="C8241" s="210"/>
      <c r="D8241" s="211"/>
      <c r="E8241" s="211"/>
      <c r="U8241" s="222"/>
    </row>
    <row r="8242" spans="2:21" x14ac:dyDescent="0.2">
      <c r="B8242" s="207"/>
      <c r="C8242" s="210"/>
      <c r="D8242" s="211"/>
      <c r="E8242" s="211"/>
      <c r="U8242" s="222"/>
    </row>
    <row r="8243" spans="2:21" x14ac:dyDescent="0.2">
      <c r="B8243" s="207"/>
      <c r="C8243" s="210"/>
      <c r="D8243" s="211"/>
      <c r="E8243" s="211"/>
      <c r="U8243" s="222"/>
    </row>
    <row r="8244" spans="2:21" x14ac:dyDescent="0.2">
      <c r="B8244" s="207"/>
      <c r="C8244" s="210"/>
      <c r="D8244" s="211"/>
      <c r="E8244" s="211"/>
      <c r="U8244" s="222"/>
    </row>
    <row r="8245" spans="2:21" x14ac:dyDescent="0.2">
      <c r="B8245" s="207"/>
      <c r="C8245" s="210"/>
      <c r="D8245" s="211"/>
      <c r="E8245" s="211"/>
      <c r="U8245" s="222"/>
    </row>
    <row r="8246" spans="2:21" x14ac:dyDescent="0.2">
      <c r="B8246" s="207"/>
      <c r="C8246" s="210"/>
      <c r="D8246" s="211"/>
      <c r="E8246" s="211"/>
      <c r="U8246" s="222"/>
    </row>
    <row r="8247" spans="2:21" x14ac:dyDescent="0.2">
      <c r="B8247" s="207"/>
      <c r="C8247" s="210"/>
      <c r="D8247" s="211"/>
      <c r="E8247" s="211"/>
      <c r="U8247" s="222"/>
    </row>
    <row r="8248" spans="2:21" x14ac:dyDescent="0.2">
      <c r="B8248" s="207"/>
      <c r="C8248" s="210"/>
      <c r="D8248" s="211"/>
      <c r="E8248" s="211"/>
      <c r="U8248" s="222"/>
    </row>
    <row r="8249" spans="2:21" x14ac:dyDescent="0.2">
      <c r="B8249" s="207"/>
      <c r="C8249" s="210"/>
      <c r="D8249" s="211"/>
      <c r="E8249" s="211"/>
      <c r="U8249" s="222"/>
    </row>
    <row r="8250" spans="2:21" x14ac:dyDescent="0.2">
      <c r="B8250" s="207"/>
      <c r="C8250" s="210"/>
      <c r="D8250" s="211"/>
      <c r="E8250" s="211"/>
      <c r="U8250" s="222"/>
    </row>
    <row r="8251" spans="2:21" x14ac:dyDescent="0.2">
      <c r="B8251" s="207"/>
      <c r="C8251" s="210"/>
      <c r="D8251" s="211"/>
      <c r="E8251" s="211"/>
      <c r="U8251" s="222"/>
    </row>
    <row r="8252" spans="2:21" x14ac:dyDescent="0.2">
      <c r="B8252" s="207"/>
      <c r="C8252" s="210"/>
      <c r="D8252" s="211"/>
      <c r="E8252" s="211"/>
      <c r="U8252" s="222"/>
    </row>
    <row r="8253" spans="2:21" x14ac:dyDescent="0.2">
      <c r="B8253" s="207"/>
      <c r="C8253" s="210"/>
      <c r="D8253" s="211"/>
      <c r="E8253" s="211"/>
      <c r="U8253" s="222"/>
    </row>
    <row r="8254" spans="2:21" x14ac:dyDescent="0.2">
      <c r="B8254" s="207"/>
      <c r="C8254" s="210"/>
      <c r="D8254" s="211"/>
      <c r="E8254" s="211"/>
      <c r="U8254" s="222"/>
    </row>
    <row r="8255" spans="2:21" x14ac:dyDescent="0.2">
      <c r="B8255" s="207"/>
      <c r="C8255" s="210"/>
      <c r="D8255" s="211"/>
      <c r="E8255" s="211"/>
      <c r="U8255" s="222"/>
    </row>
    <row r="8256" spans="2:21" x14ac:dyDescent="0.2">
      <c r="B8256" s="207"/>
      <c r="C8256" s="210"/>
      <c r="D8256" s="211"/>
      <c r="E8256" s="211"/>
      <c r="U8256" s="222"/>
    </row>
    <row r="8257" spans="2:21" x14ac:dyDescent="0.2">
      <c r="B8257" s="207"/>
      <c r="C8257" s="210"/>
      <c r="D8257" s="211"/>
      <c r="E8257" s="211"/>
      <c r="U8257" s="222"/>
    </row>
    <row r="8258" spans="2:21" x14ac:dyDescent="0.2">
      <c r="B8258" s="207"/>
      <c r="C8258" s="210"/>
      <c r="D8258" s="211"/>
      <c r="E8258" s="211"/>
      <c r="U8258" s="222"/>
    </row>
    <row r="8259" spans="2:21" x14ac:dyDescent="0.2">
      <c r="B8259" s="207"/>
      <c r="C8259" s="210"/>
      <c r="D8259" s="211"/>
      <c r="E8259" s="211"/>
      <c r="U8259" s="222"/>
    </row>
    <row r="8260" spans="2:21" x14ac:dyDescent="0.2">
      <c r="B8260" s="207"/>
      <c r="C8260" s="210"/>
      <c r="D8260" s="211"/>
      <c r="E8260" s="211"/>
      <c r="U8260" s="222"/>
    </row>
    <row r="8261" spans="2:21" x14ac:dyDescent="0.2">
      <c r="B8261" s="207"/>
      <c r="C8261" s="210"/>
      <c r="D8261" s="211"/>
      <c r="E8261" s="211"/>
      <c r="U8261" s="222"/>
    </row>
    <row r="8262" spans="2:21" x14ac:dyDescent="0.2">
      <c r="B8262" s="207"/>
      <c r="C8262" s="210"/>
      <c r="D8262" s="211"/>
      <c r="E8262" s="211"/>
      <c r="U8262" s="222"/>
    </row>
    <row r="8263" spans="2:21" x14ac:dyDescent="0.2">
      <c r="B8263" s="207"/>
      <c r="C8263" s="210"/>
      <c r="D8263" s="211"/>
      <c r="E8263" s="211"/>
      <c r="U8263" s="222"/>
    </row>
    <row r="8264" spans="2:21" x14ac:dyDescent="0.2">
      <c r="B8264" s="207"/>
      <c r="C8264" s="210"/>
      <c r="D8264" s="211"/>
      <c r="E8264" s="211"/>
      <c r="U8264" s="222"/>
    </row>
    <row r="8265" spans="2:21" x14ac:dyDescent="0.2">
      <c r="B8265" s="207"/>
      <c r="C8265" s="210"/>
      <c r="D8265" s="211"/>
      <c r="E8265" s="211"/>
      <c r="U8265" s="222"/>
    </row>
    <row r="8266" spans="2:21" x14ac:dyDescent="0.2">
      <c r="B8266" s="207"/>
      <c r="C8266" s="210"/>
      <c r="D8266" s="211"/>
      <c r="E8266" s="211"/>
      <c r="U8266" s="222"/>
    </row>
    <row r="8267" spans="2:21" x14ac:dyDescent="0.2">
      <c r="B8267" s="207"/>
      <c r="C8267" s="210"/>
      <c r="D8267" s="211"/>
      <c r="E8267" s="211"/>
      <c r="U8267" s="222"/>
    </row>
    <row r="8268" spans="2:21" x14ac:dyDescent="0.2">
      <c r="B8268" s="207"/>
      <c r="C8268" s="210"/>
      <c r="D8268" s="211"/>
      <c r="E8268" s="211"/>
      <c r="U8268" s="222"/>
    </row>
    <row r="8269" spans="2:21" x14ac:dyDescent="0.2">
      <c r="B8269" s="207"/>
      <c r="C8269" s="210"/>
      <c r="D8269" s="211"/>
      <c r="E8269" s="211"/>
      <c r="U8269" s="222"/>
    </row>
    <row r="8270" spans="2:21" x14ac:dyDescent="0.2">
      <c r="B8270" s="207"/>
      <c r="C8270" s="210"/>
      <c r="D8270" s="211"/>
      <c r="E8270" s="211"/>
      <c r="U8270" s="222"/>
    </row>
    <row r="8271" spans="2:21" x14ac:dyDescent="0.2">
      <c r="B8271" s="207"/>
      <c r="C8271" s="210"/>
      <c r="D8271" s="211"/>
      <c r="E8271" s="211"/>
      <c r="U8271" s="222"/>
    </row>
    <row r="8272" spans="2:21" x14ac:dyDescent="0.2">
      <c r="B8272" s="207"/>
      <c r="C8272" s="210"/>
      <c r="D8272" s="211"/>
      <c r="E8272" s="211"/>
      <c r="U8272" s="222"/>
    </row>
    <row r="8273" spans="2:21" x14ac:dyDescent="0.2">
      <c r="B8273" s="207"/>
      <c r="C8273" s="210"/>
      <c r="D8273" s="211"/>
      <c r="E8273" s="211"/>
      <c r="U8273" s="222"/>
    </row>
    <row r="8274" spans="2:21" x14ac:dyDescent="0.2">
      <c r="B8274" s="207"/>
      <c r="C8274" s="210"/>
      <c r="D8274" s="211"/>
      <c r="E8274" s="211"/>
      <c r="U8274" s="222"/>
    </row>
    <row r="8275" spans="2:21" x14ac:dyDescent="0.2">
      <c r="B8275" s="207"/>
      <c r="C8275" s="210"/>
      <c r="D8275" s="211"/>
      <c r="E8275" s="211"/>
      <c r="U8275" s="222"/>
    </row>
    <row r="8276" spans="2:21" x14ac:dyDescent="0.2">
      <c r="B8276" s="207"/>
      <c r="C8276" s="210"/>
      <c r="D8276" s="211"/>
      <c r="E8276" s="211"/>
      <c r="U8276" s="222"/>
    </row>
    <row r="8277" spans="2:21" x14ac:dyDescent="0.2">
      <c r="B8277" s="207"/>
      <c r="C8277" s="210"/>
      <c r="D8277" s="211"/>
      <c r="E8277" s="211"/>
      <c r="U8277" s="222"/>
    </row>
    <row r="8278" spans="2:21" x14ac:dyDescent="0.2">
      <c r="B8278" s="207"/>
      <c r="C8278" s="210"/>
      <c r="D8278" s="211"/>
      <c r="E8278" s="211"/>
      <c r="U8278" s="222"/>
    </row>
    <row r="8279" spans="2:21" x14ac:dyDescent="0.2">
      <c r="B8279" s="207"/>
      <c r="C8279" s="210"/>
      <c r="D8279" s="211"/>
      <c r="E8279" s="211"/>
      <c r="U8279" s="222"/>
    </row>
    <row r="8280" spans="2:21" x14ac:dyDescent="0.2">
      <c r="B8280" s="207"/>
      <c r="C8280" s="210"/>
      <c r="D8280" s="211"/>
      <c r="E8280" s="211"/>
      <c r="U8280" s="222"/>
    </row>
    <row r="8281" spans="2:21" x14ac:dyDescent="0.2">
      <c r="B8281" s="207"/>
      <c r="C8281" s="210"/>
      <c r="D8281" s="211"/>
      <c r="E8281" s="211"/>
      <c r="U8281" s="222"/>
    </row>
    <row r="8282" spans="2:21" x14ac:dyDescent="0.2">
      <c r="B8282" s="207"/>
      <c r="C8282" s="210"/>
      <c r="D8282" s="211"/>
      <c r="E8282" s="211"/>
      <c r="U8282" s="222"/>
    </row>
    <row r="8283" spans="2:21" x14ac:dyDescent="0.2">
      <c r="B8283" s="207"/>
      <c r="C8283" s="210"/>
      <c r="D8283" s="211"/>
      <c r="E8283" s="211"/>
      <c r="U8283" s="222"/>
    </row>
    <row r="8284" spans="2:21" x14ac:dyDescent="0.2">
      <c r="B8284" s="207"/>
      <c r="C8284" s="210"/>
      <c r="D8284" s="211"/>
      <c r="E8284" s="211"/>
      <c r="U8284" s="222"/>
    </row>
    <row r="8285" spans="2:21" x14ac:dyDescent="0.2">
      <c r="B8285" s="207"/>
      <c r="C8285" s="210"/>
      <c r="D8285" s="211"/>
      <c r="E8285" s="211"/>
      <c r="U8285" s="222"/>
    </row>
    <row r="8286" spans="2:21" x14ac:dyDescent="0.2">
      <c r="B8286" s="207"/>
      <c r="C8286" s="210"/>
      <c r="D8286" s="211"/>
      <c r="E8286" s="211"/>
      <c r="U8286" s="222"/>
    </row>
    <row r="8287" spans="2:21" x14ac:dyDescent="0.2">
      <c r="B8287" s="207"/>
      <c r="C8287" s="210"/>
      <c r="D8287" s="211"/>
      <c r="E8287" s="211"/>
      <c r="U8287" s="222"/>
    </row>
    <row r="8288" spans="2:21" x14ac:dyDescent="0.2">
      <c r="B8288" s="207"/>
      <c r="C8288" s="210"/>
      <c r="D8288" s="211"/>
      <c r="E8288" s="211"/>
      <c r="U8288" s="222"/>
    </row>
    <row r="8289" spans="2:21" x14ac:dyDescent="0.2">
      <c r="B8289" s="207"/>
      <c r="C8289" s="210"/>
      <c r="D8289" s="211"/>
      <c r="E8289" s="211"/>
      <c r="U8289" s="222"/>
    </row>
    <row r="8290" spans="2:21" x14ac:dyDescent="0.2">
      <c r="B8290" s="207"/>
      <c r="C8290" s="210"/>
      <c r="D8290" s="211"/>
      <c r="E8290" s="211"/>
      <c r="U8290" s="222"/>
    </row>
    <row r="8291" spans="2:21" x14ac:dyDescent="0.2">
      <c r="B8291" s="207"/>
      <c r="C8291" s="210"/>
      <c r="D8291" s="211"/>
      <c r="E8291" s="211"/>
      <c r="U8291" s="222"/>
    </row>
    <row r="8292" spans="2:21" x14ac:dyDescent="0.2">
      <c r="B8292" s="207"/>
      <c r="C8292" s="210"/>
      <c r="D8292" s="211"/>
      <c r="E8292" s="211"/>
      <c r="U8292" s="222"/>
    </row>
    <row r="8293" spans="2:21" x14ac:dyDescent="0.2">
      <c r="B8293" s="207"/>
      <c r="C8293" s="210"/>
      <c r="D8293" s="211"/>
      <c r="E8293" s="211"/>
      <c r="U8293" s="222"/>
    </row>
    <row r="8294" spans="2:21" x14ac:dyDescent="0.2">
      <c r="B8294" s="207"/>
      <c r="C8294" s="210"/>
      <c r="D8294" s="211"/>
      <c r="E8294" s="211"/>
      <c r="U8294" s="222"/>
    </row>
    <row r="8295" spans="2:21" x14ac:dyDescent="0.2">
      <c r="B8295" s="207"/>
      <c r="C8295" s="210"/>
      <c r="D8295" s="211"/>
      <c r="E8295" s="211"/>
      <c r="U8295" s="222"/>
    </row>
    <row r="8296" spans="2:21" x14ac:dyDescent="0.2">
      <c r="B8296" s="207"/>
      <c r="C8296" s="210"/>
      <c r="D8296" s="211"/>
      <c r="E8296" s="211"/>
      <c r="U8296" s="222"/>
    </row>
    <row r="8297" spans="2:21" x14ac:dyDescent="0.2">
      <c r="B8297" s="207"/>
      <c r="C8297" s="210"/>
      <c r="D8297" s="211"/>
      <c r="E8297" s="211"/>
      <c r="U8297" s="222"/>
    </row>
    <row r="8298" spans="2:21" x14ac:dyDescent="0.2">
      <c r="B8298" s="207"/>
      <c r="C8298" s="210"/>
      <c r="D8298" s="211"/>
      <c r="E8298" s="211"/>
      <c r="U8298" s="222"/>
    </row>
    <row r="8299" spans="2:21" x14ac:dyDescent="0.2">
      <c r="B8299" s="207"/>
      <c r="C8299" s="210"/>
      <c r="D8299" s="211"/>
      <c r="E8299" s="211"/>
      <c r="U8299" s="222"/>
    </row>
    <row r="8300" spans="2:21" x14ac:dyDescent="0.2">
      <c r="B8300" s="207"/>
      <c r="C8300" s="210"/>
      <c r="D8300" s="211"/>
      <c r="E8300" s="211"/>
      <c r="U8300" s="222"/>
    </row>
    <row r="8301" spans="2:21" x14ac:dyDescent="0.2">
      <c r="B8301" s="207"/>
      <c r="C8301" s="210"/>
      <c r="D8301" s="211"/>
      <c r="E8301" s="211"/>
      <c r="U8301" s="222"/>
    </row>
    <row r="8302" spans="2:21" x14ac:dyDescent="0.2">
      <c r="B8302" s="207"/>
      <c r="C8302" s="210"/>
      <c r="D8302" s="211"/>
      <c r="E8302" s="211"/>
      <c r="U8302" s="222"/>
    </row>
    <row r="8303" spans="2:21" x14ac:dyDescent="0.2">
      <c r="B8303" s="207"/>
      <c r="C8303" s="210"/>
      <c r="D8303" s="211"/>
      <c r="E8303" s="211"/>
      <c r="U8303" s="222"/>
    </row>
    <row r="8304" spans="2:21" x14ac:dyDescent="0.2">
      <c r="B8304" s="207"/>
      <c r="C8304" s="210"/>
      <c r="D8304" s="211"/>
      <c r="E8304" s="211"/>
      <c r="U8304" s="222"/>
    </row>
    <row r="8305" spans="2:21" x14ac:dyDescent="0.2">
      <c r="B8305" s="207"/>
      <c r="C8305" s="210"/>
      <c r="D8305" s="211"/>
      <c r="E8305" s="211"/>
      <c r="U8305" s="222"/>
    </row>
    <row r="8306" spans="2:21" x14ac:dyDescent="0.2">
      <c r="B8306" s="207"/>
      <c r="C8306" s="210"/>
      <c r="D8306" s="211"/>
      <c r="E8306" s="211"/>
      <c r="U8306" s="222"/>
    </row>
    <row r="8307" spans="2:21" x14ac:dyDescent="0.2">
      <c r="B8307" s="207"/>
      <c r="C8307" s="210"/>
      <c r="D8307" s="211"/>
      <c r="E8307" s="211"/>
      <c r="U8307" s="222"/>
    </row>
    <row r="8308" spans="2:21" x14ac:dyDescent="0.2">
      <c r="B8308" s="207"/>
      <c r="C8308" s="210"/>
      <c r="D8308" s="211"/>
      <c r="E8308" s="211"/>
      <c r="U8308" s="222"/>
    </row>
    <row r="8309" spans="2:21" x14ac:dyDescent="0.2">
      <c r="B8309" s="207"/>
      <c r="C8309" s="210"/>
      <c r="D8309" s="211"/>
      <c r="E8309" s="211"/>
      <c r="U8309" s="222"/>
    </row>
    <row r="8310" spans="2:21" x14ac:dyDescent="0.2">
      <c r="B8310" s="207"/>
      <c r="C8310" s="210"/>
      <c r="D8310" s="211"/>
      <c r="E8310" s="211"/>
      <c r="U8310" s="222"/>
    </row>
    <row r="8311" spans="2:21" x14ac:dyDescent="0.2">
      <c r="B8311" s="207"/>
      <c r="C8311" s="210"/>
      <c r="D8311" s="211"/>
      <c r="E8311" s="211"/>
      <c r="U8311" s="222"/>
    </row>
    <row r="8312" spans="2:21" x14ac:dyDescent="0.2">
      <c r="B8312" s="207"/>
      <c r="C8312" s="210"/>
      <c r="D8312" s="211"/>
      <c r="E8312" s="211"/>
      <c r="U8312" s="222"/>
    </row>
    <row r="8313" spans="2:21" x14ac:dyDescent="0.2">
      <c r="B8313" s="207"/>
      <c r="C8313" s="210"/>
      <c r="D8313" s="211"/>
      <c r="E8313" s="211"/>
      <c r="U8313" s="222"/>
    </row>
    <row r="8314" spans="2:21" x14ac:dyDescent="0.2">
      <c r="B8314" s="207"/>
      <c r="C8314" s="210"/>
      <c r="D8314" s="211"/>
      <c r="E8314" s="211"/>
      <c r="U8314" s="222"/>
    </row>
    <row r="8315" spans="2:21" x14ac:dyDescent="0.2">
      <c r="B8315" s="207"/>
      <c r="C8315" s="210"/>
      <c r="D8315" s="211"/>
      <c r="E8315" s="211"/>
      <c r="U8315" s="222"/>
    </row>
    <row r="8316" spans="2:21" x14ac:dyDescent="0.2">
      <c r="B8316" s="207"/>
      <c r="C8316" s="210"/>
      <c r="D8316" s="211"/>
      <c r="E8316" s="211"/>
      <c r="U8316" s="222"/>
    </row>
    <row r="8317" spans="2:21" x14ac:dyDescent="0.2">
      <c r="B8317" s="207"/>
      <c r="C8317" s="210"/>
      <c r="D8317" s="211"/>
      <c r="E8317" s="211"/>
      <c r="U8317" s="222"/>
    </row>
    <row r="8318" spans="2:21" x14ac:dyDescent="0.2">
      <c r="B8318" s="207"/>
      <c r="C8318" s="210"/>
      <c r="D8318" s="211"/>
      <c r="E8318" s="211"/>
      <c r="U8318" s="222"/>
    </row>
    <row r="8319" spans="2:21" x14ac:dyDescent="0.2">
      <c r="B8319" s="207"/>
      <c r="C8319" s="210"/>
      <c r="D8319" s="211"/>
      <c r="E8319" s="211"/>
      <c r="U8319" s="222"/>
    </row>
    <row r="8320" spans="2:21" x14ac:dyDescent="0.2">
      <c r="B8320" s="207"/>
      <c r="C8320" s="210"/>
      <c r="D8320" s="211"/>
      <c r="E8320" s="211"/>
      <c r="U8320" s="222"/>
    </row>
    <row r="8321" spans="2:21" x14ac:dyDescent="0.2">
      <c r="B8321" s="207"/>
      <c r="C8321" s="210"/>
      <c r="D8321" s="211"/>
      <c r="E8321" s="211"/>
      <c r="U8321" s="222"/>
    </row>
    <row r="8322" spans="2:21" x14ac:dyDescent="0.2">
      <c r="B8322" s="207"/>
      <c r="C8322" s="210"/>
      <c r="D8322" s="211"/>
      <c r="E8322" s="211"/>
      <c r="U8322" s="222"/>
    </row>
    <row r="8323" spans="2:21" x14ac:dyDescent="0.2">
      <c r="B8323" s="207"/>
      <c r="C8323" s="210"/>
      <c r="D8323" s="211"/>
      <c r="E8323" s="211"/>
      <c r="U8323" s="222"/>
    </row>
    <row r="8324" spans="2:21" x14ac:dyDescent="0.2">
      <c r="B8324" s="207"/>
      <c r="C8324" s="210"/>
      <c r="D8324" s="211"/>
      <c r="E8324" s="211"/>
      <c r="U8324" s="222"/>
    </row>
    <row r="8325" spans="2:21" x14ac:dyDescent="0.2">
      <c r="B8325" s="207"/>
      <c r="C8325" s="210"/>
      <c r="D8325" s="211"/>
      <c r="E8325" s="211"/>
      <c r="U8325" s="222"/>
    </row>
    <row r="8326" spans="2:21" x14ac:dyDescent="0.2">
      <c r="B8326" s="207"/>
      <c r="C8326" s="210"/>
      <c r="D8326" s="211"/>
      <c r="E8326" s="211"/>
      <c r="U8326" s="222"/>
    </row>
    <row r="8327" spans="2:21" x14ac:dyDescent="0.2">
      <c r="B8327" s="207"/>
      <c r="C8327" s="210"/>
      <c r="D8327" s="211"/>
      <c r="E8327" s="211"/>
      <c r="U8327" s="222"/>
    </row>
    <row r="8328" spans="2:21" x14ac:dyDescent="0.2">
      <c r="B8328" s="207"/>
      <c r="C8328" s="210"/>
      <c r="D8328" s="211"/>
      <c r="E8328" s="211"/>
      <c r="U8328" s="222"/>
    </row>
    <row r="8329" spans="2:21" x14ac:dyDescent="0.2">
      <c r="B8329" s="207"/>
      <c r="C8329" s="210"/>
      <c r="D8329" s="211"/>
      <c r="E8329" s="211"/>
      <c r="U8329" s="222"/>
    </row>
    <row r="8330" spans="2:21" x14ac:dyDescent="0.2">
      <c r="B8330" s="207"/>
      <c r="C8330" s="210"/>
      <c r="D8330" s="211"/>
      <c r="E8330" s="211"/>
      <c r="U8330" s="222"/>
    </row>
    <row r="8331" spans="2:21" x14ac:dyDescent="0.2">
      <c r="B8331" s="207"/>
      <c r="C8331" s="210"/>
      <c r="D8331" s="211"/>
      <c r="E8331" s="211"/>
      <c r="U8331" s="222"/>
    </row>
    <row r="8332" spans="2:21" x14ac:dyDescent="0.2">
      <c r="B8332" s="207"/>
      <c r="C8332" s="210"/>
      <c r="D8332" s="211"/>
      <c r="E8332" s="211"/>
      <c r="U8332" s="222"/>
    </row>
    <row r="8333" spans="2:21" x14ac:dyDescent="0.2">
      <c r="B8333" s="207"/>
      <c r="C8333" s="210"/>
      <c r="D8333" s="211"/>
      <c r="E8333" s="211"/>
      <c r="U8333" s="222"/>
    </row>
    <row r="8334" spans="2:21" x14ac:dyDescent="0.2">
      <c r="B8334" s="207"/>
      <c r="C8334" s="210"/>
      <c r="D8334" s="211"/>
      <c r="E8334" s="211"/>
      <c r="U8334" s="222"/>
    </row>
    <row r="8335" spans="2:21" x14ac:dyDescent="0.2">
      <c r="B8335" s="207"/>
      <c r="C8335" s="210"/>
      <c r="D8335" s="211"/>
      <c r="E8335" s="211"/>
      <c r="U8335" s="222"/>
    </row>
    <row r="8336" spans="2:21" x14ac:dyDescent="0.2">
      <c r="B8336" s="207"/>
      <c r="C8336" s="210"/>
      <c r="D8336" s="211"/>
      <c r="E8336" s="211"/>
      <c r="U8336" s="222"/>
    </row>
    <row r="8337" spans="2:21" x14ac:dyDescent="0.2">
      <c r="B8337" s="207"/>
      <c r="C8337" s="210"/>
      <c r="D8337" s="211"/>
      <c r="E8337" s="211"/>
      <c r="U8337" s="222"/>
    </row>
    <row r="8338" spans="2:21" x14ac:dyDescent="0.2">
      <c r="B8338" s="207"/>
      <c r="C8338" s="210"/>
      <c r="D8338" s="211"/>
      <c r="E8338" s="211"/>
      <c r="U8338" s="222"/>
    </row>
    <row r="8339" spans="2:21" x14ac:dyDescent="0.2">
      <c r="B8339" s="207"/>
      <c r="C8339" s="210"/>
      <c r="D8339" s="211"/>
      <c r="E8339" s="211"/>
      <c r="U8339" s="222"/>
    </row>
    <row r="8340" spans="2:21" x14ac:dyDescent="0.2">
      <c r="B8340" s="207"/>
      <c r="C8340" s="210"/>
      <c r="D8340" s="211"/>
      <c r="E8340" s="211"/>
      <c r="U8340" s="222"/>
    </row>
    <row r="8341" spans="2:21" x14ac:dyDescent="0.2">
      <c r="B8341" s="207"/>
      <c r="C8341" s="210"/>
      <c r="D8341" s="211"/>
      <c r="E8341" s="211"/>
      <c r="U8341" s="222"/>
    </row>
    <row r="8342" spans="2:21" x14ac:dyDescent="0.2">
      <c r="B8342" s="207"/>
      <c r="C8342" s="210"/>
      <c r="D8342" s="211"/>
      <c r="E8342" s="211"/>
      <c r="U8342" s="222"/>
    </row>
    <row r="8343" spans="2:21" x14ac:dyDescent="0.2">
      <c r="B8343" s="207"/>
      <c r="C8343" s="210"/>
      <c r="D8343" s="211"/>
      <c r="E8343" s="211"/>
      <c r="U8343" s="222"/>
    </row>
    <row r="8344" spans="2:21" x14ac:dyDescent="0.2">
      <c r="B8344" s="207"/>
      <c r="C8344" s="210"/>
      <c r="D8344" s="211"/>
      <c r="E8344" s="211"/>
      <c r="U8344" s="222"/>
    </row>
    <row r="8345" spans="2:21" x14ac:dyDescent="0.2">
      <c r="B8345" s="207"/>
      <c r="C8345" s="210"/>
      <c r="D8345" s="211"/>
      <c r="E8345" s="211"/>
      <c r="U8345" s="222"/>
    </row>
    <row r="8346" spans="2:21" x14ac:dyDescent="0.2">
      <c r="B8346" s="207"/>
      <c r="C8346" s="210"/>
      <c r="D8346" s="211"/>
      <c r="E8346" s="211"/>
      <c r="U8346" s="222"/>
    </row>
    <row r="8347" spans="2:21" x14ac:dyDescent="0.2">
      <c r="B8347" s="207"/>
      <c r="C8347" s="210"/>
      <c r="D8347" s="211"/>
      <c r="E8347" s="211"/>
      <c r="U8347" s="222"/>
    </row>
    <row r="8348" spans="2:21" x14ac:dyDescent="0.2">
      <c r="B8348" s="207"/>
      <c r="C8348" s="210"/>
      <c r="D8348" s="211"/>
      <c r="E8348" s="211"/>
      <c r="U8348" s="222"/>
    </row>
    <row r="8349" spans="2:21" x14ac:dyDescent="0.2">
      <c r="B8349" s="207"/>
      <c r="C8349" s="210"/>
      <c r="D8349" s="211"/>
      <c r="E8349" s="211"/>
      <c r="U8349" s="222"/>
    </row>
    <row r="8350" spans="2:21" x14ac:dyDescent="0.2">
      <c r="B8350" s="207"/>
      <c r="C8350" s="210"/>
      <c r="D8350" s="211"/>
      <c r="E8350" s="211"/>
      <c r="U8350" s="222"/>
    </row>
    <row r="8351" spans="2:21" x14ac:dyDescent="0.2">
      <c r="B8351" s="207"/>
      <c r="C8351" s="210"/>
      <c r="D8351" s="211"/>
      <c r="E8351" s="211"/>
      <c r="U8351" s="222"/>
    </row>
    <row r="8352" spans="2:21" x14ac:dyDescent="0.2">
      <c r="B8352" s="207"/>
      <c r="C8352" s="210"/>
      <c r="D8352" s="211"/>
      <c r="E8352" s="211"/>
      <c r="U8352" s="222"/>
    </row>
    <row r="8353" spans="2:21" x14ac:dyDescent="0.2">
      <c r="B8353" s="207"/>
      <c r="C8353" s="210"/>
      <c r="D8353" s="211"/>
      <c r="E8353" s="211"/>
      <c r="U8353" s="222"/>
    </row>
    <row r="8354" spans="2:21" x14ac:dyDescent="0.2">
      <c r="B8354" s="207"/>
      <c r="C8354" s="210"/>
      <c r="D8354" s="211"/>
      <c r="E8354" s="211"/>
      <c r="U8354" s="222"/>
    </row>
    <row r="8355" spans="2:21" x14ac:dyDescent="0.2">
      <c r="B8355" s="207"/>
      <c r="C8355" s="210"/>
      <c r="D8355" s="211"/>
      <c r="E8355" s="211"/>
      <c r="U8355" s="222"/>
    </row>
    <row r="8356" spans="2:21" x14ac:dyDescent="0.2">
      <c r="B8356" s="207"/>
      <c r="C8356" s="210"/>
      <c r="D8356" s="211"/>
      <c r="E8356" s="211"/>
      <c r="U8356" s="222"/>
    </row>
    <row r="8357" spans="2:21" x14ac:dyDescent="0.2">
      <c r="B8357" s="207"/>
      <c r="C8357" s="210"/>
      <c r="D8357" s="211"/>
      <c r="E8357" s="211"/>
      <c r="U8357" s="222"/>
    </row>
    <row r="8358" spans="2:21" x14ac:dyDescent="0.2">
      <c r="B8358" s="207"/>
      <c r="C8358" s="210"/>
      <c r="D8358" s="211"/>
      <c r="E8358" s="211"/>
      <c r="U8358" s="222"/>
    </row>
    <row r="8359" spans="2:21" x14ac:dyDescent="0.2">
      <c r="B8359" s="207"/>
      <c r="C8359" s="210"/>
      <c r="D8359" s="211"/>
      <c r="E8359" s="211"/>
      <c r="U8359" s="222"/>
    </row>
    <row r="8360" spans="2:21" x14ac:dyDescent="0.2">
      <c r="B8360" s="207"/>
      <c r="C8360" s="210"/>
      <c r="D8360" s="211"/>
      <c r="E8360" s="211"/>
      <c r="U8360" s="222"/>
    </row>
    <row r="8361" spans="2:21" x14ac:dyDescent="0.2">
      <c r="B8361" s="207"/>
      <c r="C8361" s="210"/>
      <c r="D8361" s="211"/>
      <c r="E8361" s="211"/>
      <c r="U8361" s="222"/>
    </row>
    <row r="8362" spans="2:21" x14ac:dyDescent="0.2">
      <c r="B8362" s="207"/>
      <c r="C8362" s="210"/>
      <c r="D8362" s="211"/>
      <c r="E8362" s="211"/>
      <c r="U8362" s="222"/>
    </row>
    <row r="8363" spans="2:21" x14ac:dyDescent="0.2">
      <c r="B8363" s="207"/>
      <c r="C8363" s="210"/>
      <c r="D8363" s="211"/>
      <c r="E8363" s="211"/>
      <c r="U8363" s="222"/>
    </row>
    <row r="8364" spans="2:21" x14ac:dyDescent="0.2">
      <c r="B8364" s="207"/>
      <c r="C8364" s="210"/>
      <c r="D8364" s="211"/>
      <c r="E8364" s="211"/>
      <c r="U8364" s="222"/>
    </row>
    <row r="8365" spans="2:21" x14ac:dyDescent="0.2">
      <c r="B8365" s="207"/>
      <c r="C8365" s="210"/>
      <c r="D8365" s="211"/>
      <c r="E8365" s="211"/>
      <c r="U8365" s="222"/>
    </row>
    <row r="8366" spans="2:21" x14ac:dyDescent="0.2">
      <c r="B8366" s="207"/>
      <c r="C8366" s="210"/>
      <c r="D8366" s="211"/>
      <c r="E8366" s="211"/>
      <c r="U8366" s="222"/>
    </row>
    <row r="8367" spans="2:21" x14ac:dyDescent="0.2">
      <c r="B8367" s="207"/>
      <c r="C8367" s="210"/>
      <c r="D8367" s="211"/>
      <c r="E8367" s="211"/>
      <c r="U8367" s="222"/>
    </row>
    <row r="8368" spans="2:21" x14ac:dyDescent="0.2">
      <c r="B8368" s="207"/>
      <c r="C8368" s="210"/>
      <c r="D8368" s="211"/>
      <c r="E8368" s="211"/>
      <c r="U8368" s="222"/>
    </row>
    <row r="8369" spans="2:21" x14ac:dyDescent="0.2">
      <c r="B8369" s="207"/>
      <c r="C8369" s="210"/>
      <c r="D8369" s="211"/>
      <c r="E8369" s="211"/>
      <c r="U8369" s="222"/>
    </row>
    <row r="8370" spans="2:21" x14ac:dyDescent="0.2">
      <c r="B8370" s="207"/>
      <c r="C8370" s="210"/>
      <c r="D8370" s="211"/>
      <c r="E8370" s="211"/>
      <c r="U8370" s="222"/>
    </row>
    <row r="8371" spans="2:21" x14ac:dyDescent="0.2">
      <c r="B8371" s="207"/>
      <c r="C8371" s="210"/>
      <c r="D8371" s="211"/>
      <c r="E8371" s="211"/>
      <c r="U8371" s="222"/>
    </row>
    <row r="8372" spans="2:21" x14ac:dyDescent="0.2">
      <c r="B8372" s="207"/>
      <c r="C8372" s="210"/>
      <c r="D8372" s="211"/>
      <c r="E8372" s="211"/>
      <c r="U8372" s="222"/>
    </row>
    <row r="8373" spans="2:21" x14ac:dyDescent="0.2">
      <c r="B8373" s="207"/>
      <c r="C8373" s="210"/>
      <c r="D8373" s="211"/>
      <c r="E8373" s="211"/>
      <c r="U8373" s="222"/>
    </row>
    <row r="8374" spans="2:21" x14ac:dyDescent="0.2">
      <c r="B8374" s="207"/>
      <c r="C8374" s="210"/>
      <c r="D8374" s="211"/>
      <c r="E8374" s="211"/>
      <c r="U8374" s="222"/>
    </row>
    <row r="8375" spans="2:21" x14ac:dyDescent="0.2">
      <c r="B8375" s="207"/>
      <c r="C8375" s="210"/>
      <c r="D8375" s="211"/>
      <c r="E8375" s="211"/>
      <c r="U8375" s="222"/>
    </row>
    <row r="8376" spans="2:21" x14ac:dyDescent="0.2">
      <c r="B8376" s="207"/>
      <c r="C8376" s="210"/>
      <c r="D8376" s="211"/>
      <c r="E8376" s="211"/>
      <c r="U8376" s="222"/>
    </row>
    <row r="8377" spans="2:21" x14ac:dyDescent="0.2">
      <c r="B8377" s="207"/>
      <c r="C8377" s="210"/>
      <c r="D8377" s="211"/>
      <c r="E8377" s="211"/>
      <c r="U8377" s="222"/>
    </row>
    <row r="8378" spans="2:21" x14ac:dyDescent="0.2">
      <c r="B8378" s="207"/>
      <c r="C8378" s="210"/>
      <c r="D8378" s="211"/>
      <c r="E8378" s="211"/>
      <c r="U8378" s="222"/>
    </row>
    <row r="8379" spans="2:21" x14ac:dyDescent="0.2">
      <c r="B8379" s="207"/>
      <c r="C8379" s="210"/>
      <c r="D8379" s="211"/>
      <c r="E8379" s="211"/>
      <c r="U8379" s="222"/>
    </row>
    <row r="8380" spans="2:21" x14ac:dyDescent="0.2">
      <c r="B8380" s="207"/>
      <c r="C8380" s="210"/>
      <c r="D8380" s="211"/>
      <c r="E8380" s="211"/>
      <c r="U8380" s="222"/>
    </row>
    <row r="8381" spans="2:21" x14ac:dyDescent="0.2">
      <c r="B8381" s="207"/>
      <c r="C8381" s="210"/>
      <c r="D8381" s="211"/>
      <c r="E8381" s="211"/>
      <c r="U8381" s="222"/>
    </row>
    <row r="8382" spans="2:21" x14ac:dyDescent="0.2">
      <c r="B8382" s="207"/>
      <c r="C8382" s="210"/>
      <c r="D8382" s="211"/>
      <c r="E8382" s="211"/>
      <c r="U8382" s="222"/>
    </row>
    <row r="8383" spans="2:21" x14ac:dyDescent="0.2">
      <c r="B8383" s="207"/>
      <c r="C8383" s="210"/>
      <c r="D8383" s="211"/>
      <c r="E8383" s="211"/>
      <c r="U8383" s="222"/>
    </row>
    <row r="8384" spans="2:21" x14ac:dyDescent="0.2">
      <c r="B8384" s="207"/>
      <c r="C8384" s="210"/>
      <c r="D8384" s="211"/>
      <c r="E8384" s="211"/>
      <c r="U8384" s="222"/>
    </row>
    <row r="8385" spans="2:21" x14ac:dyDescent="0.2">
      <c r="B8385" s="207"/>
      <c r="C8385" s="210"/>
      <c r="D8385" s="211"/>
      <c r="E8385" s="211"/>
      <c r="U8385" s="222"/>
    </row>
    <row r="8386" spans="2:21" x14ac:dyDescent="0.2">
      <c r="B8386" s="207"/>
      <c r="C8386" s="210"/>
      <c r="D8386" s="211"/>
      <c r="E8386" s="211"/>
      <c r="U8386" s="222"/>
    </row>
    <row r="8387" spans="2:21" x14ac:dyDescent="0.2">
      <c r="B8387" s="207"/>
      <c r="C8387" s="210"/>
      <c r="D8387" s="211"/>
      <c r="E8387" s="211"/>
      <c r="U8387" s="222"/>
    </row>
    <row r="8388" spans="2:21" x14ac:dyDescent="0.2">
      <c r="B8388" s="207"/>
      <c r="C8388" s="210"/>
      <c r="D8388" s="211"/>
      <c r="E8388" s="211"/>
      <c r="U8388" s="222"/>
    </row>
    <row r="8389" spans="2:21" x14ac:dyDescent="0.2">
      <c r="B8389" s="207"/>
      <c r="C8389" s="210"/>
      <c r="D8389" s="211"/>
      <c r="E8389" s="211"/>
      <c r="U8389" s="222"/>
    </row>
    <row r="8390" spans="2:21" x14ac:dyDescent="0.2">
      <c r="B8390" s="207"/>
      <c r="C8390" s="210"/>
      <c r="D8390" s="211"/>
      <c r="E8390" s="211"/>
      <c r="U8390" s="222"/>
    </row>
    <row r="8391" spans="2:21" x14ac:dyDescent="0.2">
      <c r="B8391" s="207"/>
      <c r="C8391" s="210"/>
      <c r="D8391" s="211"/>
      <c r="E8391" s="211"/>
      <c r="U8391" s="222"/>
    </row>
    <row r="8392" spans="2:21" x14ac:dyDescent="0.2">
      <c r="B8392" s="207"/>
      <c r="C8392" s="210"/>
      <c r="D8392" s="211"/>
      <c r="E8392" s="211"/>
      <c r="U8392" s="222"/>
    </row>
    <row r="8393" spans="2:21" x14ac:dyDescent="0.2">
      <c r="B8393" s="207"/>
      <c r="C8393" s="210"/>
      <c r="D8393" s="211"/>
      <c r="E8393" s="211"/>
      <c r="U8393" s="222"/>
    </row>
    <row r="8394" spans="2:21" x14ac:dyDescent="0.2">
      <c r="B8394" s="207"/>
      <c r="C8394" s="210"/>
      <c r="D8394" s="211"/>
      <c r="E8394" s="211"/>
      <c r="U8394" s="222"/>
    </row>
    <row r="8395" spans="2:21" x14ac:dyDescent="0.2">
      <c r="B8395" s="207"/>
      <c r="C8395" s="210"/>
      <c r="D8395" s="211"/>
      <c r="E8395" s="211"/>
      <c r="U8395" s="222"/>
    </row>
    <row r="8396" spans="2:21" x14ac:dyDescent="0.2">
      <c r="B8396" s="207"/>
      <c r="C8396" s="210"/>
      <c r="D8396" s="211"/>
      <c r="E8396" s="211"/>
      <c r="U8396" s="222"/>
    </row>
    <row r="8397" spans="2:21" x14ac:dyDescent="0.2">
      <c r="B8397" s="207"/>
      <c r="C8397" s="210"/>
      <c r="D8397" s="211"/>
      <c r="E8397" s="211"/>
      <c r="U8397" s="222"/>
    </row>
    <row r="8398" spans="2:21" x14ac:dyDescent="0.2">
      <c r="B8398" s="207"/>
      <c r="C8398" s="210"/>
      <c r="D8398" s="211"/>
      <c r="E8398" s="211"/>
      <c r="U8398" s="222"/>
    </row>
    <row r="8399" spans="2:21" x14ac:dyDescent="0.2">
      <c r="B8399" s="207"/>
      <c r="C8399" s="210"/>
      <c r="D8399" s="211"/>
      <c r="E8399" s="211"/>
      <c r="U8399" s="222"/>
    </row>
    <row r="8400" spans="2:21" x14ac:dyDescent="0.2">
      <c r="B8400" s="207"/>
      <c r="C8400" s="210"/>
      <c r="D8400" s="211"/>
      <c r="E8400" s="211"/>
      <c r="U8400" s="222"/>
    </row>
    <row r="8401" spans="2:21" x14ac:dyDescent="0.2">
      <c r="B8401" s="207"/>
      <c r="C8401" s="210"/>
      <c r="D8401" s="211"/>
      <c r="E8401" s="211"/>
      <c r="U8401" s="222"/>
    </row>
    <row r="8402" spans="2:21" x14ac:dyDescent="0.2">
      <c r="B8402" s="207"/>
      <c r="C8402" s="210"/>
      <c r="D8402" s="211"/>
      <c r="E8402" s="211"/>
      <c r="U8402" s="222"/>
    </row>
    <row r="8403" spans="2:21" x14ac:dyDescent="0.2">
      <c r="B8403" s="207"/>
      <c r="C8403" s="210"/>
      <c r="D8403" s="211"/>
      <c r="E8403" s="211"/>
      <c r="U8403" s="222"/>
    </row>
    <row r="8404" spans="2:21" x14ac:dyDescent="0.2">
      <c r="B8404" s="207"/>
      <c r="C8404" s="210"/>
      <c r="D8404" s="211"/>
      <c r="E8404" s="211"/>
      <c r="U8404" s="222"/>
    </row>
    <row r="8405" spans="2:21" x14ac:dyDescent="0.2">
      <c r="B8405" s="207"/>
      <c r="C8405" s="210"/>
      <c r="D8405" s="211"/>
      <c r="E8405" s="211"/>
      <c r="U8405" s="222"/>
    </row>
    <row r="8406" spans="2:21" x14ac:dyDescent="0.2">
      <c r="B8406" s="207"/>
      <c r="C8406" s="210"/>
      <c r="D8406" s="211"/>
      <c r="E8406" s="211"/>
      <c r="U8406" s="222"/>
    </row>
    <row r="8407" spans="2:21" x14ac:dyDescent="0.2">
      <c r="B8407" s="207"/>
      <c r="C8407" s="210"/>
      <c r="D8407" s="211"/>
      <c r="E8407" s="211"/>
      <c r="U8407" s="222"/>
    </row>
    <row r="8408" spans="2:21" x14ac:dyDescent="0.2">
      <c r="B8408" s="207"/>
      <c r="C8408" s="210"/>
      <c r="D8408" s="211"/>
      <c r="E8408" s="211"/>
      <c r="U8408" s="222"/>
    </row>
    <row r="8409" spans="2:21" x14ac:dyDescent="0.2">
      <c r="B8409" s="207"/>
      <c r="C8409" s="210"/>
      <c r="D8409" s="211"/>
      <c r="E8409" s="211"/>
      <c r="U8409" s="222"/>
    </row>
    <row r="8410" spans="2:21" x14ac:dyDescent="0.2">
      <c r="B8410" s="207"/>
      <c r="C8410" s="210"/>
      <c r="D8410" s="211"/>
      <c r="E8410" s="211"/>
      <c r="U8410" s="222"/>
    </row>
    <row r="8411" spans="2:21" x14ac:dyDescent="0.2">
      <c r="B8411" s="207"/>
      <c r="C8411" s="210"/>
      <c r="D8411" s="211"/>
      <c r="E8411" s="211"/>
      <c r="U8411" s="222"/>
    </row>
    <row r="8412" spans="2:21" x14ac:dyDescent="0.2">
      <c r="B8412" s="207"/>
      <c r="C8412" s="210"/>
      <c r="D8412" s="211"/>
      <c r="E8412" s="211"/>
      <c r="U8412" s="222"/>
    </row>
    <row r="8413" spans="2:21" x14ac:dyDescent="0.2">
      <c r="B8413" s="207"/>
      <c r="C8413" s="210"/>
      <c r="D8413" s="211"/>
      <c r="E8413" s="211"/>
      <c r="U8413" s="222"/>
    </row>
    <row r="8414" spans="2:21" x14ac:dyDescent="0.2">
      <c r="B8414" s="207"/>
      <c r="C8414" s="210"/>
      <c r="D8414" s="211"/>
      <c r="E8414" s="211"/>
      <c r="U8414" s="222"/>
    </row>
    <row r="8415" spans="2:21" x14ac:dyDescent="0.2">
      <c r="B8415" s="207"/>
      <c r="C8415" s="210"/>
      <c r="D8415" s="211"/>
      <c r="E8415" s="211"/>
      <c r="U8415" s="222"/>
    </row>
    <row r="8416" spans="2:21" x14ac:dyDescent="0.2">
      <c r="B8416" s="207"/>
      <c r="C8416" s="210"/>
      <c r="D8416" s="211"/>
      <c r="E8416" s="211"/>
      <c r="U8416" s="222"/>
    </row>
    <row r="8417" spans="2:21" x14ac:dyDescent="0.2">
      <c r="B8417" s="207"/>
      <c r="C8417" s="210"/>
      <c r="D8417" s="211"/>
      <c r="E8417" s="211"/>
      <c r="U8417" s="222"/>
    </row>
    <row r="8418" spans="2:21" x14ac:dyDescent="0.2">
      <c r="B8418" s="207"/>
      <c r="C8418" s="210"/>
      <c r="D8418" s="211"/>
      <c r="E8418" s="211"/>
      <c r="U8418" s="222"/>
    </row>
    <row r="8419" spans="2:21" x14ac:dyDescent="0.2">
      <c r="B8419" s="207"/>
      <c r="C8419" s="210"/>
      <c r="D8419" s="211"/>
      <c r="E8419" s="211"/>
      <c r="U8419" s="222"/>
    </row>
    <row r="8420" spans="2:21" x14ac:dyDescent="0.2">
      <c r="B8420" s="207"/>
      <c r="C8420" s="210"/>
      <c r="D8420" s="211"/>
      <c r="E8420" s="211"/>
      <c r="U8420" s="222"/>
    </row>
    <row r="8421" spans="2:21" x14ac:dyDescent="0.2">
      <c r="B8421" s="207"/>
      <c r="C8421" s="210"/>
      <c r="D8421" s="211"/>
      <c r="E8421" s="211"/>
      <c r="U8421" s="222"/>
    </row>
    <row r="8422" spans="2:21" x14ac:dyDescent="0.2">
      <c r="B8422" s="207"/>
      <c r="C8422" s="210"/>
      <c r="D8422" s="211"/>
      <c r="E8422" s="211"/>
      <c r="U8422" s="222"/>
    </row>
    <row r="8423" spans="2:21" x14ac:dyDescent="0.2">
      <c r="B8423" s="207"/>
      <c r="C8423" s="210"/>
      <c r="D8423" s="211"/>
      <c r="E8423" s="211"/>
      <c r="U8423" s="222"/>
    </row>
    <row r="8424" spans="2:21" x14ac:dyDescent="0.2">
      <c r="B8424" s="207"/>
      <c r="C8424" s="210"/>
      <c r="D8424" s="211"/>
      <c r="E8424" s="211"/>
      <c r="U8424" s="222"/>
    </row>
    <row r="8425" spans="2:21" x14ac:dyDescent="0.2">
      <c r="B8425" s="207"/>
      <c r="C8425" s="210"/>
      <c r="D8425" s="211"/>
      <c r="E8425" s="211"/>
      <c r="U8425" s="222"/>
    </row>
    <row r="8426" spans="2:21" x14ac:dyDescent="0.2">
      <c r="B8426" s="207"/>
      <c r="C8426" s="210"/>
      <c r="D8426" s="211"/>
      <c r="E8426" s="211"/>
      <c r="U8426" s="222"/>
    </row>
    <row r="8427" spans="2:21" x14ac:dyDescent="0.2">
      <c r="B8427" s="207"/>
      <c r="C8427" s="210"/>
      <c r="D8427" s="211"/>
      <c r="E8427" s="211"/>
      <c r="U8427" s="222"/>
    </row>
    <row r="8428" spans="2:21" x14ac:dyDescent="0.2">
      <c r="B8428" s="207"/>
      <c r="C8428" s="210"/>
      <c r="D8428" s="211"/>
      <c r="E8428" s="211"/>
      <c r="U8428" s="222"/>
    </row>
    <row r="8429" spans="2:21" x14ac:dyDescent="0.2">
      <c r="B8429" s="207"/>
      <c r="C8429" s="210"/>
      <c r="D8429" s="211"/>
      <c r="E8429" s="211"/>
      <c r="U8429" s="222"/>
    </row>
    <row r="8430" spans="2:21" x14ac:dyDescent="0.2">
      <c r="B8430" s="207"/>
      <c r="C8430" s="210"/>
      <c r="D8430" s="211"/>
      <c r="E8430" s="211"/>
      <c r="U8430" s="222"/>
    </row>
    <row r="8431" spans="2:21" x14ac:dyDescent="0.2">
      <c r="B8431" s="207"/>
      <c r="C8431" s="210"/>
      <c r="D8431" s="211"/>
      <c r="E8431" s="211"/>
      <c r="U8431" s="222"/>
    </row>
    <row r="8432" spans="2:21" x14ac:dyDescent="0.2">
      <c r="B8432" s="207"/>
      <c r="C8432" s="210"/>
      <c r="D8432" s="211"/>
      <c r="E8432" s="211"/>
      <c r="U8432" s="222"/>
    </row>
    <row r="8433" spans="2:21" x14ac:dyDescent="0.2">
      <c r="B8433" s="207"/>
      <c r="C8433" s="210"/>
      <c r="D8433" s="211"/>
      <c r="E8433" s="211"/>
      <c r="U8433" s="222"/>
    </row>
    <row r="8434" spans="2:21" x14ac:dyDescent="0.2">
      <c r="B8434" s="207"/>
      <c r="C8434" s="210"/>
      <c r="D8434" s="211"/>
      <c r="E8434" s="211"/>
      <c r="U8434" s="222"/>
    </row>
    <row r="8435" spans="2:21" x14ac:dyDescent="0.2">
      <c r="B8435" s="207"/>
      <c r="C8435" s="210"/>
      <c r="D8435" s="211"/>
      <c r="E8435" s="211"/>
      <c r="U8435" s="222"/>
    </row>
    <row r="8436" spans="2:21" x14ac:dyDescent="0.2">
      <c r="B8436" s="207"/>
      <c r="C8436" s="210"/>
      <c r="D8436" s="211"/>
      <c r="E8436" s="211"/>
      <c r="U8436" s="222"/>
    </row>
    <row r="8437" spans="2:21" x14ac:dyDescent="0.2">
      <c r="B8437" s="207"/>
      <c r="C8437" s="210"/>
      <c r="D8437" s="211"/>
      <c r="E8437" s="211"/>
      <c r="U8437" s="222"/>
    </row>
    <row r="8438" spans="2:21" x14ac:dyDescent="0.2">
      <c r="B8438" s="207"/>
      <c r="C8438" s="210"/>
      <c r="D8438" s="211"/>
      <c r="E8438" s="211"/>
      <c r="U8438" s="222"/>
    </row>
    <row r="8439" spans="2:21" x14ac:dyDescent="0.2">
      <c r="B8439" s="207"/>
      <c r="C8439" s="210"/>
      <c r="D8439" s="211"/>
      <c r="E8439" s="211"/>
      <c r="U8439" s="222"/>
    </row>
    <row r="8440" spans="2:21" x14ac:dyDescent="0.2">
      <c r="B8440" s="207"/>
      <c r="C8440" s="210"/>
      <c r="D8440" s="211"/>
      <c r="E8440" s="211"/>
      <c r="U8440" s="222"/>
    </row>
    <row r="8441" spans="2:21" x14ac:dyDescent="0.2">
      <c r="B8441" s="207"/>
      <c r="C8441" s="210"/>
      <c r="D8441" s="211"/>
      <c r="E8441" s="211"/>
      <c r="U8441" s="222"/>
    </row>
    <row r="8442" spans="2:21" x14ac:dyDescent="0.2">
      <c r="B8442" s="207"/>
      <c r="C8442" s="210"/>
      <c r="D8442" s="211"/>
      <c r="E8442" s="211"/>
      <c r="U8442" s="222"/>
    </row>
    <row r="8443" spans="2:21" x14ac:dyDescent="0.2">
      <c r="B8443" s="207"/>
      <c r="C8443" s="210"/>
      <c r="D8443" s="211"/>
      <c r="E8443" s="211"/>
      <c r="U8443" s="222"/>
    </row>
    <row r="8444" spans="2:21" x14ac:dyDescent="0.2">
      <c r="B8444" s="207"/>
      <c r="C8444" s="210"/>
      <c r="D8444" s="211"/>
      <c r="E8444" s="211"/>
      <c r="U8444" s="222"/>
    </row>
    <row r="8445" spans="2:21" x14ac:dyDescent="0.2">
      <c r="B8445" s="207"/>
      <c r="C8445" s="210"/>
      <c r="D8445" s="211"/>
      <c r="E8445" s="211"/>
      <c r="U8445" s="222"/>
    </row>
    <row r="8446" spans="2:21" x14ac:dyDescent="0.2">
      <c r="B8446" s="207"/>
      <c r="C8446" s="210"/>
      <c r="D8446" s="211"/>
      <c r="E8446" s="211"/>
      <c r="U8446" s="222"/>
    </row>
    <row r="8447" spans="2:21" x14ac:dyDescent="0.2">
      <c r="B8447" s="207"/>
      <c r="C8447" s="210"/>
      <c r="D8447" s="211"/>
      <c r="E8447" s="211"/>
      <c r="U8447" s="222"/>
    </row>
    <row r="8448" spans="2:21" x14ac:dyDescent="0.2">
      <c r="B8448" s="207"/>
      <c r="C8448" s="210"/>
      <c r="D8448" s="211"/>
      <c r="E8448" s="211"/>
      <c r="U8448" s="222"/>
    </row>
    <row r="8449" spans="2:21" x14ac:dyDescent="0.2">
      <c r="B8449" s="207"/>
      <c r="C8449" s="210"/>
      <c r="D8449" s="211"/>
      <c r="E8449" s="211"/>
      <c r="U8449" s="222"/>
    </row>
    <row r="8450" spans="2:21" x14ac:dyDescent="0.2">
      <c r="B8450" s="207"/>
      <c r="C8450" s="210"/>
      <c r="D8450" s="211"/>
      <c r="E8450" s="211"/>
      <c r="U8450" s="222"/>
    </row>
    <row r="8451" spans="2:21" x14ac:dyDescent="0.2">
      <c r="B8451" s="207"/>
      <c r="C8451" s="210"/>
      <c r="D8451" s="211"/>
      <c r="E8451" s="211"/>
      <c r="U8451" s="222"/>
    </row>
    <row r="8452" spans="2:21" x14ac:dyDescent="0.2">
      <c r="B8452" s="207"/>
      <c r="C8452" s="210"/>
      <c r="D8452" s="211"/>
      <c r="E8452" s="211"/>
      <c r="U8452" s="222"/>
    </row>
    <row r="8453" spans="2:21" x14ac:dyDescent="0.2">
      <c r="B8453" s="207"/>
      <c r="C8453" s="210"/>
      <c r="D8453" s="211"/>
      <c r="E8453" s="211"/>
      <c r="U8453" s="222"/>
    </row>
    <row r="8454" spans="2:21" x14ac:dyDescent="0.2">
      <c r="B8454" s="207"/>
      <c r="C8454" s="210"/>
      <c r="D8454" s="211"/>
      <c r="E8454" s="211"/>
      <c r="U8454" s="222"/>
    </row>
    <row r="8455" spans="2:21" x14ac:dyDescent="0.2">
      <c r="B8455" s="207"/>
      <c r="C8455" s="210"/>
      <c r="D8455" s="211"/>
      <c r="E8455" s="211"/>
      <c r="U8455" s="222"/>
    </row>
    <row r="8456" spans="2:21" x14ac:dyDescent="0.2">
      <c r="B8456" s="207"/>
      <c r="C8456" s="210"/>
      <c r="D8456" s="211"/>
      <c r="E8456" s="211"/>
      <c r="U8456" s="222"/>
    </row>
    <row r="8457" spans="2:21" x14ac:dyDescent="0.2">
      <c r="B8457" s="207"/>
      <c r="C8457" s="210"/>
      <c r="D8457" s="211"/>
      <c r="E8457" s="211"/>
      <c r="U8457" s="222"/>
    </row>
    <row r="8458" spans="2:21" x14ac:dyDescent="0.2">
      <c r="B8458" s="207"/>
      <c r="C8458" s="210"/>
      <c r="D8458" s="211"/>
      <c r="E8458" s="211"/>
      <c r="U8458" s="222"/>
    </row>
    <row r="8459" spans="2:21" x14ac:dyDescent="0.2">
      <c r="B8459" s="207"/>
      <c r="C8459" s="210"/>
      <c r="D8459" s="211"/>
      <c r="E8459" s="211"/>
      <c r="U8459" s="222"/>
    </row>
    <row r="8460" spans="2:21" x14ac:dyDescent="0.2">
      <c r="B8460" s="207"/>
      <c r="C8460" s="210"/>
      <c r="D8460" s="211"/>
      <c r="E8460" s="211"/>
      <c r="U8460" s="222"/>
    </row>
    <row r="8461" spans="2:21" x14ac:dyDescent="0.2">
      <c r="B8461" s="207"/>
      <c r="C8461" s="210"/>
      <c r="D8461" s="211"/>
      <c r="E8461" s="211"/>
      <c r="U8461" s="222"/>
    </row>
    <row r="8462" spans="2:21" x14ac:dyDescent="0.2">
      <c r="B8462" s="207"/>
      <c r="C8462" s="210"/>
      <c r="D8462" s="211"/>
      <c r="E8462" s="211"/>
      <c r="U8462" s="222"/>
    </row>
    <row r="8463" spans="2:21" x14ac:dyDescent="0.2">
      <c r="B8463" s="207"/>
      <c r="C8463" s="210"/>
      <c r="D8463" s="211"/>
      <c r="E8463" s="211"/>
      <c r="U8463" s="222"/>
    </row>
    <row r="8464" spans="2:21" x14ac:dyDescent="0.2">
      <c r="B8464" s="207"/>
      <c r="C8464" s="210"/>
      <c r="D8464" s="211"/>
      <c r="E8464" s="211"/>
      <c r="U8464" s="222"/>
    </row>
    <row r="8465" spans="2:21" x14ac:dyDescent="0.2">
      <c r="B8465" s="207"/>
      <c r="C8465" s="210"/>
      <c r="D8465" s="211"/>
      <c r="E8465" s="211"/>
      <c r="U8465" s="222"/>
    </row>
    <row r="8466" spans="2:21" x14ac:dyDescent="0.2">
      <c r="B8466" s="207"/>
      <c r="C8466" s="210"/>
      <c r="D8466" s="211"/>
      <c r="E8466" s="211"/>
      <c r="U8466" s="222"/>
    </row>
    <row r="8467" spans="2:21" x14ac:dyDescent="0.2">
      <c r="B8467" s="207"/>
      <c r="C8467" s="210"/>
      <c r="D8467" s="211"/>
      <c r="E8467" s="211"/>
      <c r="U8467" s="222"/>
    </row>
    <row r="8468" spans="2:21" x14ac:dyDescent="0.2">
      <c r="B8468" s="207"/>
      <c r="C8468" s="210"/>
      <c r="D8468" s="211"/>
      <c r="E8468" s="211"/>
      <c r="U8468" s="222"/>
    </row>
    <row r="8469" spans="2:21" x14ac:dyDescent="0.2">
      <c r="B8469" s="207"/>
      <c r="C8469" s="210"/>
      <c r="D8469" s="211"/>
      <c r="E8469" s="211"/>
      <c r="U8469" s="222"/>
    </row>
    <row r="8470" spans="2:21" x14ac:dyDescent="0.2">
      <c r="B8470" s="207"/>
      <c r="C8470" s="210"/>
      <c r="D8470" s="211"/>
      <c r="E8470" s="211"/>
      <c r="U8470" s="222"/>
    </row>
    <row r="8471" spans="2:21" x14ac:dyDescent="0.2">
      <c r="B8471" s="207"/>
      <c r="C8471" s="210"/>
      <c r="D8471" s="211"/>
      <c r="E8471" s="211"/>
      <c r="U8471" s="222"/>
    </row>
    <row r="8472" spans="2:21" x14ac:dyDescent="0.2">
      <c r="B8472" s="207"/>
      <c r="C8472" s="210"/>
      <c r="D8472" s="211"/>
      <c r="E8472" s="211"/>
      <c r="U8472" s="222"/>
    </row>
    <row r="8473" spans="2:21" x14ac:dyDescent="0.2">
      <c r="B8473" s="207"/>
      <c r="C8473" s="210"/>
      <c r="D8473" s="211"/>
      <c r="E8473" s="211"/>
      <c r="U8473" s="222"/>
    </row>
    <row r="8474" spans="2:21" x14ac:dyDescent="0.2">
      <c r="B8474" s="207"/>
      <c r="C8474" s="210"/>
      <c r="D8474" s="211"/>
      <c r="E8474" s="211"/>
      <c r="U8474" s="222"/>
    </row>
    <row r="8475" spans="2:21" x14ac:dyDescent="0.2">
      <c r="B8475" s="207"/>
      <c r="C8475" s="210"/>
      <c r="D8475" s="211"/>
      <c r="E8475" s="211"/>
      <c r="U8475" s="222"/>
    </row>
    <row r="8476" spans="2:21" x14ac:dyDescent="0.2">
      <c r="B8476" s="207"/>
      <c r="C8476" s="210"/>
      <c r="D8476" s="211"/>
      <c r="E8476" s="211"/>
      <c r="U8476" s="222"/>
    </row>
    <row r="8477" spans="2:21" x14ac:dyDescent="0.2">
      <c r="B8477" s="207"/>
      <c r="C8477" s="210"/>
      <c r="D8477" s="211"/>
      <c r="E8477" s="211"/>
      <c r="U8477" s="222"/>
    </row>
    <row r="8478" spans="2:21" x14ac:dyDescent="0.2">
      <c r="B8478" s="207"/>
      <c r="C8478" s="210"/>
      <c r="D8478" s="211"/>
      <c r="E8478" s="211"/>
      <c r="U8478" s="222"/>
    </row>
    <row r="8479" spans="2:21" x14ac:dyDescent="0.2">
      <c r="B8479" s="207"/>
      <c r="C8479" s="210"/>
      <c r="D8479" s="211"/>
      <c r="E8479" s="211"/>
      <c r="U8479" s="222"/>
    </row>
    <row r="8480" spans="2:21" x14ac:dyDescent="0.2">
      <c r="B8480" s="207"/>
      <c r="C8480" s="210"/>
      <c r="D8480" s="211"/>
      <c r="E8480" s="211"/>
      <c r="U8480" s="222"/>
    </row>
    <row r="8481" spans="2:21" x14ac:dyDescent="0.2">
      <c r="B8481" s="207"/>
      <c r="C8481" s="210"/>
      <c r="D8481" s="211"/>
      <c r="E8481" s="211"/>
      <c r="U8481" s="222"/>
    </row>
    <row r="8482" spans="2:21" x14ac:dyDescent="0.2">
      <c r="B8482" s="207"/>
      <c r="C8482" s="210"/>
      <c r="D8482" s="211"/>
      <c r="E8482" s="211"/>
      <c r="U8482" s="222"/>
    </row>
    <row r="8483" spans="2:21" x14ac:dyDescent="0.2">
      <c r="B8483" s="207"/>
      <c r="C8483" s="210"/>
      <c r="D8483" s="211"/>
      <c r="E8483" s="211"/>
      <c r="U8483" s="222"/>
    </row>
    <row r="8484" spans="2:21" x14ac:dyDescent="0.2">
      <c r="B8484" s="207"/>
      <c r="C8484" s="210"/>
      <c r="D8484" s="211"/>
      <c r="E8484" s="211"/>
      <c r="U8484" s="222"/>
    </row>
    <row r="8485" spans="2:21" x14ac:dyDescent="0.2">
      <c r="B8485" s="207"/>
      <c r="C8485" s="210"/>
      <c r="D8485" s="211"/>
      <c r="E8485" s="211"/>
      <c r="U8485" s="222"/>
    </row>
    <row r="8486" spans="2:21" x14ac:dyDescent="0.2">
      <c r="B8486" s="207"/>
      <c r="C8486" s="210"/>
      <c r="D8486" s="211"/>
      <c r="E8486" s="211"/>
      <c r="U8486" s="222"/>
    </row>
    <row r="8487" spans="2:21" x14ac:dyDescent="0.2">
      <c r="B8487" s="207"/>
      <c r="C8487" s="210"/>
      <c r="D8487" s="211"/>
      <c r="E8487" s="211"/>
      <c r="U8487" s="222"/>
    </row>
    <row r="8488" spans="2:21" x14ac:dyDescent="0.2">
      <c r="B8488" s="207"/>
      <c r="C8488" s="210"/>
      <c r="D8488" s="211"/>
      <c r="E8488" s="211"/>
      <c r="U8488" s="222"/>
    </row>
    <row r="8489" spans="2:21" x14ac:dyDescent="0.2">
      <c r="B8489" s="207"/>
      <c r="C8489" s="210"/>
      <c r="D8489" s="211"/>
      <c r="E8489" s="211"/>
      <c r="U8489" s="222"/>
    </row>
    <row r="8490" spans="2:21" x14ac:dyDescent="0.2">
      <c r="B8490" s="207"/>
      <c r="C8490" s="210"/>
      <c r="D8490" s="211"/>
      <c r="E8490" s="211"/>
      <c r="U8490" s="222"/>
    </row>
    <row r="8491" spans="2:21" x14ac:dyDescent="0.2">
      <c r="B8491" s="207"/>
      <c r="C8491" s="210"/>
      <c r="D8491" s="211"/>
      <c r="E8491" s="211"/>
      <c r="U8491" s="222"/>
    </row>
    <row r="8492" spans="2:21" x14ac:dyDescent="0.2">
      <c r="B8492" s="207"/>
      <c r="C8492" s="210"/>
      <c r="D8492" s="211"/>
      <c r="E8492" s="211"/>
      <c r="U8492" s="222"/>
    </row>
    <row r="8493" spans="2:21" x14ac:dyDescent="0.2">
      <c r="B8493" s="207"/>
      <c r="C8493" s="210"/>
      <c r="D8493" s="211"/>
      <c r="E8493" s="211"/>
      <c r="U8493" s="222"/>
    </row>
    <row r="8494" spans="2:21" x14ac:dyDescent="0.2">
      <c r="B8494" s="207"/>
      <c r="C8494" s="210"/>
      <c r="D8494" s="211"/>
      <c r="E8494" s="211"/>
      <c r="U8494" s="222"/>
    </row>
    <row r="8495" spans="2:21" x14ac:dyDescent="0.2">
      <c r="B8495" s="207"/>
      <c r="C8495" s="210"/>
      <c r="D8495" s="211"/>
      <c r="E8495" s="211"/>
      <c r="U8495" s="222"/>
    </row>
    <row r="8496" spans="2:21" x14ac:dyDescent="0.2">
      <c r="B8496" s="207"/>
      <c r="C8496" s="210"/>
      <c r="D8496" s="211"/>
      <c r="E8496" s="211"/>
      <c r="U8496" s="222"/>
    </row>
    <row r="8497" spans="2:21" x14ac:dyDescent="0.2">
      <c r="B8497" s="207"/>
      <c r="C8497" s="210"/>
      <c r="D8497" s="211"/>
      <c r="E8497" s="211"/>
      <c r="U8497" s="222"/>
    </row>
    <row r="8498" spans="2:21" x14ac:dyDescent="0.2">
      <c r="B8498" s="207"/>
      <c r="C8498" s="210"/>
      <c r="D8498" s="211"/>
      <c r="E8498" s="211"/>
      <c r="U8498" s="222"/>
    </row>
    <row r="8499" spans="2:21" x14ac:dyDescent="0.2">
      <c r="B8499" s="207"/>
      <c r="C8499" s="210"/>
      <c r="D8499" s="211"/>
      <c r="E8499" s="211"/>
      <c r="U8499" s="222"/>
    </row>
    <row r="8500" spans="2:21" x14ac:dyDescent="0.2">
      <c r="B8500" s="207"/>
      <c r="C8500" s="210"/>
      <c r="D8500" s="211"/>
      <c r="E8500" s="211"/>
      <c r="U8500" s="222"/>
    </row>
    <row r="8501" spans="2:21" x14ac:dyDescent="0.2">
      <c r="B8501" s="207"/>
      <c r="C8501" s="210"/>
      <c r="D8501" s="211"/>
      <c r="E8501" s="211"/>
      <c r="U8501" s="222"/>
    </row>
    <row r="8502" spans="2:21" x14ac:dyDescent="0.2">
      <c r="B8502" s="207"/>
      <c r="C8502" s="210"/>
      <c r="D8502" s="211"/>
      <c r="E8502" s="211"/>
      <c r="U8502" s="222"/>
    </row>
    <row r="8503" spans="2:21" x14ac:dyDescent="0.2">
      <c r="B8503" s="207"/>
      <c r="C8503" s="210"/>
      <c r="D8503" s="211"/>
      <c r="E8503" s="211"/>
      <c r="U8503" s="222"/>
    </row>
    <row r="8504" spans="2:21" x14ac:dyDescent="0.2">
      <c r="B8504" s="207"/>
      <c r="C8504" s="210"/>
      <c r="D8504" s="211"/>
      <c r="E8504" s="211"/>
      <c r="U8504" s="222"/>
    </row>
    <row r="8505" spans="2:21" x14ac:dyDescent="0.2">
      <c r="B8505" s="207"/>
      <c r="C8505" s="210"/>
      <c r="D8505" s="211"/>
      <c r="E8505" s="211"/>
      <c r="U8505" s="222"/>
    </row>
    <row r="8506" spans="2:21" x14ac:dyDescent="0.2">
      <c r="B8506" s="207"/>
      <c r="C8506" s="210"/>
      <c r="D8506" s="211"/>
      <c r="E8506" s="211"/>
      <c r="U8506" s="222"/>
    </row>
    <row r="8507" spans="2:21" x14ac:dyDescent="0.2">
      <c r="B8507" s="207"/>
      <c r="C8507" s="210"/>
      <c r="D8507" s="211"/>
      <c r="E8507" s="211"/>
      <c r="U8507" s="222"/>
    </row>
    <row r="8508" spans="2:21" x14ac:dyDescent="0.2">
      <c r="B8508" s="207"/>
      <c r="C8508" s="210"/>
      <c r="D8508" s="211"/>
      <c r="E8508" s="211"/>
      <c r="U8508" s="222"/>
    </row>
    <row r="8509" spans="2:21" x14ac:dyDescent="0.2">
      <c r="B8509" s="207"/>
      <c r="C8509" s="210"/>
      <c r="D8509" s="211"/>
      <c r="E8509" s="211"/>
      <c r="U8509" s="222"/>
    </row>
    <row r="8510" spans="2:21" x14ac:dyDescent="0.2">
      <c r="B8510" s="207"/>
      <c r="C8510" s="210"/>
      <c r="D8510" s="211"/>
      <c r="E8510" s="211"/>
      <c r="U8510" s="222"/>
    </row>
    <row r="8511" spans="2:21" x14ac:dyDescent="0.2">
      <c r="B8511" s="207"/>
      <c r="C8511" s="210"/>
      <c r="D8511" s="211"/>
      <c r="E8511" s="211"/>
      <c r="U8511" s="222"/>
    </row>
    <row r="8512" spans="2:21" x14ac:dyDescent="0.2">
      <c r="B8512" s="207"/>
      <c r="C8512" s="210"/>
      <c r="D8512" s="211"/>
      <c r="E8512" s="211"/>
      <c r="U8512" s="222"/>
    </row>
    <row r="8513" spans="2:21" x14ac:dyDescent="0.2">
      <c r="B8513" s="207"/>
      <c r="C8513" s="210"/>
      <c r="D8513" s="211"/>
      <c r="E8513" s="211"/>
      <c r="U8513" s="222"/>
    </row>
    <row r="8514" spans="2:21" x14ac:dyDescent="0.2">
      <c r="B8514" s="207"/>
      <c r="C8514" s="210"/>
      <c r="D8514" s="211"/>
      <c r="E8514" s="211"/>
      <c r="U8514" s="222"/>
    </row>
    <row r="8515" spans="2:21" x14ac:dyDescent="0.2">
      <c r="B8515" s="207"/>
      <c r="C8515" s="210"/>
      <c r="D8515" s="211"/>
      <c r="E8515" s="211"/>
      <c r="U8515" s="222"/>
    </row>
    <row r="8516" spans="2:21" x14ac:dyDescent="0.2">
      <c r="B8516" s="207"/>
      <c r="C8516" s="210"/>
      <c r="D8516" s="211"/>
      <c r="E8516" s="211"/>
      <c r="U8516" s="222"/>
    </row>
    <row r="8517" spans="2:21" x14ac:dyDescent="0.2">
      <c r="B8517" s="207"/>
      <c r="C8517" s="210"/>
      <c r="D8517" s="211"/>
      <c r="E8517" s="211"/>
      <c r="U8517" s="222"/>
    </row>
    <row r="8518" spans="2:21" x14ac:dyDescent="0.2">
      <c r="B8518" s="207"/>
      <c r="C8518" s="210"/>
      <c r="D8518" s="211"/>
      <c r="E8518" s="211"/>
      <c r="U8518" s="222"/>
    </row>
    <row r="8519" spans="2:21" x14ac:dyDescent="0.2">
      <c r="B8519" s="207"/>
      <c r="C8519" s="210"/>
      <c r="D8519" s="211"/>
      <c r="E8519" s="211"/>
      <c r="U8519" s="222"/>
    </row>
    <row r="8520" spans="2:21" x14ac:dyDescent="0.2">
      <c r="B8520" s="207"/>
      <c r="C8520" s="210"/>
      <c r="D8520" s="211"/>
      <c r="E8520" s="211"/>
      <c r="U8520" s="222"/>
    </row>
    <row r="8521" spans="2:21" x14ac:dyDescent="0.2">
      <c r="B8521" s="207"/>
      <c r="C8521" s="210"/>
      <c r="D8521" s="211"/>
      <c r="E8521" s="211"/>
      <c r="U8521" s="222"/>
    </row>
    <row r="8522" spans="2:21" x14ac:dyDescent="0.2">
      <c r="B8522" s="207"/>
      <c r="C8522" s="210"/>
      <c r="D8522" s="211"/>
      <c r="E8522" s="211"/>
      <c r="U8522" s="222"/>
    </row>
    <row r="8523" spans="2:21" x14ac:dyDescent="0.2">
      <c r="B8523" s="207"/>
      <c r="C8523" s="210"/>
      <c r="D8523" s="211"/>
      <c r="E8523" s="211"/>
      <c r="U8523" s="222"/>
    </row>
    <row r="8524" spans="2:21" x14ac:dyDescent="0.2">
      <c r="B8524" s="207"/>
      <c r="C8524" s="210"/>
      <c r="D8524" s="211"/>
      <c r="E8524" s="211"/>
      <c r="U8524" s="222"/>
    </row>
    <row r="8525" spans="2:21" x14ac:dyDescent="0.2">
      <c r="B8525" s="207"/>
      <c r="C8525" s="210"/>
      <c r="D8525" s="211"/>
      <c r="E8525" s="211"/>
      <c r="U8525" s="222"/>
    </row>
    <row r="8526" spans="2:21" x14ac:dyDescent="0.2">
      <c r="B8526" s="207"/>
      <c r="C8526" s="210"/>
      <c r="D8526" s="211"/>
      <c r="E8526" s="211"/>
      <c r="U8526" s="222"/>
    </row>
    <row r="8527" spans="2:21" x14ac:dyDescent="0.2">
      <c r="B8527" s="207"/>
      <c r="C8527" s="210"/>
      <c r="D8527" s="211"/>
      <c r="E8527" s="211"/>
      <c r="U8527" s="222"/>
    </row>
    <row r="8528" spans="2:21" x14ac:dyDescent="0.2">
      <c r="B8528" s="207"/>
      <c r="C8528" s="210"/>
      <c r="D8528" s="211"/>
      <c r="E8528" s="211"/>
      <c r="U8528" s="222"/>
    </row>
    <row r="8529" spans="2:21" x14ac:dyDescent="0.2">
      <c r="B8529" s="207"/>
      <c r="C8529" s="210"/>
      <c r="D8529" s="211"/>
      <c r="E8529" s="211"/>
      <c r="U8529" s="222"/>
    </row>
    <row r="8530" spans="2:21" x14ac:dyDescent="0.2">
      <c r="B8530" s="207"/>
      <c r="C8530" s="210"/>
      <c r="D8530" s="211"/>
      <c r="E8530" s="211"/>
      <c r="U8530" s="222"/>
    </row>
    <row r="8531" spans="2:21" x14ac:dyDescent="0.2">
      <c r="B8531" s="207"/>
      <c r="C8531" s="210"/>
      <c r="D8531" s="211"/>
      <c r="E8531" s="211"/>
      <c r="U8531" s="222"/>
    </row>
    <row r="8532" spans="2:21" x14ac:dyDescent="0.2">
      <c r="B8532" s="207"/>
      <c r="C8532" s="210"/>
      <c r="D8532" s="211"/>
      <c r="E8532" s="211"/>
      <c r="U8532" s="222"/>
    </row>
    <row r="8533" spans="2:21" x14ac:dyDescent="0.2">
      <c r="B8533" s="207"/>
      <c r="C8533" s="210"/>
      <c r="D8533" s="211"/>
      <c r="E8533" s="211"/>
      <c r="U8533" s="222"/>
    </row>
    <row r="8534" spans="2:21" x14ac:dyDescent="0.2">
      <c r="B8534" s="207"/>
      <c r="C8534" s="210"/>
      <c r="D8534" s="211"/>
      <c r="E8534" s="211"/>
      <c r="U8534" s="222"/>
    </row>
    <row r="8535" spans="2:21" x14ac:dyDescent="0.2">
      <c r="B8535" s="207"/>
      <c r="C8535" s="210"/>
      <c r="D8535" s="211"/>
      <c r="E8535" s="211"/>
      <c r="U8535" s="222"/>
    </row>
    <row r="8536" spans="2:21" x14ac:dyDescent="0.2">
      <c r="B8536" s="207"/>
      <c r="C8536" s="210"/>
      <c r="D8536" s="211"/>
      <c r="E8536" s="211"/>
      <c r="U8536" s="222"/>
    </row>
    <row r="8537" spans="2:21" x14ac:dyDescent="0.2">
      <c r="B8537" s="207"/>
      <c r="C8537" s="210"/>
      <c r="D8537" s="211"/>
      <c r="E8537" s="211"/>
      <c r="U8537" s="222"/>
    </row>
    <row r="8538" spans="2:21" x14ac:dyDescent="0.2">
      <c r="B8538" s="207"/>
      <c r="C8538" s="210"/>
      <c r="D8538" s="211"/>
      <c r="E8538" s="211"/>
      <c r="U8538" s="222"/>
    </row>
    <row r="8539" spans="2:21" x14ac:dyDescent="0.2">
      <c r="B8539" s="207"/>
      <c r="C8539" s="210"/>
      <c r="D8539" s="211"/>
      <c r="E8539" s="211"/>
      <c r="U8539" s="222"/>
    </row>
    <row r="8540" spans="2:21" x14ac:dyDescent="0.2">
      <c r="B8540" s="207"/>
      <c r="C8540" s="210"/>
      <c r="D8540" s="211"/>
      <c r="E8540" s="211"/>
      <c r="U8540" s="222"/>
    </row>
    <row r="8541" spans="2:21" x14ac:dyDescent="0.2">
      <c r="B8541" s="207"/>
      <c r="C8541" s="210"/>
      <c r="D8541" s="211"/>
      <c r="E8541" s="211"/>
      <c r="U8541" s="222"/>
    </row>
    <row r="8542" spans="2:21" x14ac:dyDescent="0.2">
      <c r="B8542" s="207"/>
      <c r="C8542" s="210"/>
      <c r="D8542" s="211"/>
      <c r="E8542" s="211"/>
      <c r="U8542" s="222"/>
    </row>
    <row r="8543" spans="2:21" x14ac:dyDescent="0.2">
      <c r="B8543" s="207"/>
      <c r="C8543" s="210"/>
      <c r="D8543" s="211"/>
      <c r="E8543" s="211"/>
      <c r="U8543" s="222"/>
    </row>
    <row r="8544" spans="2:21" x14ac:dyDescent="0.2">
      <c r="B8544" s="207"/>
      <c r="C8544" s="210"/>
      <c r="D8544" s="211"/>
      <c r="E8544" s="211"/>
      <c r="U8544" s="222"/>
    </row>
    <row r="8545" spans="2:21" x14ac:dyDescent="0.2">
      <c r="B8545" s="207"/>
      <c r="C8545" s="210"/>
      <c r="D8545" s="211"/>
      <c r="E8545" s="211"/>
      <c r="U8545" s="222"/>
    </row>
    <row r="8546" spans="2:21" x14ac:dyDescent="0.2">
      <c r="B8546" s="207"/>
      <c r="C8546" s="210"/>
      <c r="D8546" s="211"/>
      <c r="E8546" s="211"/>
      <c r="U8546" s="222"/>
    </row>
    <row r="8547" spans="2:21" x14ac:dyDescent="0.2">
      <c r="B8547" s="207"/>
      <c r="C8547" s="210"/>
      <c r="D8547" s="211"/>
      <c r="E8547" s="211"/>
      <c r="U8547" s="222"/>
    </row>
    <row r="8548" spans="2:21" x14ac:dyDescent="0.2">
      <c r="B8548" s="207"/>
      <c r="C8548" s="210"/>
      <c r="D8548" s="211"/>
      <c r="E8548" s="211"/>
      <c r="U8548" s="222"/>
    </row>
    <row r="8549" spans="2:21" x14ac:dyDescent="0.2">
      <c r="B8549" s="207"/>
      <c r="C8549" s="210"/>
      <c r="D8549" s="211"/>
      <c r="E8549" s="211"/>
      <c r="U8549" s="222"/>
    </row>
    <row r="8550" spans="2:21" x14ac:dyDescent="0.2">
      <c r="B8550" s="207"/>
      <c r="C8550" s="210"/>
      <c r="D8550" s="211"/>
      <c r="E8550" s="211"/>
      <c r="U8550" s="222"/>
    </row>
    <row r="8551" spans="2:21" x14ac:dyDescent="0.2">
      <c r="B8551" s="207"/>
      <c r="C8551" s="210"/>
      <c r="D8551" s="211"/>
      <c r="E8551" s="211"/>
      <c r="U8551" s="222"/>
    </row>
    <row r="8552" spans="2:21" x14ac:dyDescent="0.2">
      <c r="B8552" s="207"/>
      <c r="C8552" s="210"/>
      <c r="D8552" s="211"/>
      <c r="E8552" s="211"/>
      <c r="U8552" s="222"/>
    </row>
    <row r="8553" spans="2:21" x14ac:dyDescent="0.2">
      <c r="B8553" s="207"/>
      <c r="C8553" s="210"/>
      <c r="D8553" s="211"/>
      <c r="E8553" s="211"/>
      <c r="U8553" s="222"/>
    </row>
    <row r="8554" spans="2:21" x14ac:dyDescent="0.2">
      <c r="B8554" s="207"/>
      <c r="C8554" s="210"/>
      <c r="D8554" s="211"/>
      <c r="E8554" s="211"/>
      <c r="U8554" s="222"/>
    </row>
    <row r="8555" spans="2:21" x14ac:dyDescent="0.2">
      <c r="B8555" s="207"/>
      <c r="C8555" s="210"/>
      <c r="D8555" s="211"/>
      <c r="E8555" s="211"/>
      <c r="U8555" s="222"/>
    </row>
    <row r="8556" spans="2:21" x14ac:dyDescent="0.2">
      <c r="B8556" s="207"/>
      <c r="C8556" s="210"/>
      <c r="D8556" s="211"/>
      <c r="E8556" s="211"/>
      <c r="U8556" s="222"/>
    </row>
    <row r="8557" spans="2:21" x14ac:dyDescent="0.2">
      <c r="B8557" s="207"/>
      <c r="C8557" s="210"/>
      <c r="D8557" s="211"/>
      <c r="E8557" s="211"/>
      <c r="U8557" s="222"/>
    </row>
    <row r="8558" spans="2:21" x14ac:dyDescent="0.2">
      <c r="B8558" s="207"/>
      <c r="C8558" s="210"/>
      <c r="D8558" s="211"/>
      <c r="E8558" s="211"/>
      <c r="U8558" s="222"/>
    </row>
    <row r="8559" spans="2:21" x14ac:dyDescent="0.2">
      <c r="B8559" s="207"/>
      <c r="C8559" s="210"/>
      <c r="D8559" s="211"/>
      <c r="E8559" s="211"/>
      <c r="U8559" s="222"/>
    </row>
    <row r="8560" spans="2:21" x14ac:dyDescent="0.2">
      <c r="B8560" s="207"/>
      <c r="C8560" s="210"/>
      <c r="D8560" s="211"/>
      <c r="E8560" s="211"/>
      <c r="U8560" s="222"/>
    </row>
    <row r="8561" spans="2:21" x14ac:dyDescent="0.2">
      <c r="B8561" s="207"/>
      <c r="C8561" s="210"/>
      <c r="D8561" s="211"/>
      <c r="E8561" s="211"/>
      <c r="U8561" s="222"/>
    </row>
    <row r="8562" spans="2:21" x14ac:dyDescent="0.2">
      <c r="B8562" s="207"/>
      <c r="C8562" s="210"/>
      <c r="D8562" s="211"/>
      <c r="E8562" s="211"/>
      <c r="U8562" s="222"/>
    </row>
    <row r="8563" spans="2:21" x14ac:dyDescent="0.2">
      <c r="B8563" s="207"/>
      <c r="C8563" s="210"/>
      <c r="D8563" s="211"/>
      <c r="E8563" s="211"/>
      <c r="U8563" s="222"/>
    </row>
    <row r="8564" spans="2:21" x14ac:dyDescent="0.2">
      <c r="B8564" s="207"/>
      <c r="C8564" s="210"/>
      <c r="D8564" s="211"/>
      <c r="E8564" s="211"/>
      <c r="U8564" s="222"/>
    </row>
    <row r="8565" spans="2:21" x14ac:dyDescent="0.2">
      <c r="B8565" s="207"/>
      <c r="C8565" s="210"/>
      <c r="D8565" s="211"/>
      <c r="E8565" s="211"/>
      <c r="U8565" s="222"/>
    </row>
    <row r="8566" spans="2:21" x14ac:dyDescent="0.2">
      <c r="B8566" s="207"/>
      <c r="C8566" s="210"/>
      <c r="D8566" s="211"/>
      <c r="E8566" s="211"/>
      <c r="U8566" s="222"/>
    </row>
    <row r="8567" spans="2:21" x14ac:dyDescent="0.2">
      <c r="B8567" s="207"/>
      <c r="C8567" s="210"/>
      <c r="D8567" s="211"/>
      <c r="E8567" s="211"/>
      <c r="U8567" s="222"/>
    </row>
    <row r="8568" spans="2:21" x14ac:dyDescent="0.2">
      <c r="B8568" s="207"/>
      <c r="C8568" s="210"/>
      <c r="D8568" s="211"/>
      <c r="E8568" s="211"/>
      <c r="U8568" s="222"/>
    </row>
    <row r="8569" spans="2:21" x14ac:dyDescent="0.2">
      <c r="B8569" s="207"/>
      <c r="C8569" s="210"/>
      <c r="D8569" s="211"/>
      <c r="E8569" s="211"/>
      <c r="U8569" s="222"/>
    </row>
    <row r="8570" spans="2:21" x14ac:dyDescent="0.2">
      <c r="B8570" s="207"/>
      <c r="C8570" s="210"/>
      <c r="D8570" s="211"/>
      <c r="E8570" s="211"/>
      <c r="U8570" s="222"/>
    </row>
    <row r="8571" spans="2:21" x14ac:dyDescent="0.2">
      <c r="B8571" s="207"/>
      <c r="C8571" s="210"/>
      <c r="D8571" s="211"/>
      <c r="E8571" s="211"/>
      <c r="U8571" s="222"/>
    </row>
    <row r="8572" spans="2:21" x14ac:dyDescent="0.2">
      <c r="B8572" s="207"/>
      <c r="C8572" s="210"/>
      <c r="D8572" s="211"/>
      <c r="E8572" s="211"/>
      <c r="U8572" s="222"/>
    </row>
    <row r="8573" spans="2:21" x14ac:dyDescent="0.2">
      <c r="B8573" s="207"/>
      <c r="C8573" s="210"/>
      <c r="D8573" s="211"/>
      <c r="E8573" s="211"/>
      <c r="U8573" s="222"/>
    </row>
    <row r="8574" spans="2:21" x14ac:dyDescent="0.2">
      <c r="B8574" s="207"/>
      <c r="C8574" s="210"/>
      <c r="D8574" s="211"/>
      <c r="E8574" s="211"/>
      <c r="U8574" s="222"/>
    </row>
    <row r="8575" spans="2:21" x14ac:dyDescent="0.2">
      <c r="B8575" s="207"/>
      <c r="C8575" s="210"/>
      <c r="D8575" s="211"/>
      <c r="E8575" s="211"/>
      <c r="U8575" s="222"/>
    </row>
    <row r="8576" spans="2:21" x14ac:dyDescent="0.2">
      <c r="B8576" s="207"/>
      <c r="C8576" s="210"/>
      <c r="D8576" s="211"/>
      <c r="E8576" s="211"/>
      <c r="U8576" s="222"/>
    </row>
    <row r="8577" spans="2:21" x14ac:dyDescent="0.2">
      <c r="B8577" s="207"/>
      <c r="C8577" s="210"/>
      <c r="D8577" s="211"/>
      <c r="E8577" s="211"/>
      <c r="U8577" s="222"/>
    </row>
    <row r="8578" spans="2:21" x14ac:dyDescent="0.2">
      <c r="B8578" s="207"/>
      <c r="C8578" s="210"/>
      <c r="D8578" s="211"/>
      <c r="E8578" s="211"/>
      <c r="U8578" s="222"/>
    </row>
    <row r="8579" spans="2:21" x14ac:dyDescent="0.2">
      <c r="B8579" s="207"/>
      <c r="C8579" s="210"/>
      <c r="D8579" s="211"/>
      <c r="E8579" s="211"/>
      <c r="U8579" s="222"/>
    </row>
    <row r="8580" spans="2:21" x14ac:dyDescent="0.2">
      <c r="B8580" s="207"/>
      <c r="C8580" s="210"/>
      <c r="D8580" s="211"/>
      <c r="E8580" s="211"/>
      <c r="U8580" s="222"/>
    </row>
    <row r="8581" spans="2:21" x14ac:dyDescent="0.2">
      <c r="B8581" s="207"/>
      <c r="C8581" s="210"/>
      <c r="D8581" s="211"/>
      <c r="E8581" s="211"/>
      <c r="U8581" s="222"/>
    </row>
    <row r="8582" spans="2:21" x14ac:dyDescent="0.2">
      <c r="B8582" s="207"/>
      <c r="C8582" s="210"/>
      <c r="D8582" s="211"/>
      <c r="E8582" s="211"/>
      <c r="U8582" s="222"/>
    </row>
    <row r="8583" spans="2:21" x14ac:dyDescent="0.2">
      <c r="B8583" s="207"/>
      <c r="C8583" s="210"/>
      <c r="D8583" s="211"/>
      <c r="E8583" s="211"/>
      <c r="U8583" s="222"/>
    </row>
    <row r="8584" spans="2:21" x14ac:dyDescent="0.2">
      <c r="B8584" s="207"/>
      <c r="C8584" s="210"/>
      <c r="D8584" s="211"/>
      <c r="E8584" s="211"/>
      <c r="U8584" s="222"/>
    </row>
    <row r="8585" spans="2:21" x14ac:dyDescent="0.2">
      <c r="B8585" s="207"/>
      <c r="C8585" s="210"/>
      <c r="D8585" s="211"/>
      <c r="E8585" s="211"/>
      <c r="U8585" s="222"/>
    </row>
    <row r="8586" spans="2:21" x14ac:dyDescent="0.2">
      <c r="B8586" s="207"/>
      <c r="C8586" s="210"/>
      <c r="D8586" s="211"/>
      <c r="E8586" s="211"/>
      <c r="U8586" s="222"/>
    </row>
    <row r="8587" spans="2:21" x14ac:dyDescent="0.2">
      <c r="B8587" s="207"/>
      <c r="C8587" s="210"/>
      <c r="D8587" s="211"/>
      <c r="E8587" s="211"/>
      <c r="U8587" s="222"/>
    </row>
    <row r="8588" spans="2:21" x14ac:dyDescent="0.2">
      <c r="B8588" s="207"/>
      <c r="C8588" s="210"/>
      <c r="D8588" s="211"/>
      <c r="E8588" s="211"/>
      <c r="U8588" s="222"/>
    </row>
    <row r="8589" spans="2:21" x14ac:dyDescent="0.2">
      <c r="B8589" s="207"/>
      <c r="C8589" s="210"/>
      <c r="D8589" s="211"/>
      <c r="E8589" s="211"/>
      <c r="U8589" s="222"/>
    </row>
    <row r="8590" spans="2:21" x14ac:dyDescent="0.2">
      <c r="B8590" s="207"/>
      <c r="C8590" s="210"/>
      <c r="D8590" s="211"/>
      <c r="E8590" s="211"/>
      <c r="U8590" s="222"/>
    </row>
    <row r="8591" spans="2:21" x14ac:dyDescent="0.2">
      <c r="B8591" s="207"/>
      <c r="C8591" s="210"/>
      <c r="D8591" s="211"/>
      <c r="E8591" s="211"/>
      <c r="U8591" s="222"/>
    </row>
    <row r="8592" spans="2:21" x14ac:dyDescent="0.2">
      <c r="B8592" s="207"/>
      <c r="C8592" s="210"/>
      <c r="D8592" s="211"/>
      <c r="E8592" s="211"/>
      <c r="U8592" s="222"/>
    </row>
    <row r="8593" spans="2:21" x14ac:dyDescent="0.2">
      <c r="B8593" s="207"/>
      <c r="C8593" s="210"/>
      <c r="D8593" s="211"/>
      <c r="E8593" s="211"/>
      <c r="U8593" s="222"/>
    </row>
    <row r="8594" spans="2:21" x14ac:dyDescent="0.2">
      <c r="B8594" s="207"/>
      <c r="C8594" s="210"/>
      <c r="D8594" s="211"/>
      <c r="E8594" s="211"/>
      <c r="U8594" s="222"/>
    </row>
    <row r="8595" spans="2:21" x14ac:dyDescent="0.2">
      <c r="B8595" s="207"/>
      <c r="C8595" s="210"/>
      <c r="D8595" s="211"/>
      <c r="E8595" s="211"/>
      <c r="U8595" s="222"/>
    </row>
    <row r="8596" spans="2:21" x14ac:dyDescent="0.2">
      <c r="B8596" s="207"/>
      <c r="C8596" s="210"/>
      <c r="D8596" s="211"/>
      <c r="E8596" s="211"/>
      <c r="U8596" s="222"/>
    </row>
    <row r="8597" spans="2:21" x14ac:dyDescent="0.2">
      <c r="B8597" s="207"/>
      <c r="C8597" s="210"/>
      <c r="D8597" s="211"/>
      <c r="E8597" s="211"/>
      <c r="U8597" s="222"/>
    </row>
    <row r="8598" spans="2:21" x14ac:dyDescent="0.2">
      <c r="B8598" s="207"/>
      <c r="C8598" s="210"/>
      <c r="D8598" s="211"/>
      <c r="E8598" s="211"/>
      <c r="U8598" s="222"/>
    </row>
    <row r="8599" spans="2:21" x14ac:dyDescent="0.2">
      <c r="B8599" s="207"/>
      <c r="C8599" s="210"/>
      <c r="D8599" s="211"/>
      <c r="E8599" s="211"/>
      <c r="U8599" s="222"/>
    </row>
    <row r="8600" spans="2:21" x14ac:dyDescent="0.2">
      <c r="B8600" s="207"/>
      <c r="C8600" s="210"/>
      <c r="D8600" s="211"/>
      <c r="E8600" s="211"/>
      <c r="U8600" s="222"/>
    </row>
    <row r="8601" spans="2:21" x14ac:dyDescent="0.2">
      <c r="B8601" s="207"/>
      <c r="C8601" s="210"/>
      <c r="D8601" s="211"/>
      <c r="E8601" s="211"/>
      <c r="U8601" s="222"/>
    </row>
    <row r="8602" spans="2:21" x14ac:dyDescent="0.2">
      <c r="B8602" s="207"/>
      <c r="C8602" s="210"/>
      <c r="D8602" s="211"/>
      <c r="E8602" s="211"/>
      <c r="U8602" s="222"/>
    </row>
    <row r="8603" spans="2:21" x14ac:dyDescent="0.2">
      <c r="B8603" s="207"/>
      <c r="C8603" s="210"/>
      <c r="D8603" s="211"/>
      <c r="E8603" s="211"/>
      <c r="U8603" s="222"/>
    </row>
    <row r="8604" spans="2:21" x14ac:dyDescent="0.2">
      <c r="B8604" s="207"/>
      <c r="C8604" s="210"/>
      <c r="D8604" s="211"/>
      <c r="E8604" s="211"/>
      <c r="U8604" s="222"/>
    </row>
    <row r="8605" spans="2:21" x14ac:dyDescent="0.2">
      <c r="B8605" s="207"/>
      <c r="C8605" s="210"/>
      <c r="D8605" s="211"/>
      <c r="E8605" s="211"/>
      <c r="U8605" s="222"/>
    </row>
    <row r="8606" spans="2:21" x14ac:dyDescent="0.2">
      <c r="B8606" s="207"/>
      <c r="C8606" s="210"/>
      <c r="D8606" s="211"/>
      <c r="E8606" s="211"/>
      <c r="U8606" s="222"/>
    </row>
    <row r="8607" spans="2:21" x14ac:dyDescent="0.2">
      <c r="B8607" s="207"/>
      <c r="C8607" s="210"/>
      <c r="D8607" s="211"/>
      <c r="E8607" s="211"/>
      <c r="U8607" s="222"/>
    </row>
    <row r="8608" spans="2:21" x14ac:dyDescent="0.2">
      <c r="B8608" s="207"/>
      <c r="C8608" s="210"/>
      <c r="D8608" s="211"/>
      <c r="E8608" s="211"/>
      <c r="U8608" s="222"/>
    </row>
    <row r="8609" spans="2:21" x14ac:dyDescent="0.2">
      <c r="B8609" s="207"/>
      <c r="C8609" s="210"/>
      <c r="D8609" s="211"/>
      <c r="E8609" s="211"/>
      <c r="U8609" s="222"/>
    </row>
    <row r="8610" spans="2:21" x14ac:dyDescent="0.2">
      <c r="B8610" s="207"/>
      <c r="C8610" s="210"/>
      <c r="D8610" s="211"/>
      <c r="E8610" s="211"/>
      <c r="U8610" s="222"/>
    </row>
    <row r="8611" spans="2:21" x14ac:dyDescent="0.2">
      <c r="B8611" s="207"/>
      <c r="C8611" s="210"/>
      <c r="D8611" s="211"/>
      <c r="E8611" s="211"/>
      <c r="U8611" s="222"/>
    </row>
    <row r="8612" spans="2:21" x14ac:dyDescent="0.2">
      <c r="B8612" s="207"/>
      <c r="C8612" s="210"/>
      <c r="D8612" s="211"/>
      <c r="E8612" s="211"/>
      <c r="U8612" s="222"/>
    </row>
    <row r="8613" spans="2:21" x14ac:dyDescent="0.2">
      <c r="B8613" s="207"/>
      <c r="C8613" s="210"/>
      <c r="D8613" s="211"/>
      <c r="E8613" s="211"/>
      <c r="U8613" s="222"/>
    </row>
    <row r="8614" spans="2:21" x14ac:dyDescent="0.2">
      <c r="B8614" s="207"/>
      <c r="C8614" s="210"/>
      <c r="D8614" s="211"/>
      <c r="E8614" s="211"/>
      <c r="U8614" s="222"/>
    </row>
    <row r="8615" spans="2:21" x14ac:dyDescent="0.2">
      <c r="B8615" s="207"/>
      <c r="C8615" s="210"/>
      <c r="D8615" s="211"/>
      <c r="E8615" s="211"/>
      <c r="U8615" s="222"/>
    </row>
    <row r="8616" spans="2:21" x14ac:dyDescent="0.2">
      <c r="B8616" s="207"/>
      <c r="C8616" s="210"/>
      <c r="D8616" s="211"/>
      <c r="E8616" s="211"/>
      <c r="U8616" s="222"/>
    </row>
    <row r="8617" spans="2:21" x14ac:dyDescent="0.2">
      <c r="B8617" s="207"/>
      <c r="C8617" s="210"/>
      <c r="D8617" s="211"/>
      <c r="E8617" s="211"/>
      <c r="U8617" s="222"/>
    </row>
    <row r="8618" spans="2:21" x14ac:dyDescent="0.2">
      <c r="B8618" s="207"/>
      <c r="C8618" s="210"/>
      <c r="D8618" s="211"/>
      <c r="E8618" s="211"/>
      <c r="U8618" s="222"/>
    </row>
    <row r="8619" spans="2:21" x14ac:dyDescent="0.2">
      <c r="B8619" s="207"/>
      <c r="C8619" s="210"/>
      <c r="D8619" s="211"/>
      <c r="E8619" s="211"/>
      <c r="U8619" s="222"/>
    </row>
    <row r="8620" spans="2:21" x14ac:dyDescent="0.2">
      <c r="B8620" s="207"/>
      <c r="C8620" s="210"/>
      <c r="D8620" s="211"/>
      <c r="E8620" s="211"/>
      <c r="U8620" s="222"/>
    </row>
    <row r="8621" spans="2:21" x14ac:dyDescent="0.2">
      <c r="B8621" s="207"/>
      <c r="C8621" s="210"/>
      <c r="D8621" s="211"/>
      <c r="E8621" s="211"/>
      <c r="U8621" s="222"/>
    </row>
    <row r="8622" spans="2:21" x14ac:dyDescent="0.2">
      <c r="B8622" s="207"/>
      <c r="C8622" s="210"/>
      <c r="D8622" s="211"/>
      <c r="E8622" s="211"/>
      <c r="U8622" s="222"/>
    </row>
    <row r="8623" spans="2:21" x14ac:dyDescent="0.2">
      <c r="B8623" s="207"/>
      <c r="C8623" s="210"/>
      <c r="D8623" s="211"/>
      <c r="E8623" s="211"/>
      <c r="U8623" s="222"/>
    </row>
    <row r="8624" spans="2:21" x14ac:dyDescent="0.2">
      <c r="B8624" s="207"/>
      <c r="C8624" s="210"/>
      <c r="D8624" s="211"/>
      <c r="E8624" s="211"/>
      <c r="U8624" s="222"/>
    </row>
    <row r="8625" spans="2:21" x14ac:dyDescent="0.2">
      <c r="B8625" s="207"/>
      <c r="C8625" s="210"/>
      <c r="D8625" s="211"/>
      <c r="E8625" s="211"/>
      <c r="U8625" s="222"/>
    </row>
    <row r="8626" spans="2:21" x14ac:dyDescent="0.2">
      <c r="B8626" s="207"/>
      <c r="C8626" s="210"/>
      <c r="D8626" s="211"/>
      <c r="E8626" s="211"/>
      <c r="U8626" s="222"/>
    </row>
    <row r="8627" spans="2:21" x14ac:dyDescent="0.2">
      <c r="B8627" s="207"/>
      <c r="C8627" s="210"/>
      <c r="D8627" s="211"/>
      <c r="E8627" s="211"/>
      <c r="U8627" s="222"/>
    </row>
    <row r="8628" spans="2:21" x14ac:dyDescent="0.2">
      <c r="B8628" s="207"/>
      <c r="C8628" s="210"/>
      <c r="D8628" s="211"/>
      <c r="E8628" s="211"/>
      <c r="U8628" s="222"/>
    </row>
    <row r="8629" spans="2:21" x14ac:dyDescent="0.2">
      <c r="B8629" s="207"/>
      <c r="C8629" s="210"/>
      <c r="D8629" s="211"/>
      <c r="E8629" s="211"/>
      <c r="U8629" s="222"/>
    </row>
    <row r="8630" spans="2:21" x14ac:dyDescent="0.2">
      <c r="B8630" s="207"/>
      <c r="C8630" s="210"/>
      <c r="D8630" s="211"/>
      <c r="E8630" s="211"/>
      <c r="U8630" s="222"/>
    </row>
    <row r="8631" spans="2:21" x14ac:dyDescent="0.2">
      <c r="B8631" s="207"/>
      <c r="C8631" s="210"/>
      <c r="D8631" s="211"/>
      <c r="E8631" s="211"/>
      <c r="U8631" s="222"/>
    </row>
    <row r="8632" spans="2:21" x14ac:dyDescent="0.2">
      <c r="B8632" s="207"/>
      <c r="C8632" s="210"/>
      <c r="D8632" s="211"/>
      <c r="E8632" s="211"/>
      <c r="U8632" s="222"/>
    </row>
    <row r="8633" spans="2:21" x14ac:dyDescent="0.2">
      <c r="B8633" s="207"/>
      <c r="C8633" s="210"/>
      <c r="D8633" s="211"/>
      <c r="E8633" s="211"/>
      <c r="U8633" s="222"/>
    </row>
    <row r="8634" spans="2:21" x14ac:dyDescent="0.2">
      <c r="B8634" s="207"/>
      <c r="C8634" s="210"/>
      <c r="D8634" s="211"/>
      <c r="E8634" s="211"/>
      <c r="U8634" s="222"/>
    </row>
    <row r="8635" spans="2:21" x14ac:dyDescent="0.2">
      <c r="B8635" s="207"/>
      <c r="C8635" s="210"/>
      <c r="D8635" s="211"/>
      <c r="E8635" s="211"/>
      <c r="U8635" s="222"/>
    </row>
    <row r="8636" spans="2:21" x14ac:dyDescent="0.2">
      <c r="B8636" s="207"/>
      <c r="C8636" s="210"/>
      <c r="D8636" s="211"/>
      <c r="E8636" s="211"/>
      <c r="U8636" s="222"/>
    </row>
    <row r="8637" spans="2:21" x14ac:dyDescent="0.2">
      <c r="B8637" s="207"/>
      <c r="C8637" s="210"/>
      <c r="D8637" s="211"/>
      <c r="E8637" s="211"/>
      <c r="U8637" s="222"/>
    </row>
    <row r="8638" spans="2:21" x14ac:dyDescent="0.2">
      <c r="B8638" s="207"/>
      <c r="C8638" s="210"/>
      <c r="D8638" s="211"/>
      <c r="E8638" s="211"/>
      <c r="U8638" s="222"/>
    </row>
    <row r="8639" spans="2:21" x14ac:dyDescent="0.2">
      <c r="B8639" s="207"/>
      <c r="C8639" s="210"/>
      <c r="D8639" s="211"/>
      <c r="E8639" s="211"/>
      <c r="U8639" s="222"/>
    </row>
    <row r="8640" spans="2:21" x14ac:dyDescent="0.2">
      <c r="B8640" s="207"/>
      <c r="C8640" s="210"/>
      <c r="D8640" s="211"/>
      <c r="E8640" s="211"/>
      <c r="U8640" s="222"/>
    </row>
    <row r="8641" spans="2:21" x14ac:dyDescent="0.2">
      <c r="B8641" s="207"/>
      <c r="C8641" s="210"/>
      <c r="D8641" s="211"/>
      <c r="E8641" s="211"/>
      <c r="U8641" s="222"/>
    </row>
    <row r="8642" spans="2:21" x14ac:dyDescent="0.2">
      <c r="B8642" s="207"/>
      <c r="C8642" s="210"/>
      <c r="D8642" s="211"/>
      <c r="E8642" s="211"/>
      <c r="U8642" s="222"/>
    </row>
    <row r="8643" spans="2:21" x14ac:dyDescent="0.2">
      <c r="B8643" s="207"/>
      <c r="C8643" s="210"/>
      <c r="D8643" s="211"/>
      <c r="E8643" s="211"/>
      <c r="U8643" s="222"/>
    </row>
    <row r="8644" spans="2:21" x14ac:dyDescent="0.2">
      <c r="B8644" s="207"/>
      <c r="C8644" s="210"/>
      <c r="D8644" s="211"/>
      <c r="E8644" s="211"/>
      <c r="U8644" s="222"/>
    </row>
    <row r="8645" spans="2:21" x14ac:dyDescent="0.2">
      <c r="B8645" s="207"/>
      <c r="C8645" s="210"/>
      <c r="D8645" s="211"/>
      <c r="E8645" s="211"/>
      <c r="U8645" s="222"/>
    </row>
    <row r="8646" spans="2:21" x14ac:dyDescent="0.2">
      <c r="B8646" s="207"/>
      <c r="C8646" s="210"/>
      <c r="D8646" s="211"/>
      <c r="E8646" s="211"/>
      <c r="U8646" s="222"/>
    </row>
    <row r="8647" spans="2:21" x14ac:dyDescent="0.2">
      <c r="B8647" s="207"/>
      <c r="C8647" s="210"/>
      <c r="D8647" s="211"/>
      <c r="E8647" s="211"/>
      <c r="U8647" s="222"/>
    </row>
    <row r="8648" spans="2:21" x14ac:dyDescent="0.2">
      <c r="B8648" s="207"/>
      <c r="C8648" s="210"/>
      <c r="D8648" s="211"/>
      <c r="E8648" s="211"/>
      <c r="U8648" s="222"/>
    </row>
    <row r="8649" spans="2:21" x14ac:dyDescent="0.2">
      <c r="B8649" s="207"/>
      <c r="C8649" s="210"/>
      <c r="D8649" s="211"/>
      <c r="E8649" s="211"/>
      <c r="U8649" s="222"/>
    </row>
    <row r="8650" spans="2:21" x14ac:dyDescent="0.2">
      <c r="B8650" s="207"/>
      <c r="C8650" s="210"/>
      <c r="D8650" s="211"/>
      <c r="E8650" s="211"/>
      <c r="U8650" s="222"/>
    </row>
    <row r="8651" spans="2:21" x14ac:dyDescent="0.2">
      <c r="B8651" s="207"/>
      <c r="C8651" s="210"/>
      <c r="D8651" s="211"/>
      <c r="E8651" s="211"/>
      <c r="U8651" s="222"/>
    </row>
    <row r="8652" spans="2:21" x14ac:dyDescent="0.2">
      <c r="B8652" s="207"/>
      <c r="C8652" s="210"/>
      <c r="D8652" s="211"/>
      <c r="E8652" s="211"/>
      <c r="U8652" s="222"/>
    </row>
    <row r="8653" spans="2:21" x14ac:dyDescent="0.2">
      <c r="B8653" s="207"/>
      <c r="C8653" s="210"/>
      <c r="D8653" s="211"/>
      <c r="E8653" s="211"/>
      <c r="U8653" s="222"/>
    </row>
    <row r="8654" spans="2:21" x14ac:dyDescent="0.2">
      <c r="B8654" s="207"/>
      <c r="C8654" s="210"/>
      <c r="D8654" s="211"/>
      <c r="E8654" s="211"/>
      <c r="U8654" s="222"/>
    </row>
    <row r="8655" spans="2:21" x14ac:dyDescent="0.2">
      <c r="B8655" s="207"/>
      <c r="C8655" s="210"/>
      <c r="D8655" s="211"/>
      <c r="E8655" s="211"/>
      <c r="U8655" s="222"/>
    </row>
    <row r="8656" spans="2:21" x14ac:dyDescent="0.2">
      <c r="B8656" s="207"/>
      <c r="C8656" s="210"/>
      <c r="D8656" s="211"/>
      <c r="E8656" s="211"/>
      <c r="U8656" s="222"/>
    </row>
    <row r="8657" spans="2:21" x14ac:dyDescent="0.2">
      <c r="B8657" s="207"/>
      <c r="C8657" s="210"/>
      <c r="D8657" s="211"/>
      <c r="E8657" s="211"/>
      <c r="U8657" s="222"/>
    </row>
    <row r="8658" spans="2:21" x14ac:dyDescent="0.2">
      <c r="B8658" s="207"/>
      <c r="C8658" s="210"/>
      <c r="D8658" s="211"/>
      <c r="E8658" s="211"/>
      <c r="U8658" s="222"/>
    </row>
    <row r="8659" spans="2:21" x14ac:dyDescent="0.2">
      <c r="B8659" s="207"/>
      <c r="C8659" s="210"/>
      <c r="D8659" s="211"/>
      <c r="E8659" s="211"/>
      <c r="U8659" s="222"/>
    </row>
    <row r="8660" spans="2:21" x14ac:dyDescent="0.2">
      <c r="B8660" s="207"/>
      <c r="C8660" s="210"/>
      <c r="D8660" s="211"/>
      <c r="E8660" s="211"/>
      <c r="U8660" s="222"/>
    </row>
    <row r="8661" spans="2:21" x14ac:dyDescent="0.2">
      <c r="B8661" s="207"/>
      <c r="C8661" s="210"/>
      <c r="D8661" s="211"/>
      <c r="E8661" s="211"/>
      <c r="U8661" s="222"/>
    </row>
    <row r="8662" spans="2:21" x14ac:dyDescent="0.2">
      <c r="B8662" s="207"/>
      <c r="C8662" s="210"/>
      <c r="D8662" s="211"/>
      <c r="E8662" s="211"/>
      <c r="U8662" s="222"/>
    </row>
    <row r="8663" spans="2:21" x14ac:dyDescent="0.2">
      <c r="B8663" s="207"/>
      <c r="C8663" s="210"/>
      <c r="D8663" s="211"/>
      <c r="E8663" s="211"/>
      <c r="U8663" s="222"/>
    </row>
    <row r="8664" spans="2:21" x14ac:dyDescent="0.2">
      <c r="B8664" s="207"/>
      <c r="C8664" s="210"/>
      <c r="D8664" s="211"/>
      <c r="E8664" s="211"/>
      <c r="U8664" s="222"/>
    </row>
    <row r="8665" spans="2:21" x14ac:dyDescent="0.2">
      <c r="B8665" s="207"/>
      <c r="C8665" s="210"/>
      <c r="D8665" s="211"/>
      <c r="E8665" s="211"/>
      <c r="U8665" s="222"/>
    </row>
    <row r="8666" spans="2:21" x14ac:dyDescent="0.2">
      <c r="B8666" s="207"/>
      <c r="C8666" s="210"/>
      <c r="D8666" s="211"/>
      <c r="E8666" s="211"/>
      <c r="U8666" s="222"/>
    </row>
    <row r="8667" spans="2:21" x14ac:dyDescent="0.2">
      <c r="B8667" s="207"/>
      <c r="C8667" s="210"/>
      <c r="D8667" s="211"/>
      <c r="E8667" s="211"/>
      <c r="U8667" s="222"/>
    </row>
    <row r="8668" spans="2:21" x14ac:dyDescent="0.2">
      <c r="B8668" s="207"/>
      <c r="C8668" s="210"/>
      <c r="D8668" s="211"/>
      <c r="E8668" s="211"/>
      <c r="U8668" s="222"/>
    </row>
    <row r="8669" spans="2:21" x14ac:dyDescent="0.2">
      <c r="B8669" s="207"/>
      <c r="C8669" s="210"/>
      <c r="D8669" s="211"/>
      <c r="E8669" s="211"/>
      <c r="U8669" s="222"/>
    </row>
    <row r="8670" spans="2:21" x14ac:dyDescent="0.2">
      <c r="B8670" s="207"/>
      <c r="C8670" s="210"/>
      <c r="D8670" s="211"/>
      <c r="E8670" s="211"/>
      <c r="U8670" s="222"/>
    </row>
    <row r="8671" spans="2:21" x14ac:dyDescent="0.2">
      <c r="B8671" s="207"/>
      <c r="C8671" s="210"/>
      <c r="D8671" s="211"/>
      <c r="E8671" s="211"/>
      <c r="U8671" s="222"/>
    </row>
    <row r="8672" spans="2:21" x14ac:dyDescent="0.2">
      <c r="B8672" s="207"/>
      <c r="C8672" s="210"/>
      <c r="D8672" s="211"/>
      <c r="E8672" s="211"/>
      <c r="U8672" s="222"/>
    </row>
    <row r="8673" spans="2:21" x14ac:dyDescent="0.2">
      <c r="B8673" s="207"/>
      <c r="C8673" s="210"/>
      <c r="D8673" s="211"/>
      <c r="E8673" s="211"/>
      <c r="U8673" s="222"/>
    </row>
    <row r="8674" spans="2:21" x14ac:dyDescent="0.2">
      <c r="B8674" s="207"/>
      <c r="C8674" s="210"/>
      <c r="D8674" s="211"/>
      <c r="E8674" s="211"/>
      <c r="U8674" s="222"/>
    </row>
    <row r="8675" spans="2:21" x14ac:dyDescent="0.2">
      <c r="B8675" s="207"/>
      <c r="C8675" s="210"/>
      <c r="D8675" s="211"/>
      <c r="E8675" s="211"/>
      <c r="U8675" s="222"/>
    </row>
    <row r="8676" spans="2:21" x14ac:dyDescent="0.2">
      <c r="B8676" s="207"/>
      <c r="C8676" s="210"/>
      <c r="D8676" s="211"/>
      <c r="E8676" s="211"/>
      <c r="U8676" s="222"/>
    </row>
    <row r="8677" spans="2:21" x14ac:dyDescent="0.2">
      <c r="B8677" s="207"/>
      <c r="C8677" s="210"/>
      <c r="D8677" s="211"/>
      <c r="E8677" s="211"/>
      <c r="U8677" s="222"/>
    </row>
    <row r="8678" spans="2:21" x14ac:dyDescent="0.2">
      <c r="B8678" s="207"/>
      <c r="C8678" s="210"/>
      <c r="D8678" s="211"/>
      <c r="E8678" s="211"/>
      <c r="U8678" s="222"/>
    </row>
    <row r="8679" spans="2:21" x14ac:dyDescent="0.2">
      <c r="B8679" s="207"/>
      <c r="C8679" s="210"/>
      <c r="D8679" s="211"/>
      <c r="E8679" s="211"/>
      <c r="U8679" s="222"/>
    </row>
    <row r="8680" spans="2:21" x14ac:dyDescent="0.2">
      <c r="B8680" s="207"/>
      <c r="C8680" s="210"/>
      <c r="D8680" s="211"/>
      <c r="E8680" s="211"/>
      <c r="U8680" s="222"/>
    </row>
    <row r="8681" spans="2:21" x14ac:dyDescent="0.2">
      <c r="B8681" s="207"/>
      <c r="C8681" s="210"/>
      <c r="D8681" s="211"/>
      <c r="E8681" s="211"/>
      <c r="U8681" s="222"/>
    </row>
    <row r="8682" spans="2:21" x14ac:dyDescent="0.2">
      <c r="B8682" s="207"/>
      <c r="C8682" s="210"/>
      <c r="D8682" s="211"/>
      <c r="E8682" s="211"/>
      <c r="U8682" s="222"/>
    </row>
    <row r="8683" spans="2:21" x14ac:dyDescent="0.2">
      <c r="B8683" s="207"/>
      <c r="C8683" s="210"/>
      <c r="D8683" s="211"/>
      <c r="E8683" s="211"/>
      <c r="U8683" s="222"/>
    </row>
    <row r="8684" spans="2:21" x14ac:dyDescent="0.2">
      <c r="B8684" s="207"/>
      <c r="C8684" s="210"/>
      <c r="D8684" s="211"/>
      <c r="E8684" s="211"/>
      <c r="U8684" s="222"/>
    </row>
    <row r="8685" spans="2:21" x14ac:dyDescent="0.2">
      <c r="B8685" s="207"/>
      <c r="C8685" s="210"/>
      <c r="D8685" s="211"/>
      <c r="E8685" s="211"/>
      <c r="U8685" s="222"/>
    </row>
    <row r="8686" spans="2:21" x14ac:dyDescent="0.2">
      <c r="B8686" s="207"/>
      <c r="C8686" s="210"/>
      <c r="D8686" s="211"/>
      <c r="E8686" s="211"/>
      <c r="U8686" s="222"/>
    </row>
    <row r="8687" spans="2:21" x14ac:dyDescent="0.2">
      <c r="B8687" s="207"/>
      <c r="C8687" s="210"/>
      <c r="D8687" s="211"/>
      <c r="E8687" s="211"/>
      <c r="U8687" s="222"/>
    </row>
    <row r="8688" spans="2:21" x14ac:dyDescent="0.2">
      <c r="B8688" s="207"/>
      <c r="C8688" s="210"/>
      <c r="D8688" s="211"/>
      <c r="E8688" s="211"/>
      <c r="U8688" s="222"/>
    </row>
    <row r="8689" spans="2:21" x14ac:dyDescent="0.2">
      <c r="B8689" s="207"/>
      <c r="C8689" s="210"/>
      <c r="D8689" s="211"/>
      <c r="E8689" s="211"/>
      <c r="U8689" s="222"/>
    </row>
    <row r="8690" spans="2:21" x14ac:dyDescent="0.2">
      <c r="B8690" s="207"/>
      <c r="C8690" s="210"/>
      <c r="D8690" s="211"/>
      <c r="E8690" s="211"/>
      <c r="U8690" s="222"/>
    </row>
    <row r="8691" spans="2:21" x14ac:dyDescent="0.2">
      <c r="B8691" s="207"/>
      <c r="C8691" s="210"/>
      <c r="D8691" s="211"/>
      <c r="E8691" s="211"/>
      <c r="U8691" s="222"/>
    </row>
    <row r="8692" spans="2:21" x14ac:dyDescent="0.2">
      <c r="B8692" s="207"/>
      <c r="C8692" s="210"/>
      <c r="D8692" s="211"/>
      <c r="E8692" s="211"/>
      <c r="U8692" s="222"/>
    </row>
    <row r="8693" spans="2:21" x14ac:dyDescent="0.2">
      <c r="B8693" s="207"/>
      <c r="C8693" s="210"/>
      <c r="D8693" s="211"/>
      <c r="E8693" s="211"/>
      <c r="U8693" s="222"/>
    </row>
    <row r="8694" spans="2:21" x14ac:dyDescent="0.2">
      <c r="B8694" s="207"/>
      <c r="C8694" s="210"/>
      <c r="D8694" s="211"/>
      <c r="E8694" s="211"/>
      <c r="U8694" s="222"/>
    </row>
    <row r="8695" spans="2:21" x14ac:dyDescent="0.2">
      <c r="B8695" s="207"/>
      <c r="C8695" s="210"/>
      <c r="D8695" s="211"/>
      <c r="E8695" s="211"/>
      <c r="U8695" s="222"/>
    </row>
    <row r="8696" spans="2:21" x14ac:dyDescent="0.2">
      <c r="B8696" s="207"/>
      <c r="C8696" s="210"/>
      <c r="D8696" s="211"/>
      <c r="E8696" s="211"/>
      <c r="U8696" s="222"/>
    </row>
    <row r="8697" spans="2:21" x14ac:dyDescent="0.2">
      <c r="B8697" s="207"/>
      <c r="C8697" s="210"/>
      <c r="D8697" s="211"/>
      <c r="E8697" s="211"/>
      <c r="U8697" s="222"/>
    </row>
    <row r="8698" spans="2:21" x14ac:dyDescent="0.2">
      <c r="B8698" s="207"/>
      <c r="C8698" s="210"/>
      <c r="D8698" s="211"/>
      <c r="E8698" s="211"/>
      <c r="U8698" s="222"/>
    </row>
    <row r="8699" spans="2:21" x14ac:dyDescent="0.2">
      <c r="B8699" s="207"/>
      <c r="C8699" s="210"/>
      <c r="D8699" s="211"/>
      <c r="E8699" s="211"/>
      <c r="U8699" s="222"/>
    </row>
    <row r="8700" spans="2:21" x14ac:dyDescent="0.2">
      <c r="B8700" s="207"/>
      <c r="C8700" s="210"/>
      <c r="D8700" s="211"/>
      <c r="E8700" s="211"/>
      <c r="U8700" s="222"/>
    </row>
    <row r="8701" spans="2:21" x14ac:dyDescent="0.2">
      <c r="B8701" s="207"/>
      <c r="C8701" s="210"/>
      <c r="D8701" s="211"/>
      <c r="E8701" s="211"/>
      <c r="U8701" s="222"/>
    </row>
    <row r="8702" spans="2:21" x14ac:dyDescent="0.2">
      <c r="B8702" s="207"/>
      <c r="C8702" s="210"/>
      <c r="D8702" s="211"/>
      <c r="E8702" s="211"/>
      <c r="U8702" s="222"/>
    </row>
    <row r="8703" spans="2:21" x14ac:dyDescent="0.2">
      <c r="B8703" s="207"/>
      <c r="C8703" s="210"/>
      <c r="D8703" s="211"/>
      <c r="E8703" s="211"/>
      <c r="U8703" s="222"/>
    </row>
    <row r="8704" spans="2:21" x14ac:dyDescent="0.2">
      <c r="B8704" s="207"/>
      <c r="C8704" s="210"/>
      <c r="D8704" s="211"/>
      <c r="E8704" s="211"/>
      <c r="U8704" s="222"/>
    </row>
    <row r="8705" spans="2:21" x14ac:dyDescent="0.2">
      <c r="B8705" s="207"/>
      <c r="C8705" s="210"/>
      <c r="D8705" s="211"/>
      <c r="E8705" s="211"/>
      <c r="U8705" s="222"/>
    </row>
    <row r="8706" spans="2:21" x14ac:dyDescent="0.2">
      <c r="B8706" s="207"/>
      <c r="C8706" s="210"/>
      <c r="D8706" s="211"/>
      <c r="E8706" s="211"/>
      <c r="U8706" s="222"/>
    </row>
    <row r="8707" spans="2:21" x14ac:dyDescent="0.2">
      <c r="B8707" s="207"/>
      <c r="C8707" s="210"/>
      <c r="D8707" s="211"/>
      <c r="E8707" s="211"/>
      <c r="U8707" s="222"/>
    </row>
    <row r="8708" spans="2:21" x14ac:dyDescent="0.2">
      <c r="B8708" s="207"/>
      <c r="C8708" s="210"/>
      <c r="D8708" s="211"/>
      <c r="E8708" s="211"/>
      <c r="U8708" s="222"/>
    </row>
    <row r="8709" spans="2:21" x14ac:dyDescent="0.2">
      <c r="B8709" s="207"/>
      <c r="C8709" s="210"/>
      <c r="D8709" s="211"/>
      <c r="E8709" s="211"/>
      <c r="U8709" s="222"/>
    </row>
    <row r="8710" spans="2:21" x14ac:dyDescent="0.2">
      <c r="B8710" s="207"/>
      <c r="C8710" s="210"/>
      <c r="D8710" s="211"/>
      <c r="E8710" s="211"/>
      <c r="U8710" s="222"/>
    </row>
    <row r="8711" spans="2:21" x14ac:dyDescent="0.2">
      <c r="B8711" s="207"/>
      <c r="C8711" s="210"/>
      <c r="D8711" s="211"/>
      <c r="E8711" s="211"/>
      <c r="U8711" s="222"/>
    </row>
    <row r="8712" spans="2:21" x14ac:dyDescent="0.2">
      <c r="B8712" s="207"/>
      <c r="C8712" s="210"/>
      <c r="D8712" s="211"/>
      <c r="E8712" s="211"/>
      <c r="U8712" s="222"/>
    </row>
    <row r="8713" spans="2:21" x14ac:dyDescent="0.2">
      <c r="B8713" s="207"/>
      <c r="C8713" s="210"/>
      <c r="D8713" s="211"/>
      <c r="E8713" s="211"/>
      <c r="U8713" s="222"/>
    </row>
    <row r="8714" spans="2:21" x14ac:dyDescent="0.2">
      <c r="B8714" s="207"/>
      <c r="C8714" s="210"/>
      <c r="D8714" s="211"/>
      <c r="E8714" s="211"/>
      <c r="U8714" s="222"/>
    </row>
    <row r="8715" spans="2:21" x14ac:dyDescent="0.2">
      <c r="B8715" s="207"/>
      <c r="C8715" s="210"/>
      <c r="D8715" s="211"/>
      <c r="E8715" s="211"/>
      <c r="U8715" s="222"/>
    </row>
    <row r="8716" spans="2:21" x14ac:dyDescent="0.2">
      <c r="B8716" s="207"/>
      <c r="C8716" s="210"/>
      <c r="D8716" s="211"/>
      <c r="E8716" s="211"/>
      <c r="U8716" s="222"/>
    </row>
    <row r="8717" spans="2:21" x14ac:dyDescent="0.2">
      <c r="B8717" s="207"/>
      <c r="C8717" s="210"/>
      <c r="D8717" s="211"/>
      <c r="E8717" s="211"/>
      <c r="U8717" s="222"/>
    </row>
    <row r="8718" spans="2:21" x14ac:dyDescent="0.2">
      <c r="B8718" s="207"/>
      <c r="C8718" s="210"/>
      <c r="D8718" s="211"/>
      <c r="E8718" s="211"/>
      <c r="U8718" s="222"/>
    </row>
    <row r="8719" spans="2:21" x14ac:dyDescent="0.2">
      <c r="B8719" s="207"/>
      <c r="C8719" s="210"/>
      <c r="D8719" s="211"/>
      <c r="E8719" s="211"/>
      <c r="U8719" s="222"/>
    </row>
    <row r="8720" spans="2:21" x14ac:dyDescent="0.2">
      <c r="B8720" s="207"/>
      <c r="C8720" s="210"/>
      <c r="D8720" s="211"/>
      <c r="E8720" s="211"/>
      <c r="U8720" s="222"/>
    </row>
    <row r="8721" spans="2:21" x14ac:dyDescent="0.2">
      <c r="B8721" s="207"/>
      <c r="C8721" s="210"/>
      <c r="D8721" s="211"/>
      <c r="E8721" s="211"/>
      <c r="U8721" s="222"/>
    </row>
    <row r="8722" spans="2:21" x14ac:dyDescent="0.2">
      <c r="B8722" s="207"/>
      <c r="C8722" s="210"/>
      <c r="D8722" s="211"/>
      <c r="E8722" s="211"/>
      <c r="U8722" s="222"/>
    </row>
    <row r="8723" spans="2:21" x14ac:dyDescent="0.2">
      <c r="B8723" s="207"/>
      <c r="C8723" s="210"/>
      <c r="D8723" s="211"/>
      <c r="E8723" s="211"/>
      <c r="U8723" s="222"/>
    </row>
    <row r="8724" spans="2:21" x14ac:dyDescent="0.2">
      <c r="B8724" s="207"/>
      <c r="C8724" s="210"/>
      <c r="D8724" s="211"/>
      <c r="E8724" s="211"/>
      <c r="U8724" s="222"/>
    </row>
    <row r="8725" spans="2:21" x14ac:dyDescent="0.2">
      <c r="B8725" s="207"/>
      <c r="C8725" s="210"/>
      <c r="D8725" s="211"/>
      <c r="E8725" s="211"/>
      <c r="U8725" s="222"/>
    </row>
    <row r="8726" spans="2:21" x14ac:dyDescent="0.2">
      <c r="B8726" s="207"/>
      <c r="C8726" s="210"/>
      <c r="D8726" s="211"/>
      <c r="E8726" s="211"/>
      <c r="U8726" s="222"/>
    </row>
    <row r="8727" spans="2:21" x14ac:dyDescent="0.2">
      <c r="B8727" s="207"/>
      <c r="C8727" s="210"/>
      <c r="D8727" s="211"/>
      <c r="E8727" s="211"/>
      <c r="U8727" s="222"/>
    </row>
    <row r="8728" spans="2:21" x14ac:dyDescent="0.2">
      <c r="B8728" s="207"/>
      <c r="C8728" s="210"/>
      <c r="D8728" s="211"/>
      <c r="E8728" s="211"/>
      <c r="U8728" s="222"/>
    </row>
    <row r="8729" spans="2:21" x14ac:dyDescent="0.2">
      <c r="B8729" s="207"/>
      <c r="C8729" s="210"/>
      <c r="D8729" s="211"/>
      <c r="E8729" s="211"/>
      <c r="U8729" s="222"/>
    </row>
    <row r="8730" spans="2:21" x14ac:dyDescent="0.2">
      <c r="B8730" s="207"/>
      <c r="C8730" s="210"/>
      <c r="D8730" s="211"/>
      <c r="E8730" s="211"/>
      <c r="U8730" s="222"/>
    </row>
    <row r="8731" spans="2:21" x14ac:dyDescent="0.2">
      <c r="B8731" s="207"/>
      <c r="C8731" s="210"/>
      <c r="D8731" s="211"/>
      <c r="E8731" s="211"/>
      <c r="U8731" s="222"/>
    </row>
    <row r="8732" spans="2:21" x14ac:dyDescent="0.2">
      <c r="B8732" s="207"/>
      <c r="C8732" s="210"/>
      <c r="D8732" s="211"/>
      <c r="E8732" s="211"/>
      <c r="U8732" s="222"/>
    </row>
    <row r="8733" spans="2:21" x14ac:dyDescent="0.2">
      <c r="B8733" s="207"/>
      <c r="C8733" s="210"/>
      <c r="D8733" s="211"/>
      <c r="E8733" s="211"/>
      <c r="U8733" s="222"/>
    </row>
    <row r="8734" spans="2:21" x14ac:dyDescent="0.2">
      <c r="B8734" s="207"/>
      <c r="C8734" s="210"/>
      <c r="D8734" s="211"/>
      <c r="E8734" s="211"/>
      <c r="U8734" s="222"/>
    </row>
    <row r="8735" spans="2:21" x14ac:dyDescent="0.2">
      <c r="B8735" s="207"/>
      <c r="C8735" s="210"/>
      <c r="D8735" s="211"/>
      <c r="E8735" s="211"/>
      <c r="U8735" s="222"/>
    </row>
    <row r="8736" spans="2:21" x14ac:dyDescent="0.2">
      <c r="B8736" s="207"/>
      <c r="C8736" s="210"/>
      <c r="D8736" s="211"/>
      <c r="E8736" s="211"/>
      <c r="U8736" s="222"/>
    </row>
    <row r="8737" spans="2:21" x14ac:dyDescent="0.2">
      <c r="B8737" s="207"/>
      <c r="C8737" s="210"/>
      <c r="D8737" s="211"/>
      <c r="E8737" s="211"/>
      <c r="U8737" s="222"/>
    </row>
    <row r="8738" spans="2:21" x14ac:dyDescent="0.2">
      <c r="B8738" s="207"/>
      <c r="C8738" s="210"/>
      <c r="D8738" s="211"/>
      <c r="E8738" s="211"/>
      <c r="U8738" s="222"/>
    </row>
    <row r="8739" spans="2:21" x14ac:dyDescent="0.2">
      <c r="B8739" s="207"/>
      <c r="C8739" s="210"/>
      <c r="D8739" s="211"/>
      <c r="E8739" s="211"/>
      <c r="U8739" s="222"/>
    </row>
    <row r="8740" spans="2:21" x14ac:dyDescent="0.2">
      <c r="B8740" s="207"/>
      <c r="C8740" s="210"/>
      <c r="D8740" s="211"/>
      <c r="E8740" s="211"/>
      <c r="U8740" s="222"/>
    </row>
    <row r="8741" spans="2:21" x14ac:dyDescent="0.2">
      <c r="B8741" s="207"/>
      <c r="C8741" s="210"/>
      <c r="D8741" s="211"/>
      <c r="E8741" s="211"/>
      <c r="U8741" s="222"/>
    </row>
    <row r="8742" spans="2:21" x14ac:dyDescent="0.2">
      <c r="B8742" s="207"/>
      <c r="C8742" s="210"/>
      <c r="D8742" s="211"/>
      <c r="E8742" s="211"/>
      <c r="U8742" s="222"/>
    </row>
    <row r="8743" spans="2:21" x14ac:dyDescent="0.2">
      <c r="B8743" s="207"/>
      <c r="C8743" s="210"/>
      <c r="D8743" s="211"/>
      <c r="E8743" s="211"/>
      <c r="U8743" s="222"/>
    </row>
    <row r="8744" spans="2:21" x14ac:dyDescent="0.2">
      <c r="B8744" s="207"/>
      <c r="C8744" s="210"/>
      <c r="D8744" s="211"/>
      <c r="E8744" s="211"/>
      <c r="U8744" s="222"/>
    </row>
    <row r="8745" spans="2:21" x14ac:dyDescent="0.2">
      <c r="B8745" s="207"/>
      <c r="C8745" s="210"/>
      <c r="D8745" s="211"/>
      <c r="E8745" s="211"/>
      <c r="U8745" s="222"/>
    </row>
    <row r="8746" spans="2:21" x14ac:dyDescent="0.2">
      <c r="B8746" s="207"/>
      <c r="C8746" s="210"/>
      <c r="D8746" s="211"/>
      <c r="E8746" s="211"/>
      <c r="U8746" s="222"/>
    </row>
    <row r="8747" spans="2:21" x14ac:dyDescent="0.2">
      <c r="B8747" s="207"/>
      <c r="C8747" s="210"/>
      <c r="D8747" s="211"/>
      <c r="E8747" s="211"/>
      <c r="U8747" s="222"/>
    </row>
    <row r="8748" spans="2:21" x14ac:dyDescent="0.2">
      <c r="B8748" s="207"/>
      <c r="C8748" s="210"/>
      <c r="D8748" s="211"/>
      <c r="E8748" s="211"/>
      <c r="U8748" s="222"/>
    </row>
    <row r="8749" spans="2:21" x14ac:dyDescent="0.2">
      <c r="B8749" s="207"/>
      <c r="C8749" s="210"/>
      <c r="D8749" s="211"/>
      <c r="E8749" s="211"/>
      <c r="U8749" s="222"/>
    </row>
    <row r="8750" spans="2:21" x14ac:dyDescent="0.2">
      <c r="B8750" s="207"/>
      <c r="C8750" s="210"/>
      <c r="D8750" s="211"/>
      <c r="E8750" s="211"/>
      <c r="U8750" s="222"/>
    </row>
    <row r="8751" spans="2:21" x14ac:dyDescent="0.2">
      <c r="B8751" s="207"/>
      <c r="C8751" s="210"/>
      <c r="D8751" s="211"/>
      <c r="E8751" s="211"/>
      <c r="U8751" s="222"/>
    </row>
    <row r="8752" spans="2:21" x14ac:dyDescent="0.2">
      <c r="B8752" s="207"/>
      <c r="C8752" s="210"/>
      <c r="D8752" s="211"/>
      <c r="E8752" s="211"/>
      <c r="U8752" s="222"/>
    </row>
    <row r="8753" spans="2:21" x14ac:dyDescent="0.2">
      <c r="B8753" s="207"/>
      <c r="C8753" s="210"/>
      <c r="D8753" s="211"/>
      <c r="E8753" s="211"/>
      <c r="U8753" s="222"/>
    </row>
    <row r="8754" spans="2:21" x14ac:dyDescent="0.2">
      <c r="B8754" s="207"/>
      <c r="C8754" s="210"/>
      <c r="D8754" s="211"/>
      <c r="E8754" s="211"/>
      <c r="U8754" s="222"/>
    </row>
    <row r="8755" spans="2:21" x14ac:dyDescent="0.2">
      <c r="B8755" s="207"/>
      <c r="C8755" s="210"/>
      <c r="D8755" s="211"/>
      <c r="E8755" s="211"/>
      <c r="U8755" s="222"/>
    </row>
    <row r="8756" spans="2:21" x14ac:dyDescent="0.2">
      <c r="B8756" s="207"/>
      <c r="C8756" s="210"/>
      <c r="D8756" s="211"/>
      <c r="E8756" s="211"/>
      <c r="U8756" s="222"/>
    </row>
    <row r="8757" spans="2:21" x14ac:dyDescent="0.2">
      <c r="B8757" s="207"/>
      <c r="C8757" s="210"/>
      <c r="D8757" s="211"/>
      <c r="E8757" s="211"/>
      <c r="U8757" s="222"/>
    </row>
    <row r="8758" spans="2:21" x14ac:dyDescent="0.2">
      <c r="B8758" s="207"/>
      <c r="C8758" s="210"/>
      <c r="D8758" s="211"/>
      <c r="E8758" s="211"/>
      <c r="U8758" s="222"/>
    </row>
    <row r="8759" spans="2:21" x14ac:dyDescent="0.2">
      <c r="B8759" s="207"/>
      <c r="C8759" s="210"/>
      <c r="D8759" s="211"/>
      <c r="E8759" s="211"/>
      <c r="U8759" s="222"/>
    </row>
    <row r="8760" spans="2:21" x14ac:dyDescent="0.2">
      <c r="B8760" s="207"/>
      <c r="C8760" s="210"/>
      <c r="D8760" s="211"/>
      <c r="E8760" s="211"/>
      <c r="U8760" s="222"/>
    </row>
    <row r="8761" spans="2:21" x14ac:dyDescent="0.2">
      <c r="B8761" s="207"/>
      <c r="C8761" s="210"/>
      <c r="D8761" s="211"/>
      <c r="E8761" s="211"/>
      <c r="U8761" s="222"/>
    </row>
    <row r="8762" spans="2:21" x14ac:dyDescent="0.2">
      <c r="B8762" s="207"/>
      <c r="C8762" s="210"/>
      <c r="D8762" s="211"/>
      <c r="E8762" s="211"/>
      <c r="U8762" s="222"/>
    </row>
    <row r="8763" spans="2:21" x14ac:dyDescent="0.2">
      <c r="B8763" s="207"/>
      <c r="C8763" s="210"/>
      <c r="D8763" s="211"/>
      <c r="E8763" s="211"/>
      <c r="U8763" s="222"/>
    </row>
    <row r="8764" spans="2:21" x14ac:dyDescent="0.2">
      <c r="B8764" s="207"/>
      <c r="C8764" s="210"/>
      <c r="D8764" s="211"/>
      <c r="E8764" s="211"/>
      <c r="U8764" s="222"/>
    </row>
    <row r="8765" spans="2:21" x14ac:dyDescent="0.2">
      <c r="B8765" s="207"/>
      <c r="C8765" s="210"/>
      <c r="D8765" s="211"/>
      <c r="E8765" s="211"/>
      <c r="U8765" s="222"/>
    </row>
    <row r="8766" spans="2:21" x14ac:dyDescent="0.2">
      <c r="B8766" s="207"/>
      <c r="C8766" s="210"/>
      <c r="D8766" s="211"/>
      <c r="E8766" s="211"/>
      <c r="U8766" s="222"/>
    </row>
    <row r="8767" spans="2:21" x14ac:dyDescent="0.2">
      <c r="B8767" s="207"/>
      <c r="C8767" s="210"/>
      <c r="D8767" s="211"/>
      <c r="E8767" s="211"/>
      <c r="U8767" s="222"/>
    </row>
    <row r="8768" spans="2:21" x14ac:dyDescent="0.2">
      <c r="B8768" s="207"/>
      <c r="C8768" s="210"/>
      <c r="D8768" s="211"/>
      <c r="E8768" s="211"/>
      <c r="U8768" s="222"/>
    </row>
    <row r="8769" spans="2:21" x14ac:dyDescent="0.2">
      <c r="B8769" s="207"/>
      <c r="C8769" s="210"/>
      <c r="D8769" s="211"/>
      <c r="E8769" s="211"/>
      <c r="U8769" s="222"/>
    </row>
    <row r="8770" spans="2:21" x14ac:dyDescent="0.2">
      <c r="B8770" s="207"/>
      <c r="C8770" s="210"/>
      <c r="D8770" s="211"/>
      <c r="E8770" s="211"/>
      <c r="U8770" s="222"/>
    </row>
    <row r="8771" spans="2:21" x14ac:dyDescent="0.2">
      <c r="B8771" s="207"/>
      <c r="C8771" s="210"/>
      <c r="D8771" s="211"/>
      <c r="E8771" s="211"/>
      <c r="U8771" s="222"/>
    </row>
    <row r="8772" spans="2:21" x14ac:dyDescent="0.2">
      <c r="B8772" s="207"/>
      <c r="C8772" s="210"/>
      <c r="D8772" s="211"/>
      <c r="E8772" s="211"/>
      <c r="U8772" s="222"/>
    </row>
    <row r="8773" spans="2:21" x14ac:dyDescent="0.2">
      <c r="B8773" s="207"/>
      <c r="C8773" s="210"/>
      <c r="D8773" s="211"/>
      <c r="E8773" s="211"/>
      <c r="U8773" s="222"/>
    </row>
    <row r="8774" spans="2:21" x14ac:dyDescent="0.2">
      <c r="B8774" s="207"/>
      <c r="C8774" s="210"/>
      <c r="D8774" s="211"/>
      <c r="E8774" s="211"/>
      <c r="U8774" s="222"/>
    </row>
    <row r="8775" spans="2:21" x14ac:dyDescent="0.2">
      <c r="B8775" s="207"/>
      <c r="C8775" s="210"/>
      <c r="D8775" s="211"/>
      <c r="E8775" s="211"/>
      <c r="U8775" s="222"/>
    </row>
    <row r="8776" spans="2:21" x14ac:dyDescent="0.2">
      <c r="B8776" s="207"/>
      <c r="C8776" s="210"/>
      <c r="D8776" s="211"/>
      <c r="E8776" s="211"/>
      <c r="U8776" s="222"/>
    </row>
    <row r="8777" spans="2:21" x14ac:dyDescent="0.2">
      <c r="B8777" s="207"/>
      <c r="C8777" s="210"/>
      <c r="D8777" s="211"/>
      <c r="E8777" s="211"/>
      <c r="U8777" s="222"/>
    </row>
    <row r="8778" spans="2:21" x14ac:dyDescent="0.2">
      <c r="B8778" s="207"/>
      <c r="C8778" s="210"/>
      <c r="D8778" s="211"/>
      <c r="E8778" s="211"/>
      <c r="U8778" s="222"/>
    </row>
    <row r="8779" spans="2:21" x14ac:dyDescent="0.2">
      <c r="B8779" s="207"/>
      <c r="C8779" s="210"/>
      <c r="D8779" s="211"/>
      <c r="E8779" s="211"/>
      <c r="U8779" s="222"/>
    </row>
    <row r="8780" spans="2:21" x14ac:dyDescent="0.2">
      <c r="B8780" s="207"/>
      <c r="C8780" s="210"/>
      <c r="D8780" s="211"/>
      <c r="E8780" s="211"/>
      <c r="U8780" s="222"/>
    </row>
    <row r="8781" spans="2:21" x14ac:dyDescent="0.2">
      <c r="B8781" s="207"/>
      <c r="C8781" s="210"/>
      <c r="D8781" s="211"/>
      <c r="E8781" s="211"/>
      <c r="U8781" s="222"/>
    </row>
    <row r="8782" spans="2:21" x14ac:dyDescent="0.2">
      <c r="B8782" s="207"/>
      <c r="C8782" s="210"/>
      <c r="D8782" s="211"/>
      <c r="E8782" s="211"/>
      <c r="U8782" s="222"/>
    </row>
    <row r="8783" spans="2:21" x14ac:dyDescent="0.2">
      <c r="B8783" s="207"/>
      <c r="C8783" s="210"/>
      <c r="D8783" s="211"/>
      <c r="E8783" s="211"/>
      <c r="U8783" s="222"/>
    </row>
    <row r="8784" spans="2:21" x14ac:dyDescent="0.2">
      <c r="B8784" s="207"/>
      <c r="C8784" s="210"/>
      <c r="D8784" s="211"/>
      <c r="E8784" s="211"/>
      <c r="U8784" s="222"/>
    </row>
    <row r="8785" spans="2:21" x14ac:dyDescent="0.2">
      <c r="B8785" s="207"/>
      <c r="C8785" s="210"/>
      <c r="D8785" s="211"/>
      <c r="E8785" s="211"/>
      <c r="U8785" s="222"/>
    </row>
    <row r="8786" spans="2:21" x14ac:dyDescent="0.2">
      <c r="B8786" s="207"/>
      <c r="C8786" s="210"/>
      <c r="D8786" s="211"/>
      <c r="E8786" s="211"/>
      <c r="U8786" s="222"/>
    </row>
    <row r="8787" spans="2:21" x14ac:dyDescent="0.2">
      <c r="B8787" s="207"/>
      <c r="C8787" s="210"/>
      <c r="D8787" s="211"/>
      <c r="E8787" s="211"/>
      <c r="U8787" s="222"/>
    </row>
    <row r="8788" spans="2:21" x14ac:dyDescent="0.2">
      <c r="B8788" s="207"/>
      <c r="C8788" s="210"/>
      <c r="D8788" s="211"/>
      <c r="E8788" s="211"/>
      <c r="U8788" s="222"/>
    </row>
    <row r="8789" spans="2:21" x14ac:dyDescent="0.2">
      <c r="B8789" s="207"/>
      <c r="C8789" s="210"/>
      <c r="D8789" s="211"/>
      <c r="E8789" s="211"/>
      <c r="U8789" s="222"/>
    </row>
    <row r="8790" spans="2:21" x14ac:dyDescent="0.2">
      <c r="B8790" s="207"/>
      <c r="C8790" s="210"/>
      <c r="D8790" s="211"/>
      <c r="E8790" s="211"/>
      <c r="U8790" s="222"/>
    </row>
    <row r="8791" spans="2:21" x14ac:dyDescent="0.2">
      <c r="B8791" s="207"/>
      <c r="C8791" s="210"/>
      <c r="D8791" s="211"/>
      <c r="E8791" s="211"/>
      <c r="U8791" s="222"/>
    </row>
    <row r="8792" spans="2:21" x14ac:dyDescent="0.2">
      <c r="B8792" s="207"/>
      <c r="C8792" s="210"/>
      <c r="D8792" s="211"/>
      <c r="E8792" s="211"/>
      <c r="U8792" s="222"/>
    </row>
    <row r="8793" spans="2:21" x14ac:dyDescent="0.2">
      <c r="B8793" s="207"/>
      <c r="C8793" s="210"/>
      <c r="D8793" s="211"/>
      <c r="E8793" s="211"/>
      <c r="U8793" s="222"/>
    </row>
    <row r="8794" spans="2:21" x14ac:dyDescent="0.2">
      <c r="B8794" s="207"/>
      <c r="C8794" s="210"/>
      <c r="D8794" s="211"/>
      <c r="E8794" s="211"/>
      <c r="U8794" s="222"/>
    </row>
    <row r="8795" spans="2:21" x14ac:dyDescent="0.2">
      <c r="B8795" s="207"/>
      <c r="C8795" s="210"/>
      <c r="D8795" s="211"/>
      <c r="E8795" s="211"/>
      <c r="U8795" s="222"/>
    </row>
    <row r="8796" spans="2:21" x14ac:dyDescent="0.2">
      <c r="B8796" s="207"/>
      <c r="C8796" s="210"/>
      <c r="D8796" s="211"/>
      <c r="E8796" s="211"/>
      <c r="U8796" s="222"/>
    </row>
    <row r="8797" spans="2:21" x14ac:dyDescent="0.2">
      <c r="B8797" s="207"/>
      <c r="C8797" s="210"/>
      <c r="D8797" s="211"/>
      <c r="E8797" s="211"/>
      <c r="U8797" s="222"/>
    </row>
    <row r="8798" spans="2:21" x14ac:dyDescent="0.2">
      <c r="B8798" s="207"/>
      <c r="C8798" s="210"/>
      <c r="D8798" s="211"/>
      <c r="E8798" s="211"/>
      <c r="U8798" s="222"/>
    </row>
    <row r="8799" spans="2:21" x14ac:dyDescent="0.2">
      <c r="B8799" s="207"/>
      <c r="C8799" s="210"/>
      <c r="D8799" s="211"/>
      <c r="E8799" s="211"/>
      <c r="U8799" s="222"/>
    </row>
    <row r="8800" spans="2:21" x14ac:dyDescent="0.2">
      <c r="B8800" s="207"/>
      <c r="C8800" s="210"/>
      <c r="D8800" s="211"/>
      <c r="E8800" s="211"/>
      <c r="U8800" s="222"/>
    </row>
    <row r="8801" spans="2:21" x14ac:dyDescent="0.2">
      <c r="B8801" s="207"/>
      <c r="C8801" s="210"/>
      <c r="D8801" s="211"/>
      <c r="E8801" s="211"/>
      <c r="U8801" s="222"/>
    </row>
    <row r="8802" spans="2:21" x14ac:dyDescent="0.2">
      <c r="B8802" s="207"/>
      <c r="C8802" s="210"/>
      <c r="D8802" s="211"/>
      <c r="E8802" s="211"/>
      <c r="U8802" s="222"/>
    </row>
    <row r="8803" spans="2:21" x14ac:dyDescent="0.2">
      <c r="B8803" s="207"/>
      <c r="C8803" s="210"/>
      <c r="D8803" s="211"/>
      <c r="E8803" s="211"/>
      <c r="U8803" s="222"/>
    </row>
    <row r="8804" spans="2:21" x14ac:dyDescent="0.2">
      <c r="B8804" s="207"/>
      <c r="C8804" s="210"/>
      <c r="D8804" s="211"/>
      <c r="E8804" s="211"/>
      <c r="U8804" s="222"/>
    </row>
    <row r="8805" spans="2:21" x14ac:dyDescent="0.2">
      <c r="B8805" s="207"/>
      <c r="C8805" s="210"/>
      <c r="D8805" s="211"/>
      <c r="E8805" s="211"/>
      <c r="U8805" s="222"/>
    </row>
    <row r="8806" spans="2:21" x14ac:dyDescent="0.2">
      <c r="B8806" s="207"/>
      <c r="C8806" s="210"/>
      <c r="D8806" s="211"/>
      <c r="E8806" s="211"/>
      <c r="U8806" s="222"/>
    </row>
    <row r="8807" spans="2:21" x14ac:dyDescent="0.2">
      <c r="B8807" s="207"/>
      <c r="C8807" s="210"/>
      <c r="D8807" s="211"/>
      <c r="E8807" s="211"/>
      <c r="U8807" s="222"/>
    </row>
    <row r="8808" spans="2:21" x14ac:dyDescent="0.2">
      <c r="B8808" s="207"/>
      <c r="C8808" s="210"/>
      <c r="D8808" s="211"/>
      <c r="E8808" s="211"/>
      <c r="U8808" s="222"/>
    </row>
    <row r="8809" spans="2:21" x14ac:dyDescent="0.2">
      <c r="B8809" s="207"/>
      <c r="C8809" s="210"/>
      <c r="D8809" s="211"/>
      <c r="E8809" s="211"/>
      <c r="U8809" s="222"/>
    </row>
    <row r="8810" spans="2:21" x14ac:dyDescent="0.2">
      <c r="B8810" s="207"/>
      <c r="C8810" s="210"/>
      <c r="D8810" s="211"/>
      <c r="E8810" s="211"/>
      <c r="U8810" s="222"/>
    </row>
    <row r="8811" spans="2:21" x14ac:dyDescent="0.2">
      <c r="B8811" s="207"/>
      <c r="C8811" s="210"/>
      <c r="D8811" s="211"/>
      <c r="E8811" s="211"/>
      <c r="U8811" s="222"/>
    </row>
    <row r="8812" spans="2:21" x14ac:dyDescent="0.2">
      <c r="B8812" s="207"/>
      <c r="C8812" s="210"/>
      <c r="D8812" s="211"/>
      <c r="E8812" s="211"/>
      <c r="U8812" s="222"/>
    </row>
    <row r="8813" spans="2:21" x14ac:dyDescent="0.2">
      <c r="B8813" s="207"/>
      <c r="C8813" s="210"/>
      <c r="D8813" s="211"/>
      <c r="E8813" s="211"/>
      <c r="U8813" s="222"/>
    </row>
    <row r="8814" spans="2:21" x14ac:dyDescent="0.2">
      <c r="B8814" s="207"/>
      <c r="C8814" s="210"/>
      <c r="D8814" s="211"/>
      <c r="E8814" s="211"/>
      <c r="U8814" s="222"/>
    </row>
    <row r="8815" spans="2:21" x14ac:dyDescent="0.2">
      <c r="B8815" s="207"/>
      <c r="C8815" s="210"/>
      <c r="D8815" s="211"/>
      <c r="E8815" s="211"/>
      <c r="U8815" s="222"/>
    </row>
    <row r="8816" spans="2:21" x14ac:dyDescent="0.2">
      <c r="B8816" s="207"/>
      <c r="C8816" s="210"/>
      <c r="D8816" s="211"/>
      <c r="E8816" s="211"/>
      <c r="U8816" s="222"/>
    </row>
    <row r="8817" spans="2:21" x14ac:dyDescent="0.2">
      <c r="B8817" s="207"/>
      <c r="C8817" s="210"/>
      <c r="D8817" s="211"/>
      <c r="E8817" s="211"/>
      <c r="U8817" s="222"/>
    </row>
    <row r="8818" spans="2:21" x14ac:dyDescent="0.2">
      <c r="B8818" s="207"/>
      <c r="C8818" s="210"/>
      <c r="D8818" s="211"/>
      <c r="E8818" s="211"/>
      <c r="U8818" s="222"/>
    </row>
    <row r="8819" spans="2:21" x14ac:dyDescent="0.2">
      <c r="B8819" s="207"/>
      <c r="C8819" s="210"/>
      <c r="D8819" s="211"/>
      <c r="E8819" s="211"/>
      <c r="U8819" s="222"/>
    </row>
    <row r="8820" spans="2:21" x14ac:dyDescent="0.2">
      <c r="B8820" s="207"/>
      <c r="C8820" s="210"/>
      <c r="D8820" s="211"/>
      <c r="E8820" s="211"/>
      <c r="U8820" s="222"/>
    </row>
    <row r="8821" spans="2:21" x14ac:dyDescent="0.2">
      <c r="B8821" s="207"/>
      <c r="C8821" s="210"/>
      <c r="D8821" s="211"/>
      <c r="E8821" s="211"/>
      <c r="U8821" s="222"/>
    </row>
    <row r="8822" spans="2:21" x14ac:dyDescent="0.2">
      <c r="B8822" s="207"/>
      <c r="C8822" s="210"/>
      <c r="D8822" s="211"/>
      <c r="E8822" s="211"/>
      <c r="U8822" s="222"/>
    </row>
    <row r="8823" spans="2:21" x14ac:dyDescent="0.2">
      <c r="B8823" s="207"/>
      <c r="C8823" s="210"/>
      <c r="D8823" s="211"/>
      <c r="E8823" s="211"/>
      <c r="U8823" s="222"/>
    </row>
    <row r="8824" spans="2:21" x14ac:dyDescent="0.2">
      <c r="B8824" s="207"/>
      <c r="C8824" s="210"/>
      <c r="D8824" s="211"/>
      <c r="E8824" s="211"/>
      <c r="U8824" s="222"/>
    </row>
    <row r="8825" spans="2:21" x14ac:dyDescent="0.2">
      <c r="B8825" s="207"/>
      <c r="C8825" s="210"/>
      <c r="D8825" s="211"/>
      <c r="E8825" s="211"/>
      <c r="U8825" s="222"/>
    </row>
    <row r="8826" spans="2:21" x14ac:dyDescent="0.2">
      <c r="B8826" s="207"/>
      <c r="C8826" s="210"/>
      <c r="D8826" s="211"/>
      <c r="E8826" s="211"/>
      <c r="U8826" s="222"/>
    </row>
    <row r="8827" spans="2:21" x14ac:dyDescent="0.2">
      <c r="B8827" s="207"/>
      <c r="C8827" s="210"/>
      <c r="D8827" s="211"/>
      <c r="E8827" s="211"/>
      <c r="U8827" s="222"/>
    </row>
    <row r="8828" spans="2:21" x14ac:dyDescent="0.2">
      <c r="B8828" s="207"/>
      <c r="C8828" s="210"/>
      <c r="D8828" s="211"/>
      <c r="E8828" s="211"/>
      <c r="U8828" s="222"/>
    </row>
    <row r="8829" spans="2:21" x14ac:dyDescent="0.2">
      <c r="B8829" s="207"/>
      <c r="C8829" s="210"/>
      <c r="D8829" s="211"/>
      <c r="E8829" s="211"/>
      <c r="U8829" s="222"/>
    </row>
    <row r="8830" spans="2:21" x14ac:dyDescent="0.2">
      <c r="B8830" s="207"/>
      <c r="C8830" s="210"/>
      <c r="D8830" s="211"/>
      <c r="E8830" s="211"/>
      <c r="U8830" s="222"/>
    </row>
    <row r="8831" spans="2:21" x14ac:dyDescent="0.2">
      <c r="B8831" s="207"/>
      <c r="C8831" s="210"/>
      <c r="D8831" s="211"/>
      <c r="E8831" s="211"/>
      <c r="U8831" s="222"/>
    </row>
    <row r="8832" spans="2:21" x14ac:dyDescent="0.2">
      <c r="B8832" s="207"/>
      <c r="C8832" s="210"/>
      <c r="D8832" s="211"/>
      <c r="E8832" s="211"/>
      <c r="U8832" s="222"/>
    </row>
    <row r="8833" spans="2:21" x14ac:dyDescent="0.2">
      <c r="B8833" s="207"/>
      <c r="C8833" s="210"/>
      <c r="D8833" s="211"/>
      <c r="E8833" s="211"/>
      <c r="U8833" s="222"/>
    </row>
    <row r="8834" spans="2:21" x14ac:dyDescent="0.2">
      <c r="B8834" s="207"/>
      <c r="C8834" s="210"/>
      <c r="D8834" s="211"/>
      <c r="E8834" s="211"/>
      <c r="U8834" s="222"/>
    </row>
    <row r="8835" spans="2:21" x14ac:dyDescent="0.2">
      <c r="B8835" s="207"/>
      <c r="C8835" s="210"/>
      <c r="D8835" s="211"/>
      <c r="E8835" s="211"/>
      <c r="U8835" s="222"/>
    </row>
    <row r="8836" spans="2:21" x14ac:dyDescent="0.2">
      <c r="B8836" s="207"/>
      <c r="C8836" s="210"/>
      <c r="D8836" s="211"/>
      <c r="E8836" s="211"/>
      <c r="U8836" s="222"/>
    </row>
    <row r="8837" spans="2:21" x14ac:dyDescent="0.2">
      <c r="B8837" s="207"/>
      <c r="C8837" s="210"/>
      <c r="D8837" s="211"/>
      <c r="E8837" s="211"/>
      <c r="U8837" s="222"/>
    </row>
    <row r="8838" spans="2:21" x14ac:dyDescent="0.2">
      <c r="B8838" s="207"/>
      <c r="C8838" s="210"/>
      <c r="D8838" s="211"/>
      <c r="E8838" s="211"/>
      <c r="U8838" s="222"/>
    </row>
    <row r="8839" spans="2:21" x14ac:dyDescent="0.2">
      <c r="B8839" s="207"/>
      <c r="C8839" s="210"/>
      <c r="D8839" s="211"/>
      <c r="E8839" s="211"/>
      <c r="U8839" s="222"/>
    </row>
    <row r="8840" spans="2:21" x14ac:dyDescent="0.2">
      <c r="B8840" s="207"/>
      <c r="C8840" s="210"/>
      <c r="D8840" s="211"/>
      <c r="E8840" s="211"/>
      <c r="U8840" s="222"/>
    </row>
    <row r="8841" spans="2:21" x14ac:dyDescent="0.2">
      <c r="B8841" s="207"/>
      <c r="C8841" s="210"/>
      <c r="D8841" s="211"/>
      <c r="E8841" s="211"/>
      <c r="U8841" s="222"/>
    </row>
    <row r="8842" spans="2:21" x14ac:dyDescent="0.2">
      <c r="B8842" s="207"/>
      <c r="C8842" s="210"/>
      <c r="D8842" s="211"/>
      <c r="E8842" s="211"/>
      <c r="U8842" s="222"/>
    </row>
    <row r="8843" spans="2:21" x14ac:dyDescent="0.2">
      <c r="B8843" s="207"/>
      <c r="C8843" s="210"/>
      <c r="D8843" s="211"/>
      <c r="E8843" s="211"/>
      <c r="U8843" s="222"/>
    </row>
    <row r="8844" spans="2:21" x14ac:dyDescent="0.2">
      <c r="B8844" s="207"/>
      <c r="C8844" s="210"/>
      <c r="D8844" s="211"/>
      <c r="E8844" s="211"/>
      <c r="U8844" s="222"/>
    </row>
    <row r="8845" spans="2:21" x14ac:dyDescent="0.2">
      <c r="B8845" s="207"/>
      <c r="C8845" s="210"/>
      <c r="D8845" s="211"/>
      <c r="E8845" s="211"/>
      <c r="U8845" s="222"/>
    </row>
    <row r="8846" spans="2:21" x14ac:dyDescent="0.2">
      <c r="B8846" s="207"/>
      <c r="C8846" s="210"/>
      <c r="D8846" s="211"/>
      <c r="E8846" s="211"/>
      <c r="U8846" s="222"/>
    </row>
    <row r="8847" spans="2:21" x14ac:dyDescent="0.2">
      <c r="B8847" s="207"/>
      <c r="C8847" s="210"/>
      <c r="D8847" s="211"/>
      <c r="E8847" s="211"/>
      <c r="U8847" s="222"/>
    </row>
    <row r="8848" spans="2:21" x14ac:dyDescent="0.2">
      <c r="B8848" s="207"/>
      <c r="C8848" s="210"/>
      <c r="D8848" s="211"/>
      <c r="E8848" s="211"/>
      <c r="U8848" s="222"/>
    </row>
    <row r="8849" spans="2:21" x14ac:dyDescent="0.2">
      <c r="B8849" s="207"/>
      <c r="C8849" s="210"/>
      <c r="D8849" s="211"/>
      <c r="E8849" s="211"/>
      <c r="U8849" s="222"/>
    </row>
    <row r="8850" spans="2:21" x14ac:dyDescent="0.2">
      <c r="B8850" s="207"/>
      <c r="C8850" s="210"/>
      <c r="D8850" s="211"/>
      <c r="E8850" s="211"/>
      <c r="U8850" s="222"/>
    </row>
    <row r="8851" spans="2:21" x14ac:dyDescent="0.2">
      <c r="B8851" s="207"/>
      <c r="C8851" s="210"/>
      <c r="D8851" s="211"/>
      <c r="E8851" s="211"/>
      <c r="U8851" s="222"/>
    </row>
    <row r="8852" spans="2:21" x14ac:dyDescent="0.2">
      <c r="B8852" s="207"/>
      <c r="C8852" s="210"/>
      <c r="D8852" s="211"/>
      <c r="E8852" s="211"/>
      <c r="U8852" s="222"/>
    </row>
    <row r="8853" spans="2:21" x14ac:dyDescent="0.2">
      <c r="B8853" s="207"/>
      <c r="C8853" s="210"/>
      <c r="D8853" s="211"/>
      <c r="E8853" s="211"/>
      <c r="U8853" s="222"/>
    </row>
    <row r="8854" spans="2:21" x14ac:dyDescent="0.2">
      <c r="B8854" s="207"/>
      <c r="C8854" s="210"/>
      <c r="D8854" s="211"/>
      <c r="E8854" s="211"/>
      <c r="U8854" s="222"/>
    </row>
    <row r="8855" spans="2:21" x14ac:dyDescent="0.2">
      <c r="B8855" s="207"/>
      <c r="C8855" s="210"/>
      <c r="D8855" s="211"/>
      <c r="E8855" s="211"/>
      <c r="U8855" s="222"/>
    </row>
    <row r="8856" spans="2:21" x14ac:dyDescent="0.2">
      <c r="B8856" s="207"/>
      <c r="C8856" s="210"/>
      <c r="D8856" s="211"/>
      <c r="E8856" s="211"/>
      <c r="U8856" s="222"/>
    </row>
    <row r="8857" spans="2:21" x14ac:dyDescent="0.2">
      <c r="B8857" s="207"/>
      <c r="C8857" s="210"/>
      <c r="D8857" s="211"/>
      <c r="E8857" s="211"/>
      <c r="U8857" s="222"/>
    </row>
    <row r="8858" spans="2:21" x14ac:dyDescent="0.2">
      <c r="B8858" s="207"/>
      <c r="C8858" s="210"/>
      <c r="D8858" s="211"/>
      <c r="E8858" s="211"/>
      <c r="U8858" s="222"/>
    </row>
    <row r="8859" spans="2:21" x14ac:dyDescent="0.2">
      <c r="B8859" s="207"/>
      <c r="C8859" s="210"/>
      <c r="D8859" s="211"/>
      <c r="E8859" s="211"/>
      <c r="U8859" s="222"/>
    </row>
    <row r="8860" spans="2:21" x14ac:dyDescent="0.2">
      <c r="B8860" s="207"/>
      <c r="C8860" s="210"/>
      <c r="D8860" s="211"/>
      <c r="E8860" s="211"/>
      <c r="U8860" s="222"/>
    </row>
    <row r="8861" spans="2:21" x14ac:dyDescent="0.2">
      <c r="B8861" s="207"/>
      <c r="C8861" s="210"/>
      <c r="D8861" s="211"/>
      <c r="E8861" s="211"/>
      <c r="U8861" s="222"/>
    </row>
    <row r="8862" spans="2:21" x14ac:dyDescent="0.2">
      <c r="B8862" s="207"/>
      <c r="C8862" s="210"/>
      <c r="D8862" s="211"/>
      <c r="E8862" s="211"/>
      <c r="U8862" s="222"/>
    </row>
    <row r="8863" spans="2:21" x14ac:dyDescent="0.2">
      <c r="B8863" s="207"/>
      <c r="C8863" s="210"/>
      <c r="D8863" s="211"/>
      <c r="E8863" s="211"/>
      <c r="U8863" s="222"/>
    </row>
    <row r="8864" spans="2:21" x14ac:dyDescent="0.2">
      <c r="B8864" s="207"/>
      <c r="C8864" s="210"/>
      <c r="D8864" s="211"/>
      <c r="E8864" s="211"/>
      <c r="U8864" s="222"/>
    </row>
    <row r="8865" spans="2:21" x14ac:dyDescent="0.2">
      <c r="B8865" s="207"/>
      <c r="C8865" s="210"/>
      <c r="D8865" s="211"/>
      <c r="E8865" s="211"/>
      <c r="U8865" s="222"/>
    </row>
    <row r="8866" spans="2:21" x14ac:dyDescent="0.2">
      <c r="B8866" s="207"/>
      <c r="C8866" s="210"/>
      <c r="D8866" s="211"/>
      <c r="E8866" s="211"/>
      <c r="U8866" s="222"/>
    </row>
    <row r="8867" spans="2:21" x14ac:dyDescent="0.2">
      <c r="B8867" s="207"/>
      <c r="C8867" s="210"/>
      <c r="D8867" s="211"/>
      <c r="E8867" s="211"/>
      <c r="U8867" s="222"/>
    </row>
    <row r="8868" spans="2:21" x14ac:dyDescent="0.2">
      <c r="B8868" s="207"/>
      <c r="C8868" s="210"/>
      <c r="D8868" s="211"/>
      <c r="E8868" s="211"/>
      <c r="U8868" s="222"/>
    </row>
    <row r="8869" spans="2:21" x14ac:dyDescent="0.2">
      <c r="B8869" s="207"/>
      <c r="C8869" s="210"/>
      <c r="D8869" s="211"/>
      <c r="E8869" s="211"/>
      <c r="U8869" s="222"/>
    </row>
    <row r="8870" spans="2:21" x14ac:dyDescent="0.2">
      <c r="B8870" s="207"/>
      <c r="C8870" s="210"/>
      <c r="D8870" s="211"/>
      <c r="E8870" s="211"/>
      <c r="U8870" s="222"/>
    </row>
    <row r="8871" spans="2:21" x14ac:dyDescent="0.2">
      <c r="B8871" s="207"/>
      <c r="C8871" s="210"/>
      <c r="D8871" s="211"/>
      <c r="E8871" s="211"/>
      <c r="U8871" s="222"/>
    </row>
    <row r="8872" spans="2:21" x14ac:dyDescent="0.2">
      <c r="B8872" s="207"/>
      <c r="C8872" s="210"/>
      <c r="D8872" s="211"/>
      <c r="E8872" s="211"/>
      <c r="U8872" s="222"/>
    </row>
    <row r="8873" spans="2:21" x14ac:dyDescent="0.2">
      <c r="B8873" s="207"/>
      <c r="C8873" s="210"/>
      <c r="D8873" s="211"/>
      <c r="E8873" s="211"/>
      <c r="U8873" s="222"/>
    </row>
    <row r="8874" spans="2:21" x14ac:dyDescent="0.2">
      <c r="B8874" s="207"/>
      <c r="C8874" s="210"/>
      <c r="D8874" s="211"/>
      <c r="E8874" s="211"/>
      <c r="U8874" s="222"/>
    </row>
    <row r="8875" spans="2:21" x14ac:dyDescent="0.2">
      <c r="B8875" s="207"/>
      <c r="C8875" s="210"/>
      <c r="D8875" s="211"/>
      <c r="E8875" s="211"/>
      <c r="U8875" s="222"/>
    </row>
    <row r="8876" spans="2:21" x14ac:dyDescent="0.2">
      <c r="B8876" s="207"/>
      <c r="C8876" s="210"/>
      <c r="D8876" s="211"/>
      <c r="E8876" s="211"/>
      <c r="U8876" s="222"/>
    </row>
    <row r="8877" spans="2:21" x14ac:dyDescent="0.2">
      <c r="B8877" s="207"/>
      <c r="C8877" s="210"/>
      <c r="D8877" s="211"/>
      <c r="E8877" s="211"/>
      <c r="U8877" s="222"/>
    </row>
    <row r="8878" spans="2:21" x14ac:dyDescent="0.2">
      <c r="B8878" s="207"/>
      <c r="C8878" s="210"/>
      <c r="D8878" s="211"/>
      <c r="E8878" s="211"/>
      <c r="U8878" s="222"/>
    </row>
    <row r="8879" spans="2:21" x14ac:dyDescent="0.2">
      <c r="B8879" s="207"/>
      <c r="C8879" s="210"/>
      <c r="D8879" s="211"/>
      <c r="E8879" s="211"/>
      <c r="U8879" s="222"/>
    </row>
    <row r="8880" spans="2:21" x14ac:dyDescent="0.2">
      <c r="B8880" s="207"/>
      <c r="C8880" s="210"/>
      <c r="D8880" s="211"/>
      <c r="E8880" s="211"/>
      <c r="U8880" s="222"/>
    </row>
    <row r="8881" spans="2:21" x14ac:dyDescent="0.2">
      <c r="B8881" s="207"/>
      <c r="C8881" s="210"/>
      <c r="D8881" s="211"/>
      <c r="E8881" s="211"/>
      <c r="U8881" s="222"/>
    </row>
    <row r="8882" spans="2:21" x14ac:dyDescent="0.2">
      <c r="B8882" s="207"/>
      <c r="C8882" s="210"/>
      <c r="D8882" s="211"/>
      <c r="E8882" s="211"/>
      <c r="U8882" s="222"/>
    </row>
    <row r="8883" spans="2:21" x14ac:dyDescent="0.2">
      <c r="B8883" s="207"/>
      <c r="C8883" s="210"/>
      <c r="D8883" s="211"/>
      <c r="E8883" s="211"/>
      <c r="U8883" s="222"/>
    </row>
    <row r="8884" spans="2:21" x14ac:dyDescent="0.2">
      <c r="B8884" s="207"/>
      <c r="C8884" s="210"/>
      <c r="D8884" s="211"/>
      <c r="E8884" s="211"/>
      <c r="U8884" s="222"/>
    </row>
    <row r="8885" spans="2:21" x14ac:dyDescent="0.2">
      <c r="B8885" s="207"/>
      <c r="C8885" s="210"/>
      <c r="D8885" s="211"/>
      <c r="E8885" s="211"/>
      <c r="U8885" s="222"/>
    </row>
    <row r="8886" spans="2:21" x14ac:dyDescent="0.2">
      <c r="B8886" s="207"/>
      <c r="C8886" s="210"/>
      <c r="D8886" s="211"/>
      <c r="E8886" s="211"/>
      <c r="U8886" s="222"/>
    </row>
    <row r="8887" spans="2:21" x14ac:dyDescent="0.2">
      <c r="B8887" s="207"/>
      <c r="C8887" s="210"/>
      <c r="D8887" s="211"/>
      <c r="E8887" s="211"/>
      <c r="U8887" s="222"/>
    </row>
    <row r="8888" spans="2:21" x14ac:dyDescent="0.2">
      <c r="B8888" s="207"/>
      <c r="C8888" s="210"/>
      <c r="D8888" s="211"/>
      <c r="E8888" s="211"/>
      <c r="U8888" s="222"/>
    </row>
    <row r="8889" spans="2:21" x14ac:dyDescent="0.2">
      <c r="B8889" s="207"/>
      <c r="C8889" s="210"/>
      <c r="D8889" s="211"/>
      <c r="E8889" s="211"/>
      <c r="U8889" s="222"/>
    </row>
    <row r="8890" spans="2:21" x14ac:dyDescent="0.2">
      <c r="B8890" s="207"/>
      <c r="C8890" s="210"/>
      <c r="D8890" s="211"/>
      <c r="E8890" s="211"/>
      <c r="U8890" s="222"/>
    </row>
    <row r="8891" spans="2:21" x14ac:dyDescent="0.2">
      <c r="B8891" s="207"/>
      <c r="C8891" s="210"/>
      <c r="D8891" s="211"/>
      <c r="E8891" s="211"/>
      <c r="U8891" s="222"/>
    </row>
    <row r="8892" spans="2:21" x14ac:dyDescent="0.2">
      <c r="B8892" s="207"/>
      <c r="C8892" s="210"/>
      <c r="D8892" s="211"/>
      <c r="E8892" s="211"/>
      <c r="U8892" s="222"/>
    </row>
    <row r="8893" spans="2:21" x14ac:dyDescent="0.2">
      <c r="B8893" s="207"/>
      <c r="C8893" s="210"/>
      <c r="D8893" s="211"/>
      <c r="E8893" s="211"/>
      <c r="U8893" s="222"/>
    </row>
    <row r="8894" spans="2:21" x14ac:dyDescent="0.2">
      <c r="B8894" s="207"/>
      <c r="C8894" s="210"/>
      <c r="D8894" s="211"/>
      <c r="E8894" s="211"/>
      <c r="U8894" s="222"/>
    </row>
    <row r="8895" spans="2:21" x14ac:dyDescent="0.2">
      <c r="B8895" s="207"/>
      <c r="C8895" s="210"/>
      <c r="D8895" s="211"/>
      <c r="E8895" s="211"/>
      <c r="U8895" s="222"/>
    </row>
    <row r="8896" spans="2:21" x14ac:dyDescent="0.2">
      <c r="B8896" s="207"/>
      <c r="C8896" s="210"/>
      <c r="D8896" s="211"/>
      <c r="E8896" s="211"/>
      <c r="U8896" s="222"/>
    </row>
    <row r="8897" spans="2:21" x14ac:dyDescent="0.2">
      <c r="B8897" s="207"/>
      <c r="C8897" s="210"/>
      <c r="D8897" s="211"/>
      <c r="E8897" s="211"/>
      <c r="U8897" s="222"/>
    </row>
    <row r="8898" spans="2:21" x14ac:dyDescent="0.2">
      <c r="B8898" s="207"/>
      <c r="C8898" s="210"/>
      <c r="D8898" s="211"/>
      <c r="E8898" s="211"/>
      <c r="U8898" s="222"/>
    </row>
    <row r="8899" spans="2:21" x14ac:dyDescent="0.2">
      <c r="B8899" s="207"/>
      <c r="C8899" s="210"/>
      <c r="D8899" s="211"/>
      <c r="E8899" s="211"/>
      <c r="U8899" s="222"/>
    </row>
    <row r="8900" spans="2:21" x14ac:dyDescent="0.2">
      <c r="B8900" s="207"/>
      <c r="C8900" s="210"/>
      <c r="D8900" s="211"/>
      <c r="E8900" s="211"/>
      <c r="U8900" s="222"/>
    </row>
    <row r="8901" spans="2:21" x14ac:dyDescent="0.2">
      <c r="B8901" s="207"/>
      <c r="C8901" s="210"/>
      <c r="D8901" s="211"/>
      <c r="E8901" s="211"/>
      <c r="U8901" s="222"/>
    </row>
    <row r="8902" spans="2:21" x14ac:dyDescent="0.2">
      <c r="B8902" s="207"/>
      <c r="C8902" s="210"/>
      <c r="D8902" s="211"/>
      <c r="E8902" s="211"/>
      <c r="U8902" s="222"/>
    </row>
    <row r="8903" spans="2:21" x14ac:dyDescent="0.2">
      <c r="B8903" s="207"/>
      <c r="C8903" s="210"/>
      <c r="D8903" s="211"/>
      <c r="E8903" s="211"/>
      <c r="U8903" s="222"/>
    </row>
    <row r="8904" spans="2:21" x14ac:dyDescent="0.2">
      <c r="B8904" s="207"/>
      <c r="C8904" s="210"/>
      <c r="D8904" s="211"/>
      <c r="E8904" s="211"/>
      <c r="U8904" s="222"/>
    </row>
    <row r="8905" spans="2:21" x14ac:dyDescent="0.2">
      <c r="B8905" s="207"/>
      <c r="C8905" s="210"/>
      <c r="D8905" s="211"/>
      <c r="E8905" s="211"/>
      <c r="U8905" s="222"/>
    </row>
    <row r="8906" spans="2:21" x14ac:dyDescent="0.2">
      <c r="B8906" s="207"/>
      <c r="C8906" s="210"/>
      <c r="D8906" s="211"/>
      <c r="E8906" s="211"/>
      <c r="U8906" s="222"/>
    </row>
    <row r="8907" spans="2:21" x14ac:dyDescent="0.2">
      <c r="B8907" s="207"/>
      <c r="C8907" s="210"/>
      <c r="D8907" s="211"/>
      <c r="E8907" s="211"/>
      <c r="U8907" s="222"/>
    </row>
    <row r="8908" spans="2:21" x14ac:dyDescent="0.2">
      <c r="B8908" s="207"/>
      <c r="C8908" s="210"/>
      <c r="D8908" s="211"/>
      <c r="E8908" s="211"/>
      <c r="U8908" s="222"/>
    </row>
    <row r="8909" spans="2:21" x14ac:dyDescent="0.2">
      <c r="B8909" s="207"/>
      <c r="C8909" s="210"/>
      <c r="D8909" s="211"/>
      <c r="E8909" s="211"/>
      <c r="U8909" s="222"/>
    </row>
    <row r="8910" spans="2:21" x14ac:dyDescent="0.2">
      <c r="B8910" s="207"/>
      <c r="C8910" s="210"/>
      <c r="D8910" s="211"/>
      <c r="E8910" s="211"/>
      <c r="U8910" s="222"/>
    </row>
    <row r="8911" spans="2:21" x14ac:dyDescent="0.2">
      <c r="B8911" s="207"/>
      <c r="C8911" s="210"/>
      <c r="D8911" s="211"/>
      <c r="E8911" s="211"/>
      <c r="U8911" s="222"/>
    </row>
    <row r="8912" spans="2:21" x14ac:dyDescent="0.2">
      <c r="B8912" s="207"/>
      <c r="C8912" s="210"/>
      <c r="D8912" s="211"/>
      <c r="E8912" s="211"/>
      <c r="U8912" s="222"/>
    </row>
    <row r="8913" spans="2:21" x14ac:dyDescent="0.2">
      <c r="B8913" s="207"/>
      <c r="C8913" s="210"/>
      <c r="D8913" s="211"/>
      <c r="E8913" s="211"/>
      <c r="U8913" s="222"/>
    </row>
    <row r="8914" spans="2:21" x14ac:dyDescent="0.2">
      <c r="B8914" s="207"/>
      <c r="C8914" s="210"/>
      <c r="D8914" s="211"/>
      <c r="E8914" s="211"/>
      <c r="U8914" s="222"/>
    </row>
    <row r="8915" spans="2:21" x14ac:dyDescent="0.2">
      <c r="B8915" s="207"/>
      <c r="C8915" s="210"/>
      <c r="D8915" s="211"/>
      <c r="E8915" s="211"/>
      <c r="U8915" s="222"/>
    </row>
    <row r="8916" spans="2:21" x14ac:dyDescent="0.2">
      <c r="B8916" s="207"/>
      <c r="C8916" s="210"/>
      <c r="D8916" s="211"/>
      <c r="E8916" s="211"/>
      <c r="U8916" s="222"/>
    </row>
    <row r="8917" spans="2:21" x14ac:dyDescent="0.2">
      <c r="B8917" s="207"/>
      <c r="C8917" s="210"/>
      <c r="D8917" s="211"/>
      <c r="E8917" s="211"/>
      <c r="U8917" s="222"/>
    </row>
    <row r="8918" spans="2:21" x14ac:dyDescent="0.2">
      <c r="B8918" s="207"/>
      <c r="C8918" s="210"/>
      <c r="D8918" s="211"/>
      <c r="E8918" s="211"/>
      <c r="U8918" s="222"/>
    </row>
    <row r="8919" spans="2:21" x14ac:dyDescent="0.2">
      <c r="B8919" s="207"/>
      <c r="C8919" s="210"/>
      <c r="D8919" s="211"/>
      <c r="E8919" s="211"/>
      <c r="U8919" s="222"/>
    </row>
    <row r="8920" spans="2:21" x14ac:dyDescent="0.2">
      <c r="B8920" s="207"/>
      <c r="C8920" s="210"/>
      <c r="D8920" s="211"/>
      <c r="E8920" s="211"/>
      <c r="U8920" s="222"/>
    </row>
    <row r="8921" spans="2:21" x14ac:dyDescent="0.2">
      <c r="B8921" s="207"/>
      <c r="C8921" s="210"/>
      <c r="D8921" s="211"/>
      <c r="E8921" s="211"/>
      <c r="U8921" s="222"/>
    </row>
    <row r="8922" spans="2:21" x14ac:dyDescent="0.2">
      <c r="B8922" s="207"/>
      <c r="C8922" s="210"/>
      <c r="D8922" s="211"/>
      <c r="E8922" s="211"/>
      <c r="U8922" s="222"/>
    </row>
    <row r="8923" spans="2:21" x14ac:dyDescent="0.2">
      <c r="B8923" s="207"/>
      <c r="C8923" s="210"/>
      <c r="D8923" s="211"/>
      <c r="E8923" s="211"/>
      <c r="U8923" s="222"/>
    </row>
    <row r="8924" spans="2:21" x14ac:dyDescent="0.2">
      <c r="B8924" s="207"/>
      <c r="C8924" s="210"/>
      <c r="D8924" s="211"/>
      <c r="E8924" s="211"/>
      <c r="U8924" s="222"/>
    </row>
    <row r="8925" spans="2:21" x14ac:dyDescent="0.2">
      <c r="B8925" s="207"/>
      <c r="C8925" s="210"/>
      <c r="D8925" s="211"/>
      <c r="E8925" s="211"/>
      <c r="U8925" s="222"/>
    </row>
    <row r="8926" spans="2:21" x14ac:dyDescent="0.2">
      <c r="B8926" s="207"/>
      <c r="C8926" s="210"/>
      <c r="D8926" s="211"/>
      <c r="E8926" s="211"/>
      <c r="U8926" s="222"/>
    </row>
    <row r="8927" spans="2:21" x14ac:dyDescent="0.2">
      <c r="B8927" s="207"/>
      <c r="C8927" s="210"/>
      <c r="D8927" s="211"/>
      <c r="E8927" s="211"/>
      <c r="U8927" s="222"/>
    </row>
    <row r="8928" spans="2:21" x14ac:dyDescent="0.2">
      <c r="B8928" s="207"/>
      <c r="C8928" s="210"/>
      <c r="D8928" s="211"/>
      <c r="E8928" s="211"/>
      <c r="U8928" s="222"/>
    </row>
    <row r="8929" spans="2:21" x14ac:dyDescent="0.2">
      <c r="B8929" s="207"/>
      <c r="C8929" s="210"/>
      <c r="D8929" s="211"/>
      <c r="E8929" s="211"/>
      <c r="U8929" s="222"/>
    </row>
    <row r="8930" spans="2:21" x14ac:dyDescent="0.2">
      <c r="B8930" s="207"/>
      <c r="C8930" s="210"/>
      <c r="D8930" s="211"/>
      <c r="E8930" s="211"/>
      <c r="U8930" s="222"/>
    </row>
    <row r="8931" spans="2:21" x14ac:dyDescent="0.2">
      <c r="B8931" s="207"/>
      <c r="C8931" s="210"/>
      <c r="D8931" s="211"/>
      <c r="E8931" s="211"/>
      <c r="U8931" s="222"/>
    </row>
    <row r="8932" spans="2:21" x14ac:dyDescent="0.2">
      <c r="B8932" s="207"/>
      <c r="C8932" s="210"/>
      <c r="D8932" s="211"/>
      <c r="E8932" s="211"/>
      <c r="U8932" s="222"/>
    </row>
    <row r="8933" spans="2:21" x14ac:dyDescent="0.2">
      <c r="B8933" s="207"/>
      <c r="C8933" s="210"/>
      <c r="D8933" s="211"/>
      <c r="E8933" s="211"/>
      <c r="U8933" s="222"/>
    </row>
    <row r="8934" spans="2:21" x14ac:dyDescent="0.2">
      <c r="B8934" s="207"/>
      <c r="C8934" s="210"/>
      <c r="D8934" s="211"/>
      <c r="E8934" s="211"/>
      <c r="U8934" s="222"/>
    </row>
    <row r="8935" spans="2:21" x14ac:dyDescent="0.2">
      <c r="B8935" s="207"/>
      <c r="C8935" s="210"/>
      <c r="D8935" s="211"/>
      <c r="E8935" s="211"/>
      <c r="U8935" s="222"/>
    </row>
    <row r="8936" spans="2:21" x14ac:dyDescent="0.2">
      <c r="B8936" s="207"/>
      <c r="C8936" s="210"/>
      <c r="D8936" s="211"/>
      <c r="E8936" s="211"/>
      <c r="U8936" s="222"/>
    </row>
    <row r="8937" spans="2:21" x14ac:dyDescent="0.2">
      <c r="B8937" s="207"/>
      <c r="C8937" s="210"/>
      <c r="D8937" s="211"/>
      <c r="E8937" s="211"/>
      <c r="U8937" s="222"/>
    </row>
    <row r="8938" spans="2:21" x14ac:dyDescent="0.2">
      <c r="B8938" s="207"/>
      <c r="C8938" s="210"/>
      <c r="D8938" s="211"/>
      <c r="E8938" s="211"/>
      <c r="U8938" s="222"/>
    </row>
    <row r="8939" spans="2:21" x14ac:dyDescent="0.2">
      <c r="B8939" s="207"/>
      <c r="C8939" s="210"/>
      <c r="D8939" s="211"/>
      <c r="E8939" s="211"/>
      <c r="U8939" s="222"/>
    </row>
    <row r="8940" spans="2:21" x14ac:dyDescent="0.2">
      <c r="B8940" s="207"/>
      <c r="C8940" s="210"/>
      <c r="D8940" s="211"/>
      <c r="E8940" s="211"/>
      <c r="U8940" s="222"/>
    </row>
    <row r="8941" spans="2:21" x14ac:dyDescent="0.2">
      <c r="B8941" s="207"/>
      <c r="C8941" s="210"/>
      <c r="D8941" s="211"/>
      <c r="E8941" s="211"/>
      <c r="U8941" s="222"/>
    </row>
    <row r="8942" spans="2:21" x14ac:dyDescent="0.2">
      <c r="B8942" s="207"/>
      <c r="C8942" s="210"/>
      <c r="D8942" s="211"/>
      <c r="E8942" s="211"/>
      <c r="U8942" s="222"/>
    </row>
    <row r="8943" spans="2:21" x14ac:dyDescent="0.2">
      <c r="B8943" s="207"/>
      <c r="C8943" s="210"/>
      <c r="D8943" s="211"/>
      <c r="E8943" s="211"/>
      <c r="U8943" s="222"/>
    </row>
    <row r="8944" spans="2:21" x14ac:dyDescent="0.2">
      <c r="B8944" s="207"/>
      <c r="C8944" s="210"/>
      <c r="D8944" s="211"/>
      <c r="E8944" s="211"/>
      <c r="U8944" s="222"/>
    </row>
    <row r="8945" spans="2:21" x14ac:dyDescent="0.2">
      <c r="B8945" s="207"/>
      <c r="C8945" s="210"/>
      <c r="D8945" s="211"/>
      <c r="E8945" s="211"/>
      <c r="U8945" s="222"/>
    </row>
    <row r="8946" spans="2:21" x14ac:dyDescent="0.2">
      <c r="B8946" s="207"/>
      <c r="C8946" s="210"/>
      <c r="D8946" s="211"/>
      <c r="E8946" s="211"/>
      <c r="U8946" s="222"/>
    </row>
    <row r="8947" spans="2:21" x14ac:dyDescent="0.2">
      <c r="B8947" s="207"/>
      <c r="C8947" s="210"/>
      <c r="D8947" s="211"/>
      <c r="E8947" s="211"/>
      <c r="U8947" s="222"/>
    </row>
    <row r="8948" spans="2:21" x14ac:dyDescent="0.2">
      <c r="B8948" s="207"/>
      <c r="C8948" s="210"/>
      <c r="D8948" s="211"/>
      <c r="E8948" s="211"/>
      <c r="U8948" s="222"/>
    </row>
    <row r="8949" spans="2:21" x14ac:dyDescent="0.2">
      <c r="B8949" s="207"/>
      <c r="C8949" s="210"/>
      <c r="D8949" s="211"/>
      <c r="E8949" s="211"/>
      <c r="U8949" s="222"/>
    </row>
    <row r="8950" spans="2:21" x14ac:dyDescent="0.2">
      <c r="B8950" s="207"/>
      <c r="C8950" s="210"/>
      <c r="D8950" s="211"/>
      <c r="E8950" s="211"/>
      <c r="U8950" s="222"/>
    </row>
    <row r="8951" spans="2:21" x14ac:dyDescent="0.2">
      <c r="B8951" s="207"/>
      <c r="C8951" s="210"/>
      <c r="D8951" s="211"/>
      <c r="E8951" s="211"/>
      <c r="U8951" s="222"/>
    </row>
    <row r="8952" spans="2:21" x14ac:dyDescent="0.2">
      <c r="B8952" s="207"/>
      <c r="C8952" s="210"/>
      <c r="D8952" s="211"/>
      <c r="E8952" s="211"/>
      <c r="U8952" s="222"/>
    </row>
    <row r="8953" spans="2:21" x14ac:dyDescent="0.2">
      <c r="B8953" s="207"/>
      <c r="C8953" s="210"/>
      <c r="D8953" s="211"/>
      <c r="E8953" s="211"/>
      <c r="U8953" s="222"/>
    </row>
    <row r="8954" spans="2:21" x14ac:dyDescent="0.2">
      <c r="B8954" s="207"/>
      <c r="C8954" s="210"/>
      <c r="D8954" s="211"/>
      <c r="E8954" s="211"/>
      <c r="U8954" s="222"/>
    </row>
    <row r="8955" spans="2:21" x14ac:dyDescent="0.2">
      <c r="B8955" s="207"/>
      <c r="C8955" s="210"/>
      <c r="D8955" s="211"/>
      <c r="E8955" s="211"/>
      <c r="U8955" s="222"/>
    </row>
    <row r="8956" spans="2:21" x14ac:dyDescent="0.2">
      <c r="B8956" s="207"/>
      <c r="C8956" s="210"/>
      <c r="D8956" s="211"/>
      <c r="E8956" s="211"/>
      <c r="U8956" s="222"/>
    </row>
    <row r="8957" spans="2:21" x14ac:dyDescent="0.2">
      <c r="B8957" s="207"/>
      <c r="C8957" s="210"/>
      <c r="D8957" s="211"/>
      <c r="E8957" s="211"/>
      <c r="U8957" s="222"/>
    </row>
    <row r="8958" spans="2:21" x14ac:dyDescent="0.2">
      <c r="B8958" s="207"/>
      <c r="C8958" s="210"/>
      <c r="D8958" s="211"/>
      <c r="E8958" s="211"/>
      <c r="U8958" s="222"/>
    </row>
    <row r="8959" spans="2:21" x14ac:dyDescent="0.2">
      <c r="B8959" s="207"/>
      <c r="C8959" s="210"/>
      <c r="D8959" s="211"/>
      <c r="E8959" s="211"/>
      <c r="U8959" s="222"/>
    </row>
    <row r="8960" spans="2:21" x14ac:dyDescent="0.2">
      <c r="B8960" s="207"/>
      <c r="C8960" s="210"/>
      <c r="D8960" s="211"/>
      <c r="E8960" s="211"/>
      <c r="U8960" s="222"/>
    </row>
    <row r="8961" spans="2:21" x14ac:dyDescent="0.2">
      <c r="B8961" s="207"/>
      <c r="C8961" s="210"/>
      <c r="D8961" s="211"/>
      <c r="E8961" s="211"/>
      <c r="U8961" s="222"/>
    </row>
    <row r="8962" spans="2:21" x14ac:dyDescent="0.2">
      <c r="B8962" s="207"/>
      <c r="C8962" s="210"/>
      <c r="D8962" s="211"/>
      <c r="E8962" s="211"/>
      <c r="U8962" s="222"/>
    </row>
    <row r="8963" spans="2:21" x14ac:dyDescent="0.2">
      <c r="B8963" s="207"/>
      <c r="C8963" s="210"/>
      <c r="D8963" s="211"/>
      <c r="E8963" s="211"/>
      <c r="U8963" s="222"/>
    </row>
    <row r="8964" spans="2:21" x14ac:dyDescent="0.2">
      <c r="B8964" s="207"/>
      <c r="C8964" s="210"/>
      <c r="D8964" s="211"/>
      <c r="E8964" s="211"/>
      <c r="U8964" s="222"/>
    </row>
    <row r="8965" spans="2:21" x14ac:dyDescent="0.2">
      <c r="B8965" s="207"/>
      <c r="C8965" s="210"/>
      <c r="D8965" s="211"/>
      <c r="E8965" s="211"/>
      <c r="U8965" s="222"/>
    </row>
    <row r="8966" spans="2:21" x14ac:dyDescent="0.2">
      <c r="B8966" s="207"/>
      <c r="C8966" s="210"/>
      <c r="D8966" s="211"/>
      <c r="E8966" s="211"/>
      <c r="U8966" s="222"/>
    </row>
    <row r="8967" spans="2:21" x14ac:dyDescent="0.2">
      <c r="B8967" s="207"/>
      <c r="C8967" s="210"/>
      <c r="D8967" s="211"/>
      <c r="E8967" s="211"/>
      <c r="U8967" s="222"/>
    </row>
    <row r="8968" spans="2:21" x14ac:dyDescent="0.2">
      <c r="B8968" s="207"/>
      <c r="C8968" s="210"/>
      <c r="D8968" s="211"/>
      <c r="E8968" s="211"/>
      <c r="U8968" s="222"/>
    </row>
    <row r="8969" spans="2:21" x14ac:dyDescent="0.2">
      <c r="B8969" s="207"/>
      <c r="C8969" s="210"/>
      <c r="D8969" s="211"/>
      <c r="E8969" s="211"/>
      <c r="U8969" s="222"/>
    </row>
    <row r="8970" spans="2:21" x14ac:dyDescent="0.2">
      <c r="B8970" s="207"/>
      <c r="C8970" s="210"/>
      <c r="D8970" s="211"/>
      <c r="E8970" s="211"/>
      <c r="U8970" s="222"/>
    </row>
    <row r="8971" spans="2:21" x14ac:dyDescent="0.2">
      <c r="B8971" s="207"/>
      <c r="C8971" s="210"/>
      <c r="D8971" s="211"/>
      <c r="E8971" s="211"/>
      <c r="U8971" s="222"/>
    </row>
    <row r="8972" spans="2:21" x14ac:dyDescent="0.2">
      <c r="B8972" s="207"/>
      <c r="C8972" s="210"/>
      <c r="D8972" s="211"/>
      <c r="E8972" s="211"/>
      <c r="U8972" s="222"/>
    </row>
    <row r="8973" spans="2:21" x14ac:dyDescent="0.2">
      <c r="B8973" s="207"/>
      <c r="C8973" s="210"/>
      <c r="D8973" s="211"/>
      <c r="E8973" s="211"/>
      <c r="U8973" s="222"/>
    </row>
    <row r="8974" spans="2:21" x14ac:dyDescent="0.2">
      <c r="B8974" s="207"/>
      <c r="C8974" s="210"/>
      <c r="D8974" s="211"/>
      <c r="E8974" s="211"/>
      <c r="U8974" s="222"/>
    </row>
    <row r="8975" spans="2:21" x14ac:dyDescent="0.2">
      <c r="B8975" s="207"/>
      <c r="C8975" s="210"/>
      <c r="D8975" s="211"/>
      <c r="E8975" s="211"/>
      <c r="U8975" s="222"/>
    </row>
    <row r="8976" spans="2:21" x14ac:dyDescent="0.2">
      <c r="B8976" s="207"/>
      <c r="C8976" s="210"/>
      <c r="D8976" s="211"/>
      <c r="E8976" s="211"/>
      <c r="U8976" s="222"/>
    </row>
    <row r="8977" spans="2:21" x14ac:dyDescent="0.2">
      <c r="B8977" s="207"/>
      <c r="C8977" s="210"/>
      <c r="D8977" s="211"/>
      <c r="E8977" s="211"/>
      <c r="U8977" s="222"/>
    </row>
    <row r="8978" spans="2:21" x14ac:dyDescent="0.2">
      <c r="B8978" s="207"/>
      <c r="C8978" s="210"/>
      <c r="D8978" s="211"/>
      <c r="E8978" s="211"/>
      <c r="U8978" s="222"/>
    </row>
    <row r="8979" spans="2:21" x14ac:dyDescent="0.2">
      <c r="B8979" s="207"/>
      <c r="C8979" s="210"/>
      <c r="D8979" s="211"/>
      <c r="E8979" s="211"/>
      <c r="U8979" s="222"/>
    </row>
    <row r="8980" spans="2:21" x14ac:dyDescent="0.2">
      <c r="B8980" s="207"/>
      <c r="C8980" s="210"/>
      <c r="D8980" s="211"/>
      <c r="E8980" s="211"/>
      <c r="U8980" s="222"/>
    </row>
    <row r="8981" spans="2:21" x14ac:dyDescent="0.2">
      <c r="B8981" s="207"/>
      <c r="C8981" s="210"/>
      <c r="D8981" s="211"/>
      <c r="E8981" s="211"/>
      <c r="U8981" s="222"/>
    </row>
    <row r="8982" spans="2:21" x14ac:dyDescent="0.2">
      <c r="B8982" s="207"/>
      <c r="C8982" s="210"/>
      <c r="D8982" s="211"/>
      <c r="E8982" s="211"/>
      <c r="U8982" s="222"/>
    </row>
    <row r="8983" spans="2:21" x14ac:dyDescent="0.2">
      <c r="B8983" s="207"/>
      <c r="C8983" s="210"/>
      <c r="D8983" s="211"/>
      <c r="E8983" s="211"/>
      <c r="U8983" s="222"/>
    </row>
    <row r="8984" spans="2:21" x14ac:dyDescent="0.2">
      <c r="B8984" s="207"/>
      <c r="C8984" s="210"/>
      <c r="D8984" s="211"/>
      <c r="E8984" s="211"/>
      <c r="U8984" s="222"/>
    </row>
    <row r="8985" spans="2:21" x14ac:dyDescent="0.2">
      <c r="B8985" s="207"/>
      <c r="C8985" s="210"/>
      <c r="D8985" s="211"/>
      <c r="E8985" s="211"/>
      <c r="U8985" s="222"/>
    </row>
    <row r="8986" spans="2:21" x14ac:dyDescent="0.2">
      <c r="B8986" s="207"/>
      <c r="C8986" s="210"/>
      <c r="D8986" s="211"/>
      <c r="E8986" s="211"/>
      <c r="U8986" s="222"/>
    </row>
    <row r="8987" spans="2:21" x14ac:dyDescent="0.2">
      <c r="B8987" s="207"/>
      <c r="C8987" s="210"/>
      <c r="D8987" s="211"/>
      <c r="E8987" s="211"/>
      <c r="U8987" s="222"/>
    </row>
    <row r="8988" spans="2:21" x14ac:dyDescent="0.2">
      <c r="B8988" s="207"/>
      <c r="C8988" s="210"/>
      <c r="D8988" s="211"/>
      <c r="E8988" s="211"/>
      <c r="U8988" s="222"/>
    </row>
    <row r="8989" spans="2:21" x14ac:dyDescent="0.2">
      <c r="B8989" s="207"/>
      <c r="C8989" s="210"/>
      <c r="D8989" s="211"/>
      <c r="E8989" s="211"/>
      <c r="U8989" s="222"/>
    </row>
    <row r="8990" spans="2:21" x14ac:dyDescent="0.2">
      <c r="B8990" s="207"/>
      <c r="C8990" s="210"/>
      <c r="D8990" s="211"/>
      <c r="E8990" s="211"/>
      <c r="U8990" s="222"/>
    </row>
    <row r="8991" spans="2:21" x14ac:dyDescent="0.2">
      <c r="B8991" s="207"/>
      <c r="C8991" s="210"/>
      <c r="D8991" s="211"/>
      <c r="E8991" s="211"/>
      <c r="U8991" s="222"/>
    </row>
    <row r="8992" spans="2:21" x14ac:dyDescent="0.2">
      <c r="B8992" s="207"/>
      <c r="C8992" s="210"/>
      <c r="D8992" s="211"/>
      <c r="E8992" s="211"/>
      <c r="U8992" s="222"/>
    </row>
    <row r="8993" spans="2:21" x14ac:dyDescent="0.2">
      <c r="B8993" s="207"/>
      <c r="C8993" s="210"/>
      <c r="D8993" s="211"/>
      <c r="E8993" s="211"/>
      <c r="U8993" s="222"/>
    </row>
    <row r="8994" spans="2:21" x14ac:dyDescent="0.2">
      <c r="B8994" s="207"/>
      <c r="C8994" s="210"/>
      <c r="D8994" s="211"/>
      <c r="E8994" s="211"/>
      <c r="U8994" s="222"/>
    </row>
    <row r="8995" spans="2:21" x14ac:dyDescent="0.2">
      <c r="B8995" s="207"/>
      <c r="C8995" s="210"/>
      <c r="D8995" s="211"/>
      <c r="E8995" s="211"/>
      <c r="U8995" s="222"/>
    </row>
    <row r="8996" spans="2:21" x14ac:dyDescent="0.2">
      <c r="B8996" s="207"/>
      <c r="C8996" s="210"/>
      <c r="D8996" s="211"/>
      <c r="E8996" s="211"/>
      <c r="U8996" s="222"/>
    </row>
    <row r="8997" spans="2:21" x14ac:dyDescent="0.2">
      <c r="B8997" s="207"/>
      <c r="C8997" s="210"/>
      <c r="D8997" s="211"/>
      <c r="E8997" s="211"/>
      <c r="U8997" s="222"/>
    </row>
    <row r="8998" spans="2:21" x14ac:dyDescent="0.2">
      <c r="B8998" s="207"/>
      <c r="C8998" s="210"/>
      <c r="D8998" s="211"/>
      <c r="E8998" s="211"/>
      <c r="U8998" s="222"/>
    </row>
    <row r="8999" spans="2:21" x14ac:dyDescent="0.2">
      <c r="B8999" s="207"/>
      <c r="C8999" s="210"/>
      <c r="D8999" s="211"/>
      <c r="E8999" s="211"/>
      <c r="U8999" s="222"/>
    </row>
    <row r="9000" spans="2:21" x14ac:dyDescent="0.2">
      <c r="B9000" s="207"/>
      <c r="C9000" s="210"/>
      <c r="D9000" s="211"/>
      <c r="E9000" s="211"/>
      <c r="U9000" s="222"/>
    </row>
    <row r="9001" spans="2:21" x14ac:dyDescent="0.2">
      <c r="B9001" s="207"/>
      <c r="C9001" s="210"/>
      <c r="D9001" s="211"/>
      <c r="E9001" s="211"/>
      <c r="U9001" s="222"/>
    </row>
    <row r="9002" spans="2:21" x14ac:dyDescent="0.2">
      <c r="B9002" s="207"/>
      <c r="C9002" s="210"/>
      <c r="D9002" s="211"/>
      <c r="E9002" s="211"/>
      <c r="U9002" s="222"/>
    </row>
    <row r="9003" spans="2:21" x14ac:dyDescent="0.2">
      <c r="B9003" s="207"/>
      <c r="C9003" s="210"/>
      <c r="D9003" s="211"/>
      <c r="E9003" s="211"/>
      <c r="U9003" s="222"/>
    </row>
    <row r="9004" spans="2:21" x14ac:dyDescent="0.2">
      <c r="B9004" s="207"/>
      <c r="C9004" s="210"/>
      <c r="D9004" s="211"/>
      <c r="E9004" s="211"/>
      <c r="U9004" s="222"/>
    </row>
    <row r="9005" spans="2:21" x14ac:dyDescent="0.2">
      <c r="B9005" s="207"/>
      <c r="C9005" s="210"/>
      <c r="D9005" s="211"/>
      <c r="E9005" s="211"/>
      <c r="U9005" s="222"/>
    </row>
    <row r="9006" spans="2:21" x14ac:dyDescent="0.2">
      <c r="B9006" s="207"/>
      <c r="C9006" s="210"/>
      <c r="D9006" s="211"/>
      <c r="E9006" s="211"/>
      <c r="U9006" s="222"/>
    </row>
    <row r="9007" spans="2:21" x14ac:dyDescent="0.2">
      <c r="B9007" s="207"/>
      <c r="C9007" s="210"/>
      <c r="D9007" s="211"/>
      <c r="E9007" s="211"/>
      <c r="U9007" s="222"/>
    </row>
    <row r="9008" spans="2:21" x14ac:dyDescent="0.2">
      <c r="B9008" s="207"/>
      <c r="C9008" s="210"/>
      <c r="D9008" s="211"/>
      <c r="E9008" s="211"/>
      <c r="U9008" s="222"/>
    </row>
    <row r="9009" spans="2:21" x14ac:dyDescent="0.2">
      <c r="B9009" s="207"/>
      <c r="C9009" s="210"/>
      <c r="D9009" s="211"/>
      <c r="E9009" s="211"/>
      <c r="U9009" s="222"/>
    </row>
    <row r="9010" spans="2:21" x14ac:dyDescent="0.2">
      <c r="B9010" s="207"/>
      <c r="C9010" s="210"/>
      <c r="D9010" s="211"/>
      <c r="E9010" s="211"/>
      <c r="U9010" s="222"/>
    </row>
    <row r="9011" spans="2:21" x14ac:dyDescent="0.2">
      <c r="B9011" s="207"/>
      <c r="C9011" s="210"/>
      <c r="D9011" s="211"/>
      <c r="E9011" s="211"/>
      <c r="U9011" s="222"/>
    </row>
    <row r="9012" spans="2:21" x14ac:dyDescent="0.2">
      <c r="B9012" s="207"/>
      <c r="C9012" s="210"/>
      <c r="D9012" s="211"/>
      <c r="E9012" s="211"/>
      <c r="U9012" s="222"/>
    </row>
    <row r="9013" spans="2:21" x14ac:dyDescent="0.2">
      <c r="B9013" s="207"/>
      <c r="C9013" s="210"/>
      <c r="D9013" s="211"/>
      <c r="E9013" s="211"/>
      <c r="U9013" s="222"/>
    </row>
    <row r="9014" spans="2:21" x14ac:dyDescent="0.2">
      <c r="B9014" s="207"/>
      <c r="C9014" s="210"/>
      <c r="D9014" s="211"/>
      <c r="E9014" s="211"/>
      <c r="U9014" s="222"/>
    </row>
    <row r="9015" spans="2:21" x14ac:dyDescent="0.2">
      <c r="B9015" s="207"/>
      <c r="C9015" s="210"/>
      <c r="D9015" s="211"/>
      <c r="E9015" s="211"/>
      <c r="U9015" s="222"/>
    </row>
    <row r="9016" spans="2:21" x14ac:dyDescent="0.2">
      <c r="B9016" s="207"/>
      <c r="C9016" s="210"/>
      <c r="D9016" s="211"/>
      <c r="E9016" s="211"/>
      <c r="U9016" s="222"/>
    </row>
    <row r="9017" spans="2:21" x14ac:dyDescent="0.2">
      <c r="B9017" s="207"/>
      <c r="C9017" s="210"/>
      <c r="D9017" s="211"/>
      <c r="E9017" s="211"/>
      <c r="U9017" s="222"/>
    </row>
    <row r="9018" spans="2:21" x14ac:dyDescent="0.2">
      <c r="B9018" s="207"/>
      <c r="C9018" s="210"/>
      <c r="D9018" s="211"/>
      <c r="E9018" s="211"/>
      <c r="U9018" s="222"/>
    </row>
    <row r="9019" spans="2:21" x14ac:dyDescent="0.2">
      <c r="B9019" s="207"/>
      <c r="C9019" s="210"/>
      <c r="D9019" s="211"/>
      <c r="E9019" s="211"/>
      <c r="U9019" s="222"/>
    </row>
    <row r="9020" spans="2:21" x14ac:dyDescent="0.2">
      <c r="B9020" s="207"/>
      <c r="C9020" s="210"/>
      <c r="D9020" s="211"/>
      <c r="E9020" s="211"/>
      <c r="U9020" s="222"/>
    </row>
    <row r="9021" spans="2:21" x14ac:dyDescent="0.2">
      <c r="B9021" s="207"/>
      <c r="C9021" s="210"/>
      <c r="D9021" s="211"/>
      <c r="E9021" s="211"/>
      <c r="U9021" s="222"/>
    </row>
    <row r="9022" spans="2:21" x14ac:dyDescent="0.2">
      <c r="B9022" s="207"/>
      <c r="C9022" s="210"/>
      <c r="D9022" s="211"/>
      <c r="E9022" s="211"/>
      <c r="U9022" s="222"/>
    </row>
    <row r="9023" spans="2:21" x14ac:dyDescent="0.2">
      <c r="B9023" s="207"/>
      <c r="C9023" s="210"/>
      <c r="D9023" s="211"/>
      <c r="E9023" s="211"/>
      <c r="U9023" s="222"/>
    </row>
    <row r="9024" spans="2:21" x14ac:dyDescent="0.2">
      <c r="B9024" s="207"/>
      <c r="C9024" s="210"/>
      <c r="D9024" s="211"/>
      <c r="E9024" s="211"/>
      <c r="U9024" s="222"/>
    </row>
    <row r="9025" spans="2:21" x14ac:dyDescent="0.2">
      <c r="B9025" s="207"/>
      <c r="C9025" s="210"/>
      <c r="D9025" s="211"/>
      <c r="E9025" s="211"/>
      <c r="U9025" s="222"/>
    </row>
    <row r="9026" spans="2:21" x14ac:dyDescent="0.2">
      <c r="B9026" s="207"/>
      <c r="C9026" s="210"/>
      <c r="D9026" s="211"/>
      <c r="E9026" s="211"/>
      <c r="U9026" s="222"/>
    </row>
    <row r="9027" spans="2:21" x14ac:dyDescent="0.2">
      <c r="B9027" s="207"/>
      <c r="C9027" s="210"/>
      <c r="D9027" s="211"/>
      <c r="E9027" s="211"/>
      <c r="U9027" s="222"/>
    </row>
    <row r="9028" spans="2:21" x14ac:dyDescent="0.2">
      <c r="B9028" s="207"/>
      <c r="C9028" s="210"/>
      <c r="D9028" s="211"/>
      <c r="E9028" s="211"/>
      <c r="U9028" s="222"/>
    </row>
    <row r="9029" spans="2:21" x14ac:dyDescent="0.2">
      <c r="B9029" s="207"/>
      <c r="C9029" s="210"/>
      <c r="D9029" s="211"/>
      <c r="E9029" s="211"/>
      <c r="U9029" s="222"/>
    </row>
    <row r="9030" spans="2:21" x14ac:dyDescent="0.2">
      <c r="B9030" s="207"/>
      <c r="C9030" s="210"/>
      <c r="D9030" s="211"/>
      <c r="E9030" s="211"/>
      <c r="U9030" s="222"/>
    </row>
    <row r="9031" spans="2:21" x14ac:dyDescent="0.2">
      <c r="B9031" s="207"/>
      <c r="C9031" s="210"/>
      <c r="D9031" s="211"/>
      <c r="E9031" s="211"/>
      <c r="U9031" s="222"/>
    </row>
    <row r="9032" spans="2:21" x14ac:dyDescent="0.2">
      <c r="B9032" s="207"/>
      <c r="C9032" s="210"/>
      <c r="D9032" s="211"/>
      <c r="E9032" s="211"/>
      <c r="U9032" s="222"/>
    </row>
    <row r="9033" spans="2:21" x14ac:dyDescent="0.2">
      <c r="B9033" s="207"/>
      <c r="C9033" s="210"/>
      <c r="D9033" s="211"/>
      <c r="E9033" s="211"/>
      <c r="U9033" s="222"/>
    </row>
    <row r="9034" spans="2:21" x14ac:dyDescent="0.2">
      <c r="B9034" s="207"/>
      <c r="C9034" s="210"/>
      <c r="D9034" s="211"/>
      <c r="E9034" s="211"/>
      <c r="U9034" s="222"/>
    </row>
    <row r="9035" spans="2:21" x14ac:dyDescent="0.2">
      <c r="B9035" s="207"/>
      <c r="C9035" s="210"/>
      <c r="D9035" s="211"/>
      <c r="E9035" s="211"/>
      <c r="U9035" s="222"/>
    </row>
    <row r="9036" spans="2:21" x14ac:dyDescent="0.2">
      <c r="B9036" s="207"/>
      <c r="C9036" s="210"/>
      <c r="D9036" s="211"/>
      <c r="E9036" s="211"/>
      <c r="U9036" s="222"/>
    </row>
    <row r="9037" spans="2:21" x14ac:dyDescent="0.2">
      <c r="B9037" s="207"/>
      <c r="C9037" s="210"/>
      <c r="D9037" s="211"/>
      <c r="E9037" s="211"/>
      <c r="U9037" s="222"/>
    </row>
    <row r="9038" spans="2:21" x14ac:dyDescent="0.2">
      <c r="B9038" s="207"/>
      <c r="C9038" s="210"/>
      <c r="D9038" s="211"/>
      <c r="E9038" s="211"/>
      <c r="U9038" s="222"/>
    </row>
    <row r="9039" spans="2:21" x14ac:dyDescent="0.2">
      <c r="B9039" s="207"/>
      <c r="C9039" s="210"/>
      <c r="D9039" s="211"/>
      <c r="E9039" s="211"/>
      <c r="U9039" s="222"/>
    </row>
    <row r="9040" spans="2:21" x14ac:dyDescent="0.2">
      <c r="B9040" s="207"/>
      <c r="C9040" s="210"/>
      <c r="D9040" s="211"/>
      <c r="E9040" s="211"/>
      <c r="U9040" s="222"/>
    </row>
    <row r="9041" spans="2:21" x14ac:dyDescent="0.2">
      <c r="B9041" s="207"/>
      <c r="C9041" s="210"/>
      <c r="D9041" s="211"/>
      <c r="E9041" s="211"/>
      <c r="U9041" s="222"/>
    </row>
    <row r="9042" spans="2:21" x14ac:dyDescent="0.2">
      <c r="B9042" s="207"/>
      <c r="C9042" s="210"/>
      <c r="D9042" s="211"/>
      <c r="E9042" s="211"/>
      <c r="U9042" s="222"/>
    </row>
    <row r="9043" spans="2:21" x14ac:dyDescent="0.2">
      <c r="B9043" s="207"/>
      <c r="C9043" s="210"/>
      <c r="D9043" s="211"/>
      <c r="E9043" s="211"/>
      <c r="U9043" s="222"/>
    </row>
    <row r="9044" spans="2:21" x14ac:dyDescent="0.2">
      <c r="B9044" s="207"/>
      <c r="C9044" s="210"/>
      <c r="D9044" s="211"/>
      <c r="E9044" s="211"/>
      <c r="U9044" s="222"/>
    </row>
    <row r="9045" spans="2:21" x14ac:dyDescent="0.2">
      <c r="B9045" s="207"/>
      <c r="C9045" s="210"/>
      <c r="D9045" s="211"/>
      <c r="E9045" s="211"/>
      <c r="U9045" s="222"/>
    </row>
    <row r="9046" spans="2:21" x14ac:dyDescent="0.2">
      <c r="B9046" s="207"/>
      <c r="C9046" s="210"/>
      <c r="D9046" s="211"/>
      <c r="E9046" s="211"/>
      <c r="U9046" s="222"/>
    </row>
    <row r="9047" spans="2:21" x14ac:dyDescent="0.2">
      <c r="B9047" s="207"/>
      <c r="C9047" s="210"/>
      <c r="D9047" s="211"/>
      <c r="E9047" s="211"/>
      <c r="U9047" s="222"/>
    </row>
    <row r="9048" spans="2:21" x14ac:dyDescent="0.2">
      <c r="B9048" s="207"/>
      <c r="C9048" s="210"/>
      <c r="D9048" s="211"/>
      <c r="E9048" s="211"/>
      <c r="U9048" s="222"/>
    </row>
    <row r="9049" spans="2:21" x14ac:dyDescent="0.2">
      <c r="B9049" s="207"/>
      <c r="C9049" s="210"/>
      <c r="D9049" s="211"/>
      <c r="E9049" s="211"/>
      <c r="U9049" s="222"/>
    </row>
    <row r="9050" spans="2:21" x14ac:dyDescent="0.2">
      <c r="B9050" s="207"/>
      <c r="C9050" s="210"/>
      <c r="D9050" s="211"/>
      <c r="E9050" s="211"/>
      <c r="U9050" s="222"/>
    </row>
    <row r="9051" spans="2:21" x14ac:dyDescent="0.2">
      <c r="B9051" s="207"/>
      <c r="C9051" s="210"/>
      <c r="D9051" s="211"/>
      <c r="E9051" s="211"/>
      <c r="U9051" s="222"/>
    </row>
    <row r="9052" spans="2:21" x14ac:dyDescent="0.2">
      <c r="B9052" s="207"/>
      <c r="C9052" s="210"/>
      <c r="D9052" s="211"/>
      <c r="E9052" s="211"/>
      <c r="U9052" s="222"/>
    </row>
    <row r="9053" spans="2:21" x14ac:dyDescent="0.2">
      <c r="B9053" s="207"/>
      <c r="C9053" s="210"/>
      <c r="D9053" s="211"/>
      <c r="E9053" s="211"/>
      <c r="U9053" s="222"/>
    </row>
    <row r="9054" spans="2:21" x14ac:dyDescent="0.2">
      <c r="B9054" s="207"/>
      <c r="C9054" s="210"/>
      <c r="D9054" s="211"/>
      <c r="E9054" s="211"/>
      <c r="U9054" s="222"/>
    </row>
    <row r="9055" spans="2:21" x14ac:dyDescent="0.2">
      <c r="B9055" s="207"/>
      <c r="C9055" s="210"/>
      <c r="D9055" s="211"/>
      <c r="E9055" s="211"/>
      <c r="U9055" s="222"/>
    </row>
    <row r="9056" spans="2:21" x14ac:dyDescent="0.2">
      <c r="B9056" s="207"/>
      <c r="C9056" s="210"/>
      <c r="D9056" s="211"/>
      <c r="E9056" s="211"/>
      <c r="U9056" s="222"/>
    </row>
    <row r="9057" spans="2:21" x14ac:dyDescent="0.2">
      <c r="B9057" s="207"/>
      <c r="C9057" s="210"/>
      <c r="D9057" s="211"/>
      <c r="E9057" s="211"/>
      <c r="U9057" s="222"/>
    </row>
    <row r="9058" spans="2:21" x14ac:dyDescent="0.2">
      <c r="B9058" s="207"/>
      <c r="C9058" s="210"/>
      <c r="D9058" s="211"/>
      <c r="E9058" s="211"/>
      <c r="U9058" s="222"/>
    </row>
    <row r="9059" spans="2:21" x14ac:dyDescent="0.2">
      <c r="B9059" s="207"/>
      <c r="C9059" s="210"/>
      <c r="D9059" s="211"/>
      <c r="E9059" s="211"/>
      <c r="U9059" s="222"/>
    </row>
    <row r="9060" spans="2:21" x14ac:dyDescent="0.2">
      <c r="B9060" s="207"/>
      <c r="C9060" s="210"/>
      <c r="D9060" s="211"/>
      <c r="E9060" s="211"/>
      <c r="U9060" s="222"/>
    </row>
    <row r="9061" spans="2:21" x14ac:dyDescent="0.2">
      <c r="B9061" s="207"/>
      <c r="C9061" s="210"/>
      <c r="D9061" s="211"/>
      <c r="E9061" s="211"/>
      <c r="U9061" s="222"/>
    </row>
    <row r="9062" spans="2:21" x14ac:dyDescent="0.2">
      <c r="B9062" s="207"/>
      <c r="C9062" s="210"/>
      <c r="D9062" s="211"/>
      <c r="E9062" s="211"/>
      <c r="U9062" s="222"/>
    </row>
    <row r="9063" spans="2:21" x14ac:dyDescent="0.2">
      <c r="B9063" s="207"/>
      <c r="C9063" s="210"/>
      <c r="D9063" s="211"/>
      <c r="E9063" s="211"/>
      <c r="U9063" s="222"/>
    </row>
    <row r="9064" spans="2:21" x14ac:dyDescent="0.2">
      <c r="B9064" s="207"/>
      <c r="C9064" s="210"/>
      <c r="D9064" s="211"/>
      <c r="E9064" s="211"/>
      <c r="U9064" s="222"/>
    </row>
    <row r="9065" spans="2:21" x14ac:dyDescent="0.2">
      <c r="B9065" s="207"/>
      <c r="C9065" s="210"/>
      <c r="D9065" s="211"/>
      <c r="E9065" s="211"/>
      <c r="U9065" s="222"/>
    </row>
    <row r="9066" spans="2:21" x14ac:dyDescent="0.2">
      <c r="B9066" s="207"/>
      <c r="C9066" s="210"/>
      <c r="D9066" s="211"/>
      <c r="E9066" s="211"/>
      <c r="U9066" s="222"/>
    </row>
    <row r="9067" spans="2:21" x14ac:dyDescent="0.2">
      <c r="B9067" s="207"/>
      <c r="C9067" s="210"/>
      <c r="D9067" s="211"/>
      <c r="E9067" s="211"/>
      <c r="U9067" s="222"/>
    </row>
    <row r="9068" spans="2:21" x14ac:dyDescent="0.2">
      <c r="B9068" s="207"/>
      <c r="C9068" s="210"/>
      <c r="D9068" s="211"/>
      <c r="E9068" s="211"/>
      <c r="U9068" s="222"/>
    </row>
    <row r="9069" spans="2:21" x14ac:dyDescent="0.2">
      <c r="B9069" s="207"/>
      <c r="C9069" s="210"/>
      <c r="D9069" s="211"/>
      <c r="E9069" s="211"/>
      <c r="U9069" s="222"/>
    </row>
    <row r="9070" spans="2:21" x14ac:dyDescent="0.2">
      <c r="B9070" s="207"/>
      <c r="C9070" s="210"/>
      <c r="D9070" s="211"/>
      <c r="E9070" s="211"/>
      <c r="U9070" s="222"/>
    </row>
    <row r="9071" spans="2:21" x14ac:dyDescent="0.2">
      <c r="B9071" s="207"/>
      <c r="C9071" s="210"/>
      <c r="D9071" s="211"/>
      <c r="E9071" s="211"/>
      <c r="U9071" s="222"/>
    </row>
    <row r="9072" spans="2:21" x14ac:dyDescent="0.2">
      <c r="B9072" s="207"/>
      <c r="C9072" s="210"/>
      <c r="D9072" s="211"/>
      <c r="E9072" s="211"/>
      <c r="U9072" s="222"/>
    </row>
    <row r="9073" spans="2:21" x14ac:dyDescent="0.2">
      <c r="B9073" s="207"/>
      <c r="C9073" s="210"/>
      <c r="D9073" s="211"/>
      <c r="E9073" s="211"/>
      <c r="U9073" s="222"/>
    </row>
    <row r="9074" spans="2:21" x14ac:dyDescent="0.2">
      <c r="B9074" s="207"/>
      <c r="C9074" s="210"/>
      <c r="D9074" s="211"/>
      <c r="E9074" s="211"/>
      <c r="U9074" s="222"/>
    </row>
    <row r="9075" spans="2:21" x14ac:dyDescent="0.2">
      <c r="B9075" s="207"/>
      <c r="C9075" s="210"/>
      <c r="D9075" s="211"/>
      <c r="E9075" s="211"/>
      <c r="U9075" s="222"/>
    </row>
    <row r="9076" spans="2:21" x14ac:dyDescent="0.2">
      <c r="B9076" s="207"/>
      <c r="C9076" s="210"/>
      <c r="D9076" s="211"/>
      <c r="E9076" s="211"/>
      <c r="U9076" s="222"/>
    </row>
    <row r="9077" spans="2:21" x14ac:dyDescent="0.2">
      <c r="B9077" s="207"/>
      <c r="C9077" s="210"/>
      <c r="D9077" s="211"/>
      <c r="E9077" s="211"/>
      <c r="U9077" s="222"/>
    </row>
    <row r="9078" spans="2:21" x14ac:dyDescent="0.2">
      <c r="B9078" s="207"/>
      <c r="C9078" s="210"/>
      <c r="D9078" s="211"/>
      <c r="E9078" s="211"/>
      <c r="U9078" s="222"/>
    </row>
    <row r="9079" spans="2:21" x14ac:dyDescent="0.2">
      <c r="B9079" s="207"/>
      <c r="C9079" s="210"/>
      <c r="D9079" s="211"/>
      <c r="E9079" s="211"/>
      <c r="U9079" s="222"/>
    </row>
    <row r="9080" spans="2:21" x14ac:dyDescent="0.2">
      <c r="B9080" s="207"/>
      <c r="C9080" s="210"/>
      <c r="D9080" s="211"/>
      <c r="E9080" s="211"/>
      <c r="U9080" s="222"/>
    </row>
    <row r="9081" spans="2:21" x14ac:dyDescent="0.2">
      <c r="B9081" s="207"/>
      <c r="C9081" s="210"/>
      <c r="D9081" s="211"/>
      <c r="E9081" s="211"/>
      <c r="U9081" s="222"/>
    </row>
    <row r="9082" spans="2:21" x14ac:dyDescent="0.2">
      <c r="B9082" s="207"/>
      <c r="C9082" s="210"/>
      <c r="D9082" s="211"/>
      <c r="E9082" s="211"/>
      <c r="U9082" s="222"/>
    </row>
    <row r="9083" spans="2:21" x14ac:dyDescent="0.2">
      <c r="B9083" s="207"/>
      <c r="C9083" s="210"/>
      <c r="D9083" s="211"/>
      <c r="E9083" s="211"/>
      <c r="U9083" s="222"/>
    </row>
    <row r="9084" spans="2:21" x14ac:dyDescent="0.2">
      <c r="B9084" s="207"/>
      <c r="C9084" s="210"/>
      <c r="D9084" s="211"/>
      <c r="E9084" s="211"/>
      <c r="U9084" s="222"/>
    </row>
    <row r="9085" spans="2:21" x14ac:dyDescent="0.2">
      <c r="B9085" s="207"/>
      <c r="C9085" s="210"/>
      <c r="D9085" s="211"/>
      <c r="E9085" s="211"/>
      <c r="U9085" s="222"/>
    </row>
    <row r="9086" spans="2:21" x14ac:dyDescent="0.2">
      <c r="B9086" s="207"/>
      <c r="C9086" s="210"/>
      <c r="D9086" s="211"/>
      <c r="E9086" s="211"/>
      <c r="U9086" s="222"/>
    </row>
    <row r="9087" spans="2:21" x14ac:dyDescent="0.2">
      <c r="B9087" s="207"/>
      <c r="C9087" s="210"/>
      <c r="D9087" s="211"/>
      <c r="E9087" s="211"/>
      <c r="U9087" s="222"/>
    </row>
    <row r="9088" spans="2:21" x14ac:dyDescent="0.2">
      <c r="B9088" s="207"/>
      <c r="C9088" s="210"/>
      <c r="D9088" s="211"/>
      <c r="E9088" s="211"/>
      <c r="U9088" s="222"/>
    </row>
    <row r="9089" spans="2:21" x14ac:dyDescent="0.2">
      <c r="B9089" s="207"/>
      <c r="C9089" s="210"/>
      <c r="D9089" s="211"/>
      <c r="E9089" s="211"/>
      <c r="U9089" s="222"/>
    </row>
    <row r="9090" spans="2:21" x14ac:dyDescent="0.2">
      <c r="B9090" s="207"/>
      <c r="C9090" s="210"/>
      <c r="D9090" s="211"/>
      <c r="E9090" s="211"/>
      <c r="U9090" s="222"/>
    </row>
    <row r="9091" spans="2:21" x14ac:dyDescent="0.2">
      <c r="B9091" s="207"/>
      <c r="C9091" s="210"/>
      <c r="D9091" s="211"/>
      <c r="E9091" s="211"/>
      <c r="U9091" s="222"/>
    </row>
    <row r="9092" spans="2:21" x14ac:dyDescent="0.2">
      <c r="B9092" s="207"/>
      <c r="C9092" s="210"/>
      <c r="D9092" s="211"/>
      <c r="E9092" s="211"/>
      <c r="U9092" s="222"/>
    </row>
    <row r="9093" spans="2:21" x14ac:dyDescent="0.2">
      <c r="B9093" s="207"/>
      <c r="C9093" s="210"/>
      <c r="D9093" s="211"/>
      <c r="E9093" s="211"/>
      <c r="U9093" s="222"/>
    </row>
    <row r="9094" spans="2:21" x14ac:dyDescent="0.2">
      <c r="B9094" s="207"/>
      <c r="C9094" s="210"/>
      <c r="D9094" s="211"/>
      <c r="E9094" s="211"/>
      <c r="U9094" s="222"/>
    </row>
    <row r="9095" spans="2:21" x14ac:dyDescent="0.2">
      <c r="B9095" s="207"/>
      <c r="C9095" s="210"/>
      <c r="D9095" s="211"/>
      <c r="E9095" s="211"/>
      <c r="U9095" s="222"/>
    </row>
    <row r="9096" spans="2:21" x14ac:dyDescent="0.2">
      <c r="B9096" s="207"/>
      <c r="C9096" s="210"/>
      <c r="D9096" s="211"/>
      <c r="E9096" s="211"/>
      <c r="U9096" s="222"/>
    </row>
    <row r="9097" spans="2:21" x14ac:dyDescent="0.2">
      <c r="B9097" s="207"/>
      <c r="C9097" s="210"/>
      <c r="D9097" s="211"/>
      <c r="E9097" s="211"/>
      <c r="U9097" s="222"/>
    </row>
    <row r="9098" spans="2:21" x14ac:dyDescent="0.2">
      <c r="B9098" s="207"/>
      <c r="C9098" s="210"/>
      <c r="D9098" s="211"/>
      <c r="E9098" s="211"/>
      <c r="U9098" s="222"/>
    </row>
    <row r="9099" spans="2:21" x14ac:dyDescent="0.2">
      <c r="B9099" s="207"/>
      <c r="C9099" s="210"/>
      <c r="D9099" s="211"/>
      <c r="E9099" s="211"/>
      <c r="U9099" s="222"/>
    </row>
    <row r="9100" spans="2:21" x14ac:dyDescent="0.2">
      <c r="B9100" s="207"/>
      <c r="C9100" s="210"/>
      <c r="D9100" s="211"/>
      <c r="E9100" s="211"/>
      <c r="U9100" s="222"/>
    </row>
    <row r="9101" spans="2:21" x14ac:dyDescent="0.2">
      <c r="B9101" s="207"/>
      <c r="C9101" s="210"/>
      <c r="D9101" s="211"/>
      <c r="E9101" s="211"/>
      <c r="U9101" s="222"/>
    </row>
    <row r="9102" spans="2:21" x14ac:dyDescent="0.2">
      <c r="B9102" s="207"/>
      <c r="C9102" s="210"/>
      <c r="D9102" s="211"/>
      <c r="E9102" s="211"/>
      <c r="U9102" s="222"/>
    </row>
    <row r="9103" spans="2:21" x14ac:dyDescent="0.2">
      <c r="B9103" s="207"/>
      <c r="C9103" s="210"/>
      <c r="D9103" s="211"/>
      <c r="E9103" s="211"/>
      <c r="U9103" s="222"/>
    </row>
    <row r="9104" spans="2:21" x14ac:dyDescent="0.2">
      <c r="B9104" s="207"/>
      <c r="C9104" s="210"/>
      <c r="D9104" s="211"/>
      <c r="E9104" s="211"/>
      <c r="U9104" s="222"/>
    </row>
    <row r="9105" spans="2:21" x14ac:dyDescent="0.2">
      <c r="B9105" s="207"/>
      <c r="C9105" s="210"/>
      <c r="D9105" s="211"/>
      <c r="E9105" s="211"/>
      <c r="U9105" s="222"/>
    </row>
    <row r="9106" spans="2:21" x14ac:dyDescent="0.2">
      <c r="B9106" s="207"/>
      <c r="C9106" s="210"/>
      <c r="D9106" s="211"/>
      <c r="E9106" s="211"/>
      <c r="U9106" s="222"/>
    </row>
    <row r="9107" spans="2:21" x14ac:dyDescent="0.2">
      <c r="B9107" s="207"/>
      <c r="C9107" s="210"/>
      <c r="D9107" s="211"/>
      <c r="E9107" s="211"/>
      <c r="U9107" s="222"/>
    </row>
    <row r="9108" spans="2:21" x14ac:dyDescent="0.2">
      <c r="B9108" s="207"/>
      <c r="C9108" s="210"/>
      <c r="D9108" s="211"/>
      <c r="E9108" s="211"/>
      <c r="U9108" s="222"/>
    </row>
    <row r="9109" spans="2:21" x14ac:dyDescent="0.2">
      <c r="B9109" s="207"/>
      <c r="C9109" s="210"/>
      <c r="D9109" s="211"/>
      <c r="E9109" s="211"/>
      <c r="U9109" s="222"/>
    </row>
    <row r="9110" spans="2:21" x14ac:dyDescent="0.2">
      <c r="B9110" s="207"/>
      <c r="C9110" s="210"/>
      <c r="D9110" s="211"/>
      <c r="E9110" s="211"/>
      <c r="U9110" s="222"/>
    </row>
    <row r="9111" spans="2:21" x14ac:dyDescent="0.2">
      <c r="B9111" s="207"/>
      <c r="C9111" s="210"/>
      <c r="D9111" s="211"/>
      <c r="E9111" s="211"/>
      <c r="U9111" s="222"/>
    </row>
    <row r="9112" spans="2:21" x14ac:dyDescent="0.2">
      <c r="B9112" s="207"/>
      <c r="C9112" s="210"/>
      <c r="D9112" s="211"/>
      <c r="E9112" s="211"/>
      <c r="U9112" s="222"/>
    </row>
    <row r="9113" spans="2:21" x14ac:dyDescent="0.2">
      <c r="B9113" s="207"/>
      <c r="C9113" s="210"/>
      <c r="D9113" s="211"/>
      <c r="E9113" s="211"/>
      <c r="U9113" s="222"/>
    </row>
    <row r="9114" spans="2:21" x14ac:dyDescent="0.2">
      <c r="B9114" s="207"/>
      <c r="C9114" s="210"/>
      <c r="D9114" s="211"/>
      <c r="E9114" s="211"/>
      <c r="U9114" s="222"/>
    </row>
    <row r="9115" spans="2:21" x14ac:dyDescent="0.2">
      <c r="B9115" s="207"/>
      <c r="C9115" s="210"/>
      <c r="D9115" s="211"/>
      <c r="E9115" s="211"/>
      <c r="U9115" s="222"/>
    </row>
    <row r="9116" spans="2:21" x14ac:dyDescent="0.2">
      <c r="B9116" s="207"/>
      <c r="C9116" s="210"/>
      <c r="D9116" s="211"/>
      <c r="E9116" s="211"/>
      <c r="U9116" s="222"/>
    </row>
    <row r="9117" spans="2:21" x14ac:dyDescent="0.2">
      <c r="B9117" s="207"/>
      <c r="C9117" s="210"/>
      <c r="D9117" s="211"/>
      <c r="E9117" s="211"/>
      <c r="U9117" s="222"/>
    </row>
    <row r="9118" spans="2:21" x14ac:dyDescent="0.2">
      <c r="B9118" s="207"/>
      <c r="C9118" s="210"/>
      <c r="D9118" s="211"/>
      <c r="E9118" s="211"/>
      <c r="U9118" s="222"/>
    </row>
    <row r="9119" spans="2:21" x14ac:dyDescent="0.2">
      <c r="B9119" s="207"/>
      <c r="C9119" s="210"/>
      <c r="D9119" s="211"/>
      <c r="E9119" s="211"/>
      <c r="U9119" s="222"/>
    </row>
    <row r="9120" spans="2:21" x14ac:dyDescent="0.2">
      <c r="B9120" s="207"/>
      <c r="C9120" s="210"/>
      <c r="D9120" s="211"/>
      <c r="E9120" s="211"/>
      <c r="U9120" s="222"/>
    </row>
    <row r="9121" spans="2:21" x14ac:dyDescent="0.2">
      <c r="B9121" s="207"/>
      <c r="C9121" s="210"/>
      <c r="D9121" s="211"/>
      <c r="E9121" s="211"/>
      <c r="U9121" s="222"/>
    </row>
    <row r="9122" spans="2:21" x14ac:dyDescent="0.2">
      <c r="B9122" s="207"/>
      <c r="C9122" s="210"/>
      <c r="D9122" s="211"/>
      <c r="E9122" s="211"/>
      <c r="U9122" s="222"/>
    </row>
    <row r="9123" spans="2:21" x14ac:dyDescent="0.2">
      <c r="B9123" s="207"/>
      <c r="C9123" s="210"/>
      <c r="D9123" s="211"/>
      <c r="E9123" s="211"/>
      <c r="U9123" s="222"/>
    </row>
    <row r="9124" spans="2:21" x14ac:dyDescent="0.2">
      <c r="B9124" s="207"/>
      <c r="C9124" s="210"/>
      <c r="D9124" s="211"/>
      <c r="E9124" s="211"/>
      <c r="U9124" s="222"/>
    </row>
    <row r="9125" spans="2:21" x14ac:dyDescent="0.2">
      <c r="B9125" s="207"/>
      <c r="C9125" s="210"/>
      <c r="D9125" s="211"/>
      <c r="E9125" s="211"/>
      <c r="U9125" s="222"/>
    </row>
    <row r="9126" spans="2:21" x14ac:dyDescent="0.2">
      <c r="B9126" s="207"/>
      <c r="C9126" s="210"/>
      <c r="D9126" s="211"/>
      <c r="E9126" s="211"/>
      <c r="U9126" s="222"/>
    </row>
    <row r="9127" spans="2:21" x14ac:dyDescent="0.2">
      <c r="B9127" s="207"/>
      <c r="C9127" s="210"/>
      <c r="D9127" s="211"/>
      <c r="E9127" s="211"/>
      <c r="U9127" s="222"/>
    </row>
    <row r="9128" spans="2:21" x14ac:dyDescent="0.2">
      <c r="B9128" s="207"/>
      <c r="C9128" s="210"/>
      <c r="D9128" s="211"/>
      <c r="E9128" s="211"/>
      <c r="U9128" s="222"/>
    </row>
    <row r="9129" spans="2:21" x14ac:dyDescent="0.2">
      <c r="B9129" s="207"/>
      <c r="C9129" s="210"/>
      <c r="D9129" s="211"/>
      <c r="E9129" s="211"/>
      <c r="U9129" s="222"/>
    </row>
    <row r="9130" spans="2:21" x14ac:dyDescent="0.2">
      <c r="B9130" s="207"/>
      <c r="C9130" s="210"/>
      <c r="D9130" s="211"/>
      <c r="E9130" s="211"/>
      <c r="U9130" s="222"/>
    </row>
    <row r="9131" spans="2:21" x14ac:dyDescent="0.2">
      <c r="B9131" s="207"/>
      <c r="C9131" s="210"/>
      <c r="D9131" s="211"/>
      <c r="E9131" s="211"/>
      <c r="U9131" s="222"/>
    </row>
    <row r="9132" spans="2:21" x14ac:dyDescent="0.2">
      <c r="B9132" s="207"/>
      <c r="C9132" s="210"/>
      <c r="D9132" s="211"/>
      <c r="E9132" s="211"/>
      <c r="U9132" s="222"/>
    </row>
    <row r="9133" spans="2:21" x14ac:dyDescent="0.2">
      <c r="B9133" s="207"/>
      <c r="C9133" s="210"/>
      <c r="D9133" s="211"/>
      <c r="E9133" s="211"/>
      <c r="U9133" s="222"/>
    </row>
    <row r="9134" spans="2:21" x14ac:dyDescent="0.2">
      <c r="B9134" s="207"/>
      <c r="C9134" s="210"/>
      <c r="D9134" s="211"/>
      <c r="E9134" s="211"/>
      <c r="U9134" s="222"/>
    </row>
    <row r="9135" spans="2:21" x14ac:dyDescent="0.2">
      <c r="B9135" s="207"/>
      <c r="C9135" s="210"/>
      <c r="D9135" s="211"/>
      <c r="E9135" s="211"/>
      <c r="U9135" s="222"/>
    </row>
    <row r="9136" spans="2:21" x14ac:dyDescent="0.2">
      <c r="B9136" s="207"/>
      <c r="C9136" s="210"/>
      <c r="D9136" s="211"/>
      <c r="E9136" s="211"/>
      <c r="U9136" s="222"/>
    </row>
    <row r="9137" spans="2:21" x14ac:dyDescent="0.2">
      <c r="B9137" s="207"/>
      <c r="C9137" s="210"/>
      <c r="D9137" s="211"/>
      <c r="E9137" s="211"/>
      <c r="U9137" s="222"/>
    </row>
    <row r="9138" spans="2:21" x14ac:dyDescent="0.2">
      <c r="B9138" s="207"/>
      <c r="C9138" s="210"/>
      <c r="D9138" s="211"/>
      <c r="E9138" s="211"/>
      <c r="U9138" s="222"/>
    </row>
    <row r="9139" spans="2:21" x14ac:dyDescent="0.2">
      <c r="B9139" s="207"/>
      <c r="C9139" s="210"/>
      <c r="D9139" s="211"/>
      <c r="E9139" s="211"/>
      <c r="U9139" s="222"/>
    </row>
    <row r="9140" spans="2:21" x14ac:dyDescent="0.2">
      <c r="B9140" s="207"/>
      <c r="C9140" s="210"/>
      <c r="D9140" s="211"/>
      <c r="E9140" s="211"/>
      <c r="U9140" s="222"/>
    </row>
    <row r="9141" spans="2:21" x14ac:dyDescent="0.2">
      <c r="B9141" s="207"/>
      <c r="C9141" s="210"/>
      <c r="D9141" s="211"/>
      <c r="E9141" s="211"/>
      <c r="U9141" s="222"/>
    </row>
    <row r="9142" spans="2:21" x14ac:dyDescent="0.2">
      <c r="B9142" s="207"/>
      <c r="C9142" s="210"/>
      <c r="D9142" s="211"/>
      <c r="E9142" s="211"/>
      <c r="U9142" s="222"/>
    </row>
    <row r="9143" spans="2:21" x14ac:dyDescent="0.2">
      <c r="B9143" s="207"/>
      <c r="C9143" s="210"/>
      <c r="D9143" s="211"/>
      <c r="E9143" s="211"/>
      <c r="U9143" s="222"/>
    </row>
    <row r="9144" spans="2:21" x14ac:dyDescent="0.2">
      <c r="B9144" s="207"/>
      <c r="C9144" s="210"/>
      <c r="D9144" s="211"/>
      <c r="E9144" s="211"/>
      <c r="U9144" s="222"/>
    </row>
    <row r="9145" spans="2:21" x14ac:dyDescent="0.2">
      <c r="B9145" s="207"/>
      <c r="C9145" s="210"/>
      <c r="D9145" s="211"/>
      <c r="E9145" s="211"/>
      <c r="U9145" s="222"/>
    </row>
    <row r="9146" spans="2:21" x14ac:dyDescent="0.2">
      <c r="B9146" s="207"/>
      <c r="C9146" s="210"/>
      <c r="D9146" s="211"/>
      <c r="E9146" s="211"/>
      <c r="U9146" s="222"/>
    </row>
    <row r="9147" spans="2:21" x14ac:dyDescent="0.2">
      <c r="B9147" s="207"/>
      <c r="C9147" s="210"/>
      <c r="D9147" s="211"/>
      <c r="E9147" s="211"/>
      <c r="U9147" s="222"/>
    </row>
    <row r="9148" spans="2:21" x14ac:dyDescent="0.2">
      <c r="B9148" s="207"/>
      <c r="C9148" s="210"/>
      <c r="D9148" s="211"/>
      <c r="E9148" s="211"/>
      <c r="U9148" s="222"/>
    </row>
    <row r="9149" spans="2:21" x14ac:dyDescent="0.2">
      <c r="B9149" s="207"/>
      <c r="C9149" s="210"/>
      <c r="D9149" s="211"/>
      <c r="E9149" s="211"/>
      <c r="U9149" s="222"/>
    </row>
    <row r="9150" spans="2:21" x14ac:dyDescent="0.2">
      <c r="B9150" s="207"/>
      <c r="C9150" s="210"/>
      <c r="D9150" s="211"/>
      <c r="E9150" s="211"/>
      <c r="U9150" s="222"/>
    </row>
    <row r="9151" spans="2:21" x14ac:dyDescent="0.2">
      <c r="B9151" s="207"/>
      <c r="C9151" s="210"/>
      <c r="D9151" s="211"/>
      <c r="E9151" s="211"/>
      <c r="U9151" s="222"/>
    </row>
    <row r="9152" spans="2:21" x14ac:dyDescent="0.2">
      <c r="B9152" s="207"/>
      <c r="C9152" s="210"/>
      <c r="D9152" s="211"/>
      <c r="E9152" s="211"/>
      <c r="U9152" s="222"/>
    </row>
    <row r="9153" spans="2:21" x14ac:dyDescent="0.2">
      <c r="B9153" s="207"/>
      <c r="C9153" s="210"/>
      <c r="D9153" s="211"/>
      <c r="E9153" s="211"/>
      <c r="U9153" s="222"/>
    </row>
    <row r="9154" spans="2:21" x14ac:dyDescent="0.2">
      <c r="B9154" s="207"/>
      <c r="C9154" s="210"/>
      <c r="D9154" s="211"/>
      <c r="E9154" s="211"/>
      <c r="U9154" s="222"/>
    </row>
    <row r="9155" spans="2:21" x14ac:dyDescent="0.2">
      <c r="B9155" s="207"/>
      <c r="C9155" s="210"/>
      <c r="D9155" s="211"/>
      <c r="E9155" s="211"/>
      <c r="U9155" s="222"/>
    </row>
    <row r="9156" spans="2:21" x14ac:dyDescent="0.2">
      <c r="B9156" s="207"/>
      <c r="C9156" s="210"/>
      <c r="D9156" s="211"/>
      <c r="E9156" s="211"/>
      <c r="U9156" s="222"/>
    </row>
    <row r="9157" spans="2:21" x14ac:dyDescent="0.2">
      <c r="B9157" s="207"/>
      <c r="C9157" s="210"/>
      <c r="D9157" s="211"/>
      <c r="E9157" s="211"/>
      <c r="U9157" s="222"/>
    </row>
    <row r="9158" spans="2:21" x14ac:dyDescent="0.2">
      <c r="B9158" s="207"/>
      <c r="C9158" s="210"/>
      <c r="D9158" s="211"/>
      <c r="E9158" s="211"/>
      <c r="U9158" s="222"/>
    </row>
    <row r="9159" spans="2:21" x14ac:dyDescent="0.2">
      <c r="B9159" s="207"/>
      <c r="C9159" s="210"/>
      <c r="D9159" s="211"/>
      <c r="E9159" s="211"/>
      <c r="U9159" s="222"/>
    </row>
    <row r="9160" spans="2:21" x14ac:dyDescent="0.2">
      <c r="B9160" s="207"/>
      <c r="C9160" s="210"/>
      <c r="D9160" s="211"/>
      <c r="E9160" s="211"/>
      <c r="U9160" s="222"/>
    </row>
    <row r="9161" spans="2:21" x14ac:dyDescent="0.2">
      <c r="B9161" s="207"/>
      <c r="C9161" s="210"/>
      <c r="D9161" s="211"/>
      <c r="E9161" s="211"/>
      <c r="U9161" s="222"/>
    </row>
    <row r="9162" spans="2:21" x14ac:dyDescent="0.2">
      <c r="B9162" s="207"/>
      <c r="C9162" s="210"/>
      <c r="D9162" s="211"/>
      <c r="E9162" s="211"/>
      <c r="U9162" s="222"/>
    </row>
    <row r="9163" spans="2:21" x14ac:dyDescent="0.2">
      <c r="B9163" s="207"/>
      <c r="C9163" s="210"/>
      <c r="D9163" s="211"/>
      <c r="E9163" s="211"/>
      <c r="U9163" s="222"/>
    </row>
    <row r="9164" spans="2:21" x14ac:dyDescent="0.2">
      <c r="B9164" s="207"/>
      <c r="C9164" s="210"/>
      <c r="D9164" s="211"/>
      <c r="E9164" s="211"/>
      <c r="U9164" s="222"/>
    </row>
    <row r="9165" spans="2:21" x14ac:dyDescent="0.2">
      <c r="B9165" s="207"/>
      <c r="C9165" s="210"/>
      <c r="D9165" s="211"/>
      <c r="E9165" s="211"/>
      <c r="U9165" s="222"/>
    </row>
    <row r="9166" spans="2:21" x14ac:dyDescent="0.2">
      <c r="B9166" s="207"/>
      <c r="C9166" s="210"/>
      <c r="D9166" s="211"/>
      <c r="E9166" s="211"/>
      <c r="U9166" s="222"/>
    </row>
    <row r="9167" spans="2:21" x14ac:dyDescent="0.2">
      <c r="B9167" s="207"/>
      <c r="C9167" s="210"/>
      <c r="D9167" s="211"/>
      <c r="E9167" s="211"/>
      <c r="U9167" s="222"/>
    </row>
    <row r="9168" spans="2:21" x14ac:dyDescent="0.2">
      <c r="B9168" s="207"/>
      <c r="C9168" s="210"/>
      <c r="D9168" s="211"/>
      <c r="E9168" s="211"/>
      <c r="U9168" s="222"/>
    </row>
    <row r="9169" spans="2:21" x14ac:dyDescent="0.2">
      <c r="B9169" s="207"/>
      <c r="C9169" s="210"/>
      <c r="D9169" s="211"/>
      <c r="E9169" s="211"/>
      <c r="U9169" s="222"/>
    </row>
    <row r="9170" spans="2:21" x14ac:dyDescent="0.2">
      <c r="B9170" s="207"/>
      <c r="C9170" s="210"/>
      <c r="D9170" s="211"/>
      <c r="E9170" s="211"/>
      <c r="U9170" s="222"/>
    </row>
    <row r="9171" spans="2:21" x14ac:dyDescent="0.2">
      <c r="B9171" s="207"/>
      <c r="C9171" s="210"/>
      <c r="D9171" s="211"/>
      <c r="E9171" s="211"/>
      <c r="U9171" s="222"/>
    </row>
    <row r="9172" spans="2:21" x14ac:dyDescent="0.2">
      <c r="B9172" s="207"/>
      <c r="C9172" s="210"/>
      <c r="D9172" s="211"/>
      <c r="E9172" s="211"/>
      <c r="U9172" s="222"/>
    </row>
    <row r="9173" spans="2:21" x14ac:dyDescent="0.2">
      <c r="B9173" s="207"/>
      <c r="C9173" s="210"/>
      <c r="D9173" s="211"/>
      <c r="E9173" s="211"/>
      <c r="U9173" s="222"/>
    </row>
    <row r="9174" spans="2:21" x14ac:dyDescent="0.2">
      <c r="B9174" s="207"/>
      <c r="C9174" s="210"/>
      <c r="D9174" s="211"/>
      <c r="E9174" s="211"/>
      <c r="U9174" s="222"/>
    </row>
    <row r="9175" spans="2:21" x14ac:dyDescent="0.2">
      <c r="B9175" s="207"/>
      <c r="C9175" s="210"/>
      <c r="D9175" s="211"/>
      <c r="E9175" s="211"/>
      <c r="U9175" s="222"/>
    </row>
    <row r="9176" spans="2:21" x14ac:dyDescent="0.2">
      <c r="B9176" s="207"/>
      <c r="C9176" s="210"/>
      <c r="D9176" s="211"/>
      <c r="E9176" s="211"/>
      <c r="U9176" s="222"/>
    </row>
    <row r="9177" spans="2:21" x14ac:dyDescent="0.2">
      <c r="B9177" s="207"/>
      <c r="C9177" s="210"/>
      <c r="D9177" s="211"/>
      <c r="E9177" s="211"/>
      <c r="U9177" s="222"/>
    </row>
    <row r="9178" spans="2:21" x14ac:dyDescent="0.2">
      <c r="B9178" s="207"/>
      <c r="C9178" s="210"/>
      <c r="D9178" s="211"/>
      <c r="E9178" s="211"/>
      <c r="U9178" s="222"/>
    </row>
    <row r="9179" spans="2:21" x14ac:dyDescent="0.2">
      <c r="B9179" s="207"/>
      <c r="C9179" s="210"/>
      <c r="D9179" s="211"/>
      <c r="E9179" s="211"/>
      <c r="U9179" s="222"/>
    </row>
    <row r="9180" spans="2:21" x14ac:dyDescent="0.2">
      <c r="B9180" s="207"/>
      <c r="C9180" s="210"/>
      <c r="D9180" s="211"/>
      <c r="E9180" s="211"/>
      <c r="U9180" s="222"/>
    </row>
    <row r="9181" spans="2:21" x14ac:dyDescent="0.2">
      <c r="B9181" s="207"/>
      <c r="C9181" s="210"/>
      <c r="D9181" s="211"/>
      <c r="E9181" s="211"/>
      <c r="U9181" s="222"/>
    </row>
    <row r="9182" spans="2:21" x14ac:dyDescent="0.2">
      <c r="B9182" s="207"/>
      <c r="C9182" s="210"/>
      <c r="D9182" s="211"/>
      <c r="E9182" s="211"/>
      <c r="U9182" s="222"/>
    </row>
    <row r="9183" spans="2:21" x14ac:dyDescent="0.2">
      <c r="B9183" s="207"/>
      <c r="C9183" s="210"/>
      <c r="D9183" s="211"/>
      <c r="E9183" s="211"/>
      <c r="U9183" s="222"/>
    </row>
    <row r="9184" spans="2:21" x14ac:dyDescent="0.2">
      <c r="B9184" s="207"/>
      <c r="C9184" s="210"/>
      <c r="D9184" s="211"/>
      <c r="E9184" s="211"/>
      <c r="U9184" s="222"/>
    </row>
    <row r="9185" spans="2:21" x14ac:dyDescent="0.2">
      <c r="B9185" s="207"/>
      <c r="C9185" s="210"/>
      <c r="D9185" s="211"/>
      <c r="E9185" s="211"/>
      <c r="U9185" s="222"/>
    </row>
    <row r="9186" spans="2:21" x14ac:dyDescent="0.2">
      <c r="B9186" s="207"/>
      <c r="C9186" s="210"/>
      <c r="D9186" s="211"/>
      <c r="E9186" s="211"/>
      <c r="U9186" s="222"/>
    </row>
    <row r="9187" spans="2:21" x14ac:dyDescent="0.2">
      <c r="B9187" s="207"/>
      <c r="C9187" s="210"/>
      <c r="D9187" s="211"/>
      <c r="E9187" s="211"/>
      <c r="U9187" s="222"/>
    </row>
    <row r="9188" spans="2:21" x14ac:dyDescent="0.2">
      <c r="B9188" s="207"/>
      <c r="C9188" s="210"/>
      <c r="D9188" s="211"/>
      <c r="E9188" s="211"/>
      <c r="U9188" s="222"/>
    </row>
    <row r="9189" spans="2:21" x14ac:dyDescent="0.2">
      <c r="B9189" s="207"/>
      <c r="C9189" s="210"/>
      <c r="D9189" s="211"/>
      <c r="E9189" s="211"/>
      <c r="U9189" s="222"/>
    </row>
    <row r="9190" spans="2:21" x14ac:dyDescent="0.2">
      <c r="B9190" s="207"/>
      <c r="C9190" s="210"/>
      <c r="D9190" s="211"/>
      <c r="E9190" s="211"/>
      <c r="U9190" s="222"/>
    </row>
    <row r="9191" spans="2:21" x14ac:dyDescent="0.2">
      <c r="B9191" s="207"/>
      <c r="C9191" s="210"/>
      <c r="D9191" s="211"/>
      <c r="E9191" s="211"/>
      <c r="U9191" s="222"/>
    </row>
    <row r="9192" spans="2:21" x14ac:dyDescent="0.2">
      <c r="B9192" s="207"/>
      <c r="C9192" s="210"/>
      <c r="D9192" s="211"/>
      <c r="E9192" s="211"/>
      <c r="U9192" s="222"/>
    </row>
    <row r="9193" spans="2:21" x14ac:dyDescent="0.2">
      <c r="B9193" s="207"/>
      <c r="C9193" s="210"/>
      <c r="D9193" s="211"/>
      <c r="E9193" s="211"/>
      <c r="U9193" s="222"/>
    </row>
    <row r="9194" spans="2:21" x14ac:dyDescent="0.2">
      <c r="B9194" s="207"/>
      <c r="C9194" s="210"/>
      <c r="D9194" s="211"/>
      <c r="E9194" s="211"/>
      <c r="U9194" s="222"/>
    </row>
    <row r="9195" spans="2:21" x14ac:dyDescent="0.2">
      <c r="B9195" s="207"/>
      <c r="C9195" s="210"/>
      <c r="D9195" s="211"/>
      <c r="E9195" s="211"/>
      <c r="U9195" s="222"/>
    </row>
    <row r="9196" spans="2:21" x14ac:dyDescent="0.2">
      <c r="B9196" s="207"/>
      <c r="C9196" s="210"/>
      <c r="D9196" s="211"/>
      <c r="E9196" s="211"/>
      <c r="U9196" s="222"/>
    </row>
    <row r="9197" spans="2:21" x14ac:dyDescent="0.2">
      <c r="B9197" s="207"/>
      <c r="C9197" s="210"/>
      <c r="D9197" s="211"/>
      <c r="E9197" s="211"/>
      <c r="U9197" s="222"/>
    </row>
    <row r="9198" spans="2:21" x14ac:dyDescent="0.2">
      <c r="B9198" s="207"/>
      <c r="C9198" s="210"/>
      <c r="D9198" s="211"/>
      <c r="E9198" s="211"/>
      <c r="U9198" s="222"/>
    </row>
    <row r="9199" spans="2:21" x14ac:dyDescent="0.2">
      <c r="B9199" s="207"/>
      <c r="C9199" s="210"/>
      <c r="D9199" s="211"/>
      <c r="E9199" s="211"/>
      <c r="U9199" s="222"/>
    </row>
    <row r="9200" spans="2:21" x14ac:dyDescent="0.2">
      <c r="B9200" s="207"/>
      <c r="C9200" s="210"/>
      <c r="D9200" s="211"/>
      <c r="E9200" s="211"/>
      <c r="U9200" s="222"/>
    </row>
    <row r="9201" spans="2:21" x14ac:dyDescent="0.2">
      <c r="B9201" s="207"/>
      <c r="C9201" s="210"/>
      <c r="D9201" s="211"/>
      <c r="E9201" s="211"/>
      <c r="U9201" s="222"/>
    </row>
    <row r="9202" spans="2:21" x14ac:dyDescent="0.2">
      <c r="B9202" s="207"/>
      <c r="C9202" s="210"/>
      <c r="D9202" s="211"/>
      <c r="E9202" s="211"/>
      <c r="U9202" s="222"/>
    </row>
    <row r="9203" spans="2:21" x14ac:dyDescent="0.2">
      <c r="B9203" s="207"/>
      <c r="C9203" s="210"/>
      <c r="D9203" s="211"/>
      <c r="E9203" s="211"/>
      <c r="U9203" s="222"/>
    </row>
    <row r="9204" spans="2:21" x14ac:dyDescent="0.2">
      <c r="B9204" s="207"/>
      <c r="C9204" s="210"/>
      <c r="D9204" s="211"/>
      <c r="E9204" s="211"/>
      <c r="U9204" s="222"/>
    </row>
    <row r="9205" spans="2:21" x14ac:dyDescent="0.2">
      <c r="B9205" s="207"/>
      <c r="C9205" s="210"/>
      <c r="D9205" s="211"/>
      <c r="E9205" s="211"/>
      <c r="U9205" s="222"/>
    </row>
    <row r="9206" spans="2:21" x14ac:dyDescent="0.2">
      <c r="B9206" s="207"/>
      <c r="C9206" s="210"/>
      <c r="D9206" s="211"/>
      <c r="E9206" s="211"/>
      <c r="U9206" s="222"/>
    </row>
    <row r="9207" spans="2:21" x14ac:dyDescent="0.2">
      <c r="B9207" s="207"/>
      <c r="C9207" s="210"/>
      <c r="D9207" s="211"/>
      <c r="E9207" s="211"/>
      <c r="U9207" s="222"/>
    </row>
    <row r="9208" spans="2:21" x14ac:dyDescent="0.2">
      <c r="B9208" s="207"/>
      <c r="C9208" s="210"/>
      <c r="D9208" s="211"/>
      <c r="E9208" s="211"/>
      <c r="U9208" s="222"/>
    </row>
    <row r="9209" spans="2:21" x14ac:dyDescent="0.2">
      <c r="B9209" s="207"/>
      <c r="C9209" s="210"/>
      <c r="D9209" s="211"/>
      <c r="E9209" s="211"/>
      <c r="U9209" s="222"/>
    </row>
    <row r="9210" spans="2:21" x14ac:dyDescent="0.2">
      <c r="B9210" s="207"/>
      <c r="C9210" s="210"/>
      <c r="D9210" s="211"/>
      <c r="E9210" s="211"/>
      <c r="U9210" s="222"/>
    </row>
    <row r="9211" spans="2:21" x14ac:dyDescent="0.2">
      <c r="B9211" s="207"/>
      <c r="C9211" s="210"/>
      <c r="D9211" s="211"/>
      <c r="E9211" s="211"/>
      <c r="U9211" s="222"/>
    </row>
    <row r="9212" spans="2:21" x14ac:dyDescent="0.2">
      <c r="B9212" s="207"/>
      <c r="C9212" s="210"/>
      <c r="D9212" s="211"/>
      <c r="E9212" s="211"/>
      <c r="U9212" s="222"/>
    </row>
    <row r="9213" spans="2:21" x14ac:dyDescent="0.2">
      <c r="B9213" s="207"/>
      <c r="C9213" s="210"/>
      <c r="D9213" s="211"/>
      <c r="E9213" s="211"/>
      <c r="U9213" s="222"/>
    </row>
    <row r="9214" spans="2:21" x14ac:dyDescent="0.2">
      <c r="B9214" s="207"/>
      <c r="C9214" s="210"/>
      <c r="D9214" s="211"/>
      <c r="E9214" s="211"/>
      <c r="U9214" s="222"/>
    </row>
    <row r="9215" spans="2:21" x14ac:dyDescent="0.2">
      <c r="B9215" s="207"/>
      <c r="C9215" s="210"/>
      <c r="D9215" s="211"/>
      <c r="E9215" s="211"/>
      <c r="U9215" s="222"/>
    </row>
    <row r="9216" spans="2:21" x14ac:dyDescent="0.2">
      <c r="B9216" s="207"/>
      <c r="C9216" s="210"/>
      <c r="D9216" s="211"/>
      <c r="E9216" s="211"/>
      <c r="U9216" s="222"/>
    </row>
    <row r="9217" spans="2:21" x14ac:dyDescent="0.2">
      <c r="B9217" s="207"/>
      <c r="C9217" s="210"/>
      <c r="D9217" s="211"/>
      <c r="E9217" s="211"/>
      <c r="U9217" s="222"/>
    </row>
    <row r="9218" spans="2:21" x14ac:dyDescent="0.2">
      <c r="B9218" s="207"/>
      <c r="C9218" s="210"/>
      <c r="D9218" s="211"/>
      <c r="E9218" s="211"/>
      <c r="U9218" s="222"/>
    </row>
    <row r="9219" spans="2:21" x14ac:dyDescent="0.2">
      <c r="B9219" s="207"/>
      <c r="C9219" s="210"/>
      <c r="D9219" s="211"/>
      <c r="E9219" s="211"/>
      <c r="U9219" s="222"/>
    </row>
    <row r="9220" spans="2:21" x14ac:dyDescent="0.2">
      <c r="B9220" s="207"/>
      <c r="C9220" s="210"/>
      <c r="D9220" s="211"/>
      <c r="E9220" s="211"/>
      <c r="U9220" s="222"/>
    </row>
    <row r="9221" spans="2:21" x14ac:dyDescent="0.2">
      <c r="B9221" s="207"/>
      <c r="C9221" s="210"/>
      <c r="D9221" s="211"/>
      <c r="E9221" s="211"/>
      <c r="U9221" s="222"/>
    </row>
    <row r="9222" spans="2:21" x14ac:dyDescent="0.2">
      <c r="B9222" s="207"/>
      <c r="C9222" s="210"/>
      <c r="D9222" s="211"/>
      <c r="E9222" s="211"/>
      <c r="U9222" s="222"/>
    </row>
    <row r="9223" spans="2:21" x14ac:dyDescent="0.2">
      <c r="B9223" s="207"/>
      <c r="C9223" s="210"/>
      <c r="D9223" s="211"/>
      <c r="E9223" s="211"/>
      <c r="U9223" s="222"/>
    </row>
    <row r="9224" spans="2:21" x14ac:dyDescent="0.2">
      <c r="B9224" s="207"/>
      <c r="C9224" s="210"/>
      <c r="D9224" s="211"/>
      <c r="E9224" s="211"/>
      <c r="U9224" s="222"/>
    </row>
    <row r="9225" spans="2:21" x14ac:dyDescent="0.2">
      <c r="B9225" s="207"/>
      <c r="C9225" s="210"/>
      <c r="D9225" s="211"/>
      <c r="E9225" s="211"/>
      <c r="U9225" s="222"/>
    </row>
    <row r="9226" spans="2:21" x14ac:dyDescent="0.2">
      <c r="B9226" s="207"/>
      <c r="C9226" s="210"/>
      <c r="D9226" s="211"/>
      <c r="E9226" s="211"/>
      <c r="U9226" s="222"/>
    </row>
    <row r="9227" spans="2:21" x14ac:dyDescent="0.2">
      <c r="B9227" s="207"/>
      <c r="C9227" s="210"/>
      <c r="D9227" s="211"/>
      <c r="E9227" s="211"/>
      <c r="U9227" s="222"/>
    </row>
    <row r="9228" spans="2:21" x14ac:dyDescent="0.2">
      <c r="B9228" s="207"/>
      <c r="C9228" s="210"/>
      <c r="D9228" s="211"/>
      <c r="E9228" s="211"/>
      <c r="U9228" s="222"/>
    </row>
    <row r="9229" spans="2:21" x14ac:dyDescent="0.2">
      <c r="B9229" s="207"/>
      <c r="C9229" s="210"/>
      <c r="D9229" s="211"/>
      <c r="E9229" s="211"/>
      <c r="U9229" s="222"/>
    </row>
    <row r="9230" spans="2:21" x14ac:dyDescent="0.2">
      <c r="B9230" s="207"/>
      <c r="C9230" s="210"/>
      <c r="D9230" s="211"/>
      <c r="E9230" s="211"/>
      <c r="U9230" s="222"/>
    </row>
    <row r="9231" spans="2:21" x14ac:dyDescent="0.2">
      <c r="B9231" s="207"/>
      <c r="C9231" s="210"/>
      <c r="D9231" s="211"/>
      <c r="E9231" s="211"/>
      <c r="U9231" s="222"/>
    </row>
    <row r="9232" spans="2:21" x14ac:dyDescent="0.2">
      <c r="B9232" s="207"/>
      <c r="C9232" s="210"/>
      <c r="D9232" s="211"/>
      <c r="E9232" s="211"/>
      <c r="U9232" s="222"/>
    </row>
    <row r="9233" spans="2:21" x14ac:dyDescent="0.2">
      <c r="B9233" s="207"/>
      <c r="C9233" s="210"/>
      <c r="D9233" s="211"/>
      <c r="E9233" s="211"/>
      <c r="U9233" s="222"/>
    </row>
    <row r="9234" spans="2:21" x14ac:dyDescent="0.2">
      <c r="B9234" s="207"/>
      <c r="C9234" s="210"/>
      <c r="D9234" s="211"/>
      <c r="E9234" s="211"/>
      <c r="U9234" s="222"/>
    </row>
    <row r="9235" spans="2:21" x14ac:dyDescent="0.2">
      <c r="B9235" s="207"/>
      <c r="C9235" s="210"/>
      <c r="D9235" s="211"/>
      <c r="E9235" s="211"/>
      <c r="U9235" s="222"/>
    </row>
    <row r="9236" spans="2:21" x14ac:dyDescent="0.2">
      <c r="B9236" s="207"/>
      <c r="C9236" s="210"/>
      <c r="D9236" s="211"/>
      <c r="E9236" s="211"/>
      <c r="U9236" s="222"/>
    </row>
    <row r="9237" spans="2:21" x14ac:dyDescent="0.2">
      <c r="B9237" s="207"/>
      <c r="C9237" s="210"/>
      <c r="D9237" s="211"/>
      <c r="E9237" s="211"/>
      <c r="U9237" s="222"/>
    </row>
    <row r="9238" spans="2:21" x14ac:dyDescent="0.2">
      <c r="B9238" s="207"/>
      <c r="C9238" s="210"/>
      <c r="D9238" s="211"/>
      <c r="E9238" s="211"/>
      <c r="U9238" s="222"/>
    </row>
    <row r="9239" spans="2:21" x14ac:dyDescent="0.2">
      <c r="B9239" s="207"/>
      <c r="C9239" s="210"/>
      <c r="D9239" s="211"/>
      <c r="E9239" s="211"/>
      <c r="U9239" s="222"/>
    </row>
    <row r="9240" spans="2:21" x14ac:dyDescent="0.2">
      <c r="B9240" s="207"/>
      <c r="C9240" s="210"/>
      <c r="D9240" s="211"/>
      <c r="E9240" s="211"/>
      <c r="U9240" s="222"/>
    </row>
    <row r="9241" spans="2:21" x14ac:dyDescent="0.2">
      <c r="B9241" s="207"/>
      <c r="C9241" s="210"/>
      <c r="D9241" s="211"/>
      <c r="E9241" s="211"/>
      <c r="U9241" s="222"/>
    </row>
    <row r="9242" spans="2:21" x14ac:dyDescent="0.2">
      <c r="B9242" s="207"/>
      <c r="C9242" s="210"/>
      <c r="D9242" s="211"/>
      <c r="E9242" s="211"/>
      <c r="U9242" s="222"/>
    </row>
    <row r="9243" spans="2:21" x14ac:dyDescent="0.2">
      <c r="B9243" s="207"/>
      <c r="C9243" s="210"/>
      <c r="D9243" s="211"/>
      <c r="E9243" s="211"/>
      <c r="U9243" s="222"/>
    </row>
    <row r="9244" spans="2:21" x14ac:dyDescent="0.2">
      <c r="B9244" s="207"/>
      <c r="C9244" s="210"/>
      <c r="D9244" s="211"/>
      <c r="E9244" s="211"/>
      <c r="U9244" s="222"/>
    </row>
    <row r="9245" spans="2:21" x14ac:dyDescent="0.2">
      <c r="B9245" s="207"/>
      <c r="C9245" s="210"/>
      <c r="D9245" s="211"/>
      <c r="E9245" s="211"/>
      <c r="U9245" s="222"/>
    </row>
    <row r="9246" spans="2:21" x14ac:dyDescent="0.2">
      <c r="B9246" s="207"/>
      <c r="C9246" s="210"/>
      <c r="D9246" s="211"/>
      <c r="E9246" s="211"/>
      <c r="U9246" s="222"/>
    </row>
    <row r="9247" spans="2:21" x14ac:dyDescent="0.2">
      <c r="B9247" s="207"/>
      <c r="C9247" s="210"/>
      <c r="D9247" s="211"/>
      <c r="E9247" s="211"/>
      <c r="U9247" s="222"/>
    </row>
    <row r="9248" spans="2:21" x14ac:dyDescent="0.2">
      <c r="B9248" s="207"/>
      <c r="C9248" s="210"/>
      <c r="D9248" s="211"/>
      <c r="E9248" s="211"/>
      <c r="U9248" s="222"/>
    </row>
    <row r="9249" spans="2:21" x14ac:dyDescent="0.2">
      <c r="B9249" s="207"/>
      <c r="C9249" s="210"/>
      <c r="D9249" s="211"/>
      <c r="E9249" s="211"/>
      <c r="U9249" s="222"/>
    </row>
    <row r="9250" spans="2:21" x14ac:dyDescent="0.2">
      <c r="B9250" s="207"/>
      <c r="C9250" s="210"/>
      <c r="D9250" s="211"/>
      <c r="E9250" s="211"/>
      <c r="U9250" s="222"/>
    </row>
    <row r="9251" spans="2:21" x14ac:dyDescent="0.2">
      <c r="B9251" s="207"/>
      <c r="C9251" s="210"/>
      <c r="D9251" s="211"/>
      <c r="E9251" s="211"/>
      <c r="U9251" s="222"/>
    </row>
    <row r="9252" spans="2:21" x14ac:dyDescent="0.2">
      <c r="B9252" s="207"/>
      <c r="C9252" s="210"/>
      <c r="D9252" s="211"/>
      <c r="E9252" s="211"/>
      <c r="U9252" s="222"/>
    </row>
    <row r="9253" spans="2:21" x14ac:dyDescent="0.2">
      <c r="B9253" s="207"/>
      <c r="C9253" s="210"/>
      <c r="D9253" s="211"/>
      <c r="E9253" s="211"/>
      <c r="U9253" s="222"/>
    </row>
    <row r="9254" spans="2:21" x14ac:dyDescent="0.2">
      <c r="B9254" s="207"/>
      <c r="C9254" s="210"/>
      <c r="D9254" s="211"/>
      <c r="E9254" s="211"/>
      <c r="U9254" s="222"/>
    </row>
    <row r="9255" spans="2:21" x14ac:dyDescent="0.2">
      <c r="B9255" s="207"/>
      <c r="C9255" s="210"/>
      <c r="D9255" s="211"/>
      <c r="E9255" s="211"/>
      <c r="U9255" s="222"/>
    </row>
    <row r="9256" spans="2:21" x14ac:dyDescent="0.2">
      <c r="B9256" s="207"/>
      <c r="C9256" s="210"/>
      <c r="D9256" s="211"/>
      <c r="E9256" s="211"/>
      <c r="U9256" s="222"/>
    </row>
    <row r="9257" spans="2:21" x14ac:dyDescent="0.2">
      <c r="B9257" s="207"/>
      <c r="C9257" s="210"/>
      <c r="D9257" s="211"/>
      <c r="E9257" s="211"/>
      <c r="U9257" s="222"/>
    </row>
    <row r="9258" spans="2:21" x14ac:dyDescent="0.2">
      <c r="B9258" s="207"/>
      <c r="C9258" s="210"/>
      <c r="D9258" s="211"/>
      <c r="E9258" s="211"/>
      <c r="U9258" s="222"/>
    </row>
    <row r="9259" spans="2:21" x14ac:dyDescent="0.2">
      <c r="B9259" s="207"/>
      <c r="C9259" s="210"/>
      <c r="D9259" s="211"/>
      <c r="E9259" s="211"/>
      <c r="U9259" s="222"/>
    </row>
    <row r="9260" spans="2:21" x14ac:dyDescent="0.2">
      <c r="B9260" s="207"/>
      <c r="C9260" s="210"/>
      <c r="D9260" s="211"/>
      <c r="E9260" s="211"/>
      <c r="U9260" s="222"/>
    </row>
    <row r="9261" spans="2:21" x14ac:dyDescent="0.2">
      <c r="B9261" s="207"/>
      <c r="C9261" s="210"/>
      <c r="D9261" s="211"/>
      <c r="E9261" s="211"/>
      <c r="U9261" s="222"/>
    </row>
    <row r="9262" spans="2:21" x14ac:dyDescent="0.2">
      <c r="B9262" s="207"/>
      <c r="C9262" s="210"/>
      <c r="D9262" s="211"/>
      <c r="E9262" s="211"/>
      <c r="U9262" s="222"/>
    </row>
    <row r="9263" spans="2:21" x14ac:dyDescent="0.2">
      <c r="B9263" s="207"/>
      <c r="C9263" s="210"/>
      <c r="D9263" s="211"/>
      <c r="E9263" s="211"/>
      <c r="U9263" s="222"/>
    </row>
    <row r="9264" spans="2:21" x14ac:dyDescent="0.2">
      <c r="B9264" s="207"/>
      <c r="C9264" s="210"/>
      <c r="D9264" s="211"/>
      <c r="E9264" s="211"/>
      <c r="U9264" s="222"/>
    </row>
    <row r="9265" spans="2:21" x14ac:dyDescent="0.2">
      <c r="B9265" s="207"/>
      <c r="C9265" s="210"/>
      <c r="D9265" s="211"/>
      <c r="E9265" s="211"/>
      <c r="U9265" s="222"/>
    </row>
    <row r="9266" spans="2:21" x14ac:dyDescent="0.2">
      <c r="B9266" s="207"/>
      <c r="C9266" s="210"/>
      <c r="D9266" s="211"/>
      <c r="E9266" s="211"/>
      <c r="U9266" s="222"/>
    </row>
    <row r="9267" spans="2:21" x14ac:dyDescent="0.2">
      <c r="B9267" s="207"/>
      <c r="C9267" s="210"/>
      <c r="D9267" s="211"/>
      <c r="E9267" s="211"/>
      <c r="U9267" s="222"/>
    </row>
    <row r="9268" spans="2:21" x14ac:dyDescent="0.2">
      <c r="B9268" s="207"/>
      <c r="C9268" s="210"/>
      <c r="D9268" s="211"/>
      <c r="E9268" s="211"/>
      <c r="U9268" s="222"/>
    </row>
    <row r="9269" spans="2:21" x14ac:dyDescent="0.2">
      <c r="B9269" s="207"/>
      <c r="C9269" s="210"/>
      <c r="D9269" s="211"/>
      <c r="E9269" s="211"/>
      <c r="U9269" s="222"/>
    </row>
    <row r="9270" spans="2:21" x14ac:dyDescent="0.2">
      <c r="B9270" s="207"/>
      <c r="C9270" s="210"/>
      <c r="D9270" s="211"/>
      <c r="E9270" s="211"/>
      <c r="U9270" s="222"/>
    </row>
    <row r="9271" spans="2:21" x14ac:dyDescent="0.2">
      <c r="B9271" s="207"/>
      <c r="C9271" s="210"/>
      <c r="D9271" s="211"/>
      <c r="E9271" s="211"/>
      <c r="U9271" s="222"/>
    </row>
    <row r="9272" spans="2:21" x14ac:dyDescent="0.2">
      <c r="B9272" s="207"/>
      <c r="C9272" s="210"/>
      <c r="D9272" s="211"/>
      <c r="E9272" s="211"/>
      <c r="U9272" s="222"/>
    </row>
    <row r="9273" spans="2:21" x14ac:dyDescent="0.2">
      <c r="B9273" s="207"/>
      <c r="C9273" s="210"/>
      <c r="D9273" s="211"/>
      <c r="E9273" s="211"/>
      <c r="U9273" s="222"/>
    </row>
    <row r="9274" spans="2:21" x14ac:dyDescent="0.2">
      <c r="B9274" s="207"/>
      <c r="C9274" s="210"/>
      <c r="D9274" s="211"/>
      <c r="E9274" s="211"/>
      <c r="U9274" s="222"/>
    </row>
    <row r="9275" spans="2:21" x14ac:dyDescent="0.2">
      <c r="B9275" s="207"/>
      <c r="C9275" s="210"/>
      <c r="D9275" s="211"/>
      <c r="E9275" s="211"/>
      <c r="U9275" s="222"/>
    </row>
    <row r="9276" spans="2:21" x14ac:dyDescent="0.2">
      <c r="B9276" s="207"/>
      <c r="C9276" s="210"/>
      <c r="D9276" s="211"/>
      <c r="E9276" s="211"/>
      <c r="U9276" s="222"/>
    </row>
    <row r="9277" spans="2:21" x14ac:dyDescent="0.2">
      <c r="B9277" s="207"/>
      <c r="C9277" s="210"/>
      <c r="D9277" s="211"/>
      <c r="E9277" s="211"/>
      <c r="U9277" s="222"/>
    </row>
    <row r="9278" spans="2:21" x14ac:dyDescent="0.2">
      <c r="B9278" s="207"/>
      <c r="C9278" s="210"/>
      <c r="D9278" s="211"/>
      <c r="E9278" s="211"/>
      <c r="U9278" s="222"/>
    </row>
    <row r="9279" spans="2:21" x14ac:dyDescent="0.2">
      <c r="B9279" s="207"/>
      <c r="C9279" s="210"/>
      <c r="D9279" s="211"/>
      <c r="E9279" s="211"/>
      <c r="U9279" s="222"/>
    </row>
    <row r="9280" spans="2:21" x14ac:dyDescent="0.2">
      <c r="B9280" s="207"/>
      <c r="C9280" s="210"/>
      <c r="D9280" s="211"/>
      <c r="E9280" s="211"/>
      <c r="U9280" s="222"/>
    </row>
    <row r="9281" spans="2:21" x14ac:dyDescent="0.2">
      <c r="B9281" s="207"/>
      <c r="C9281" s="210"/>
      <c r="D9281" s="211"/>
      <c r="E9281" s="211"/>
      <c r="U9281" s="222"/>
    </row>
    <row r="9282" spans="2:21" x14ac:dyDescent="0.2">
      <c r="B9282" s="207"/>
      <c r="C9282" s="210"/>
      <c r="D9282" s="211"/>
      <c r="E9282" s="211"/>
      <c r="U9282" s="222"/>
    </row>
    <row r="9283" spans="2:21" x14ac:dyDescent="0.2">
      <c r="B9283" s="207"/>
      <c r="C9283" s="210"/>
      <c r="D9283" s="211"/>
      <c r="E9283" s="211"/>
      <c r="U9283" s="222"/>
    </row>
    <row r="9284" spans="2:21" x14ac:dyDescent="0.2">
      <c r="B9284" s="207"/>
      <c r="C9284" s="210"/>
      <c r="D9284" s="211"/>
      <c r="E9284" s="211"/>
      <c r="U9284" s="222"/>
    </row>
    <row r="9285" spans="2:21" x14ac:dyDescent="0.2">
      <c r="B9285" s="207"/>
      <c r="C9285" s="210"/>
      <c r="D9285" s="211"/>
      <c r="E9285" s="211"/>
      <c r="U9285" s="222"/>
    </row>
    <row r="9286" spans="2:21" x14ac:dyDescent="0.2">
      <c r="B9286" s="207"/>
      <c r="C9286" s="210"/>
      <c r="D9286" s="211"/>
      <c r="E9286" s="211"/>
      <c r="U9286" s="222"/>
    </row>
    <row r="9287" spans="2:21" x14ac:dyDescent="0.2">
      <c r="B9287" s="207"/>
      <c r="C9287" s="210"/>
      <c r="D9287" s="211"/>
      <c r="E9287" s="211"/>
      <c r="U9287" s="222"/>
    </row>
    <row r="9288" spans="2:21" x14ac:dyDescent="0.2">
      <c r="B9288" s="207"/>
      <c r="C9288" s="210"/>
      <c r="D9288" s="211"/>
      <c r="E9288" s="211"/>
      <c r="U9288" s="222"/>
    </row>
    <row r="9289" spans="2:21" x14ac:dyDescent="0.2">
      <c r="B9289" s="207"/>
      <c r="C9289" s="210"/>
      <c r="D9289" s="211"/>
      <c r="E9289" s="211"/>
      <c r="U9289" s="222"/>
    </row>
    <row r="9290" spans="2:21" x14ac:dyDescent="0.2">
      <c r="B9290" s="207"/>
      <c r="C9290" s="210"/>
      <c r="D9290" s="211"/>
      <c r="E9290" s="211"/>
      <c r="U9290" s="222"/>
    </row>
    <row r="9291" spans="2:21" x14ac:dyDescent="0.2">
      <c r="B9291" s="207"/>
      <c r="C9291" s="210"/>
      <c r="D9291" s="211"/>
      <c r="E9291" s="211"/>
      <c r="U9291" s="222"/>
    </row>
    <row r="9292" spans="2:21" x14ac:dyDescent="0.2">
      <c r="B9292" s="207"/>
      <c r="C9292" s="210"/>
      <c r="D9292" s="211"/>
      <c r="E9292" s="211"/>
      <c r="U9292" s="222"/>
    </row>
    <row r="9293" spans="2:21" x14ac:dyDescent="0.2">
      <c r="B9293" s="207"/>
      <c r="C9293" s="210"/>
      <c r="D9293" s="211"/>
      <c r="E9293" s="211"/>
      <c r="U9293" s="222"/>
    </row>
    <row r="9294" spans="2:21" x14ac:dyDescent="0.2">
      <c r="B9294" s="207"/>
      <c r="C9294" s="210"/>
      <c r="D9294" s="211"/>
      <c r="E9294" s="211"/>
      <c r="U9294" s="222"/>
    </row>
    <row r="9295" spans="2:21" x14ac:dyDescent="0.2">
      <c r="B9295" s="207"/>
      <c r="C9295" s="210"/>
      <c r="D9295" s="211"/>
      <c r="E9295" s="211"/>
      <c r="U9295" s="222"/>
    </row>
    <row r="9296" spans="2:21" x14ac:dyDescent="0.2">
      <c r="B9296" s="207"/>
      <c r="C9296" s="210"/>
      <c r="D9296" s="211"/>
      <c r="E9296" s="211"/>
      <c r="U9296" s="222"/>
    </row>
    <row r="9297" spans="2:21" x14ac:dyDescent="0.2">
      <c r="B9297" s="207"/>
      <c r="C9297" s="210"/>
      <c r="D9297" s="211"/>
      <c r="E9297" s="211"/>
      <c r="U9297" s="222"/>
    </row>
    <row r="9298" spans="2:21" x14ac:dyDescent="0.2">
      <c r="B9298" s="207"/>
      <c r="C9298" s="210"/>
      <c r="D9298" s="211"/>
      <c r="E9298" s="211"/>
      <c r="U9298" s="222"/>
    </row>
    <row r="9299" spans="2:21" x14ac:dyDescent="0.2">
      <c r="B9299" s="207"/>
      <c r="C9299" s="210"/>
      <c r="D9299" s="211"/>
      <c r="E9299" s="211"/>
      <c r="U9299" s="222"/>
    </row>
    <row r="9300" spans="2:21" x14ac:dyDescent="0.2">
      <c r="B9300" s="207"/>
      <c r="C9300" s="210"/>
      <c r="D9300" s="211"/>
      <c r="E9300" s="211"/>
      <c r="U9300" s="222"/>
    </row>
    <row r="9301" spans="2:21" x14ac:dyDescent="0.2">
      <c r="B9301" s="207"/>
      <c r="C9301" s="210"/>
      <c r="D9301" s="211"/>
      <c r="E9301" s="211"/>
      <c r="U9301" s="222"/>
    </row>
    <row r="9302" spans="2:21" x14ac:dyDescent="0.2">
      <c r="B9302" s="207"/>
      <c r="C9302" s="210"/>
      <c r="D9302" s="211"/>
      <c r="E9302" s="211"/>
      <c r="U9302" s="222"/>
    </row>
    <row r="9303" spans="2:21" x14ac:dyDescent="0.2">
      <c r="B9303" s="207"/>
      <c r="C9303" s="210"/>
      <c r="D9303" s="211"/>
      <c r="E9303" s="211"/>
      <c r="U9303" s="222"/>
    </row>
    <row r="9304" spans="2:21" x14ac:dyDescent="0.2">
      <c r="B9304" s="207"/>
      <c r="C9304" s="210"/>
      <c r="D9304" s="211"/>
      <c r="E9304" s="211"/>
      <c r="U9304" s="222"/>
    </row>
    <row r="9305" spans="2:21" x14ac:dyDescent="0.2">
      <c r="B9305" s="207"/>
      <c r="C9305" s="210"/>
      <c r="D9305" s="211"/>
      <c r="E9305" s="211"/>
      <c r="U9305" s="222"/>
    </row>
    <row r="9306" spans="2:21" x14ac:dyDescent="0.2">
      <c r="B9306" s="207"/>
      <c r="C9306" s="210"/>
      <c r="D9306" s="211"/>
      <c r="E9306" s="211"/>
      <c r="U9306" s="222"/>
    </row>
    <row r="9307" spans="2:21" x14ac:dyDescent="0.2">
      <c r="B9307" s="207"/>
      <c r="C9307" s="210"/>
      <c r="D9307" s="211"/>
      <c r="E9307" s="211"/>
      <c r="U9307" s="222"/>
    </row>
    <row r="9308" spans="2:21" x14ac:dyDescent="0.2">
      <c r="B9308" s="207"/>
      <c r="C9308" s="210"/>
      <c r="D9308" s="211"/>
      <c r="E9308" s="211"/>
      <c r="U9308" s="222"/>
    </row>
    <row r="9309" spans="2:21" x14ac:dyDescent="0.2">
      <c r="B9309" s="207"/>
      <c r="C9309" s="210"/>
      <c r="D9309" s="211"/>
      <c r="E9309" s="211"/>
      <c r="U9309" s="222"/>
    </row>
    <row r="9310" spans="2:21" x14ac:dyDescent="0.2">
      <c r="B9310" s="207"/>
      <c r="C9310" s="210"/>
      <c r="D9310" s="211"/>
      <c r="E9310" s="211"/>
      <c r="U9310" s="222"/>
    </row>
    <row r="9311" spans="2:21" x14ac:dyDescent="0.2">
      <c r="B9311" s="207"/>
      <c r="C9311" s="210"/>
      <c r="D9311" s="211"/>
      <c r="E9311" s="211"/>
      <c r="U9311" s="222"/>
    </row>
    <row r="9312" spans="2:21" x14ac:dyDescent="0.2">
      <c r="B9312" s="207"/>
      <c r="C9312" s="210"/>
      <c r="D9312" s="211"/>
      <c r="E9312" s="211"/>
      <c r="U9312" s="222"/>
    </row>
    <row r="9313" spans="2:21" x14ac:dyDescent="0.2">
      <c r="B9313" s="207"/>
      <c r="C9313" s="210"/>
      <c r="D9313" s="211"/>
      <c r="E9313" s="211"/>
      <c r="U9313" s="222"/>
    </row>
    <row r="9314" spans="2:21" x14ac:dyDescent="0.2">
      <c r="B9314" s="207"/>
      <c r="C9314" s="210"/>
      <c r="D9314" s="211"/>
      <c r="E9314" s="211"/>
      <c r="U9314" s="222"/>
    </row>
    <row r="9315" spans="2:21" x14ac:dyDescent="0.2">
      <c r="B9315" s="207"/>
      <c r="C9315" s="210"/>
      <c r="D9315" s="211"/>
      <c r="E9315" s="211"/>
      <c r="U9315" s="222"/>
    </row>
    <row r="9316" spans="2:21" x14ac:dyDescent="0.2">
      <c r="B9316" s="207"/>
      <c r="C9316" s="210"/>
      <c r="D9316" s="211"/>
      <c r="E9316" s="211"/>
      <c r="U9316" s="222"/>
    </row>
    <row r="9317" spans="2:21" x14ac:dyDescent="0.2">
      <c r="B9317" s="207"/>
      <c r="C9317" s="210"/>
      <c r="D9317" s="211"/>
      <c r="E9317" s="211"/>
      <c r="U9317" s="222"/>
    </row>
    <row r="9318" spans="2:21" x14ac:dyDescent="0.2">
      <c r="B9318" s="207"/>
      <c r="C9318" s="210"/>
      <c r="D9318" s="211"/>
      <c r="E9318" s="211"/>
      <c r="U9318" s="222"/>
    </row>
    <row r="9319" spans="2:21" x14ac:dyDescent="0.2">
      <c r="B9319" s="207"/>
      <c r="C9319" s="210"/>
      <c r="D9319" s="211"/>
      <c r="E9319" s="211"/>
      <c r="U9319" s="222"/>
    </row>
    <row r="9320" spans="2:21" x14ac:dyDescent="0.2">
      <c r="B9320" s="207"/>
      <c r="C9320" s="210"/>
      <c r="D9320" s="211"/>
      <c r="E9320" s="211"/>
      <c r="U9320" s="222"/>
    </row>
    <row r="9321" spans="2:21" x14ac:dyDescent="0.2">
      <c r="B9321" s="207"/>
      <c r="C9321" s="210"/>
      <c r="D9321" s="211"/>
      <c r="E9321" s="211"/>
      <c r="U9321" s="222"/>
    </row>
    <row r="9322" spans="2:21" x14ac:dyDescent="0.2">
      <c r="B9322" s="207"/>
      <c r="C9322" s="210"/>
      <c r="D9322" s="211"/>
      <c r="E9322" s="211"/>
      <c r="U9322" s="222"/>
    </row>
    <row r="9323" spans="2:21" x14ac:dyDescent="0.2">
      <c r="B9323" s="207"/>
      <c r="C9323" s="210"/>
      <c r="D9323" s="211"/>
      <c r="E9323" s="211"/>
      <c r="U9323" s="222"/>
    </row>
    <row r="9324" spans="2:21" x14ac:dyDescent="0.2">
      <c r="B9324" s="207"/>
      <c r="C9324" s="210"/>
      <c r="D9324" s="211"/>
      <c r="E9324" s="211"/>
      <c r="U9324" s="222"/>
    </row>
    <row r="9325" spans="2:21" x14ac:dyDescent="0.2">
      <c r="B9325" s="207"/>
      <c r="C9325" s="210"/>
      <c r="D9325" s="211"/>
      <c r="E9325" s="211"/>
      <c r="U9325" s="222"/>
    </row>
    <row r="9326" spans="2:21" x14ac:dyDescent="0.2">
      <c r="B9326" s="207"/>
      <c r="C9326" s="210"/>
      <c r="D9326" s="211"/>
      <c r="E9326" s="211"/>
      <c r="U9326" s="222"/>
    </row>
    <row r="9327" spans="2:21" x14ac:dyDescent="0.2">
      <c r="B9327" s="207"/>
      <c r="C9327" s="210"/>
      <c r="D9327" s="211"/>
      <c r="E9327" s="211"/>
      <c r="U9327" s="222"/>
    </row>
    <row r="9328" spans="2:21" x14ac:dyDescent="0.2">
      <c r="B9328" s="207"/>
      <c r="C9328" s="210"/>
      <c r="D9328" s="211"/>
      <c r="E9328" s="211"/>
      <c r="U9328" s="222"/>
    </row>
    <row r="9329" spans="2:21" x14ac:dyDescent="0.2">
      <c r="B9329" s="207"/>
      <c r="C9329" s="210"/>
      <c r="D9329" s="211"/>
      <c r="E9329" s="211"/>
      <c r="U9329" s="222"/>
    </row>
    <row r="9330" spans="2:21" x14ac:dyDescent="0.2">
      <c r="B9330" s="207"/>
      <c r="C9330" s="210"/>
      <c r="D9330" s="211"/>
      <c r="E9330" s="211"/>
      <c r="U9330" s="222"/>
    </row>
    <row r="9331" spans="2:21" x14ac:dyDescent="0.2">
      <c r="B9331" s="207"/>
      <c r="C9331" s="210"/>
      <c r="D9331" s="211"/>
      <c r="E9331" s="211"/>
      <c r="U9331" s="222"/>
    </row>
    <row r="9332" spans="2:21" x14ac:dyDescent="0.2">
      <c r="B9332" s="207"/>
      <c r="C9332" s="210"/>
      <c r="D9332" s="211"/>
      <c r="E9332" s="211"/>
      <c r="U9332" s="222"/>
    </row>
    <row r="9333" spans="2:21" x14ac:dyDescent="0.2">
      <c r="B9333" s="207"/>
      <c r="C9333" s="210"/>
      <c r="D9333" s="211"/>
      <c r="E9333" s="211"/>
      <c r="U9333" s="222"/>
    </row>
    <row r="9334" spans="2:21" x14ac:dyDescent="0.2">
      <c r="B9334" s="207"/>
      <c r="C9334" s="210"/>
      <c r="D9334" s="211"/>
      <c r="E9334" s="211"/>
      <c r="U9334" s="222"/>
    </row>
    <row r="9335" spans="2:21" x14ac:dyDescent="0.2">
      <c r="B9335" s="207"/>
      <c r="C9335" s="210"/>
      <c r="D9335" s="211"/>
      <c r="E9335" s="211"/>
      <c r="U9335" s="222"/>
    </row>
    <row r="9336" spans="2:21" x14ac:dyDescent="0.2">
      <c r="B9336" s="207"/>
      <c r="C9336" s="210"/>
      <c r="D9336" s="211"/>
      <c r="E9336" s="211"/>
      <c r="U9336" s="222"/>
    </row>
    <row r="9337" spans="2:21" x14ac:dyDescent="0.2">
      <c r="B9337" s="207"/>
      <c r="C9337" s="210"/>
      <c r="D9337" s="211"/>
      <c r="E9337" s="211"/>
      <c r="U9337" s="222"/>
    </row>
    <row r="9338" spans="2:21" x14ac:dyDescent="0.2">
      <c r="B9338" s="207"/>
      <c r="C9338" s="210"/>
      <c r="D9338" s="211"/>
      <c r="E9338" s="211"/>
      <c r="U9338" s="222"/>
    </row>
    <row r="9339" spans="2:21" x14ac:dyDescent="0.2">
      <c r="B9339" s="207"/>
      <c r="C9339" s="210"/>
      <c r="D9339" s="211"/>
      <c r="E9339" s="211"/>
      <c r="U9339" s="222"/>
    </row>
    <row r="9340" spans="2:21" x14ac:dyDescent="0.2">
      <c r="B9340" s="207"/>
      <c r="C9340" s="210"/>
      <c r="D9340" s="211"/>
      <c r="E9340" s="211"/>
      <c r="U9340" s="222"/>
    </row>
    <row r="9341" spans="2:21" x14ac:dyDescent="0.2">
      <c r="B9341" s="207"/>
      <c r="C9341" s="210"/>
      <c r="D9341" s="211"/>
      <c r="E9341" s="211"/>
      <c r="U9341" s="222"/>
    </row>
    <row r="9342" spans="2:21" x14ac:dyDescent="0.2">
      <c r="B9342" s="207"/>
      <c r="C9342" s="210"/>
      <c r="D9342" s="211"/>
      <c r="E9342" s="211"/>
      <c r="U9342" s="222"/>
    </row>
    <row r="9343" spans="2:21" x14ac:dyDescent="0.2">
      <c r="B9343" s="207"/>
      <c r="C9343" s="210"/>
      <c r="D9343" s="211"/>
      <c r="E9343" s="211"/>
      <c r="U9343" s="222"/>
    </row>
    <row r="9344" spans="2:21" x14ac:dyDescent="0.2">
      <c r="B9344" s="207"/>
      <c r="C9344" s="210"/>
      <c r="D9344" s="211"/>
      <c r="E9344" s="211"/>
      <c r="U9344" s="222"/>
    </row>
    <row r="9345" spans="2:21" x14ac:dyDescent="0.2">
      <c r="B9345" s="207"/>
      <c r="C9345" s="210"/>
      <c r="D9345" s="211"/>
      <c r="E9345" s="211"/>
      <c r="U9345" s="222"/>
    </row>
    <row r="9346" spans="2:21" x14ac:dyDescent="0.2">
      <c r="B9346" s="207"/>
      <c r="C9346" s="210"/>
      <c r="D9346" s="211"/>
      <c r="E9346" s="211"/>
      <c r="U9346" s="222"/>
    </row>
    <row r="9347" spans="2:21" x14ac:dyDescent="0.2">
      <c r="B9347" s="207"/>
      <c r="C9347" s="210"/>
      <c r="D9347" s="211"/>
      <c r="E9347" s="211"/>
      <c r="U9347" s="222"/>
    </row>
    <row r="9348" spans="2:21" x14ac:dyDescent="0.2">
      <c r="B9348" s="207"/>
      <c r="C9348" s="210"/>
      <c r="D9348" s="211"/>
      <c r="E9348" s="211"/>
      <c r="U9348" s="222"/>
    </row>
    <row r="9349" spans="2:21" x14ac:dyDescent="0.2">
      <c r="B9349" s="207"/>
      <c r="C9349" s="210"/>
      <c r="D9349" s="211"/>
      <c r="E9349" s="211"/>
      <c r="U9349" s="222"/>
    </row>
    <row r="9350" spans="2:21" x14ac:dyDescent="0.2">
      <c r="B9350" s="207"/>
      <c r="C9350" s="210"/>
      <c r="D9350" s="211"/>
      <c r="E9350" s="211"/>
      <c r="U9350" s="222"/>
    </row>
    <row r="9351" spans="2:21" x14ac:dyDescent="0.2">
      <c r="B9351" s="207"/>
      <c r="C9351" s="210"/>
      <c r="D9351" s="211"/>
      <c r="E9351" s="211"/>
      <c r="U9351" s="222"/>
    </row>
    <row r="9352" spans="2:21" x14ac:dyDescent="0.2">
      <c r="B9352" s="207"/>
      <c r="C9352" s="210"/>
      <c r="D9352" s="211"/>
      <c r="E9352" s="211"/>
      <c r="U9352" s="222"/>
    </row>
    <row r="9353" spans="2:21" x14ac:dyDescent="0.2">
      <c r="B9353" s="207"/>
      <c r="C9353" s="210"/>
      <c r="D9353" s="211"/>
      <c r="E9353" s="211"/>
      <c r="U9353" s="222"/>
    </row>
    <row r="9354" spans="2:21" x14ac:dyDescent="0.2">
      <c r="B9354" s="207"/>
      <c r="C9354" s="210"/>
      <c r="D9354" s="211"/>
      <c r="E9354" s="211"/>
      <c r="U9354" s="222"/>
    </row>
    <row r="9355" spans="2:21" x14ac:dyDescent="0.2">
      <c r="B9355" s="207"/>
      <c r="C9355" s="210"/>
      <c r="D9355" s="211"/>
      <c r="E9355" s="211"/>
      <c r="U9355" s="222"/>
    </row>
    <row r="9356" spans="2:21" x14ac:dyDescent="0.2">
      <c r="B9356" s="207"/>
      <c r="C9356" s="210"/>
      <c r="D9356" s="211"/>
      <c r="E9356" s="211"/>
      <c r="U9356" s="222"/>
    </row>
    <row r="9357" spans="2:21" x14ac:dyDescent="0.2">
      <c r="B9357" s="207"/>
      <c r="C9357" s="210"/>
      <c r="D9357" s="211"/>
      <c r="E9357" s="211"/>
      <c r="U9357" s="222"/>
    </row>
    <row r="9358" spans="2:21" x14ac:dyDescent="0.2">
      <c r="B9358" s="207"/>
      <c r="C9358" s="210"/>
      <c r="D9358" s="211"/>
      <c r="E9358" s="211"/>
      <c r="U9358" s="222"/>
    </row>
    <row r="9359" spans="2:21" x14ac:dyDescent="0.2">
      <c r="B9359" s="207"/>
      <c r="C9359" s="210"/>
      <c r="D9359" s="211"/>
      <c r="E9359" s="211"/>
      <c r="U9359" s="222"/>
    </row>
    <row r="9360" spans="2:21" x14ac:dyDescent="0.2">
      <c r="B9360" s="207"/>
      <c r="C9360" s="210"/>
      <c r="D9360" s="211"/>
      <c r="E9360" s="211"/>
      <c r="U9360" s="222"/>
    </row>
    <row r="9361" spans="2:21" x14ac:dyDescent="0.2">
      <c r="B9361" s="207"/>
      <c r="C9361" s="210"/>
      <c r="D9361" s="211"/>
      <c r="E9361" s="211"/>
      <c r="U9361" s="222"/>
    </row>
    <row r="9362" spans="2:21" x14ac:dyDescent="0.2">
      <c r="B9362" s="207"/>
      <c r="C9362" s="210"/>
      <c r="D9362" s="211"/>
      <c r="E9362" s="211"/>
      <c r="U9362" s="222"/>
    </row>
    <row r="9363" spans="2:21" x14ac:dyDescent="0.2">
      <c r="B9363" s="207"/>
      <c r="C9363" s="210"/>
      <c r="D9363" s="211"/>
      <c r="E9363" s="211"/>
      <c r="U9363" s="222"/>
    </row>
    <row r="9364" spans="2:21" x14ac:dyDescent="0.2">
      <c r="B9364" s="207"/>
      <c r="C9364" s="210"/>
      <c r="D9364" s="211"/>
      <c r="E9364" s="211"/>
      <c r="U9364" s="222"/>
    </row>
    <row r="9365" spans="2:21" x14ac:dyDescent="0.2">
      <c r="B9365" s="207"/>
      <c r="C9365" s="210"/>
      <c r="D9365" s="211"/>
      <c r="E9365" s="211"/>
      <c r="U9365" s="222"/>
    </row>
    <row r="9366" spans="2:21" x14ac:dyDescent="0.2">
      <c r="B9366" s="207"/>
      <c r="C9366" s="210"/>
      <c r="D9366" s="211"/>
      <c r="E9366" s="211"/>
      <c r="U9366" s="222"/>
    </row>
    <row r="9367" spans="2:21" x14ac:dyDescent="0.2">
      <c r="B9367" s="207"/>
      <c r="C9367" s="210"/>
      <c r="D9367" s="211"/>
      <c r="E9367" s="211"/>
      <c r="U9367" s="222"/>
    </row>
    <row r="9368" spans="2:21" x14ac:dyDescent="0.2">
      <c r="B9368" s="207"/>
      <c r="C9368" s="210"/>
      <c r="D9368" s="211"/>
      <c r="E9368" s="211"/>
      <c r="U9368" s="222"/>
    </row>
    <row r="9369" spans="2:21" x14ac:dyDescent="0.2">
      <c r="B9369" s="207"/>
      <c r="C9369" s="210"/>
      <c r="D9369" s="211"/>
      <c r="E9369" s="211"/>
      <c r="U9369" s="222"/>
    </row>
    <row r="9370" spans="2:21" x14ac:dyDescent="0.2">
      <c r="B9370" s="207"/>
      <c r="C9370" s="210"/>
      <c r="D9370" s="211"/>
      <c r="E9370" s="211"/>
      <c r="U9370" s="222"/>
    </row>
    <row r="9371" spans="2:21" x14ac:dyDescent="0.2">
      <c r="B9371" s="207"/>
      <c r="C9371" s="210"/>
      <c r="D9371" s="211"/>
      <c r="E9371" s="211"/>
      <c r="U9371" s="222"/>
    </row>
    <row r="9372" spans="2:21" x14ac:dyDescent="0.2">
      <c r="B9372" s="207"/>
      <c r="C9372" s="210"/>
      <c r="D9372" s="211"/>
      <c r="E9372" s="211"/>
      <c r="U9372" s="222"/>
    </row>
    <row r="9373" spans="2:21" x14ac:dyDescent="0.2">
      <c r="B9373" s="207"/>
      <c r="C9373" s="210"/>
      <c r="D9373" s="211"/>
      <c r="E9373" s="211"/>
      <c r="U9373" s="222"/>
    </row>
    <row r="9374" spans="2:21" x14ac:dyDescent="0.2">
      <c r="B9374" s="207"/>
      <c r="C9374" s="210"/>
      <c r="D9374" s="211"/>
      <c r="E9374" s="211"/>
      <c r="U9374" s="222"/>
    </row>
    <row r="9375" spans="2:21" x14ac:dyDescent="0.2">
      <c r="B9375" s="207"/>
      <c r="C9375" s="210"/>
      <c r="D9375" s="211"/>
      <c r="E9375" s="211"/>
      <c r="U9375" s="222"/>
    </row>
    <row r="9376" spans="2:21" x14ac:dyDescent="0.2">
      <c r="B9376" s="207"/>
      <c r="C9376" s="210"/>
      <c r="D9376" s="211"/>
      <c r="E9376" s="211"/>
      <c r="U9376" s="222"/>
    </row>
    <row r="9377" spans="2:21" x14ac:dyDescent="0.2">
      <c r="B9377" s="207"/>
      <c r="C9377" s="210"/>
      <c r="D9377" s="211"/>
      <c r="E9377" s="211"/>
      <c r="U9377" s="222"/>
    </row>
    <row r="9378" spans="2:21" x14ac:dyDescent="0.2">
      <c r="B9378" s="207"/>
      <c r="C9378" s="210"/>
      <c r="D9378" s="211"/>
      <c r="E9378" s="211"/>
      <c r="U9378" s="222"/>
    </row>
    <row r="9379" spans="2:21" x14ac:dyDescent="0.2">
      <c r="B9379" s="207"/>
      <c r="C9379" s="210"/>
      <c r="D9379" s="211"/>
      <c r="E9379" s="211"/>
      <c r="U9379" s="222"/>
    </row>
    <row r="9380" spans="2:21" x14ac:dyDescent="0.2">
      <c r="B9380" s="207"/>
      <c r="C9380" s="210"/>
      <c r="D9380" s="211"/>
      <c r="E9380" s="211"/>
      <c r="U9380" s="222"/>
    </row>
    <row r="9381" spans="2:21" x14ac:dyDescent="0.2">
      <c r="B9381" s="207"/>
      <c r="C9381" s="210"/>
      <c r="D9381" s="211"/>
      <c r="E9381" s="211"/>
      <c r="U9381" s="222"/>
    </row>
    <row r="9382" spans="2:21" x14ac:dyDescent="0.2">
      <c r="B9382" s="207"/>
      <c r="C9382" s="210"/>
      <c r="D9382" s="211"/>
      <c r="E9382" s="211"/>
      <c r="U9382" s="222"/>
    </row>
    <row r="9383" spans="2:21" x14ac:dyDescent="0.2">
      <c r="B9383" s="207"/>
      <c r="C9383" s="210"/>
      <c r="D9383" s="211"/>
      <c r="E9383" s="211"/>
      <c r="U9383" s="222"/>
    </row>
    <row r="9384" spans="2:21" x14ac:dyDescent="0.2">
      <c r="B9384" s="207"/>
      <c r="C9384" s="210"/>
      <c r="D9384" s="211"/>
      <c r="E9384" s="211"/>
      <c r="U9384" s="222"/>
    </row>
    <row r="9385" spans="2:21" x14ac:dyDescent="0.2">
      <c r="B9385" s="207"/>
      <c r="C9385" s="210"/>
      <c r="D9385" s="211"/>
      <c r="E9385" s="211"/>
      <c r="U9385" s="222"/>
    </row>
    <row r="9386" spans="2:21" x14ac:dyDescent="0.2">
      <c r="B9386" s="207"/>
      <c r="C9386" s="210"/>
      <c r="D9386" s="211"/>
      <c r="E9386" s="211"/>
      <c r="U9386" s="222"/>
    </row>
    <row r="9387" spans="2:21" x14ac:dyDescent="0.2">
      <c r="B9387" s="207"/>
      <c r="C9387" s="210"/>
      <c r="D9387" s="211"/>
      <c r="E9387" s="211"/>
      <c r="U9387" s="222"/>
    </row>
    <row r="9388" spans="2:21" x14ac:dyDescent="0.2">
      <c r="B9388" s="207"/>
      <c r="C9388" s="210"/>
      <c r="D9388" s="211"/>
      <c r="E9388" s="211"/>
      <c r="U9388" s="222"/>
    </row>
    <row r="9389" spans="2:21" x14ac:dyDescent="0.2">
      <c r="B9389" s="207"/>
      <c r="C9389" s="210"/>
      <c r="D9389" s="211"/>
      <c r="E9389" s="211"/>
      <c r="U9389" s="222"/>
    </row>
    <row r="9390" spans="2:21" x14ac:dyDescent="0.2">
      <c r="B9390" s="207"/>
      <c r="C9390" s="210"/>
      <c r="D9390" s="211"/>
      <c r="E9390" s="211"/>
      <c r="U9390" s="222"/>
    </row>
    <row r="9391" spans="2:21" x14ac:dyDescent="0.2">
      <c r="B9391" s="207"/>
      <c r="C9391" s="210"/>
      <c r="D9391" s="211"/>
      <c r="E9391" s="211"/>
      <c r="U9391" s="222"/>
    </row>
    <row r="9392" spans="2:21" x14ac:dyDescent="0.2">
      <c r="B9392" s="207"/>
      <c r="C9392" s="210"/>
      <c r="D9392" s="211"/>
      <c r="E9392" s="211"/>
      <c r="U9392" s="222"/>
    </row>
    <row r="9393" spans="2:21" x14ac:dyDescent="0.2">
      <c r="B9393" s="207"/>
      <c r="C9393" s="210"/>
      <c r="D9393" s="211"/>
      <c r="E9393" s="211"/>
      <c r="U9393" s="222"/>
    </row>
    <row r="9394" spans="2:21" x14ac:dyDescent="0.2">
      <c r="B9394" s="207"/>
      <c r="C9394" s="210"/>
      <c r="D9394" s="211"/>
      <c r="E9394" s="211"/>
      <c r="U9394" s="222"/>
    </row>
    <row r="9395" spans="2:21" x14ac:dyDescent="0.2">
      <c r="B9395" s="207"/>
      <c r="C9395" s="210"/>
      <c r="D9395" s="211"/>
      <c r="E9395" s="211"/>
      <c r="U9395" s="222"/>
    </row>
    <row r="9396" spans="2:21" x14ac:dyDescent="0.2">
      <c r="B9396" s="207"/>
      <c r="C9396" s="210"/>
      <c r="D9396" s="211"/>
      <c r="E9396" s="211"/>
      <c r="U9396" s="222"/>
    </row>
    <row r="9397" spans="2:21" x14ac:dyDescent="0.2">
      <c r="B9397" s="207"/>
      <c r="C9397" s="210"/>
      <c r="D9397" s="211"/>
      <c r="E9397" s="211"/>
      <c r="U9397" s="222"/>
    </row>
    <row r="9398" spans="2:21" x14ac:dyDescent="0.2">
      <c r="B9398" s="207"/>
      <c r="C9398" s="210"/>
      <c r="D9398" s="211"/>
      <c r="E9398" s="211"/>
      <c r="U9398" s="222"/>
    </row>
    <row r="9399" spans="2:21" x14ac:dyDescent="0.2">
      <c r="B9399" s="207"/>
      <c r="C9399" s="210"/>
      <c r="D9399" s="211"/>
      <c r="E9399" s="211"/>
      <c r="U9399" s="222"/>
    </row>
    <row r="9400" spans="2:21" x14ac:dyDescent="0.2">
      <c r="B9400" s="207"/>
      <c r="C9400" s="210"/>
      <c r="D9400" s="211"/>
      <c r="E9400" s="211"/>
      <c r="U9400" s="222"/>
    </row>
    <row r="9401" spans="2:21" x14ac:dyDescent="0.2">
      <c r="B9401" s="207"/>
      <c r="C9401" s="210"/>
      <c r="D9401" s="211"/>
      <c r="E9401" s="211"/>
      <c r="U9401" s="222"/>
    </row>
    <row r="9402" spans="2:21" x14ac:dyDescent="0.2">
      <c r="B9402" s="207"/>
      <c r="C9402" s="210"/>
      <c r="D9402" s="211"/>
      <c r="E9402" s="211"/>
      <c r="U9402" s="222"/>
    </row>
    <row r="9403" spans="2:21" x14ac:dyDescent="0.2">
      <c r="B9403" s="207"/>
      <c r="C9403" s="210"/>
      <c r="D9403" s="211"/>
      <c r="E9403" s="211"/>
      <c r="U9403" s="222"/>
    </row>
    <row r="9404" spans="2:21" x14ac:dyDescent="0.2">
      <c r="B9404" s="207"/>
      <c r="C9404" s="210"/>
      <c r="D9404" s="211"/>
      <c r="E9404" s="211"/>
      <c r="U9404" s="222"/>
    </row>
    <row r="9405" spans="2:21" x14ac:dyDescent="0.2">
      <c r="B9405" s="207"/>
      <c r="C9405" s="210"/>
      <c r="D9405" s="211"/>
      <c r="E9405" s="211"/>
      <c r="U9405" s="222"/>
    </row>
    <row r="9406" spans="2:21" x14ac:dyDescent="0.2">
      <c r="B9406" s="207"/>
      <c r="C9406" s="210"/>
      <c r="D9406" s="211"/>
      <c r="E9406" s="211"/>
      <c r="U9406" s="222"/>
    </row>
    <row r="9407" spans="2:21" x14ac:dyDescent="0.2">
      <c r="B9407" s="207"/>
      <c r="C9407" s="210"/>
      <c r="D9407" s="211"/>
      <c r="E9407" s="211"/>
      <c r="U9407" s="222"/>
    </row>
    <row r="9408" spans="2:21" x14ac:dyDescent="0.2">
      <c r="B9408" s="207"/>
      <c r="C9408" s="210"/>
      <c r="D9408" s="211"/>
      <c r="E9408" s="211"/>
      <c r="U9408" s="222"/>
    </row>
    <row r="9409" spans="2:21" x14ac:dyDescent="0.2">
      <c r="B9409" s="207"/>
      <c r="C9409" s="210"/>
      <c r="D9409" s="211"/>
      <c r="E9409" s="211"/>
      <c r="U9409" s="222"/>
    </row>
    <row r="9410" spans="2:21" x14ac:dyDescent="0.2">
      <c r="B9410" s="207"/>
      <c r="C9410" s="210"/>
      <c r="D9410" s="211"/>
      <c r="E9410" s="211"/>
      <c r="U9410" s="222"/>
    </row>
    <row r="9411" spans="2:21" x14ac:dyDescent="0.2">
      <c r="B9411" s="207"/>
      <c r="C9411" s="210"/>
      <c r="D9411" s="211"/>
      <c r="E9411" s="211"/>
      <c r="U9411" s="222"/>
    </row>
    <row r="9412" spans="2:21" x14ac:dyDescent="0.2">
      <c r="B9412" s="207"/>
      <c r="C9412" s="210"/>
      <c r="D9412" s="211"/>
      <c r="E9412" s="211"/>
      <c r="U9412" s="222"/>
    </row>
    <row r="9413" spans="2:21" x14ac:dyDescent="0.2">
      <c r="B9413" s="207"/>
      <c r="C9413" s="210"/>
      <c r="D9413" s="211"/>
      <c r="E9413" s="211"/>
      <c r="U9413" s="222"/>
    </row>
    <row r="9414" spans="2:21" x14ac:dyDescent="0.2">
      <c r="B9414" s="207"/>
      <c r="C9414" s="210"/>
      <c r="D9414" s="211"/>
      <c r="E9414" s="211"/>
      <c r="U9414" s="222"/>
    </row>
    <row r="9415" spans="2:21" x14ac:dyDescent="0.2">
      <c r="B9415" s="207"/>
      <c r="C9415" s="210"/>
      <c r="D9415" s="211"/>
      <c r="E9415" s="211"/>
      <c r="U9415" s="222"/>
    </row>
    <row r="9416" spans="2:21" x14ac:dyDescent="0.2">
      <c r="B9416" s="207"/>
      <c r="C9416" s="210"/>
      <c r="D9416" s="211"/>
      <c r="E9416" s="211"/>
      <c r="U9416" s="222"/>
    </row>
    <row r="9417" spans="2:21" x14ac:dyDescent="0.2">
      <c r="B9417" s="207"/>
      <c r="C9417" s="210"/>
      <c r="D9417" s="211"/>
      <c r="E9417" s="211"/>
      <c r="U9417" s="222"/>
    </row>
    <row r="9418" spans="2:21" x14ac:dyDescent="0.2">
      <c r="B9418" s="207"/>
      <c r="C9418" s="210"/>
      <c r="D9418" s="211"/>
      <c r="E9418" s="211"/>
      <c r="U9418" s="222"/>
    </row>
    <row r="9419" spans="2:21" x14ac:dyDescent="0.2">
      <c r="B9419" s="207"/>
      <c r="C9419" s="210"/>
      <c r="D9419" s="211"/>
      <c r="E9419" s="211"/>
      <c r="U9419" s="222"/>
    </row>
    <row r="9420" spans="2:21" x14ac:dyDescent="0.2">
      <c r="B9420" s="207"/>
      <c r="C9420" s="210"/>
      <c r="D9420" s="211"/>
      <c r="E9420" s="211"/>
      <c r="U9420" s="222"/>
    </row>
    <row r="9421" spans="2:21" x14ac:dyDescent="0.2">
      <c r="B9421" s="207"/>
      <c r="C9421" s="210"/>
      <c r="D9421" s="211"/>
      <c r="E9421" s="211"/>
      <c r="U9421" s="222"/>
    </row>
    <row r="9422" spans="2:21" x14ac:dyDescent="0.2">
      <c r="B9422" s="207"/>
      <c r="C9422" s="210"/>
      <c r="D9422" s="211"/>
      <c r="E9422" s="211"/>
      <c r="U9422" s="222"/>
    </row>
    <row r="9423" spans="2:21" x14ac:dyDescent="0.2">
      <c r="B9423" s="207"/>
      <c r="C9423" s="210"/>
      <c r="D9423" s="211"/>
      <c r="E9423" s="211"/>
      <c r="U9423" s="222"/>
    </row>
    <row r="9424" spans="2:21" x14ac:dyDescent="0.2">
      <c r="B9424" s="207"/>
      <c r="C9424" s="210"/>
      <c r="D9424" s="211"/>
      <c r="E9424" s="211"/>
      <c r="U9424" s="222"/>
    </row>
    <row r="9425" spans="2:21" x14ac:dyDescent="0.2">
      <c r="B9425" s="207"/>
      <c r="C9425" s="210"/>
      <c r="D9425" s="211"/>
      <c r="E9425" s="211"/>
      <c r="U9425" s="222"/>
    </row>
    <row r="9426" spans="2:21" x14ac:dyDescent="0.2">
      <c r="B9426" s="207"/>
      <c r="C9426" s="210"/>
      <c r="D9426" s="211"/>
      <c r="E9426" s="211"/>
      <c r="U9426" s="222"/>
    </row>
    <row r="9427" spans="2:21" x14ac:dyDescent="0.2">
      <c r="B9427" s="207"/>
      <c r="C9427" s="210"/>
      <c r="D9427" s="211"/>
      <c r="E9427" s="211"/>
      <c r="U9427" s="222"/>
    </row>
    <row r="9428" spans="2:21" x14ac:dyDescent="0.2">
      <c r="B9428" s="207"/>
      <c r="C9428" s="210"/>
      <c r="D9428" s="211"/>
      <c r="E9428" s="211"/>
      <c r="U9428" s="222"/>
    </row>
    <row r="9429" spans="2:21" x14ac:dyDescent="0.2">
      <c r="B9429" s="207"/>
      <c r="C9429" s="210"/>
      <c r="D9429" s="211"/>
      <c r="E9429" s="211"/>
      <c r="U9429" s="222"/>
    </row>
    <row r="9430" spans="2:21" x14ac:dyDescent="0.2">
      <c r="B9430" s="207"/>
      <c r="C9430" s="210"/>
      <c r="D9430" s="211"/>
      <c r="E9430" s="211"/>
      <c r="U9430" s="222"/>
    </row>
    <row r="9431" spans="2:21" x14ac:dyDescent="0.2">
      <c r="B9431" s="207"/>
      <c r="C9431" s="210"/>
      <c r="D9431" s="211"/>
      <c r="E9431" s="211"/>
      <c r="U9431" s="222"/>
    </row>
    <row r="9432" spans="2:21" x14ac:dyDescent="0.2">
      <c r="B9432" s="207"/>
      <c r="C9432" s="210"/>
      <c r="D9432" s="211"/>
      <c r="E9432" s="211"/>
      <c r="U9432" s="222"/>
    </row>
    <row r="9433" spans="2:21" x14ac:dyDescent="0.2">
      <c r="B9433" s="207"/>
      <c r="C9433" s="210"/>
      <c r="D9433" s="211"/>
      <c r="E9433" s="211"/>
      <c r="U9433" s="222"/>
    </row>
    <row r="9434" spans="2:21" x14ac:dyDescent="0.2">
      <c r="B9434" s="207"/>
      <c r="C9434" s="210"/>
      <c r="D9434" s="211"/>
      <c r="E9434" s="211"/>
      <c r="U9434" s="222"/>
    </row>
    <row r="9435" spans="2:21" x14ac:dyDescent="0.2">
      <c r="B9435" s="207"/>
      <c r="C9435" s="210"/>
      <c r="D9435" s="211"/>
      <c r="E9435" s="211"/>
      <c r="U9435" s="222"/>
    </row>
    <row r="9436" spans="2:21" x14ac:dyDescent="0.2">
      <c r="B9436" s="207"/>
      <c r="C9436" s="210"/>
      <c r="D9436" s="211"/>
      <c r="E9436" s="211"/>
      <c r="U9436" s="222"/>
    </row>
    <row r="9437" spans="2:21" x14ac:dyDescent="0.2">
      <c r="B9437" s="207"/>
      <c r="C9437" s="210"/>
      <c r="D9437" s="211"/>
      <c r="E9437" s="211"/>
      <c r="U9437" s="222"/>
    </row>
    <row r="9438" spans="2:21" x14ac:dyDescent="0.2">
      <c r="B9438" s="207"/>
      <c r="C9438" s="210"/>
      <c r="D9438" s="211"/>
      <c r="E9438" s="211"/>
      <c r="U9438" s="222"/>
    </row>
    <row r="9439" spans="2:21" x14ac:dyDescent="0.2">
      <c r="B9439" s="207"/>
      <c r="C9439" s="210"/>
      <c r="D9439" s="211"/>
      <c r="E9439" s="211"/>
      <c r="U9439" s="222"/>
    </row>
    <row r="9440" spans="2:21" x14ac:dyDescent="0.2">
      <c r="B9440" s="207"/>
      <c r="C9440" s="210"/>
      <c r="D9440" s="211"/>
      <c r="E9440" s="211"/>
      <c r="U9440" s="222"/>
    </row>
    <row r="9441" spans="2:21" x14ac:dyDescent="0.2">
      <c r="B9441" s="207"/>
      <c r="C9441" s="210"/>
      <c r="D9441" s="211"/>
      <c r="E9441" s="211"/>
      <c r="U9441" s="222"/>
    </row>
    <row r="9442" spans="2:21" x14ac:dyDescent="0.2">
      <c r="B9442" s="207"/>
      <c r="C9442" s="210"/>
      <c r="D9442" s="211"/>
      <c r="E9442" s="211"/>
      <c r="U9442" s="222"/>
    </row>
    <row r="9443" spans="2:21" x14ac:dyDescent="0.2">
      <c r="B9443" s="207"/>
      <c r="C9443" s="210"/>
      <c r="D9443" s="211"/>
      <c r="E9443" s="211"/>
      <c r="U9443" s="222"/>
    </row>
    <row r="9444" spans="2:21" x14ac:dyDescent="0.2">
      <c r="B9444" s="207"/>
      <c r="C9444" s="210"/>
      <c r="D9444" s="211"/>
      <c r="E9444" s="211"/>
      <c r="U9444" s="222"/>
    </row>
    <row r="9445" spans="2:21" x14ac:dyDescent="0.2">
      <c r="B9445" s="207"/>
      <c r="C9445" s="210"/>
      <c r="D9445" s="211"/>
      <c r="E9445" s="211"/>
      <c r="U9445" s="222"/>
    </row>
    <row r="9446" spans="2:21" x14ac:dyDescent="0.2">
      <c r="B9446" s="207"/>
      <c r="C9446" s="210"/>
      <c r="D9446" s="211"/>
      <c r="E9446" s="211"/>
      <c r="U9446" s="222"/>
    </row>
    <row r="9447" spans="2:21" x14ac:dyDescent="0.2">
      <c r="B9447" s="207"/>
      <c r="C9447" s="210"/>
      <c r="D9447" s="211"/>
      <c r="E9447" s="211"/>
      <c r="U9447" s="222"/>
    </row>
    <row r="9448" spans="2:21" x14ac:dyDescent="0.2">
      <c r="B9448" s="207"/>
      <c r="C9448" s="210"/>
      <c r="D9448" s="211"/>
      <c r="E9448" s="211"/>
      <c r="U9448" s="222"/>
    </row>
    <row r="9449" spans="2:21" x14ac:dyDescent="0.2">
      <c r="B9449" s="207"/>
      <c r="C9449" s="210"/>
      <c r="D9449" s="211"/>
      <c r="E9449" s="211"/>
      <c r="U9449" s="222"/>
    </row>
    <row r="9450" spans="2:21" x14ac:dyDescent="0.2">
      <c r="B9450" s="207"/>
      <c r="C9450" s="210"/>
      <c r="D9450" s="211"/>
      <c r="E9450" s="211"/>
      <c r="U9450" s="222"/>
    </row>
    <row r="9451" spans="2:21" x14ac:dyDescent="0.2">
      <c r="B9451" s="207"/>
      <c r="C9451" s="210"/>
      <c r="D9451" s="211"/>
      <c r="E9451" s="211"/>
      <c r="U9451" s="222"/>
    </row>
    <row r="9452" spans="2:21" x14ac:dyDescent="0.2">
      <c r="B9452" s="207"/>
      <c r="C9452" s="210"/>
      <c r="D9452" s="211"/>
      <c r="E9452" s="211"/>
      <c r="U9452" s="222"/>
    </row>
    <row r="9453" spans="2:21" x14ac:dyDescent="0.2">
      <c r="B9453" s="207"/>
      <c r="C9453" s="210"/>
      <c r="D9453" s="211"/>
      <c r="E9453" s="211"/>
      <c r="U9453" s="222"/>
    </row>
    <row r="9454" spans="2:21" x14ac:dyDescent="0.2">
      <c r="B9454" s="207"/>
      <c r="C9454" s="210"/>
      <c r="D9454" s="211"/>
      <c r="E9454" s="211"/>
      <c r="U9454" s="222"/>
    </row>
    <row r="9455" spans="2:21" x14ac:dyDescent="0.2">
      <c r="B9455" s="207"/>
      <c r="C9455" s="210"/>
      <c r="D9455" s="211"/>
      <c r="E9455" s="211"/>
      <c r="U9455" s="222"/>
    </row>
    <row r="9456" spans="2:21" x14ac:dyDescent="0.2">
      <c r="B9456" s="207"/>
      <c r="C9456" s="210"/>
      <c r="D9456" s="211"/>
      <c r="E9456" s="211"/>
      <c r="U9456" s="222"/>
    </row>
    <row r="9457" spans="2:21" x14ac:dyDescent="0.2">
      <c r="B9457" s="207"/>
      <c r="C9457" s="210"/>
      <c r="D9457" s="211"/>
      <c r="E9457" s="211"/>
      <c r="U9457" s="222"/>
    </row>
    <row r="9458" spans="2:21" x14ac:dyDescent="0.2">
      <c r="B9458" s="207"/>
      <c r="C9458" s="210"/>
      <c r="D9458" s="211"/>
      <c r="E9458" s="211"/>
      <c r="U9458" s="222"/>
    </row>
    <row r="9459" spans="2:21" x14ac:dyDescent="0.2">
      <c r="B9459" s="207"/>
      <c r="C9459" s="210"/>
      <c r="D9459" s="211"/>
      <c r="E9459" s="211"/>
      <c r="U9459" s="222"/>
    </row>
    <row r="9460" spans="2:21" x14ac:dyDescent="0.2">
      <c r="B9460" s="207"/>
      <c r="C9460" s="210"/>
      <c r="D9460" s="211"/>
      <c r="E9460" s="211"/>
      <c r="U9460" s="222"/>
    </row>
    <row r="9461" spans="2:21" x14ac:dyDescent="0.2">
      <c r="B9461" s="207"/>
      <c r="C9461" s="210"/>
      <c r="D9461" s="211"/>
      <c r="E9461" s="211"/>
      <c r="U9461" s="222"/>
    </row>
    <row r="9462" spans="2:21" x14ac:dyDescent="0.2">
      <c r="B9462" s="207"/>
      <c r="C9462" s="210"/>
      <c r="D9462" s="211"/>
      <c r="E9462" s="211"/>
      <c r="U9462" s="222"/>
    </row>
    <row r="9463" spans="2:21" x14ac:dyDescent="0.2">
      <c r="B9463" s="207"/>
      <c r="C9463" s="210"/>
      <c r="D9463" s="211"/>
      <c r="E9463" s="211"/>
      <c r="U9463" s="222"/>
    </row>
    <row r="9464" spans="2:21" x14ac:dyDescent="0.2">
      <c r="B9464" s="207"/>
      <c r="C9464" s="210"/>
      <c r="D9464" s="211"/>
      <c r="E9464" s="211"/>
      <c r="U9464" s="222"/>
    </row>
    <row r="9465" spans="2:21" x14ac:dyDescent="0.2">
      <c r="B9465" s="207"/>
      <c r="C9465" s="210"/>
      <c r="D9465" s="211"/>
      <c r="E9465" s="211"/>
      <c r="U9465" s="222"/>
    </row>
    <row r="9466" spans="2:21" x14ac:dyDescent="0.2">
      <c r="B9466" s="207"/>
      <c r="C9466" s="210"/>
      <c r="D9466" s="211"/>
      <c r="E9466" s="211"/>
      <c r="U9466" s="222"/>
    </row>
    <row r="9467" spans="2:21" x14ac:dyDescent="0.2">
      <c r="B9467" s="207"/>
      <c r="C9467" s="210"/>
      <c r="D9467" s="211"/>
      <c r="E9467" s="211"/>
      <c r="U9467" s="222"/>
    </row>
    <row r="9468" spans="2:21" x14ac:dyDescent="0.2">
      <c r="B9468" s="207"/>
      <c r="C9468" s="210"/>
      <c r="D9468" s="211"/>
      <c r="E9468" s="211"/>
      <c r="U9468" s="222"/>
    </row>
    <row r="9469" spans="2:21" x14ac:dyDescent="0.2">
      <c r="B9469" s="207"/>
      <c r="C9469" s="210"/>
      <c r="D9469" s="211"/>
      <c r="E9469" s="211"/>
      <c r="U9469" s="222"/>
    </row>
    <row r="9470" spans="2:21" x14ac:dyDescent="0.2">
      <c r="B9470" s="207"/>
      <c r="C9470" s="210"/>
      <c r="D9470" s="211"/>
      <c r="E9470" s="211"/>
      <c r="U9470" s="222"/>
    </row>
    <row r="9471" spans="2:21" x14ac:dyDescent="0.2">
      <c r="B9471" s="207"/>
      <c r="C9471" s="210"/>
      <c r="D9471" s="211"/>
      <c r="E9471" s="211"/>
      <c r="U9471" s="222"/>
    </row>
    <row r="9472" spans="2:21" x14ac:dyDescent="0.2">
      <c r="B9472" s="207"/>
      <c r="C9472" s="210"/>
      <c r="D9472" s="211"/>
      <c r="E9472" s="211"/>
      <c r="U9472" s="222"/>
    </row>
    <row r="9473" spans="2:21" x14ac:dyDescent="0.2">
      <c r="B9473" s="207"/>
      <c r="C9473" s="210"/>
      <c r="D9473" s="211"/>
      <c r="E9473" s="211"/>
      <c r="U9473" s="222"/>
    </row>
    <row r="9474" spans="2:21" x14ac:dyDescent="0.2">
      <c r="B9474" s="207"/>
      <c r="C9474" s="210"/>
      <c r="D9474" s="211"/>
      <c r="E9474" s="211"/>
      <c r="U9474" s="222"/>
    </row>
    <row r="9475" spans="2:21" x14ac:dyDescent="0.2">
      <c r="B9475" s="207"/>
      <c r="C9475" s="210"/>
      <c r="D9475" s="211"/>
      <c r="E9475" s="211"/>
      <c r="U9475" s="222"/>
    </row>
    <row r="9476" spans="2:21" x14ac:dyDescent="0.2">
      <c r="B9476" s="207"/>
      <c r="C9476" s="210"/>
      <c r="D9476" s="211"/>
      <c r="E9476" s="211"/>
      <c r="U9476" s="222"/>
    </row>
    <row r="9477" spans="2:21" x14ac:dyDescent="0.2">
      <c r="B9477" s="207"/>
      <c r="C9477" s="210"/>
      <c r="D9477" s="211"/>
      <c r="E9477" s="211"/>
      <c r="U9477" s="222"/>
    </row>
    <row r="9478" spans="2:21" x14ac:dyDescent="0.2">
      <c r="B9478" s="207"/>
      <c r="C9478" s="210"/>
      <c r="D9478" s="211"/>
      <c r="E9478" s="211"/>
      <c r="U9478" s="222"/>
    </row>
    <row r="9479" spans="2:21" x14ac:dyDescent="0.2">
      <c r="B9479" s="207"/>
      <c r="C9479" s="210"/>
      <c r="D9479" s="211"/>
      <c r="E9479" s="211"/>
      <c r="U9479" s="222"/>
    </row>
    <row r="9480" spans="2:21" x14ac:dyDescent="0.2">
      <c r="B9480" s="207"/>
      <c r="C9480" s="210"/>
      <c r="D9480" s="211"/>
      <c r="E9480" s="211"/>
      <c r="U9480" s="222"/>
    </row>
    <row r="9481" spans="2:21" x14ac:dyDescent="0.2">
      <c r="B9481" s="207"/>
      <c r="C9481" s="210"/>
      <c r="D9481" s="211"/>
      <c r="E9481" s="211"/>
      <c r="U9481" s="222"/>
    </row>
    <row r="9482" spans="2:21" x14ac:dyDescent="0.2">
      <c r="B9482" s="207"/>
      <c r="C9482" s="210"/>
      <c r="D9482" s="211"/>
      <c r="E9482" s="211"/>
      <c r="U9482" s="222"/>
    </row>
    <row r="9483" spans="2:21" x14ac:dyDescent="0.2">
      <c r="B9483" s="207"/>
      <c r="C9483" s="210"/>
      <c r="D9483" s="211"/>
      <c r="E9483" s="211"/>
      <c r="U9483" s="222"/>
    </row>
    <row r="9484" spans="2:21" x14ac:dyDescent="0.2">
      <c r="B9484" s="207"/>
      <c r="C9484" s="210"/>
      <c r="D9484" s="211"/>
      <c r="E9484" s="211"/>
      <c r="U9484" s="222"/>
    </row>
    <row r="9485" spans="2:21" x14ac:dyDescent="0.2">
      <c r="B9485" s="207"/>
      <c r="C9485" s="210"/>
      <c r="D9485" s="211"/>
      <c r="E9485" s="211"/>
      <c r="U9485" s="222"/>
    </row>
    <row r="9486" spans="2:21" x14ac:dyDescent="0.2">
      <c r="B9486" s="207"/>
      <c r="C9486" s="210"/>
      <c r="D9486" s="211"/>
      <c r="E9486" s="211"/>
      <c r="U9486" s="222"/>
    </row>
    <row r="9487" spans="2:21" x14ac:dyDescent="0.2">
      <c r="B9487" s="207"/>
      <c r="C9487" s="210"/>
      <c r="D9487" s="211"/>
      <c r="E9487" s="211"/>
      <c r="U9487" s="222"/>
    </row>
    <row r="9488" spans="2:21" x14ac:dyDescent="0.2">
      <c r="B9488" s="207"/>
      <c r="C9488" s="210"/>
      <c r="D9488" s="211"/>
      <c r="E9488" s="211"/>
      <c r="U9488" s="222"/>
    </row>
    <row r="9489" spans="2:21" x14ac:dyDescent="0.2">
      <c r="B9489" s="207"/>
      <c r="C9489" s="210"/>
      <c r="D9489" s="211"/>
      <c r="E9489" s="211"/>
      <c r="U9489" s="222"/>
    </row>
    <row r="9490" spans="2:21" x14ac:dyDescent="0.2">
      <c r="B9490" s="207"/>
      <c r="C9490" s="210"/>
      <c r="D9490" s="211"/>
      <c r="E9490" s="211"/>
      <c r="U9490" s="222"/>
    </row>
    <row r="9491" spans="2:21" x14ac:dyDescent="0.2">
      <c r="B9491" s="207"/>
      <c r="C9491" s="210"/>
      <c r="D9491" s="211"/>
      <c r="E9491" s="211"/>
      <c r="U9491" s="222"/>
    </row>
    <row r="9492" spans="2:21" x14ac:dyDescent="0.2">
      <c r="B9492" s="207"/>
      <c r="C9492" s="210"/>
      <c r="D9492" s="211"/>
      <c r="E9492" s="211"/>
      <c r="U9492" s="222"/>
    </row>
    <row r="9493" spans="2:21" x14ac:dyDescent="0.2">
      <c r="B9493" s="207"/>
      <c r="C9493" s="210"/>
      <c r="D9493" s="211"/>
      <c r="E9493" s="211"/>
      <c r="U9493" s="222"/>
    </row>
    <row r="9494" spans="2:21" x14ac:dyDescent="0.2">
      <c r="B9494" s="207"/>
      <c r="C9494" s="210"/>
      <c r="D9494" s="211"/>
      <c r="E9494" s="211"/>
      <c r="U9494" s="222"/>
    </row>
    <row r="9495" spans="2:21" x14ac:dyDescent="0.2">
      <c r="B9495" s="207"/>
      <c r="C9495" s="210"/>
      <c r="D9495" s="211"/>
      <c r="E9495" s="211"/>
      <c r="U9495" s="222"/>
    </row>
    <row r="9496" spans="2:21" x14ac:dyDescent="0.2">
      <c r="B9496" s="207"/>
      <c r="C9496" s="210"/>
      <c r="D9496" s="211"/>
      <c r="E9496" s="211"/>
      <c r="U9496" s="222"/>
    </row>
    <row r="9497" spans="2:21" x14ac:dyDescent="0.2">
      <c r="B9497" s="207"/>
      <c r="C9497" s="210"/>
      <c r="D9497" s="211"/>
      <c r="E9497" s="211"/>
      <c r="U9497" s="222"/>
    </row>
    <row r="9498" spans="2:21" x14ac:dyDescent="0.2">
      <c r="B9498" s="207"/>
      <c r="C9498" s="210"/>
      <c r="D9498" s="211"/>
      <c r="E9498" s="211"/>
      <c r="U9498" s="222"/>
    </row>
    <row r="9499" spans="2:21" x14ac:dyDescent="0.2">
      <c r="B9499" s="207"/>
      <c r="C9499" s="210"/>
      <c r="D9499" s="211"/>
      <c r="E9499" s="211"/>
      <c r="U9499" s="222"/>
    </row>
    <row r="9500" spans="2:21" x14ac:dyDescent="0.2">
      <c r="B9500" s="207"/>
      <c r="C9500" s="210"/>
      <c r="D9500" s="211"/>
      <c r="E9500" s="211"/>
      <c r="U9500" s="222"/>
    </row>
    <row r="9501" spans="2:21" x14ac:dyDescent="0.2">
      <c r="B9501" s="207"/>
      <c r="C9501" s="210"/>
      <c r="D9501" s="211"/>
      <c r="E9501" s="211"/>
      <c r="U9501" s="222"/>
    </row>
    <row r="9502" spans="2:21" x14ac:dyDescent="0.2">
      <c r="B9502" s="207"/>
      <c r="C9502" s="210"/>
      <c r="D9502" s="211"/>
      <c r="E9502" s="211"/>
      <c r="U9502" s="222"/>
    </row>
    <row r="9503" spans="2:21" x14ac:dyDescent="0.2">
      <c r="B9503" s="207"/>
      <c r="C9503" s="210"/>
      <c r="D9503" s="211"/>
      <c r="E9503" s="211"/>
      <c r="U9503" s="222"/>
    </row>
    <row r="9504" spans="2:21" x14ac:dyDescent="0.2">
      <c r="B9504" s="207"/>
      <c r="C9504" s="210"/>
      <c r="D9504" s="211"/>
      <c r="E9504" s="211"/>
      <c r="U9504" s="222"/>
    </row>
    <row r="9505" spans="2:21" x14ac:dyDescent="0.2">
      <c r="B9505" s="207"/>
      <c r="C9505" s="210"/>
      <c r="D9505" s="211"/>
      <c r="E9505" s="211"/>
      <c r="U9505" s="222"/>
    </row>
    <row r="9506" spans="2:21" x14ac:dyDescent="0.2">
      <c r="B9506" s="207"/>
      <c r="C9506" s="210"/>
      <c r="D9506" s="211"/>
      <c r="E9506" s="211"/>
      <c r="U9506" s="222"/>
    </row>
    <row r="9507" spans="2:21" x14ac:dyDescent="0.2">
      <c r="B9507" s="207"/>
      <c r="C9507" s="210"/>
      <c r="D9507" s="211"/>
      <c r="E9507" s="211"/>
      <c r="U9507" s="222"/>
    </row>
    <row r="9508" spans="2:21" x14ac:dyDescent="0.2">
      <c r="B9508" s="207"/>
      <c r="C9508" s="210"/>
      <c r="D9508" s="211"/>
      <c r="E9508" s="211"/>
      <c r="U9508" s="222"/>
    </row>
    <row r="9509" spans="2:21" x14ac:dyDescent="0.2">
      <c r="B9509" s="207"/>
      <c r="C9509" s="210"/>
      <c r="D9509" s="211"/>
      <c r="E9509" s="211"/>
      <c r="U9509" s="222"/>
    </row>
    <row r="9510" spans="2:21" x14ac:dyDescent="0.2">
      <c r="B9510" s="207"/>
      <c r="C9510" s="210"/>
      <c r="D9510" s="211"/>
      <c r="E9510" s="211"/>
      <c r="U9510" s="222"/>
    </row>
    <row r="9511" spans="2:21" x14ac:dyDescent="0.2">
      <c r="B9511" s="207"/>
      <c r="C9511" s="210"/>
      <c r="D9511" s="211"/>
      <c r="E9511" s="211"/>
      <c r="U9511" s="222"/>
    </row>
    <row r="9512" spans="2:21" x14ac:dyDescent="0.2">
      <c r="B9512" s="207"/>
      <c r="C9512" s="210"/>
      <c r="D9512" s="211"/>
      <c r="E9512" s="211"/>
      <c r="U9512" s="222"/>
    </row>
    <row r="9513" spans="2:21" x14ac:dyDescent="0.2">
      <c r="B9513" s="207"/>
      <c r="C9513" s="210"/>
      <c r="D9513" s="211"/>
      <c r="E9513" s="211"/>
      <c r="U9513" s="222"/>
    </row>
    <row r="9514" spans="2:21" x14ac:dyDescent="0.2">
      <c r="B9514" s="207"/>
      <c r="C9514" s="210"/>
      <c r="D9514" s="211"/>
      <c r="E9514" s="211"/>
      <c r="U9514" s="222"/>
    </row>
    <row r="9515" spans="2:21" x14ac:dyDescent="0.2">
      <c r="B9515" s="207"/>
      <c r="C9515" s="210"/>
      <c r="D9515" s="211"/>
      <c r="E9515" s="211"/>
      <c r="U9515" s="222"/>
    </row>
    <row r="9516" spans="2:21" x14ac:dyDescent="0.2">
      <c r="B9516" s="207"/>
      <c r="C9516" s="210"/>
      <c r="D9516" s="211"/>
      <c r="E9516" s="211"/>
      <c r="U9516" s="222"/>
    </row>
    <row r="9517" spans="2:21" x14ac:dyDescent="0.2">
      <c r="B9517" s="207"/>
      <c r="C9517" s="210"/>
      <c r="D9517" s="211"/>
      <c r="E9517" s="211"/>
      <c r="U9517" s="222"/>
    </row>
    <row r="9518" spans="2:21" x14ac:dyDescent="0.2">
      <c r="B9518" s="207"/>
      <c r="C9518" s="210"/>
      <c r="D9518" s="211"/>
      <c r="E9518" s="211"/>
      <c r="U9518" s="222"/>
    </row>
    <row r="9519" spans="2:21" x14ac:dyDescent="0.2">
      <c r="B9519" s="207"/>
      <c r="C9519" s="210"/>
      <c r="D9519" s="211"/>
      <c r="E9519" s="211"/>
      <c r="U9519" s="222"/>
    </row>
    <row r="9520" spans="2:21" x14ac:dyDescent="0.2">
      <c r="B9520" s="207"/>
      <c r="C9520" s="210"/>
      <c r="D9520" s="211"/>
      <c r="E9520" s="211"/>
      <c r="U9520" s="222"/>
    </row>
    <row r="9521" spans="2:21" x14ac:dyDescent="0.2">
      <c r="B9521" s="207"/>
      <c r="C9521" s="210"/>
      <c r="D9521" s="211"/>
      <c r="E9521" s="211"/>
      <c r="U9521" s="222"/>
    </row>
    <row r="9522" spans="2:21" x14ac:dyDescent="0.2">
      <c r="B9522" s="207"/>
      <c r="C9522" s="210"/>
      <c r="D9522" s="211"/>
      <c r="E9522" s="211"/>
      <c r="U9522" s="222"/>
    </row>
    <row r="9523" spans="2:21" x14ac:dyDescent="0.2">
      <c r="B9523" s="207"/>
      <c r="C9523" s="210"/>
      <c r="D9523" s="211"/>
      <c r="E9523" s="211"/>
      <c r="U9523" s="222"/>
    </row>
    <row r="9524" spans="2:21" x14ac:dyDescent="0.2">
      <c r="B9524" s="207"/>
      <c r="C9524" s="210"/>
      <c r="D9524" s="211"/>
      <c r="E9524" s="211"/>
      <c r="U9524" s="222"/>
    </row>
    <row r="9525" spans="2:21" x14ac:dyDescent="0.2">
      <c r="B9525" s="207"/>
      <c r="C9525" s="210"/>
      <c r="D9525" s="211"/>
      <c r="E9525" s="211"/>
      <c r="U9525" s="222"/>
    </row>
    <row r="9526" spans="2:21" x14ac:dyDescent="0.2">
      <c r="B9526" s="207"/>
      <c r="C9526" s="210"/>
      <c r="D9526" s="211"/>
      <c r="E9526" s="211"/>
      <c r="U9526" s="222"/>
    </row>
    <row r="9527" spans="2:21" x14ac:dyDescent="0.2">
      <c r="B9527" s="207"/>
      <c r="C9527" s="210"/>
      <c r="D9527" s="211"/>
      <c r="E9527" s="211"/>
      <c r="U9527" s="222"/>
    </row>
    <row r="9528" spans="2:21" x14ac:dyDescent="0.2">
      <c r="B9528" s="207"/>
      <c r="C9528" s="210"/>
      <c r="D9528" s="211"/>
      <c r="E9528" s="211"/>
      <c r="U9528" s="222"/>
    </row>
    <row r="9529" spans="2:21" x14ac:dyDescent="0.2">
      <c r="B9529" s="207"/>
      <c r="C9529" s="210"/>
      <c r="D9529" s="211"/>
      <c r="E9529" s="211"/>
      <c r="U9529" s="222"/>
    </row>
    <row r="9530" spans="2:21" x14ac:dyDescent="0.2">
      <c r="B9530" s="207"/>
      <c r="C9530" s="210"/>
      <c r="D9530" s="211"/>
      <c r="E9530" s="211"/>
      <c r="U9530" s="222"/>
    </row>
    <row r="9531" spans="2:21" x14ac:dyDescent="0.2">
      <c r="B9531" s="207"/>
      <c r="C9531" s="210"/>
      <c r="D9531" s="211"/>
      <c r="E9531" s="211"/>
      <c r="U9531" s="222"/>
    </row>
    <row r="9532" spans="2:21" x14ac:dyDescent="0.2">
      <c r="B9532" s="207"/>
      <c r="C9532" s="210"/>
      <c r="D9532" s="211"/>
      <c r="E9532" s="211"/>
      <c r="U9532" s="222"/>
    </row>
    <row r="9533" spans="2:21" x14ac:dyDescent="0.2">
      <c r="B9533" s="207"/>
      <c r="C9533" s="210"/>
      <c r="D9533" s="211"/>
      <c r="E9533" s="211"/>
      <c r="U9533" s="222"/>
    </row>
    <row r="9534" spans="2:21" x14ac:dyDescent="0.2">
      <c r="B9534" s="207"/>
      <c r="C9534" s="210"/>
      <c r="D9534" s="211"/>
      <c r="E9534" s="211"/>
      <c r="U9534" s="222"/>
    </row>
    <row r="9535" spans="2:21" x14ac:dyDescent="0.2">
      <c r="B9535" s="207"/>
      <c r="C9535" s="210"/>
      <c r="D9535" s="211"/>
      <c r="E9535" s="211"/>
      <c r="U9535" s="222"/>
    </row>
    <row r="9536" spans="2:21" x14ac:dyDescent="0.2">
      <c r="B9536" s="207"/>
      <c r="C9536" s="210"/>
      <c r="D9536" s="211"/>
      <c r="E9536" s="211"/>
      <c r="U9536" s="222"/>
    </row>
    <row r="9537" spans="2:21" x14ac:dyDescent="0.2">
      <c r="B9537" s="207"/>
      <c r="C9537" s="210"/>
      <c r="D9537" s="211"/>
      <c r="E9537" s="211"/>
      <c r="U9537" s="222"/>
    </row>
    <row r="9538" spans="2:21" x14ac:dyDescent="0.2">
      <c r="B9538" s="207"/>
      <c r="C9538" s="210"/>
      <c r="D9538" s="211"/>
      <c r="E9538" s="211"/>
      <c r="U9538" s="222"/>
    </row>
    <row r="9539" spans="2:21" x14ac:dyDescent="0.2">
      <c r="B9539" s="207"/>
      <c r="C9539" s="210"/>
      <c r="D9539" s="211"/>
      <c r="E9539" s="211"/>
      <c r="U9539" s="222"/>
    </row>
    <row r="9540" spans="2:21" x14ac:dyDescent="0.2">
      <c r="B9540" s="207"/>
      <c r="C9540" s="210"/>
      <c r="D9540" s="211"/>
      <c r="E9540" s="211"/>
      <c r="U9540" s="222"/>
    </row>
    <row r="9541" spans="2:21" x14ac:dyDescent="0.2">
      <c r="B9541" s="207"/>
      <c r="C9541" s="210"/>
      <c r="D9541" s="211"/>
      <c r="E9541" s="211"/>
      <c r="U9541" s="222"/>
    </row>
    <row r="9542" spans="2:21" x14ac:dyDescent="0.2">
      <c r="B9542" s="207"/>
      <c r="C9542" s="210"/>
      <c r="D9542" s="211"/>
      <c r="E9542" s="211"/>
      <c r="U9542" s="222"/>
    </row>
    <row r="9543" spans="2:21" x14ac:dyDescent="0.2">
      <c r="B9543" s="207"/>
      <c r="C9543" s="210"/>
      <c r="D9543" s="211"/>
      <c r="E9543" s="211"/>
      <c r="U9543" s="222"/>
    </row>
    <row r="9544" spans="2:21" x14ac:dyDescent="0.2">
      <c r="B9544" s="207"/>
      <c r="C9544" s="210"/>
      <c r="D9544" s="211"/>
      <c r="E9544" s="211"/>
      <c r="U9544" s="222"/>
    </row>
    <row r="9545" spans="2:21" x14ac:dyDescent="0.2">
      <c r="B9545" s="207"/>
      <c r="C9545" s="210"/>
      <c r="D9545" s="211"/>
      <c r="E9545" s="211"/>
      <c r="U9545" s="222"/>
    </row>
    <row r="9546" spans="2:21" x14ac:dyDescent="0.2">
      <c r="B9546" s="207"/>
      <c r="C9546" s="210"/>
      <c r="D9546" s="211"/>
      <c r="E9546" s="211"/>
      <c r="U9546" s="222"/>
    </row>
    <row r="9547" spans="2:21" x14ac:dyDescent="0.2">
      <c r="B9547" s="207"/>
      <c r="C9547" s="210"/>
      <c r="D9547" s="211"/>
      <c r="E9547" s="211"/>
      <c r="U9547" s="222"/>
    </row>
    <row r="9548" spans="2:21" x14ac:dyDescent="0.2">
      <c r="B9548" s="207"/>
      <c r="C9548" s="210"/>
      <c r="D9548" s="211"/>
      <c r="E9548" s="211"/>
      <c r="U9548" s="222"/>
    </row>
    <row r="9549" spans="2:21" x14ac:dyDescent="0.2">
      <c r="B9549" s="207"/>
      <c r="C9549" s="210"/>
      <c r="D9549" s="211"/>
      <c r="E9549" s="211"/>
      <c r="U9549" s="222"/>
    </row>
    <row r="9550" spans="2:21" x14ac:dyDescent="0.2">
      <c r="B9550" s="207"/>
      <c r="C9550" s="210"/>
      <c r="D9550" s="211"/>
      <c r="E9550" s="211"/>
      <c r="U9550" s="222"/>
    </row>
    <row r="9551" spans="2:21" x14ac:dyDescent="0.2">
      <c r="B9551" s="207"/>
      <c r="C9551" s="210"/>
      <c r="D9551" s="211"/>
      <c r="E9551" s="211"/>
      <c r="U9551" s="222"/>
    </row>
    <row r="9552" spans="2:21" x14ac:dyDescent="0.2">
      <c r="B9552" s="207"/>
      <c r="C9552" s="210"/>
      <c r="D9552" s="211"/>
      <c r="E9552" s="211"/>
      <c r="U9552" s="222"/>
    </row>
    <row r="9553" spans="2:21" x14ac:dyDescent="0.2">
      <c r="B9553" s="207"/>
      <c r="C9553" s="210"/>
      <c r="D9553" s="211"/>
      <c r="E9553" s="211"/>
      <c r="U9553" s="222"/>
    </row>
    <row r="9554" spans="2:21" x14ac:dyDescent="0.2">
      <c r="B9554" s="207"/>
      <c r="C9554" s="210"/>
      <c r="D9554" s="211"/>
      <c r="E9554" s="211"/>
      <c r="U9554" s="222"/>
    </row>
    <row r="9555" spans="2:21" x14ac:dyDescent="0.2">
      <c r="B9555" s="207"/>
      <c r="C9555" s="210"/>
      <c r="D9555" s="211"/>
      <c r="E9555" s="211"/>
      <c r="U9555" s="222"/>
    </row>
    <row r="9556" spans="2:21" x14ac:dyDescent="0.2">
      <c r="B9556" s="207"/>
      <c r="C9556" s="210"/>
      <c r="D9556" s="211"/>
      <c r="E9556" s="211"/>
      <c r="U9556" s="222"/>
    </row>
    <row r="9557" spans="2:21" x14ac:dyDescent="0.2">
      <c r="B9557" s="207"/>
      <c r="C9557" s="210"/>
      <c r="D9557" s="211"/>
      <c r="E9557" s="211"/>
      <c r="U9557" s="222"/>
    </row>
    <row r="9558" spans="2:21" x14ac:dyDescent="0.2">
      <c r="B9558" s="207"/>
      <c r="C9558" s="210"/>
      <c r="D9558" s="211"/>
      <c r="E9558" s="211"/>
      <c r="U9558" s="222"/>
    </row>
    <row r="9559" spans="2:21" x14ac:dyDescent="0.2">
      <c r="B9559" s="207"/>
      <c r="C9559" s="210"/>
      <c r="D9559" s="211"/>
      <c r="E9559" s="211"/>
      <c r="U9559" s="222"/>
    </row>
    <row r="9560" spans="2:21" x14ac:dyDescent="0.2">
      <c r="B9560" s="207"/>
      <c r="C9560" s="210"/>
      <c r="D9560" s="211"/>
      <c r="E9560" s="211"/>
      <c r="U9560" s="222"/>
    </row>
    <row r="9561" spans="2:21" x14ac:dyDescent="0.2">
      <c r="B9561" s="207"/>
      <c r="C9561" s="210"/>
      <c r="D9561" s="211"/>
      <c r="E9561" s="211"/>
      <c r="U9561" s="222"/>
    </row>
    <row r="9562" spans="2:21" x14ac:dyDescent="0.2">
      <c r="B9562" s="207"/>
      <c r="C9562" s="210"/>
      <c r="D9562" s="211"/>
      <c r="E9562" s="211"/>
      <c r="U9562" s="222"/>
    </row>
    <row r="9563" spans="2:21" x14ac:dyDescent="0.2">
      <c r="B9563" s="207"/>
      <c r="C9563" s="210"/>
      <c r="D9563" s="211"/>
      <c r="E9563" s="211"/>
      <c r="U9563" s="222"/>
    </row>
    <row r="9564" spans="2:21" x14ac:dyDescent="0.2">
      <c r="B9564" s="207"/>
      <c r="C9564" s="210"/>
      <c r="D9564" s="211"/>
      <c r="E9564" s="211"/>
      <c r="U9564" s="222"/>
    </row>
    <row r="9565" spans="2:21" x14ac:dyDescent="0.2">
      <c r="B9565" s="207"/>
      <c r="C9565" s="210"/>
      <c r="D9565" s="211"/>
      <c r="E9565" s="211"/>
      <c r="U9565" s="222"/>
    </row>
    <row r="9566" spans="2:21" x14ac:dyDescent="0.2">
      <c r="B9566" s="207"/>
      <c r="C9566" s="210"/>
      <c r="D9566" s="211"/>
      <c r="E9566" s="211"/>
      <c r="U9566" s="222"/>
    </row>
    <row r="9567" spans="2:21" x14ac:dyDescent="0.2">
      <c r="B9567" s="207"/>
      <c r="C9567" s="210"/>
      <c r="D9567" s="211"/>
      <c r="E9567" s="211"/>
      <c r="U9567" s="222"/>
    </row>
    <row r="9568" spans="2:21" x14ac:dyDescent="0.2">
      <c r="B9568" s="207"/>
      <c r="C9568" s="210"/>
      <c r="D9568" s="211"/>
      <c r="E9568" s="211"/>
      <c r="U9568" s="222"/>
    </row>
    <row r="9569" spans="2:21" x14ac:dyDescent="0.2">
      <c r="B9569" s="207"/>
      <c r="C9569" s="210"/>
      <c r="D9569" s="211"/>
      <c r="E9569" s="211"/>
      <c r="U9569" s="222"/>
    </row>
    <row r="9570" spans="2:21" x14ac:dyDescent="0.2">
      <c r="B9570" s="207"/>
      <c r="C9570" s="210"/>
      <c r="D9570" s="211"/>
      <c r="E9570" s="211"/>
      <c r="U9570" s="222"/>
    </row>
    <row r="9571" spans="2:21" x14ac:dyDescent="0.2">
      <c r="B9571" s="207"/>
      <c r="C9571" s="210"/>
      <c r="D9571" s="211"/>
      <c r="E9571" s="211"/>
      <c r="U9571" s="222"/>
    </row>
    <row r="9572" spans="2:21" x14ac:dyDescent="0.2">
      <c r="B9572" s="207"/>
      <c r="C9572" s="210"/>
      <c r="D9572" s="211"/>
      <c r="E9572" s="211"/>
      <c r="U9572" s="222"/>
    </row>
    <row r="9573" spans="2:21" x14ac:dyDescent="0.2">
      <c r="B9573" s="207"/>
      <c r="C9573" s="210"/>
      <c r="D9573" s="211"/>
      <c r="E9573" s="211"/>
      <c r="U9573" s="222"/>
    </row>
    <row r="9574" spans="2:21" x14ac:dyDescent="0.2">
      <c r="B9574" s="207"/>
      <c r="C9574" s="210"/>
      <c r="D9574" s="211"/>
      <c r="E9574" s="211"/>
      <c r="U9574" s="222"/>
    </row>
    <row r="9575" spans="2:21" x14ac:dyDescent="0.2">
      <c r="B9575" s="207"/>
      <c r="C9575" s="210"/>
      <c r="D9575" s="211"/>
      <c r="E9575" s="211"/>
      <c r="U9575" s="222"/>
    </row>
    <row r="9576" spans="2:21" x14ac:dyDescent="0.2">
      <c r="B9576" s="207"/>
      <c r="C9576" s="210"/>
      <c r="D9576" s="211"/>
      <c r="E9576" s="211"/>
      <c r="U9576" s="222"/>
    </row>
    <row r="9577" spans="2:21" x14ac:dyDescent="0.2">
      <c r="B9577" s="207"/>
      <c r="C9577" s="210"/>
      <c r="D9577" s="211"/>
      <c r="E9577" s="211"/>
      <c r="U9577" s="222"/>
    </row>
    <row r="9578" spans="2:21" x14ac:dyDescent="0.2">
      <c r="B9578" s="207"/>
      <c r="C9578" s="210"/>
      <c r="D9578" s="211"/>
      <c r="E9578" s="211"/>
      <c r="U9578" s="222"/>
    </row>
    <row r="9579" spans="2:21" x14ac:dyDescent="0.2">
      <c r="B9579" s="207"/>
      <c r="C9579" s="210"/>
      <c r="D9579" s="211"/>
      <c r="E9579" s="211"/>
      <c r="U9579" s="222"/>
    </row>
    <row r="9580" spans="2:21" x14ac:dyDescent="0.2">
      <c r="B9580" s="207"/>
      <c r="C9580" s="210"/>
      <c r="D9580" s="211"/>
      <c r="E9580" s="211"/>
      <c r="U9580" s="222"/>
    </row>
    <row r="9581" spans="2:21" x14ac:dyDescent="0.2">
      <c r="B9581" s="207"/>
      <c r="C9581" s="210"/>
      <c r="D9581" s="211"/>
      <c r="E9581" s="211"/>
      <c r="U9581" s="222"/>
    </row>
    <row r="9582" spans="2:21" x14ac:dyDescent="0.2">
      <c r="B9582" s="207"/>
      <c r="C9582" s="210"/>
      <c r="D9582" s="211"/>
      <c r="E9582" s="211"/>
      <c r="U9582" s="222"/>
    </row>
    <row r="9583" spans="2:21" x14ac:dyDescent="0.2">
      <c r="B9583" s="207"/>
      <c r="C9583" s="210"/>
      <c r="D9583" s="211"/>
      <c r="E9583" s="211"/>
      <c r="U9583" s="222"/>
    </row>
    <row r="9584" spans="2:21" x14ac:dyDescent="0.2">
      <c r="B9584" s="207"/>
      <c r="C9584" s="210"/>
      <c r="D9584" s="211"/>
      <c r="E9584" s="211"/>
      <c r="U9584" s="222"/>
    </row>
    <row r="9585" spans="2:21" x14ac:dyDescent="0.2">
      <c r="B9585" s="207"/>
      <c r="C9585" s="210"/>
      <c r="D9585" s="211"/>
      <c r="E9585" s="211"/>
      <c r="U9585" s="222"/>
    </row>
    <row r="9586" spans="2:21" x14ac:dyDescent="0.2">
      <c r="B9586" s="207"/>
      <c r="C9586" s="210"/>
      <c r="D9586" s="211"/>
      <c r="E9586" s="211"/>
      <c r="U9586" s="222"/>
    </row>
    <row r="9587" spans="2:21" x14ac:dyDescent="0.2">
      <c r="B9587" s="207"/>
      <c r="C9587" s="210"/>
      <c r="D9587" s="211"/>
      <c r="E9587" s="211"/>
      <c r="U9587" s="222"/>
    </row>
    <row r="9588" spans="2:21" x14ac:dyDescent="0.2">
      <c r="B9588" s="207"/>
      <c r="C9588" s="210"/>
      <c r="D9588" s="211"/>
      <c r="E9588" s="211"/>
      <c r="U9588" s="222"/>
    </row>
    <row r="9589" spans="2:21" x14ac:dyDescent="0.2">
      <c r="B9589" s="207"/>
      <c r="C9589" s="210"/>
      <c r="D9589" s="211"/>
      <c r="E9589" s="211"/>
      <c r="U9589" s="222"/>
    </row>
    <row r="9590" spans="2:21" x14ac:dyDescent="0.2">
      <c r="B9590" s="207"/>
      <c r="C9590" s="210"/>
      <c r="D9590" s="211"/>
      <c r="E9590" s="211"/>
      <c r="U9590" s="222"/>
    </row>
    <row r="9591" spans="2:21" x14ac:dyDescent="0.2">
      <c r="B9591" s="207"/>
      <c r="C9591" s="210"/>
      <c r="D9591" s="211"/>
      <c r="E9591" s="211"/>
      <c r="U9591" s="222"/>
    </row>
    <row r="9592" spans="2:21" x14ac:dyDescent="0.2">
      <c r="B9592" s="207"/>
      <c r="C9592" s="210"/>
      <c r="D9592" s="211"/>
      <c r="E9592" s="211"/>
      <c r="U9592" s="222"/>
    </row>
    <row r="9593" spans="2:21" x14ac:dyDescent="0.2">
      <c r="B9593" s="207"/>
      <c r="C9593" s="210"/>
      <c r="D9593" s="211"/>
      <c r="E9593" s="211"/>
      <c r="U9593" s="222"/>
    </row>
    <row r="9594" spans="2:21" x14ac:dyDescent="0.2">
      <c r="B9594" s="207"/>
      <c r="C9594" s="210"/>
      <c r="D9594" s="211"/>
      <c r="E9594" s="211"/>
      <c r="U9594" s="222"/>
    </row>
    <row r="9595" spans="2:21" x14ac:dyDescent="0.2">
      <c r="B9595" s="207"/>
      <c r="C9595" s="210"/>
      <c r="D9595" s="211"/>
      <c r="E9595" s="211"/>
      <c r="U9595" s="222"/>
    </row>
    <row r="9596" spans="2:21" x14ac:dyDescent="0.2">
      <c r="B9596" s="207"/>
      <c r="C9596" s="210"/>
      <c r="D9596" s="211"/>
      <c r="E9596" s="211"/>
      <c r="U9596" s="222"/>
    </row>
    <row r="9597" spans="2:21" x14ac:dyDescent="0.2">
      <c r="B9597" s="207"/>
      <c r="C9597" s="210"/>
      <c r="D9597" s="211"/>
      <c r="E9597" s="211"/>
      <c r="U9597" s="222"/>
    </row>
    <row r="9598" spans="2:21" x14ac:dyDescent="0.2">
      <c r="B9598" s="207"/>
      <c r="C9598" s="210"/>
      <c r="D9598" s="211"/>
      <c r="E9598" s="211"/>
      <c r="U9598" s="222"/>
    </row>
    <row r="9599" spans="2:21" x14ac:dyDescent="0.2">
      <c r="B9599" s="207"/>
      <c r="C9599" s="210"/>
      <c r="D9599" s="211"/>
      <c r="E9599" s="211"/>
      <c r="U9599" s="222"/>
    </row>
    <row r="9600" spans="2:21" x14ac:dyDescent="0.2">
      <c r="B9600" s="207"/>
      <c r="C9600" s="210"/>
      <c r="D9600" s="211"/>
      <c r="E9600" s="211"/>
      <c r="U9600" s="222"/>
    </row>
    <row r="9601" spans="2:21" x14ac:dyDescent="0.2">
      <c r="B9601" s="207"/>
      <c r="C9601" s="210"/>
      <c r="D9601" s="211"/>
      <c r="E9601" s="211"/>
      <c r="U9601" s="222"/>
    </row>
    <row r="9602" spans="2:21" x14ac:dyDescent="0.2">
      <c r="B9602" s="207"/>
      <c r="C9602" s="210"/>
      <c r="D9602" s="211"/>
      <c r="E9602" s="211"/>
      <c r="U9602" s="222"/>
    </row>
    <row r="9603" spans="2:21" x14ac:dyDescent="0.2">
      <c r="B9603" s="207"/>
      <c r="C9603" s="210"/>
      <c r="D9603" s="211"/>
      <c r="E9603" s="211"/>
      <c r="U9603" s="222"/>
    </row>
    <row r="9604" spans="2:21" x14ac:dyDescent="0.2">
      <c r="B9604" s="207"/>
      <c r="C9604" s="210"/>
      <c r="D9604" s="211"/>
      <c r="E9604" s="211"/>
      <c r="U9604" s="222"/>
    </row>
    <row r="9605" spans="2:21" x14ac:dyDescent="0.2">
      <c r="B9605" s="207"/>
      <c r="C9605" s="210"/>
      <c r="D9605" s="211"/>
      <c r="E9605" s="211"/>
      <c r="U9605" s="222"/>
    </row>
    <row r="9606" spans="2:21" x14ac:dyDescent="0.2">
      <c r="B9606" s="207"/>
      <c r="C9606" s="210"/>
      <c r="D9606" s="211"/>
      <c r="E9606" s="211"/>
      <c r="U9606" s="222"/>
    </row>
    <row r="9607" spans="2:21" x14ac:dyDescent="0.2">
      <c r="B9607" s="207"/>
      <c r="C9607" s="210"/>
      <c r="D9607" s="211"/>
      <c r="E9607" s="211"/>
      <c r="U9607" s="222"/>
    </row>
    <row r="9608" spans="2:21" x14ac:dyDescent="0.2">
      <c r="B9608" s="207"/>
      <c r="C9608" s="210"/>
      <c r="D9608" s="211"/>
      <c r="E9608" s="211"/>
      <c r="U9608" s="222"/>
    </row>
    <row r="9609" spans="2:21" x14ac:dyDescent="0.2">
      <c r="B9609" s="207"/>
      <c r="C9609" s="210"/>
      <c r="D9609" s="211"/>
      <c r="E9609" s="211"/>
      <c r="U9609" s="222"/>
    </row>
    <row r="9610" spans="2:21" x14ac:dyDescent="0.2">
      <c r="B9610" s="207"/>
      <c r="C9610" s="210"/>
      <c r="D9610" s="211"/>
      <c r="E9610" s="211"/>
      <c r="U9610" s="222"/>
    </row>
    <row r="9611" spans="2:21" x14ac:dyDescent="0.2">
      <c r="B9611" s="207"/>
      <c r="C9611" s="210"/>
      <c r="D9611" s="211"/>
      <c r="E9611" s="211"/>
      <c r="U9611" s="222"/>
    </row>
    <row r="9612" spans="2:21" x14ac:dyDescent="0.2">
      <c r="B9612" s="207"/>
      <c r="C9612" s="210"/>
      <c r="D9612" s="211"/>
      <c r="E9612" s="211"/>
      <c r="U9612" s="222"/>
    </row>
    <row r="9613" spans="2:21" x14ac:dyDescent="0.2">
      <c r="B9613" s="207"/>
      <c r="C9613" s="210"/>
      <c r="D9613" s="211"/>
      <c r="E9613" s="211"/>
      <c r="U9613" s="222"/>
    </row>
    <row r="9614" spans="2:21" x14ac:dyDescent="0.2">
      <c r="B9614" s="207"/>
      <c r="C9614" s="210"/>
      <c r="D9614" s="211"/>
      <c r="E9614" s="211"/>
      <c r="U9614" s="222"/>
    </row>
    <row r="9615" spans="2:21" x14ac:dyDescent="0.2">
      <c r="B9615" s="207"/>
      <c r="C9615" s="210"/>
      <c r="D9615" s="211"/>
      <c r="E9615" s="211"/>
      <c r="U9615" s="222"/>
    </row>
    <row r="9616" spans="2:21" x14ac:dyDescent="0.2">
      <c r="B9616" s="207"/>
      <c r="C9616" s="210"/>
      <c r="D9616" s="211"/>
      <c r="E9616" s="211"/>
      <c r="U9616" s="222"/>
    </row>
    <row r="9617" spans="2:21" x14ac:dyDescent="0.2">
      <c r="B9617" s="207"/>
      <c r="C9617" s="210"/>
      <c r="D9617" s="211"/>
      <c r="E9617" s="211"/>
      <c r="U9617" s="222"/>
    </row>
    <row r="9618" spans="2:21" x14ac:dyDescent="0.2">
      <c r="B9618" s="207"/>
      <c r="C9618" s="210"/>
      <c r="D9618" s="211"/>
      <c r="E9618" s="211"/>
      <c r="U9618" s="222"/>
    </row>
    <row r="9619" spans="2:21" x14ac:dyDescent="0.2">
      <c r="B9619" s="207"/>
      <c r="C9619" s="210"/>
      <c r="D9619" s="211"/>
      <c r="E9619" s="211"/>
      <c r="U9619" s="222"/>
    </row>
    <row r="9620" spans="2:21" x14ac:dyDescent="0.2">
      <c r="B9620" s="207"/>
      <c r="C9620" s="210"/>
      <c r="D9620" s="211"/>
      <c r="E9620" s="211"/>
      <c r="U9620" s="222"/>
    </row>
    <row r="9621" spans="2:21" x14ac:dyDescent="0.2">
      <c r="B9621" s="207"/>
      <c r="C9621" s="210"/>
      <c r="D9621" s="211"/>
      <c r="E9621" s="211"/>
      <c r="U9621" s="222"/>
    </row>
    <row r="9622" spans="2:21" x14ac:dyDescent="0.2">
      <c r="B9622" s="207"/>
      <c r="C9622" s="210"/>
      <c r="D9622" s="211"/>
      <c r="E9622" s="211"/>
      <c r="U9622" s="222"/>
    </row>
    <row r="9623" spans="2:21" x14ac:dyDescent="0.2">
      <c r="B9623" s="207"/>
      <c r="C9623" s="210"/>
      <c r="D9623" s="211"/>
      <c r="E9623" s="211"/>
      <c r="U9623" s="222"/>
    </row>
    <row r="9624" spans="2:21" x14ac:dyDescent="0.2">
      <c r="B9624" s="207"/>
      <c r="C9624" s="210"/>
      <c r="D9624" s="211"/>
      <c r="E9624" s="211"/>
      <c r="U9624" s="222"/>
    </row>
    <row r="9625" spans="2:21" x14ac:dyDescent="0.2">
      <c r="B9625" s="207"/>
      <c r="C9625" s="210"/>
      <c r="D9625" s="211"/>
      <c r="E9625" s="211"/>
      <c r="U9625" s="222"/>
    </row>
    <row r="9626" spans="2:21" x14ac:dyDescent="0.2">
      <c r="B9626" s="207"/>
      <c r="C9626" s="210"/>
      <c r="D9626" s="211"/>
      <c r="E9626" s="211"/>
      <c r="U9626" s="222"/>
    </row>
    <row r="9627" spans="2:21" x14ac:dyDescent="0.2">
      <c r="B9627" s="207"/>
      <c r="C9627" s="210"/>
      <c r="D9627" s="211"/>
      <c r="E9627" s="211"/>
      <c r="U9627" s="222"/>
    </row>
    <row r="9628" spans="2:21" x14ac:dyDescent="0.2">
      <c r="B9628" s="207"/>
      <c r="C9628" s="210"/>
      <c r="D9628" s="211"/>
      <c r="E9628" s="211"/>
      <c r="U9628" s="222"/>
    </row>
    <row r="9629" spans="2:21" x14ac:dyDescent="0.2">
      <c r="B9629" s="207"/>
      <c r="C9629" s="210"/>
      <c r="D9629" s="211"/>
      <c r="E9629" s="211"/>
      <c r="U9629" s="222"/>
    </row>
    <row r="9630" spans="2:21" x14ac:dyDescent="0.2">
      <c r="B9630" s="207"/>
      <c r="C9630" s="210"/>
      <c r="D9630" s="211"/>
      <c r="E9630" s="211"/>
      <c r="U9630" s="222"/>
    </row>
    <row r="9631" spans="2:21" x14ac:dyDescent="0.2">
      <c r="B9631" s="207"/>
      <c r="C9631" s="210"/>
      <c r="D9631" s="211"/>
      <c r="E9631" s="211"/>
      <c r="U9631" s="222"/>
    </row>
    <row r="9632" spans="2:21" x14ac:dyDescent="0.2">
      <c r="B9632" s="207"/>
      <c r="C9632" s="210"/>
      <c r="D9632" s="211"/>
      <c r="E9632" s="211"/>
      <c r="U9632" s="222"/>
    </row>
    <row r="9633" spans="2:21" x14ac:dyDescent="0.2">
      <c r="B9633" s="207"/>
      <c r="C9633" s="210"/>
      <c r="D9633" s="211"/>
      <c r="E9633" s="211"/>
      <c r="U9633" s="222"/>
    </row>
    <row r="9634" spans="2:21" x14ac:dyDescent="0.2">
      <c r="B9634" s="207"/>
      <c r="C9634" s="210"/>
      <c r="D9634" s="211"/>
      <c r="E9634" s="211"/>
      <c r="U9634" s="222"/>
    </row>
    <row r="9635" spans="2:21" x14ac:dyDescent="0.2">
      <c r="B9635" s="207"/>
      <c r="C9635" s="210"/>
      <c r="D9635" s="211"/>
      <c r="E9635" s="211"/>
      <c r="U9635" s="222"/>
    </row>
    <row r="9636" spans="2:21" x14ac:dyDescent="0.2">
      <c r="B9636" s="207"/>
      <c r="C9636" s="210"/>
      <c r="D9636" s="211"/>
      <c r="E9636" s="211"/>
      <c r="U9636" s="222"/>
    </row>
    <row r="9637" spans="2:21" x14ac:dyDescent="0.2">
      <c r="B9637" s="207"/>
      <c r="C9637" s="210"/>
      <c r="D9637" s="211"/>
      <c r="E9637" s="211"/>
      <c r="U9637" s="222"/>
    </row>
    <row r="9638" spans="2:21" x14ac:dyDescent="0.2">
      <c r="B9638" s="207"/>
      <c r="C9638" s="210"/>
      <c r="D9638" s="211"/>
      <c r="E9638" s="211"/>
      <c r="U9638" s="222"/>
    </row>
    <row r="9639" spans="2:21" x14ac:dyDescent="0.2">
      <c r="B9639" s="207"/>
      <c r="C9639" s="210"/>
      <c r="D9639" s="211"/>
      <c r="E9639" s="211"/>
      <c r="U9639" s="222"/>
    </row>
    <row r="9640" spans="2:21" x14ac:dyDescent="0.2">
      <c r="B9640" s="207"/>
      <c r="C9640" s="210"/>
      <c r="D9640" s="211"/>
      <c r="E9640" s="211"/>
      <c r="U9640" s="222"/>
    </row>
    <row r="9641" spans="2:21" x14ac:dyDescent="0.2">
      <c r="B9641" s="207"/>
      <c r="C9641" s="210"/>
      <c r="D9641" s="211"/>
      <c r="E9641" s="211"/>
      <c r="U9641" s="222"/>
    </row>
    <row r="9642" spans="2:21" x14ac:dyDescent="0.2">
      <c r="B9642" s="207"/>
      <c r="C9642" s="210"/>
      <c r="D9642" s="211"/>
      <c r="E9642" s="211"/>
      <c r="U9642" s="222"/>
    </row>
    <row r="9643" spans="2:21" x14ac:dyDescent="0.2">
      <c r="B9643" s="207"/>
      <c r="C9643" s="210"/>
      <c r="D9643" s="211"/>
      <c r="E9643" s="211"/>
      <c r="U9643" s="222"/>
    </row>
    <row r="9644" spans="2:21" x14ac:dyDescent="0.2">
      <c r="B9644" s="207"/>
      <c r="C9644" s="210"/>
      <c r="D9644" s="211"/>
      <c r="E9644" s="211"/>
      <c r="U9644" s="222"/>
    </row>
    <row r="9645" spans="2:21" x14ac:dyDescent="0.2">
      <c r="B9645" s="207"/>
      <c r="C9645" s="210"/>
      <c r="D9645" s="211"/>
      <c r="E9645" s="211"/>
      <c r="U9645" s="222"/>
    </row>
    <row r="9646" spans="2:21" x14ac:dyDescent="0.2">
      <c r="B9646" s="207"/>
      <c r="C9646" s="210"/>
      <c r="D9646" s="211"/>
      <c r="E9646" s="211"/>
      <c r="U9646" s="222"/>
    </row>
    <row r="9647" spans="2:21" x14ac:dyDescent="0.2">
      <c r="B9647" s="207"/>
      <c r="C9647" s="210"/>
      <c r="D9647" s="211"/>
      <c r="E9647" s="211"/>
      <c r="U9647" s="222"/>
    </row>
    <row r="9648" spans="2:21" x14ac:dyDescent="0.2">
      <c r="B9648" s="207"/>
      <c r="C9648" s="210"/>
      <c r="D9648" s="211"/>
      <c r="E9648" s="211"/>
      <c r="U9648" s="222"/>
    </row>
    <row r="9649" spans="2:21" x14ac:dyDescent="0.2">
      <c r="B9649" s="207"/>
      <c r="C9649" s="210"/>
      <c r="D9649" s="211"/>
      <c r="E9649" s="211"/>
      <c r="U9649" s="222"/>
    </row>
    <row r="9650" spans="2:21" x14ac:dyDescent="0.2">
      <c r="B9650" s="207"/>
      <c r="C9650" s="210"/>
      <c r="D9650" s="211"/>
      <c r="E9650" s="211"/>
      <c r="U9650" s="222"/>
    </row>
    <row r="9651" spans="2:21" x14ac:dyDescent="0.2">
      <c r="B9651" s="207"/>
      <c r="C9651" s="210"/>
      <c r="D9651" s="211"/>
      <c r="E9651" s="211"/>
      <c r="U9651" s="222"/>
    </row>
    <row r="9652" spans="2:21" x14ac:dyDescent="0.2">
      <c r="B9652" s="207"/>
      <c r="C9652" s="210"/>
      <c r="D9652" s="211"/>
      <c r="E9652" s="211"/>
      <c r="U9652" s="222"/>
    </row>
    <row r="9653" spans="2:21" x14ac:dyDescent="0.2">
      <c r="B9653" s="207"/>
      <c r="C9653" s="210"/>
      <c r="D9653" s="211"/>
      <c r="E9653" s="211"/>
      <c r="U9653" s="222"/>
    </row>
    <row r="9654" spans="2:21" x14ac:dyDescent="0.2">
      <c r="B9654" s="207"/>
      <c r="C9654" s="210"/>
      <c r="D9654" s="211"/>
      <c r="E9654" s="211"/>
      <c r="U9654" s="222"/>
    </row>
    <row r="9655" spans="2:21" x14ac:dyDescent="0.2">
      <c r="B9655" s="207"/>
      <c r="C9655" s="210"/>
      <c r="D9655" s="211"/>
      <c r="E9655" s="211"/>
      <c r="U9655" s="222"/>
    </row>
    <row r="9656" spans="2:21" x14ac:dyDescent="0.2">
      <c r="B9656" s="207"/>
      <c r="C9656" s="210"/>
      <c r="D9656" s="211"/>
      <c r="E9656" s="211"/>
      <c r="U9656" s="222"/>
    </row>
    <row r="9657" spans="2:21" x14ac:dyDescent="0.2">
      <c r="B9657" s="207"/>
      <c r="C9657" s="210"/>
      <c r="D9657" s="211"/>
      <c r="E9657" s="211"/>
      <c r="U9657" s="222"/>
    </row>
    <row r="9658" spans="2:21" x14ac:dyDescent="0.2">
      <c r="B9658" s="207"/>
      <c r="C9658" s="210"/>
      <c r="D9658" s="211"/>
      <c r="E9658" s="211"/>
      <c r="U9658" s="222"/>
    </row>
    <row r="9659" spans="2:21" x14ac:dyDescent="0.2">
      <c r="B9659" s="207"/>
      <c r="C9659" s="210"/>
      <c r="D9659" s="211"/>
      <c r="E9659" s="211"/>
      <c r="U9659" s="222"/>
    </row>
    <row r="9660" spans="2:21" x14ac:dyDescent="0.2">
      <c r="B9660" s="207"/>
      <c r="C9660" s="210"/>
      <c r="D9660" s="211"/>
      <c r="E9660" s="211"/>
      <c r="U9660" s="222"/>
    </row>
    <row r="9661" spans="2:21" x14ac:dyDescent="0.2">
      <c r="B9661" s="207"/>
      <c r="C9661" s="210"/>
      <c r="D9661" s="211"/>
      <c r="E9661" s="211"/>
      <c r="U9661" s="222"/>
    </row>
    <row r="9662" spans="2:21" x14ac:dyDescent="0.2">
      <c r="B9662" s="207"/>
      <c r="C9662" s="210"/>
      <c r="D9662" s="211"/>
      <c r="E9662" s="211"/>
      <c r="U9662" s="222"/>
    </row>
    <row r="9663" spans="2:21" x14ac:dyDescent="0.2">
      <c r="B9663" s="207"/>
      <c r="C9663" s="210"/>
      <c r="D9663" s="211"/>
      <c r="E9663" s="211"/>
      <c r="U9663" s="222"/>
    </row>
    <row r="9664" spans="2:21" x14ac:dyDescent="0.2">
      <c r="B9664" s="207"/>
      <c r="C9664" s="210"/>
      <c r="D9664" s="211"/>
      <c r="E9664" s="211"/>
      <c r="U9664" s="222"/>
    </row>
    <row r="9665" spans="2:21" x14ac:dyDescent="0.2">
      <c r="B9665" s="207"/>
      <c r="C9665" s="210"/>
      <c r="D9665" s="211"/>
      <c r="E9665" s="211"/>
      <c r="U9665" s="222"/>
    </row>
    <row r="9666" spans="2:21" x14ac:dyDescent="0.2">
      <c r="B9666" s="207"/>
      <c r="C9666" s="210"/>
      <c r="D9666" s="211"/>
      <c r="E9666" s="211"/>
      <c r="U9666" s="222"/>
    </row>
    <row r="9667" spans="2:21" x14ac:dyDescent="0.2">
      <c r="B9667" s="207"/>
      <c r="C9667" s="210"/>
      <c r="D9667" s="211"/>
      <c r="E9667" s="211"/>
      <c r="U9667" s="222"/>
    </row>
    <row r="9668" spans="2:21" x14ac:dyDescent="0.2">
      <c r="B9668" s="207"/>
      <c r="C9668" s="210"/>
      <c r="D9668" s="211"/>
      <c r="E9668" s="211"/>
      <c r="U9668" s="222"/>
    </row>
    <row r="9669" spans="2:21" x14ac:dyDescent="0.2">
      <c r="B9669" s="207"/>
      <c r="C9669" s="210"/>
      <c r="D9669" s="211"/>
      <c r="E9669" s="211"/>
      <c r="U9669" s="222"/>
    </row>
    <row r="9670" spans="2:21" x14ac:dyDescent="0.2">
      <c r="B9670" s="207"/>
      <c r="C9670" s="210"/>
      <c r="D9670" s="211"/>
      <c r="E9670" s="211"/>
      <c r="U9670" s="222"/>
    </row>
    <row r="9671" spans="2:21" x14ac:dyDescent="0.2">
      <c r="B9671" s="207"/>
      <c r="C9671" s="210"/>
      <c r="D9671" s="211"/>
      <c r="E9671" s="211"/>
      <c r="U9671" s="222"/>
    </row>
    <row r="9672" spans="2:21" x14ac:dyDescent="0.2">
      <c r="B9672" s="207"/>
      <c r="C9672" s="210"/>
      <c r="D9672" s="211"/>
      <c r="E9672" s="211"/>
      <c r="U9672" s="222"/>
    </row>
    <row r="9673" spans="2:21" x14ac:dyDescent="0.2">
      <c r="B9673" s="207"/>
      <c r="C9673" s="210"/>
      <c r="D9673" s="211"/>
      <c r="E9673" s="211"/>
      <c r="U9673" s="222"/>
    </row>
    <row r="9674" spans="2:21" x14ac:dyDescent="0.2">
      <c r="B9674" s="207"/>
      <c r="C9674" s="210"/>
      <c r="D9674" s="211"/>
      <c r="E9674" s="211"/>
      <c r="U9674" s="222"/>
    </row>
    <row r="9675" spans="2:21" x14ac:dyDescent="0.2">
      <c r="B9675" s="207"/>
      <c r="C9675" s="210"/>
      <c r="D9675" s="211"/>
      <c r="E9675" s="211"/>
      <c r="U9675" s="222"/>
    </row>
    <row r="9676" spans="2:21" x14ac:dyDescent="0.2">
      <c r="B9676" s="207"/>
      <c r="C9676" s="210"/>
      <c r="D9676" s="211"/>
      <c r="E9676" s="211"/>
      <c r="U9676" s="222"/>
    </row>
    <row r="9677" spans="2:21" x14ac:dyDescent="0.2">
      <c r="B9677" s="207"/>
      <c r="C9677" s="210"/>
      <c r="D9677" s="211"/>
      <c r="E9677" s="211"/>
      <c r="U9677" s="222"/>
    </row>
    <row r="9678" spans="2:21" x14ac:dyDescent="0.2">
      <c r="B9678" s="207"/>
      <c r="C9678" s="210"/>
      <c r="D9678" s="211"/>
      <c r="E9678" s="211"/>
      <c r="U9678" s="222"/>
    </row>
    <row r="9679" spans="2:21" x14ac:dyDescent="0.2">
      <c r="B9679" s="207"/>
      <c r="C9679" s="210"/>
      <c r="D9679" s="211"/>
      <c r="E9679" s="211"/>
      <c r="U9679" s="222"/>
    </row>
    <row r="9680" spans="2:21" x14ac:dyDescent="0.2">
      <c r="B9680" s="207"/>
      <c r="C9680" s="210"/>
      <c r="D9680" s="211"/>
      <c r="E9680" s="211"/>
      <c r="U9680" s="222"/>
    </row>
    <row r="9681" spans="2:21" x14ac:dyDescent="0.2">
      <c r="B9681" s="207"/>
      <c r="C9681" s="210"/>
      <c r="D9681" s="211"/>
      <c r="E9681" s="211"/>
      <c r="U9681" s="222"/>
    </row>
    <row r="9682" spans="2:21" x14ac:dyDescent="0.2">
      <c r="B9682" s="207"/>
      <c r="C9682" s="210"/>
      <c r="D9682" s="211"/>
      <c r="E9682" s="211"/>
      <c r="U9682" s="222"/>
    </row>
    <row r="9683" spans="2:21" x14ac:dyDescent="0.2">
      <c r="B9683" s="207"/>
      <c r="C9683" s="210"/>
      <c r="D9683" s="211"/>
      <c r="E9683" s="211"/>
      <c r="U9683" s="222"/>
    </row>
    <row r="9684" spans="2:21" x14ac:dyDescent="0.2">
      <c r="B9684" s="207"/>
      <c r="C9684" s="210"/>
      <c r="D9684" s="211"/>
      <c r="E9684" s="211"/>
      <c r="U9684" s="222"/>
    </row>
    <row r="9685" spans="2:21" x14ac:dyDescent="0.2">
      <c r="B9685" s="207"/>
      <c r="C9685" s="210"/>
      <c r="D9685" s="211"/>
      <c r="E9685" s="211"/>
      <c r="U9685" s="222"/>
    </row>
    <row r="9686" spans="2:21" x14ac:dyDescent="0.2">
      <c r="B9686" s="207"/>
      <c r="C9686" s="210"/>
      <c r="D9686" s="211"/>
      <c r="E9686" s="211"/>
      <c r="U9686" s="222"/>
    </row>
    <row r="9687" spans="2:21" x14ac:dyDescent="0.2">
      <c r="B9687" s="207"/>
      <c r="C9687" s="210"/>
      <c r="D9687" s="211"/>
      <c r="E9687" s="211"/>
      <c r="U9687" s="222"/>
    </row>
    <row r="9688" spans="2:21" x14ac:dyDescent="0.2">
      <c r="B9688" s="207"/>
      <c r="C9688" s="210"/>
      <c r="D9688" s="211"/>
      <c r="E9688" s="211"/>
      <c r="U9688" s="222"/>
    </row>
    <row r="9689" spans="2:21" x14ac:dyDescent="0.2">
      <c r="B9689" s="207"/>
      <c r="C9689" s="210"/>
      <c r="D9689" s="211"/>
      <c r="E9689" s="211"/>
      <c r="U9689" s="222"/>
    </row>
    <row r="9690" spans="2:21" x14ac:dyDescent="0.2">
      <c r="B9690" s="207"/>
      <c r="C9690" s="210"/>
      <c r="D9690" s="211"/>
      <c r="E9690" s="211"/>
      <c r="U9690" s="222"/>
    </row>
    <row r="9691" spans="2:21" x14ac:dyDescent="0.2">
      <c r="B9691" s="207"/>
      <c r="C9691" s="210"/>
      <c r="D9691" s="211"/>
      <c r="E9691" s="211"/>
      <c r="U9691" s="222"/>
    </row>
    <row r="9692" spans="2:21" x14ac:dyDescent="0.2">
      <c r="B9692" s="207"/>
      <c r="C9692" s="210"/>
      <c r="D9692" s="211"/>
      <c r="E9692" s="211"/>
      <c r="U9692" s="222"/>
    </row>
    <row r="9693" spans="2:21" x14ac:dyDescent="0.2">
      <c r="B9693" s="207"/>
      <c r="C9693" s="210"/>
      <c r="D9693" s="211"/>
      <c r="E9693" s="211"/>
      <c r="U9693" s="222"/>
    </row>
    <row r="9694" spans="2:21" x14ac:dyDescent="0.2">
      <c r="B9694" s="207"/>
      <c r="C9694" s="210"/>
      <c r="D9694" s="211"/>
      <c r="E9694" s="211"/>
      <c r="U9694" s="222"/>
    </row>
    <row r="9695" spans="2:21" x14ac:dyDescent="0.2">
      <c r="B9695" s="207"/>
      <c r="C9695" s="210"/>
      <c r="D9695" s="211"/>
      <c r="E9695" s="211"/>
      <c r="U9695" s="222"/>
    </row>
    <row r="9696" spans="2:21" x14ac:dyDescent="0.2">
      <c r="B9696" s="207"/>
      <c r="C9696" s="210"/>
      <c r="D9696" s="211"/>
      <c r="E9696" s="211"/>
      <c r="U9696" s="222"/>
    </row>
    <row r="9697" spans="2:21" x14ac:dyDescent="0.2">
      <c r="B9697" s="207"/>
      <c r="C9697" s="210"/>
      <c r="D9697" s="211"/>
      <c r="E9697" s="211"/>
      <c r="U9697" s="222"/>
    </row>
    <row r="9698" spans="2:21" x14ac:dyDescent="0.2">
      <c r="B9698" s="207"/>
      <c r="C9698" s="210"/>
      <c r="D9698" s="211"/>
      <c r="E9698" s="211"/>
      <c r="U9698" s="222"/>
    </row>
    <row r="9699" spans="2:21" x14ac:dyDescent="0.2">
      <c r="B9699" s="207"/>
      <c r="C9699" s="210"/>
      <c r="D9699" s="211"/>
      <c r="E9699" s="211"/>
      <c r="U9699" s="222"/>
    </row>
    <row r="9700" spans="2:21" x14ac:dyDescent="0.2">
      <c r="B9700" s="207"/>
      <c r="C9700" s="210"/>
      <c r="D9700" s="211"/>
      <c r="E9700" s="211"/>
      <c r="U9700" s="222"/>
    </row>
    <row r="9701" spans="2:21" x14ac:dyDescent="0.2">
      <c r="B9701" s="207"/>
      <c r="C9701" s="210"/>
      <c r="D9701" s="211"/>
      <c r="E9701" s="211"/>
      <c r="U9701" s="222"/>
    </row>
    <row r="9702" spans="2:21" x14ac:dyDescent="0.2">
      <c r="B9702" s="207"/>
      <c r="C9702" s="210"/>
      <c r="D9702" s="211"/>
      <c r="E9702" s="211"/>
      <c r="U9702" s="222"/>
    </row>
    <row r="9703" spans="2:21" x14ac:dyDescent="0.2">
      <c r="B9703" s="207"/>
      <c r="C9703" s="210"/>
      <c r="D9703" s="211"/>
      <c r="E9703" s="211"/>
      <c r="U9703" s="222"/>
    </row>
    <row r="9704" spans="2:21" x14ac:dyDescent="0.2">
      <c r="B9704" s="207"/>
      <c r="C9704" s="210"/>
      <c r="D9704" s="211"/>
      <c r="E9704" s="211"/>
      <c r="U9704" s="222"/>
    </row>
    <row r="9705" spans="2:21" x14ac:dyDescent="0.2">
      <c r="B9705" s="207"/>
      <c r="C9705" s="210"/>
      <c r="D9705" s="211"/>
      <c r="E9705" s="211"/>
      <c r="U9705" s="222"/>
    </row>
    <row r="9706" spans="2:21" x14ac:dyDescent="0.2">
      <c r="B9706" s="207"/>
      <c r="C9706" s="210"/>
      <c r="D9706" s="211"/>
      <c r="E9706" s="211"/>
      <c r="U9706" s="222"/>
    </row>
    <row r="9707" spans="2:21" x14ac:dyDescent="0.2">
      <c r="B9707" s="207"/>
      <c r="C9707" s="210"/>
      <c r="D9707" s="211"/>
      <c r="E9707" s="211"/>
      <c r="U9707" s="222"/>
    </row>
    <row r="9708" spans="2:21" x14ac:dyDescent="0.2">
      <c r="B9708" s="207"/>
      <c r="C9708" s="210"/>
      <c r="D9708" s="211"/>
      <c r="E9708" s="211"/>
      <c r="U9708" s="222"/>
    </row>
    <row r="9709" spans="2:21" x14ac:dyDescent="0.2">
      <c r="B9709" s="207"/>
      <c r="C9709" s="210"/>
      <c r="D9709" s="211"/>
      <c r="E9709" s="211"/>
      <c r="U9709" s="222"/>
    </row>
    <row r="9710" spans="2:21" x14ac:dyDescent="0.2">
      <c r="B9710" s="207"/>
      <c r="C9710" s="210"/>
      <c r="D9710" s="211"/>
      <c r="E9710" s="211"/>
      <c r="U9710" s="222"/>
    </row>
    <row r="9711" spans="2:21" x14ac:dyDescent="0.2">
      <c r="B9711" s="207"/>
      <c r="C9711" s="210"/>
      <c r="D9711" s="211"/>
      <c r="E9711" s="211"/>
      <c r="U9711" s="222"/>
    </row>
    <row r="9712" spans="2:21" x14ac:dyDescent="0.2">
      <c r="B9712" s="207"/>
      <c r="C9712" s="210"/>
      <c r="D9712" s="211"/>
      <c r="E9712" s="211"/>
      <c r="U9712" s="222"/>
    </row>
    <row r="9713" spans="2:21" x14ac:dyDescent="0.2">
      <c r="B9713" s="207"/>
      <c r="C9713" s="210"/>
      <c r="D9713" s="211"/>
      <c r="E9713" s="211"/>
      <c r="U9713" s="222"/>
    </row>
    <row r="9714" spans="2:21" x14ac:dyDescent="0.2">
      <c r="B9714" s="207"/>
      <c r="C9714" s="210"/>
      <c r="D9714" s="211"/>
      <c r="E9714" s="211"/>
      <c r="U9714" s="222"/>
    </row>
    <row r="9715" spans="2:21" x14ac:dyDescent="0.2">
      <c r="B9715" s="207"/>
      <c r="C9715" s="210"/>
      <c r="D9715" s="211"/>
      <c r="E9715" s="211"/>
      <c r="U9715" s="222"/>
    </row>
    <row r="9716" spans="2:21" x14ac:dyDescent="0.2">
      <c r="B9716" s="207"/>
      <c r="C9716" s="210"/>
      <c r="D9716" s="211"/>
      <c r="E9716" s="211"/>
      <c r="U9716" s="222"/>
    </row>
    <row r="9717" spans="2:21" x14ac:dyDescent="0.2">
      <c r="B9717" s="207"/>
      <c r="C9717" s="210"/>
      <c r="D9717" s="211"/>
      <c r="E9717" s="211"/>
      <c r="U9717" s="222"/>
    </row>
    <row r="9718" spans="2:21" x14ac:dyDescent="0.2">
      <c r="B9718" s="207"/>
      <c r="C9718" s="210"/>
      <c r="D9718" s="211"/>
      <c r="E9718" s="211"/>
      <c r="U9718" s="222"/>
    </row>
    <row r="9719" spans="2:21" x14ac:dyDescent="0.2">
      <c r="B9719" s="207"/>
      <c r="C9719" s="210"/>
      <c r="D9719" s="211"/>
      <c r="E9719" s="211"/>
      <c r="U9719" s="222"/>
    </row>
    <row r="9720" spans="2:21" x14ac:dyDescent="0.2">
      <c r="B9720" s="207"/>
      <c r="C9720" s="210"/>
      <c r="D9720" s="211"/>
      <c r="E9720" s="211"/>
      <c r="U9720" s="222"/>
    </row>
    <row r="9721" spans="2:21" x14ac:dyDescent="0.2">
      <c r="B9721" s="207"/>
      <c r="C9721" s="210"/>
      <c r="D9721" s="211"/>
      <c r="E9721" s="211"/>
      <c r="U9721" s="222"/>
    </row>
    <row r="9722" spans="2:21" x14ac:dyDescent="0.2">
      <c r="B9722" s="207"/>
      <c r="C9722" s="210"/>
      <c r="D9722" s="211"/>
      <c r="E9722" s="211"/>
      <c r="U9722" s="222"/>
    </row>
    <row r="9723" spans="2:21" x14ac:dyDescent="0.2">
      <c r="B9723" s="207"/>
      <c r="C9723" s="210"/>
      <c r="D9723" s="211"/>
      <c r="E9723" s="211"/>
      <c r="U9723" s="222"/>
    </row>
    <row r="9724" spans="2:21" x14ac:dyDescent="0.2">
      <c r="B9724" s="207"/>
      <c r="C9724" s="210"/>
      <c r="D9724" s="211"/>
      <c r="E9724" s="211"/>
      <c r="U9724" s="222"/>
    </row>
    <row r="9725" spans="2:21" x14ac:dyDescent="0.2">
      <c r="B9725" s="207"/>
      <c r="C9725" s="210"/>
      <c r="D9725" s="211"/>
      <c r="E9725" s="211"/>
      <c r="U9725" s="222"/>
    </row>
    <row r="9726" spans="2:21" x14ac:dyDescent="0.2">
      <c r="B9726" s="207"/>
      <c r="C9726" s="210"/>
      <c r="D9726" s="211"/>
      <c r="E9726" s="211"/>
      <c r="U9726" s="222"/>
    </row>
    <row r="9727" spans="2:21" x14ac:dyDescent="0.2">
      <c r="B9727" s="207"/>
      <c r="C9727" s="210"/>
      <c r="D9727" s="211"/>
      <c r="E9727" s="211"/>
      <c r="U9727" s="222"/>
    </row>
    <row r="9728" spans="2:21" x14ac:dyDescent="0.2">
      <c r="B9728" s="207"/>
      <c r="C9728" s="210"/>
      <c r="D9728" s="211"/>
      <c r="E9728" s="211"/>
      <c r="U9728" s="222"/>
    </row>
    <row r="9729" spans="2:21" x14ac:dyDescent="0.2">
      <c r="B9729" s="207"/>
      <c r="C9729" s="210"/>
      <c r="D9729" s="211"/>
      <c r="E9729" s="211"/>
      <c r="U9729" s="222"/>
    </row>
    <row r="9730" spans="2:21" x14ac:dyDescent="0.2">
      <c r="B9730" s="207"/>
      <c r="C9730" s="210"/>
      <c r="D9730" s="211"/>
      <c r="E9730" s="211"/>
      <c r="U9730" s="222"/>
    </row>
    <row r="9731" spans="2:21" x14ac:dyDescent="0.2">
      <c r="B9731" s="207"/>
      <c r="C9731" s="210"/>
      <c r="D9731" s="211"/>
      <c r="E9731" s="211"/>
      <c r="U9731" s="222"/>
    </row>
    <row r="9732" spans="2:21" x14ac:dyDescent="0.2">
      <c r="B9732" s="207"/>
      <c r="C9732" s="210"/>
      <c r="D9732" s="211"/>
      <c r="E9732" s="211"/>
      <c r="U9732" s="222"/>
    </row>
    <row r="9733" spans="2:21" x14ac:dyDescent="0.2">
      <c r="B9733" s="207"/>
      <c r="C9733" s="210"/>
      <c r="D9733" s="211"/>
      <c r="E9733" s="211"/>
      <c r="U9733" s="222"/>
    </row>
    <row r="9734" spans="2:21" x14ac:dyDescent="0.2">
      <c r="B9734" s="207"/>
      <c r="C9734" s="210"/>
      <c r="D9734" s="211"/>
      <c r="E9734" s="211"/>
      <c r="U9734" s="222"/>
    </row>
    <row r="9735" spans="2:21" x14ac:dyDescent="0.2">
      <c r="B9735" s="207"/>
      <c r="C9735" s="210"/>
      <c r="D9735" s="211"/>
      <c r="E9735" s="211"/>
      <c r="U9735" s="222"/>
    </row>
    <row r="9736" spans="2:21" x14ac:dyDescent="0.2">
      <c r="B9736" s="207"/>
      <c r="C9736" s="210"/>
      <c r="D9736" s="211"/>
      <c r="E9736" s="211"/>
      <c r="U9736" s="222"/>
    </row>
    <row r="9737" spans="2:21" x14ac:dyDescent="0.2">
      <c r="B9737" s="207"/>
      <c r="C9737" s="210"/>
      <c r="D9737" s="211"/>
      <c r="E9737" s="211"/>
      <c r="U9737" s="222"/>
    </row>
    <row r="9738" spans="2:21" x14ac:dyDescent="0.2">
      <c r="B9738" s="207"/>
      <c r="C9738" s="210"/>
      <c r="D9738" s="211"/>
      <c r="E9738" s="211"/>
      <c r="U9738" s="222"/>
    </row>
    <row r="9739" spans="2:21" x14ac:dyDescent="0.2">
      <c r="B9739" s="207"/>
      <c r="C9739" s="210"/>
      <c r="D9739" s="211"/>
      <c r="E9739" s="211"/>
      <c r="U9739" s="222"/>
    </row>
    <row r="9740" spans="2:21" x14ac:dyDescent="0.2">
      <c r="B9740" s="207"/>
      <c r="C9740" s="210"/>
      <c r="D9740" s="211"/>
      <c r="E9740" s="211"/>
      <c r="U9740" s="222"/>
    </row>
    <row r="9741" spans="2:21" x14ac:dyDescent="0.2">
      <c r="B9741" s="207"/>
      <c r="C9741" s="210"/>
      <c r="D9741" s="211"/>
      <c r="E9741" s="211"/>
      <c r="U9741" s="222"/>
    </row>
    <row r="9742" spans="2:21" x14ac:dyDescent="0.2">
      <c r="B9742" s="207"/>
      <c r="C9742" s="210"/>
      <c r="D9742" s="211"/>
      <c r="E9742" s="211"/>
      <c r="U9742" s="222"/>
    </row>
    <row r="9743" spans="2:21" x14ac:dyDescent="0.2">
      <c r="B9743" s="207"/>
      <c r="C9743" s="210"/>
      <c r="D9743" s="211"/>
      <c r="E9743" s="211"/>
      <c r="U9743" s="222"/>
    </row>
    <row r="9744" spans="2:21" x14ac:dyDescent="0.2">
      <c r="B9744" s="207"/>
      <c r="C9744" s="210"/>
      <c r="D9744" s="211"/>
      <c r="E9744" s="211"/>
      <c r="U9744" s="222"/>
    </row>
    <row r="9745" spans="2:21" x14ac:dyDescent="0.2">
      <c r="B9745" s="207"/>
      <c r="C9745" s="210"/>
      <c r="D9745" s="211"/>
      <c r="E9745" s="211"/>
      <c r="U9745" s="222"/>
    </row>
    <row r="9746" spans="2:21" x14ac:dyDescent="0.2">
      <c r="B9746" s="207"/>
      <c r="C9746" s="210"/>
      <c r="D9746" s="211"/>
      <c r="E9746" s="211"/>
      <c r="U9746" s="222"/>
    </row>
    <row r="9747" spans="2:21" x14ac:dyDescent="0.2">
      <c r="B9747" s="207"/>
      <c r="C9747" s="210"/>
      <c r="D9747" s="211"/>
      <c r="E9747" s="211"/>
      <c r="U9747" s="222"/>
    </row>
    <row r="9748" spans="2:21" x14ac:dyDescent="0.2">
      <c r="B9748" s="207"/>
      <c r="C9748" s="210"/>
      <c r="D9748" s="211"/>
      <c r="E9748" s="211"/>
      <c r="U9748" s="222"/>
    </row>
    <row r="9749" spans="2:21" x14ac:dyDescent="0.2">
      <c r="B9749" s="207"/>
      <c r="C9749" s="210"/>
      <c r="D9749" s="211"/>
      <c r="E9749" s="211"/>
      <c r="U9749" s="222"/>
    </row>
    <row r="9750" spans="2:21" x14ac:dyDescent="0.2">
      <c r="B9750" s="207"/>
      <c r="C9750" s="210"/>
      <c r="D9750" s="211"/>
      <c r="E9750" s="211"/>
      <c r="U9750" s="222"/>
    </row>
    <row r="9751" spans="2:21" x14ac:dyDescent="0.2">
      <c r="B9751" s="207"/>
      <c r="C9751" s="210"/>
      <c r="D9751" s="211"/>
      <c r="E9751" s="211"/>
      <c r="U9751" s="222"/>
    </row>
    <row r="9752" spans="2:21" x14ac:dyDescent="0.2">
      <c r="B9752" s="207"/>
      <c r="C9752" s="210"/>
      <c r="D9752" s="211"/>
      <c r="E9752" s="211"/>
      <c r="U9752" s="222"/>
    </row>
    <row r="9753" spans="2:21" x14ac:dyDescent="0.2">
      <c r="B9753" s="207"/>
      <c r="C9753" s="210"/>
      <c r="D9753" s="211"/>
      <c r="E9753" s="211"/>
      <c r="U9753" s="222"/>
    </row>
    <row r="9754" spans="2:21" x14ac:dyDescent="0.2">
      <c r="B9754" s="207"/>
      <c r="C9754" s="210"/>
      <c r="D9754" s="211"/>
      <c r="E9754" s="211"/>
      <c r="U9754" s="222"/>
    </row>
    <row r="9755" spans="2:21" x14ac:dyDescent="0.2">
      <c r="B9755" s="207"/>
      <c r="C9755" s="210"/>
      <c r="D9755" s="211"/>
      <c r="E9755" s="211"/>
      <c r="U9755" s="222"/>
    </row>
    <row r="9756" spans="2:21" x14ac:dyDescent="0.2">
      <c r="B9756" s="207"/>
      <c r="C9756" s="210"/>
      <c r="D9756" s="211"/>
      <c r="E9756" s="211"/>
      <c r="U9756" s="222"/>
    </row>
    <row r="9757" spans="2:21" x14ac:dyDescent="0.2">
      <c r="B9757" s="207"/>
      <c r="C9757" s="210"/>
      <c r="D9757" s="211"/>
      <c r="E9757" s="211"/>
      <c r="U9757" s="222"/>
    </row>
    <row r="9758" spans="2:21" x14ac:dyDescent="0.2">
      <c r="B9758" s="207"/>
      <c r="C9758" s="210"/>
      <c r="D9758" s="211"/>
      <c r="E9758" s="211"/>
      <c r="U9758" s="222"/>
    </row>
    <row r="9759" spans="2:21" x14ac:dyDescent="0.2">
      <c r="B9759" s="207"/>
      <c r="C9759" s="210"/>
      <c r="D9759" s="211"/>
      <c r="E9759" s="211"/>
      <c r="U9759" s="222"/>
    </row>
    <row r="9760" spans="2:21" x14ac:dyDescent="0.2">
      <c r="B9760" s="207"/>
      <c r="C9760" s="210"/>
      <c r="D9760" s="211"/>
      <c r="E9760" s="211"/>
      <c r="U9760" s="222"/>
    </row>
    <row r="9761" spans="2:21" x14ac:dyDescent="0.2">
      <c r="B9761" s="207"/>
      <c r="C9761" s="210"/>
      <c r="D9761" s="211"/>
      <c r="E9761" s="211"/>
      <c r="U9761" s="222"/>
    </row>
    <row r="9762" spans="2:21" x14ac:dyDescent="0.2">
      <c r="B9762" s="207"/>
      <c r="C9762" s="210"/>
      <c r="D9762" s="211"/>
      <c r="E9762" s="211"/>
      <c r="U9762" s="222"/>
    </row>
    <row r="9763" spans="2:21" x14ac:dyDescent="0.2">
      <c r="B9763" s="207"/>
      <c r="C9763" s="210"/>
      <c r="D9763" s="211"/>
      <c r="E9763" s="211"/>
      <c r="U9763" s="222"/>
    </row>
    <row r="9764" spans="2:21" x14ac:dyDescent="0.2">
      <c r="B9764" s="207"/>
      <c r="C9764" s="210"/>
      <c r="D9764" s="211"/>
      <c r="E9764" s="211"/>
      <c r="U9764" s="222"/>
    </row>
    <row r="9765" spans="2:21" x14ac:dyDescent="0.2">
      <c r="B9765" s="207"/>
      <c r="C9765" s="210"/>
      <c r="D9765" s="211"/>
      <c r="E9765" s="211"/>
      <c r="U9765" s="222"/>
    </row>
    <row r="9766" spans="2:21" x14ac:dyDescent="0.2">
      <c r="B9766" s="207"/>
      <c r="C9766" s="210"/>
      <c r="D9766" s="211"/>
      <c r="E9766" s="211"/>
      <c r="U9766" s="222"/>
    </row>
    <row r="9767" spans="2:21" x14ac:dyDescent="0.2">
      <c r="B9767" s="207"/>
      <c r="C9767" s="210"/>
      <c r="D9767" s="211"/>
      <c r="E9767" s="211"/>
      <c r="U9767" s="222"/>
    </row>
    <row r="9768" spans="2:21" x14ac:dyDescent="0.2">
      <c r="B9768" s="207"/>
      <c r="C9768" s="210"/>
      <c r="D9768" s="211"/>
      <c r="E9768" s="211"/>
      <c r="U9768" s="222"/>
    </row>
    <row r="9769" spans="2:21" x14ac:dyDescent="0.2">
      <c r="B9769" s="207"/>
      <c r="C9769" s="210"/>
      <c r="D9769" s="211"/>
      <c r="E9769" s="211"/>
      <c r="U9769" s="222"/>
    </row>
    <row r="9770" spans="2:21" x14ac:dyDescent="0.2">
      <c r="B9770" s="207"/>
      <c r="C9770" s="210"/>
      <c r="D9770" s="211"/>
      <c r="E9770" s="211"/>
      <c r="U9770" s="222"/>
    </row>
    <row r="9771" spans="2:21" x14ac:dyDescent="0.2">
      <c r="B9771" s="207"/>
      <c r="C9771" s="210"/>
      <c r="D9771" s="211"/>
      <c r="E9771" s="211"/>
      <c r="U9771" s="222"/>
    </row>
    <row r="9772" spans="2:21" x14ac:dyDescent="0.2">
      <c r="B9772" s="207"/>
      <c r="C9772" s="210"/>
      <c r="D9772" s="211"/>
      <c r="E9772" s="211"/>
      <c r="U9772" s="222"/>
    </row>
    <row r="9773" spans="2:21" x14ac:dyDescent="0.2">
      <c r="B9773" s="207"/>
      <c r="C9773" s="210"/>
      <c r="D9773" s="211"/>
      <c r="E9773" s="211"/>
      <c r="U9773" s="222"/>
    </row>
    <row r="9774" spans="2:21" x14ac:dyDescent="0.2">
      <c r="B9774" s="207"/>
      <c r="C9774" s="210"/>
      <c r="D9774" s="211"/>
      <c r="E9774" s="211"/>
      <c r="U9774" s="222"/>
    </row>
    <row r="9775" spans="2:21" x14ac:dyDescent="0.2">
      <c r="B9775" s="207"/>
      <c r="C9775" s="210"/>
      <c r="D9775" s="211"/>
      <c r="E9775" s="211"/>
      <c r="U9775" s="222"/>
    </row>
    <row r="9776" spans="2:21" x14ac:dyDescent="0.2">
      <c r="B9776" s="207"/>
      <c r="C9776" s="210"/>
      <c r="D9776" s="211"/>
      <c r="E9776" s="211"/>
      <c r="U9776" s="222"/>
    </row>
    <row r="9777" spans="2:21" x14ac:dyDescent="0.2">
      <c r="B9777" s="207"/>
      <c r="C9777" s="210"/>
      <c r="D9777" s="211"/>
      <c r="E9777" s="211"/>
      <c r="U9777" s="222"/>
    </row>
    <row r="9778" spans="2:21" x14ac:dyDescent="0.2">
      <c r="B9778" s="207"/>
      <c r="C9778" s="210"/>
      <c r="D9778" s="211"/>
      <c r="E9778" s="211"/>
      <c r="U9778" s="222"/>
    </row>
    <row r="9779" spans="2:21" x14ac:dyDescent="0.2">
      <c r="B9779" s="207"/>
      <c r="C9779" s="210"/>
      <c r="D9779" s="211"/>
      <c r="E9779" s="211"/>
      <c r="U9779" s="222"/>
    </row>
    <row r="9780" spans="2:21" x14ac:dyDescent="0.2">
      <c r="B9780" s="207"/>
      <c r="C9780" s="210"/>
      <c r="D9780" s="211"/>
      <c r="E9780" s="211"/>
      <c r="U9780" s="222"/>
    </row>
    <row r="9781" spans="2:21" x14ac:dyDescent="0.2">
      <c r="B9781" s="207"/>
      <c r="C9781" s="210"/>
      <c r="D9781" s="211"/>
      <c r="E9781" s="211"/>
      <c r="U9781" s="222"/>
    </row>
    <row r="9782" spans="2:21" x14ac:dyDescent="0.2">
      <c r="B9782" s="207"/>
      <c r="C9782" s="210"/>
      <c r="D9782" s="211"/>
      <c r="E9782" s="211"/>
      <c r="U9782" s="222"/>
    </row>
    <row r="9783" spans="2:21" x14ac:dyDescent="0.2">
      <c r="B9783" s="207"/>
      <c r="C9783" s="210"/>
      <c r="D9783" s="211"/>
      <c r="E9783" s="211"/>
      <c r="U9783" s="222"/>
    </row>
    <row r="9784" spans="2:21" x14ac:dyDescent="0.2">
      <c r="B9784" s="207"/>
      <c r="C9784" s="210"/>
      <c r="D9784" s="211"/>
      <c r="E9784" s="211"/>
      <c r="U9784" s="222"/>
    </row>
    <row r="9785" spans="2:21" x14ac:dyDescent="0.2">
      <c r="B9785" s="207"/>
      <c r="C9785" s="210"/>
      <c r="D9785" s="211"/>
      <c r="E9785" s="211"/>
      <c r="U9785" s="222"/>
    </row>
    <row r="9786" spans="2:21" x14ac:dyDescent="0.2">
      <c r="B9786" s="207"/>
      <c r="C9786" s="210"/>
      <c r="D9786" s="211"/>
      <c r="E9786" s="211"/>
      <c r="U9786" s="222"/>
    </row>
    <row r="9787" spans="2:21" x14ac:dyDescent="0.2">
      <c r="B9787" s="207"/>
      <c r="C9787" s="210"/>
      <c r="D9787" s="211"/>
      <c r="E9787" s="211"/>
      <c r="U9787" s="222"/>
    </row>
    <row r="9788" spans="2:21" x14ac:dyDescent="0.2">
      <c r="B9788" s="207"/>
      <c r="C9788" s="210"/>
      <c r="D9788" s="211"/>
      <c r="E9788" s="211"/>
      <c r="U9788" s="222"/>
    </row>
    <row r="9789" spans="2:21" x14ac:dyDescent="0.2">
      <c r="B9789" s="207"/>
      <c r="C9789" s="210"/>
      <c r="D9789" s="211"/>
      <c r="E9789" s="211"/>
      <c r="U9789" s="222"/>
    </row>
    <row r="9790" spans="2:21" x14ac:dyDescent="0.2">
      <c r="B9790" s="207"/>
      <c r="C9790" s="210"/>
      <c r="D9790" s="211"/>
      <c r="E9790" s="211"/>
      <c r="U9790" s="222"/>
    </row>
    <row r="9791" spans="2:21" x14ac:dyDescent="0.2">
      <c r="B9791" s="207"/>
      <c r="C9791" s="210"/>
      <c r="D9791" s="211"/>
      <c r="E9791" s="211"/>
      <c r="U9791" s="222"/>
    </row>
    <row r="9792" spans="2:21" x14ac:dyDescent="0.2">
      <c r="B9792" s="207"/>
      <c r="C9792" s="210"/>
      <c r="D9792" s="211"/>
      <c r="E9792" s="211"/>
      <c r="U9792" s="222"/>
    </row>
    <row r="9793" spans="2:21" x14ac:dyDescent="0.2">
      <c r="B9793" s="207"/>
      <c r="C9793" s="210"/>
      <c r="D9793" s="211"/>
      <c r="E9793" s="211"/>
      <c r="U9793" s="222"/>
    </row>
    <row r="9794" spans="2:21" x14ac:dyDescent="0.2">
      <c r="B9794" s="207"/>
      <c r="C9794" s="210"/>
      <c r="D9794" s="211"/>
      <c r="E9794" s="211"/>
      <c r="U9794" s="222"/>
    </row>
    <row r="9795" spans="2:21" x14ac:dyDescent="0.2">
      <c r="B9795" s="207"/>
      <c r="C9795" s="210"/>
      <c r="D9795" s="211"/>
      <c r="E9795" s="211"/>
      <c r="U9795" s="222"/>
    </row>
    <row r="9796" spans="2:21" x14ac:dyDescent="0.2">
      <c r="B9796" s="207"/>
      <c r="C9796" s="210"/>
      <c r="D9796" s="211"/>
      <c r="E9796" s="211"/>
      <c r="U9796" s="222"/>
    </row>
    <row r="9797" spans="2:21" x14ac:dyDescent="0.2">
      <c r="B9797" s="207"/>
      <c r="C9797" s="210"/>
      <c r="D9797" s="211"/>
      <c r="E9797" s="211"/>
      <c r="U9797" s="222"/>
    </row>
    <row r="9798" spans="2:21" x14ac:dyDescent="0.2">
      <c r="B9798" s="207"/>
      <c r="C9798" s="210"/>
      <c r="D9798" s="211"/>
      <c r="E9798" s="211"/>
      <c r="U9798" s="222"/>
    </row>
    <row r="9799" spans="2:21" x14ac:dyDescent="0.2">
      <c r="B9799" s="207"/>
      <c r="C9799" s="210"/>
      <c r="D9799" s="211"/>
      <c r="E9799" s="211"/>
      <c r="U9799" s="222"/>
    </row>
    <row r="9800" spans="2:21" x14ac:dyDescent="0.2">
      <c r="B9800" s="207"/>
      <c r="C9800" s="210"/>
      <c r="D9800" s="211"/>
      <c r="E9800" s="211"/>
      <c r="U9800" s="222"/>
    </row>
    <row r="9801" spans="2:21" x14ac:dyDescent="0.2">
      <c r="B9801" s="207"/>
      <c r="C9801" s="210"/>
      <c r="D9801" s="211"/>
      <c r="E9801" s="211"/>
      <c r="U9801" s="222"/>
    </row>
    <row r="9802" spans="2:21" x14ac:dyDescent="0.2">
      <c r="B9802" s="207"/>
      <c r="C9802" s="210"/>
      <c r="D9802" s="211"/>
      <c r="E9802" s="211"/>
      <c r="U9802" s="222"/>
    </row>
    <row r="9803" spans="2:21" x14ac:dyDescent="0.2">
      <c r="B9803" s="207"/>
      <c r="C9803" s="210"/>
      <c r="D9803" s="211"/>
      <c r="E9803" s="211"/>
      <c r="U9803" s="222"/>
    </row>
    <row r="9804" spans="2:21" x14ac:dyDescent="0.2">
      <c r="B9804" s="207"/>
      <c r="C9804" s="210"/>
      <c r="D9804" s="211"/>
      <c r="E9804" s="211"/>
      <c r="U9804" s="222"/>
    </row>
    <row r="9805" spans="2:21" x14ac:dyDescent="0.2">
      <c r="B9805" s="207"/>
      <c r="C9805" s="210"/>
      <c r="D9805" s="211"/>
      <c r="E9805" s="211"/>
      <c r="U9805" s="222"/>
    </row>
    <row r="9806" spans="2:21" x14ac:dyDescent="0.2">
      <c r="B9806" s="207"/>
      <c r="C9806" s="210"/>
      <c r="D9806" s="211"/>
      <c r="E9806" s="211"/>
      <c r="U9806" s="222"/>
    </row>
    <row r="9807" spans="2:21" x14ac:dyDescent="0.2">
      <c r="B9807" s="207"/>
      <c r="C9807" s="210"/>
      <c r="D9807" s="211"/>
      <c r="E9807" s="211"/>
      <c r="U9807" s="222"/>
    </row>
    <row r="9808" spans="2:21" x14ac:dyDescent="0.2">
      <c r="B9808" s="207"/>
      <c r="C9808" s="210"/>
      <c r="D9808" s="211"/>
      <c r="E9808" s="211"/>
      <c r="U9808" s="222"/>
    </row>
    <row r="9809" spans="2:21" x14ac:dyDescent="0.2">
      <c r="B9809" s="207"/>
      <c r="C9809" s="210"/>
      <c r="D9809" s="211"/>
      <c r="E9809" s="211"/>
      <c r="U9809" s="222"/>
    </row>
    <row r="9810" spans="2:21" x14ac:dyDescent="0.2">
      <c r="B9810" s="207"/>
      <c r="C9810" s="210"/>
      <c r="D9810" s="211"/>
      <c r="E9810" s="211"/>
      <c r="U9810" s="222"/>
    </row>
    <row r="9811" spans="2:21" x14ac:dyDescent="0.2">
      <c r="B9811" s="207"/>
      <c r="C9811" s="210"/>
      <c r="D9811" s="211"/>
      <c r="E9811" s="211"/>
      <c r="U9811" s="222"/>
    </row>
    <row r="9812" spans="2:21" x14ac:dyDescent="0.2">
      <c r="B9812" s="207"/>
      <c r="C9812" s="210"/>
      <c r="D9812" s="211"/>
      <c r="E9812" s="211"/>
      <c r="U9812" s="222"/>
    </row>
    <row r="9813" spans="2:21" x14ac:dyDescent="0.2">
      <c r="B9813" s="207"/>
      <c r="C9813" s="210"/>
      <c r="D9813" s="211"/>
      <c r="E9813" s="211"/>
      <c r="U9813" s="222"/>
    </row>
    <row r="9814" spans="2:21" x14ac:dyDescent="0.2">
      <c r="B9814" s="207"/>
      <c r="C9814" s="210"/>
      <c r="D9814" s="211"/>
      <c r="E9814" s="211"/>
      <c r="U9814" s="222"/>
    </row>
    <row r="9815" spans="2:21" x14ac:dyDescent="0.2">
      <c r="B9815" s="207"/>
      <c r="C9815" s="210"/>
      <c r="D9815" s="211"/>
      <c r="E9815" s="211"/>
      <c r="U9815" s="222"/>
    </row>
    <row r="9816" spans="2:21" x14ac:dyDescent="0.2">
      <c r="B9816" s="207"/>
      <c r="C9816" s="210"/>
      <c r="D9816" s="211"/>
      <c r="E9816" s="211"/>
      <c r="U9816" s="222"/>
    </row>
    <row r="9817" spans="2:21" x14ac:dyDescent="0.2">
      <c r="B9817" s="207"/>
      <c r="C9817" s="210"/>
      <c r="D9817" s="211"/>
      <c r="E9817" s="211"/>
      <c r="U9817" s="222"/>
    </row>
    <row r="9818" spans="2:21" x14ac:dyDescent="0.2">
      <c r="B9818" s="207"/>
      <c r="C9818" s="210"/>
      <c r="D9818" s="211"/>
      <c r="E9818" s="211"/>
      <c r="U9818" s="222"/>
    </row>
    <row r="9819" spans="2:21" x14ac:dyDescent="0.2">
      <c r="B9819" s="207"/>
      <c r="C9819" s="210"/>
      <c r="D9819" s="211"/>
      <c r="E9819" s="211"/>
      <c r="U9819" s="222"/>
    </row>
    <row r="9820" spans="2:21" x14ac:dyDescent="0.2">
      <c r="B9820" s="207"/>
      <c r="C9820" s="210"/>
      <c r="D9820" s="211"/>
      <c r="E9820" s="211"/>
      <c r="U9820" s="222"/>
    </row>
    <row r="9821" spans="2:21" x14ac:dyDescent="0.2">
      <c r="B9821" s="207"/>
      <c r="C9821" s="210"/>
      <c r="D9821" s="211"/>
      <c r="E9821" s="211"/>
      <c r="U9821" s="222"/>
    </row>
    <row r="9822" spans="2:21" x14ac:dyDescent="0.2">
      <c r="B9822" s="207"/>
      <c r="C9822" s="210"/>
      <c r="D9822" s="211"/>
      <c r="E9822" s="211"/>
      <c r="U9822" s="222"/>
    </row>
    <row r="9823" spans="2:21" x14ac:dyDescent="0.2">
      <c r="B9823" s="207"/>
      <c r="C9823" s="210"/>
      <c r="D9823" s="211"/>
      <c r="E9823" s="211"/>
      <c r="U9823" s="222"/>
    </row>
    <row r="9824" spans="2:21" x14ac:dyDescent="0.2">
      <c r="B9824" s="207"/>
      <c r="C9824" s="210"/>
      <c r="D9824" s="211"/>
      <c r="E9824" s="211"/>
      <c r="U9824" s="222"/>
    </row>
    <row r="9825" spans="2:21" x14ac:dyDescent="0.2">
      <c r="B9825" s="207"/>
      <c r="C9825" s="210"/>
      <c r="D9825" s="211"/>
      <c r="E9825" s="211"/>
      <c r="U9825" s="222"/>
    </row>
    <row r="9826" spans="2:21" x14ac:dyDescent="0.2">
      <c r="B9826" s="207"/>
      <c r="C9826" s="210"/>
      <c r="D9826" s="211"/>
      <c r="E9826" s="211"/>
      <c r="U9826" s="222"/>
    </row>
    <row r="9827" spans="2:21" x14ac:dyDescent="0.2">
      <c r="B9827" s="207"/>
      <c r="C9827" s="210"/>
      <c r="D9827" s="211"/>
      <c r="E9827" s="211"/>
      <c r="U9827" s="222"/>
    </row>
    <row r="9828" spans="2:21" x14ac:dyDescent="0.2">
      <c r="B9828" s="207"/>
      <c r="C9828" s="210"/>
      <c r="D9828" s="211"/>
      <c r="E9828" s="211"/>
      <c r="U9828" s="222"/>
    </row>
    <row r="9829" spans="2:21" x14ac:dyDescent="0.2">
      <c r="B9829" s="207"/>
      <c r="C9829" s="210"/>
      <c r="D9829" s="211"/>
      <c r="E9829" s="211"/>
      <c r="U9829" s="222"/>
    </row>
    <row r="9830" spans="2:21" x14ac:dyDescent="0.2">
      <c r="B9830" s="207"/>
      <c r="C9830" s="210"/>
      <c r="D9830" s="211"/>
      <c r="E9830" s="211"/>
      <c r="U9830" s="222"/>
    </row>
    <row r="9831" spans="2:21" x14ac:dyDescent="0.2">
      <c r="B9831" s="207"/>
      <c r="C9831" s="210"/>
      <c r="D9831" s="211"/>
      <c r="E9831" s="211"/>
      <c r="U9831" s="222"/>
    </row>
    <row r="9832" spans="2:21" x14ac:dyDescent="0.2">
      <c r="B9832" s="207"/>
      <c r="C9832" s="210"/>
      <c r="D9832" s="211"/>
      <c r="E9832" s="211"/>
      <c r="U9832" s="222"/>
    </row>
    <row r="9833" spans="2:21" x14ac:dyDescent="0.2">
      <c r="B9833" s="207"/>
      <c r="C9833" s="210"/>
      <c r="D9833" s="211"/>
      <c r="E9833" s="211"/>
      <c r="U9833" s="222"/>
    </row>
    <row r="9834" spans="2:21" x14ac:dyDescent="0.2">
      <c r="B9834" s="207"/>
      <c r="C9834" s="210"/>
      <c r="D9834" s="211"/>
      <c r="E9834" s="211"/>
      <c r="U9834" s="222"/>
    </row>
    <row r="9835" spans="2:21" x14ac:dyDescent="0.2">
      <c r="B9835" s="207"/>
      <c r="C9835" s="210"/>
      <c r="D9835" s="211"/>
      <c r="E9835" s="211"/>
      <c r="U9835" s="222"/>
    </row>
    <row r="9836" spans="2:21" x14ac:dyDescent="0.2">
      <c r="B9836" s="207"/>
      <c r="C9836" s="210"/>
      <c r="D9836" s="211"/>
      <c r="E9836" s="211"/>
      <c r="U9836" s="222"/>
    </row>
    <row r="9837" spans="2:21" x14ac:dyDescent="0.2">
      <c r="B9837" s="207"/>
      <c r="C9837" s="210"/>
      <c r="D9837" s="211"/>
      <c r="E9837" s="211"/>
      <c r="U9837" s="222"/>
    </row>
    <row r="9838" spans="2:21" x14ac:dyDescent="0.2">
      <c r="B9838" s="207"/>
      <c r="C9838" s="210"/>
      <c r="D9838" s="211"/>
      <c r="E9838" s="211"/>
      <c r="U9838" s="222"/>
    </row>
    <row r="9839" spans="2:21" x14ac:dyDescent="0.2">
      <c r="B9839" s="207"/>
      <c r="C9839" s="210"/>
      <c r="D9839" s="211"/>
      <c r="E9839" s="211"/>
      <c r="U9839" s="222"/>
    </row>
    <row r="9840" spans="2:21" x14ac:dyDescent="0.2">
      <c r="B9840" s="207"/>
      <c r="C9840" s="210"/>
      <c r="D9840" s="211"/>
      <c r="E9840" s="211"/>
      <c r="U9840" s="222"/>
    </row>
    <row r="9841" spans="2:21" x14ac:dyDescent="0.2">
      <c r="B9841" s="207"/>
      <c r="C9841" s="210"/>
      <c r="D9841" s="211"/>
      <c r="E9841" s="211"/>
      <c r="U9841" s="222"/>
    </row>
    <row r="9842" spans="2:21" x14ac:dyDescent="0.2">
      <c r="B9842" s="207"/>
      <c r="C9842" s="210"/>
      <c r="D9842" s="211"/>
      <c r="E9842" s="211"/>
      <c r="U9842" s="222"/>
    </row>
    <row r="9843" spans="2:21" x14ac:dyDescent="0.2">
      <c r="B9843" s="207"/>
      <c r="C9843" s="210"/>
      <c r="D9843" s="211"/>
      <c r="E9843" s="211"/>
      <c r="U9843" s="222"/>
    </row>
    <row r="9844" spans="2:21" x14ac:dyDescent="0.2">
      <c r="B9844" s="207"/>
      <c r="C9844" s="210"/>
      <c r="D9844" s="211"/>
      <c r="E9844" s="211"/>
      <c r="U9844" s="222"/>
    </row>
    <row r="9845" spans="2:21" x14ac:dyDescent="0.2">
      <c r="B9845" s="207"/>
      <c r="C9845" s="210"/>
      <c r="D9845" s="211"/>
      <c r="E9845" s="211"/>
      <c r="U9845" s="222"/>
    </row>
    <row r="9846" spans="2:21" x14ac:dyDescent="0.2">
      <c r="B9846" s="207"/>
      <c r="C9846" s="210"/>
      <c r="D9846" s="211"/>
      <c r="E9846" s="211"/>
      <c r="U9846" s="222"/>
    </row>
    <row r="9847" spans="2:21" x14ac:dyDescent="0.2">
      <c r="B9847" s="207"/>
      <c r="C9847" s="210"/>
      <c r="D9847" s="211"/>
      <c r="E9847" s="211"/>
      <c r="U9847" s="222"/>
    </row>
    <row r="9848" spans="2:21" x14ac:dyDescent="0.2">
      <c r="B9848" s="207"/>
      <c r="C9848" s="210"/>
      <c r="D9848" s="211"/>
      <c r="E9848" s="211"/>
      <c r="U9848" s="222"/>
    </row>
    <row r="9849" spans="2:21" x14ac:dyDescent="0.2">
      <c r="B9849" s="207"/>
      <c r="C9849" s="210"/>
      <c r="D9849" s="211"/>
      <c r="E9849" s="211"/>
      <c r="U9849" s="222"/>
    </row>
    <row r="9850" spans="2:21" x14ac:dyDescent="0.2">
      <c r="B9850" s="207"/>
      <c r="C9850" s="210"/>
      <c r="D9850" s="211"/>
      <c r="E9850" s="211"/>
      <c r="U9850" s="222"/>
    </row>
    <row r="9851" spans="2:21" x14ac:dyDescent="0.2">
      <c r="B9851" s="207"/>
      <c r="C9851" s="210"/>
      <c r="D9851" s="211"/>
      <c r="E9851" s="211"/>
      <c r="U9851" s="222"/>
    </row>
    <row r="9852" spans="2:21" x14ac:dyDescent="0.2">
      <c r="B9852" s="207"/>
      <c r="C9852" s="210"/>
      <c r="D9852" s="211"/>
      <c r="E9852" s="211"/>
      <c r="U9852" s="222"/>
    </row>
    <row r="9853" spans="2:21" x14ac:dyDescent="0.2">
      <c r="B9853" s="207"/>
      <c r="C9853" s="210"/>
      <c r="D9853" s="211"/>
      <c r="E9853" s="211"/>
      <c r="U9853" s="222"/>
    </row>
    <row r="9854" spans="2:21" x14ac:dyDescent="0.2">
      <c r="B9854" s="207"/>
      <c r="C9854" s="210"/>
      <c r="D9854" s="211"/>
      <c r="E9854" s="211"/>
      <c r="U9854" s="222"/>
    </row>
    <row r="9855" spans="2:21" x14ac:dyDescent="0.2">
      <c r="B9855" s="207"/>
      <c r="C9855" s="210"/>
      <c r="D9855" s="211"/>
      <c r="E9855" s="211"/>
      <c r="U9855" s="222"/>
    </row>
    <row r="9856" spans="2:21" x14ac:dyDescent="0.2">
      <c r="B9856" s="207"/>
      <c r="C9856" s="210"/>
      <c r="D9856" s="211"/>
      <c r="E9856" s="211"/>
      <c r="U9856" s="222"/>
    </row>
    <row r="9857" spans="2:21" x14ac:dyDescent="0.2">
      <c r="B9857" s="207"/>
      <c r="C9857" s="210"/>
      <c r="D9857" s="211"/>
      <c r="E9857" s="211"/>
      <c r="U9857" s="222"/>
    </row>
    <row r="9858" spans="2:21" x14ac:dyDescent="0.2">
      <c r="B9858" s="207"/>
      <c r="C9858" s="210"/>
      <c r="D9858" s="211"/>
      <c r="E9858" s="211"/>
      <c r="U9858" s="222"/>
    </row>
    <row r="9859" spans="2:21" x14ac:dyDescent="0.2">
      <c r="B9859" s="207"/>
      <c r="C9859" s="210"/>
      <c r="D9859" s="211"/>
      <c r="E9859" s="211"/>
      <c r="U9859" s="222"/>
    </row>
    <row r="9860" spans="2:21" x14ac:dyDescent="0.2">
      <c r="B9860" s="207"/>
      <c r="C9860" s="210"/>
      <c r="D9860" s="211"/>
      <c r="E9860" s="211"/>
      <c r="U9860" s="222"/>
    </row>
    <row r="9861" spans="2:21" x14ac:dyDescent="0.2">
      <c r="B9861" s="207"/>
      <c r="C9861" s="210"/>
      <c r="D9861" s="211"/>
      <c r="E9861" s="211"/>
      <c r="U9861" s="222"/>
    </row>
    <row r="9862" spans="2:21" x14ac:dyDescent="0.2">
      <c r="B9862" s="207"/>
      <c r="C9862" s="210"/>
      <c r="D9862" s="211"/>
      <c r="E9862" s="211"/>
      <c r="U9862" s="222"/>
    </row>
    <row r="9863" spans="2:21" x14ac:dyDescent="0.2">
      <c r="B9863" s="207"/>
      <c r="C9863" s="210"/>
      <c r="D9863" s="211"/>
      <c r="E9863" s="211"/>
      <c r="U9863" s="222"/>
    </row>
    <row r="9864" spans="2:21" x14ac:dyDescent="0.2">
      <c r="B9864" s="207"/>
      <c r="C9864" s="210"/>
      <c r="D9864" s="211"/>
      <c r="E9864" s="211"/>
      <c r="U9864" s="222"/>
    </row>
    <row r="9865" spans="2:21" x14ac:dyDescent="0.2">
      <c r="B9865" s="207"/>
      <c r="C9865" s="210"/>
      <c r="D9865" s="211"/>
      <c r="E9865" s="211"/>
      <c r="U9865" s="222"/>
    </row>
    <row r="9866" spans="2:21" x14ac:dyDescent="0.2">
      <c r="B9866" s="207"/>
      <c r="C9866" s="210"/>
      <c r="D9866" s="211"/>
      <c r="E9866" s="211"/>
      <c r="U9866" s="222"/>
    </row>
    <row r="9867" spans="2:21" x14ac:dyDescent="0.2">
      <c r="B9867" s="207"/>
      <c r="C9867" s="210"/>
      <c r="D9867" s="211"/>
      <c r="E9867" s="211"/>
      <c r="U9867" s="222"/>
    </row>
    <row r="9868" spans="2:21" x14ac:dyDescent="0.2">
      <c r="B9868" s="207"/>
      <c r="C9868" s="210"/>
      <c r="D9868" s="211"/>
      <c r="E9868" s="211"/>
      <c r="U9868" s="222"/>
    </row>
    <row r="9869" spans="2:21" x14ac:dyDescent="0.2">
      <c r="B9869" s="207"/>
      <c r="C9869" s="210"/>
      <c r="D9869" s="211"/>
      <c r="E9869" s="211"/>
      <c r="U9869" s="222"/>
    </row>
    <row r="9870" spans="2:21" x14ac:dyDescent="0.2">
      <c r="B9870" s="207"/>
      <c r="C9870" s="210"/>
      <c r="D9870" s="211"/>
      <c r="E9870" s="211"/>
      <c r="U9870" s="222"/>
    </row>
    <row r="9871" spans="2:21" x14ac:dyDescent="0.2">
      <c r="B9871" s="207"/>
      <c r="C9871" s="210"/>
      <c r="D9871" s="211"/>
      <c r="E9871" s="211"/>
      <c r="U9871" s="222"/>
    </row>
    <row r="9872" spans="2:21" x14ac:dyDescent="0.2">
      <c r="B9872" s="207"/>
      <c r="C9872" s="210"/>
      <c r="D9872" s="211"/>
      <c r="E9872" s="211"/>
      <c r="U9872" s="222"/>
    </row>
    <row r="9873" spans="2:21" x14ac:dyDescent="0.2">
      <c r="B9873" s="207"/>
      <c r="C9873" s="210"/>
      <c r="D9873" s="211"/>
      <c r="E9873" s="211"/>
      <c r="U9873" s="222"/>
    </row>
    <row r="9874" spans="2:21" x14ac:dyDescent="0.2">
      <c r="B9874" s="207"/>
      <c r="C9874" s="210"/>
      <c r="D9874" s="211"/>
      <c r="E9874" s="211"/>
      <c r="U9874" s="222"/>
    </row>
    <row r="9875" spans="2:21" x14ac:dyDescent="0.2">
      <c r="B9875" s="207"/>
      <c r="C9875" s="210"/>
      <c r="D9875" s="211"/>
      <c r="E9875" s="211"/>
      <c r="U9875" s="222"/>
    </row>
    <row r="9876" spans="2:21" x14ac:dyDescent="0.2">
      <c r="B9876" s="207"/>
      <c r="C9876" s="210"/>
      <c r="D9876" s="211"/>
      <c r="E9876" s="211"/>
      <c r="U9876" s="222"/>
    </row>
    <row r="9877" spans="2:21" x14ac:dyDescent="0.2">
      <c r="B9877" s="207"/>
      <c r="C9877" s="210"/>
      <c r="D9877" s="211"/>
      <c r="E9877" s="211"/>
      <c r="U9877" s="222"/>
    </row>
    <row r="9878" spans="2:21" x14ac:dyDescent="0.2">
      <c r="B9878" s="207"/>
      <c r="C9878" s="210"/>
      <c r="D9878" s="211"/>
      <c r="E9878" s="211"/>
      <c r="U9878" s="222"/>
    </row>
    <row r="9879" spans="2:21" x14ac:dyDescent="0.2">
      <c r="B9879" s="207"/>
      <c r="C9879" s="210"/>
      <c r="D9879" s="211"/>
      <c r="E9879" s="211"/>
      <c r="U9879" s="222"/>
    </row>
    <row r="9880" spans="2:21" x14ac:dyDescent="0.2">
      <c r="B9880" s="207"/>
      <c r="C9880" s="210"/>
      <c r="D9880" s="211"/>
      <c r="E9880" s="211"/>
      <c r="U9880" s="222"/>
    </row>
    <row r="9881" spans="2:21" x14ac:dyDescent="0.2">
      <c r="B9881" s="207"/>
      <c r="C9881" s="210"/>
      <c r="D9881" s="211"/>
      <c r="E9881" s="211"/>
      <c r="U9881" s="222"/>
    </row>
    <row r="9882" spans="2:21" x14ac:dyDescent="0.2">
      <c r="B9882" s="207"/>
      <c r="C9882" s="210"/>
      <c r="D9882" s="211"/>
      <c r="E9882" s="211"/>
      <c r="U9882" s="222"/>
    </row>
    <row r="9883" spans="2:21" x14ac:dyDescent="0.2">
      <c r="B9883" s="207"/>
      <c r="C9883" s="210"/>
      <c r="D9883" s="211"/>
      <c r="E9883" s="211"/>
      <c r="U9883" s="222"/>
    </row>
    <row r="9884" spans="2:21" x14ac:dyDescent="0.2">
      <c r="B9884" s="207"/>
      <c r="C9884" s="210"/>
      <c r="D9884" s="211"/>
      <c r="E9884" s="211"/>
      <c r="U9884" s="222"/>
    </row>
    <row r="9885" spans="2:21" x14ac:dyDescent="0.2">
      <c r="B9885" s="207"/>
      <c r="C9885" s="210"/>
      <c r="D9885" s="211"/>
      <c r="E9885" s="211"/>
      <c r="U9885" s="222"/>
    </row>
    <row r="9886" spans="2:21" x14ac:dyDescent="0.2">
      <c r="B9886" s="207"/>
      <c r="C9886" s="210"/>
      <c r="D9886" s="211"/>
      <c r="E9886" s="211"/>
      <c r="U9886" s="222"/>
    </row>
    <row r="9887" spans="2:21" x14ac:dyDescent="0.2">
      <c r="B9887" s="207"/>
      <c r="C9887" s="210"/>
      <c r="D9887" s="211"/>
      <c r="E9887" s="211"/>
      <c r="U9887" s="222"/>
    </row>
    <row r="9888" spans="2:21" x14ac:dyDescent="0.2">
      <c r="B9888" s="207"/>
      <c r="C9888" s="210"/>
      <c r="D9888" s="211"/>
      <c r="E9888" s="211"/>
      <c r="U9888" s="222"/>
    </row>
    <row r="9889" spans="2:21" x14ac:dyDescent="0.2">
      <c r="B9889" s="207"/>
      <c r="C9889" s="210"/>
      <c r="D9889" s="211"/>
      <c r="E9889" s="211"/>
      <c r="U9889" s="222"/>
    </row>
    <row r="9890" spans="2:21" x14ac:dyDescent="0.2">
      <c r="B9890" s="207"/>
      <c r="C9890" s="210"/>
      <c r="D9890" s="211"/>
      <c r="E9890" s="211"/>
      <c r="U9890" s="222"/>
    </row>
    <row r="9891" spans="2:21" x14ac:dyDescent="0.2">
      <c r="B9891" s="207"/>
      <c r="C9891" s="210"/>
      <c r="D9891" s="211"/>
      <c r="E9891" s="211"/>
      <c r="U9891" s="222"/>
    </row>
    <row r="9892" spans="2:21" x14ac:dyDescent="0.2">
      <c r="B9892" s="207"/>
      <c r="C9892" s="210"/>
      <c r="D9892" s="211"/>
      <c r="E9892" s="211"/>
      <c r="U9892" s="222"/>
    </row>
    <row r="9893" spans="2:21" x14ac:dyDescent="0.2">
      <c r="B9893" s="207"/>
      <c r="C9893" s="210"/>
      <c r="D9893" s="211"/>
      <c r="E9893" s="211"/>
      <c r="U9893" s="222"/>
    </row>
    <row r="9894" spans="2:21" x14ac:dyDescent="0.2">
      <c r="B9894" s="207"/>
      <c r="C9894" s="210"/>
      <c r="D9894" s="211"/>
      <c r="E9894" s="211"/>
      <c r="U9894" s="222"/>
    </row>
    <row r="9895" spans="2:21" x14ac:dyDescent="0.2">
      <c r="B9895" s="207"/>
      <c r="C9895" s="210"/>
      <c r="D9895" s="211"/>
      <c r="E9895" s="211"/>
      <c r="U9895" s="222"/>
    </row>
    <row r="9896" spans="2:21" x14ac:dyDescent="0.2">
      <c r="B9896" s="207"/>
      <c r="C9896" s="210"/>
      <c r="D9896" s="211"/>
      <c r="E9896" s="211"/>
      <c r="U9896" s="222"/>
    </row>
    <row r="9897" spans="2:21" x14ac:dyDescent="0.2">
      <c r="B9897" s="207"/>
      <c r="C9897" s="210"/>
      <c r="D9897" s="211"/>
      <c r="E9897" s="211"/>
      <c r="U9897" s="222"/>
    </row>
    <row r="9898" spans="2:21" x14ac:dyDescent="0.2">
      <c r="B9898" s="207"/>
      <c r="C9898" s="210"/>
      <c r="D9898" s="211"/>
      <c r="E9898" s="211"/>
      <c r="U9898" s="222"/>
    </row>
    <row r="9899" spans="2:21" x14ac:dyDescent="0.2">
      <c r="B9899" s="207"/>
      <c r="C9899" s="210"/>
      <c r="D9899" s="211"/>
      <c r="E9899" s="211"/>
      <c r="U9899" s="222"/>
    </row>
    <row r="9900" spans="2:21" x14ac:dyDescent="0.2">
      <c r="B9900" s="207"/>
      <c r="C9900" s="210"/>
      <c r="D9900" s="211"/>
      <c r="E9900" s="211"/>
      <c r="U9900" s="222"/>
    </row>
    <row r="9901" spans="2:21" x14ac:dyDescent="0.2">
      <c r="B9901" s="207"/>
      <c r="C9901" s="210"/>
      <c r="D9901" s="211"/>
      <c r="E9901" s="211"/>
      <c r="U9901" s="222"/>
    </row>
    <row r="9902" spans="2:21" x14ac:dyDescent="0.2">
      <c r="B9902" s="207"/>
      <c r="C9902" s="210"/>
      <c r="D9902" s="211"/>
      <c r="E9902" s="211"/>
      <c r="U9902" s="222"/>
    </row>
    <row r="9903" spans="2:21" x14ac:dyDescent="0.2">
      <c r="B9903" s="207"/>
      <c r="C9903" s="210"/>
      <c r="D9903" s="211"/>
      <c r="E9903" s="211"/>
      <c r="U9903" s="222"/>
    </row>
    <row r="9904" spans="2:21" x14ac:dyDescent="0.2">
      <c r="B9904" s="207"/>
      <c r="C9904" s="210"/>
      <c r="D9904" s="211"/>
      <c r="E9904" s="211"/>
      <c r="U9904" s="222"/>
    </row>
    <row r="9905" spans="2:21" x14ac:dyDescent="0.2">
      <c r="B9905" s="207"/>
      <c r="C9905" s="210"/>
      <c r="D9905" s="211"/>
      <c r="E9905" s="211"/>
      <c r="U9905" s="222"/>
    </row>
    <row r="9906" spans="2:21" x14ac:dyDescent="0.2">
      <c r="B9906" s="207"/>
      <c r="C9906" s="210"/>
      <c r="D9906" s="211"/>
      <c r="E9906" s="211"/>
      <c r="U9906" s="222"/>
    </row>
    <row r="9907" spans="2:21" x14ac:dyDescent="0.2">
      <c r="B9907" s="207"/>
      <c r="C9907" s="210"/>
      <c r="D9907" s="211"/>
      <c r="E9907" s="211"/>
      <c r="U9907" s="222"/>
    </row>
    <row r="9908" spans="2:21" x14ac:dyDescent="0.2">
      <c r="B9908" s="207"/>
      <c r="C9908" s="210"/>
      <c r="D9908" s="211"/>
      <c r="E9908" s="211"/>
      <c r="U9908" s="222"/>
    </row>
    <row r="9909" spans="2:21" x14ac:dyDescent="0.2">
      <c r="B9909" s="207"/>
      <c r="C9909" s="210"/>
      <c r="D9909" s="211"/>
      <c r="E9909" s="211"/>
      <c r="U9909" s="222"/>
    </row>
    <row r="9910" spans="2:21" x14ac:dyDescent="0.2">
      <c r="B9910" s="207"/>
      <c r="C9910" s="210"/>
      <c r="D9910" s="211"/>
      <c r="E9910" s="211"/>
      <c r="U9910" s="222"/>
    </row>
    <row r="9911" spans="2:21" x14ac:dyDescent="0.2">
      <c r="B9911" s="207"/>
      <c r="C9911" s="210"/>
      <c r="D9911" s="211"/>
      <c r="E9911" s="211"/>
      <c r="U9911" s="222"/>
    </row>
    <row r="9912" spans="2:21" x14ac:dyDescent="0.2">
      <c r="B9912" s="207"/>
      <c r="C9912" s="210"/>
      <c r="D9912" s="211"/>
      <c r="E9912" s="211"/>
      <c r="U9912" s="222"/>
    </row>
    <row r="9913" spans="2:21" x14ac:dyDescent="0.2">
      <c r="B9913" s="207"/>
      <c r="C9913" s="210"/>
      <c r="D9913" s="211"/>
      <c r="E9913" s="211"/>
      <c r="U9913" s="222"/>
    </row>
    <row r="9914" spans="2:21" x14ac:dyDescent="0.2">
      <c r="B9914" s="207"/>
      <c r="C9914" s="210"/>
      <c r="D9914" s="211"/>
      <c r="E9914" s="211"/>
      <c r="U9914" s="222"/>
    </row>
    <row r="9915" spans="2:21" x14ac:dyDescent="0.2">
      <c r="B9915" s="207"/>
      <c r="C9915" s="210"/>
      <c r="D9915" s="211"/>
      <c r="E9915" s="211"/>
      <c r="U9915" s="222"/>
    </row>
    <row r="9916" spans="2:21" x14ac:dyDescent="0.2">
      <c r="B9916" s="207"/>
      <c r="C9916" s="210"/>
      <c r="D9916" s="211"/>
      <c r="E9916" s="211"/>
      <c r="U9916" s="222"/>
    </row>
    <row r="9917" spans="2:21" x14ac:dyDescent="0.2">
      <c r="B9917" s="207"/>
      <c r="C9917" s="210"/>
      <c r="D9917" s="211"/>
      <c r="E9917" s="211"/>
      <c r="U9917" s="222"/>
    </row>
    <row r="9918" spans="2:21" x14ac:dyDescent="0.2">
      <c r="B9918" s="207"/>
      <c r="C9918" s="210"/>
      <c r="D9918" s="211"/>
      <c r="E9918" s="211"/>
      <c r="U9918" s="222"/>
    </row>
    <row r="9919" spans="2:21" x14ac:dyDescent="0.2">
      <c r="B9919" s="207"/>
      <c r="C9919" s="210"/>
      <c r="D9919" s="211"/>
      <c r="E9919" s="211"/>
      <c r="U9919" s="222"/>
    </row>
    <row r="9920" spans="2:21" x14ac:dyDescent="0.2">
      <c r="B9920" s="207"/>
      <c r="C9920" s="210"/>
      <c r="D9920" s="211"/>
      <c r="E9920" s="211"/>
      <c r="U9920" s="222"/>
    </row>
    <row r="9921" spans="2:21" x14ac:dyDescent="0.2">
      <c r="B9921" s="207"/>
      <c r="C9921" s="210"/>
      <c r="D9921" s="211"/>
      <c r="E9921" s="211"/>
      <c r="U9921" s="222"/>
    </row>
    <row r="9922" spans="2:21" x14ac:dyDescent="0.2">
      <c r="B9922" s="207"/>
      <c r="C9922" s="210"/>
      <c r="D9922" s="211"/>
      <c r="E9922" s="211"/>
      <c r="U9922" s="222"/>
    </row>
    <row r="9923" spans="2:21" x14ac:dyDescent="0.2">
      <c r="B9923" s="207"/>
      <c r="C9923" s="210"/>
      <c r="D9923" s="211"/>
      <c r="E9923" s="211"/>
      <c r="U9923" s="222"/>
    </row>
    <row r="9924" spans="2:21" x14ac:dyDescent="0.2">
      <c r="B9924" s="207"/>
      <c r="C9924" s="210"/>
      <c r="D9924" s="211"/>
      <c r="E9924" s="211"/>
      <c r="U9924" s="222"/>
    </row>
    <row r="9925" spans="2:21" x14ac:dyDescent="0.2">
      <c r="B9925" s="207"/>
      <c r="C9925" s="210"/>
      <c r="D9925" s="211"/>
      <c r="E9925" s="211"/>
      <c r="U9925" s="222"/>
    </row>
    <row r="9926" spans="2:21" x14ac:dyDescent="0.2">
      <c r="B9926" s="207"/>
      <c r="C9926" s="210"/>
      <c r="D9926" s="211"/>
      <c r="E9926" s="211"/>
      <c r="U9926" s="222"/>
    </row>
    <row r="9927" spans="2:21" x14ac:dyDescent="0.2">
      <c r="B9927" s="207"/>
      <c r="C9927" s="210"/>
      <c r="D9927" s="211"/>
      <c r="E9927" s="211"/>
      <c r="U9927" s="222"/>
    </row>
    <row r="9928" spans="2:21" x14ac:dyDescent="0.2">
      <c r="B9928" s="207"/>
      <c r="C9928" s="210"/>
      <c r="D9928" s="211"/>
      <c r="E9928" s="211"/>
      <c r="U9928" s="222"/>
    </row>
    <row r="9929" spans="2:21" x14ac:dyDescent="0.2">
      <c r="B9929" s="207"/>
      <c r="C9929" s="210"/>
      <c r="D9929" s="211"/>
      <c r="E9929" s="211"/>
      <c r="U9929" s="222"/>
    </row>
    <row r="9930" spans="2:21" x14ac:dyDescent="0.2">
      <c r="B9930" s="207"/>
      <c r="C9930" s="210"/>
      <c r="D9930" s="211"/>
      <c r="E9930" s="211"/>
      <c r="U9930" s="222"/>
    </row>
    <row r="9931" spans="2:21" x14ac:dyDescent="0.2">
      <c r="B9931" s="207"/>
      <c r="C9931" s="210"/>
      <c r="D9931" s="211"/>
      <c r="E9931" s="211"/>
      <c r="U9931" s="222"/>
    </row>
    <row r="9932" spans="2:21" x14ac:dyDescent="0.2">
      <c r="B9932" s="207"/>
      <c r="C9932" s="210"/>
      <c r="D9932" s="211"/>
      <c r="E9932" s="211"/>
      <c r="U9932" s="222"/>
    </row>
    <row r="9933" spans="2:21" x14ac:dyDescent="0.2">
      <c r="B9933" s="207"/>
      <c r="C9933" s="210"/>
      <c r="D9933" s="211"/>
      <c r="E9933" s="211"/>
      <c r="U9933" s="222"/>
    </row>
    <row r="9934" spans="2:21" x14ac:dyDescent="0.2">
      <c r="B9934" s="207"/>
      <c r="C9934" s="210"/>
      <c r="D9934" s="211"/>
      <c r="E9934" s="211"/>
      <c r="U9934" s="222"/>
    </row>
    <row r="9935" spans="2:21" x14ac:dyDescent="0.2">
      <c r="B9935" s="207"/>
      <c r="C9935" s="210"/>
      <c r="D9935" s="211"/>
      <c r="E9935" s="211"/>
      <c r="U9935" s="222"/>
    </row>
    <row r="9936" spans="2:21" x14ac:dyDescent="0.2">
      <c r="B9936" s="207"/>
      <c r="C9936" s="210"/>
      <c r="D9936" s="211"/>
      <c r="E9936" s="211"/>
      <c r="U9936" s="222"/>
    </row>
    <row r="9937" spans="2:21" x14ac:dyDescent="0.2">
      <c r="B9937" s="207"/>
      <c r="C9937" s="210"/>
      <c r="D9937" s="211"/>
      <c r="E9937" s="211"/>
      <c r="U9937" s="222"/>
    </row>
    <row r="9938" spans="2:21" x14ac:dyDescent="0.2">
      <c r="B9938" s="207"/>
      <c r="C9938" s="210"/>
      <c r="D9938" s="211"/>
      <c r="E9938" s="211"/>
      <c r="U9938" s="222"/>
    </row>
    <row r="9939" spans="2:21" x14ac:dyDescent="0.2">
      <c r="B9939" s="207"/>
      <c r="C9939" s="210"/>
      <c r="D9939" s="211"/>
      <c r="E9939" s="211"/>
      <c r="U9939" s="222"/>
    </row>
    <row r="9940" spans="2:21" x14ac:dyDescent="0.2">
      <c r="B9940" s="207"/>
      <c r="C9940" s="210"/>
      <c r="D9940" s="211"/>
      <c r="E9940" s="211"/>
      <c r="U9940" s="222"/>
    </row>
    <row r="9941" spans="2:21" x14ac:dyDescent="0.2">
      <c r="B9941" s="207"/>
      <c r="C9941" s="210"/>
      <c r="D9941" s="211"/>
      <c r="E9941" s="211"/>
      <c r="U9941" s="222"/>
    </row>
    <row r="9942" spans="2:21" x14ac:dyDescent="0.2">
      <c r="B9942" s="207"/>
      <c r="C9942" s="210"/>
      <c r="D9942" s="211"/>
      <c r="E9942" s="211"/>
      <c r="U9942" s="222"/>
    </row>
    <row r="9943" spans="2:21" x14ac:dyDescent="0.2">
      <c r="B9943" s="207"/>
      <c r="C9943" s="210"/>
      <c r="D9943" s="211"/>
      <c r="E9943" s="211"/>
      <c r="U9943" s="222"/>
    </row>
    <row r="9944" spans="2:21" x14ac:dyDescent="0.2">
      <c r="B9944" s="207"/>
      <c r="C9944" s="210"/>
      <c r="D9944" s="211"/>
      <c r="E9944" s="211"/>
      <c r="U9944" s="222"/>
    </row>
    <row r="9945" spans="2:21" x14ac:dyDescent="0.2">
      <c r="B9945" s="207"/>
      <c r="C9945" s="210"/>
      <c r="D9945" s="211"/>
      <c r="E9945" s="211"/>
      <c r="U9945" s="222"/>
    </row>
    <row r="9946" spans="2:21" x14ac:dyDescent="0.2">
      <c r="B9946" s="207"/>
      <c r="C9946" s="210"/>
      <c r="D9946" s="211"/>
      <c r="E9946" s="211"/>
      <c r="U9946" s="222"/>
    </row>
    <row r="9947" spans="2:21" x14ac:dyDescent="0.2">
      <c r="B9947" s="207"/>
      <c r="C9947" s="210"/>
      <c r="D9947" s="211"/>
      <c r="E9947" s="211"/>
      <c r="U9947" s="222"/>
    </row>
    <row r="9948" spans="2:21" x14ac:dyDescent="0.2">
      <c r="B9948" s="207"/>
      <c r="C9948" s="210"/>
      <c r="D9948" s="211"/>
      <c r="E9948" s="211"/>
      <c r="U9948" s="222"/>
    </row>
    <row r="9949" spans="2:21" x14ac:dyDescent="0.2">
      <c r="B9949" s="207"/>
      <c r="C9949" s="210"/>
      <c r="D9949" s="211"/>
      <c r="E9949" s="211"/>
      <c r="U9949" s="222"/>
    </row>
    <row r="9950" spans="2:21" x14ac:dyDescent="0.2">
      <c r="B9950" s="207"/>
      <c r="C9950" s="210"/>
      <c r="D9950" s="211"/>
      <c r="E9950" s="211"/>
      <c r="U9950" s="222"/>
    </row>
    <row r="9951" spans="2:21" x14ac:dyDescent="0.2">
      <c r="B9951" s="207"/>
      <c r="C9951" s="210"/>
      <c r="D9951" s="211"/>
      <c r="E9951" s="211"/>
      <c r="U9951" s="222"/>
    </row>
    <row r="9952" spans="2:21" x14ac:dyDescent="0.2">
      <c r="B9952" s="207"/>
      <c r="C9952" s="210"/>
      <c r="D9952" s="211"/>
      <c r="E9952" s="211"/>
      <c r="U9952" s="222"/>
    </row>
    <row r="9953" spans="2:21" x14ac:dyDescent="0.2">
      <c r="B9953" s="207"/>
      <c r="C9953" s="210"/>
      <c r="D9953" s="211"/>
      <c r="E9953" s="211"/>
      <c r="U9953" s="222"/>
    </row>
    <row r="9954" spans="2:21" x14ac:dyDescent="0.2">
      <c r="B9954" s="207"/>
      <c r="C9954" s="210"/>
      <c r="D9954" s="211"/>
      <c r="E9954" s="211"/>
      <c r="U9954" s="222"/>
    </row>
    <row r="9955" spans="2:21" x14ac:dyDescent="0.2">
      <c r="B9955" s="207"/>
      <c r="C9955" s="210"/>
      <c r="D9955" s="211"/>
      <c r="E9955" s="211"/>
      <c r="U9955" s="222"/>
    </row>
    <row r="9956" spans="2:21" x14ac:dyDescent="0.2">
      <c r="B9956" s="207"/>
      <c r="C9956" s="210"/>
      <c r="D9956" s="211"/>
      <c r="E9956" s="211"/>
      <c r="U9956" s="222"/>
    </row>
    <row r="9957" spans="2:21" x14ac:dyDescent="0.2">
      <c r="B9957" s="207"/>
      <c r="C9957" s="210"/>
      <c r="D9957" s="211"/>
      <c r="E9957" s="211"/>
      <c r="U9957" s="222"/>
    </row>
    <row r="9958" spans="2:21" x14ac:dyDescent="0.2">
      <c r="B9958" s="207"/>
      <c r="C9958" s="210"/>
      <c r="D9958" s="211"/>
      <c r="E9958" s="211"/>
      <c r="U9958" s="222"/>
    </row>
    <row r="9959" spans="2:21" x14ac:dyDescent="0.2">
      <c r="B9959" s="207"/>
      <c r="C9959" s="210"/>
      <c r="D9959" s="211"/>
      <c r="E9959" s="211"/>
      <c r="U9959" s="222"/>
    </row>
    <row r="9960" spans="2:21" x14ac:dyDescent="0.2">
      <c r="B9960" s="207"/>
      <c r="C9960" s="210"/>
      <c r="D9960" s="211"/>
      <c r="E9960" s="211"/>
      <c r="U9960" s="222"/>
    </row>
    <row r="9961" spans="2:21" x14ac:dyDescent="0.2">
      <c r="B9961" s="207"/>
      <c r="C9961" s="210"/>
      <c r="D9961" s="211"/>
      <c r="E9961" s="211"/>
      <c r="U9961" s="222"/>
    </row>
    <row r="9962" spans="2:21" x14ac:dyDescent="0.2">
      <c r="B9962" s="207"/>
      <c r="C9962" s="210"/>
      <c r="D9962" s="211"/>
      <c r="E9962" s="211"/>
      <c r="U9962" s="222"/>
    </row>
    <row r="9963" spans="2:21" x14ac:dyDescent="0.2">
      <c r="B9963" s="207"/>
      <c r="C9963" s="210"/>
      <c r="D9963" s="211"/>
      <c r="E9963" s="211"/>
      <c r="U9963" s="222"/>
    </row>
    <row r="9964" spans="2:21" x14ac:dyDescent="0.2">
      <c r="B9964" s="207"/>
      <c r="C9964" s="210"/>
      <c r="D9964" s="211"/>
      <c r="E9964" s="211"/>
      <c r="U9964" s="222"/>
    </row>
    <row r="9965" spans="2:21" x14ac:dyDescent="0.2">
      <c r="B9965" s="207"/>
      <c r="C9965" s="210"/>
      <c r="D9965" s="211"/>
      <c r="E9965" s="211"/>
      <c r="U9965" s="222"/>
    </row>
    <row r="9966" spans="2:21" x14ac:dyDescent="0.2">
      <c r="B9966" s="207"/>
      <c r="C9966" s="210"/>
      <c r="D9966" s="211"/>
      <c r="E9966" s="211"/>
      <c r="U9966" s="222"/>
    </row>
    <row r="9967" spans="2:21" x14ac:dyDescent="0.2">
      <c r="B9967" s="207"/>
      <c r="C9967" s="210"/>
      <c r="D9967" s="211"/>
      <c r="E9967" s="211"/>
      <c r="U9967" s="222"/>
    </row>
    <row r="9968" spans="2:21" x14ac:dyDescent="0.2">
      <c r="B9968" s="207"/>
      <c r="C9968" s="210"/>
      <c r="D9968" s="211"/>
      <c r="E9968" s="211"/>
      <c r="U9968" s="222"/>
    </row>
    <row r="9969" spans="2:21" x14ac:dyDescent="0.2">
      <c r="B9969" s="207"/>
      <c r="C9969" s="210"/>
      <c r="D9969" s="211"/>
      <c r="E9969" s="211"/>
      <c r="U9969" s="222"/>
    </row>
    <row r="9970" spans="2:21" x14ac:dyDescent="0.2">
      <c r="B9970" s="207"/>
      <c r="C9970" s="210"/>
      <c r="D9970" s="211"/>
      <c r="E9970" s="211"/>
      <c r="U9970" s="222"/>
    </row>
    <row r="9971" spans="2:21" x14ac:dyDescent="0.2">
      <c r="B9971" s="207"/>
      <c r="C9971" s="210"/>
      <c r="D9971" s="211"/>
      <c r="E9971" s="211"/>
      <c r="U9971" s="222"/>
    </row>
    <row r="9972" spans="2:21" x14ac:dyDescent="0.2">
      <c r="B9972" s="207"/>
      <c r="C9972" s="210"/>
      <c r="D9972" s="211"/>
      <c r="E9972" s="211"/>
      <c r="U9972" s="222"/>
    </row>
    <row r="9973" spans="2:21" x14ac:dyDescent="0.2">
      <c r="B9973" s="207"/>
      <c r="C9973" s="210"/>
      <c r="D9973" s="211"/>
      <c r="E9973" s="211"/>
      <c r="U9973" s="222"/>
    </row>
    <row r="9974" spans="2:21" x14ac:dyDescent="0.2">
      <c r="B9974" s="207"/>
      <c r="C9974" s="210"/>
      <c r="D9974" s="211"/>
      <c r="E9974" s="211"/>
      <c r="U9974" s="222"/>
    </row>
    <row r="9975" spans="2:21" x14ac:dyDescent="0.2">
      <c r="B9975" s="207"/>
      <c r="C9975" s="210"/>
      <c r="D9975" s="211"/>
      <c r="E9975" s="211"/>
      <c r="U9975" s="222"/>
    </row>
    <row r="9976" spans="2:21" x14ac:dyDescent="0.2">
      <c r="B9976" s="207"/>
      <c r="C9976" s="210"/>
      <c r="D9976" s="211"/>
      <c r="E9976" s="211"/>
      <c r="U9976" s="222"/>
    </row>
    <row r="9977" spans="2:21" x14ac:dyDescent="0.2">
      <c r="B9977" s="207"/>
      <c r="C9977" s="210"/>
      <c r="D9977" s="211"/>
      <c r="E9977" s="211"/>
      <c r="U9977" s="222"/>
    </row>
    <row r="9978" spans="2:21" x14ac:dyDescent="0.2">
      <c r="B9978" s="207"/>
      <c r="C9978" s="210"/>
      <c r="D9978" s="211"/>
      <c r="E9978" s="211"/>
      <c r="U9978" s="222"/>
    </row>
    <row r="9979" spans="2:21" x14ac:dyDescent="0.2">
      <c r="B9979" s="207"/>
      <c r="C9979" s="210"/>
      <c r="D9979" s="211"/>
      <c r="E9979" s="211"/>
      <c r="U9979" s="222"/>
    </row>
    <row r="9980" spans="2:21" x14ac:dyDescent="0.2">
      <c r="B9980" s="207"/>
      <c r="C9980" s="210"/>
      <c r="D9980" s="211"/>
      <c r="E9980" s="211"/>
      <c r="U9980" s="222"/>
    </row>
    <row r="9981" spans="2:21" x14ac:dyDescent="0.2">
      <c r="B9981" s="207"/>
      <c r="C9981" s="210"/>
      <c r="D9981" s="211"/>
      <c r="E9981" s="211"/>
      <c r="U9981" s="222"/>
    </row>
    <row r="9982" spans="2:21" x14ac:dyDescent="0.2">
      <c r="B9982" s="207"/>
      <c r="C9982" s="210"/>
      <c r="D9982" s="211"/>
      <c r="E9982" s="211"/>
      <c r="U9982" s="222"/>
    </row>
    <row r="9983" spans="2:21" x14ac:dyDescent="0.2">
      <c r="B9983" s="207"/>
      <c r="C9983" s="210"/>
      <c r="D9983" s="211"/>
      <c r="E9983" s="211"/>
      <c r="U9983" s="222"/>
    </row>
    <row r="9984" spans="2:21" x14ac:dyDescent="0.2">
      <c r="B9984" s="207"/>
      <c r="C9984" s="210"/>
      <c r="D9984" s="211"/>
      <c r="E9984" s="211"/>
      <c r="U9984" s="222"/>
    </row>
    <row r="9985" spans="2:21" x14ac:dyDescent="0.2">
      <c r="B9985" s="207"/>
      <c r="C9985" s="210"/>
      <c r="D9985" s="211"/>
      <c r="E9985" s="211"/>
      <c r="U9985" s="222"/>
    </row>
    <row r="9986" spans="2:21" x14ac:dyDescent="0.2">
      <c r="B9986" s="207"/>
      <c r="C9986" s="210"/>
      <c r="D9986" s="211"/>
      <c r="E9986" s="211"/>
      <c r="U9986" s="222"/>
    </row>
    <row r="9987" spans="2:21" x14ac:dyDescent="0.2">
      <c r="B9987" s="207"/>
      <c r="C9987" s="210"/>
      <c r="D9987" s="211"/>
      <c r="E9987" s="211"/>
      <c r="U9987" s="222"/>
    </row>
    <row r="9988" spans="2:21" x14ac:dyDescent="0.2">
      <c r="B9988" s="207"/>
      <c r="C9988" s="210"/>
      <c r="D9988" s="211"/>
      <c r="E9988" s="211"/>
      <c r="U9988" s="222"/>
    </row>
    <row r="9989" spans="2:21" x14ac:dyDescent="0.2">
      <c r="B9989" s="207"/>
      <c r="C9989" s="210"/>
      <c r="D9989" s="211"/>
      <c r="E9989" s="211"/>
      <c r="U9989" s="222"/>
    </row>
    <row r="9990" spans="2:21" x14ac:dyDescent="0.2">
      <c r="B9990" s="207"/>
      <c r="C9990" s="210"/>
      <c r="D9990" s="211"/>
      <c r="E9990" s="211"/>
      <c r="U9990" s="222"/>
    </row>
    <row r="9991" spans="2:21" x14ac:dyDescent="0.2">
      <c r="B9991" s="207"/>
      <c r="C9991" s="210"/>
      <c r="D9991" s="211"/>
      <c r="E9991" s="211"/>
      <c r="U9991" s="222"/>
    </row>
    <row r="9992" spans="2:21" x14ac:dyDescent="0.2">
      <c r="B9992" s="207"/>
      <c r="C9992" s="210"/>
      <c r="D9992" s="211"/>
      <c r="E9992" s="211"/>
      <c r="U9992" s="222"/>
    </row>
    <row r="9993" spans="2:21" x14ac:dyDescent="0.2">
      <c r="B9993" s="207"/>
      <c r="C9993" s="210"/>
      <c r="D9993" s="211"/>
      <c r="E9993" s="211"/>
      <c r="U9993" s="222"/>
    </row>
    <row r="9994" spans="2:21" x14ac:dyDescent="0.2">
      <c r="B9994" s="207"/>
      <c r="C9994" s="210"/>
      <c r="D9994" s="211"/>
      <c r="E9994" s="211"/>
      <c r="U9994" s="222"/>
    </row>
    <row r="9995" spans="2:21" x14ac:dyDescent="0.2">
      <c r="B9995" s="207"/>
      <c r="C9995" s="210"/>
      <c r="D9995" s="211"/>
      <c r="E9995" s="211"/>
      <c r="U9995" s="222"/>
    </row>
    <row r="9996" spans="2:21" x14ac:dyDescent="0.2">
      <c r="B9996" s="207"/>
      <c r="C9996" s="210"/>
      <c r="D9996" s="211"/>
      <c r="E9996" s="211"/>
      <c r="U9996" s="222"/>
    </row>
    <row r="9997" spans="2:21" x14ac:dyDescent="0.2">
      <c r="B9997" s="207"/>
      <c r="C9997" s="210"/>
      <c r="D9997" s="211"/>
      <c r="E9997" s="211"/>
      <c r="U9997" s="222"/>
    </row>
    <row r="9998" spans="2:21" x14ac:dyDescent="0.2">
      <c r="B9998" s="207"/>
      <c r="C9998" s="210"/>
      <c r="D9998" s="211"/>
      <c r="E9998" s="211"/>
      <c r="U9998" s="222"/>
    </row>
    <row r="9999" spans="2:21" x14ac:dyDescent="0.2">
      <c r="B9999" s="207"/>
      <c r="C9999" s="210"/>
      <c r="D9999" s="211"/>
      <c r="E9999" s="211"/>
      <c r="U9999" s="222"/>
    </row>
    <row r="10000" spans="2:21" x14ac:dyDescent="0.2">
      <c r="B10000" s="207"/>
      <c r="C10000" s="210"/>
      <c r="D10000" s="211"/>
      <c r="E10000" s="211"/>
      <c r="U10000" s="222"/>
    </row>
    <row r="10001" spans="2:21" x14ac:dyDescent="0.2">
      <c r="B10001" s="207"/>
      <c r="C10001" s="210"/>
      <c r="D10001" s="211"/>
      <c r="E10001" s="211"/>
      <c r="U10001" s="222"/>
    </row>
    <row r="10002" spans="2:21" x14ac:dyDescent="0.2">
      <c r="B10002" s="207"/>
      <c r="C10002" s="210"/>
      <c r="D10002" s="211"/>
      <c r="E10002" s="211"/>
      <c r="U10002" s="222"/>
    </row>
    <row r="10003" spans="2:21" x14ac:dyDescent="0.2">
      <c r="B10003" s="207"/>
      <c r="C10003" s="210"/>
      <c r="D10003" s="211"/>
      <c r="E10003" s="211"/>
      <c r="U10003" s="222"/>
    </row>
    <row r="10004" spans="2:21" x14ac:dyDescent="0.2">
      <c r="B10004" s="207"/>
      <c r="C10004" s="210"/>
      <c r="D10004" s="211"/>
      <c r="E10004" s="211"/>
      <c r="U10004" s="222"/>
    </row>
    <row r="10005" spans="2:21" x14ac:dyDescent="0.2">
      <c r="B10005" s="207"/>
      <c r="C10005" s="210"/>
      <c r="D10005" s="211"/>
      <c r="E10005" s="211"/>
      <c r="U10005" s="222"/>
    </row>
    <row r="10006" spans="2:21" x14ac:dyDescent="0.2">
      <c r="B10006" s="207"/>
      <c r="C10006" s="210"/>
      <c r="D10006" s="211"/>
      <c r="E10006" s="211"/>
      <c r="U10006" s="222"/>
    </row>
    <row r="10007" spans="2:21" x14ac:dyDescent="0.2">
      <c r="B10007" s="207"/>
      <c r="C10007" s="210"/>
      <c r="D10007" s="211"/>
      <c r="E10007" s="211"/>
      <c r="U10007" s="222"/>
    </row>
    <row r="10008" spans="2:21" x14ac:dyDescent="0.2">
      <c r="B10008" s="207"/>
      <c r="C10008" s="210"/>
      <c r="D10008" s="211"/>
      <c r="E10008" s="211"/>
      <c r="U10008" s="222"/>
    </row>
    <row r="10009" spans="2:21" x14ac:dyDescent="0.2">
      <c r="B10009" s="207"/>
      <c r="C10009" s="210"/>
      <c r="D10009" s="211"/>
      <c r="E10009" s="211"/>
      <c r="U10009" s="222"/>
    </row>
    <row r="10010" spans="2:21" x14ac:dyDescent="0.2">
      <c r="B10010" s="207"/>
      <c r="C10010" s="210"/>
      <c r="D10010" s="211"/>
      <c r="E10010" s="211"/>
      <c r="U10010" s="222"/>
    </row>
    <row r="10011" spans="2:21" x14ac:dyDescent="0.2">
      <c r="B10011" s="207"/>
      <c r="C10011" s="210"/>
      <c r="D10011" s="211"/>
      <c r="E10011" s="211"/>
      <c r="U10011" s="222"/>
    </row>
    <row r="10012" spans="2:21" x14ac:dyDescent="0.2">
      <c r="B10012" s="207"/>
      <c r="C10012" s="210"/>
      <c r="D10012" s="211"/>
      <c r="E10012" s="211"/>
      <c r="U10012" s="222"/>
    </row>
    <row r="10013" spans="2:21" x14ac:dyDescent="0.2">
      <c r="B10013" s="207"/>
      <c r="C10013" s="210"/>
      <c r="D10013" s="211"/>
      <c r="E10013" s="211"/>
      <c r="U10013" s="222"/>
    </row>
    <row r="10014" spans="2:21" x14ac:dyDescent="0.2">
      <c r="B10014" s="207"/>
      <c r="C10014" s="210"/>
      <c r="D10014" s="211"/>
      <c r="E10014" s="211"/>
      <c r="U10014" s="222"/>
    </row>
    <row r="10015" spans="2:21" x14ac:dyDescent="0.2">
      <c r="B10015" s="207"/>
      <c r="C10015" s="210"/>
      <c r="D10015" s="211"/>
      <c r="E10015" s="211"/>
      <c r="U10015" s="222"/>
    </row>
    <row r="10016" spans="2:21" x14ac:dyDescent="0.2">
      <c r="B10016" s="207"/>
      <c r="C10016" s="210"/>
      <c r="D10016" s="211"/>
      <c r="E10016" s="211"/>
      <c r="U10016" s="222"/>
    </row>
    <row r="10017" spans="2:21" x14ac:dyDescent="0.2">
      <c r="B10017" s="207"/>
      <c r="C10017" s="210"/>
      <c r="D10017" s="211"/>
      <c r="E10017" s="211"/>
      <c r="U10017" s="222"/>
    </row>
    <row r="10018" spans="2:21" x14ac:dyDescent="0.2">
      <c r="B10018" s="207"/>
      <c r="C10018" s="210"/>
      <c r="D10018" s="211"/>
      <c r="E10018" s="211"/>
      <c r="U10018" s="222"/>
    </row>
    <row r="10019" spans="2:21" x14ac:dyDescent="0.2">
      <c r="B10019" s="207"/>
      <c r="C10019" s="210"/>
      <c r="D10019" s="211"/>
      <c r="E10019" s="211"/>
      <c r="U10019" s="222"/>
    </row>
    <row r="10020" spans="2:21" x14ac:dyDescent="0.2">
      <c r="B10020" s="207"/>
      <c r="C10020" s="210"/>
      <c r="D10020" s="211"/>
      <c r="E10020" s="211"/>
      <c r="U10020" s="222"/>
    </row>
    <row r="10021" spans="2:21" x14ac:dyDescent="0.2">
      <c r="B10021" s="207"/>
      <c r="C10021" s="210"/>
      <c r="D10021" s="211"/>
      <c r="E10021" s="211"/>
      <c r="U10021" s="222"/>
    </row>
    <row r="10022" spans="2:21" x14ac:dyDescent="0.2">
      <c r="B10022" s="207"/>
      <c r="C10022" s="210"/>
      <c r="D10022" s="211"/>
      <c r="E10022" s="211"/>
      <c r="U10022" s="222"/>
    </row>
    <row r="10023" spans="2:21" x14ac:dyDescent="0.2">
      <c r="B10023" s="207"/>
      <c r="C10023" s="210"/>
      <c r="D10023" s="211"/>
      <c r="E10023" s="211"/>
      <c r="U10023" s="222"/>
    </row>
    <row r="10024" spans="2:21" x14ac:dyDescent="0.2">
      <c r="B10024" s="207"/>
      <c r="C10024" s="210"/>
      <c r="D10024" s="211"/>
      <c r="E10024" s="211"/>
      <c r="U10024" s="222"/>
    </row>
    <row r="10025" spans="2:21" x14ac:dyDescent="0.2">
      <c r="B10025" s="207"/>
      <c r="C10025" s="210"/>
      <c r="D10025" s="211"/>
      <c r="E10025" s="211"/>
      <c r="U10025" s="222"/>
    </row>
    <row r="10026" spans="2:21" x14ac:dyDescent="0.2">
      <c r="B10026" s="207"/>
      <c r="C10026" s="210"/>
      <c r="D10026" s="211"/>
      <c r="E10026" s="211"/>
      <c r="U10026" s="222"/>
    </row>
    <row r="10027" spans="2:21" x14ac:dyDescent="0.2">
      <c r="B10027" s="207"/>
      <c r="C10027" s="210"/>
      <c r="D10027" s="211"/>
      <c r="E10027" s="211"/>
      <c r="U10027" s="222"/>
    </row>
    <row r="10028" spans="2:21" x14ac:dyDescent="0.2">
      <c r="B10028" s="207"/>
      <c r="C10028" s="210"/>
      <c r="D10028" s="211"/>
      <c r="E10028" s="211"/>
      <c r="U10028" s="222"/>
    </row>
    <row r="10029" spans="2:21" x14ac:dyDescent="0.2">
      <c r="B10029" s="207"/>
      <c r="C10029" s="210"/>
      <c r="D10029" s="211"/>
      <c r="E10029" s="211"/>
      <c r="U10029" s="222"/>
    </row>
    <row r="10030" spans="2:21" x14ac:dyDescent="0.2">
      <c r="B10030" s="207"/>
      <c r="C10030" s="210"/>
      <c r="D10030" s="211"/>
      <c r="E10030" s="211"/>
      <c r="U10030" s="222"/>
    </row>
    <row r="10031" spans="2:21" x14ac:dyDescent="0.2">
      <c r="B10031" s="207"/>
      <c r="C10031" s="210"/>
      <c r="D10031" s="211"/>
      <c r="E10031" s="211"/>
      <c r="U10031" s="222"/>
    </row>
    <row r="10032" spans="2:21" x14ac:dyDescent="0.2">
      <c r="B10032" s="207"/>
      <c r="C10032" s="210"/>
      <c r="D10032" s="211"/>
      <c r="E10032" s="211"/>
      <c r="U10032" s="222"/>
    </row>
    <row r="10033" spans="2:21" x14ac:dyDescent="0.2">
      <c r="B10033" s="207"/>
      <c r="C10033" s="210"/>
      <c r="D10033" s="211"/>
      <c r="E10033" s="211"/>
      <c r="U10033" s="222"/>
    </row>
    <row r="10034" spans="2:21" x14ac:dyDescent="0.2">
      <c r="B10034" s="207"/>
      <c r="C10034" s="210"/>
      <c r="D10034" s="211"/>
      <c r="E10034" s="211"/>
      <c r="U10034" s="222"/>
    </row>
    <row r="10035" spans="2:21" x14ac:dyDescent="0.2">
      <c r="B10035" s="207"/>
      <c r="C10035" s="210"/>
      <c r="D10035" s="211"/>
      <c r="E10035" s="211"/>
      <c r="U10035" s="222"/>
    </row>
    <row r="10036" spans="2:21" x14ac:dyDescent="0.2">
      <c r="B10036" s="207"/>
      <c r="C10036" s="210"/>
      <c r="D10036" s="211"/>
      <c r="E10036" s="211"/>
      <c r="U10036" s="222"/>
    </row>
    <row r="10037" spans="2:21" x14ac:dyDescent="0.2">
      <c r="B10037" s="207"/>
      <c r="C10037" s="210"/>
      <c r="D10037" s="211"/>
      <c r="E10037" s="211"/>
      <c r="U10037" s="222"/>
    </row>
    <row r="10038" spans="2:21" x14ac:dyDescent="0.2">
      <c r="B10038" s="207"/>
      <c r="C10038" s="210"/>
      <c r="D10038" s="211"/>
      <c r="E10038" s="211"/>
      <c r="U10038" s="222"/>
    </row>
    <row r="10039" spans="2:21" x14ac:dyDescent="0.2">
      <c r="B10039" s="207"/>
      <c r="C10039" s="210"/>
      <c r="D10039" s="211"/>
      <c r="E10039" s="211"/>
      <c r="U10039" s="222"/>
    </row>
    <row r="10040" spans="2:21" x14ac:dyDescent="0.2">
      <c r="B10040" s="207"/>
      <c r="C10040" s="210"/>
      <c r="D10040" s="211"/>
      <c r="E10040" s="211"/>
      <c r="U10040" s="222"/>
    </row>
    <row r="10041" spans="2:21" x14ac:dyDescent="0.2">
      <c r="B10041" s="207"/>
      <c r="C10041" s="210"/>
      <c r="D10041" s="211"/>
      <c r="E10041" s="211"/>
      <c r="U10041" s="222"/>
    </row>
    <row r="10042" spans="2:21" x14ac:dyDescent="0.2">
      <c r="B10042" s="207"/>
      <c r="C10042" s="210"/>
      <c r="D10042" s="211"/>
      <c r="E10042" s="211"/>
      <c r="U10042" s="222"/>
    </row>
    <row r="10043" spans="2:21" x14ac:dyDescent="0.2">
      <c r="B10043" s="207"/>
      <c r="C10043" s="210"/>
      <c r="D10043" s="211"/>
      <c r="E10043" s="211"/>
      <c r="U10043" s="222"/>
    </row>
    <row r="10044" spans="2:21" x14ac:dyDescent="0.2">
      <c r="B10044" s="207"/>
      <c r="C10044" s="210"/>
      <c r="D10044" s="211"/>
      <c r="E10044" s="211"/>
      <c r="U10044" s="222"/>
    </row>
    <row r="10045" spans="2:21" x14ac:dyDescent="0.2">
      <c r="B10045" s="207"/>
      <c r="C10045" s="210"/>
      <c r="D10045" s="211"/>
      <c r="E10045" s="211"/>
      <c r="U10045" s="222"/>
    </row>
    <row r="10046" spans="2:21" x14ac:dyDescent="0.2">
      <c r="B10046" s="207"/>
      <c r="C10046" s="210"/>
      <c r="D10046" s="211"/>
      <c r="E10046" s="211"/>
      <c r="U10046" s="222"/>
    </row>
    <row r="10047" spans="2:21" x14ac:dyDescent="0.2">
      <c r="B10047" s="207"/>
      <c r="C10047" s="210"/>
      <c r="D10047" s="211"/>
      <c r="E10047" s="211"/>
      <c r="U10047" s="222"/>
    </row>
    <row r="10048" spans="2:21" x14ac:dyDescent="0.2">
      <c r="B10048" s="207"/>
      <c r="C10048" s="210"/>
      <c r="D10048" s="211"/>
      <c r="E10048" s="211"/>
      <c r="U10048" s="222"/>
    </row>
    <row r="10049" spans="2:21" x14ac:dyDescent="0.2">
      <c r="B10049" s="207"/>
      <c r="C10049" s="210"/>
      <c r="D10049" s="211"/>
      <c r="E10049" s="211"/>
      <c r="U10049" s="222"/>
    </row>
    <row r="10050" spans="2:21" x14ac:dyDescent="0.2">
      <c r="B10050" s="207"/>
      <c r="C10050" s="210"/>
      <c r="D10050" s="211"/>
      <c r="E10050" s="211"/>
      <c r="U10050" s="222"/>
    </row>
    <row r="10051" spans="2:21" x14ac:dyDescent="0.2">
      <c r="B10051" s="207"/>
      <c r="C10051" s="210"/>
      <c r="D10051" s="211"/>
      <c r="E10051" s="211"/>
      <c r="U10051" s="222"/>
    </row>
    <row r="10052" spans="2:21" x14ac:dyDescent="0.2">
      <c r="B10052" s="207"/>
      <c r="C10052" s="210"/>
      <c r="D10052" s="211"/>
      <c r="E10052" s="211"/>
      <c r="U10052" s="222"/>
    </row>
    <row r="10053" spans="2:21" x14ac:dyDescent="0.2">
      <c r="B10053" s="207"/>
      <c r="C10053" s="210"/>
      <c r="D10053" s="211"/>
      <c r="E10053" s="211"/>
      <c r="U10053" s="222"/>
    </row>
    <row r="10054" spans="2:21" x14ac:dyDescent="0.2">
      <c r="B10054" s="207"/>
      <c r="C10054" s="210"/>
      <c r="D10054" s="211"/>
      <c r="E10054" s="211"/>
      <c r="U10054" s="222"/>
    </row>
    <row r="10055" spans="2:21" x14ac:dyDescent="0.2">
      <c r="B10055" s="207"/>
      <c r="C10055" s="210"/>
      <c r="D10055" s="211"/>
      <c r="E10055" s="211"/>
      <c r="U10055" s="222"/>
    </row>
    <row r="10056" spans="2:21" x14ac:dyDescent="0.2">
      <c r="B10056" s="207"/>
      <c r="C10056" s="210"/>
      <c r="D10056" s="211"/>
      <c r="E10056" s="211"/>
      <c r="U10056" s="222"/>
    </row>
    <row r="10057" spans="2:21" x14ac:dyDescent="0.2">
      <c r="B10057" s="207"/>
      <c r="C10057" s="210"/>
      <c r="D10057" s="211"/>
      <c r="E10057" s="211"/>
      <c r="U10057" s="222"/>
    </row>
    <row r="10058" spans="2:21" x14ac:dyDescent="0.2">
      <c r="B10058" s="207"/>
      <c r="C10058" s="210"/>
      <c r="D10058" s="211"/>
      <c r="E10058" s="211"/>
      <c r="U10058" s="222"/>
    </row>
    <row r="10059" spans="2:21" x14ac:dyDescent="0.2">
      <c r="B10059" s="207"/>
      <c r="C10059" s="210"/>
      <c r="D10059" s="211"/>
      <c r="E10059" s="211"/>
      <c r="U10059" s="222"/>
    </row>
    <row r="10060" spans="2:21" x14ac:dyDescent="0.2">
      <c r="B10060" s="207"/>
      <c r="C10060" s="210"/>
      <c r="D10060" s="211"/>
      <c r="E10060" s="211"/>
      <c r="U10060" s="222"/>
    </row>
    <row r="10061" spans="2:21" x14ac:dyDescent="0.2">
      <c r="B10061" s="207"/>
      <c r="C10061" s="210"/>
      <c r="D10061" s="211"/>
      <c r="E10061" s="211"/>
      <c r="U10061" s="222"/>
    </row>
    <row r="10062" spans="2:21" x14ac:dyDescent="0.2">
      <c r="B10062" s="207"/>
      <c r="C10062" s="210"/>
      <c r="D10062" s="211"/>
      <c r="E10062" s="211"/>
      <c r="U10062" s="222"/>
    </row>
    <row r="10063" spans="2:21" x14ac:dyDescent="0.2">
      <c r="B10063" s="207"/>
      <c r="C10063" s="210"/>
      <c r="D10063" s="211"/>
      <c r="E10063" s="211"/>
      <c r="U10063" s="222"/>
    </row>
    <row r="10064" spans="2:21" x14ac:dyDescent="0.2">
      <c r="B10064" s="207"/>
      <c r="C10064" s="210"/>
      <c r="D10064" s="211"/>
      <c r="E10064" s="211"/>
      <c r="U10064" s="222"/>
    </row>
    <row r="10065" spans="2:21" x14ac:dyDescent="0.2">
      <c r="B10065" s="207"/>
      <c r="C10065" s="210"/>
      <c r="D10065" s="211"/>
      <c r="E10065" s="211"/>
      <c r="U10065" s="222"/>
    </row>
    <row r="10066" spans="2:21" x14ac:dyDescent="0.2">
      <c r="B10066" s="207"/>
      <c r="C10066" s="210"/>
      <c r="D10066" s="211"/>
      <c r="E10066" s="211"/>
      <c r="U10066" s="222"/>
    </row>
    <row r="10067" spans="2:21" x14ac:dyDescent="0.2">
      <c r="B10067" s="207"/>
      <c r="C10067" s="210"/>
      <c r="D10067" s="211"/>
      <c r="E10067" s="211"/>
      <c r="U10067" s="222"/>
    </row>
    <row r="10068" spans="2:21" x14ac:dyDescent="0.2">
      <c r="B10068" s="207"/>
      <c r="C10068" s="210"/>
      <c r="D10068" s="211"/>
      <c r="E10068" s="211"/>
      <c r="U10068" s="222"/>
    </row>
    <row r="10069" spans="2:21" x14ac:dyDescent="0.2">
      <c r="B10069" s="207"/>
      <c r="C10069" s="210"/>
      <c r="D10069" s="211"/>
      <c r="E10069" s="211"/>
      <c r="U10069" s="222"/>
    </row>
    <row r="10070" spans="2:21" x14ac:dyDescent="0.2">
      <c r="B10070" s="207"/>
      <c r="C10070" s="210"/>
      <c r="D10070" s="211"/>
      <c r="E10070" s="211"/>
      <c r="U10070" s="222"/>
    </row>
    <row r="10071" spans="2:21" x14ac:dyDescent="0.2">
      <c r="B10071" s="207"/>
      <c r="C10071" s="210"/>
      <c r="D10071" s="211"/>
      <c r="E10071" s="211"/>
      <c r="U10071" s="222"/>
    </row>
    <row r="10072" spans="2:21" x14ac:dyDescent="0.2">
      <c r="B10072" s="207"/>
      <c r="C10072" s="210"/>
      <c r="D10072" s="211"/>
      <c r="E10072" s="211"/>
      <c r="U10072" s="222"/>
    </row>
    <row r="10073" spans="2:21" x14ac:dyDescent="0.2">
      <c r="B10073" s="207"/>
      <c r="C10073" s="210"/>
      <c r="D10073" s="211"/>
      <c r="E10073" s="211"/>
      <c r="U10073" s="222"/>
    </row>
    <row r="10074" spans="2:21" x14ac:dyDescent="0.2">
      <c r="B10074" s="207"/>
      <c r="C10074" s="210"/>
      <c r="D10074" s="211"/>
      <c r="E10074" s="211"/>
      <c r="U10074" s="222"/>
    </row>
    <row r="10075" spans="2:21" x14ac:dyDescent="0.2">
      <c r="B10075" s="207"/>
      <c r="C10075" s="210"/>
      <c r="D10075" s="211"/>
      <c r="E10075" s="211"/>
      <c r="U10075" s="222"/>
    </row>
    <row r="10076" spans="2:21" x14ac:dyDescent="0.2">
      <c r="B10076" s="207"/>
      <c r="C10076" s="210"/>
      <c r="D10076" s="211"/>
      <c r="E10076" s="211"/>
      <c r="U10076" s="222"/>
    </row>
    <row r="10077" spans="2:21" x14ac:dyDescent="0.2">
      <c r="B10077" s="207"/>
      <c r="C10077" s="210"/>
      <c r="D10077" s="211"/>
      <c r="E10077" s="211"/>
      <c r="U10077" s="222"/>
    </row>
    <row r="10078" spans="2:21" x14ac:dyDescent="0.2">
      <c r="B10078" s="207"/>
      <c r="C10078" s="210"/>
      <c r="D10078" s="211"/>
      <c r="E10078" s="211"/>
      <c r="U10078" s="222"/>
    </row>
    <row r="10079" spans="2:21" x14ac:dyDescent="0.2">
      <c r="B10079" s="207"/>
      <c r="C10079" s="210"/>
      <c r="D10079" s="211"/>
      <c r="E10079" s="211"/>
      <c r="U10079" s="222"/>
    </row>
    <row r="10080" spans="2:21" x14ac:dyDescent="0.2">
      <c r="B10080" s="207"/>
      <c r="C10080" s="210"/>
      <c r="D10080" s="211"/>
      <c r="E10080" s="211"/>
      <c r="U10080" s="222"/>
    </row>
    <row r="10081" spans="2:21" x14ac:dyDescent="0.2">
      <c r="B10081" s="207"/>
      <c r="C10081" s="210"/>
      <c r="D10081" s="211"/>
      <c r="E10081" s="211"/>
      <c r="U10081" s="222"/>
    </row>
    <row r="10082" spans="2:21" x14ac:dyDescent="0.2">
      <c r="B10082" s="207"/>
      <c r="C10082" s="210"/>
      <c r="D10082" s="211"/>
      <c r="E10082" s="211"/>
      <c r="U10082" s="222"/>
    </row>
    <row r="10083" spans="2:21" x14ac:dyDescent="0.2">
      <c r="B10083" s="207"/>
      <c r="C10083" s="210"/>
      <c r="D10083" s="211"/>
      <c r="E10083" s="211"/>
      <c r="U10083" s="222"/>
    </row>
    <row r="10084" spans="2:21" x14ac:dyDescent="0.2">
      <c r="B10084" s="207"/>
      <c r="C10084" s="210"/>
      <c r="D10084" s="211"/>
      <c r="E10084" s="211"/>
      <c r="U10084" s="222"/>
    </row>
    <row r="10085" spans="2:21" x14ac:dyDescent="0.2">
      <c r="B10085" s="207"/>
      <c r="C10085" s="210"/>
      <c r="D10085" s="211"/>
      <c r="E10085" s="211"/>
      <c r="U10085" s="222"/>
    </row>
    <row r="10086" spans="2:21" x14ac:dyDescent="0.2">
      <c r="B10086" s="207"/>
      <c r="C10086" s="210"/>
      <c r="D10086" s="211"/>
      <c r="E10086" s="211"/>
      <c r="U10086" s="222"/>
    </row>
    <row r="10087" spans="2:21" x14ac:dyDescent="0.2">
      <c r="B10087" s="207"/>
      <c r="C10087" s="210"/>
      <c r="D10087" s="211"/>
      <c r="E10087" s="211"/>
      <c r="U10087" s="222"/>
    </row>
    <row r="10088" spans="2:21" x14ac:dyDescent="0.2">
      <c r="B10088" s="207"/>
      <c r="C10088" s="210"/>
      <c r="D10088" s="211"/>
      <c r="E10088" s="211"/>
      <c r="U10088" s="222"/>
    </row>
    <row r="10089" spans="2:21" x14ac:dyDescent="0.2">
      <c r="B10089" s="207"/>
      <c r="C10089" s="210"/>
      <c r="D10089" s="211"/>
      <c r="E10089" s="211"/>
      <c r="U10089" s="222"/>
    </row>
    <row r="10090" spans="2:21" x14ac:dyDescent="0.2">
      <c r="B10090" s="207"/>
      <c r="C10090" s="210"/>
      <c r="D10090" s="211"/>
      <c r="E10090" s="211"/>
      <c r="U10090" s="222"/>
    </row>
    <row r="10091" spans="2:21" x14ac:dyDescent="0.2">
      <c r="B10091" s="207"/>
      <c r="C10091" s="210"/>
      <c r="D10091" s="211"/>
      <c r="E10091" s="211"/>
      <c r="U10091" s="222"/>
    </row>
    <row r="10092" spans="2:21" x14ac:dyDescent="0.2">
      <c r="B10092" s="207"/>
      <c r="C10092" s="210"/>
      <c r="D10092" s="211"/>
      <c r="E10092" s="211"/>
      <c r="U10092" s="222"/>
    </row>
    <row r="10093" spans="2:21" x14ac:dyDescent="0.2">
      <c r="B10093" s="207"/>
      <c r="C10093" s="210"/>
      <c r="D10093" s="211"/>
      <c r="E10093" s="211"/>
      <c r="U10093" s="222"/>
    </row>
    <row r="10094" spans="2:21" x14ac:dyDescent="0.2">
      <c r="B10094" s="207"/>
      <c r="C10094" s="210"/>
      <c r="D10094" s="211"/>
      <c r="E10094" s="211"/>
      <c r="U10094" s="222"/>
    </row>
    <row r="10095" spans="2:21" x14ac:dyDescent="0.2">
      <c r="B10095" s="207"/>
      <c r="C10095" s="210"/>
      <c r="D10095" s="211"/>
      <c r="E10095" s="211"/>
      <c r="U10095" s="222"/>
    </row>
    <row r="10096" spans="2:21" x14ac:dyDescent="0.2">
      <c r="B10096" s="207"/>
      <c r="C10096" s="210"/>
      <c r="D10096" s="211"/>
      <c r="E10096" s="211"/>
      <c r="U10096" s="222"/>
    </row>
    <row r="10097" spans="2:21" x14ac:dyDescent="0.2">
      <c r="B10097" s="207"/>
      <c r="C10097" s="210"/>
      <c r="D10097" s="211"/>
      <c r="E10097" s="211"/>
      <c r="U10097" s="222"/>
    </row>
    <row r="10098" spans="2:21" x14ac:dyDescent="0.2">
      <c r="B10098" s="207"/>
      <c r="C10098" s="210"/>
      <c r="D10098" s="211"/>
      <c r="E10098" s="211"/>
      <c r="U10098" s="222"/>
    </row>
    <row r="10099" spans="2:21" x14ac:dyDescent="0.2">
      <c r="B10099" s="207"/>
      <c r="C10099" s="210"/>
      <c r="D10099" s="211"/>
      <c r="E10099" s="211"/>
      <c r="U10099" s="222"/>
    </row>
    <row r="10100" spans="2:21" x14ac:dyDescent="0.2">
      <c r="B10100" s="207"/>
      <c r="C10100" s="210"/>
      <c r="D10100" s="211"/>
      <c r="E10100" s="211"/>
      <c r="U10100" s="222"/>
    </row>
    <row r="10101" spans="2:21" x14ac:dyDescent="0.2">
      <c r="B10101" s="207"/>
      <c r="C10101" s="210"/>
      <c r="D10101" s="211"/>
      <c r="E10101" s="211"/>
      <c r="U10101" s="222"/>
    </row>
    <row r="10102" spans="2:21" x14ac:dyDescent="0.2">
      <c r="B10102" s="207"/>
      <c r="C10102" s="210"/>
      <c r="D10102" s="211"/>
      <c r="E10102" s="211"/>
      <c r="U10102" s="222"/>
    </row>
    <row r="10103" spans="2:21" x14ac:dyDescent="0.2">
      <c r="B10103" s="207"/>
      <c r="C10103" s="210"/>
      <c r="D10103" s="211"/>
      <c r="E10103" s="211"/>
      <c r="U10103" s="222"/>
    </row>
    <row r="10104" spans="2:21" x14ac:dyDescent="0.2">
      <c r="B10104" s="207"/>
      <c r="C10104" s="210"/>
      <c r="D10104" s="211"/>
      <c r="E10104" s="211"/>
      <c r="U10104" s="222"/>
    </row>
    <row r="10105" spans="2:21" x14ac:dyDescent="0.2">
      <c r="B10105" s="207"/>
      <c r="C10105" s="210"/>
      <c r="D10105" s="211"/>
      <c r="E10105" s="211"/>
      <c r="U10105" s="222"/>
    </row>
    <row r="10106" spans="2:21" x14ac:dyDescent="0.2">
      <c r="B10106" s="207"/>
      <c r="C10106" s="210"/>
      <c r="D10106" s="211"/>
      <c r="E10106" s="211"/>
      <c r="U10106" s="222"/>
    </row>
    <row r="10107" spans="2:21" x14ac:dyDescent="0.2">
      <c r="B10107" s="207"/>
      <c r="C10107" s="210"/>
      <c r="D10107" s="211"/>
      <c r="E10107" s="211"/>
      <c r="U10107" s="222"/>
    </row>
    <row r="10108" spans="2:21" x14ac:dyDescent="0.2">
      <c r="B10108" s="207"/>
      <c r="C10108" s="210"/>
      <c r="D10108" s="211"/>
      <c r="E10108" s="211"/>
      <c r="U10108" s="222"/>
    </row>
    <row r="10109" spans="2:21" x14ac:dyDescent="0.2">
      <c r="B10109" s="207"/>
      <c r="C10109" s="210"/>
      <c r="D10109" s="211"/>
      <c r="E10109" s="211"/>
      <c r="U10109" s="222"/>
    </row>
    <row r="10110" spans="2:21" x14ac:dyDescent="0.2">
      <c r="B10110" s="207"/>
      <c r="C10110" s="210"/>
      <c r="D10110" s="211"/>
      <c r="E10110" s="211"/>
      <c r="U10110" s="222"/>
    </row>
    <row r="10111" spans="2:21" x14ac:dyDescent="0.2">
      <c r="B10111" s="207"/>
      <c r="C10111" s="210"/>
      <c r="D10111" s="211"/>
      <c r="E10111" s="211"/>
      <c r="U10111" s="222"/>
    </row>
    <row r="10112" spans="2:21" x14ac:dyDescent="0.2">
      <c r="B10112" s="207"/>
      <c r="C10112" s="210"/>
      <c r="D10112" s="211"/>
      <c r="E10112" s="211"/>
      <c r="U10112" s="222"/>
    </row>
    <row r="10113" spans="2:21" x14ac:dyDescent="0.2">
      <c r="B10113" s="207"/>
      <c r="C10113" s="210"/>
      <c r="D10113" s="211"/>
      <c r="E10113" s="211"/>
      <c r="U10113" s="222"/>
    </row>
    <row r="10114" spans="2:21" x14ac:dyDescent="0.2">
      <c r="B10114" s="207"/>
      <c r="C10114" s="210"/>
      <c r="D10114" s="211"/>
      <c r="E10114" s="211"/>
      <c r="U10114" s="222"/>
    </row>
    <row r="10115" spans="2:21" x14ac:dyDescent="0.2">
      <c r="B10115" s="207"/>
      <c r="C10115" s="210"/>
      <c r="D10115" s="211"/>
      <c r="E10115" s="211"/>
      <c r="U10115" s="222"/>
    </row>
    <row r="10116" spans="2:21" x14ac:dyDescent="0.2">
      <c r="B10116" s="207"/>
      <c r="C10116" s="210"/>
      <c r="D10116" s="211"/>
      <c r="E10116" s="211"/>
      <c r="U10116" s="222"/>
    </row>
    <row r="10117" spans="2:21" x14ac:dyDescent="0.2">
      <c r="B10117" s="207"/>
      <c r="C10117" s="210"/>
      <c r="D10117" s="211"/>
      <c r="E10117" s="211"/>
      <c r="U10117" s="222"/>
    </row>
    <row r="10118" spans="2:21" x14ac:dyDescent="0.2">
      <c r="B10118" s="207"/>
      <c r="C10118" s="210"/>
      <c r="D10118" s="211"/>
      <c r="E10118" s="211"/>
      <c r="U10118" s="222"/>
    </row>
    <row r="10119" spans="2:21" x14ac:dyDescent="0.2">
      <c r="B10119" s="207"/>
      <c r="C10119" s="210"/>
      <c r="D10119" s="211"/>
      <c r="E10119" s="211"/>
      <c r="U10119" s="222"/>
    </row>
    <row r="10120" spans="2:21" x14ac:dyDescent="0.2">
      <c r="B10120" s="207"/>
      <c r="C10120" s="210"/>
      <c r="D10120" s="211"/>
      <c r="E10120" s="211"/>
      <c r="U10120" s="222"/>
    </row>
    <row r="10121" spans="2:21" x14ac:dyDescent="0.2">
      <c r="B10121" s="207"/>
      <c r="C10121" s="210"/>
      <c r="D10121" s="211"/>
      <c r="E10121" s="211"/>
      <c r="U10121" s="222"/>
    </row>
    <row r="10122" spans="2:21" x14ac:dyDescent="0.2">
      <c r="B10122" s="207"/>
      <c r="C10122" s="210"/>
      <c r="D10122" s="211"/>
      <c r="E10122" s="211"/>
      <c r="U10122" s="222"/>
    </row>
    <row r="10123" spans="2:21" x14ac:dyDescent="0.2">
      <c r="B10123" s="207"/>
      <c r="C10123" s="210"/>
      <c r="D10123" s="211"/>
      <c r="E10123" s="211"/>
      <c r="U10123" s="222"/>
    </row>
    <row r="10124" spans="2:21" x14ac:dyDescent="0.2">
      <c r="B10124" s="207"/>
      <c r="C10124" s="210"/>
      <c r="D10124" s="211"/>
      <c r="E10124" s="211"/>
      <c r="U10124" s="222"/>
    </row>
    <row r="10125" spans="2:21" x14ac:dyDescent="0.2">
      <c r="B10125" s="207"/>
      <c r="C10125" s="210"/>
      <c r="D10125" s="211"/>
      <c r="E10125" s="211"/>
      <c r="U10125" s="222"/>
    </row>
    <row r="10126" spans="2:21" x14ac:dyDescent="0.2">
      <c r="B10126" s="207"/>
      <c r="C10126" s="210"/>
      <c r="D10126" s="211"/>
      <c r="E10126" s="211"/>
      <c r="U10126" s="222"/>
    </row>
    <row r="10127" spans="2:21" x14ac:dyDescent="0.2">
      <c r="B10127" s="207"/>
      <c r="C10127" s="210"/>
      <c r="D10127" s="211"/>
      <c r="E10127" s="211"/>
      <c r="U10127" s="222"/>
    </row>
    <row r="10128" spans="2:21" x14ac:dyDescent="0.2">
      <c r="B10128" s="207"/>
      <c r="C10128" s="210"/>
      <c r="D10128" s="211"/>
      <c r="E10128" s="211"/>
      <c r="U10128" s="222"/>
    </row>
    <row r="10129" spans="2:21" x14ac:dyDescent="0.2">
      <c r="B10129" s="207"/>
      <c r="C10129" s="210"/>
      <c r="D10129" s="211"/>
      <c r="E10129" s="211"/>
      <c r="U10129" s="222"/>
    </row>
    <row r="10130" spans="2:21" x14ac:dyDescent="0.2">
      <c r="B10130" s="207"/>
      <c r="C10130" s="210"/>
      <c r="D10130" s="211"/>
      <c r="E10130" s="211"/>
      <c r="U10130" s="222"/>
    </row>
    <row r="10131" spans="2:21" x14ac:dyDescent="0.2">
      <c r="B10131" s="207"/>
      <c r="C10131" s="210"/>
      <c r="D10131" s="211"/>
      <c r="E10131" s="211"/>
      <c r="U10131" s="222"/>
    </row>
    <row r="10132" spans="2:21" x14ac:dyDescent="0.2">
      <c r="B10132" s="207"/>
      <c r="C10132" s="210"/>
      <c r="D10132" s="211"/>
      <c r="E10132" s="211"/>
      <c r="U10132" s="222"/>
    </row>
    <row r="10133" spans="2:21" x14ac:dyDescent="0.2">
      <c r="B10133" s="207"/>
      <c r="C10133" s="210"/>
      <c r="D10133" s="211"/>
      <c r="E10133" s="211"/>
      <c r="U10133" s="222"/>
    </row>
    <row r="10134" spans="2:21" x14ac:dyDescent="0.2">
      <c r="B10134" s="207"/>
      <c r="C10134" s="210"/>
      <c r="D10134" s="211"/>
      <c r="E10134" s="211"/>
      <c r="U10134" s="222"/>
    </row>
    <row r="10135" spans="2:21" x14ac:dyDescent="0.2">
      <c r="B10135" s="207"/>
      <c r="C10135" s="210"/>
      <c r="D10135" s="211"/>
      <c r="E10135" s="211"/>
      <c r="U10135" s="222"/>
    </row>
    <row r="10136" spans="2:21" x14ac:dyDescent="0.2">
      <c r="B10136" s="207"/>
      <c r="C10136" s="210"/>
      <c r="D10136" s="211"/>
      <c r="E10136" s="211"/>
      <c r="U10136" s="222"/>
    </row>
    <row r="10137" spans="2:21" x14ac:dyDescent="0.2">
      <c r="B10137" s="207"/>
      <c r="C10137" s="210"/>
      <c r="D10137" s="211"/>
      <c r="E10137" s="211"/>
      <c r="U10137" s="222"/>
    </row>
    <row r="10138" spans="2:21" x14ac:dyDescent="0.2">
      <c r="B10138" s="207"/>
      <c r="C10138" s="210"/>
      <c r="D10138" s="211"/>
      <c r="E10138" s="211"/>
      <c r="U10138" s="222"/>
    </row>
    <row r="10139" spans="2:21" x14ac:dyDescent="0.2">
      <c r="B10139" s="207"/>
      <c r="C10139" s="210"/>
      <c r="D10139" s="211"/>
      <c r="E10139" s="211"/>
      <c r="U10139" s="222"/>
    </row>
    <row r="10140" spans="2:21" x14ac:dyDescent="0.2">
      <c r="B10140" s="207"/>
      <c r="C10140" s="210"/>
      <c r="D10140" s="211"/>
      <c r="E10140" s="211"/>
      <c r="U10140" s="222"/>
    </row>
    <row r="10141" spans="2:21" x14ac:dyDescent="0.2">
      <c r="B10141" s="207"/>
      <c r="C10141" s="210"/>
      <c r="D10141" s="211"/>
      <c r="E10141" s="211"/>
      <c r="U10141" s="222"/>
    </row>
    <row r="10142" spans="2:21" x14ac:dyDescent="0.2">
      <c r="B10142" s="207"/>
      <c r="C10142" s="210"/>
      <c r="D10142" s="211"/>
      <c r="E10142" s="211"/>
      <c r="U10142" s="222"/>
    </row>
    <row r="10143" spans="2:21" x14ac:dyDescent="0.2">
      <c r="B10143" s="207"/>
      <c r="C10143" s="210"/>
      <c r="D10143" s="211"/>
      <c r="E10143" s="211"/>
      <c r="U10143" s="222"/>
    </row>
    <row r="10144" spans="2:21" x14ac:dyDescent="0.2">
      <c r="B10144" s="207"/>
      <c r="C10144" s="210"/>
      <c r="D10144" s="211"/>
      <c r="E10144" s="211"/>
      <c r="U10144" s="222"/>
    </row>
    <row r="10145" spans="2:21" x14ac:dyDescent="0.2">
      <c r="B10145" s="207"/>
      <c r="C10145" s="210"/>
      <c r="D10145" s="211"/>
      <c r="E10145" s="211"/>
      <c r="U10145" s="222"/>
    </row>
    <row r="10146" spans="2:21" x14ac:dyDescent="0.2">
      <c r="B10146" s="207"/>
      <c r="C10146" s="210"/>
      <c r="D10146" s="211"/>
      <c r="E10146" s="211"/>
      <c r="U10146" s="222"/>
    </row>
    <row r="10147" spans="2:21" x14ac:dyDescent="0.2">
      <c r="B10147" s="207"/>
      <c r="C10147" s="210"/>
      <c r="D10147" s="211"/>
      <c r="E10147" s="211"/>
      <c r="U10147" s="222"/>
    </row>
    <row r="10148" spans="2:21" x14ac:dyDescent="0.2">
      <c r="B10148" s="207"/>
      <c r="C10148" s="210"/>
      <c r="D10148" s="211"/>
      <c r="E10148" s="211"/>
      <c r="U10148" s="222"/>
    </row>
    <row r="10149" spans="2:21" x14ac:dyDescent="0.2">
      <c r="B10149" s="207"/>
      <c r="C10149" s="210"/>
      <c r="D10149" s="211"/>
      <c r="E10149" s="211"/>
      <c r="U10149" s="222"/>
    </row>
    <row r="10150" spans="2:21" x14ac:dyDescent="0.2">
      <c r="B10150" s="207"/>
      <c r="C10150" s="210"/>
      <c r="D10150" s="211"/>
      <c r="E10150" s="211"/>
      <c r="U10150" s="222"/>
    </row>
    <row r="10151" spans="2:21" x14ac:dyDescent="0.2">
      <c r="B10151" s="207"/>
      <c r="C10151" s="210"/>
      <c r="D10151" s="211"/>
      <c r="E10151" s="211"/>
      <c r="U10151" s="222"/>
    </row>
    <row r="10152" spans="2:21" x14ac:dyDescent="0.2">
      <c r="B10152" s="207"/>
      <c r="C10152" s="210"/>
      <c r="D10152" s="211"/>
      <c r="E10152" s="211"/>
      <c r="U10152" s="222"/>
    </row>
    <row r="10153" spans="2:21" x14ac:dyDescent="0.2">
      <c r="B10153" s="207"/>
      <c r="C10153" s="210"/>
      <c r="D10153" s="211"/>
      <c r="E10153" s="211"/>
      <c r="U10153" s="222"/>
    </row>
    <row r="10154" spans="2:21" x14ac:dyDescent="0.2">
      <c r="B10154" s="207"/>
      <c r="C10154" s="210"/>
      <c r="D10154" s="211"/>
      <c r="E10154" s="211"/>
      <c r="U10154" s="222"/>
    </row>
    <row r="10155" spans="2:21" x14ac:dyDescent="0.2">
      <c r="B10155" s="207"/>
      <c r="C10155" s="210"/>
      <c r="D10155" s="211"/>
      <c r="E10155" s="211"/>
      <c r="U10155" s="222"/>
    </row>
    <row r="10156" spans="2:21" x14ac:dyDescent="0.2">
      <c r="B10156" s="207"/>
      <c r="C10156" s="210"/>
      <c r="D10156" s="211"/>
      <c r="E10156" s="211"/>
      <c r="U10156" s="222"/>
    </row>
    <row r="10157" spans="2:21" x14ac:dyDescent="0.2">
      <c r="B10157" s="207"/>
      <c r="C10157" s="210"/>
      <c r="D10157" s="211"/>
      <c r="E10157" s="211"/>
      <c r="U10157" s="222"/>
    </row>
    <row r="10158" spans="2:21" x14ac:dyDescent="0.2">
      <c r="B10158" s="207"/>
      <c r="C10158" s="210"/>
      <c r="D10158" s="211"/>
      <c r="E10158" s="211"/>
      <c r="U10158" s="222"/>
    </row>
    <row r="10159" spans="2:21" x14ac:dyDescent="0.2">
      <c r="B10159" s="207"/>
      <c r="C10159" s="210"/>
      <c r="D10159" s="211"/>
      <c r="E10159" s="211"/>
      <c r="U10159" s="222"/>
    </row>
    <row r="10160" spans="2:21" x14ac:dyDescent="0.2">
      <c r="B10160" s="207"/>
      <c r="C10160" s="210"/>
      <c r="D10160" s="211"/>
      <c r="E10160" s="211"/>
      <c r="U10160" s="222"/>
    </row>
    <row r="10161" spans="2:21" x14ac:dyDescent="0.2">
      <c r="B10161" s="207"/>
      <c r="C10161" s="210"/>
      <c r="D10161" s="211"/>
      <c r="E10161" s="211"/>
      <c r="U10161" s="222"/>
    </row>
    <row r="10162" spans="2:21" x14ac:dyDescent="0.2">
      <c r="B10162" s="207"/>
      <c r="C10162" s="210"/>
      <c r="D10162" s="211"/>
      <c r="E10162" s="211"/>
      <c r="U10162" s="222"/>
    </row>
    <row r="10163" spans="2:21" x14ac:dyDescent="0.2">
      <c r="B10163" s="207"/>
      <c r="C10163" s="210"/>
      <c r="D10163" s="211"/>
      <c r="E10163" s="211"/>
      <c r="U10163" s="222"/>
    </row>
    <row r="10164" spans="2:21" x14ac:dyDescent="0.2">
      <c r="B10164" s="207"/>
      <c r="C10164" s="210"/>
      <c r="D10164" s="211"/>
      <c r="E10164" s="211"/>
      <c r="U10164" s="222"/>
    </row>
    <row r="10165" spans="2:21" x14ac:dyDescent="0.2">
      <c r="B10165" s="207"/>
      <c r="C10165" s="210"/>
      <c r="D10165" s="211"/>
      <c r="E10165" s="211"/>
      <c r="U10165" s="222"/>
    </row>
    <row r="10166" spans="2:21" x14ac:dyDescent="0.2">
      <c r="B10166" s="207"/>
      <c r="C10166" s="210"/>
      <c r="D10166" s="211"/>
      <c r="E10166" s="211"/>
      <c r="U10166" s="222"/>
    </row>
    <row r="10167" spans="2:21" x14ac:dyDescent="0.2">
      <c r="B10167" s="207"/>
      <c r="C10167" s="210"/>
      <c r="D10167" s="211"/>
      <c r="E10167" s="211"/>
      <c r="U10167" s="222"/>
    </row>
    <row r="10168" spans="2:21" x14ac:dyDescent="0.2">
      <c r="B10168" s="207"/>
      <c r="C10168" s="210"/>
      <c r="D10168" s="211"/>
      <c r="E10168" s="211"/>
      <c r="U10168" s="222"/>
    </row>
    <row r="10169" spans="2:21" x14ac:dyDescent="0.2">
      <c r="B10169" s="207"/>
      <c r="C10169" s="210"/>
      <c r="D10169" s="211"/>
      <c r="E10169" s="211"/>
      <c r="U10169" s="222"/>
    </row>
    <row r="10170" spans="2:21" x14ac:dyDescent="0.2">
      <c r="B10170" s="207"/>
      <c r="C10170" s="210"/>
      <c r="D10170" s="211"/>
      <c r="E10170" s="211"/>
      <c r="U10170" s="222"/>
    </row>
    <row r="10171" spans="2:21" x14ac:dyDescent="0.2">
      <c r="B10171" s="207"/>
      <c r="C10171" s="210"/>
      <c r="D10171" s="211"/>
      <c r="E10171" s="211"/>
      <c r="U10171" s="222"/>
    </row>
    <row r="10172" spans="2:21" x14ac:dyDescent="0.2">
      <c r="B10172" s="207"/>
      <c r="C10172" s="210"/>
      <c r="D10172" s="211"/>
      <c r="E10172" s="211"/>
      <c r="U10172" s="222"/>
    </row>
    <row r="10173" spans="2:21" x14ac:dyDescent="0.2">
      <c r="B10173" s="207"/>
      <c r="C10173" s="210"/>
      <c r="D10173" s="211"/>
      <c r="E10173" s="211"/>
      <c r="U10173" s="222"/>
    </row>
    <row r="10174" spans="2:21" x14ac:dyDescent="0.2">
      <c r="B10174" s="207"/>
      <c r="C10174" s="210"/>
      <c r="D10174" s="211"/>
      <c r="E10174" s="211"/>
      <c r="U10174" s="222"/>
    </row>
    <row r="10175" spans="2:21" x14ac:dyDescent="0.2">
      <c r="B10175" s="207"/>
      <c r="C10175" s="210"/>
      <c r="D10175" s="211"/>
      <c r="E10175" s="211"/>
      <c r="U10175" s="222"/>
    </row>
    <row r="10176" spans="2:21" x14ac:dyDescent="0.2">
      <c r="B10176" s="207"/>
      <c r="C10176" s="210"/>
      <c r="D10176" s="211"/>
      <c r="E10176" s="211"/>
      <c r="U10176" s="222"/>
    </row>
    <row r="10177" spans="2:21" x14ac:dyDescent="0.2">
      <c r="B10177" s="207"/>
      <c r="C10177" s="210"/>
      <c r="D10177" s="211"/>
      <c r="E10177" s="211"/>
      <c r="U10177" s="222"/>
    </row>
    <row r="10178" spans="2:21" x14ac:dyDescent="0.2">
      <c r="B10178" s="207"/>
      <c r="C10178" s="210"/>
      <c r="D10178" s="211"/>
      <c r="E10178" s="211"/>
      <c r="U10178" s="222"/>
    </row>
    <row r="10179" spans="2:21" x14ac:dyDescent="0.2">
      <c r="B10179" s="207"/>
      <c r="C10179" s="210"/>
      <c r="D10179" s="211"/>
      <c r="E10179" s="211"/>
      <c r="U10179" s="222"/>
    </row>
    <row r="10180" spans="2:21" x14ac:dyDescent="0.2">
      <c r="B10180" s="207"/>
      <c r="C10180" s="210"/>
      <c r="D10180" s="211"/>
      <c r="E10180" s="211"/>
      <c r="U10180" s="222"/>
    </row>
    <row r="10181" spans="2:21" x14ac:dyDescent="0.2">
      <c r="B10181" s="207"/>
      <c r="C10181" s="210"/>
      <c r="D10181" s="211"/>
      <c r="E10181" s="211"/>
      <c r="U10181" s="222"/>
    </row>
    <row r="10182" spans="2:21" x14ac:dyDescent="0.2">
      <c r="B10182" s="207"/>
      <c r="C10182" s="210"/>
      <c r="D10182" s="211"/>
      <c r="E10182" s="211"/>
      <c r="U10182" s="222"/>
    </row>
    <row r="10183" spans="2:21" x14ac:dyDescent="0.2">
      <c r="B10183" s="207"/>
      <c r="C10183" s="210"/>
      <c r="D10183" s="211"/>
      <c r="E10183" s="211"/>
      <c r="U10183" s="222"/>
    </row>
    <row r="10184" spans="2:21" x14ac:dyDescent="0.2">
      <c r="B10184" s="207"/>
      <c r="C10184" s="210"/>
      <c r="D10184" s="211"/>
      <c r="E10184" s="211"/>
      <c r="U10184" s="222"/>
    </row>
    <row r="10185" spans="2:21" x14ac:dyDescent="0.2">
      <c r="B10185" s="207"/>
      <c r="C10185" s="210"/>
      <c r="D10185" s="211"/>
      <c r="E10185" s="211"/>
      <c r="U10185" s="222"/>
    </row>
    <row r="10186" spans="2:21" x14ac:dyDescent="0.2">
      <c r="B10186" s="207"/>
      <c r="C10186" s="210"/>
      <c r="D10186" s="211"/>
      <c r="E10186" s="211"/>
      <c r="U10186" s="222"/>
    </row>
    <row r="10187" spans="2:21" x14ac:dyDescent="0.2">
      <c r="B10187" s="207"/>
      <c r="C10187" s="210"/>
      <c r="D10187" s="211"/>
      <c r="E10187" s="211"/>
      <c r="U10187" s="222"/>
    </row>
    <row r="10188" spans="2:21" x14ac:dyDescent="0.2">
      <c r="B10188" s="207"/>
      <c r="C10188" s="210"/>
      <c r="D10188" s="211"/>
      <c r="E10188" s="211"/>
      <c r="U10188" s="222"/>
    </row>
    <row r="10189" spans="2:21" x14ac:dyDescent="0.2">
      <c r="B10189" s="207"/>
      <c r="C10189" s="210"/>
      <c r="D10189" s="211"/>
      <c r="E10189" s="211"/>
      <c r="U10189" s="222"/>
    </row>
    <row r="10190" spans="2:21" x14ac:dyDescent="0.2">
      <c r="B10190" s="207"/>
      <c r="C10190" s="210"/>
      <c r="D10190" s="211"/>
      <c r="E10190" s="211"/>
      <c r="U10190" s="222"/>
    </row>
    <row r="10191" spans="2:21" x14ac:dyDescent="0.2">
      <c r="B10191" s="207"/>
      <c r="C10191" s="210"/>
      <c r="D10191" s="211"/>
      <c r="E10191" s="211"/>
      <c r="U10191" s="222"/>
    </row>
    <row r="10192" spans="2:21" x14ac:dyDescent="0.2">
      <c r="B10192" s="207"/>
      <c r="C10192" s="210"/>
      <c r="D10192" s="211"/>
      <c r="E10192" s="211"/>
      <c r="U10192" s="222"/>
    </row>
    <row r="10193" spans="2:21" x14ac:dyDescent="0.2">
      <c r="B10193" s="207"/>
      <c r="C10193" s="210"/>
      <c r="D10193" s="211"/>
      <c r="E10193" s="211"/>
      <c r="U10193" s="222"/>
    </row>
    <row r="10194" spans="2:21" x14ac:dyDescent="0.2">
      <c r="B10194" s="207"/>
      <c r="C10194" s="210"/>
      <c r="D10194" s="211"/>
      <c r="E10194" s="211"/>
      <c r="U10194" s="222"/>
    </row>
    <row r="10195" spans="2:21" x14ac:dyDescent="0.2">
      <c r="B10195" s="207"/>
      <c r="C10195" s="210"/>
      <c r="D10195" s="211"/>
      <c r="E10195" s="211"/>
      <c r="U10195" s="222"/>
    </row>
    <row r="10196" spans="2:21" x14ac:dyDescent="0.2">
      <c r="B10196" s="207"/>
      <c r="C10196" s="210"/>
      <c r="D10196" s="211"/>
      <c r="E10196" s="211"/>
      <c r="U10196" s="222"/>
    </row>
    <row r="10197" spans="2:21" x14ac:dyDescent="0.2">
      <c r="B10197" s="207"/>
      <c r="C10197" s="210"/>
      <c r="D10197" s="211"/>
      <c r="E10197" s="211"/>
      <c r="U10197" s="222"/>
    </row>
    <row r="10198" spans="2:21" x14ac:dyDescent="0.2">
      <c r="B10198" s="207"/>
      <c r="C10198" s="210"/>
      <c r="D10198" s="211"/>
      <c r="E10198" s="211"/>
      <c r="U10198" s="222"/>
    </row>
    <row r="10199" spans="2:21" x14ac:dyDescent="0.2">
      <c r="B10199" s="207"/>
      <c r="C10199" s="210"/>
      <c r="D10199" s="211"/>
      <c r="E10199" s="211"/>
      <c r="U10199" s="222"/>
    </row>
    <row r="10200" spans="2:21" x14ac:dyDescent="0.2">
      <c r="B10200" s="207"/>
      <c r="C10200" s="210"/>
      <c r="D10200" s="211"/>
      <c r="E10200" s="211"/>
      <c r="U10200" s="222"/>
    </row>
    <row r="10201" spans="2:21" x14ac:dyDescent="0.2">
      <c r="B10201" s="207"/>
      <c r="C10201" s="210"/>
      <c r="D10201" s="211"/>
      <c r="E10201" s="211"/>
      <c r="U10201" s="222"/>
    </row>
    <row r="10202" spans="2:21" x14ac:dyDescent="0.2">
      <c r="B10202" s="207"/>
      <c r="C10202" s="210"/>
      <c r="D10202" s="211"/>
      <c r="E10202" s="211"/>
      <c r="U10202" s="222"/>
    </row>
    <row r="10203" spans="2:21" x14ac:dyDescent="0.2">
      <c r="B10203" s="207"/>
      <c r="C10203" s="210"/>
      <c r="D10203" s="211"/>
      <c r="E10203" s="211"/>
      <c r="U10203" s="222"/>
    </row>
    <row r="10204" spans="2:21" x14ac:dyDescent="0.2">
      <c r="B10204" s="207"/>
      <c r="C10204" s="210"/>
      <c r="D10204" s="211"/>
      <c r="E10204" s="211"/>
      <c r="U10204" s="222"/>
    </row>
    <row r="10205" spans="2:21" x14ac:dyDescent="0.2">
      <c r="B10205" s="207"/>
      <c r="C10205" s="210"/>
      <c r="D10205" s="211"/>
      <c r="E10205" s="211"/>
      <c r="U10205" s="222"/>
    </row>
    <row r="10206" spans="2:21" x14ac:dyDescent="0.2">
      <c r="B10206" s="207"/>
      <c r="C10206" s="210"/>
      <c r="D10206" s="211"/>
      <c r="E10206" s="211"/>
      <c r="U10206" s="222"/>
    </row>
    <row r="10207" spans="2:21" x14ac:dyDescent="0.2">
      <c r="B10207" s="207"/>
      <c r="C10207" s="210"/>
      <c r="D10207" s="211"/>
      <c r="E10207" s="211"/>
      <c r="U10207" s="222"/>
    </row>
    <row r="10208" spans="2:21" x14ac:dyDescent="0.2">
      <c r="B10208" s="207"/>
      <c r="C10208" s="210"/>
      <c r="D10208" s="211"/>
      <c r="E10208" s="211"/>
      <c r="U10208" s="222"/>
    </row>
    <row r="10209" spans="2:21" x14ac:dyDescent="0.2">
      <c r="B10209" s="207"/>
      <c r="C10209" s="210"/>
      <c r="D10209" s="211"/>
      <c r="E10209" s="211"/>
      <c r="U10209" s="222"/>
    </row>
    <row r="10210" spans="2:21" x14ac:dyDescent="0.2">
      <c r="B10210" s="207"/>
      <c r="C10210" s="210"/>
      <c r="D10210" s="211"/>
      <c r="E10210" s="211"/>
      <c r="U10210" s="222"/>
    </row>
    <row r="10211" spans="2:21" x14ac:dyDescent="0.2">
      <c r="B10211" s="207"/>
      <c r="C10211" s="210"/>
      <c r="D10211" s="211"/>
      <c r="E10211" s="211"/>
      <c r="U10211" s="222"/>
    </row>
    <row r="10212" spans="2:21" x14ac:dyDescent="0.2">
      <c r="B10212" s="207"/>
      <c r="C10212" s="210"/>
      <c r="D10212" s="211"/>
      <c r="E10212" s="211"/>
      <c r="U10212" s="222"/>
    </row>
    <row r="10213" spans="2:21" x14ac:dyDescent="0.2">
      <c r="B10213" s="207"/>
      <c r="C10213" s="210"/>
      <c r="D10213" s="211"/>
      <c r="E10213" s="211"/>
      <c r="U10213" s="222"/>
    </row>
    <row r="10214" spans="2:21" x14ac:dyDescent="0.2">
      <c r="B10214" s="207"/>
      <c r="C10214" s="210"/>
      <c r="D10214" s="211"/>
      <c r="E10214" s="211"/>
      <c r="U10214" s="222"/>
    </row>
    <row r="10215" spans="2:21" x14ac:dyDescent="0.2">
      <c r="B10215" s="207"/>
      <c r="C10215" s="210"/>
      <c r="D10215" s="211"/>
      <c r="E10215" s="211"/>
      <c r="U10215" s="222"/>
    </row>
    <row r="10216" spans="2:21" x14ac:dyDescent="0.2">
      <c r="B10216" s="207"/>
      <c r="C10216" s="210"/>
      <c r="D10216" s="211"/>
      <c r="E10216" s="211"/>
      <c r="U10216" s="222"/>
    </row>
    <row r="10217" spans="2:21" x14ac:dyDescent="0.2">
      <c r="B10217" s="207"/>
      <c r="C10217" s="210"/>
      <c r="D10217" s="211"/>
      <c r="E10217" s="211"/>
      <c r="U10217" s="222"/>
    </row>
    <row r="10218" spans="2:21" x14ac:dyDescent="0.2">
      <c r="B10218" s="207"/>
      <c r="C10218" s="210"/>
      <c r="D10218" s="211"/>
      <c r="E10218" s="211"/>
      <c r="U10218" s="222"/>
    </row>
    <row r="10219" spans="2:21" x14ac:dyDescent="0.2">
      <c r="B10219" s="207"/>
      <c r="C10219" s="210"/>
      <c r="D10219" s="211"/>
      <c r="E10219" s="211"/>
      <c r="U10219" s="222"/>
    </row>
    <row r="10220" spans="2:21" x14ac:dyDescent="0.2">
      <c r="B10220" s="207"/>
      <c r="C10220" s="210"/>
      <c r="D10220" s="211"/>
      <c r="E10220" s="211"/>
      <c r="U10220" s="222"/>
    </row>
    <row r="10221" spans="2:21" x14ac:dyDescent="0.2">
      <c r="B10221" s="207"/>
      <c r="C10221" s="210"/>
      <c r="D10221" s="211"/>
      <c r="E10221" s="211"/>
      <c r="U10221" s="222"/>
    </row>
    <row r="10222" spans="2:21" x14ac:dyDescent="0.2">
      <c r="B10222" s="207"/>
      <c r="C10222" s="210"/>
      <c r="D10222" s="211"/>
      <c r="E10222" s="211"/>
      <c r="U10222" s="222"/>
    </row>
    <row r="10223" spans="2:21" x14ac:dyDescent="0.2">
      <c r="B10223" s="207"/>
      <c r="C10223" s="210"/>
      <c r="D10223" s="211"/>
      <c r="E10223" s="211"/>
      <c r="U10223" s="222"/>
    </row>
    <row r="10224" spans="2:21" x14ac:dyDescent="0.2">
      <c r="B10224" s="207"/>
      <c r="C10224" s="210"/>
      <c r="D10224" s="211"/>
      <c r="E10224" s="211"/>
      <c r="U10224" s="222"/>
    </row>
    <row r="10225" spans="2:21" x14ac:dyDescent="0.2">
      <c r="B10225" s="207"/>
      <c r="C10225" s="210"/>
      <c r="D10225" s="211"/>
      <c r="E10225" s="211"/>
      <c r="U10225" s="222"/>
    </row>
    <row r="10226" spans="2:21" x14ac:dyDescent="0.2">
      <c r="B10226" s="207"/>
      <c r="C10226" s="210"/>
      <c r="D10226" s="211"/>
      <c r="E10226" s="211"/>
      <c r="U10226" s="222"/>
    </row>
    <row r="10227" spans="2:21" x14ac:dyDescent="0.2">
      <c r="B10227" s="207"/>
      <c r="C10227" s="210"/>
      <c r="D10227" s="211"/>
      <c r="E10227" s="211"/>
      <c r="U10227" s="222"/>
    </row>
    <row r="10228" spans="2:21" x14ac:dyDescent="0.2">
      <c r="B10228" s="207"/>
      <c r="C10228" s="210"/>
      <c r="D10228" s="211"/>
      <c r="E10228" s="211"/>
      <c r="U10228" s="222"/>
    </row>
    <row r="10229" spans="2:21" x14ac:dyDescent="0.2">
      <c r="B10229" s="207"/>
      <c r="C10229" s="210"/>
      <c r="D10229" s="211"/>
      <c r="E10229" s="211"/>
      <c r="U10229" s="222"/>
    </row>
    <row r="10230" spans="2:21" x14ac:dyDescent="0.2">
      <c r="B10230" s="207"/>
      <c r="C10230" s="210"/>
      <c r="D10230" s="211"/>
      <c r="E10230" s="211"/>
      <c r="U10230" s="222"/>
    </row>
    <row r="10231" spans="2:21" x14ac:dyDescent="0.2">
      <c r="B10231" s="207"/>
      <c r="C10231" s="210"/>
      <c r="D10231" s="211"/>
      <c r="E10231" s="211"/>
      <c r="U10231" s="222"/>
    </row>
    <row r="10232" spans="2:21" x14ac:dyDescent="0.2">
      <c r="B10232" s="207"/>
      <c r="C10232" s="210"/>
      <c r="D10232" s="211"/>
      <c r="E10232" s="211"/>
      <c r="U10232" s="222"/>
    </row>
    <row r="10233" spans="2:21" x14ac:dyDescent="0.2">
      <c r="B10233" s="207"/>
      <c r="C10233" s="210"/>
      <c r="D10233" s="211"/>
      <c r="E10233" s="211"/>
      <c r="U10233" s="222"/>
    </row>
    <row r="10234" spans="2:21" x14ac:dyDescent="0.2">
      <c r="B10234" s="207"/>
      <c r="C10234" s="210"/>
      <c r="D10234" s="211"/>
      <c r="E10234" s="211"/>
      <c r="U10234" s="222"/>
    </row>
    <row r="10235" spans="2:21" x14ac:dyDescent="0.2">
      <c r="B10235" s="207"/>
      <c r="C10235" s="210"/>
      <c r="D10235" s="211"/>
      <c r="E10235" s="211"/>
      <c r="U10235" s="222"/>
    </row>
    <row r="10236" spans="2:21" x14ac:dyDescent="0.2">
      <c r="B10236" s="207"/>
      <c r="C10236" s="210"/>
      <c r="D10236" s="211"/>
      <c r="E10236" s="211"/>
      <c r="U10236" s="222"/>
    </row>
    <row r="10237" spans="2:21" x14ac:dyDescent="0.2">
      <c r="B10237" s="207"/>
      <c r="C10237" s="210"/>
      <c r="D10237" s="211"/>
      <c r="E10237" s="211"/>
      <c r="U10237" s="222"/>
    </row>
    <row r="10238" spans="2:21" x14ac:dyDescent="0.2">
      <c r="B10238" s="207"/>
      <c r="C10238" s="210"/>
      <c r="D10238" s="211"/>
      <c r="E10238" s="211"/>
      <c r="U10238" s="222"/>
    </row>
    <row r="10239" spans="2:21" x14ac:dyDescent="0.2">
      <c r="B10239" s="207"/>
      <c r="C10239" s="210"/>
      <c r="D10239" s="211"/>
      <c r="E10239" s="211"/>
      <c r="U10239" s="222"/>
    </row>
    <row r="10240" spans="2:21" x14ac:dyDescent="0.2">
      <c r="B10240" s="207"/>
      <c r="C10240" s="210"/>
      <c r="D10240" s="211"/>
      <c r="E10240" s="211"/>
      <c r="U10240" s="222"/>
    </row>
    <row r="10241" spans="2:21" x14ac:dyDescent="0.2">
      <c r="B10241" s="207"/>
      <c r="C10241" s="210"/>
      <c r="D10241" s="211"/>
      <c r="E10241" s="211"/>
      <c r="U10241" s="222"/>
    </row>
    <row r="10242" spans="2:21" x14ac:dyDescent="0.2">
      <c r="B10242" s="207"/>
      <c r="C10242" s="210"/>
      <c r="D10242" s="211"/>
      <c r="E10242" s="211"/>
      <c r="U10242" s="222"/>
    </row>
    <row r="10243" spans="2:21" x14ac:dyDescent="0.2">
      <c r="B10243" s="207"/>
      <c r="C10243" s="210"/>
      <c r="D10243" s="211"/>
      <c r="E10243" s="211"/>
      <c r="U10243" s="222"/>
    </row>
    <row r="10244" spans="2:21" x14ac:dyDescent="0.2">
      <c r="B10244" s="207"/>
      <c r="C10244" s="210"/>
      <c r="D10244" s="211"/>
      <c r="E10244" s="211"/>
      <c r="U10244" s="222"/>
    </row>
    <row r="10245" spans="2:21" x14ac:dyDescent="0.2">
      <c r="B10245" s="207"/>
      <c r="C10245" s="210"/>
      <c r="D10245" s="211"/>
      <c r="E10245" s="211"/>
      <c r="U10245" s="222"/>
    </row>
    <row r="10246" spans="2:21" x14ac:dyDescent="0.2">
      <c r="B10246" s="207"/>
      <c r="C10246" s="210"/>
      <c r="D10246" s="211"/>
      <c r="E10246" s="211"/>
      <c r="U10246" s="222"/>
    </row>
    <row r="10247" spans="2:21" x14ac:dyDescent="0.2">
      <c r="B10247" s="207"/>
      <c r="C10247" s="210"/>
      <c r="D10247" s="211"/>
      <c r="E10247" s="211"/>
      <c r="U10247" s="222"/>
    </row>
    <row r="10248" spans="2:21" x14ac:dyDescent="0.2">
      <c r="B10248" s="207"/>
      <c r="C10248" s="210"/>
      <c r="D10248" s="211"/>
      <c r="E10248" s="211"/>
      <c r="U10248" s="222"/>
    </row>
    <row r="10249" spans="2:21" x14ac:dyDescent="0.2">
      <c r="B10249" s="207"/>
      <c r="C10249" s="210"/>
      <c r="D10249" s="211"/>
      <c r="E10249" s="211"/>
      <c r="U10249" s="222"/>
    </row>
    <row r="10250" spans="2:21" x14ac:dyDescent="0.2">
      <c r="B10250" s="207"/>
      <c r="C10250" s="210"/>
      <c r="D10250" s="211"/>
      <c r="E10250" s="211"/>
      <c r="U10250" s="222"/>
    </row>
    <row r="10251" spans="2:21" x14ac:dyDescent="0.2">
      <c r="B10251" s="207"/>
      <c r="C10251" s="210"/>
      <c r="D10251" s="211"/>
      <c r="E10251" s="211"/>
      <c r="U10251" s="222"/>
    </row>
    <row r="10252" spans="2:21" x14ac:dyDescent="0.2">
      <c r="B10252" s="207"/>
      <c r="C10252" s="210"/>
      <c r="D10252" s="211"/>
      <c r="E10252" s="211"/>
      <c r="U10252" s="222"/>
    </row>
    <row r="10253" spans="2:21" x14ac:dyDescent="0.2">
      <c r="B10253" s="207"/>
      <c r="C10253" s="210"/>
      <c r="D10253" s="211"/>
      <c r="E10253" s="211"/>
      <c r="U10253" s="222"/>
    </row>
    <row r="10254" spans="2:21" x14ac:dyDescent="0.2">
      <c r="B10254" s="207"/>
      <c r="C10254" s="210"/>
      <c r="D10254" s="211"/>
      <c r="E10254" s="211"/>
      <c r="U10254" s="222"/>
    </row>
    <row r="10255" spans="2:21" x14ac:dyDescent="0.2">
      <c r="B10255" s="207"/>
      <c r="C10255" s="210"/>
      <c r="D10255" s="211"/>
      <c r="E10255" s="211"/>
      <c r="U10255" s="222"/>
    </row>
    <row r="10256" spans="2:21" x14ac:dyDescent="0.2">
      <c r="B10256" s="207"/>
      <c r="C10256" s="210"/>
      <c r="D10256" s="211"/>
      <c r="E10256" s="211"/>
      <c r="U10256" s="222"/>
    </row>
    <row r="10257" spans="2:21" x14ac:dyDescent="0.2">
      <c r="B10257" s="207"/>
      <c r="C10257" s="210"/>
      <c r="D10257" s="211"/>
      <c r="E10257" s="211"/>
      <c r="U10257" s="222"/>
    </row>
    <row r="10258" spans="2:21" x14ac:dyDescent="0.2">
      <c r="B10258" s="207"/>
      <c r="C10258" s="210"/>
      <c r="D10258" s="211"/>
      <c r="E10258" s="211"/>
      <c r="U10258" s="222"/>
    </row>
    <row r="10259" spans="2:21" x14ac:dyDescent="0.2">
      <c r="B10259" s="207"/>
      <c r="C10259" s="210"/>
      <c r="D10259" s="211"/>
      <c r="E10259" s="211"/>
      <c r="U10259" s="222"/>
    </row>
    <row r="10260" spans="2:21" x14ac:dyDescent="0.2">
      <c r="B10260" s="207"/>
      <c r="C10260" s="210"/>
      <c r="D10260" s="211"/>
      <c r="E10260" s="211"/>
      <c r="U10260" s="222"/>
    </row>
    <row r="10261" spans="2:21" x14ac:dyDescent="0.2">
      <c r="B10261" s="207"/>
      <c r="C10261" s="210"/>
      <c r="D10261" s="211"/>
      <c r="E10261" s="211"/>
      <c r="U10261" s="222"/>
    </row>
    <row r="10262" spans="2:21" x14ac:dyDescent="0.2">
      <c r="B10262" s="207"/>
      <c r="C10262" s="210"/>
      <c r="D10262" s="211"/>
      <c r="E10262" s="211"/>
      <c r="U10262" s="222"/>
    </row>
    <row r="10263" spans="2:21" x14ac:dyDescent="0.2">
      <c r="B10263" s="207"/>
      <c r="C10263" s="210"/>
      <c r="D10263" s="211"/>
      <c r="E10263" s="211"/>
      <c r="U10263" s="222"/>
    </row>
    <row r="10264" spans="2:21" x14ac:dyDescent="0.2">
      <c r="B10264" s="207"/>
      <c r="C10264" s="210"/>
      <c r="D10264" s="211"/>
      <c r="E10264" s="211"/>
      <c r="U10264" s="222"/>
    </row>
    <row r="10265" spans="2:21" x14ac:dyDescent="0.2">
      <c r="B10265" s="207"/>
      <c r="C10265" s="210"/>
      <c r="D10265" s="211"/>
      <c r="E10265" s="211"/>
      <c r="U10265" s="222"/>
    </row>
    <row r="10266" spans="2:21" x14ac:dyDescent="0.2">
      <c r="B10266" s="207"/>
      <c r="C10266" s="210"/>
      <c r="D10266" s="211"/>
      <c r="E10266" s="211"/>
      <c r="U10266" s="222"/>
    </row>
    <row r="10267" spans="2:21" x14ac:dyDescent="0.2">
      <c r="B10267" s="207"/>
      <c r="C10267" s="210"/>
      <c r="D10267" s="211"/>
      <c r="E10267" s="211"/>
      <c r="U10267" s="222"/>
    </row>
    <row r="10268" spans="2:21" x14ac:dyDescent="0.2">
      <c r="B10268" s="207"/>
      <c r="C10268" s="210"/>
      <c r="D10268" s="211"/>
      <c r="E10268" s="211"/>
      <c r="U10268" s="222"/>
    </row>
    <row r="10269" spans="2:21" x14ac:dyDescent="0.2">
      <c r="B10269" s="207"/>
      <c r="C10269" s="210"/>
      <c r="D10269" s="211"/>
      <c r="E10269" s="211"/>
      <c r="U10269" s="222"/>
    </row>
    <row r="10270" spans="2:21" x14ac:dyDescent="0.2">
      <c r="B10270" s="207"/>
      <c r="C10270" s="210"/>
      <c r="D10270" s="211"/>
      <c r="E10270" s="211"/>
      <c r="U10270" s="222"/>
    </row>
    <row r="10271" spans="2:21" x14ac:dyDescent="0.2">
      <c r="B10271" s="207"/>
      <c r="C10271" s="210"/>
      <c r="D10271" s="211"/>
      <c r="E10271" s="211"/>
      <c r="U10271" s="222"/>
    </row>
    <row r="10272" spans="2:21" x14ac:dyDescent="0.2">
      <c r="B10272" s="207"/>
      <c r="C10272" s="210"/>
      <c r="D10272" s="211"/>
      <c r="E10272" s="211"/>
      <c r="U10272" s="222"/>
    </row>
    <row r="10273" spans="2:21" x14ac:dyDescent="0.2">
      <c r="B10273" s="207"/>
      <c r="C10273" s="210"/>
      <c r="D10273" s="211"/>
      <c r="E10273" s="211"/>
      <c r="U10273" s="222"/>
    </row>
    <row r="10274" spans="2:21" x14ac:dyDescent="0.2">
      <c r="B10274" s="207"/>
      <c r="C10274" s="210"/>
      <c r="D10274" s="211"/>
      <c r="E10274" s="211"/>
      <c r="U10274" s="222"/>
    </row>
    <row r="10275" spans="2:21" x14ac:dyDescent="0.2">
      <c r="B10275" s="207"/>
      <c r="C10275" s="210"/>
      <c r="D10275" s="211"/>
      <c r="E10275" s="211"/>
      <c r="U10275" s="222"/>
    </row>
    <row r="10276" spans="2:21" x14ac:dyDescent="0.2">
      <c r="B10276" s="207"/>
      <c r="C10276" s="210"/>
      <c r="D10276" s="211"/>
      <c r="E10276" s="211"/>
      <c r="U10276" s="222"/>
    </row>
    <row r="10277" spans="2:21" x14ac:dyDescent="0.2">
      <c r="B10277" s="207"/>
      <c r="C10277" s="210"/>
      <c r="D10277" s="211"/>
      <c r="E10277" s="211"/>
      <c r="U10277" s="222"/>
    </row>
    <row r="10278" spans="2:21" x14ac:dyDescent="0.2">
      <c r="B10278" s="207"/>
      <c r="C10278" s="210"/>
      <c r="D10278" s="211"/>
      <c r="E10278" s="211"/>
      <c r="U10278" s="222"/>
    </row>
    <row r="10279" spans="2:21" x14ac:dyDescent="0.2">
      <c r="B10279" s="207"/>
      <c r="C10279" s="210"/>
      <c r="D10279" s="211"/>
      <c r="E10279" s="211"/>
      <c r="U10279" s="222"/>
    </row>
    <row r="10280" spans="2:21" x14ac:dyDescent="0.2">
      <c r="B10280" s="207"/>
      <c r="C10280" s="210"/>
      <c r="D10280" s="211"/>
      <c r="E10280" s="211"/>
      <c r="U10280" s="222"/>
    </row>
    <row r="10281" spans="2:21" x14ac:dyDescent="0.2">
      <c r="B10281" s="207"/>
      <c r="C10281" s="210"/>
      <c r="D10281" s="211"/>
      <c r="E10281" s="211"/>
      <c r="U10281" s="222"/>
    </row>
    <row r="10282" spans="2:21" x14ac:dyDescent="0.2">
      <c r="B10282" s="207"/>
      <c r="C10282" s="210"/>
      <c r="D10282" s="211"/>
      <c r="E10282" s="211"/>
      <c r="U10282" s="222"/>
    </row>
    <row r="10283" spans="2:21" x14ac:dyDescent="0.2">
      <c r="B10283" s="207"/>
      <c r="C10283" s="210"/>
      <c r="D10283" s="211"/>
      <c r="E10283" s="211"/>
      <c r="U10283" s="222"/>
    </row>
    <row r="10284" spans="2:21" x14ac:dyDescent="0.2">
      <c r="B10284" s="207"/>
      <c r="C10284" s="210"/>
      <c r="D10284" s="211"/>
      <c r="E10284" s="211"/>
      <c r="U10284" s="222"/>
    </row>
    <row r="10285" spans="2:21" x14ac:dyDescent="0.2">
      <c r="B10285" s="207"/>
      <c r="C10285" s="210"/>
      <c r="D10285" s="211"/>
      <c r="E10285" s="211"/>
      <c r="U10285" s="222"/>
    </row>
    <row r="10286" spans="2:21" x14ac:dyDescent="0.2">
      <c r="B10286" s="207"/>
      <c r="C10286" s="210"/>
      <c r="D10286" s="211"/>
      <c r="E10286" s="211"/>
      <c r="U10286" s="222"/>
    </row>
    <row r="10287" spans="2:21" x14ac:dyDescent="0.2">
      <c r="B10287" s="207"/>
      <c r="C10287" s="210"/>
      <c r="D10287" s="211"/>
      <c r="E10287" s="211"/>
      <c r="U10287" s="222"/>
    </row>
    <row r="10288" spans="2:21" x14ac:dyDescent="0.2">
      <c r="B10288" s="207"/>
      <c r="C10288" s="210"/>
      <c r="D10288" s="211"/>
      <c r="E10288" s="211"/>
      <c r="U10288" s="222"/>
    </row>
    <row r="10289" spans="2:21" x14ac:dyDescent="0.2">
      <c r="B10289" s="207"/>
      <c r="C10289" s="210"/>
      <c r="D10289" s="211"/>
      <c r="E10289" s="211"/>
      <c r="U10289" s="222"/>
    </row>
    <row r="10290" spans="2:21" x14ac:dyDescent="0.2">
      <c r="B10290" s="207"/>
      <c r="C10290" s="210"/>
      <c r="D10290" s="211"/>
      <c r="E10290" s="211"/>
      <c r="U10290" s="222"/>
    </row>
    <row r="10291" spans="2:21" x14ac:dyDescent="0.2">
      <c r="B10291" s="207"/>
      <c r="C10291" s="210"/>
      <c r="D10291" s="211"/>
      <c r="E10291" s="211"/>
      <c r="U10291" s="222"/>
    </row>
    <row r="10292" spans="2:21" x14ac:dyDescent="0.2">
      <c r="B10292" s="207"/>
      <c r="C10292" s="210"/>
      <c r="D10292" s="211"/>
      <c r="E10292" s="211"/>
      <c r="U10292" s="222"/>
    </row>
    <row r="10293" spans="2:21" x14ac:dyDescent="0.2">
      <c r="B10293" s="207"/>
      <c r="C10293" s="210"/>
      <c r="D10293" s="211"/>
      <c r="E10293" s="211"/>
      <c r="U10293" s="222"/>
    </row>
    <row r="10294" spans="2:21" x14ac:dyDescent="0.2">
      <c r="B10294" s="207"/>
      <c r="C10294" s="210"/>
      <c r="D10294" s="211"/>
      <c r="E10294" s="211"/>
      <c r="U10294" s="222"/>
    </row>
    <row r="10295" spans="2:21" x14ac:dyDescent="0.2">
      <c r="B10295" s="207"/>
      <c r="C10295" s="210"/>
      <c r="D10295" s="211"/>
      <c r="E10295" s="211"/>
      <c r="U10295" s="222"/>
    </row>
    <row r="10296" spans="2:21" x14ac:dyDescent="0.2">
      <c r="B10296" s="207"/>
      <c r="C10296" s="210"/>
      <c r="D10296" s="211"/>
      <c r="E10296" s="211"/>
      <c r="U10296" s="222"/>
    </row>
    <row r="10297" spans="2:21" x14ac:dyDescent="0.2">
      <c r="B10297" s="207"/>
      <c r="C10297" s="210"/>
      <c r="D10297" s="211"/>
      <c r="E10297" s="211"/>
      <c r="U10297" s="222"/>
    </row>
    <row r="10298" spans="2:21" x14ac:dyDescent="0.2">
      <c r="B10298" s="207"/>
      <c r="C10298" s="210"/>
      <c r="D10298" s="211"/>
      <c r="E10298" s="211"/>
      <c r="U10298" s="222"/>
    </row>
    <row r="10299" spans="2:21" x14ac:dyDescent="0.2">
      <c r="B10299" s="207"/>
      <c r="C10299" s="210"/>
      <c r="D10299" s="211"/>
      <c r="E10299" s="211"/>
      <c r="U10299" s="222"/>
    </row>
    <row r="10300" spans="2:21" x14ac:dyDescent="0.2">
      <c r="B10300" s="207"/>
      <c r="C10300" s="210"/>
      <c r="D10300" s="211"/>
      <c r="E10300" s="211"/>
      <c r="U10300" s="222"/>
    </row>
    <row r="10301" spans="2:21" x14ac:dyDescent="0.2">
      <c r="B10301" s="207"/>
      <c r="C10301" s="210"/>
      <c r="D10301" s="211"/>
      <c r="E10301" s="211"/>
      <c r="U10301" s="222"/>
    </row>
    <row r="10302" spans="2:21" x14ac:dyDescent="0.2">
      <c r="B10302" s="207"/>
      <c r="C10302" s="210"/>
      <c r="D10302" s="211"/>
      <c r="E10302" s="211"/>
      <c r="U10302" s="222"/>
    </row>
    <row r="10303" spans="2:21" x14ac:dyDescent="0.2">
      <c r="B10303" s="207"/>
      <c r="C10303" s="210"/>
      <c r="D10303" s="211"/>
      <c r="E10303" s="211"/>
      <c r="U10303" s="222"/>
    </row>
    <row r="10304" spans="2:21" x14ac:dyDescent="0.2">
      <c r="B10304" s="207"/>
      <c r="C10304" s="210"/>
      <c r="D10304" s="211"/>
      <c r="E10304" s="211"/>
      <c r="U10304" s="222"/>
    </row>
    <row r="10305" spans="2:21" x14ac:dyDescent="0.2">
      <c r="B10305" s="207"/>
      <c r="C10305" s="210"/>
      <c r="D10305" s="211"/>
      <c r="E10305" s="211"/>
      <c r="U10305" s="222"/>
    </row>
    <row r="10306" spans="2:21" x14ac:dyDescent="0.2">
      <c r="B10306" s="207"/>
      <c r="C10306" s="210"/>
      <c r="D10306" s="211"/>
      <c r="E10306" s="211"/>
      <c r="U10306" s="222"/>
    </row>
    <row r="10307" spans="2:21" x14ac:dyDescent="0.2">
      <c r="B10307" s="207"/>
      <c r="C10307" s="210"/>
      <c r="D10307" s="211"/>
      <c r="E10307" s="211"/>
      <c r="U10307" s="222"/>
    </row>
    <row r="10308" spans="2:21" x14ac:dyDescent="0.2">
      <c r="B10308" s="207"/>
      <c r="C10308" s="210"/>
      <c r="D10308" s="211"/>
      <c r="E10308" s="211"/>
      <c r="U10308" s="222"/>
    </row>
    <row r="10309" spans="2:21" x14ac:dyDescent="0.2">
      <c r="B10309" s="207"/>
      <c r="C10309" s="210"/>
      <c r="D10309" s="211"/>
      <c r="E10309" s="211"/>
      <c r="U10309" s="222"/>
    </row>
    <row r="10310" spans="2:21" x14ac:dyDescent="0.2">
      <c r="B10310" s="207"/>
      <c r="C10310" s="210"/>
      <c r="D10310" s="211"/>
      <c r="E10310" s="211"/>
      <c r="U10310" s="222"/>
    </row>
    <row r="10311" spans="2:21" x14ac:dyDescent="0.2">
      <c r="B10311" s="207"/>
      <c r="C10311" s="210"/>
      <c r="D10311" s="211"/>
      <c r="E10311" s="211"/>
      <c r="U10311" s="222"/>
    </row>
    <row r="10312" spans="2:21" x14ac:dyDescent="0.2">
      <c r="B10312" s="207"/>
      <c r="C10312" s="210"/>
      <c r="D10312" s="211"/>
      <c r="E10312" s="211"/>
      <c r="U10312" s="222"/>
    </row>
    <row r="10313" spans="2:21" x14ac:dyDescent="0.2">
      <c r="B10313" s="207"/>
      <c r="C10313" s="210"/>
      <c r="D10313" s="211"/>
      <c r="E10313" s="211"/>
      <c r="U10313" s="222"/>
    </row>
    <row r="10314" spans="2:21" x14ac:dyDescent="0.2">
      <c r="B10314" s="207"/>
      <c r="C10314" s="210"/>
      <c r="D10314" s="211"/>
      <c r="E10314" s="211"/>
      <c r="U10314" s="222"/>
    </row>
    <row r="10315" spans="2:21" x14ac:dyDescent="0.2">
      <c r="B10315" s="207"/>
      <c r="C10315" s="210"/>
      <c r="D10315" s="211"/>
      <c r="E10315" s="211"/>
      <c r="U10315" s="222"/>
    </row>
    <row r="10316" spans="2:21" x14ac:dyDescent="0.2">
      <c r="B10316" s="207"/>
      <c r="C10316" s="210"/>
      <c r="D10316" s="211"/>
      <c r="E10316" s="211"/>
      <c r="U10316" s="222"/>
    </row>
    <row r="10317" spans="2:21" x14ac:dyDescent="0.2">
      <c r="B10317" s="207"/>
      <c r="C10317" s="210"/>
      <c r="D10317" s="211"/>
      <c r="E10317" s="211"/>
      <c r="U10317" s="222"/>
    </row>
    <row r="10318" spans="2:21" x14ac:dyDescent="0.2">
      <c r="B10318" s="207"/>
      <c r="C10318" s="210"/>
      <c r="D10318" s="211"/>
      <c r="E10318" s="211"/>
      <c r="U10318" s="222"/>
    </row>
    <row r="10319" spans="2:21" x14ac:dyDescent="0.2">
      <c r="B10319" s="207"/>
      <c r="C10319" s="210"/>
      <c r="D10319" s="211"/>
      <c r="E10319" s="211"/>
      <c r="U10319" s="222"/>
    </row>
    <row r="10320" spans="2:21" x14ac:dyDescent="0.2">
      <c r="B10320" s="207"/>
      <c r="C10320" s="210"/>
      <c r="D10320" s="211"/>
      <c r="E10320" s="211"/>
      <c r="U10320" s="222"/>
    </row>
    <row r="10321" spans="2:21" x14ac:dyDescent="0.2">
      <c r="B10321" s="207"/>
      <c r="C10321" s="210"/>
      <c r="D10321" s="211"/>
      <c r="E10321" s="211"/>
      <c r="U10321" s="222"/>
    </row>
    <row r="10322" spans="2:21" x14ac:dyDescent="0.2">
      <c r="B10322" s="207"/>
      <c r="C10322" s="210"/>
      <c r="D10322" s="211"/>
      <c r="E10322" s="211"/>
      <c r="U10322" s="222"/>
    </row>
    <row r="10323" spans="2:21" x14ac:dyDescent="0.2">
      <c r="B10323" s="207"/>
      <c r="C10323" s="210"/>
      <c r="D10323" s="211"/>
      <c r="E10323" s="211"/>
      <c r="U10323" s="222"/>
    </row>
    <row r="10324" spans="2:21" x14ac:dyDescent="0.2">
      <c r="B10324" s="207"/>
      <c r="C10324" s="210"/>
      <c r="D10324" s="211"/>
      <c r="E10324" s="211"/>
      <c r="U10324" s="222"/>
    </row>
    <row r="10325" spans="2:21" x14ac:dyDescent="0.2">
      <c r="B10325" s="207"/>
      <c r="C10325" s="210"/>
      <c r="D10325" s="211"/>
      <c r="E10325" s="211"/>
      <c r="U10325" s="222"/>
    </row>
    <row r="10326" spans="2:21" x14ac:dyDescent="0.2">
      <c r="B10326" s="207"/>
      <c r="C10326" s="210"/>
      <c r="D10326" s="211"/>
      <c r="E10326" s="211"/>
      <c r="U10326" s="222"/>
    </row>
    <row r="10327" spans="2:21" x14ac:dyDescent="0.2">
      <c r="B10327" s="207"/>
      <c r="C10327" s="210"/>
      <c r="D10327" s="211"/>
      <c r="E10327" s="211"/>
      <c r="U10327" s="222"/>
    </row>
    <row r="10328" spans="2:21" x14ac:dyDescent="0.2">
      <c r="B10328" s="207"/>
      <c r="C10328" s="210"/>
      <c r="D10328" s="211"/>
      <c r="E10328" s="211"/>
      <c r="U10328" s="222"/>
    </row>
    <row r="10329" spans="2:21" x14ac:dyDescent="0.2">
      <c r="B10329" s="207"/>
      <c r="C10329" s="210"/>
      <c r="D10329" s="211"/>
      <c r="E10329" s="211"/>
      <c r="U10329" s="222"/>
    </row>
    <row r="10330" spans="2:21" x14ac:dyDescent="0.2">
      <c r="B10330" s="207"/>
      <c r="C10330" s="210"/>
      <c r="D10330" s="211"/>
      <c r="E10330" s="211"/>
      <c r="U10330" s="222"/>
    </row>
    <row r="10331" spans="2:21" x14ac:dyDescent="0.2">
      <c r="B10331" s="207"/>
      <c r="C10331" s="210"/>
      <c r="D10331" s="211"/>
      <c r="E10331" s="211"/>
      <c r="U10331" s="222"/>
    </row>
    <row r="10332" spans="2:21" x14ac:dyDescent="0.2">
      <c r="B10332" s="207"/>
      <c r="C10332" s="210"/>
      <c r="D10332" s="211"/>
      <c r="E10332" s="211"/>
      <c r="U10332" s="222"/>
    </row>
    <row r="10333" spans="2:21" x14ac:dyDescent="0.2">
      <c r="B10333" s="207"/>
      <c r="C10333" s="210"/>
      <c r="D10333" s="211"/>
      <c r="E10333" s="211"/>
      <c r="U10333" s="222"/>
    </row>
    <row r="10334" spans="2:21" x14ac:dyDescent="0.2">
      <c r="B10334" s="207"/>
      <c r="C10334" s="210"/>
      <c r="D10334" s="211"/>
      <c r="E10334" s="211"/>
      <c r="U10334" s="222"/>
    </row>
    <row r="10335" spans="2:21" x14ac:dyDescent="0.2">
      <c r="B10335" s="207"/>
      <c r="C10335" s="210"/>
      <c r="D10335" s="211"/>
      <c r="E10335" s="211"/>
      <c r="U10335" s="222"/>
    </row>
    <row r="10336" spans="2:21" x14ac:dyDescent="0.2">
      <c r="B10336" s="207"/>
      <c r="C10336" s="210"/>
      <c r="D10336" s="211"/>
      <c r="E10336" s="211"/>
      <c r="U10336" s="222"/>
    </row>
    <row r="10337" spans="2:21" x14ac:dyDescent="0.2">
      <c r="B10337" s="207"/>
      <c r="C10337" s="210"/>
      <c r="D10337" s="211"/>
      <c r="E10337" s="211"/>
      <c r="U10337" s="222"/>
    </row>
    <row r="10338" spans="2:21" x14ac:dyDescent="0.2">
      <c r="B10338" s="207"/>
      <c r="C10338" s="210"/>
      <c r="D10338" s="211"/>
      <c r="E10338" s="211"/>
      <c r="U10338" s="222"/>
    </row>
    <row r="10339" spans="2:21" x14ac:dyDescent="0.2">
      <c r="B10339" s="207"/>
      <c r="C10339" s="210"/>
      <c r="D10339" s="211"/>
      <c r="E10339" s="211"/>
      <c r="U10339" s="222"/>
    </row>
    <row r="10340" spans="2:21" x14ac:dyDescent="0.2">
      <c r="B10340" s="207"/>
      <c r="C10340" s="210"/>
      <c r="D10340" s="211"/>
      <c r="E10340" s="211"/>
      <c r="U10340" s="222"/>
    </row>
    <row r="10341" spans="2:21" x14ac:dyDescent="0.2">
      <c r="B10341" s="207"/>
      <c r="C10341" s="210"/>
      <c r="D10341" s="211"/>
      <c r="E10341" s="211"/>
      <c r="U10341" s="222"/>
    </row>
    <row r="10342" spans="2:21" x14ac:dyDescent="0.2">
      <c r="B10342" s="207"/>
      <c r="C10342" s="210"/>
      <c r="D10342" s="211"/>
      <c r="E10342" s="211"/>
      <c r="U10342" s="222"/>
    </row>
    <row r="10343" spans="2:21" x14ac:dyDescent="0.2">
      <c r="B10343" s="207"/>
      <c r="C10343" s="210"/>
      <c r="D10343" s="211"/>
      <c r="E10343" s="211"/>
      <c r="U10343" s="222"/>
    </row>
    <row r="10344" spans="2:21" x14ac:dyDescent="0.2">
      <c r="B10344" s="207"/>
      <c r="C10344" s="210"/>
      <c r="D10344" s="211"/>
      <c r="E10344" s="211"/>
      <c r="U10344" s="222"/>
    </row>
    <row r="10345" spans="2:21" x14ac:dyDescent="0.2">
      <c r="B10345" s="207"/>
      <c r="C10345" s="210"/>
      <c r="D10345" s="211"/>
      <c r="E10345" s="211"/>
      <c r="U10345" s="222"/>
    </row>
    <row r="10346" spans="2:21" x14ac:dyDescent="0.2">
      <c r="B10346" s="207"/>
      <c r="C10346" s="210"/>
      <c r="D10346" s="211"/>
      <c r="E10346" s="211"/>
      <c r="U10346" s="222"/>
    </row>
    <row r="10347" spans="2:21" x14ac:dyDescent="0.2">
      <c r="B10347" s="207"/>
      <c r="C10347" s="210"/>
      <c r="D10347" s="211"/>
      <c r="E10347" s="211"/>
      <c r="U10347" s="222"/>
    </row>
    <row r="10348" spans="2:21" x14ac:dyDescent="0.2">
      <c r="B10348" s="207"/>
      <c r="C10348" s="210"/>
      <c r="D10348" s="211"/>
      <c r="E10348" s="211"/>
      <c r="U10348" s="222"/>
    </row>
    <row r="10349" spans="2:21" x14ac:dyDescent="0.2">
      <c r="B10349" s="207"/>
      <c r="C10349" s="210"/>
      <c r="D10349" s="211"/>
      <c r="E10349" s="211"/>
      <c r="U10349" s="222"/>
    </row>
    <row r="10350" spans="2:21" x14ac:dyDescent="0.2">
      <c r="B10350" s="207"/>
      <c r="C10350" s="210"/>
      <c r="D10350" s="211"/>
      <c r="E10350" s="211"/>
      <c r="U10350" s="222"/>
    </row>
    <row r="10351" spans="2:21" x14ac:dyDescent="0.2">
      <c r="B10351" s="207"/>
      <c r="C10351" s="210"/>
      <c r="D10351" s="211"/>
      <c r="E10351" s="211"/>
      <c r="U10351" s="222"/>
    </row>
    <row r="10352" spans="2:21" x14ac:dyDescent="0.2">
      <c r="B10352" s="207"/>
      <c r="C10352" s="210"/>
      <c r="D10352" s="211"/>
      <c r="E10352" s="211"/>
      <c r="U10352" s="222"/>
    </row>
    <row r="10353" spans="2:21" x14ac:dyDescent="0.2">
      <c r="B10353" s="207"/>
      <c r="C10353" s="210"/>
      <c r="D10353" s="211"/>
      <c r="E10353" s="211"/>
      <c r="U10353" s="222"/>
    </row>
    <row r="10354" spans="2:21" x14ac:dyDescent="0.2">
      <c r="B10354" s="207"/>
      <c r="C10354" s="210"/>
      <c r="D10354" s="211"/>
      <c r="E10354" s="211"/>
      <c r="U10354" s="222"/>
    </row>
    <row r="10355" spans="2:21" x14ac:dyDescent="0.2">
      <c r="B10355" s="207"/>
      <c r="C10355" s="210"/>
      <c r="D10355" s="211"/>
      <c r="E10355" s="211"/>
      <c r="U10355" s="222"/>
    </row>
    <row r="10356" spans="2:21" x14ac:dyDescent="0.2">
      <c r="B10356" s="207"/>
      <c r="C10356" s="210"/>
      <c r="D10356" s="211"/>
      <c r="E10356" s="211"/>
      <c r="U10356" s="222"/>
    </row>
    <row r="10357" spans="2:21" x14ac:dyDescent="0.2">
      <c r="B10357" s="207"/>
      <c r="C10357" s="210"/>
      <c r="D10357" s="211"/>
      <c r="E10357" s="211"/>
      <c r="U10357" s="222"/>
    </row>
    <row r="10358" spans="2:21" x14ac:dyDescent="0.2">
      <c r="B10358" s="207"/>
      <c r="C10358" s="210"/>
      <c r="D10358" s="211"/>
      <c r="E10358" s="211"/>
      <c r="U10358" s="222"/>
    </row>
    <row r="10359" spans="2:21" x14ac:dyDescent="0.2">
      <c r="B10359" s="207"/>
      <c r="C10359" s="210"/>
      <c r="D10359" s="211"/>
      <c r="E10359" s="211"/>
      <c r="U10359" s="222"/>
    </row>
    <row r="10360" spans="2:21" x14ac:dyDescent="0.2">
      <c r="B10360" s="207"/>
      <c r="C10360" s="210"/>
      <c r="D10360" s="211"/>
      <c r="E10360" s="211"/>
      <c r="U10360" s="222"/>
    </row>
    <row r="10361" spans="2:21" x14ac:dyDescent="0.2">
      <c r="B10361" s="207"/>
      <c r="C10361" s="210"/>
      <c r="D10361" s="211"/>
      <c r="E10361" s="211"/>
      <c r="U10361" s="222"/>
    </row>
    <row r="10362" spans="2:21" x14ac:dyDescent="0.2">
      <c r="B10362" s="207"/>
      <c r="C10362" s="210"/>
      <c r="D10362" s="211"/>
      <c r="E10362" s="211"/>
      <c r="U10362" s="222"/>
    </row>
    <row r="10363" spans="2:21" x14ac:dyDescent="0.2">
      <c r="B10363" s="207"/>
      <c r="C10363" s="210"/>
      <c r="D10363" s="211"/>
      <c r="E10363" s="211"/>
      <c r="U10363" s="222"/>
    </row>
    <row r="10364" spans="2:21" x14ac:dyDescent="0.2">
      <c r="B10364" s="207"/>
      <c r="C10364" s="210"/>
      <c r="D10364" s="211"/>
      <c r="E10364" s="211"/>
      <c r="U10364" s="222"/>
    </row>
    <row r="10365" spans="2:21" x14ac:dyDescent="0.2">
      <c r="B10365" s="207"/>
      <c r="C10365" s="210"/>
      <c r="D10365" s="211"/>
      <c r="E10365" s="211"/>
      <c r="U10365" s="222"/>
    </row>
    <row r="10366" spans="2:21" x14ac:dyDescent="0.2">
      <c r="B10366" s="207"/>
      <c r="C10366" s="210"/>
      <c r="D10366" s="211"/>
      <c r="E10366" s="211"/>
      <c r="U10366" s="222"/>
    </row>
    <row r="10367" spans="2:21" x14ac:dyDescent="0.2">
      <c r="B10367" s="207"/>
      <c r="C10367" s="210"/>
      <c r="D10367" s="211"/>
      <c r="E10367" s="211"/>
      <c r="U10367" s="222"/>
    </row>
    <row r="10368" spans="2:21" x14ac:dyDescent="0.2">
      <c r="B10368" s="207"/>
      <c r="C10368" s="210"/>
      <c r="D10368" s="211"/>
      <c r="E10368" s="211"/>
      <c r="U10368" s="222"/>
    </row>
    <row r="10369" spans="2:21" x14ac:dyDescent="0.2">
      <c r="B10369" s="207"/>
      <c r="C10369" s="210"/>
      <c r="D10369" s="211"/>
      <c r="E10369" s="211"/>
      <c r="U10369" s="222"/>
    </row>
    <row r="10370" spans="2:21" x14ac:dyDescent="0.2">
      <c r="B10370" s="207"/>
      <c r="C10370" s="210"/>
      <c r="D10370" s="211"/>
      <c r="E10370" s="211"/>
      <c r="U10370" s="222"/>
    </row>
    <row r="10371" spans="2:21" x14ac:dyDescent="0.2">
      <c r="B10371" s="207"/>
      <c r="C10371" s="210"/>
      <c r="D10371" s="211"/>
      <c r="E10371" s="211"/>
      <c r="U10371" s="222"/>
    </row>
    <row r="10372" spans="2:21" x14ac:dyDescent="0.2">
      <c r="B10372" s="207"/>
      <c r="C10372" s="210"/>
      <c r="D10372" s="211"/>
      <c r="E10372" s="211"/>
      <c r="U10372" s="222"/>
    </row>
    <row r="10373" spans="2:21" x14ac:dyDescent="0.2">
      <c r="B10373" s="207"/>
      <c r="C10373" s="210"/>
      <c r="D10373" s="211"/>
      <c r="E10373" s="211"/>
      <c r="U10373" s="222"/>
    </row>
    <row r="10374" spans="2:21" x14ac:dyDescent="0.2">
      <c r="B10374" s="207"/>
      <c r="C10374" s="210"/>
      <c r="D10374" s="211"/>
      <c r="E10374" s="211"/>
      <c r="U10374" s="222"/>
    </row>
    <row r="10375" spans="2:21" x14ac:dyDescent="0.2">
      <c r="B10375" s="207"/>
      <c r="C10375" s="210"/>
      <c r="D10375" s="211"/>
      <c r="E10375" s="211"/>
      <c r="U10375" s="222"/>
    </row>
    <row r="10376" spans="2:21" x14ac:dyDescent="0.2">
      <c r="B10376" s="207"/>
      <c r="C10376" s="210"/>
      <c r="D10376" s="211"/>
      <c r="E10376" s="211"/>
      <c r="U10376" s="222"/>
    </row>
    <row r="10377" spans="2:21" x14ac:dyDescent="0.2">
      <c r="B10377" s="207"/>
      <c r="C10377" s="210"/>
      <c r="D10377" s="211"/>
      <c r="E10377" s="211"/>
      <c r="U10377" s="222"/>
    </row>
    <row r="10378" spans="2:21" x14ac:dyDescent="0.2">
      <c r="B10378" s="207"/>
      <c r="C10378" s="210"/>
      <c r="D10378" s="211"/>
      <c r="E10378" s="211"/>
      <c r="U10378" s="222"/>
    </row>
    <row r="10379" spans="2:21" x14ac:dyDescent="0.2">
      <c r="B10379" s="207"/>
      <c r="C10379" s="210"/>
      <c r="D10379" s="211"/>
      <c r="E10379" s="211"/>
      <c r="U10379" s="222"/>
    </row>
    <row r="10380" spans="2:21" x14ac:dyDescent="0.2">
      <c r="B10380" s="207"/>
      <c r="C10380" s="210"/>
      <c r="D10380" s="211"/>
      <c r="E10380" s="211"/>
      <c r="U10380" s="222"/>
    </row>
    <row r="10381" spans="2:21" x14ac:dyDescent="0.2">
      <c r="B10381" s="207"/>
      <c r="C10381" s="210"/>
      <c r="D10381" s="211"/>
      <c r="E10381" s="211"/>
      <c r="U10381" s="222"/>
    </row>
    <row r="10382" spans="2:21" x14ac:dyDescent="0.2">
      <c r="B10382" s="207"/>
      <c r="C10382" s="210"/>
      <c r="D10382" s="211"/>
      <c r="E10382" s="211"/>
      <c r="U10382" s="222"/>
    </row>
    <row r="10383" spans="2:21" x14ac:dyDescent="0.2">
      <c r="B10383" s="207"/>
      <c r="C10383" s="210"/>
      <c r="D10383" s="211"/>
      <c r="E10383" s="211"/>
      <c r="U10383" s="222"/>
    </row>
    <row r="10384" spans="2:21" x14ac:dyDescent="0.2">
      <c r="B10384" s="207"/>
      <c r="C10384" s="210"/>
      <c r="D10384" s="211"/>
      <c r="E10384" s="211"/>
      <c r="U10384" s="222"/>
    </row>
    <row r="10385" spans="2:21" x14ac:dyDescent="0.2">
      <c r="B10385" s="207"/>
      <c r="C10385" s="210"/>
      <c r="D10385" s="211"/>
      <c r="E10385" s="211"/>
      <c r="U10385" s="222"/>
    </row>
    <row r="10386" spans="2:21" x14ac:dyDescent="0.2">
      <c r="B10386" s="207"/>
      <c r="C10386" s="210"/>
      <c r="D10386" s="211"/>
      <c r="E10386" s="211"/>
      <c r="U10386" s="222"/>
    </row>
    <row r="10387" spans="2:21" x14ac:dyDescent="0.2">
      <c r="B10387" s="207"/>
      <c r="C10387" s="210"/>
      <c r="D10387" s="211"/>
      <c r="E10387" s="211"/>
      <c r="U10387" s="222"/>
    </row>
    <row r="10388" spans="2:21" x14ac:dyDescent="0.2">
      <c r="B10388" s="207"/>
      <c r="C10388" s="210"/>
      <c r="D10388" s="211"/>
      <c r="E10388" s="211"/>
      <c r="U10388" s="222"/>
    </row>
    <row r="10389" spans="2:21" x14ac:dyDescent="0.2">
      <c r="B10389" s="207"/>
      <c r="C10389" s="210"/>
      <c r="D10389" s="211"/>
      <c r="E10389" s="211"/>
      <c r="U10389" s="222"/>
    </row>
    <row r="10390" spans="2:21" x14ac:dyDescent="0.2">
      <c r="B10390" s="207"/>
      <c r="C10390" s="210"/>
      <c r="D10390" s="211"/>
      <c r="E10390" s="211"/>
      <c r="U10390" s="222"/>
    </row>
    <row r="10391" spans="2:21" x14ac:dyDescent="0.2">
      <c r="B10391" s="207"/>
      <c r="C10391" s="210"/>
      <c r="D10391" s="211"/>
      <c r="E10391" s="211"/>
      <c r="U10391" s="222"/>
    </row>
    <row r="10392" spans="2:21" x14ac:dyDescent="0.2">
      <c r="B10392" s="207"/>
      <c r="C10392" s="210"/>
      <c r="D10392" s="211"/>
      <c r="E10392" s="211"/>
      <c r="U10392" s="222"/>
    </row>
    <row r="10393" spans="2:21" x14ac:dyDescent="0.2">
      <c r="B10393" s="207"/>
      <c r="C10393" s="210"/>
      <c r="D10393" s="211"/>
      <c r="E10393" s="211"/>
      <c r="U10393" s="222"/>
    </row>
    <row r="10394" spans="2:21" x14ac:dyDescent="0.2">
      <c r="B10394" s="207"/>
      <c r="C10394" s="210"/>
      <c r="D10394" s="211"/>
      <c r="E10394" s="211"/>
      <c r="U10394" s="222"/>
    </row>
    <row r="10395" spans="2:21" x14ac:dyDescent="0.2">
      <c r="B10395" s="207"/>
      <c r="C10395" s="210"/>
      <c r="D10395" s="211"/>
      <c r="E10395" s="211"/>
      <c r="U10395" s="222"/>
    </row>
    <row r="10396" spans="2:21" x14ac:dyDescent="0.2">
      <c r="B10396" s="207"/>
      <c r="C10396" s="210"/>
      <c r="D10396" s="211"/>
      <c r="E10396" s="211"/>
      <c r="U10396" s="222"/>
    </row>
    <row r="10397" spans="2:21" x14ac:dyDescent="0.2">
      <c r="B10397" s="207"/>
      <c r="C10397" s="210"/>
      <c r="D10397" s="211"/>
      <c r="E10397" s="211"/>
      <c r="U10397" s="222"/>
    </row>
    <row r="10398" spans="2:21" x14ac:dyDescent="0.2">
      <c r="B10398" s="207"/>
      <c r="C10398" s="210"/>
      <c r="D10398" s="211"/>
      <c r="E10398" s="211"/>
      <c r="U10398" s="222"/>
    </row>
    <row r="10399" spans="2:21" x14ac:dyDescent="0.2">
      <c r="B10399" s="207"/>
      <c r="C10399" s="210"/>
      <c r="D10399" s="211"/>
      <c r="E10399" s="211"/>
      <c r="U10399" s="222"/>
    </row>
    <row r="10400" spans="2:21" x14ac:dyDescent="0.2">
      <c r="B10400" s="207"/>
      <c r="C10400" s="210"/>
      <c r="D10400" s="211"/>
      <c r="E10400" s="211"/>
      <c r="U10400" s="222"/>
    </row>
    <row r="10401" spans="2:21" x14ac:dyDescent="0.2">
      <c r="B10401" s="207"/>
      <c r="C10401" s="210"/>
      <c r="D10401" s="211"/>
      <c r="E10401" s="211"/>
      <c r="U10401" s="222"/>
    </row>
    <row r="10402" spans="2:21" x14ac:dyDescent="0.2">
      <c r="B10402" s="207"/>
      <c r="C10402" s="210"/>
      <c r="D10402" s="211"/>
      <c r="E10402" s="211"/>
      <c r="U10402" s="222"/>
    </row>
    <row r="10403" spans="2:21" x14ac:dyDescent="0.2">
      <c r="B10403" s="207"/>
      <c r="C10403" s="210"/>
      <c r="D10403" s="211"/>
      <c r="E10403" s="211"/>
      <c r="U10403" s="222"/>
    </row>
    <row r="10404" spans="2:21" x14ac:dyDescent="0.2">
      <c r="B10404" s="207"/>
      <c r="C10404" s="210"/>
      <c r="D10404" s="211"/>
      <c r="E10404" s="211"/>
      <c r="U10404" s="222"/>
    </row>
    <row r="10405" spans="2:21" x14ac:dyDescent="0.2">
      <c r="B10405" s="207"/>
      <c r="C10405" s="210"/>
      <c r="D10405" s="211"/>
      <c r="E10405" s="211"/>
      <c r="U10405" s="222"/>
    </row>
    <row r="10406" spans="2:21" x14ac:dyDescent="0.2">
      <c r="B10406" s="207"/>
      <c r="C10406" s="210"/>
      <c r="D10406" s="211"/>
      <c r="E10406" s="211"/>
      <c r="U10406" s="222"/>
    </row>
    <row r="10407" spans="2:21" x14ac:dyDescent="0.2">
      <c r="B10407" s="207"/>
      <c r="C10407" s="210"/>
      <c r="D10407" s="211"/>
      <c r="E10407" s="211"/>
      <c r="U10407" s="222"/>
    </row>
    <row r="10408" spans="2:21" x14ac:dyDescent="0.2">
      <c r="B10408" s="207"/>
      <c r="C10408" s="210"/>
      <c r="D10408" s="211"/>
      <c r="E10408" s="211"/>
      <c r="U10408" s="222"/>
    </row>
    <row r="10409" spans="2:21" x14ac:dyDescent="0.2">
      <c r="B10409" s="207"/>
      <c r="C10409" s="210"/>
      <c r="D10409" s="211"/>
      <c r="E10409" s="211"/>
      <c r="U10409" s="222"/>
    </row>
    <row r="10410" spans="2:21" x14ac:dyDescent="0.2">
      <c r="B10410" s="207"/>
      <c r="C10410" s="210"/>
      <c r="D10410" s="211"/>
      <c r="E10410" s="211"/>
      <c r="U10410" s="222"/>
    </row>
    <row r="10411" spans="2:21" x14ac:dyDescent="0.2">
      <c r="B10411" s="207"/>
      <c r="C10411" s="210"/>
      <c r="D10411" s="211"/>
      <c r="E10411" s="211"/>
      <c r="U10411" s="222"/>
    </row>
    <row r="10412" spans="2:21" x14ac:dyDescent="0.2">
      <c r="B10412" s="207"/>
      <c r="C10412" s="210"/>
      <c r="D10412" s="211"/>
      <c r="E10412" s="211"/>
      <c r="U10412" s="222"/>
    </row>
    <row r="10413" spans="2:21" x14ac:dyDescent="0.2">
      <c r="B10413" s="207"/>
      <c r="C10413" s="210"/>
      <c r="D10413" s="211"/>
      <c r="E10413" s="211"/>
      <c r="U10413" s="222"/>
    </row>
    <row r="10414" spans="2:21" x14ac:dyDescent="0.2">
      <c r="B10414" s="207"/>
      <c r="C10414" s="210"/>
      <c r="D10414" s="211"/>
      <c r="E10414" s="211"/>
      <c r="U10414" s="222"/>
    </row>
    <row r="10415" spans="2:21" x14ac:dyDescent="0.2">
      <c r="B10415" s="207"/>
      <c r="C10415" s="210"/>
      <c r="D10415" s="211"/>
      <c r="E10415" s="211"/>
      <c r="U10415" s="222"/>
    </row>
    <row r="10416" spans="2:21" x14ac:dyDescent="0.2">
      <c r="B10416" s="207"/>
      <c r="C10416" s="210"/>
      <c r="D10416" s="211"/>
      <c r="E10416" s="211"/>
      <c r="U10416" s="222"/>
    </row>
    <row r="10417" spans="2:21" x14ac:dyDescent="0.2">
      <c r="B10417" s="207"/>
      <c r="C10417" s="210"/>
      <c r="D10417" s="211"/>
      <c r="E10417" s="211"/>
      <c r="U10417" s="222"/>
    </row>
    <row r="10418" spans="2:21" x14ac:dyDescent="0.2">
      <c r="B10418" s="207"/>
      <c r="C10418" s="210"/>
      <c r="D10418" s="211"/>
      <c r="E10418" s="211"/>
      <c r="U10418" s="222"/>
    </row>
    <row r="10419" spans="2:21" x14ac:dyDescent="0.2">
      <c r="B10419" s="207"/>
      <c r="C10419" s="210"/>
      <c r="D10419" s="211"/>
      <c r="E10419" s="211"/>
      <c r="U10419" s="222"/>
    </row>
    <row r="10420" spans="2:21" x14ac:dyDescent="0.2">
      <c r="B10420" s="207"/>
      <c r="C10420" s="210"/>
      <c r="D10420" s="211"/>
      <c r="E10420" s="211"/>
      <c r="U10420" s="222"/>
    </row>
    <row r="10421" spans="2:21" x14ac:dyDescent="0.2">
      <c r="B10421" s="207"/>
      <c r="C10421" s="210"/>
      <c r="D10421" s="211"/>
      <c r="E10421" s="211"/>
      <c r="U10421" s="222"/>
    </row>
    <row r="10422" spans="2:21" x14ac:dyDescent="0.2">
      <c r="B10422" s="207"/>
      <c r="C10422" s="210"/>
      <c r="D10422" s="211"/>
      <c r="E10422" s="211"/>
      <c r="U10422" s="222"/>
    </row>
    <row r="10423" spans="2:21" x14ac:dyDescent="0.2">
      <c r="B10423" s="207"/>
      <c r="C10423" s="210"/>
      <c r="D10423" s="211"/>
      <c r="E10423" s="211"/>
      <c r="U10423" s="222"/>
    </row>
    <row r="10424" spans="2:21" x14ac:dyDescent="0.2">
      <c r="B10424" s="207"/>
      <c r="C10424" s="210"/>
      <c r="D10424" s="211"/>
      <c r="E10424" s="211"/>
      <c r="U10424" s="222"/>
    </row>
    <row r="10425" spans="2:21" x14ac:dyDescent="0.2">
      <c r="B10425" s="207"/>
      <c r="C10425" s="210"/>
      <c r="D10425" s="211"/>
      <c r="E10425" s="211"/>
      <c r="U10425" s="222"/>
    </row>
    <row r="10426" spans="2:21" x14ac:dyDescent="0.2">
      <c r="B10426" s="207"/>
      <c r="C10426" s="210"/>
      <c r="D10426" s="211"/>
      <c r="E10426" s="211"/>
      <c r="U10426" s="222"/>
    </row>
    <row r="10427" spans="2:21" x14ac:dyDescent="0.2">
      <c r="B10427" s="207"/>
      <c r="C10427" s="210"/>
      <c r="D10427" s="211"/>
      <c r="E10427" s="211"/>
      <c r="U10427" s="222"/>
    </row>
    <row r="10428" spans="2:21" x14ac:dyDescent="0.2">
      <c r="B10428" s="207"/>
      <c r="C10428" s="210"/>
      <c r="D10428" s="211"/>
      <c r="E10428" s="211"/>
      <c r="U10428" s="222"/>
    </row>
    <row r="10429" spans="2:21" x14ac:dyDescent="0.2">
      <c r="B10429" s="207"/>
      <c r="C10429" s="210"/>
      <c r="D10429" s="211"/>
      <c r="E10429" s="211"/>
      <c r="U10429" s="222"/>
    </row>
    <row r="10430" spans="2:21" x14ac:dyDescent="0.2">
      <c r="B10430" s="207"/>
      <c r="C10430" s="210"/>
      <c r="D10430" s="211"/>
      <c r="E10430" s="211"/>
      <c r="U10430" s="222"/>
    </row>
    <row r="10431" spans="2:21" x14ac:dyDescent="0.2">
      <c r="B10431" s="207"/>
      <c r="C10431" s="210"/>
      <c r="D10431" s="211"/>
      <c r="E10431" s="211"/>
      <c r="U10431" s="222"/>
    </row>
    <row r="10432" spans="2:21" x14ac:dyDescent="0.2">
      <c r="B10432" s="207"/>
      <c r="C10432" s="210"/>
      <c r="D10432" s="211"/>
      <c r="E10432" s="211"/>
      <c r="U10432" s="222"/>
    </row>
    <row r="10433" spans="2:21" x14ac:dyDescent="0.2">
      <c r="B10433" s="207"/>
      <c r="C10433" s="210"/>
      <c r="D10433" s="211"/>
      <c r="E10433" s="211"/>
      <c r="U10433" s="222"/>
    </row>
    <row r="10434" spans="2:21" x14ac:dyDescent="0.2">
      <c r="B10434" s="207"/>
      <c r="C10434" s="210"/>
      <c r="D10434" s="211"/>
      <c r="E10434" s="211"/>
      <c r="U10434" s="222"/>
    </row>
    <row r="10435" spans="2:21" x14ac:dyDescent="0.2">
      <c r="B10435" s="207"/>
      <c r="C10435" s="210"/>
      <c r="D10435" s="211"/>
      <c r="E10435" s="211"/>
      <c r="U10435" s="222"/>
    </row>
    <row r="10436" spans="2:21" x14ac:dyDescent="0.2">
      <c r="B10436" s="207"/>
      <c r="C10436" s="210"/>
      <c r="D10436" s="211"/>
      <c r="E10436" s="211"/>
      <c r="U10436" s="222"/>
    </row>
    <row r="10437" spans="2:21" x14ac:dyDescent="0.2">
      <c r="B10437" s="207"/>
      <c r="C10437" s="210"/>
      <c r="D10437" s="211"/>
      <c r="E10437" s="211"/>
      <c r="U10437" s="222"/>
    </row>
    <row r="10438" spans="2:21" x14ac:dyDescent="0.2">
      <c r="B10438" s="207"/>
      <c r="C10438" s="210"/>
      <c r="D10438" s="211"/>
      <c r="E10438" s="211"/>
      <c r="U10438" s="222"/>
    </row>
    <row r="10439" spans="2:21" x14ac:dyDescent="0.2">
      <c r="B10439" s="207"/>
      <c r="C10439" s="210"/>
      <c r="D10439" s="211"/>
      <c r="E10439" s="211"/>
      <c r="U10439" s="222"/>
    </row>
    <row r="10440" spans="2:21" x14ac:dyDescent="0.2">
      <c r="B10440" s="207"/>
      <c r="C10440" s="210"/>
      <c r="D10440" s="211"/>
      <c r="E10440" s="211"/>
      <c r="U10440" s="222"/>
    </row>
    <row r="10441" spans="2:21" x14ac:dyDescent="0.2">
      <c r="B10441" s="207"/>
      <c r="C10441" s="210"/>
      <c r="D10441" s="211"/>
      <c r="E10441" s="211"/>
      <c r="U10441" s="222"/>
    </row>
    <row r="10442" spans="2:21" x14ac:dyDescent="0.2">
      <c r="B10442" s="207"/>
      <c r="C10442" s="210"/>
      <c r="D10442" s="211"/>
      <c r="E10442" s="211"/>
      <c r="U10442" s="222"/>
    </row>
    <row r="10443" spans="2:21" x14ac:dyDescent="0.2">
      <c r="B10443" s="207"/>
      <c r="C10443" s="210"/>
      <c r="D10443" s="211"/>
      <c r="E10443" s="211"/>
      <c r="U10443" s="222"/>
    </row>
    <row r="10444" spans="2:21" x14ac:dyDescent="0.2">
      <c r="B10444" s="207"/>
      <c r="C10444" s="210"/>
      <c r="D10444" s="211"/>
      <c r="E10444" s="211"/>
      <c r="U10444" s="222"/>
    </row>
    <row r="10445" spans="2:21" x14ac:dyDescent="0.2">
      <c r="B10445" s="207"/>
      <c r="C10445" s="210"/>
      <c r="D10445" s="211"/>
      <c r="E10445" s="211"/>
      <c r="U10445" s="222"/>
    </row>
    <row r="10446" spans="2:21" x14ac:dyDescent="0.2">
      <c r="B10446" s="207"/>
      <c r="C10446" s="210"/>
      <c r="D10446" s="211"/>
      <c r="E10446" s="211"/>
      <c r="U10446" s="222"/>
    </row>
    <row r="10447" spans="2:21" x14ac:dyDescent="0.2">
      <c r="B10447" s="207"/>
      <c r="C10447" s="210"/>
      <c r="D10447" s="211"/>
      <c r="E10447" s="211"/>
      <c r="U10447" s="222"/>
    </row>
    <row r="10448" spans="2:21" x14ac:dyDescent="0.2">
      <c r="B10448" s="207"/>
      <c r="C10448" s="210"/>
      <c r="D10448" s="211"/>
      <c r="E10448" s="211"/>
      <c r="U10448" s="222"/>
    </row>
    <row r="10449" spans="2:21" x14ac:dyDescent="0.2">
      <c r="B10449" s="207"/>
      <c r="C10449" s="210"/>
      <c r="D10449" s="211"/>
      <c r="E10449" s="211"/>
      <c r="U10449" s="222"/>
    </row>
    <row r="10450" spans="2:21" x14ac:dyDescent="0.2">
      <c r="B10450" s="207"/>
      <c r="C10450" s="210"/>
      <c r="D10450" s="211"/>
      <c r="E10450" s="211"/>
      <c r="U10450" s="222"/>
    </row>
    <row r="10451" spans="2:21" x14ac:dyDescent="0.2">
      <c r="B10451" s="207"/>
      <c r="C10451" s="210"/>
      <c r="D10451" s="211"/>
      <c r="E10451" s="211"/>
      <c r="U10451" s="222"/>
    </row>
    <row r="10452" spans="2:21" x14ac:dyDescent="0.2">
      <c r="B10452" s="207"/>
      <c r="C10452" s="210"/>
      <c r="D10452" s="211"/>
      <c r="E10452" s="211"/>
      <c r="U10452" s="222"/>
    </row>
    <row r="10453" spans="2:21" x14ac:dyDescent="0.2">
      <c r="B10453" s="207"/>
      <c r="C10453" s="210"/>
      <c r="D10453" s="211"/>
      <c r="E10453" s="211"/>
      <c r="U10453" s="222"/>
    </row>
    <row r="10454" spans="2:21" x14ac:dyDescent="0.2">
      <c r="B10454" s="207"/>
      <c r="C10454" s="210"/>
      <c r="D10454" s="211"/>
      <c r="E10454" s="211"/>
      <c r="U10454" s="222"/>
    </row>
    <row r="10455" spans="2:21" x14ac:dyDescent="0.2">
      <c r="B10455" s="207"/>
      <c r="C10455" s="210"/>
      <c r="D10455" s="211"/>
      <c r="E10455" s="211"/>
      <c r="U10455" s="222"/>
    </row>
    <row r="10456" spans="2:21" x14ac:dyDescent="0.2">
      <c r="B10456" s="207"/>
      <c r="C10456" s="210"/>
      <c r="D10456" s="211"/>
      <c r="E10456" s="211"/>
      <c r="U10456" s="222"/>
    </row>
    <row r="10457" spans="2:21" x14ac:dyDescent="0.2">
      <c r="B10457" s="207"/>
      <c r="C10457" s="210"/>
      <c r="D10457" s="211"/>
      <c r="E10457" s="211"/>
      <c r="U10457" s="222"/>
    </row>
    <row r="10458" spans="2:21" x14ac:dyDescent="0.2">
      <c r="B10458" s="207"/>
      <c r="C10458" s="210"/>
      <c r="D10458" s="211"/>
      <c r="E10458" s="211"/>
      <c r="U10458" s="222"/>
    </row>
    <row r="10459" spans="2:21" x14ac:dyDescent="0.2">
      <c r="B10459" s="207"/>
      <c r="C10459" s="210"/>
      <c r="D10459" s="211"/>
      <c r="E10459" s="211"/>
      <c r="U10459" s="222"/>
    </row>
    <row r="10460" spans="2:21" x14ac:dyDescent="0.2">
      <c r="B10460" s="207"/>
      <c r="C10460" s="210"/>
      <c r="D10460" s="211"/>
      <c r="E10460" s="211"/>
      <c r="U10460" s="222"/>
    </row>
    <row r="10461" spans="2:21" x14ac:dyDescent="0.2">
      <c r="B10461" s="207"/>
      <c r="C10461" s="210"/>
      <c r="D10461" s="211"/>
      <c r="E10461" s="211"/>
      <c r="U10461" s="222"/>
    </row>
    <row r="10462" spans="2:21" x14ac:dyDescent="0.2">
      <c r="B10462" s="207"/>
      <c r="C10462" s="210"/>
      <c r="D10462" s="211"/>
      <c r="E10462" s="211"/>
      <c r="U10462" s="222"/>
    </row>
    <row r="10463" spans="2:21" x14ac:dyDescent="0.2">
      <c r="B10463" s="207"/>
      <c r="C10463" s="210"/>
      <c r="D10463" s="211"/>
      <c r="E10463" s="211"/>
      <c r="U10463" s="222"/>
    </row>
    <row r="10464" spans="2:21" x14ac:dyDescent="0.2">
      <c r="B10464" s="207"/>
      <c r="C10464" s="210"/>
      <c r="D10464" s="211"/>
      <c r="E10464" s="211"/>
      <c r="U10464" s="222"/>
    </row>
    <row r="10465" spans="2:21" x14ac:dyDescent="0.2">
      <c r="B10465" s="207"/>
      <c r="C10465" s="210"/>
      <c r="D10465" s="211"/>
      <c r="E10465" s="211"/>
      <c r="U10465" s="222"/>
    </row>
    <row r="10466" spans="2:21" x14ac:dyDescent="0.2">
      <c r="B10466" s="207"/>
      <c r="C10466" s="210"/>
      <c r="D10466" s="211"/>
      <c r="E10466" s="211"/>
      <c r="U10466" s="222"/>
    </row>
    <row r="10467" spans="2:21" x14ac:dyDescent="0.2">
      <c r="B10467" s="207"/>
      <c r="C10467" s="210"/>
      <c r="D10467" s="211"/>
      <c r="E10467" s="211"/>
      <c r="U10467" s="222"/>
    </row>
    <row r="10468" spans="2:21" x14ac:dyDescent="0.2">
      <c r="B10468" s="207"/>
      <c r="C10468" s="210"/>
      <c r="D10468" s="211"/>
      <c r="E10468" s="211"/>
      <c r="U10468" s="222"/>
    </row>
    <row r="10469" spans="2:21" x14ac:dyDescent="0.2">
      <c r="B10469" s="207"/>
      <c r="C10469" s="210"/>
      <c r="D10469" s="211"/>
      <c r="E10469" s="211"/>
      <c r="U10469" s="222"/>
    </row>
    <row r="10470" spans="2:21" x14ac:dyDescent="0.2">
      <c r="B10470" s="207"/>
      <c r="C10470" s="210"/>
      <c r="D10470" s="211"/>
      <c r="E10470" s="211"/>
      <c r="U10470" s="222"/>
    </row>
    <row r="10471" spans="2:21" x14ac:dyDescent="0.2">
      <c r="B10471" s="207"/>
      <c r="C10471" s="210"/>
      <c r="D10471" s="211"/>
      <c r="E10471" s="211"/>
      <c r="U10471" s="222"/>
    </row>
    <row r="10472" spans="2:21" x14ac:dyDescent="0.2">
      <c r="B10472" s="207"/>
      <c r="C10472" s="210"/>
      <c r="D10472" s="211"/>
      <c r="E10472" s="211"/>
      <c r="U10472" s="222"/>
    </row>
    <row r="10473" spans="2:21" x14ac:dyDescent="0.2">
      <c r="B10473" s="207"/>
      <c r="C10473" s="210"/>
      <c r="D10473" s="211"/>
      <c r="E10473" s="211"/>
      <c r="U10473" s="222"/>
    </row>
    <row r="10474" spans="2:21" x14ac:dyDescent="0.2">
      <c r="B10474" s="207"/>
      <c r="C10474" s="210"/>
      <c r="D10474" s="211"/>
      <c r="E10474" s="211"/>
      <c r="U10474" s="222"/>
    </row>
    <row r="10475" spans="2:21" x14ac:dyDescent="0.2">
      <c r="B10475" s="207"/>
      <c r="C10475" s="210"/>
      <c r="D10475" s="211"/>
      <c r="E10475" s="211"/>
      <c r="U10475" s="222"/>
    </row>
    <row r="10476" spans="2:21" x14ac:dyDescent="0.2">
      <c r="B10476" s="207"/>
      <c r="C10476" s="210"/>
      <c r="D10476" s="211"/>
      <c r="E10476" s="211"/>
      <c r="U10476" s="222"/>
    </row>
    <row r="10477" spans="2:21" x14ac:dyDescent="0.2">
      <c r="B10477" s="207"/>
      <c r="C10477" s="210"/>
      <c r="D10477" s="211"/>
      <c r="E10477" s="211"/>
      <c r="U10477" s="222"/>
    </row>
    <row r="10478" spans="2:21" x14ac:dyDescent="0.2">
      <c r="B10478" s="207"/>
      <c r="C10478" s="210"/>
      <c r="D10478" s="211"/>
      <c r="E10478" s="211"/>
      <c r="U10478" s="222"/>
    </row>
    <row r="10479" spans="2:21" x14ac:dyDescent="0.2">
      <c r="B10479" s="207"/>
      <c r="C10479" s="210"/>
      <c r="D10479" s="211"/>
      <c r="E10479" s="211"/>
      <c r="U10479" s="222"/>
    </row>
    <row r="10480" spans="2:21" x14ac:dyDescent="0.2">
      <c r="B10480" s="207"/>
      <c r="C10480" s="210"/>
      <c r="D10480" s="211"/>
      <c r="E10480" s="211"/>
      <c r="U10480" s="222"/>
    </row>
    <row r="10481" spans="2:21" x14ac:dyDescent="0.2">
      <c r="B10481" s="207"/>
      <c r="C10481" s="210"/>
      <c r="D10481" s="211"/>
      <c r="E10481" s="211"/>
      <c r="U10481" s="222"/>
    </row>
    <row r="10482" spans="2:21" x14ac:dyDescent="0.2">
      <c r="B10482" s="207"/>
      <c r="C10482" s="210"/>
      <c r="D10482" s="211"/>
      <c r="E10482" s="211"/>
      <c r="U10482" s="222"/>
    </row>
    <row r="10483" spans="2:21" x14ac:dyDescent="0.2">
      <c r="B10483" s="207"/>
      <c r="C10483" s="210"/>
      <c r="D10483" s="211"/>
      <c r="E10483" s="211"/>
      <c r="U10483" s="222"/>
    </row>
    <row r="10484" spans="2:21" x14ac:dyDescent="0.2">
      <c r="B10484" s="207"/>
      <c r="C10484" s="210"/>
      <c r="D10484" s="211"/>
      <c r="E10484" s="211"/>
      <c r="U10484" s="222"/>
    </row>
    <row r="10485" spans="2:21" x14ac:dyDescent="0.2">
      <c r="B10485" s="207"/>
      <c r="C10485" s="210"/>
      <c r="D10485" s="211"/>
      <c r="E10485" s="211"/>
      <c r="U10485" s="222"/>
    </row>
    <row r="10486" spans="2:21" x14ac:dyDescent="0.2">
      <c r="B10486" s="207"/>
      <c r="C10486" s="210"/>
      <c r="D10486" s="211"/>
      <c r="E10486" s="211"/>
      <c r="U10486" s="222"/>
    </row>
    <row r="10487" spans="2:21" x14ac:dyDescent="0.2">
      <c r="B10487" s="207"/>
      <c r="C10487" s="210"/>
      <c r="D10487" s="211"/>
      <c r="E10487" s="211"/>
      <c r="U10487" s="222"/>
    </row>
    <row r="10488" spans="2:21" x14ac:dyDescent="0.2">
      <c r="B10488" s="207"/>
      <c r="C10488" s="210"/>
      <c r="D10488" s="211"/>
      <c r="E10488" s="211"/>
      <c r="U10488" s="222"/>
    </row>
    <row r="10489" spans="2:21" x14ac:dyDescent="0.2">
      <c r="B10489" s="207"/>
      <c r="C10489" s="210"/>
      <c r="D10489" s="211"/>
      <c r="E10489" s="211"/>
      <c r="U10489" s="222"/>
    </row>
    <row r="10490" spans="2:21" x14ac:dyDescent="0.2">
      <c r="B10490" s="207"/>
      <c r="C10490" s="210"/>
      <c r="D10490" s="211"/>
      <c r="E10490" s="211"/>
      <c r="U10490" s="222"/>
    </row>
    <row r="10491" spans="2:21" x14ac:dyDescent="0.2">
      <c r="B10491" s="207"/>
      <c r="C10491" s="210"/>
      <c r="D10491" s="211"/>
      <c r="E10491" s="211"/>
      <c r="U10491" s="222"/>
    </row>
    <row r="10492" spans="2:21" x14ac:dyDescent="0.2">
      <c r="B10492" s="207"/>
      <c r="C10492" s="210"/>
      <c r="D10492" s="211"/>
      <c r="E10492" s="211"/>
      <c r="U10492" s="222"/>
    </row>
    <row r="10493" spans="2:21" x14ac:dyDescent="0.2">
      <c r="B10493" s="207"/>
      <c r="C10493" s="210"/>
      <c r="D10493" s="211"/>
      <c r="E10493" s="211"/>
      <c r="U10493" s="222"/>
    </row>
    <row r="10494" spans="2:21" x14ac:dyDescent="0.2">
      <c r="B10494" s="207"/>
      <c r="C10494" s="210"/>
      <c r="D10494" s="211"/>
      <c r="E10494" s="211"/>
      <c r="U10494" s="222"/>
    </row>
    <row r="10495" spans="2:21" x14ac:dyDescent="0.2">
      <c r="B10495" s="207"/>
      <c r="C10495" s="210"/>
      <c r="D10495" s="211"/>
      <c r="E10495" s="211"/>
      <c r="U10495" s="222"/>
    </row>
    <row r="10496" spans="2:21" x14ac:dyDescent="0.2">
      <c r="B10496" s="207"/>
      <c r="C10496" s="210"/>
      <c r="D10496" s="211"/>
      <c r="E10496" s="211"/>
      <c r="U10496" s="222"/>
    </row>
    <row r="10497" spans="2:21" x14ac:dyDescent="0.2">
      <c r="B10497" s="207"/>
      <c r="C10497" s="210"/>
      <c r="D10497" s="211"/>
      <c r="E10497" s="211"/>
      <c r="U10497" s="222"/>
    </row>
    <row r="10498" spans="2:21" x14ac:dyDescent="0.2">
      <c r="B10498" s="207"/>
      <c r="C10498" s="210"/>
      <c r="D10498" s="211"/>
      <c r="E10498" s="211"/>
      <c r="U10498" s="222"/>
    </row>
    <row r="10499" spans="2:21" x14ac:dyDescent="0.2">
      <c r="B10499" s="207"/>
      <c r="C10499" s="210"/>
      <c r="D10499" s="211"/>
      <c r="E10499" s="211"/>
      <c r="U10499" s="222"/>
    </row>
    <row r="10500" spans="2:21" x14ac:dyDescent="0.2">
      <c r="B10500" s="207"/>
      <c r="C10500" s="210"/>
      <c r="D10500" s="211"/>
      <c r="E10500" s="211"/>
      <c r="U10500" s="222"/>
    </row>
    <row r="10501" spans="2:21" x14ac:dyDescent="0.2">
      <c r="B10501" s="207"/>
      <c r="C10501" s="210"/>
      <c r="D10501" s="211"/>
      <c r="E10501" s="211"/>
      <c r="U10501" s="222"/>
    </row>
    <row r="10502" spans="2:21" x14ac:dyDescent="0.2">
      <c r="B10502" s="207"/>
      <c r="C10502" s="210"/>
      <c r="D10502" s="211"/>
      <c r="E10502" s="211"/>
      <c r="U10502" s="222"/>
    </row>
    <row r="10503" spans="2:21" x14ac:dyDescent="0.2">
      <c r="B10503" s="207"/>
      <c r="C10503" s="210"/>
      <c r="D10503" s="211"/>
      <c r="E10503" s="211"/>
      <c r="U10503" s="222"/>
    </row>
    <row r="10504" spans="2:21" x14ac:dyDescent="0.2">
      <c r="B10504" s="207"/>
      <c r="C10504" s="210"/>
      <c r="D10504" s="211"/>
      <c r="E10504" s="211"/>
      <c r="U10504" s="222"/>
    </row>
    <row r="10505" spans="2:21" x14ac:dyDescent="0.2">
      <c r="B10505" s="207"/>
      <c r="C10505" s="210"/>
      <c r="D10505" s="211"/>
      <c r="E10505" s="211"/>
      <c r="U10505" s="222"/>
    </row>
    <row r="10506" spans="2:21" x14ac:dyDescent="0.2">
      <c r="B10506" s="207"/>
      <c r="C10506" s="210"/>
      <c r="D10506" s="211"/>
      <c r="E10506" s="211"/>
      <c r="U10506" s="222"/>
    </row>
    <row r="10507" spans="2:21" x14ac:dyDescent="0.2">
      <c r="B10507" s="207"/>
      <c r="C10507" s="210"/>
      <c r="D10507" s="211"/>
      <c r="E10507" s="211"/>
      <c r="U10507" s="222"/>
    </row>
    <row r="10508" spans="2:21" x14ac:dyDescent="0.2">
      <c r="B10508" s="207"/>
      <c r="C10508" s="210"/>
      <c r="D10508" s="211"/>
      <c r="E10508" s="211"/>
      <c r="U10508" s="222"/>
    </row>
    <row r="10509" spans="2:21" x14ac:dyDescent="0.2">
      <c r="B10509" s="207"/>
      <c r="C10509" s="210"/>
      <c r="D10509" s="211"/>
      <c r="E10509" s="211"/>
      <c r="U10509" s="222"/>
    </row>
    <row r="10510" spans="2:21" x14ac:dyDescent="0.2">
      <c r="B10510" s="207"/>
      <c r="C10510" s="210"/>
      <c r="D10510" s="211"/>
      <c r="E10510" s="211"/>
      <c r="U10510" s="222"/>
    </row>
    <row r="10511" spans="2:21" x14ac:dyDescent="0.2">
      <c r="B10511" s="207"/>
      <c r="C10511" s="210"/>
      <c r="D10511" s="211"/>
      <c r="E10511" s="211"/>
      <c r="U10511" s="222"/>
    </row>
    <row r="10512" spans="2:21" x14ac:dyDescent="0.2">
      <c r="B10512" s="207"/>
      <c r="C10512" s="210"/>
      <c r="D10512" s="211"/>
      <c r="E10512" s="211"/>
      <c r="U10512" s="222"/>
    </row>
    <row r="10513" spans="2:21" x14ac:dyDescent="0.2">
      <c r="B10513" s="207"/>
      <c r="C10513" s="210"/>
      <c r="D10513" s="211"/>
      <c r="E10513" s="211"/>
      <c r="U10513" s="222"/>
    </row>
    <row r="10514" spans="2:21" x14ac:dyDescent="0.2">
      <c r="B10514" s="207"/>
      <c r="C10514" s="210"/>
      <c r="D10514" s="211"/>
      <c r="E10514" s="211"/>
      <c r="U10514" s="222"/>
    </row>
    <row r="10515" spans="2:21" x14ac:dyDescent="0.2">
      <c r="B10515" s="207"/>
      <c r="C10515" s="210"/>
      <c r="D10515" s="211"/>
      <c r="E10515" s="211"/>
      <c r="U10515" s="222"/>
    </row>
    <row r="10516" spans="2:21" x14ac:dyDescent="0.2">
      <c r="B10516" s="207"/>
      <c r="C10516" s="210"/>
      <c r="D10516" s="211"/>
      <c r="E10516" s="211"/>
      <c r="U10516" s="222"/>
    </row>
    <row r="10517" spans="2:21" x14ac:dyDescent="0.2">
      <c r="B10517" s="207"/>
      <c r="C10517" s="210"/>
      <c r="D10517" s="211"/>
      <c r="E10517" s="211"/>
      <c r="U10517" s="222"/>
    </row>
    <row r="10518" spans="2:21" x14ac:dyDescent="0.2">
      <c r="B10518" s="207"/>
      <c r="C10518" s="210"/>
      <c r="D10518" s="211"/>
      <c r="E10518" s="211"/>
      <c r="U10518" s="222"/>
    </row>
    <row r="10519" spans="2:21" x14ac:dyDescent="0.2">
      <c r="B10519" s="207"/>
      <c r="C10519" s="210"/>
      <c r="D10519" s="211"/>
      <c r="E10519" s="211"/>
      <c r="U10519" s="222"/>
    </row>
    <row r="10520" spans="2:21" x14ac:dyDescent="0.2">
      <c r="B10520" s="207"/>
      <c r="C10520" s="210"/>
      <c r="D10520" s="211"/>
      <c r="E10520" s="211"/>
      <c r="U10520" s="222"/>
    </row>
    <row r="10521" spans="2:21" x14ac:dyDescent="0.2">
      <c r="B10521" s="207"/>
      <c r="C10521" s="210"/>
      <c r="D10521" s="211"/>
      <c r="E10521" s="211"/>
      <c r="U10521" s="222"/>
    </row>
    <row r="10522" spans="2:21" x14ac:dyDescent="0.2">
      <c r="B10522" s="207"/>
      <c r="C10522" s="210"/>
      <c r="D10522" s="211"/>
      <c r="E10522" s="211"/>
      <c r="U10522" s="222"/>
    </row>
    <row r="10523" spans="2:21" x14ac:dyDescent="0.2">
      <c r="B10523" s="207"/>
      <c r="C10523" s="210"/>
      <c r="D10523" s="211"/>
      <c r="E10523" s="211"/>
      <c r="U10523" s="222"/>
    </row>
    <row r="10524" spans="2:21" x14ac:dyDescent="0.2">
      <c r="B10524" s="207"/>
      <c r="C10524" s="210"/>
      <c r="D10524" s="211"/>
      <c r="E10524" s="211"/>
      <c r="U10524" s="222"/>
    </row>
    <row r="10525" spans="2:21" x14ac:dyDescent="0.2">
      <c r="B10525" s="207"/>
      <c r="C10525" s="210"/>
      <c r="D10525" s="211"/>
      <c r="E10525" s="211"/>
      <c r="U10525" s="222"/>
    </row>
    <row r="10526" spans="2:21" x14ac:dyDescent="0.2">
      <c r="B10526" s="207"/>
      <c r="C10526" s="210"/>
      <c r="D10526" s="211"/>
      <c r="E10526" s="211"/>
      <c r="U10526" s="222"/>
    </row>
    <row r="10527" spans="2:21" x14ac:dyDescent="0.2">
      <c r="B10527" s="207"/>
      <c r="C10527" s="210"/>
      <c r="D10527" s="211"/>
      <c r="E10527" s="211"/>
      <c r="U10527" s="222"/>
    </row>
    <row r="10528" spans="2:21" x14ac:dyDescent="0.2">
      <c r="B10528" s="207"/>
      <c r="C10528" s="210"/>
      <c r="D10528" s="211"/>
      <c r="E10528" s="211"/>
      <c r="U10528" s="222"/>
    </row>
    <row r="10529" spans="2:21" x14ac:dyDescent="0.2">
      <c r="B10529" s="207"/>
      <c r="C10529" s="210"/>
      <c r="D10529" s="211"/>
      <c r="E10529" s="211"/>
      <c r="U10529" s="222"/>
    </row>
    <row r="10530" spans="2:21" x14ac:dyDescent="0.2">
      <c r="B10530" s="207"/>
      <c r="C10530" s="210"/>
      <c r="D10530" s="211"/>
      <c r="E10530" s="211"/>
      <c r="U10530" s="222"/>
    </row>
    <row r="10531" spans="2:21" x14ac:dyDescent="0.2">
      <c r="B10531" s="207"/>
      <c r="C10531" s="210"/>
      <c r="D10531" s="211"/>
      <c r="E10531" s="211"/>
      <c r="U10531" s="222"/>
    </row>
    <row r="10532" spans="2:21" x14ac:dyDescent="0.2">
      <c r="B10532" s="207"/>
      <c r="C10532" s="210"/>
      <c r="D10532" s="211"/>
      <c r="E10532" s="211"/>
      <c r="U10532" s="222"/>
    </row>
    <row r="10533" spans="2:21" x14ac:dyDescent="0.2">
      <c r="B10533" s="207"/>
      <c r="C10533" s="210"/>
      <c r="D10533" s="211"/>
      <c r="E10533" s="211"/>
      <c r="U10533" s="222"/>
    </row>
    <row r="10534" spans="2:21" x14ac:dyDescent="0.2">
      <c r="B10534" s="207"/>
      <c r="C10534" s="210"/>
      <c r="D10534" s="211"/>
      <c r="E10534" s="211"/>
      <c r="U10534" s="222"/>
    </row>
    <row r="10535" spans="2:21" x14ac:dyDescent="0.2">
      <c r="B10535" s="207"/>
      <c r="C10535" s="210"/>
      <c r="D10535" s="211"/>
      <c r="E10535" s="211"/>
      <c r="U10535" s="222"/>
    </row>
    <row r="10536" spans="2:21" x14ac:dyDescent="0.2">
      <c r="B10536" s="207"/>
      <c r="C10536" s="210"/>
      <c r="D10536" s="211"/>
      <c r="E10536" s="211"/>
      <c r="U10536" s="222"/>
    </row>
    <row r="10537" spans="2:21" x14ac:dyDescent="0.2">
      <c r="B10537" s="207"/>
      <c r="C10537" s="210"/>
      <c r="D10537" s="211"/>
      <c r="E10537" s="211"/>
      <c r="U10537" s="222"/>
    </row>
    <row r="10538" spans="2:21" x14ac:dyDescent="0.2">
      <c r="B10538" s="207"/>
      <c r="C10538" s="210"/>
      <c r="D10538" s="211"/>
      <c r="E10538" s="211"/>
      <c r="U10538" s="222"/>
    </row>
    <row r="10539" spans="2:21" x14ac:dyDescent="0.2">
      <c r="B10539" s="207"/>
      <c r="C10539" s="210"/>
      <c r="D10539" s="211"/>
      <c r="E10539" s="211"/>
      <c r="U10539" s="222"/>
    </row>
    <row r="10540" spans="2:21" x14ac:dyDescent="0.2">
      <c r="B10540" s="207"/>
      <c r="C10540" s="210"/>
      <c r="D10540" s="211"/>
      <c r="E10540" s="211"/>
      <c r="U10540" s="222"/>
    </row>
    <row r="10541" spans="2:21" x14ac:dyDescent="0.2">
      <c r="B10541" s="207"/>
      <c r="C10541" s="210"/>
      <c r="D10541" s="211"/>
      <c r="E10541" s="211"/>
      <c r="U10541" s="222"/>
    </row>
    <row r="10542" spans="2:21" x14ac:dyDescent="0.2">
      <c r="B10542" s="207"/>
      <c r="C10542" s="210"/>
      <c r="D10542" s="211"/>
      <c r="E10542" s="211"/>
      <c r="U10542" s="222"/>
    </row>
    <row r="10543" spans="2:21" x14ac:dyDescent="0.2">
      <c r="B10543" s="207"/>
      <c r="C10543" s="210"/>
      <c r="D10543" s="211"/>
      <c r="E10543" s="211"/>
      <c r="U10543" s="222"/>
    </row>
    <row r="10544" spans="2:21" x14ac:dyDescent="0.2">
      <c r="B10544" s="207"/>
      <c r="C10544" s="210"/>
      <c r="D10544" s="211"/>
      <c r="E10544" s="211"/>
      <c r="U10544" s="222"/>
    </row>
    <row r="10545" spans="2:21" x14ac:dyDescent="0.2">
      <c r="B10545" s="207"/>
      <c r="C10545" s="210"/>
      <c r="D10545" s="211"/>
      <c r="E10545" s="211"/>
      <c r="U10545" s="222"/>
    </row>
    <row r="10546" spans="2:21" x14ac:dyDescent="0.2">
      <c r="B10546" s="207"/>
      <c r="C10546" s="210"/>
      <c r="D10546" s="211"/>
      <c r="E10546" s="211"/>
      <c r="U10546" s="222"/>
    </row>
    <row r="10547" spans="2:21" x14ac:dyDescent="0.2">
      <c r="B10547" s="207"/>
      <c r="C10547" s="210"/>
      <c r="D10547" s="211"/>
      <c r="E10547" s="211"/>
      <c r="U10547" s="222"/>
    </row>
    <row r="10548" spans="2:21" x14ac:dyDescent="0.2">
      <c r="B10548" s="207"/>
      <c r="C10548" s="210"/>
      <c r="D10548" s="211"/>
      <c r="E10548" s="211"/>
      <c r="U10548" s="222"/>
    </row>
    <row r="10549" spans="2:21" x14ac:dyDescent="0.2">
      <c r="B10549" s="207"/>
      <c r="C10549" s="210"/>
      <c r="D10549" s="211"/>
      <c r="E10549" s="211"/>
      <c r="U10549" s="222"/>
    </row>
    <row r="10550" spans="2:21" x14ac:dyDescent="0.2">
      <c r="B10550" s="207"/>
      <c r="C10550" s="210"/>
      <c r="D10550" s="211"/>
      <c r="E10550" s="211"/>
      <c r="U10550" s="222"/>
    </row>
    <row r="10551" spans="2:21" x14ac:dyDescent="0.2">
      <c r="B10551" s="207"/>
      <c r="C10551" s="210"/>
      <c r="D10551" s="211"/>
      <c r="E10551" s="211"/>
      <c r="U10551" s="222"/>
    </row>
    <row r="10552" spans="2:21" x14ac:dyDescent="0.2">
      <c r="B10552" s="207"/>
      <c r="C10552" s="210"/>
      <c r="D10552" s="211"/>
      <c r="E10552" s="211"/>
      <c r="U10552" s="222"/>
    </row>
    <row r="10553" spans="2:21" x14ac:dyDescent="0.2">
      <c r="B10553" s="207"/>
      <c r="C10553" s="210"/>
      <c r="D10553" s="211"/>
      <c r="E10553" s="211"/>
      <c r="U10553" s="222"/>
    </row>
    <row r="10554" spans="2:21" x14ac:dyDescent="0.2">
      <c r="B10554" s="207"/>
      <c r="C10554" s="210"/>
      <c r="D10554" s="211"/>
      <c r="E10554" s="211"/>
      <c r="U10554" s="222"/>
    </row>
    <row r="10555" spans="2:21" x14ac:dyDescent="0.2">
      <c r="B10555" s="207"/>
      <c r="C10555" s="210"/>
      <c r="D10555" s="211"/>
      <c r="E10555" s="211"/>
      <c r="U10555" s="222"/>
    </row>
    <row r="10556" spans="2:21" x14ac:dyDescent="0.2">
      <c r="B10556" s="207"/>
      <c r="C10556" s="210"/>
      <c r="D10556" s="211"/>
      <c r="E10556" s="211"/>
      <c r="U10556" s="222"/>
    </row>
    <row r="10557" spans="2:21" x14ac:dyDescent="0.2">
      <c r="B10557" s="207"/>
      <c r="C10557" s="210"/>
      <c r="D10557" s="211"/>
      <c r="E10557" s="211"/>
      <c r="U10557" s="222"/>
    </row>
    <row r="10558" spans="2:21" x14ac:dyDescent="0.2">
      <c r="B10558" s="207"/>
      <c r="C10558" s="210"/>
      <c r="D10558" s="211"/>
      <c r="E10558" s="211"/>
      <c r="U10558" s="222"/>
    </row>
    <row r="10559" spans="2:21" x14ac:dyDescent="0.2">
      <c r="B10559" s="207"/>
      <c r="C10559" s="210"/>
      <c r="D10559" s="211"/>
      <c r="E10559" s="211"/>
      <c r="U10559" s="222"/>
    </row>
    <row r="10560" spans="2:21" x14ac:dyDescent="0.2">
      <c r="B10560" s="207"/>
      <c r="C10560" s="210"/>
      <c r="D10560" s="211"/>
      <c r="E10560" s="211"/>
      <c r="U10560" s="222"/>
    </row>
    <row r="10561" spans="2:21" x14ac:dyDescent="0.2">
      <c r="B10561" s="207"/>
      <c r="C10561" s="210"/>
      <c r="D10561" s="211"/>
      <c r="E10561" s="211"/>
      <c r="U10561" s="222"/>
    </row>
    <row r="10562" spans="2:21" x14ac:dyDescent="0.2">
      <c r="B10562" s="207"/>
      <c r="C10562" s="210"/>
      <c r="D10562" s="211"/>
      <c r="E10562" s="211"/>
      <c r="U10562" s="222"/>
    </row>
    <row r="10563" spans="2:21" x14ac:dyDescent="0.2">
      <c r="B10563" s="207"/>
      <c r="C10563" s="210"/>
      <c r="D10563" s="211"/>
      <c r="E10563" s="211"/>
      <c r="U10563" s="222"/>
    </row>
    <row r="10564" spans="2:21" x14ac:dyDescent="0.2">
      <c r="B10564" s="207"/>
      <c r="C10564" s="210"/>
      <c r="D10564" s="211"/>
      <c r="E10564" s="211"/>
      <c r="U10564" s="222"/>
    </row>
    <row r="10565" spans="2:21" x14ac:dyDescent="0.2">
      <c r="B10565" s="207"/>
      <c r="C10565" s="210"/>
      <c r="D10565" s="211"/>
      <c r="E10565" s="211"/>
      <c r="U10565" s="222"/>
    </row>
    <row r="10566" spans="2:21" x14ac:dyDescent="0.2">
      <c r="B10566" s="207"/>
      <c r="C10566" s="210"/>
      <c r="D10566" s="211"/>
      <c r="E10566" s="211"/>
      <c r="U10566" s="222"/>
    </row>
    <row r="10567" spans="2:21" x14ac:dyDescent="0.2">
      <c r="B10567" s="207"/>
      <c r="C10567" s="210"/>
      <c r="D10567" s="211"/>
      <c r="E10567" s="211"/>
      <c r="U10567" s="222"/>
    </row>
    <row r="10568" spans="2:21" x14ac:dyDescent="0.2">
      <c r="B10568" s="207"/>
      <c r="C10568" s="210"/>
      <c r="D10568" s="211"/>
      <c r="E10568" s="211"/>
      <c r="U10568" s="222"/>
    </row>
    <row r="10569" spans="2:21" x14ac:dyDescent="0.2">
      <c r="B10569" s="207"/>
      <c r="C10569" s="210"/>
      <c r="D10569" s="211"/>
      <c r="E10569" s="211"/>
      <c r="U10569" s="222"/>
    </row>
    <row r="10570" spans="2:21" x14ac:dyDescent="0.2">
      <c r="B10570" s="207"/>
      <c r="C10570" s="210"/>
      <c r="D10570" s="211"/>
      <c r="E10570" s="211"/>
      <c r="U10570" s="222"/>
    </row>
    <row r="10571" spans="2:21" x14ac:dyDescent="0.2">
      <c r="B10571" s="207"/>
      <c r="C10571" s="210"/>
      <c r="D10571" s="211"/>
      <c r="E10571" s="211"/>
      <c r="U10571" s="222"/>
    </row>
    <row r="10572" spans="2:21" x14ac:dyDescent="0.2">
      <c r="B10572" s="207"/>
      <c r="C10572" s="210"/>
      <c r="D10572" s="211"/>
      <c r="E10572" s="211"/>
      <c r="U10572" s="222"/>
    </row>
    <row r="10573" spans="2:21" x14ac:dyDescent="0.2">
      <c r="B10573" s="207"/>
      <c r="C10573" s="210"/>
      <c r="D10573" s="211"/>
      <c r="E10573" s="211"/>
      <c r="U10573" s="222"/>
    </row>
    <row r="10574" spans="2:21" x14ac:dyDescent="0.2">
      <c r="B10574" s="207"/>
      <c r="C10574" s="210"/>
      <c r="D10574" s="211"/>
      <c r="E10574" s="211"/>
      <c r="U10574" s="222"/>
    </row>
    <row r="10575" spans="2:21" x14ac:dyDescent="0.2">
      <c r="B10575" s="207"/>
      <c r="C10575" s="210"/>
      <c r="D10575" s="211"/>
      <c r="E10575" s="211"/>
      <c r="U10575" s="222"/>
    </row>
    <row r="10576" spans="2:21" x14ac:dyDescent="0.2">
      <c r="B10576" s="207"/>
      <c r="C10576" s="210"/>
      <c r="D10576" s="211"/>
      <c r="E10576" s="211"/>
      <c r="U10576" s="222"/>
    </row>
    <row r="10577" spans="2:21" x14ac:dyDescent="0.2">
      <c r="B10577" s="207"/>
      <c r="C10577" s="210"/>
      <c r="D10577" s="211"/>
      <c r="E10577" s="211"/>
      <c r="U10577" s="222"/>
    </row>
    <row r="10578" spans="2:21" x14ac:dyDescent="0.2">
      <c r="B10578" s="207"/>
      <c r="C10578" s="210"/>
      <c r="D10578" s="211"/>
      <c r="E10578" s="211"/>
      <c r="U10578" s="222"/>
    </row>
    <row r="10579" spans="2:21" x14ac:dyDescent="0.2">
      <c r="B10579" s="207"/>
      <c r="C10579" s="210"/>
      <c r="D10579" s="211"/>
      <c r="E10579" s="211"/>
      <c r="U10579" s="222"/>
    </row>
    <row r="10580" spans="2:21" x14ac:dyDescent="0.2">
      <c r="B10580" s="207"/>
      <c r="C10580" s="210"/>
      <c r="D10580" s="211"/>
      <c r="E10580" s="211"/>
      <c r="U10580" s="222"/>
    </row>
    <row r="10581" spans="2:21" x14ac:dyDescent="0.2">
      <c r="B10581" s="207"/>
      <c r="C10581" s="210"/>
      <c r="D10581" s="211"/>
      <c r="E10581" s="211"/>
      <c r="U10581" s="222"/>
    </row>
    <row r="10582" spans="2:21" x14ac:dyDescent="0.2">
      <c r="B10582" s="207"/>
      <c r="C10582" s="210"/>
      <c r="D10582" s="211"/>
      <c r="E10582" s="211"/>
      <c r="U10582" s="222"/>
    </row>
    <row r="10583" spans="2:21" x14ac:dyDescent="0.2">
      <c r="B10583" s="207"/>
      <c r="C10583" s="210"/>
      <c r="D10583" s="211"/>
      <c r="E10583" s="211"/>
      <c r="U10583" s="222"/>
    </row>
    <row r="10584" spans="2:21" x14ac:dyDescent="0.2">
      <c r="B10584" s="207"/>
      <c r="C10584" s="210"/>
      <c r="D10584" s="211"/>
      <c r="E10584" s="211"/>
      <c r="U10584" s="222"/>
    </row>
    <row r="10585" spans="2:21" x14ac:dyDescent="0.2">
      <c r="B10585" s="207"/>
      <c r="C10585" s="210"/>
      <c r="D10585" s="211"/>
      <c r="E10585" s="211"/>
      <c r="U10585" s="222"/>
    </row>
    <row r="10586" spans="2:21" x14ac:dyDescent="0.2">
      <c r="B10586" s="207"/>
      <c r="C10586" s="210"/>
      <c r="D10586" s="211"/>
      <c r="E10586" s="211"/>
      <c r="U10586" s="222"/>
    </row>
    <row r="10587" spans="2:21" x14ac:dyDescent="0.2">
      <c r="B10587" s="207"/>
      <c r="C10587" s="210"/>
      <c r="D10587" s="211"/>
      <c r="E10587" s="211"/>
      <c r="U10587" s="222"/>
    </row>
    <row r="10588" spans="2:21" x14ac:dyDescent="0.2">
      <c r="B10588" s="207"/>
      <c r="C10588" s="210"/>
      <c r="D10588" s="211"/>
      <c r="E10588" s="211"/>
      <c r="U10588" s="222"/>
    </row>
    <row r="10589" spans="2:21" x14ac:dyDescent="0.2">
      <c r="B10589" s="207"/>
      <c r="C10589" s="210"/>
      <c r="D10589" s="211"/>
      <c r="E10589" s="211"/>
      <c r="U10589" s="222"/>
    </row>
    <row r="10590" spans="2:21" x14ac:dyDescent="0.2">
      <c r="B10590" s="207"/>
      <c r="C10590" s="210"/>
      <c r="D10590" s="211"/>
      <c r="E10590" s="211"/>
      <c r="U10590" s="222"/>
    </row>
    <row r="10591" spans="2:21" x14ac:dyDescent="0.2">
      <c r="B10591" s="207"/>
      <c r="C10591" s="210"/>
      <c r="D10591" s="211"/>
      <c r="E10591" s="211"/>
      <c r="U10591" s="222"/>
    </row>
    <row r="10592" spans="2:21" x14ac:dyDescent="0.2">
      <c r="B10592" s="207"/>
      <c r="C10592" s="210"/>
      <c r="D10592" s="211"/>
      <c r="E10592" s="211"/>
      <c r="U10592" s="222"/>
    </row>
    <row r="10593" spans="2:21" x14ac:dyDescent="0.2">
      <c r="B10593" s="207"/>
      <c r="C10593" s="210"/>
      <c r="D10593" s="211"/>
      <c r="E10593" s="211"/>
      <c r="U10593" s="222"/>
    </row>
    <row r="10594" spans="2:21" x14ac:dyDescent="0.2">
      <c r="B10594" s="207"/>
      <c r="C10594" s="210"/>
      <c r="D10594" s="211"/>
      <c r="E10594" s="211"/>
      <c r="U10594" s="222"/>
    </row>
    <row r="10595" spans="2:21" x14ac:dyDescent="0.2">
      <c r="B10595" s="207"/>
      <c r="C10595" s="210"/>
      <c r="D10595" s="211"/>
      <c r="E10595" s="211"/>
      <c r="U10595" s="222"/>
    </row>
    <row r="10596" spans="2:21" x14ac:dyDescent="0.2">
      <c r="B10596" s="207"/>
      <c r="C10596" s="210"/>
      <c r="D10596" s="211"/>
      <c r="E10596" s="211"/>
      <c r="U10596" s="222"/>
    </row>
    <row r="10597" spans="2:21" x14ac:dyDescent="0.2">
      <c r="B10597" s="207"/>
      <c r="C10597" s="210"/>
      <c r="D10597" s="211"/>
      <c r="E10597" s="211"/>
      <c r="U10597" s="222"/>
    </row>
    <row r="10598" spans="2:21" x14ac:dyDescent="0.2">
      <c r="B10598" s="207"/>
      <c r="C10598" s="210"/>
      <c r="D10598" s="211"/>
      <c r="E10598" s="211"/>
      <c r="U10598" s="222"/>
    </row>
    <row r="10599" spans="2:21" x14ac:dyDescent="0.2">
      <c r="B10599" s="207"/>
      <c r="C10599" s="210"/>
      <c r="D10599" s="211"/>
      <c r="E10599" s="211"/>
      <c r="U10599" s="222"/>
    </row>
    <row r="10600" spans="2:21" x14ac:dyDescent="0.2">
      <c r="B10600" s="207"/>
      <c r="C10600" s="210"/>
      <c r="D10600" s="211"/>
      <c r="E10600" s="211"/>
      <c r="U10600" s="222"/>
    </row>
    <row r="10601" spans="2:21" x14ac:dyDescent="0.2">
      <c r="B10601" s="207"/>
      <c r="C10601" s="210"/>
      <c r="D10601" s="211"/>
      <c r="E10601" s="211"/>
      <c r="U10601" s="222"/>
    </row>
    <row r="10602" spans="2:21" x14ac:dyDescent="0.2">
      <c r="B10602" s="207"/>
      <c r="C10602" s="210"/>
      <c r="D10602" s="211"/>
      <c r="E10602" s="211"/>
      <c r="U10602" s="222"/>
    </row>
    <row r="10603" spans="2:21" x14ac:dyDescent="0.2">
      <c r="B10603" s="207"/>
      <c r="C10603" s="210"/>
      <c r="D10603" s="211"/>
      <c r="E10603" s="211"/>
      <c r="U10603" s="222"/>
    </row>
    <row r="10604" spans="2:21" x14ac:dyDescent="0.2">
      <c r="B10604" s="207"/>
      <c r="C10604" s="210"/>
      <c r="D10604" s="211"/>
      <c r="E10604" s="211"/>
      <c r="U10604" s="222"/>
    </row>
    <row r="10605" spans="2:21" x14ac:dyDescent="0.2">
      <c r="B10605" s="207"/>
      <c r="C10605" s="210"/>
      <c r="D10605" s="211"/>
      <c r="E10605" s="211"/>
      <c r="U10605" s="222"/>
    </row>
    <row r="10606" spans="2:21" x14ac:dyDescent="0.2">
      <c r="B10606" s="207"/>
      <c r="C10606" s="210"/>
      <c r="D10606" s="211"/>
      <c r="E10606" s="211"/>
      <c r="U10606" s="222"/>
    </row>
    <row r="10607" spans="2:21" x14ac:dyDescent="0.2">
      <c r="B10607" s="207"/>
      <c r="C10607" s="210"/>
      <c r="D10607" s="211"/>
      <c r="E10607" s="211"/>
      <c r="U10607" s="222"/>
    </row>
    <row r="10608" spans="2:21" x14ac:dyDescent="0.2">
      <c r="B10608" s="207"/>
      <c r="C10608" s="210"/>
      <c r="D10608" s="211"/>
      <c r="E10608" s="211"/>
      <c r="U10608" s="222"/>
    </row>
    <row r="10609" spans="2:21" x14ac:dyDescent="0.2">
      <c r="B10609" s="207"/>
      <c r="C10609" s="210"/>
      <c r="D10609" s="211"/>
      <c r="E10609" s="211"/>
      <c r="U10609" s="222"/>
    </row>
    <row r="10610" spans="2:21" x14ac:dyDescent="0.2">
      <c r="B10610" s="207"/>
      <c r="C10610" s="210"/>
      <c r="D10610" s="211"/>
      <c r="E10610" s="211"/>
      <c r="U10610" s="222"/>
    </row>
    <row r="10611" spans="2:21" x14ac:dyDescent="0.2">
      <c r="B10611" s="207"/>
      <c r="C10611" s="210"/>
      <c r="D10611" s="211"/>
      <c r="E10611" s="211"/>
      <c r="U10611" s="222"/>
    </row>
    <row r="10612" spans="2:21" x14ac:dyDescent="0.2">
      <c r="B10612" s="207"/>
      <c r="C10612" s="210"/>
      <c r="D10612" s="211"/>
      <c r="E10612" s="211"/>
      <c r="U10612" s="222"/>
    </row>
    <row r="10613" spans="2:21" x14ac:dyDescent="0.2">
      <c r="B10613" s="207"/>
      <c r="C10613" s="210"/>
      <c r="D10613" s="211"/>
      <c r="E10613" s="211"/>
      <c r="U10613" s="222"/>
    </row>
    <row r="10614" spans="2:21" x14ac:dyDescent="0.2">
      <c r="B10614" s="207"/>
      <c r="C10614" s="210"/>
      <c r="D10614" s="211"/>
      <c r="E10614" s="211"/>
      <c r="U10614" s="222"/>
    </row>
    <row r="10615" spans="2:21" x14ac:dyDescent="0.2">
      <c r="B10615" s="207"/>
      <c r="C10615" s="210"/>
      <c r="D10615" s="211"/>
      <c r="E10615" s="211"/>
      <c r="U10615" s="222"/>
    </row>
    <row r="10616" spans="2:21" x14ac:dyDescent="0.2">
      <c r="B10616" s="207"/>
      <c r="C10616" s="210"/>
      <c r="D10616" s="211"/>
      <c r="E10616" s="211"/>
      <c r="U10616" s="222"/>
    </row>
    <row r="10617" spans="2:21" x14ac:dyDescent="0.2">
      <c r="B10617" s="207"/>
      <c r="C10617" s="210"/>
      <c r="D10617" s="211"/>
      <c r="E10617" s="211"/>
      <c r="U10617" s="222"/>
    </row>
    <row r="10618" spans="2:21" x14ac:dyDescent="0.2">
      <c r="B10618" s="207"/>
      <c r="C10618" s="210"/>
      <c r="D10618" s="211"/>
      <c r="E10618" s="211"/>
      <c r="U10618" s="222"/>
    </row>
    <row r="10619" spans="2:21" x14ac:dyDescent="0.2">
      <c r="B10619" s="207"/>
      <c r="C10619" s="210"/>
      <c r="D10619" s="211"/>
      <c r="E10619" s="211"/>
      <c r="U10619" s="222"/>
    </row>
    <row r="10620" spans="2:21" x14ac:dyDescent="0.2">
      <c r="B10620" s="207"/>
      <c r="C10620" s="210"/>
      <c r="D10620" s="211"/>
      <c r="E10620" s="211"/>
      <c r="U10620" s="222"/>
    </row>
    <row r="10621" spans="2:21" x14ac:dyDescent="0.2">
      <c r="B10621" s="207"/>
      <c r="C10621" s="210"/>
      <c r="D10621" s="211"/>
      <c r="E10621" s="211"/>
      <c r="U10621" s="222"/>
    </row>
    <row r="10622" spans="2:21" x14ac:dyDescent="0.2">
      <c r="B10622" s="207"/>
      <c r="C10622" s="210"/>
      <c r="D10622" s="211"/>
      <c r="E10622" s="211"/>
      <c r="U10622" s="222"/>
    </row>
    <row r="10623" spans="2:21" x14ac:dyDescent="0.2">
      <c r="B10623" s="207"/>
      <c r="C10623" s="210"/>
      <c r="D10623" s="211"/>
      <c r="E10623" s="211"/>
      <c r="U10623" s="222"/>
    </row>
    <row r="10624" spans="2:21" x14ac:dyDescent="0.2">
      <c r="B10624" s="207"/>
      <c r="C10624" s="210"/>
      <c r="D10624" s="211"/>
      <c r="E10624" s="211"/>
      <c r="U10624" s="222"/>
    </row>
    <row r="10625" spans="2:21" x14ac:dyDescent="0.2">
      <c r="B10625" s="207"/>
      <c r="C10625" s="210"/>
      <c r="D10625" s="211"/>
      <c r="E10625" s="211"/>
      <c r="U10625" s="222"/>
    </row>
    <row r="10626" spans="2:21" x14ac:dyDescent="0.2">
      <c r="B10626" s="207"/>
      <c r="C10626" s="210"/>
      <c r="D10626" s="211"/>
      <c r="E10626" s="211"/>
      <c r="U10626" s="222"/>
    </row>
    <row r="10627" spans="2:21" x14ac:dyDescent="0.2">
      <c r="B10627" s="207"/>
      <c r="C10627" s="210"/>
      <c r="D10627" s="211"/>
      <c r="E10627" s="211"/>
      <c r="U10627" s="222"/>
    </row>
    <row r="10628" spans="2:21" x14ac:dyDescent="0.2">
      <c r="B10628" s="207"/>
      <c r="C10628" s="210"/>
      <c r="D10628" s="211"/>
      <c r="E10628" s="211"/>
      <c r="U10628" s="222"/>
    </row>
    <row r="10629" spans="2:21" x14ac:dyDescent="0.2">
      <c r="B10629" s="207"/>
      <c r="C10629" s="210"/>
      <c r="D10629" s="211"/>
      <c r="E10629" s="211"/>
      <c r="U10629" s="222"/>
    </row>
    <row r="10630" spans="2:21" x14ac:dyDescent="0.2">
      <c r="B10630" s="207"/>
      <c r="C10630" s="210"/>
      <c r="D10630" s="211"/>
      <c r="E10630" s="211"/>
      <c r="U10630" s="222"/>
    </row>
    <row r="10631" spans="2:21" x14ac:dyDescent="0.2">
      <c r="B10631" s="207"/>
      <c r="C10631" s="210"/>
      <c r="D10631" s="211"/>
      <c r="E10631" s="211"/>
      <c r="U10631" s="222"/>
    </row>
    <row r="10632" spans="2:21" x14ac:dyDescent="0.2">
      <c r="B10632" s="207"/>
      <c r="C10632" s="210"/>
      <c r="D10632" s="211"/>
      <c r="E10632" s="211"/>
      <c r="U10632" s="222"/>
    </row>
    <row r="10633" spans="2:21" x14ac:dyDescent="0.2">
      <c r="B10633" s="207"/>
      <c r="C10633" s="210"/>
      <c r="D10633" s="211"/>
      <c r="E10633" s="211"/>
      <c r="U10633" s="222"/>
    </row>
    <row r="10634" spans="2:21" x14ac:dyDescent="0.2">
      <c r="B10634" s="207"/>
      <c r="C10634" s="210"/>
      <c r="D10634" s="211"/>
      <c r="E10634" s="211"/>
      <c r="U10634" s="222"/>
    </row>
    <row r="10635" spans="2:21" x14ac:dyDescent="0.2">
      <c r="B10635" s="207"/>
      <c r="C10635" s="210"/>
      <c r="D10635" s="211"/>
      <c r="E10635" s="211"/>
      <c r="U10635" s="222"/>
    </row>
    <row r="10636" spans="2:21" x14ac:dyDescent="0.2">
      <c r="B10636" s="207"/>
      <c r="C10636" s="210"/>
      <c r="D10636" s="211"/>
      <c r="E10636" s="211"/>
      <c r="U10636" s="222"/>
    </row>
    <row r="10637" spans="2:21" x14ac:dyDescent="0.2">
      <c r="B10637" s="207"/>
      <c r="C10637" s="210"/>
      <c r="D10637" s="211"/>
      <c r="E10637" s="211"/>
      <c r="U10637" s="222"/>
    </row>
    <row r="10638" spans="2:21" x14ac:dyDescent="0.2">
      <c r="B10638" s="207"/>
      <c r="C10638" s="210"/>
      <c r="D10638" s="211"/>
      <c r="E10638" s="211"/>
      <c r="U10638" s="222"/>
    </row>
    <row r="10639" spans="2:21" x14ac:dyDescent="0.2">
      <c r="B10639" s="207"/>
      <c r="C10639" s="210"/>
      <c r="D10639" s="211"/>
      <c r="E10639" s="211"/>
      <c r="U10639" s="222"/>
    </row>
    <row r="10640" spans="2:21" x14ac:dyDescent="0.2">
      <c r="B10640" s="207"/>
      <c r="C10640" s="210"/>
      <c r="D10640" s="211"/>
      <c r="E10640" s="211"/>
      <c r="U10640" s="222"/>
    </row>
    <row r="10641" spans="2:21" x14ac:dyDescent="0.2">
      <c r="B10641" s="207"/>
      <c r="C10641" s="210"/>
      <c r="D10641" s="211"/>
      <c r="E10641" s="211"/>
      <c r="U10641" s="222"/>
    </row>
    <row r="10642" spans="2:21" x14ac:dyDescent="0.2">
      <c r="B10642" s="207"/>
      <c r="C10642" s="210"/>
      <c r="D10642" s="211"/>
      <c r="E10642" s="211"/>
      <c r="U10642" s="222"/>
    </row>
    <row r="10643" spans="2:21" x14ac:dyDescent="0.2">
      <c r="B10643" s="207"/>
      <c r="C10643" s="210"/>
      <c r="D10643" s="211"/>
      <c r="E10643" s="211"/>
      <c r="U10643" s="222"/>
    </row>
    <row r="10644" spans="2:21" x14ac:dyDescent="0.2">
      <c r="B10644" s="207"/>
      <c r="C10644" s="210"/>
      <c r="D10644" s="211"/>
      <c r="E10644" s="211"/>
      <c r="U10644" s="222"/>
    </row>
    <row r="10645" spans="2:21" x14ac:dyDescent="0.2">
      <c r="B10645" s="207"/>
      <c r="C10645" s="210"/>
      <c r="D10645" s="211"/>
      <c r="E10645" s="211"/>
      <c r="U10645" s="222"/>
    </row>
    <row r="10646" spans="2:21" x14ac:dyDescent="0.2">
      <c r="B10646" s="207"/>
      <c r="C10646" s="210"/>
      <c r="D10646" s="211"/>
      <c r="E10646" s="211"/>
      <c r="U10646" s="222"/>
    </row>
    <row r="10647" spans="2:21" x14ac:dyDescent="0.2">
      <c r="B10647" s="207"/>
      <c r="C10647" s="210"/>
      <c r="D10647" s="211"/>
      <c r="E10647" s="211"/>
      <c r="U10647" s="222"/>
    </row>
    <row r="10648" spans="2:21" x14ac:dyDescent="0.2">
      <c r="B10648" s="207"/>
      <c r="C10648" s="210"/>
      <c r="D10648" s="211"/>
      <c r="E10648" s="211"/>
      <c r="U10648" s="222"/>
    </row>
    <row r="10649" spans="2:21" x14ac:dyDescent="0.2">
      <c r="B10649" s="207"/>
      <c r="C10649" s="210"/>
      <c r="D10649" s="211"/>
      <c r="E10649" s="211"/>
      <c r="U10649" s="222"/>
    </row>
    <row r="10650" spans="2:21" x14ac:dyDescent="0.2">
      <c r="B10650" s="207"/>
      <c r="C10650" s="210"/>
      <c r="D10650" s="211"/>
      <c r="E10650" s="211"/>
      <c r="U10650" s="222"/>
    </row>
    <row r="10651" spans="2:21" x14ac:dyDescent="0.2">
      <c r="B10651" s="207"/>
      <c r="C10651" s="210"/>
      <c r="D10651" s="211"/>
      <c r="E10651" s="211"/>
      <c r="U10651" s="222"/>
    </row>
    <row r="10652" spans="2:21" x14ac:dyDescent="0.2">
      <c r="B10652" s="207"/>
      <c r="C10652" s="210"/>
      <c r="D10652" s="211"/>
      <c r="E10652" s="211"/>
      <c r="U10652" s="222"/>
    </row>
    <row r="10653" spans="2:21" x14ac:dyDescent="0.2">
      <c r="B10653" s="207"/>
      <c r="C10653" s="210"/>
      <c r="D10653" s="211"/>
      <c r="E10653" s="211"/>
      <c r="U10653" s="222"/>
    </row>
    <row r="10654" spans="2:21" x14ac:dyDescent="0.2">
      <c r="B10654" s="207"/>
      <c r="C10654" s="210"/>
      <c r="D10654" s="211"/>
      <c r="E10654" s="211"/>
      <c r="U10654" s="222"/>
    </row>
    <row r="10655" spans="2:21" x14ac:dyDescent="0.2">
      <c r="B10655" s="207"/>
      <c r="C10655" s="210"/>
      <c r="D10655" s="211"/>
      <c r="E10655" s="211"/>
      <c r="U10655" s="222"/>
    </row>
    <row r="10656" spans="2:21" x14ac:dyDescent="0.2">
      <c r="B10656" s="207"/>
      <c r="C10656" s="210"/>
      <c r="D10656" s="211"/>
      <c r="E10656" s="211"/>
      <c r="U10656" s="222"/>
    </row>
    <row r="10657" spans="2:21" x14ac:dyDescent="0.2">
      <c r="B10657" s="207"/>
      <c r="C10657" s="210"/>
      <c r="D10657" s="211"/>
      <c r="E10657" s="211"/>
      <c r="U10657" s="222"/>
    </row>
    <row r="10658" spans="2:21" x14ac:dyDescent="0.2">
      <c r="B10658" s="207"/>
      <c r="C10658" s="210"/>
      <c r="D10658" s="211"/>
      <c r="E10658" s="211"/>
      <c r="U10658" s="222"/>
    </row>
    <row r="10659" spans="2:21" x14ac:dyDescent="0.2">
      <c r="B10659" s="207"/>
      <c r="C10659" s="210"/>
      <c r="D10659" s="211"/>
      <c r="E10659" s="211"/>
      <c r="U10659" s="222"/>
    </row>
    <row r="10660" spans="2:21" x14ac:dyDescent="0.2">
      <c r="B10660" s="207"/>
      <c r="C10660" s="210"/>
      <c r="D10660" s="211"/>
      <c r="E10660" s="211"/>
      <c r="U10660" s="222"/>
    </row>
    <row r="10661" spans="2:21" x14ac:dyDescent="0.2">
      <c r="B10661" s="207"/>
      <c r="C10661" s="210"/>
      <c r="D10661" s="211"/>
      <c r="E10661" s="211"/>
      <c r="U10661" s="222"/>
    </row>
    <row r="10662" spans="2:21" x14ac:dyDescent="0.2">
      <c r="B10662" s="207"/>
      <c r="C10662" s="210"/>
      <c r="D10662" s="211"/>
      <c r="E10662" s="211"/>
      <c r="U10662" s="222"/>
    </row>
    <row r="10663" spans="2:21" x14ac:dyDescent="0.2">
      <c r="B10663" s="207"/>
      <c r="C10663" s="210"/>
      <c r="D10663" s="211"/>
      <c r="E10663" s="211"/>
      <c r="U10663" s="222"/>
    </row>
    <row r="10664" spans="2:21" x14ac:dyDescent="0.2">
      <c r="B10664" s="207"/>
      <c r="C10664" s="210"/>
      <c r="D10664" s="211"/>
      <c r="E10664" s="211"/>
      <c r="U10664" s="222"/>
    </row>
    <row r="10665" spans="2:21" x14ac:dyDescent="0.2">
      <c r="B10665" s="207"/>
      <c r="C10665" s="210"/>
      <c r="D10665" s="211"/>
      <c r="E10665" s="211"/>
      <c r="U10665" s="222"/>
    </row>
    <row r="10666" spans="2:21" x14ac:dyDescent="0.2">
      <c r="B10666" s="207"/>
      <c r="C10666" s="210"/>
      <c r="D10666" s="211"/>
      <c r="E10666" s="211"/>
      <c r="U10666" s="222"/>
    </row>
    <row r="10667" spans="2:21" x14ac:dyDescent="0.2">
      <c r="B10667" s="207"/>
      <c r="C10667" s="210"/>
      <c r="D10667" s="211"/>
      <c r="E10667" s="211"/>
      <c r="U10667" s="222"/>
    </row>
    <row r="10668" spans="2:21" x14ac:dyDescent="0.2">
      <c r="B10668" s="207"/>
      <c r="C10668" s="210"/>
      <c r="D10668" s="211"/>
      <c r="E10668" s="211"/>
      <c r="U10668" s="222"/>
    </row>
    <row r="10669" spans="2:21" x14ac:dyDescent="0.2">
      <c r="B10669" s="207"/>
      <c r="C10669" s="210"/>
      <c r="D10669" s="211"/>
      <c r="E10669" s="211"/>
      <c r="U10669" s="222"/>
    </row>
    <row r="10670" spans="2:21" x14ac:dyDescent="0.2">
      <c r="B10670" s="207"/>
      <c r="C10670" s="210"/>
      <c r="D10670" s="211"/>
      <c r="E10670" s="211"/>
      <c r="U10670" s="222"/>
    </row>
    <row r="10671" spans="2:21" x14ac:dyDescent="0.2">
      <c r="B10671" s="207"/>
      <c r="C10671" s="210"/>
      <c r="D10671" s="211"/>
      <c r="E10671" s="211"/>
      <c r="U10671" s="222"/>
    </row>
    <row r="10672" spans="2:21" x14ac:dyDescent="0.2">
      <c r="B10672" s="207"/>
      <c r="C10672" s="210"/>
      <c r="D10672" s="211"/>
      <c r="E10672" s="211"/>
      <c r="U10672" s="222"/>
    </row>
    <row r="10673" spans="2:21" x14ac:dyDescent="0.2">
      <c r="B10673" s="207"/>
      <c r="C10673" s="210"/>
      <c r="D10673" s="211"/>
      <c r="E10673" s="211"/>
      <c r="U10673" s="222"/>
    </row>
    <row r="10674" spans="2:21" x14ac:dyDescent="0.2">
      <c r="B10674" s="207"/>
      <c r="C10674" s="210"/>
      <c r="D10674" s="211"/>
      <c r="E10674" s="211"/>
      <c r="U10674" s="222"/>
    </row>
    <row r="10675" spans="2:21" x14ac:dyDescent="0.2">
      <c r="B10675" s="207"/>
      <c r="C10675" s="210"/>
      <c r="D10675" s="211"/>
      <c r="E10675" s="211"/>
      <c r="U10675" s="222"/>
    </row>
    <row r="10676" spans="2:21" x14ac:dyDescent="0.2">
      <c r="B10676" s="207"/>
      <c r="C10676" s="210"/>
      <c r="D10676" s="211"/>
      <c r="E10676" s="211"/>
      <c r="U10676" s="222"/>
    </row>
    <row r="10677" spans="2:21" x14ac:dyDescent="0.2">
      <c r="B10677" s="207"/>
      <c r="C10677" s="210"/>
      <c r="D10677" s="211"/>
      <c r="E10677" s="211"/>
      <c r="U10677" s="222"/>
    </row>
    <row r="10678" spans="2:21" x14ac:dyDescent="0.2">
      <c r="B10678" s="207"/>
      <c r="C10678" s="210"/>
      <c r="D10678" s="211"/>
      <c r="E10678" s="211"/>
      <c r="U10678" s="222"/>
    </row>
    <row r="10679" spans="2:21" x14ac:dyDescent="0.2">
      <c r="B10679" s="207"/>
      <c r="C10679" s="210"/>
      <c r="D10679" s="211"/>
      <c r="E10679" s="211"/>
      <c r="U10679" s="222"/>
    </row>
    <row r="10680" spans="2:21" x14ac:dyDescent="0.2">
      <c r="B10680" s="207"/>
      <c r="C10680" s="210"/>
      <c r="D10680" s="211"/>
      <c r="E10680" s="211"/>
      <c r="U10680" s="222"/>
    </row>
    <row r="10681" spans="2:21" x14ac:dyDescent="0.2">
      <c r="B10681" s="207"/>
      <c r="C10681" s="210"/>
      <c r="D10681" s="211"/>
      <c r="E10681" s="211"/>
      <c r="U10681" s="222"/>
    </row>
    <row r="10682" spans="2:21" x14ac:dyDescent="0.2">
      <c r="B10682" s="207"/>
      <c r="C10682" s="210"/>
      <c r="D10682" s="211"/>
      <c r="E10682" s="211"/>
      <c r="U10682" s="222"/>
    </row>
    <row r="10683" spans="2:21" x14ac:dyDescent="0.2">
      <c r="B10683" s="207"/>
      <c r="C10683" s="210"/>
      <c r="D10683" s="211"/>
      <c r="E10683" s="211"/>
      <c r="U10683" s="222"/>
    </row>
    <row r="10684" spans="2:21" x14ac:dyDescent="0.2">
      <c r="B10684" s="207"/>
      <c r="C10684" s="210"/>
      <c r="D10684" s="211"/>
      <c r="E10684" s="211"/>
      <c r="U10684" s="222"/>
    </row>
    <row r="10685" spans="2:21" x14ac:dyDescent="0.2">
      <c r="B10685" s="207"/>
      <c r="C10685" s="210"/>
      <c r="D10685" s="211"/>
      <c r="E10685" s="211"/>
      <c r="U10685" s="222"/>
    </row>
    <row r="10686" spans="2:21" x14ac:dyDescent="0.2">
      <c r="B10686" s="207"/>
      <c r="C10686" s="210"/>
      <c r="D10686" s="211"/>
      <c r="E10686" s="211"/>
      <c r="U10686" s="222"/>
    </row>
    <row r="10687" spans="2:21" x14ac:dyDescent="0.2">
      <c r="B10687" s="207"/>
      <c r="C10687" s="210"/>
      <c r="D10687" s="211"/>
      <c r="E10687" s="211"/>
      <c r="U10687" s="222"/>
    </row>
    <row r="10688" spans="2:21" x14ac:dyDescent="0.2">
      <c r="B10688" s="207"/>
      <c r="C10688" s="210"/>
      <c r="D10688" s="211"/>
      <c r="E10688" s="211"/>
      <c r="U10688" s="222"/>
    </row>
    <row r="10689" spans="2:21" x14ac:dyDescent="0.2">
      <c r="B10689" s="207"/>
      <c r="C10689" s="210"/>
      <c r="D10689" s="211"/>
      <c r="E10689" s="211"/>
      <c r="U10689" s="222"/>
    </row>
    <row r="10690" spans="2:21" x14ac:dyDescent="0.2">
      <c r="B10690" s="207"/>
      <c r="C10690" s="210"/>
      <c r="D10690" s="211"/>
      <c r="E10690" s="211"/>
      <c r="U10690" s="222"/>
    </row>
    <row r="10691" spans="2:21" x14ac:dyDescent="0.2">
      <c r="B10691" s="207"/>
      <c r="C10691" s="210"/>
      <c r="D10691" s="211"/>
      <c r="E10691" s="211"/>
      <c r="U10691" s="222"/>
    </row>
    <row r="10692" spans="2:21" x14ac:dyDescent="0.2">
      <c r="B10692" s="207"/>
      <c r="C10692" s="210"/>
      <c r="D10692" s="211"/>
      <c r="E10692" s="211"/>
      <c r="U10692" s="222"/>
    </row>
    <row r="10693" spans="2:21" x14ac:dyDescent="0.2">
      <c r="B10693" s="207"/>
      <c r="C10693" s="210"/>
      <c r="D10693" s="211"/>
      <c r="E10693" s="211"/>
      <c r="U10693" s="222"/>
    </row>
    <row r="10694" spans="2:21" x14ac:dyDescent="0.2">
      <c r="B10694" s="207"/>
      <c r="C10694" s="210"/>
      <c r="D10694" s="211"/>
      <c r="E10694" s="211"/>
      <c r="U10694" s="222"/>
    </row>
    <row r="10695" spans="2:21" x14ac:dyDescent="0.2">
      <c r="B10695" s="207"/>
      <c r="C10695" s="210"/>
      <c r="D10695" s="211"/>
      <c r="E10695" s="211"/>
      <c r="U10695" s="222"/>
    </row>
    <row r="10696" spans="2:21" x14ac:dyDescent="0.2">
      <c r="B10696" s="207"/>
      <c r="C10696" s="210"/>
      <c r="D10696" s="211"/>
      <c r="E10696" s="211"/>
      <c r="U10696" s="222"/>
    </row>
    <row r="10697" spans="2:21" x14ac:dyDescent="0.2">
      <c r="B10697" s="207"/>
      <c r="C10697" s="210"/>
      <c r="D10697" s="211"/>
      <c r="E10697" s="211"/>
      <c r="U10697" s="222"/>
    </row>
    <row r="10698" spans="2:21" x14ac:dyDescent="0.2">
      <c r="B10698" s="207"/>
      <c r="C10698" s="210"/>
      <c r="D10698" s="211"/>
      <c r="E10698" s="211"/>
      <c r="U10698" s="222"/>
    </row>
    <row r="10699" spans="2:21" x14ac:dyDescent="0.2">
      <c r="B10699" s="207"/>
      <c r="C10699" s="210"/>
      <c r="D10699" s="211"/>
      <c r="E10699" s="211"/>
      <c r="U10699" s="222"/>
    </row>
    <row r="10700" spans="2:21" x14ac:dyDescent="0.2">
      <c r="B10700" s="207"/>
      <c r="C10700" s="210"/>
      <c r="D10700" s="211"/>
      <c r="E10700" s="211"/>
      <c r="U10700" s="222"/>
    </row>
    <row r="10701" spans="2:21" x14ac:dyDescent="0.2">
      <c r="B10701" s="207"/>
      <c r="C10701" s="210"/>
      <c r="D10701" s="211"/>
      <c r="E10701" s="211"/>
      <c r="U10701" s="222"/>
    </row>
    <row r="10702" spans="2:21" x14ac:dyDescent="0.2">
      <c r="B10702" s="207"/>
      <c r="C10702" s="210"/>
      <c r="D10702" s="211"/>
      <c r="E10702" s="211"/>
      <c r="U10702" s="222"/>
    </row>
    <row r="10703" spans="2:21" x14ac:dyDescent="0.2">
      <c r="B10703" s="207"/>
      <c r="C10703" s="210"/>
      <c r="D10703" s="211"/>
      <c r="E10703" s="211"/>
      <c r="U10703" s="222"/>
    </row>
    <row r="10704" spans="2:21" x14ac:dyDescent="0.2">
      <c r="B10704" s="207"/>
      <c r="C10704" s="210"/>
      <c r="D10704" s="211"/>
      <c r="E10704" s="211"/>
      <c r="U10704" s="222"/>
    </row>
    <row r="10705" spans="2:21" x14ac:dyDescent="0.2">
      <c r="B10705" s="207"/>
      <c r="C10705" s="210"/>
      <c r="D10705" s="211"/>
      <c r="E10705" s="211"/>
      <c r="U10705" s="222"/>
    </row>
    <row r="10706" spans="2:21" x14ac:dyDescent="0.2">
      <c r="B10706" s="207"/>
      <c r="C10706" s="210"/>
      <c r="D10706" s="211"/>
      <c r="E10706" s="211"/>
      <c r="U10706" s="222"/>
    </row>
    <row r="10707" spans="2:21" x14ac:dyDescent="0.2">
      <c r="B10707" s="207"/>
      <c r="C10707" s="210"/>
      <c r="D10707" s="211"/>
      <c r="E10707" s="211"/>
      <c r="U10707" s="222"/>
    </row>
    <row r="10708" spans="2:21" x14ac:dyDescent="0.2">
      <c r="B10708" s="207"/>
      <c r="C10708" s="210"/>
      <c r="D10708" s="211"/>
      <c r="E10708" s="211"/>
      <c r="U10708" s="222"/>
    </row>
    <row r="10709" spans="2:21" x14ac:dyDescent="0.2">
      <c r="B10709" s="207"/>
      <c r="C10709" s="210"/>
      <c r="D10709" s="211"/>
      <c r="E10709" s="211"/>
      <c r="U10709" s="222"/>
    </row>
    <row r="10710" spans="2:21" x14ac:dyDescent="0.2">
      <c r="B10710" s="207"/>
      <c r="C10710" s="210"/>
      <c r="D10710" s="211"/>
      <c r="E10710" s="211"/>
      <c r="U10710" s="222"/>
    </row>
    <row r="10711" spans="2:21" x14ac:dyDescent="0.2">
      <c r="B10711" s="207"/>
      <c r="C10711" s="210"/>
      <c r="D10711" s="211"/>
      <c r="E10711" s="211"/>
      <c r="U10711" s="222"/>
    </row>
    <row r="10712" spans="2:21" x14ac:dyDescent="0.2">
      <c r="B10712" s="207"/>
      <c r="C10712" s="210"/>
      <c r="D10712" s="211"/>
      <c r="E10712" s="211"/>
      <c r="U10712" s="222"/>
    </row>
    <row r="10713" spans="2:21" x14ac:dyDescent="0.2">
      <c r="B10713" s="207"/>
      <c r="C10713" s="210"/>
      <c r="D10713" s="211"/>
      <c r="E10713" s="211"/>
      <c r="U10713" s="222"/>
    </row>
    <row r="10714" spans="2:21" x14ac:dyDescent="0.2">
      <c r="B10714" s="207"/>
      <c r="C10714" s="210"/>
      <c r="D10714" s="211"/>
      <c r="E10714" s="211"/>
      <c r="U10714" s="222"/>
    </row>
    <row r="10715" spans="2:21" x14ac:dyDescent="0.2">
      <c r="B10715" s="207"/>
      <c r="C10715" s="210"/>
      <c r="D10715" s="211"/>
      <c r="E10715" s="211"/>
      <c r="U10715" s="222"/>
    </row>
    <row r="10716" spans="2:21" x14ac:dyDescent="0.2">
      <c r="B10716" s="207"/>
      <c r="C10716" s="210"/>
      <c r="D10716" s="211"/>
      <c r="E10716" s="211"/>
      <c r="U10716" s="222"/>
    </row>
    <row r="10717" spans="2:21" x14ac:dyDescent="0.2">
      <c r="B10717" s="207"/>
      <c r="C10717" s="210"/>
      <c r="D10717" s="211"/>
      <c r="E10717" s="211"/>
      <c r="U10717" s="222"/>
    </row>
    <row r="10718" spans="2:21" x14ac:dyDescent="0.2">
      <c r="B10718" s="207"/>
      <c r="C10718" s="210"/>
      <c r="D10718" s="211"/>
      <c r="E10718" s="211"/>
      <c r="U10718" s="222"/>
    </row>
    <row r="10719" spans="2:21" x14ac:dyDescent="0.2">
      <c r="B10719" s="207"/>
      <c r="C10719" s="210"/>
      <c r="D10719" s="211"/>
      <c r="E10719" s="211"/>
      <c r="U10719" s="222"/>
    </row>
    <row r="10720" spans="2:21" x14ac:dyDescent="0.2">
      <c r="B10720" s="207"/>
      <c r="C10720" s="210"/>
      <c r="D10720" s="211"/>
      <c r="E10720" s="211"/>
      <c r="U10720" s="222"/>
    </row>
    <row r="10721" spans="2:21" x14ac:dyDescent="0.2">
      <c r="B10721" s="207"/>
      <c r="C10721" s="210"/>
      <c r="D10721" s="211"/>
      <c r="E10721" s="211"/>
      <c r="U10721" s="222"/>
    </row>
    <row r="10722" spans="2:21" x14ac:dyDescent="0.2">
      <c r="B10722" s="207"/>
      <c r="C10722" s="210"/>
      <c r="D10722" s="211"/>
      <c r="E10722" s="211"/>
      <c r="U10722" s="222"/>
    </row>
    <row r="10723" spans="2:21" x14ac:dyDescent="0.2">
      <c r="B10723" s="207"/>
      <c r="C10723" s="210"/>
      <c r="D10723" s="211"/>
      <c r="E10723" s="211"/>
      <c r="U10723" s="222"/>
    </row>
    <row r="10724" spans="2:21" x14ac:dyDescent="0.2">
      <c r="B10724" s="207"/>
      <c r="C10724" s="210"/>
      <c r="D10724" s="211"/>
      <c r="E10724" s="211"/>
      <c r="U10724" s="222"/>
    </row>
    <row r="10725" spans="2:21" x14ac:dyDescent="0.2">
      <c r="B10725" s="207"/>
      <c r="C10725" s="210"/>
      <c r="D10725" s="211"/>
      <c r="E10725" s="211"/>
      <c r="U10725" s="222"/>
    </row>
    <row r="10726" spans="2:21" x14ac:dyDescent="0.2">
      <c r="B10726" s="207"/>
      <c r="C10726" s="210"/>
      <c r="D10726" s="211"/>
      <c r="E10726" s="211"/>
      <c r="U10726" s="222"/>
    </row>
    <row r="10727" spans="2:21" x14ac:dyDescent="0.2">
      <c r="B10727" s="207"/>
      <c r="C10727" s="210"/>
      <c r="D10727" s="211"/>
      <c r="E10727" s="211"/>
      <c r="U10727" s="222"/>
    </row>
    <row r="10728" spans="2:21" x14ac:dyDescent="0.2">
      <c r="B10728" s="207"/>
      <c r="C10728" s="210"/>
      <c r="D10728" s="211"/>
      <c r="E10728" s="211"/>
      <c r="U10728" s="222"/>
    </row>
    <row r="10729" spans="2:21" x14ac:dyDescent="0.2">
      <c r="B10729" s="207"/>
      <c r="C10729" s="210"/>
      <c r="D10729" s="211"/>
      <c r="E10729" s="211"/>
      <c r="U10729" s="222"/>
    </row>
    <row r="10730" spans="2:21" x14ac:dyDescent="0.2">
      <c r="B10730" s="207"/>
      <c r="C10730" s="210"/>
      <c r="D10730" s="211"/>
      <c r="E10730" s="211"/>
      <c r="U10730" s="222"/>
    </row>
    <row r="10731" spans="2:21" x14ac:dyDescent="0.2">
      <c r="B10731" s="207"/>
      <c r="C10731" s="210"/>
      <c r="D10731" s="211"/>
      <c r="E10731" s="211"/>
      <c r="U10731" s="222"/>
    </row>
    <row r="10732" spans="2:21" x14ac:dyDescent="0.2">
      <c r="B10732" s="207"/>
      <c r="C10732" s="210"/>
      <c r="D10732" s="211"/>
      <c r="E10732" s="211"/>
      <c r="U10732" s="222"/>
    </row>
    <row r="10733" spans="2:21" x14ac:dyDescent="0.2">
      <c r="B10733" s="207"/>
      <c r="C10733" s="210"/>
      <c r="D10733" s="211"/>
      <c r="E10733" s="211"/>
      <c r="U10733" s="222"/>
    </row>
    <row r="10734" spans="2:21" x14ac:dyDescent="0.2">
      <c r="B10734" s="207"/>
      <c r="C10734" s="210"/>
      <c r="D10734" s="211"/>
      <c r="E10734" s="211"/>
      <c r="U10734" s="222"/>
    </row>
    <row r="10735" spans="2:21" x14ac:dyDescent="0.2">
      <c r="B10735" s="207"/>
      <c r="C10735" s="210"/>
      <c r="D10735" s="211"/>
      <c r="E10735" s="211"/>
      <c r="U10735" s="222"/>
    </row>
    <row r="10736" spans="2:21" x14ac:dyDescent="0.2">
      <c r="B10736" s="207"/>
      <c r="C10736" s="210"/>
      <c r="D10736" s="211"/>
      <c r="E10736" s="211"/>
      <c r="U10736" s="222"/>
    </row>
    <row r="10737" spans="2:21" x14ac:dyDescent="0.2">
      <c r="B10737" s="207"/>
      <c r="C10737" s="210"/>
      <c r="D10737" s="211"/>
      <c r="E10737" s="211"/>
      <c r="U10737" s="222"/>
    </row>
    <row r="10738" spans="2:21" x14ac:dyDescent="0.2">
      <c r="B10738" s="207"/>
      <c r="C10738" s="210"/>
      <c r="D10738" s="211"/>
      <c r="E10738" s="211"/>
      <c r="U10738" s="222"/>
    </row>
    <row r="10739" spans="2:21" x14ac:dyDescent="0.2">
      <c r="B10739" s="207"/>
      <c r="C10739" s="210"/>
      <c r="D10739" s="211"/>
      <c r="E10739" s="211"/>
      <c r="U10739" s="222"/>
    </row>
    <row r="10740" spans="2:21" x14ac:dyDescent="0.2">
      <c r="B10740" s="207"/>
      <c r="C10740" s="210"/>
      <c r="D10740" s="211"/>
      <c r="E10740" s="211"/>
      <c r="U10740" s="222"/>
    </row>
    <row r="10741" spans="2:21" x14ac:dyDescent="0.2">
      <c r="B10741" s="207"/>
      <c r="C10741" s="210"/>
      <c r="D10741" s="211"/>
      <c r="E10741" s="211"/>
      <c r="U10741" s="222"/>
    </row>
    <row r="10742" spans="2:21" x14ac:dyDescent="0.2">
      <c r="B10742" s="207"/>
      <c r="C10742" s="210"/>
      <c r="D10742" s="211"/>
      <c r="E10742" s="211"/>
      <c r="U10742" s="222"/>
    </row>
    <row r="10743" spans="2:21" x14ac:dyDescent="0.2">
      <c r="B10743" s="207"/>
      <c r="C10743" s="210"/>
      <c r="D10743" s="211"/>
      <c r="E10743" s="211"/>
      <c r="U10743" s="222"/>
    </row>
    <row r="10744" spans="2:21" x14ac:dyDescent="0.2">
      <c r="B10744" s="207"/>
      <c r="C10744" s="210"/>
      <c r="D10744" s="211"/>
      <c r="E10744" s="211"/>
      <c r="U10744" s="222"/>
    </row>
    <row r="10745" spans="2:21" x14ac:dyDescent="0.2">
      <c r="B10745" s="207"/>
      <c r="C10745" s="210"/>
      <c r="D10745" s="211"/>
      <c r="E10745" s="211"/>
      <c r="U10745" s="222"/>
    </row>
    <row r="10746" spans="2:21" x14ac:dyDescent="0.2">
      <c r="B10746" s="207"/>
      <c r="C10746" s="210"/>
      <c r="D10746" s="211"/>
      <c r="E10746" s="211"/>
      <c r="U10746" s="222"/>
    </row>
    <row r="10747" spans="2:21" x14ac:dyDescent="0.2">
      <c r="B10747" s="207"/>
      <c r="C10747" s="210"/>
      <c r="D10747" s="211"/>
      <c r="E10747" s="211"/>
      <c r="U10747" s="222"/>
    </row>
    <row r="10748" spans="2:21" x14ac:dyDescent="0.2">
      <c r="B10748" s="207"/>
      <c r="C10748" s="210"/>
      <c r="D10748" s="211"/>
      <c r="E10748" s="211"/>
      <c r="U10748" s="222"/>
    </row>
    <row r="10749" spans="2:21" x14ac:dyDescent="0.2">
      <c r="B10749" s="207"/>
      <c r="C10749" s="210"/>
      <c r="D10749" s="211"/>
      <c r="E10749" s="211"/>
      <c r="U10749" s="222"/>
    </row>
    <row r="10750" spans="2:21" x14ac:dyDescent="0.2">
      <c r="B10750" s="207"/>
      <c r="C10750" s="210"/>
      <c r="D10750" s="211"/>
      <c r="E10750" s="211"/>
      <c r="U10750" s="222"/>
    </row>
    <row r="10751" spans="2:21" x14ac:dyDescent="0.2">
      <c r="B10751" s="207"/>
      <c r="C10751" s="210"/>
      <c r="D10751" s="211"/>
      <c r="E10751" s="211"/>
      <c r="U10751" s="222"/>
    </row>
    <row r="10752" spans="2:21" x14ac:dyDescent="0.2">
      <c r="B10752" s="207"/>
      <c r="C10752" s="210"/>
      <c r="D10752" s="211"/>
      <c r="E10752" s="211"/>
      <c r="U10752" s="222"/>
    </row>
    <row r="10753" spans="2:21" x14ac:dyDescent="0.2">
      <c r="B10753" s="207"/>
      <c r="C10753" s="210"/>
      <c r="D10753" s="211"/>
      <c r="E10753" s="211"/>
      <c r="U10753" s="222"/>
    </row>
    <row r="10754" spans="2:21" x14ac:dyDescent="0.2">
      <c r="B10754" s="207"/>
      <c r="C10754" s="210"/>
      <c r="D10754" s="211"/>
      <c r="E10754" s="211"/>
      <c r="U10754" s="222"/>
    </row>
    <row r="10755" spans="2:21" x14ac:dyDescent="0.2">
      <c r="B10755" s="207"/>
      <c r="C10755" s="210"/>
      <c r="D10755" s="211"/>
      <c r="E10755" s="211"/>
      <c r="U10755" s="222"/>
    </row>
    <row r="10756" spans="2:21" x14ac:dyDescent="0.2">
      <c r="B10756" s="207"/>
      <c r="C10756" s="210"/>
      <c r="D10756" s="211"/>
      <c r="E10756" s="211"/>
      <c r="U10756" s="222"/>
    </row>
    <row r="10757" spans="2:21" x14ac:dyDescent="0.2">
      <c r="B10757" s="207"/>
      <c r="C10757" s="210"/>
      <c r="D10757" s="211"/>
      <c r="E10757" s="211"/>
      <c r="U10757" s="222"/>
    </row>
    <row r="10758" spans="2:21" x14ac:dyDescent="0.2">
      <c r="B10758" s="207"/>
      <c r="C10758" s="210"/>
      <c r="D10758" s="211"/>
      <c r="E10758" s="211"/>
      <c r="U10758" s="222"/>
    </row>
    <row r="10759" spans="2:21" x14ac:dyDescent="0.2">
      <c r="B10759" s="207"/>
      <c r="C10759" s="210"/>
      <c r="D10759" s="211"/>
      <c r="E10759" s="211"/>
      <c r="U10759" s="222"/>
    </row>
    <row r="10760" spans="2:21" x14ac:dyDescent="0.2">
      <c r="B10760" s="207"/>
      <c r="C10760" s="210"/>
      <c r="D10760" s="211"/>
      <c r="E10760" s="211"/>
      <c r="U10760" s="222"/>
    </row>
    <row r="10761" spans="2:21" x14ac:dyDescent="0.2">
      <c r="B10761" s="207"/>
      <c r="C10761" s="210"/>
      <c r="D10761" s="211"/>
      <c r="E10761" s="211"/>
      <c r="U10761" s="222"/>
    </row>
    <row r="10762" spans="2:21" x14ac:dyDescent="0.2">
      <c r="B10762" s="207"/>
      <c r="C10762" s="210"/>
      <c r="D10762" s="211"/>
      <c r="E10762" s="211"/>
      <c r="U10762" s="222"/>
    </row>
    <row r="10763" spans="2:21" x14ac:dyDescent="0.2">
      <c r="B10763" s="207"/>
      <c r="C10763" s="210"/>
      <c r="D10763" s="211"/>
      <c r="E10763" s="211"/>
      <c r="U10763" s="222"/>
    </row>
    <row r="10764" spans="2:21" x14ac:dyDescent="0.2">
      <c r="B10764" s="207"/>
      <c r="C10764" s="210"/>
      <c r="D10764" s="211"/>
      <c r="E10764" s="211"/>
      <c r="U10764" s="222"/>
    </row>
    <row r="10765" spans="2:21" x14ac:dyDescent="0.2">
      <c r="B10765" s="207"/>
      <c r="C10765" s="210"/>
      <c r="D10765" s="211"/>
      <c r="E10765" s="211"/>
      <c r="U10765" s="222"/>
    </row>
    <row r="10766" spans="2:21" x14ac:dyDescent="0.2">
      <c r="B10766" s="207"/>
      <c r="C10766" s="210"/>
      <c r="D10766" s="211"/>
      <c r="E10766" s="211"/>
      <c r="U10766" s="222"/>
    </row>
    <row r="10767" spans="2:21" x14ac:dyDescent="0.2">
      <c r="B10767" s="207"/>
      <c r="C10767" s="210"/>
      <c r="D10767" s="211"/>
      <c r="E10767" s="211"/>
      <c r="U10767" s="222"/>
    </row>
    <row r="10768" spans="2:21" x14ac:dyDescent="0.2">
      <c r="B10768" s="207"/>
      <c r="C10768" s="210"/>
      <c r="D10768" s="211"/>
      <c r="E10768" s="211"/>
      <c r="U10768" s="222"/>
    </row>
    <row r="10769" spans="2:21" x14ac:dyDescent="0.2">
      <c r="B10769" s="207"/>
      <c r="C10769" s="210"/>
      <c r="D10769" s="211"/>
      <c r="E10769" s="211"/>
      <c r="U10769" s="222"/>
    </row>
    <row r="10770" spans="2:21" x14ac:dyDescent="0.2">
      <c r="B10770" s="207"/>
      <c r="C10770" s="210"/>
      <c r="D10770" s="211"/>
      <c r="E10770" s="211"/>
      <c r="U10770" s="222"/>
    </row>
    <row r="10771" spans="2:21" x14ac:dyDescent="0.2">
      <c r="B10771" s="207"/>
      <c r="C10771" s="210"/>
      <c r="D10771" s="211"/>
      <c r="E10771" s="211"/>
      <c r="U10771" s="222"/>
    </row>
    <row r="10772" spans="2:21" x14ac:dyDescent="0.2">
      <c r="B10772" s="207"/>
      <c r="C10772" s="210"/>
      <c r="D10772" s="211"/>
      <c r="E10772" s="211"/>
      <c r="U10772" s="222"/>
    </row>
    <row r="10773" spans="2:21" x14ac:dyDescent="0.2">
      <c r="B10773" s="207"/>
      <c r="C10773" s="210"/>
      <c r="D10773" s="211"/>
      <c r="E10773" s="211"/>
      <c r="U10773" s="222"/>
    </row>
    <row r="10774" spans="2:21" x14ac:dyDescent="0.2">
      <c r="B10774" s="207"/>
      <c r="C10774" s="210"/>
      <c r="D10774" s="211"/>
      <c r="E10774" s="211"/>
      <c r="U10774" s="222"/>
    </row>
    <row r="10775" spans="2:21" x14ac:dyDescent="0.2">
      <c r="B10775" s="207"/>
      <c r="C10775" s="210"/>
      <c r="D10775" s="211"/>
      <c r="E10775" s="211"/>
      <c r="U10775" s="222"/>
    </row>
    <row r="10776" spans="2:21" x14ac:dyDescent="0.2">
      <c r="B10776" s="207"/>
      <c r="C10776" s="210"/>
      <c r="D10776" s="211"/>
      <c r="E10776" s="211"/>
      <c r="U10776" s="222"/>
    </row>
    <row r="10777" spans="2:21" x14ac:dyDescent="0.2">
      <c r="B10777" s="207"/>
      <c r="C10777" s="210"/>
      <c r="D10777" s="211"/>
      <c r="E10777" s="211"/>
      <c r="U10777" s="222"/>
    </row>
    <row r="10778" spans="2:21" x14ac:dyDescent="0.2">
      <c r="B10778" s="207"/>
      <c r="C10778" s="210"/>
      <c r="D10778" s="211"/>
      <c r="E10778" s="211"/>
      <c r="U10778" s="222"/>
    </row>
    <row r="10779" spans="2:21" x14ac:dyDescent="0.2">
      <c r="B10779" s="207"/>
      <c r="C10779" s="210"/>
      <c r="D10779" s="211"/>
      <c r="E10779" s="211"/>
      <c r="U10779" s="222"/>
    </row>
    <row r="10780" spans="2:21" x14ac:dyDescent="0.2">
      <c r="B10780" s="207"/>
      <c r="C10780" s="210"/>
      <c r="D10780" s="211"/>
      <c r="E10780" s="211"/>
      <c r="U10780" s="222"/>
    </row>
    <row r="10781" spans="2:21" x14ac:dyDescent="0.2">
      <c r="B10781" s="207"/>
      <c r="C10781" s="210"/>
      <c r="D10781" s="211"/>
      <c r="E10781" s="211"/>
      <c r="U10781" s="222"/>
    </row>
    <row r="10782" spans="2:21" x14ac:dyDescent="0.2">
      <c r="B10782" s="207"/>
      <c r="C10782" s="210"/>
      <c r="D10782" s="211"/>
      <c r="E10782" s="211"/>
      <c r="U10782" s="222"/>
    </row>
    <row r="10783" spans="2:21" x14ac:dyDescent="0.2">
      <c r="B10783" s="207"/>
      <c r="C10783" s="210"/>
      <c r="D10783" s="211"/>
      <c r="E10783" s="211"/>
      <c r="U10783" s="222"/>
    </row>
    <row r="10784" spans="2:21" x14ac:dyDescent="0.2">
      <c r="B10784" s="207"/>
      <c r="C10784" s="210"/>
      <c r="D10784" s="211"/>
      <c r="E10784" s="211"/>
      <c r="U10784" s="222"/>
    </row>
    <row r="10785" spans="2:21" x14ac:dyDescent="0.2">
      <c r="B10785" s="207"/>
      <c r="C10785" s="210"/>
      <c r="D10785" s="211"/>
      <c r="E10785" s="211"/>
      <c r="U10785" s="222"/>
    </row>
    <row r="10786" spans="2:21" x14ac:dyDescent="0.2">
      <c r="B10786" s="207"/>
      <c r="C10786" s="210"/>
      <c r="D10786" s="211"/>
      <c r="E10786" s="211"/>
      <c r="U10786" s="222"/>
    </row>
    <row r="10787" spans="2:21" x14ac:dyDescent="0.2">
      <c r="B10787" s="207"/>
      <c r="C10787" s="210"/>
      <c r="D10787" s="211"/>
      <c r="E10787" s="211"/>
      <c r="U10787" s="222"/>
    </row>
    <row r="10788" spans="2:21" x14ac:dyDescent="0.2">
      <c r="B10788" s="207"/>
      <c r="C10788" s="210"/>
      <c r="D10788" s="211"/>
      <c r="E10788" s="211"/>
      <c r="U10788" s="222"/>
    </row>
    <row r="10789" spans="2:21" x14ac:dyDescent="0.2">
      <c r="B10789" s="207"/>
      <c r="C10789" s="210"/>
      <c r="D10789" s="211"/>
      <c r="E10789" s="211"/>
      <c r="U10789" s="222"/>
    </row>
    <row r="10790" spans="2:21" x14ac:dyDescent="0.2">
      <c r="B10790" s="207"/>
      <c r="C10790" s="210"/>
      <c r="D10790" s="211"/>
      <c r="E10790" s="211"/>
      <c r="U10790" s="222"/>
    </row>
    <row r="10791" spans="2:21" x14ac:dyDescent="0.2">
      <c r="B10791" s="207"/>
      <c r="C10791" s="210"/>
      <c r="D10791" s="211"/>
      <c r="E10791" s="211"/>
      <c r="U10791" s="222"/>
    </row>
    <row r="10792" spans="2:21" x14ac:dyDescent="0.2">
      <c r="B10792" s="207"/>
      <c r="C10792" s="210"/>
      <c r="D10792" s="211"/>
      <c r="E10792" s="211"/>
      <c r="U10792" s="222"/>
    </row>
    <row r="10793" spans="2:21" x14ac:dyDescent="0.2">
      <c r="B10793" s="207"/>
      <c r="C10793" s="210"/>
      <c r="D10793" s="211"/>
      <c r="E10793" s="211"/>
      <c r="U10793" s="222"/>
    </row>
    <row r="10794" spans="2:21" x14ac:dyDescent="0.2">
      <c r="B10794" s="207"/>
      <c r="C10794" s="210"/>
      <c r="D10794" s="211"/>
      <c r="E10794" s="211"/>
      <c r="U10794" s="222"/>
    </row>
    <row r="10795" spans="2:21" x14ac:dyDescent="0.2">
      <c r="B10795" s="207"/>
      <c r="C10795" s="210"/>
      <c r="D10795" s="211"/>
      <c r="E10795" s="211"/>
      <c r="U10795" s="222"/>
    </row>
    <row r="10796" spans="2:21" x14ac:dyDescent="0.2">
      <c r="B10796" s="207"/>
      <c r="C10796" s="210"/>
      <c r="D10796" s="211"/>
      <c r="E10796" s="211"/>
      <c r="U10796" s="222"/>
    </row>
    <row r="10797" spans="2:21" x14ac:dyDescent="0.2">
      <c r="B10797" s="207"/>
      <c r="C10797" s="210"/>
      <c r="D10797" s="211"/>
      <c r="E10797" s="211"/>
      <c r="U10797" s="222"/>
    </row>
    <row r="10798" spans="2:21" x14ac:dyDescent="0.2">
      <c r="B10798" s="207"/>
      <c r="C10798" s="210"/>
      <c r="D10798" s="211"/>
      <c r="E10798" s="211"/>
      <c r="U10798" s="222"/>
    </row>
    <row r="10799" spans="2:21" x14ac:dyDescent="0.2">
      <c r="B10799" s="207"/>
      <c r="C10799" s="210"/>
      <c r="D10799" s="211"/>
      <c r="E10799" s="211"/>
      <c r="U10799" s="222"/>
    </row>
    <row r="10800" spans="2:21" x14ac:dyDescent="0.2">
      <c r="B10800" s="207"/>
      <c r="C10800" s="210"/>
      <c r="D10800" s="211"/>
      <c r="E10800" s="211"/>
      <c r="U10800" s="222"/>
    </row>
    <row r="10801" spans="2:21" x14ac:dyDescent="0.2">
      <c r="B10801" s="207"/>
      <c r="C10801" s="210"/>
      <c r="D10801" s="211"/>
      <c r="E10801" s="211"/>
      <c r="U10801" s="222"/>
    </row>
    <row r="10802" spans="2:21" x14ac:dyDescent="0.2">
      <c r="B10802" s="207"/>
      <c r="C10802" s="210"/>
      <c r="D10802" s="211"/>
      <c r="E10802" s="211"/>
      <c r="U10802" s="222"/>
    </row>
    <row r="10803" spans="2:21" x14ac:dyDescent="0.2">
      <c r="B10803" s="207"/>
      <c r="C10803" s="210"/>
      <c r="D10803" s="211"/>
      <c r="E10803" s="211"/>
      <c r="U10803" s="222"/>
    </row>
    <row r="10804" spans="2:21" x14ac:dyDescent="0.2">
      <c r="B10804" s="207"/>
      <c r="C10804" s="210"/>
      <c r="D10804" s="211"/>
      <c r="E10804" s="211"/>
      <c r="U10804" s="222"/>
    </row>
    <row r="10805" spans="2:21" x14ac:dyDescent="0.2">
      <c r="B10805" s="207"/>
      <c r="C10805" s="210"/>
      <c r="D10805" s="211"/>
      <c r="E10805" s="211"/>
      <c r="U10805" s="222"/>
    </row>
    <row r="10806" spans="2:21" x14ac:dyDescent="0.2">
      <c r="B10806" s="207"/>
      <c r="C10806" s="210"/>
      <c r="D10806" s="211"/>
      <c r="E10806" s="211"/>
      <c r="U10806" s="222"/>
    </row>
    <row r="10807" spans="2:21" x14ac:dyDescent="0.2">
      <c r="B10807" s="207"/>
      <c r="C10807" s="210"/>
      <c r="D10807" s="211"/>
      <c r="E10807" s="211"/>
      <c r="U10807" s="222"/>
    </row>
    <row r="10808" spans="2:21" x14ac:dyDescent="0.2">
      <c r="B10808" s="207"/>
      <c r="C10808" s="210"/>
      <c r="D10808" s="211"/>
      <c r="E10808" s="211"/>
      <c r="U10808" s="222"/>
    </row>
    <row r="10809" spans="2:21" x14ac:dyDescent="0.2">
      <c r="B10809" s="207"/>
      <c r="C10809" s="210"/>
      <c r="D10809" s="211"/>
      <c r="E10809" s="211"/>
      <c r="U10809" s="222"/>
    </row>
    <row r="10810" spans="2:21" x14ac:dyDescent="0.2">
      <c r="B10810" s="207"/>
      <c r="C10810" s="210"/>
      <c r="D10810" s="211"/>
      <c r="E10810" s="211"/>
      <c r="U10810" s="222"/>
    </row>
    <row r="10811" spans="2:21" x14ac:dyDescent="0.2">
      <c r="B10811" s="207"/>
      <c r="C10811" s="210"/>
      <c r="D10811" s="211"/>
      <c r="E10811" s="211"/>
      <c r="U10811" s="222"/>
    </row>
    <row r="10812" spans="2:21" x14ac:dyDescent="0.2">
      <c r="B10812" s="207"/>
      <c r="C10812" s="210"/>
      <c r="D10812" s="211"/>
      <c r="E10812" s="211"/>
      <c r="U10812" s="222"/>
    </row>
    <row r="10813" spans="2:21" x14ac:dyDescent="0.2">
      <c r="B10813" s="207"/>
      <c r="C10813" s="210"/>
      <c r="D10813" s="211"/>
      <c r="E10813" s="211"/>
      <c r="U10813" s="222"/>
    </row>
    <row r="10814" spans="2:21" x14ac:dyDescent="0.2">
      <c r="B10814" s="207"/>
      <c r="C10814" s="210"/>
      <c r="D10814" s="211"/>
      <c r="E10814" s="211"/>
      <c r="U10814" s="222"/>
    </row>
    <row r="10815" spans="2:21" x14ac:dyDescent="0.2">
      <c r="B10815" s="207"/>
      <c r="C10815" s="210"/>
      <c r="D10815" s="211"/>
      <c r="E10815" s="211"/>
      <c r="U10815" s="222"/>
    </row>
    <row r="10816" spans="2:21" x14ac:dyDescent="0.2">
      <c r="B10816" s="207"/>
      <c r="C10816" s="210"/>
      <c r="D10816" s="211"/>
      <c r="E10816" s="211"/>
      <c r="U10816" s="222"/>
    </row>
    <row r="10817" spans="2:21" x14ac:dyDescent="0.2">
      <c r="B10817" s="207"/>
      <c r="C10817" s="210"/>
      <c r="D10817" s="211"/>
      <c r="E10817" s="211"/>
      <c r="U10817" s="222"/>
    </row>
    <row r="10818" spans="2:21" x14ac:dyDescent="0.2">
      <c r="B10818" s="207"/>
      <c r="C10818" s="210"/>
      <c r="D10818" s="211"/>
      <c r="E10818" s="211"/>
      <c r="U10818" s="222"/>
    </row>
    <row r="10819" spans="2:21" x14ac:dyDescent="0.2">
      <c r="B10819" s="207"/>
      <c r="C10819" s="210"/>
      <c r="D10819" s="211"/>
      <c r="E10819" s="211"/>
      <c r="U10819" s="222"/>
    </row>
    <row r="10820" spans="2:21" x14ac:dyDescent="0.2">
      <c r="B10820" s="207"/>
      <c r="C10820" s="210"/>
      <c r="D10820" s="211"/>
      <c r="E10820" s="211"/>
      <c r="U10820" s="222"/>
    </row>
    <row r="10821" spans="2:21" x14ac:dyDescent="0.2">
      <c r="B10821" s="207"/>
      <c r="C10821" s="210"/>
      <c r="D10821" s="211"/>
      <c r="E10821" s="211"/>
      <c r="U10821" s="222"/>
    </row>
    <row r="10822" spans="2:21" x14ac:dyDescent="0.2">
      <c r="B10822" s="207"/>
      <c r="C10822" s="210"/>
      <c r="D10822" s="211"/>
      <c r="E10822" s="211"/>
      <c r="U10822" s="222"/>
    </row>
    <row r="10823" spans="2:21" x14ac:dyDescent="0.2">
      <c r="B10823" s="207"/>
      <c r="C10823" s="210"/>
      <c r="D10823" s="211"/>
      <c r="E10823" s="211"/>
      <c r="U10823" s="222"/>
    </row>
    <row r="10824" spans="2:21" x14ac:dyDescent="0.2">
      <c r="B10824" s="207"/>
      <c r="C10824" s="210"/>
      <c r="D10824" s="211"/>
      <c r="E10824" s="211"/>
      <c r="U10824" s="222"/>
    </row>
    <row r="10825" spans="2:21" x14ac:dyDescent="0.2">
      <c r="B10825" s="207"/>
      <c r="C10825" s="210"/>
      <c r="D10825" s="211"/>
      <c r="E10825" s="211"/>
      <c r="U10825" s="222"/>
    </row>
    <row r="10826" spans="2:21" x14ac:dyDescent="0.2">
      <c r="B10826" s="207"/>
      <c r="C10826" s="210"/>
      <c r="D10826" s="211"/>
      <c r="E10826" s="211"/>
      <c r="U10826" s="222"/>
    </row>
    <row r="10827" spans="2:21" x14ac:dyDescent="0.2">
      <c r="B10827" s="207"/>
      <c r="C10827" s="210"/>
      <c r="D10827" s="211"/>
      <c r="E10827" s="211"/>
      <c r="U10827" s="222"/>
    </row>
    <row r="10828" spans="2:21" x14ac:dyDescent="0.2">
      <c r="B10828" s="207"/>
      <c r="C10828" s="210"/>
      <c r="D10828" s="211"/>
      <c r="E10828" s="211"/>
      <c r="U10828" s="222"/>
    </row>
    <row r="10829" spans="2:21" x14ac:dyDescent="0.2">
      <c r="B10829" s="207"/>
      <c r="C10829" s="210"/>
      <c r="D10829" s="211"/>
      <c r="E10829" s="211"/>
      <c r="U10829" s="222"/>
    </row>
    <row r="10830" spans="2:21" x14ac:dyDescent="0.2">
      <c r="B10830" s="207"/>
      <c r="C10830" s="210"/>
      <c r="D10830" s="211"/>
      <c r="E10830" s="211"/>
      <c r="U10830" s="222"/>
    </row>
    <row r="10831" spans="2:21" x14ac:dyDescent="0.2">
      <c r="B10831" s="207"/>
      <c r="C10831" s="210"/>
      <c r="D10831" s="211"/>
      <c r="E10831" s="211"/>
      <c r="U10831" s="222"/>
    </row>
    <row r="10832" spans="2:21" x14ac:dyDescent="0.2">
      <c r="B10832" s="207"/>
      <c r="C10832" s="210"/>
      <c r="D10832" s="211"/>
      <c r="E10832" s="211"/>
      <c r="U10832" s="222"/>
    </row>
    <row r="10833" spans="2:21" x14ac:dyDescent="0.2">
      <c r="B10833" s="207"/>
      <c r="C10833" s="210"/>
      <c r="D10833" s="211"/>
      <c r="E10833" s="211"/>
      <c r="U10833" s="222"/>
    </row>
    <row r="10834" spans="2:21" x14ac:dyDescent="0.2">
      <c r="B10834" s="207"/>
      <c r="C10834" s="210"/>
      <c r="D10834" s="211"/>
      <c r="E10834" s="211"/>
      <c r="U10834" s="222"/>
    </row>
    <row r="10835" spans="2:21" x14ac:dyDescent="0.2">
      <c r="B10835" s="207"/>
      <c r="C10835" s="210"/>
      <c r="D10835" s="211"/>
      <c r="E10835" s="211"/>
      <c r="U10835" s="222"/>
    </row>
    <row r="10836" spans="2:21" x14ac:dyDescent="0.2">
      <c r="B10836" s="207"/>
      <c r="C10836" s="210"/>
      <c r="D10836" s="211"/>
      <c r="E10836" s="211"/>
      <c r="U10836" s="222"/>
    </row>
    <row r="10837" spans="2:21" x14ac:dyDescent="0.2">
      <c r="B10837" s="207"/>
      <c r="C10837" s="210"/>
      <c r="D10837" s="211"/>
      <c r="E10837" s="211"/>
      <c r="U10837" s="222"/>
    </row>
    <row r="10838" spans="2:21" x14ac:dyDescent="0.2">
      <c r="B10838" s="207"/>
      <c r="C10838" s="210"/>
      <c r="D10838" s="211"/>
      <c r="E10838" s="211"/>
      <c r="U10838" s="222"/>
    </row>
    <row r="10839" spans="2:21" x14ac:dyDescent="0.2">
      <c r="B10839" s="207"/>
      <c r="C10839" s="210"/>
      <c r="D10839" s="211"/>
      <c r="E10839" s="211"/>
      <c r="U10839" s="222"/>
    </row>
    <row r="10840" spans="2:21" x14ac:dyDescent="0.2">
      <c r="B10840" s="207"/>
      <c r="C10840" s="210"/>
      <c r="D10840" s="211"/>
      <c r="E10840" s="211"/>
      <c r="U10840" s="222"/>
    </row>
    <row r="10841" spans="2:21" x14ac:dyDescent="0.2">
      <c r="B10841" s="207"/>
      <c r="C10841" s="210"/>
      <c r="D10841" s="211"/>
      <c r="E10841" s="211"/>
      <c r="U10841" s="222"/>
    </row>
    <row r="10842" spans="2:21" x14ac:dyDescent="0.2">
      <c r="B10842" s="207"/>
      <c r="C10842" s="210"/>
      <c r="D10842" s="211"/>
      <c r="E10842" s="211"/>
      <c r="U10842" s="222"/>
    </row>
    <row r="10843" spans="2:21" x14ac:dyDescent="0.2">
      <c r="B10843" s="207"/>
      <c r="C10843" s="210"/>
      <c r="D10843" s="211"/>
      <c r="E10843" s="211"/>
      <c r="U10843" s="222"/>
    </row>
    <row r="10844" spans="2:21" x14ac:dyDescent="0.2">
      <c r="B10844" s="207"/>
      <c r="C10844" s="210"/>
      <c r="D10844" s="211"/>
      <c r="E10844" s="211"/>
      <c r="U10844" s="222"/>
    </row>
    <row r="10845" spans="2:21" x14ac:dyDescent="0.2">
      <c r="B10845" s="207"/>
      <c r="C10845" s="210"/>
      <c r="D10845" s="211"/>
      <c r="E10845" s="211"/>
      <c r="U10845" s="222"/>
    </row>
    <row r="10846" spans="2:21" x14ac:dyDescent="0.2">
      <c r="B10846" s="207"/>
      <c r="C10846" s="210"/>
      <c r="D10846" s="211"/>
      <c r="E10846" s="211"/>
      <c r="U10846" s="222"/>
    </row>
    <row r="10847" spans="2:21" x14ac:dyDescent="0.2">
      <c r="B10847" s="207"/>
      <c r="C10847" s="210"/>
      <c r="D10847" s="211"/>
      <c r="E10847" s="211"/>
      <c r="U10847" s="222"/>
    </row>
    <row r="10848" spans="2:21" x14ac:dyDescent="0.2">
      <c r="B10848" s="207"/>
      <c r="C10848" s="210"/>
      <c r="D10848" s="211"/>
      <c r="E10848" s="211"/>
      <c r="U10848" s="222"/>
    </row>
    <row r="10849" spans="2:21" x14ac:dyDescent="0.2">
      <c r="B10849" s="207"/>
      <c r="C10849" s="210"/>
      <c r="D10849" s="211"/>
      <c r="E10849" s="211"/>
      <c r="U10849" s="222"/>
    </row>
    <row r="10850" spans="2:21" x14ac:dyDescent="0.2">
      <c r="B10850" s="207"/>
      <c r="C10850" s="210"/>
      <c r="D10850" s="211"/>
      <c r="E10850" s="211"/>
      <c r="U10850" s="222"/>
    </row>
    <row r="10851" spans="2:21" x14ac:dyDescent="0.2">
      <c r="B10851" s="207"/>
      <c r="C10851" s="210"/>
      <c r="D10851" s="211"/>
      <c r="E10851" s="211"/>
      <c r="U10851" s="222"/>
    </row>
    <row r="10852" spans="2:21" x14ac:dyDescent="0.2">
      <c r="B10852" s="207"/>
      <c r="C10852" s="210"/>
      <c r="D10852" s="211"/>
      <c r="E10852" s="211"/>
      <c r="U10852" s="222"/>
    </row>
    <row r="10853" spans="2:21" x14ac:dyDescent="0.2">
      <c r="B10853" s="207"/>
      <c r="C10853" s="210"/>
      <c r="D10853" s="211"/>
      <c r="E10853" s="211"/>
      <c r="U10853" s="222"/>
    </row>
    <row r="10854" spans="2:21" x14ac:dyDescent="0.2">
      <c r="B10854" s="207"/>
      <c r="C10854" s="210"/>
      <c r="D10854" s="211"/>
      <c r="E10854" s="211"/>
      <c r="U10854" s="222"/>
    </row>
    <row r="10855" spans="2:21" x14ac:dyDescent="0.2">
      <c r="B10855" s="207"/>
      <c r="C10855" s="210"/>
      <c r="D10855" s="211"/>
      <c r="E10855" s="211"/>
      <c r="U10855" s="222"/>
    </row>
    <row r="10856" spans="2:21" x14ac:dyDescent="0.2">
      <c r="B10856" s="207"/>
      <c r="C10856" s="210"/>
      <c r="D10856" s="211"/>
      <c r="E10856" s="211"/>
      <c r="U10856" s="222"/>
    </row>
    <row r="10857" spans="2:21" x14ac:dyDescent="0.2">
      <c r="B10857" s="207"/>
      <c r="C10857" s="210"/>
      <c r="D10857" s="211"/>
      <c r="E10857" s="211"/>
      <c r="U10857" s="222"/>
    </row>
    <row r="10858" spans="2:21" x14ac:dyDescent="0.2">
      <c r="B10858" s="207"/>
      <c r="C10858" s="210"/>
      <c r="D10858" s="211"/>
      <c r="E10858" s="211"/>
      <c r="U10858" s="222"/>
    </row>
    <row r="10859" spans="2:21" x14ac:dyDescent="0.2">
      <c r="B10859" s="207"/>
      <c r="C10859" s="210"/>
      <c r="D10859" s="211"/>
      <c r="E10859" s="211"/>
      <c r="U10859" s="222"/>
    </row>
    <row r="10860" spans="2:21" x14ac:dyDescent="0.2">
      <c r="B10860" s="207"/>
      <c r="C10860" s="210"/>
      <c r="D10860" s="211"/>
      <c r="E10860" s="211"/>
      <c r="U10860" s="222"/>
    </row>
    <row r="10861" spans="2:21" x14ac:dyDescent="0.2">
      <c r="B10861" s="207"/>
      <c r="C10861" s="210"/>
      <c r="D10861" s="211"/>
      <c r="E10861" s="211"/>
      <c r="U10861" s="222"/>
    </row>
    <row r="10862" spans="2:21" x14ac:dyDescent="0.2">
      <c r="B10862" s="207"/>
      <c r="C10862" s="210"/>
      <c r="D10862" s="211"/>
      <c r="E10862" s="211"/>
      <c r="U10862" s="222"/>
    </row>
    <row r="10863" spans="2:21" x14ac:dyDescent="0.2">
      <c r="B10863" s="207"/>
      <c r="C10863" s="210"/>
      <c r="D10863" s="211"/>
      <c r="E10863" s="211"/>
      <c r="U10863" s="222"/>
    </row>
    <row r="10864" spans="2:21" x14ac:dyDescent="0.2">
      <c r="B10864" s="207"/>
      <c r="C10864" s="210"/>
      <c r="D10864" s="211"/>
      <c r="E10864" s="211"/>
      <c r="U10864" s="222"/>
    </row>
    <row r="10865" spans="2:21" x14ac:dyDescent="0.2">
      <c r="B10865" s="207"/>
      <c r="C10865" s="210"/>
      <c r="D10865" s="211"/>
      <c r="E10865" s="211"/>
      <c r="U10865" s="222"/>
    </row>
    <row r="10866" spans="2:21" x14ac:dyDescent="0.2">
      <c r="B10866" s="207"/>
      <c r="C10866" s="210"/>
      <c r="D10866" s="211"/>
      <c r="E10866" s="211"/>
      <c r="U10866" s="222"/>
    </row>
    <row r="10867" spans="2:21" x14ac:dyDescent="0.2">
      <c r="B10867" s="207"/>
      <c r="C10867" s="210"/>
      <c r="D10867" s="211"/>
      <c r="E10867" s="211"/>
      <c r="U10867" s="222"/>
    </row>
    <row r="10868" spans="2:21" x14ac:dyDescent="0.2">
      <c r="B10868" s="207"/>
      <c r="C10868" s="210"/>
      <c r="D10868" s="211"/>
      <c r="E10868" s="211"/>
      <c r="U10868" s="222"/>
    </row>
    <row r="10869" spans="2:21" x14ac:dyDescent="0.2">
      <c r="B10869" s="207"/>
      <c r="C10869" s="210"/>
      <c r="D10869" s="211"/>
      <c r="E10869" s="211"/>
      <c r="U10869" s="222"/>
    </row>
    <row r="10870" spans="2:21" x14ac:dyDescent="0.2">
      <c r="B10870" s="207"/>
      <c r="C10870" s="210"/>
      <c r="D10870" s="211"/>
      <c r="E10870" s="211"/>
      <c r="U10870" s="222"/>
    </row>
    <row r="10871" spans="2:21" x14ac:dyDescent="0.2">
      <c r="B10871" s="207"/>
      <c r="C10871" s="210"/>
      <c r="D10871" s="211"/>
      <c r="E10871" s="211"/>
      <c r="U10871" s="222"/>
    </row>
    <row r="10872" spans="2:21" x14ac:dyDescent="0.2">
      <c r="B10872" s="207"/>
      <c r="C10872" s="210"/>
      <c r="D10872" s="211"/>
      <c r="E10872" s="211"/>
      <c r="U10872" s="222"/>
    </row>
    <row r="10873" spans="2:21" x14ac:dyDescent="0.2">
      <c r="B10873" s="207"/>
      <c r="C10873" s="210"/>
      <c r="D10873" s="211"/>
      <c r="E10873" s="211"/>
      <c r="U10873" s="222"/>
    </row>
    <row r="10874" spans="2:21" x14ac:dyDescent="0.2">
      <c r="B10874" s="207"/>
      <c r="C10874" s="210"/>
      <c r="D10874" s="211"/>
      <c r="E10874" s="211"/>
      <c r="U10874" s="222"/>
    </row>
    <row r="10875" spans="2:21" x14ac:dyDescent="0.2">
      <c r="B10875" s="207"/>
      <c r="C10875" s="210"/>
      <c r="D10875" s="211"/>
      <c r="E10875" s="211"/>
      <c r="U10875" s="222"/>
    </row>
    <row r="10876" spans="2:21" x14ac:dyDescent="0.2">
      <c r="B10876" s="207"/>
      <c r="C10876" s="210"/>
      <c r="D10876" s="211"/>
      <c r="E10876" s="211"/>
      <c r="U10876" s="222"/>
    </row>
    <row r="10877" spans="2:21" x14ac:dyDescent="0.2">
      <c r="B10877" s="207"/>
      <c r="C10877" s="210"/>
      <c r="D10877" s="211"/>
      <c r="E10877" s="211"/>
      <c r="U10877" s="222"/>
    </row>
    <row r="10878" spans="2:21" x14ac:dyDescent="0.2">
      <c r="B10878" s="207"/>
      <c r="C10878" s="210"/>
      <c r="D10878" s="211"/>
      <c r="E10878" s="211"/>
      <c r="U10878" s="222"/>
    </row>
    <row r="10879" spans="2:21" x14ac:dyDescent="0.2">
      <c r="B10879" s="207"/>
      <c r="C10879" s="210"/>
      <c r="D10879" s="211"/>
      <c r="E10879" s="211"/>
      <c r="U10879" s="222"/>
    </row>
    <row r="10880" spans="2:21" x14ac:dyDescent="0.2">
      <c r="B10880" s="207"/>
      <c r="C10880" s="210"/>
      <c r="D10880" s="211"/>
      <c r="E10880" s="211"/>
      <c r="U10880" s="222"/>
    </row>
    <row r="10881" spans="2:21" x14ac:dyDescent="0.2">
      <c r="B10881" s="207"/>
      <c r="C10881" s="210"/>
      <c r="D10881" s="211"/>
      <c r="E10881" s="211"/>
      <c r="U10881" s="222"/>
    </row>
    <row r="10882" spans="2:21" x14ac:dyDescent="0.2">
      <c r="B10882" s="207"/>
      <c r="C10882" s="210"/>
      <c r="D10882" s="211"/>
      <c r="E10882" s="211"/>
      <c r="U10882" s="222"/>
    </row>
    <row r="10883" spans="2:21" x14ac:dyDescent="0.2">
      <c r="B10883" s="207"/>
      <c r="C10883" s="210"/>
      <c r="D10883" s="211"/>
      <c r="E10883" s="211"/>
      <c r="U10883" s="222"/>
    </row>
    <row r="10884" spans="2:21" x14ac:dyDescent="0.2">
      <c r="B10884" s="207"/>
      <c r="C10884" s="210"/>
      <c r="D10884" s="211"/>
      <c r="E10884" s="211"/>
      <c r="U10884" s="222"/>
    </row>
    <row r="10885" spans="2:21" x14ac:dyDescent="0.2">
      <c r="B10885" s="207"/>
      <c r="C10885" s="210"/>
      <c r="D10885" s="211"/>
      <c r="E10885" s="211"/>
      <c r="U10885" s="222"/>
    </row>
    <row r="10886" spans="2:21" x14ac:dyDescent="0.2">
      <c r="B10886" s="207"/>
      <c r="C10886" s="210"/>
      <c r="D10886" s="211"/>
      <c r="E10886" s="211"/>
      <c r="U10886" s="222"/>
    </row>
    <row r="10887" spans="2:21" x14ac:dyDescent="0.2">
      <c r="B10887" s="207"/>
      <c r="C10887" s="210"/>
      <c r="D10887" s="211"/>
      <c r="E10887" s="211"/>
      <c r="U10887" s="222"/>
    </row>
    <row r="10888" spans="2:21" x14ac:dyDescent="0.2">
      <c r="B10888" s="207"/>
      <c r="C10888" s="210"/>
      <c r="D10888" s="211"/>
      <c r="E10888" s="211"/>
      <c r="U10888" s="222"/>
    </row>
    <row r="10889" spans="2:21" x14ac:dyDescent="0.2">
      <c r="B10889" s="207"/>
      <c r="C10889" s="210"/>
      <c r="D10889" s="211"/>
      <c r="E10889" s="211"/>
      <c r="U10889" s="222"/>
    </row>
    <row r="10890" spans="2:21" x14ac:dyDescent="0.2">
      <c r="B10890" s="207"/>
      <c r="C10890" s="210"/>
      <c r="D10890" s="211"/>
      <c r="E10890" s="211"/>
      <c r="U10890" s="222"/>
    </row>
    <row r="10891" spans="2:21" x14ac:dyDescent="0.2">
      <c r="B10891" s="207"/>
      <c r="C10891" s="210"/>
      <c r="D10891" s="211"/>
      <c r="E10891" s="211"/>
      <c r="U10891" s="222"/>
    </row>
    <row r="10892" spans="2:21" x14ac:dyDescent="0.2">
      <c r="B10892" s="207"/>
      <c r="C10892" s="210"/>
      <c r="D10892" s="211"/>
      <c r="E10892" s="211"/>
      <c r="U10892" s="222"/>
    </row>
    <row r="10893" spans="2:21" x14ac:dyDescent="0.2">
      <c r="B10893" s="207"/>
      <c r="C10893" s="210"/>
      <c r="D10893" s="211"/>
      <c r="E10893" s="211"/>
      <c r="U10893" s="222"/>
    </row>
    <row r="10894" spans="2:21" x14ac:dyDescent="0.2">
      <c r="B10894" s="207"/>
      <c r="C10894" s="210"/>
      <c r="D10894" s="211"/>
      <c r="E10894" s="211"/>
      <c r="U10894" s="222"/>
    </row>
    <row r="10895" spans="2:21" x14ac:dyDescent="0.2">
      <c r="B10895" s="207"/>
      <c r="C10895" s="210"/>
      <c r="D10895" s="211"/>
      <c r="E10895" s="211"/>
      <c r="U10895" s="222"/>
    </row>
    <row r="10896" spans="2:21" x14ac:dyDescent="0.2">
      <c r="B10896" s="207"/>
      <c r="C10896" s="210"/>
      <c r="D10896" s="211"/>
      <c r="E10896" s="211"/>
      <c r="U10896" s="222"/>
    </row>
    <row r="10897" spans="2:21" x14ac:dyDescent="0.2">
      <c r="B10897" s="207"/>
      <c r="C10897" s="210"/>
      <c r="D10897" s="211"/>
      <c r="E10897" s="211"/>
      <c r="U10897" s="222"/>
    </row>
    <row r="10898" spans="2:21" x14ac:dyDescent="0.2">
      <c r="B10898" s="207"/>
      <c r="C10898" s="210"/>
      <c r="D10898" s="211"/>
      <c r="E10898" s="211"/>
      <c r="U10898" s="222"/>
    </row>
    <row r="10899" spans="2:21" x14ac:dyDescent="0.2">
      <c r="B10899" s="207"/>
      <c r="C10899" s="210"/>
      <c r="D10899" s="211"/>
      <c r="E10899" s="211"/>
      <c r="U10899" s="222"/>
    </row>
    <row r="10900" spans="2:21" x14ac:dyDescent="0.2">
      <c r="B10900" s="207"/>
      <c r="C10900" s="210"/>
      <c r="D10900" s="211"/>
      <c r="E10900" s="211"/>
      <c r="U10900" s="222"/>
    </row>
    <row r="10901" spans="2:21" x14ac:dyDescent="0.2">
      <c r="B10901" s="207"/>
      <c r="C10901" s="210"/>
      <c r="D10901" s="211"/>
      <c r="E10901" s="211"/>
      <c r="U10901" s="222"/>
    </row>
    <row r="10902" spans="2:21" x14ac:dyDescent="0.2">
      <c r="B10902" s="207"/>
      <c r="C10902" s="210"/>
      <c r="D10902" s="211"/>
      <c r="E10902" s="211"/>
      <c r="U10902" s="222"/>
    </row>
    <row r="10903" spans="2:21" x14ac:dyDescent="0.2">
      <c r="B10903" s="207"/>
      <c r="C10903" s="210"/>
      <c r="D10903" s="211"/>
      <c r="E10903" s="211"/>
      <c r="U10903" s="222"/>
    </row>
    <row r="10904" spans="2:21" x14ac:dyDescent="0.2">
      <c r="B10904" s="207"/>
      <c r="C10904" s="210"/>
      <c r="D10904" s="211"/>
      <c r="E10904" s="211"/>
      <c r="U10904" s="222"/>
    </row>
    <row r="10905" spans="2:21" x14ac:dyDescent="0.2">
      <c r="B10905" s="207"/>
      <c r="C10905" s="210"/>
      <c r="D10905" s="211"/>
      <c r="E10905" s="211"/>
      <c r="U10905" s="222"/>
    </row>
    <row r="10906" spans="2:21" x14ac:dyDescent="0.2">
      <c r="B10906" s="207"/>
      <c r="C10906" s="210"/>
      <c r="D10906" s="211"/>
      <c r="E10906" s="211"/>
      <c r="U10906" s="222"/>
    </row>
    <row r="10907" spans="2:21" x14ac:dyDescent="0.2">
      <c r="B10907" s="207"/>
      <c r="C10907" s="210"/>
      <c r="D10907" s="211"/>
      <c r="E10907" s="211"/>
      <c r="U10907" s="222"/>
    </row>
    <row r="10908" spans="2:21" x14ac:dyDescent="0.2">
      <c r="B10908" s="207"/>
      <c r="C10908" s="210"/>
      <c r="D10908" s="211"/>
      <c r="E10908" s="211"/>
      <c r="U10908" s="222"/>
    </row>
    <row r="10909" spans="2:21" x14ac:dyDescent="0.2">
      <c r="B10909" s="207"/>
      <c r="C10909" s="210"/>
      <c r="D10909" s="211"/>
      <c r="E10909" s="211"/>
      <c r="U10909" s="222"/>
    </row>
    <row r="10910" spans="2:21" x14ac:dyDescent="0.2">
      <c r="B10910" s="207"/>
      <c r="C10910" s="210"/>
      <c r="D10910" s="211"/>
      <c r="E10910" s="211"/>
      <c r="U10910" s="222"/>
    </row>
    <row r="10911" spans="2:21" x14ac:dyDescent="0.2">
      <c r="B10911" s="207"/>
      <c r="C10911" s="210"/>
      <c r="D10911" s="211"/>
      <c r="E10911" s="211"/>
      <c r="U10911" s="222"/>
    </row>
    <row r="10912" spans="2:21" x14ac:dyDescent="0.2">
      <c r="B10912" s="207"/>
      <c r="C10912" s="210"/>
      <c r="D10912" s="211"/>
      <c r="E10912" s="211"/>
      <c r="U10912" s="222"/>
    </row>
    <row r="10913" spans="2:21" x14ac:dyDescent="0.2">
      <c r="B10913" s="207"/>
      <c r="C10913" s="210"/>
      <c r="D10913" s="211"/>
      <c r="E10913" s="211"/>
      <c r="U10913" s="222"/>
    </row>
    <row r="10914" spans="2:21" x14ac:dyDescent="0.2">
      <c r="B10914" s="207"/>
      <c r="C10914" s="210"/>
      <c r="D10914" s="211"/>
      <c r="E10914" s="211"/>
      <c r="U10914" s="222"/>
    </row>
    <row r="10915" spans="2:21" x14ac:dyDescent="0.2">
      <c r="B10915" s="207"/>
      <c r="C10915" s="210"/>
      <c r="D10915" s="211"/>
      <c r="E10915" s="211"/>
      <c r="U10915" s="222"/>
    </row>
    <row r="10916" spans="2:21" x14ac:dyDescent="0.2">
      <c r="B10916" s="207"/>
      <c r="C10916" s="210"/>
      <c r="D10916" s="211"/>
      <c r="E10916" s="211"/>
      <c r="U10916" s="222"/>
    </row>
    <row r="10917" spans="2:21" x14ac:dyDescent="0.2">
      <c r="B10917" s="207"/>
      <c r="C10917" s="210"/>
      <c r="D10917" s="211"/>
      <c r="E10917" s="211"/>
      <c r="U10917" s="222"/>
    </row>
    <row r="10918" spans="2:21" x14ac:dyDescent="0.2">
      <c r="B10918" s="207"/>
      <c r="C10918" s="210"/>
      <c r="D10918" s="211"/>
      <c r="E10918" s="211"/>
      <c r="U10918" s="222"/>
    </row>
    <row r="10919" spans="2:21" x14ac:dyDescent="0.2">
      <c r="B10919" s="207"/>
      <c r="C10919" s="210"/>
      <c r="D10919" s="211"/>
      <c r="E10919" s="211"/>
      <c r="U10919" s="222"/>
    </row>
    <row r="10920" spans="2:21" x14ac:dyDescent="0.2">
      <c r="B10920" s="207"/>
      <c r="C10920" s="210"/>
      <c r="D10920" s="211"/>
      <c r="E10920" s="211"/>
      <c r="U10920" s="222"/>
    </row>
    <row r="10921" spans="2:21" x14ac:dyDescent="0.2">
      <c r="B10921" s="207"/>
      <c r="C10921" s="210"/>
      <c r="D10921" s="211"/>
      <c r="E10921" s="211"/>
      <c r="U10921" s="222"/>
    </row>
    <row r="10922" spans="2:21" x14ac:dyDescent="0.2">
      <c r="B10922" s="207"/>
      <c r="C10922" s="210"/>
      <c r="D10922" s="211"/>
      <c r="E10922" s="211"/>
      <c r="U10922" s="222"/>
    </row>
    <row r="10923" spans="2:21" x14ac:dyDescent="0.2">
      <c r="B10923" s="207"/>
      <c r="C10923" s="210"/>
      <c r="D10923" s="211"/>
      <c r="E10923" s="211"/>
      <c r="U10923" s="222"/>
    </row>
    <row r="10924" spans="2:21" x14ac:dyDescent="0.2">
      <c r="B10924" s="207"/>
      <c r="C10924" s="210"/>
      <c r="D10924" s="211"/>
      <c r="E10924" s="211"/>
      <c r="U10924" s="222"/>
    </row>
    <row r="10925" spans="2:21" x14ac:dyDescent="0.2">
      <c r="B10925" s="207"/>
      <c r="C10925" s="210"/>
      <c r="D10925" s="211"/>
      <c r="E10925" s="211"/>
      <c r="U10925" s="222"/>
    </row>
    <row r="10926" spans="2:21" x14ac:dyDescent="0.2">
      <c r="B10926" s="207"/>
      <c r="C10926" s="210"/>
      <c r="D10926" s="211"/>
      <c r="E10926" s="211"/>
      <c r="U10926" s="222"/>
    </row>
    <row r="10927" spans="2:21" x14ac:dyDescent="0.2">
      <c r="B10927" s="207"/>
      <c r="C10927" s="210"/>
      <c r="D10927" s="211"/>
      <c r="E10927" s="211"/>
      <c r="U10927" s="222"/>
    </row>
    <row r="10928" spans="2:21" x14ac:dyDescent="0.2">
      <c r="B10928" s="207"/>
      <c r="C10928" s="210"/>
      <c r="D10928" s="211"/>
      <c r="E10928" s="211"/>
      <c r="U10928" s="222"/>
    </row>
    <row r="10929" spans="2:21" x14ac:dyDescent="0.2">
      <c r="B10929" s="207"/>
      <c r="C10929" s="210"/>
      <c r="D10929" s="211"/>
      <c r="E10929" s="211"/>
      <c r="U10929" s="222"/>
    </row>
    <row r="10930" spans="2:21" x14ac:dyDescent="0.2">
      <c r="B10930" s="207"/>
      <c r="C10930" s="210"/>
      <c r="D10930" s="211"/>
      <c r="E10930" s="211"/>
      <c r="U10930" s="222"/>
    </row>
    <row r="10931" spans="2:21" x14ac:dyDescent="0.2">
      <c r="B10931" s="207"/>
      <c r="C10931" s="210"/>
      <c r="D10931" s="211"/>
      <c r="E10931" s="211"/>
      <c r="U10931" s="222"/>
    </row>
    <row r="10932" spans="2:21" x14ac:dyDescent="0.2">
      <c r="B10932" s="207"/>
      <c r="C10932" s="210"/>
      <c r="D10932" s="211"/>
      <c r="E10932" s="211"/>
      <c r="U10932" s="222"/>
    </row>
    <row r="10933" spans="2:21" x14ac:dyDescent="0.2">
      <c r="B10933" s="207"/>
      <c r="C10933" s="210"/>
      <c r="D10933" s="211"/>
      <c r="E10933" s="211"/>
      <c r="U10933" s="222"/>
    </row>
    <row r="10934" spans="2:21" x14ac:dyDescent="0.2">
      <c r="B10934" s="207"/>
      <c r="C10934" s="210"/>
      <c r="D10934" s="211"/>
      <c r="E10934" s="211"/>
      <c r="U10934" s="222"/>
    </row>
    <row r="10935" spans="2:21" x14ac:dyDescent="0.2">
      <c r="B10935" s="207"/>
      <c r="C10935" s="210"/>
      <c r="D10935" s="211"/>
      <c r="E10935" s="211"/>
      <c r="U10935" s="222"/>
    </row>
    <row r="10936" spans="2:21" x14ac:dyDescent="0.2">
      <c r="B10936" s="207"/>
      <c r="C10936" s="210"/>
      <c r="D10936" s="211"/>
      <c r="E10936" s="211"/>
      <c r="U10936" s="222"/>
    </row>
    <row r="10937" spans="2:21" x14ac:dyDescent="0.2">
      <c r="B10937" s="207"/>
      <c r="C10937" s="210"/>
      <c r="D10937" s="211"/>
      <c r="E10937" s="211"/>
      <c r="U10937" s="222"/>
    </row>
    <row r="10938" spans="2:21" x14ac:dyDescent="0.2">
      <c r="B10938" s="207"/>
      <c r="C10938" s="210"/>
      <c r="D10938" s="211"/>
      <c r="E10938" s="211"/>
      <c r="U10938" s="222"/>
    </row>
    <row r="10939" spans="2:21" x14ac:dyDescent="0.2">
      <c r="B10939" s="207"/>
      <c r="C10939" s="210"/>
      <c r="D10939" s="211"/>
      <c r="E10939" s="211"/>
      <c r="U10939" s="222"/>
    </row>
    <row r="10940" spans="2:21" x14ac:dyDescent="0.2">
      <c r="B10940" s="207"/>
      <c r="C10940" s="210"/>
      <c r="D10940" s="211"/>
      <c r="E10940" s="211"/>
      <c r="U10940" s="222"/>
    </row>
    <row r="10941" spans="2:21" x14ac:dyDescent="0.2">
      <c r="B10941" s="207"/>
      <c r="C10941" s="210"/>
      <c r="D10941" s="211"/>
      <c r="E10941" s="211"/>
      <c r="U10941" s="222"/>
    </row>
    <row r="10942" spans="2:21" x14ac:dyDescent="0.2">
      <c r="B10942" s="207"/>
      <c r="C10942" s="210"/>
      <c r="D10942" s="211"/>
      <c r="E10942" s="211"/>
      <c r="U10942" s="222"/>
    </row>
    <row r="10943" spans="2:21" x14ac:dyDescent="0.2">
      <c r="B10943" s="207"/>
      <c r="C10943" s="210"/>
      <c r="D10943" s="211"/>
      <c r="E10943" s="211"/>
      <c r="U10943" s="222"/>
    </row>
    <row r="10944" spans="2:21" x14ac:dyDescent="0.2">
      <c r="B10944" s="207"/>
      <c r="C10944" s="210"/>
      <c r="D10944" s="211"/>
      <c r="E10944" s="211"/>
      <c r="U10944" s="222"/>
    </row>
    <row r="10945" spans="2:21" x14ac:dyDescent="0.2">
      <c r="B10945" s="207"/>
      <c r="C10945" s="210"/>
      <c r="D10945" s="211"/>
      <c r="E10945" s="211"/>
      <c r="U10945" s="222"/>
    </row>
    <row r="10946" spans="2:21" x14ac:dyDescent="0.2">
      <c r="B10946" s="207"/>
      <c r="C10946" s="210"/>
      <c r="D10946" s="211"/>
      <c r="E10946" s="211"/>
      <c r="U10946" s="222"/>
    </row>
    <row r="10947" spans="2:21" x14ac:dyDescent="0.2">
      <c r="B10947" s="207"/>
      <c r="C10947" s="210"/>
      <c r="D10947" s="211"/>
      <c r="E10947" s="211"/>
      <c r="U10947" s="222"/>
    </row>
    <row r="10948" spans="2:21" x14ac:dyDescent="0.2">
      <c r="B10948" s="207"/>
      <c r="C10948" s="210"/>
      <c r="D10948" s="211"/>
      <c r="E10948" s="211"/>
      <c r="U10948" s="222"/>
    </row>
    <row r="10949" spans="2:21" x14ac:dyDescent="0.2">
      <c r="B10949" s="207"/>
      <c r="C10949" s="210"/>
      <c r="D10949" s="211"/>
      <c r="E10949" s="211"/>
      <c r="U10949" s="222"/>
    </row>
    <row r="10950" spans="2:21" x14ac:dyDescent="0.2">
      <c r="B10950" s="207"/>
      <c r="C10950" s="210"/>
      <c r="D10950" s="211"/>
      <c r="E10950" s="211"/>
      <c r="U10950" s="222"/>
    </row>
    <row r="10951" spans="2:21" x14ac:dyDescent="0.2">
      <c r="B10951" s="207"/>
      <c r="C10951" s="210"/>
      <c r="D10951" s="211"/>
      <c r="E10951" s="211"/>
      <c r="U10951" s="222"/>
    </row>
    <row r="10952" spans="2:21" x14ac:dyDescent="0.2">
      <c r="B10952" s="207"/>
      <c r="C10952" s="210"/>
      <c r="D10952" s="211"/>
      <c r="E10952" s="211"/>
      <c r="U10952" s="222"/>
    </row>
    <row r="10953" spans="2:21" x14ac:dyDescent="0.2">
      <c r="B10953" s="207"/>
      <c r="C10953" s="210"/>
      <c r="D10953" s="211"/>
      <c r="E10953" s="211"/>
      <c r="U10953" s="222"/>
    </row>
    <row r="10954" spans="2:21" x14ac:dyDescent="0.2">
      <c r="B10954" s="207"/>
      <c r="C10954" s="210"/>
      <c r="D10954" s="211"/>
      <c r="E10954" s="211"/>
      <c r="U10954" s="222"/>
    </row>
    <row r="10955" spans="2:21" x14ac:dyDescent="0.2">
      <c r="B10955" s="207"/>
      <c r="C10955" s="210"/>
      <c r="D10955" s="211"/>
      <c r="E10955" s="211"/>
      <c r="U10955" s="222"/>
    </row>
    <row r="10956" spans="2:21" x14ac:dyDescent="0.2">
      <c r="B10956" s="207"/>
      <c r="C10956" s="210"/>
      <c r="D10956" s="211"/>
      <c r="E10956" s="211"/>
      <c r="U10956" s="222"/>
    </row>
    <row r="10957" spans="2:21" x14ac:dyDescent="0.2">
      <c r="B10957" s="207"/>
      <c r="C10957" s="210"/>
      <c r="D10957" s="211"/>
      <c r="E10957" s="211"/>
      <c r="U10957" s="222"/>
    </row>
    <row r="10958" spans="2:21" x14ac:dyDescent="0.2">
      <c r="B10958" s="207"/>
      <c r="C10958" s="210"/>
      <c r="D10958" s="211"/>
      <c r="E10958" s="211"/>
      <c r="U10958" s="222"/>
    </row>
    <row r="10959" spans="2:21" x14ac:dyDescent="0.2">
      <c r="B10959" s="207"/>
      <c r="C10959" s="210"/>
      <c r="D10959" s="211"/>
      <c r="E10959" s="211"/>
      <c r="U10959" s="222"/>
    </row>
    <row r="10960" spans="2:21" x14ac:dyDescent="0.2">
      <c r="B10960" s="207"/>
      <c r="C10960" s="210"/>
      <c r="D10960" s="211"/>
      <c r="E10960" s="211"/>
      <c r="U10960" s="222"/>
    </row>
    <row r="10961" spans="2:21" x14ac:dyDescent="0.2">
      <c r="B10961" s="207"/>
      <c r="C10961" s="210"/>
      <c r="D10961" s="211"/>
      <c r="E10961" s="211"/>
      <c r="U10961" s="222"/>
    </row>
    <row r="10962" spans="2:21" x14ac:dyDescent="0.2">
      <c r="B10962" s="207"/>
      <c r="C10962" s="210"/>
      <c r="D10962" s="211"/>
      <c r="E10962" s="211"/>
      <c r="U10962" s="222"/>
    </row>
    <row r="10963" spans="2:21" x14ac:dyDescent="0.2">
      <c r="B10963" s="207"/>
      <c r="C10963" s="210"/>
      <c r="D10963" s="211"/>
      <c r="E10963" s="211"/>
      <c r="U10963" s="222"/>
    </row>
    <row r="10964" spans="2:21" x14ac:dyDescent="0.2">
      <c r="B10964" s="207"/>
      <c r="C10964" s="210"/>
      <c r="D10964" s="211"/>
      <c r="E10964" s="211"/>
      <c r="U10964" s="222"/>
    </row>
    <row r="10965" spans="2:21" x14ac:dyDescent="0.2">
      <c r="B10965" s="207"/>
      <c r="C10965" s="210"/>
      <c r="D10965" s="211"/>
      <c r="E10965" s="211"/>
      <c r="U10965" s="222"/>
    </row>
    <row r="10966" spans="2:21" x14ac:dyDescent="0.2">
      <c r="B10966" s="207"/>
      <c r="C10966" s="210"/>
      <c r="D10966" s="211"/>
      <c r="E10966" s="211"/>
      <c r="U10966" s="222"/>
    </row>
    <row r="10967" spans="2:21" x14ac:dyDescent="0.2">
      <c r="B10967" s="207"/>
      <c r="C10967" s="210"/>
      <c r="D10967" s="211"/>
      <c r="E10967" s="211"/>
      <c r="U10967" s="222"/>
    </row>
    <row r="10968" spans="2:21" x14ac:dyDescent="0.2">
      <c r="B10968" s="207"/>
      <c r="C10968" s="210"/>
      <c r="D10968" s="211"/>
      <c r="E10968" s="211"/>
      <c r="U10968" s="222"/>
    </row>
    <row r="10969" spans="2:21" x14ac:dyDescent="0.2">
      <c r="B10969" s="207"/>
      <c r="C10969" s="210"/>
      <c r="D10969" s="211"/>
      <c r="E10969" s="211"/>
      <c r="U10969" s="222"/>
    </row>
    <row r="10970" spans="2:21" x14ac:dyDescent="0.2">
      <c r="B10970" s="207"/>
      <c r="C10970" s="210"/>
      <c r="D10970" s="211"/>
      <c r="E10970" s="211"/>
      <c r="U10970" s="222"/>
    </row>
    <row r="10971" spans="2:21" x14ac:dyDescent="0.2">
      <c r="B10971" s="207"/>
      <c r="C10971" s="210"/>
      <c r="D10971" s="211"/>
      <c r="E10971" s="211"/>
      <c r="U10971" s="222"/>
    </row>
    <row r="10972" spans="2:21" x14ac:dyDescent="0.2">
      <c r="B10972" s="207"/>
      <c r="C10972" s="210"/>
      <c r="D10972" s="211"/>
      <c r="E10972" s="211"/>
      <c r="U10972" s="222"/>
    </row>
    <row r="10973" spans="2:21" x14ac:dyDescent="0.2">
      <c r="B10973" s="207"/>
      <c r="C10973" s="210"/>
      <c r="D10973" s="211"/>
      <c r="E10973" s="211"/>
      <c r="U10973" s="222"/>
    </row>
    <row r="10974" spans="2:21" x14ac:dyDescent="0.2">
      <c r="B10974" s="207"/>
      <c r="C10974" s="210"/>
      <c r="D10974" s="211"/>
      <c r="E10974" s="211"/>
      <c r="U10974" s="222"/>
    </row>
    <row r="10975" spans="2:21" x14ac:dyDescent="0.2">
      <c r="B10975" s="207"/>
      <c r="C10975" s="210"/>
      <c r="D10975" s="211"/>
      <c r="E10975" s="211"/>
      <c r="U10975" s="222"/>
    </row>
    <row r="10976" spans="2:21" x14ac:dyDescent="0.2">
      <c r="B10976" s="207"/>
      <c r="C10976" s="210"/>
      <c r="D10976" s="211"/>
      <c r="E10976" s="211"/>
      <c r="U10976" s="222"/>
    </row>
    <row r="10977" spans="2:21" x14ac:dyDescent="0.2">
      <c r="B10977" s="207"/>
      <c r="C10977" s="210"/>
      <c r="D10977" s="211"/>
      <c r="E10977" s="211"/>
      <c r="U10977" s="222"/>
    </row>
    <row r="10978" spans="2:21" x14ac:dyDescent="0.2">
      <c r="B10978" s="207"/>
      <c r="C10978" s="210"/>
      <c r="D10978" s="211"/>
      <c r="E10978" s="211"/>
      <c r="U10978" s="222"/>
    </row>
    <row r="10979" spans="2:21" x14ac:dyDescent="0.2">
      <c r="B10979" s="207"/>
      <c r="C10979" s="210"/>
      <c r="D10979" s="211"/>
      <c r="E10979" s="211"/>
      <c r="U10979" s="222"/>
    </row>
    <row r="10980" spans="2:21" x14ac:dyDescent="0.2">
      <c r="B10980" s="207"/>
      <c r="C10980" s="210"/>
      <c r="D10980" s="211"/>
      <c r="E10980" s="211"/>
      <c r="U10980" s="222"/>
    </row>
    <row r="10981" spans="2:21" x14ac:dyDescent="0.2">
      <c r="B10981" s="207"/>
      <c r="C10981" s="210"/>
      <c r="D10981" s="211"/>
      <c r="E10981" s="211"/>
      <c r="U10981" s="222"/>
    </row>
    <row r="10982" spans="2:21" x14ac:dyDescent="0.2">
      <c r="B10982" s="207"/>
      <c r="C10982" s="210"/>
      <c r="D10982" s="211"/>
      <c r="E10982" s="211"/>
      <c r="U10982" s="222"/>
    </row>
    <row r="10983" spans="2:21" x14ac:dyDescent="0.2">
      <c r="B10983" s="207"/>
      <c r="C10983" s="210"/>
      <c r="D10983" s="211"/>
      <c r="E10983" s="211"/>
      <c r="U10983" s="222"/>
    </row>
    <row r="10984" spans="2:21" x14ac:dyDescent="0.2">
      <c r="B10984" s="207"/>
      <c r="C10984" s="210"/>
      <c r="D10984" s="211"/>
      <c r="E10984" s="211"/>
      <c r="U10984" s="222"/>
    </row>
    <row r="10985" spans="2:21" x14ac:dyDescent="0.2">
      <c r="B10985" s="207"/>
      <c r="C10985" s="210"/>
      <c r="D10985" s="211"/>
      <c r="E10985" s="211"/>
      <c r="U10985" s="222"/>
    </row>
    <row r="10986" spans="2:21" x14ac:dyDescent="0.2">
      <c r="B10986" s="207"/>
      <c r="C10986" s="210"/>
      <c r="D10986" s="211"/>
      <c r="E10986" s="211"/>
      <c r="U10986" s="222"/>
    </row>
    <row r="10987" spans="2:21" x14ac:dyDescent="0.2">
      <c r="B10987" s="207"/>
      <c r="C10987" s="210"/>
      <c r="D10987" s="211"/>
      <c r="E10987" s="211"/>
      <c r="U10987" s="222"/>
    </row>
    <row r="10988" spans="2:21" x14ac:dyDescent="0.2">
      <c r="B10988" s="207"/>
      <c r="C10988" s="210"/>
      <c r="D10988" s="211"/>
      <c r="E10988" s="211"/>
      <c r="U10988" s="222"/>
    </row>
    <row r="10989" spans="2:21" x14ac:dyDescent="0.2">
      <c r="B10989" s="207"/>
      <c r="C10989" s="210"/>
      <c r="D10989" s="211"/>
      <c r="E10989" s="211"/>
      <c r="U10989" s="222"/>
    </row>
    <row r="10990" spans="2:21" x14ac:dyDescent="0.2">
      <c r="B10990" s="207"/>
      <c r="C10990" s="210"/>
      <c r="D10990" s="211"/>
      <c r="E10990" s="211"/>
      <c r="U10990" s="222"/>
    </row>
    <row r="10991" spans="2:21" x14ac:dyDescent="0.2">
      <c r="B10991" s="207"/>
      <c r="C10991" s="210"/>
      <c r="D10991" s="211"/>
      <c r="E10991" s="211"/>
      <c r="U10991" s="222"/>
    </row>
    <row r="10992" spans="2:21" x14ac:dyDescent="0.2">
      <c r="B10992" s="207"/>
      <c r="C10992" s="210"/>
      <c r="D10992" s="211"/>
      <c r="E10992" s="211"/>
      <c r="U10992" s="222"/>
    </row>
    <row r="10993" spans="2:21" x14ac:dyDescent="0.2">
      <c r="B10993" s="207"/>
      <c r="C10993" s="210"/>
      <c r="D10993" s="211"/>
      <c r="E10993" s="211"/>
      <c r="U10993" s="222"/>
    </row>
    <row r="10994" spans="2:21" x14ac:dyDescent="0.2">
      <c r="B10994" s="207"/>
      <c r="C10994" s="210"/>
      <c r="D10994" s="211"/>
      <c r="E10994" s="211"/>
      <c r="U10994" s="222"/>
    </row>
    <row r="10995" spans="2:21" x14ac:dyDescent="0.2">
      <c r="B10995" s="207"/>
      <c r="C10995" s="210"/>
      <c r="D10995" s="211"/>
      <c r="E10995" s="211"/>
      <c r="U10995" s="222"/>
    </row>
    <row r="10996" spans="2:21" x14ac:dyDescent="0.2">
      <c r="B10996" s="207"/>
      <c r="C10996" s="210"/>
      <c r="D10996" s="211"/>
      <c r="E10996" s="211"/>
      <c r="U10996" s="222"/>
    </row>
    <row r="10997" spans="2:21" x14ac:dyDescent="0.2">
      <c r="B10997" s="207"/>
      <c r="C10997" s="210"/>
      <c r="D10997" s="211"/>
      <c r="E10997" s="211"/>
      <c r="U10997" s="222"/>
    </row>
    <row r="10998" spans="2:21" x14ac:dyDescent="0.2">
      <c r="B10998" s="207"/>
      <c r="C10998" s="210"/>
      <c r="D10998" s="211"/>
      <c r="E10998" s="211"/>
      <c r="U10998" s="222"/>
    </row>
    <row r="10999" spans="2:21" x14ac:dyDescent="0.2">
      <c r="B10999" s="207"/>
      <c r="C10999" s="210"/>
      <c r="D10999" s="211"/>
      <c r="E10999" s="211"/>
      <c r="U10999" s="222"/>
    </row>
    <row r="11000" spans="2:21" x14ac:dyDescent="0.2">
      <c r="B11000" s="207"/>
      <c r="C11000" s="210"/>
      <c r="D11000" s="211"/>
      <c r="E11000" s="211"/>
      <c r="U11000" s="222"/>
    </row>
    <row r="11001" spans="2:21" x14ac:dyDescent="0.2">
      <c r="B11001" s="207"/>
      <c r="C11001" s="210"/>
      <c r="D11001" s="211"/>
      <c r="E11001" s="211"/>
      <c r="U11001" s="222"/>
    </row>
    <row r="11002" spans="2:21" x14ac:dyDescent="0.2">
      <c r="B11002" s="207"/>
      <c r="C11002" s="210"/>
      <c r="D11002" s="211"/>
      <c r="E11002" s="211"/>
      <c r="U11002" s="222"/>
    </row>
    <row r="11003" spans="2:21" x14ac:dyDescent="0.2">
      <c r="B11003" s="207"/>
      <c r="C11003" s="210"/>
      <c r="D11003" s="211"/>
      <c r="E11003" s="211"/>
      <c r="U11003" s="222"/>
    </row>
    <row r="11004" spans="2:21" x14ac:dyDescent="0.2">
      <c r="B11004" s="207"/>
      <c r="C11004" s="210"/>
      <c r="D11004" s="211"/>
      <c r="E11004" s="211"/>
      <c r="U11004" s="222"/>
    </row>
    <row r="11005" spans="2:21" x14ac:dyDescent="0.2">
      <c r="B11005" s="207"/>
      <c r="C11005" s="210"/>
      <c r="D11005" s="211"/>
      <c r="E11005" s="211"/>
      <c r="U11005" s="222"/>
    </row>
    <row r="11006" spans="2:21" x14ac:dyDescent="0.2">
      <c r="B11006" s="207"/>
      <c r="C11006" s="210"/>
      <c r="D11006" s="211"/>
      <c r="E11006" s="211"/>
      <c r="U11006" s="222"/>
    </row>
    <row r="11007" spans="2:21" x14ac:dyDescent="0.2">
      <c r="B11007" s="207"/>
      <c r="C11007" s="210"/>
      <c r="D11007" s="211"/>
      <c r="E11007" s="211"/>
      <c r="U11007" s="222"/>
    </row>
    <row r="11008" spans="2:21" x14ac:dyDescent="0.2">
      <c r="B11008" s="207"/>
      <c r="C11008" s="210"/>
      <c r="D11008" s="211"/>
      <c r="E11008" s="211"/>
      <c r="U11008" s="222"/>
    </row>
    <row r="11009" spans="2:21" x14ac:dyDescent="0.2">
      <c r="B11009" s="207"/>
      <c r="C11009" s="210"/>
      <c r="D11009" s="211"/>
      <c r="E11009" s="211"/>
      <c r="U11009" s="222"/>
    </row>
    <row r="11010" spans="2:21" x14ac:dyDescent="0.2">
      <c r="B11010" s="207"/>
      <c r="C11010" s="210"/>
      <c r="D11010" s="211"/>
      <c r="E11010" s="211"/>
      <c r="U11010" s="222"/>
    </row>
    <row r="11011" spans="2:21" x14ac:dyDescent="0.2">
      <c r="B11011" s="207"/>
      <c r="C11011" s="210"/>
      <c r="D11011" s="211"/>
      <c r="E11011" s="211"/>
      <c r="U11011" s="222"/>
    </row>
    <row r="11012" spans="2:21" x14ac:dyDescent="0.2">
      <c r="B11012" s="207"/>
      <c r="C11012" s="210"/>
      <c r="D11012" s="211"/>
      <c r="E11012" s="211"/>
      <c r="U11012" s="222"/>
    </row>
    <row r="11013" spans="2:21" x14ac:dyDescent="0.2">
      <c r="B11013" s="207"/>
      <c r="C11013" s="210"/>
      <c r="D11013" s="211"/>
      <c r="E11013" s="211"/>
      <c r="U11013" s="222"/>
    </row>
    <row r="11014" spans="2:21" x14ac:dyDescent="0.2">
      <c r="B11014" s="207"/>
      <c r="C11014" s="210"/>
      <c r="D11014" s="211"/>
      <c r="E11014" s="211"/>
      <c r="U11014" s="222"/>
    </row>
    <row r="11015" spans="2:21" x14ac:dyDescent="0.2">
      <c r="B11015" s="207"/>
      <c r="C11015" s="210"/>
      <c r="D11015" s="211"/>
      <c r="E11015" s="211"/>
      <c r="U11015" s="222"/>
    </row>
    <row r="11016" spans="2:21" x14ac:dyDescent="0.2">
      <c r="B11016" s="207"/>
      <c r="C11016" s="210"/>
      <c r="D11016" s="211"/>
      <c r="E11016" s="211"/>
      <c r="U11016" s="222"/>
    </row>
    <row r="11017" spans="2:21" x14ac:dyDescent="0.2">
      <c r="B11017" s="207"/>
      <c r="C11017" s="210"/>
      <c r="D11017" s="211"/>
      <c r="E11017" s="211"/>
      <c r="U11017" s="222"/>
    </row>
    <row r="11018" spans="2:21" x14ac:dyDescent="0.2">
      <c r="B11018" s="207"/>
      <c r="C11018" s="210"/>
      <c r="D11018" s="211"/>
      <c r="E11018" s="211"/>
      <c r="U11018" s="222"/>
    </row>
    <row r="11019" spans="2:21" x14ac:dyDescent="0.2">
      <c r="B11019" s="207"/>
      <c r="C11019" s="210"/>
      <c r="D11019" s="211"/>
      <c r="E11019" s="211"/>
      <c r="U11019" s="222"/>
    </row>
    <row r="11020" spans="2:21" x14ac:dyDescent="0.2">
      <c r="B11020" s="207"/>
      <c r="C11020" s="210"/>
      <c r="D11020" s="211"/>
      <c r="E11020" s="211"/>
      <c r="U11020" s="222"/>
    </row>
    <row r="11021" spans="2:21" x14ac:dyDescent="0.2">
      <c r="B11021" s="207"/>
      <c r="C11021" s="210"/>
      <c r="D11021" s="211"/>
      <c r="E11021" s="211"/>
      <c r="U11021" s="222"/>
    </row>
    <row r="11022" spans="2:21" x14ac:dyDescent="0.2">
      <c r="B11022" s="207"/>
      <c r="C11022" s="210"/>
      <c r="D11022" s="211"/>
      <c r="E11022" s="211"/>
      <c r="U11022" s="222"/>
    </row>
    <row r="11023" spans="2:21" x14ac:dyDescent="0.2">
      <c r="B11023" s="207"/>
      <c r="C11023" s="210"/>
      <c r="D11023" s="211"/>
      <c r="E11023" s="211"/>
      <c r="U11023" s="222"/>
    </row>
    <row r="11024" spans="2:21" x14ac:dyDescent="0.2">
      <c r="B11024" s="207"/>
      <c r="C11024" s="210"/>
      <c r="D11024" s="211"/>
      <c r="E11024" s="211"/>
      <c r="U11024" s="222"/>
    </row>
    <row r="11025" spans="2:21" x14ac:dyDescent="0.2">
      <c r="B11025" s="207"/>
      <c r="C11025" s="210"/>
      <c r="D11025" s="211"/>
      <c r="E11025" s="211"/>
      <c r="U11025" s="222"/>
    </row>
    <row r="11026" spans="2:21" x14ac:dyDescent="0.2">
      <c r="B11026" s="207"/>
      <c r="C11026" s="210"/>
      <c r="D11026" s="211"/>
      <c r="E11026" s="211"/>
      <c r="U11026" s="222"/>
    </row>
    <row r="11027" spans="2:21" x14ac:dyDescent="0.2">
      <c r="B11027" s="207"/>
      <c r="C11027" s="210"/>
      <c r="D11027" s="211"/>
      <c r="E11027" s="211"/>
      <c r="U11027" s="222"/>
    </row>
    <row r="11028" spans="2:21" x14ac:dyDescent="0.2">
      <c r="B11028" s="207"/>
      <c r="C11028" s="210"/>
      <c r="D11028" s="211"/>
      <c r="E11028" s="211"/>
      <c r="U11028" s="222"/>
    </row>
    <row r="11029" spans="2:21" x14ac:dyDescent="0.2">
      <c r="B11029" s="207"/>
      <c r="C11029" s="210"/>
      <c r="D11029" s="211"/>
      <c r="E11029" s="211"/>
      <c r="U11029" s="222"/>
    </row>
    <row r="11030" spans="2:21" x14ac:dyDescent="0.2">
      <c r="B11030" s="207"/>
      <c r="C11030" s="210"/>
      <c r="D11030" s="211"/>
      <c r="E11030" s="211"/>
      <c r="U11030" s="222"/>
    </row>
    <row r="11031" spans="2:21" x14ac:dyDescent="0.2">
      <c r="B11031" s="207"/>
      <c r="C11031" s="210"/>
      <c r="D11031" s="211"/>
      <c r="E11031" s="211"/>
      <c r="U11031" s="222"/>
    </row>
    <row r="11032" spans="2:21" x14ac:dyDescent="0.2">
      <c r="B11032" s="207"/>
      <c r="C11032" s="210"/>
      <c r="D11032" s="211"/>
      <c r="E11032" s="211"/>
      <c r="U11032" s="222"/>
    </row>
    <row r="11033" spans="2:21" x14ac:dyDescent="0.2">
      <c r="B11033" s="207"/>
      <c r="C11033" s="210"/>
      <c r="D11033" s="211"/>
      <c r="E11033" s="211"/>
      <c r="U11033" s="222"/>
    </row>
    <row r="11034" spans="2:21" x14ac:dyDescent="0.2">
      <c r="B11034" s="207"/>
      <c r="C11034" s="210"/>
      <c r="D11034" s="211"/>
      <c r="E11034" s="211"/>
      <c r="U11034" s="222"/>
    </row>
    <row r="11035" spans="2:21" x14ac:dyDescent="0.2">
      <c r="B11035" s="207"/>
      <c r="C11035" s="210"/>
      <c r="D11035" s="211"/>
      <c r="E11035" s="211"/>
      <c r="U11035" s="222"/>
    </row>
    <row r="11036" spans="2:21" x14ac:dyDescent="0.2">
      <c r="B11036" s="207"/>
      <c r="C11036" s="210"/>
      <c r="D11036" s="211"/>
      <c r="E11036" s="211"/>
      <c r="U11036" s="222"/>
    </row>
    <row r="11037" spans="2:21" x14ac:dyDescent="0.2">
      <c r="B11037" s="207"/>
      <c r="C11037" s="210"/>
      <c r="D11037" s="211"/>
      <c r="E11037" s="211"/>
      <c r="U11037" s="222"/>
    </row>
    <row r="11038" spans="2:21" x14ac:dyDescent="0.2">
      <c r="B11038" s="207"/>
      <c r="C11038" s="210"/>
      <c r="D11038" s="211"/>
      <c r="E11038" s="211"/>
      <c r="U11038" s="222"/>
    </row>
    <row r="11039" spans="2:21" x14ac:dyDescent="0.2">
      <c r="B11039" s="207"/>
      <c r="C11039" s="210"/>
      <c r="D11039" s="211"/>
      <c r="E11039" s="211"/>
      <c r="U11039" s="222"/>
    </row>
    <row r="11040" spans="2:21" x14ac:dyDescent="0.2">
      <c r="B11040" s="207"/>
      <c r="C11040" s="210"/>
      <c r="D11040" s="211"/>
      <c r="E11040" s="211"/>
      <c r="U11040" s="222"/>
    </row>
    <row r="11041" spans="2:21" x14ac:dyDescent="0.2">
      <c r="B11041" s="207"/>
      <c r="C11041" s="210"/>
      <c r="D11041" s="211"/>
      <c r="E11041" s="211"/>
      <c r="U11041" s="222"/>
    </row>
    <row r="11042" spans="2:21" x14ac:dyDescent="0.2">
      <c r="B11042" s="207"/>
      <c r="C11042" s="210"/>
      <c r="D11042" s="211"/>
      <c r="E11042" s="211"/>
      <c r="U11042" s="222"/>
    </row>
    <row r="11043" spans="2:21" x14ac:dyDescent="0.2">
      <c r="B11043" s="207"/>
      <c r="C11043" s="210"/>
      <c r="D11043" s="211"/>
      <c r="E11043" s="211"/>
      <c r="U11043" s="222"/>
    </row>
    <row r="11044" spans="2:21" x14ac:dyDescent="0.2">
      <c r="B11044" s="207"/>
      <c r="C11044" s="210"/>
      <c r="D11044" s="211"/>
      <c r="E11044" s="211"/>
      <c r="U11044" s="222"/>
    </row>
    <row r="11045" spans="2:21" x14ac:dyDescent="0.2">
      <c r="B11045" s="207"/>
      <c r="C11045" s="210"/>
      <c r="D11045" s="211"/>
      <c r="E11045" s="211"/>
      <c r="U11045" s="222"/>
    </row>
    <row r="11046" spans="2:21" x14ac:dyDescent="0.2">
      <c r="B11046" s="207"/>
      <c r="C11046" s="210"/>
      <c r="D11046" s="211"/>
      <c r="E11046" s="211"/>
      <c r="U11046" s="222"/>
    </row>
    <row r="11047" spans="2:21" x14ac:dyDescent="0.2">
      <c r="B11047" s="207"/>
      <c r="C11047" s="210"/>
      <c r="D11047" s="211"/>
      <c r="E11047" s="211"/>
      <c r="U11047" s="222"/>
    </row>
    <row r="11048" spans="2:21" x14ac:dyDescent="0.2">
      <c r="B11048" s="207"/>
      <c r="C11048" s="210"/>
      <c r="D11048" s="211"/>
      <c r="E11048" s="211"/>
      <c r="U11048" s="222"/>
    </row>
    <row r="11049" spans="2:21" x14ac:dyDescent="0.2">
      <c r="B11049" s="207"/>
      <c r="C11049" s="210"/>
      <c r="D11049" s="211"/>
      <c r="E11049" s="211"/>
      <c r="U11049" s="222"/>
    </row>
    <row r="11050" spans="2:21" x14ac:dyDescent="0.2">
      <c r="B11050" s="207"/>
      <c r="C11050" s="210"/>
      <c r="D11050" s="211"/>
      <c r="E11050" s="211"/>
      <c r="U11050" s="222"/>
    </row>
    <row r="11051" spans="2:21" x14ac:dyDescent="0.2">
      <c r="B11051" s="207"/>
      <c r="C11051" s="210"/>
      <c r="D11051" s="211"/>
      <c r="E11051" s="211"/>
      <c r="U11051" s="222"/>
    </row>
    <row r="11052" spans="2:21" x14ac:dyDescent="0.2">
      <c r="B11052" s="207"/>
      <c r="C11052" s="210"/>
      <c r="D11052" s="211"/>
      <c r="E11052" s="211"/>
      <c r="U11052" s="222"/>
    </row>
    <row r="11053" spans="2:21" x14ac:dyDescent="0.2">
      <c r="B11053" s="207"/>
      <c r="C11053" s="210"/>
      <c r="D11053" s="211"/>
      <c r="E11053" s="211"/>
      <c r="U11053" s="222"/>
    </row>
    <row r="11054" spans="2:21" x14ac:dyDescent="0.2">
      <c r="B11054" s="207"/>
      <c r="C11054" s="210"/>
      <c r="D11054" s="211"/>
      <c r="E11054" s="211"/>
      <c r="U11054" s="222"/>
    </row>
    <row r="11055" spans="2:21" x14ac:dyDescent="0.2">
      <c r="B11055" s="207"/>
      <c r="C11055" s="210"/>
      <c r="D11055" s="211"/>
      <c r="E11055" s="211"/>
      <c r="U11055" s="222"/>
    </row>
    <row r="11056" spans="2:21" x14ac:dyDescent="0.2">
      <c r="B11056" s="207"/>
      <c r="C11056" s="210"/>
      <c r="D11056" s="211"/>
      <c r="E11056" s="211"/>
      <c r="U11056" s="222"/>
    </row>
    <row r="11057" spans="2:21" x14ac:dyDescent="0.2">
      <c r="B11057" s="207"/>
      <c r="C11057" s="210"/>
      <c r="D11057" s="211"/>
      <c r="E11057" s="211"/>
      <c r="U11057" s="222"/>
    </row>
    <row r="11058" spans="2:21" x14ac:dyDescent="0.2">
      <c r="B11058" s="207"/>
      <c r="C11058" s="210"/>
      <c r="D11058" s="211"/>
      <c r="E11058" s="211"/>
      <c r="U11058" s="222"/>
    </row>
    <row r="11059" spans="2:21" x14ac:dyDescent="0.2">
      <c r="B11059" s="207"/>
      <c r="C11059" s="210"/>
      <c r="D11059" s="211"/>
      <c r="E11059" s="211"/>
      <c r="U11059" s="222"/>
    </row>
    <row r="11060" spans="2:21" x14ac:dyDescent="0.2">
      <c r="B11060" s="207"/>
      <c r="C11060" s="210"/>
      <c r="D11060" s="211"/>
      <c r="E11060" s="211"/>
      <c r="U11060" s="222"/>
    </row>
    <row r="11061" spans="2:21" x14ac:dyDescent="0.2">
      <c r="B11061" s="207"/>
      <c r="C11061" s="210"/>
      <c r="D11061" s="211"/>
      <c r="E11061" s="211"/>
      <c r="U11061" s="222"/>
    </row>
    <row r="11062" spans="2:21" x14ac:dyDescent="0.2">
      <c r="B11062" s="207"/>
      <c r="C11062" s="210"/>
      <c r="D11062" s="211"/>
      <c r="E11062" s="211"/>
      <c r="U11062" s="222"/>
    </row>
    <row r="11063" spans="2:21" x14ac:dyDescent="0.2">
      <c r="B11063" s="207"/>
      <c r="C11063" s="210"/>
      <c r="D11063" s="211"/>
      <c r="E11063" s="211"/>
      <c r="U11063" s="222"/>
    </row>
    <row r="11064" spans="2:21" x14ac:dyDescent="0.2">
      <c r="B11064" s="207"/>
      <c r="C11064" s="210"/>
      <c r="D11064" s="211"/>
      <c r="E11064" s="211"/>
      <c r="U11064" s="222"/>
    </row>
    <row r="11065" spans="2:21" x14ac:dyDescent="0.2">
      <c r="B11065" s="207"/>
      <c r="C11065" s="210"/>
      <c r="D11065" s="211"/>
      <c r="E11065" s="211"/>
      <c r="U11065" s="222"/>
    </row>
    <row r="11066" spans="2:21" x14ac:dyDescent="0.2">
      <c r="B11066" s="207"/>
      <c r="C11066" s="210"/>
      <c r="D11066" s="211"/>
      <c r="E11066" s="211"/>
      <c r="U11066" s="222"/>
    </row>
    <row r="11067" spans="2:21" x14ac:dyDescent="0.2">
      <c r="B11067" s="207"/>
      <c r="C11067" s="210"/>
      <c r="D11067" s="211"/>
      <c r="E11067" s="211"/>
      <c r="U11067" s="222"/>
    </row>
    <row r="11068" spans="2:21" x14ac:dyDescent="0.2">
      <c r="B11068" s="207"/>
      <c r="C11068" s="210"/>
      <c r="D11068" s="211"/>
      <c r="E11068" s="211"/>
      <c r="U11068" s="222"/>
    </row>
    <row r="11069" spans="2:21" x14ac:dyDescent="0.2">
      <c r="B11069" s="207"/>
      <c r="C11069" s="210"/>
      <c r="D11069" s="211"/>
      <c r="E11069" s="211"/>
      <c r="U11069" s="222"/>
    </row>
    <row r="11070" spans="2:21" x14ac:dyDescent="0.2">
      <c r="B11070" s="207"/>
      <c r="C11070" s="210"/>
      <c r="D11070" s="211"/>
      <c r="E11070" s="211"/>
      <c r="U11070" s="222"/>
    </row>
    <row r="11071" spans="2:21" x14ac:dyDescent="0.2">
      <c r="B11071" s="207"/>
      <c r="C11071" s="210"/>
      <c r="D11071" s="211"/>
      <c r="E11071" s="211"/>
      <c r="U11071" s="222"/>
    </row>
    <row r="11072" spans="2:21" x14ac:dyDescent="0.2">
      <c r="B11072" s="207"/>
      <c r="C11072" s="210"/>
      <c r="D11072" s="211"/>
      <c r="E11072" s="211"/>
      <c r="U11072" s="222"/>
    </row>
    <row r="11073" spans="2:21" x14ac:dyDescent="0.2">
      <c r="B11073" s="207"/>
      <c r="C11073" s="210"/>
      <c r="D11073" s="211"/>
      <c r="E11073" s="211"/>
      <c r="U11073" s="222"/>
    </row>
    <row r="11074" spans="2:21" x14ac:dyDescent="0.2">
      <c r="B11074" s="207"/>
      <c r="C11074" s="210"/>
      <c r="D11074" s="211"/>
      <c r="E11074" s="211"/>
      <c r="U11074" s="222"/>
    </row>
    <row r="11075" spans="2:21" x14ac:dyDescent="0.2">
      <c r="B11075" s="207"/>
      <c r="C11075" s="210"/>
      <c r="D11075" s="211"/>
      <c r="E11075" s="211"/>
      <c r="U11075" s="222"/>
    </row>
    <row r="11076" spans="2:21" x14ac:dyDescent="0.2">
      <c r="B11076" s="207"/>
      <c r="C11076" s="210"/>
      <c r="D11076" s="211"/>
      <c r="E11076" s="211"/>
      <c r="U11076" s="222"/>
    </row>
    <row r="11077" spans="2:21" x14ac:dyDescent="0.2">
      <c r="B11077" s="207"/>
      <c r="C11077" s="210"/>
      <c r="D11077" s="211"/>
      <c r="E11077" s="211"/>
      <c r="U11077" s="222"/>
    </row>
    <row r="11078" spans="2:21" x14ac:dyDescent="0.2">
      <c r="B11078" s="207"/>
      <c r="C11078" s="210"/>
      <c r="D11078" s="211"/>
      <c r="E11078" s="211"/>
      <c r="U11078" s="222"/>
    </row>
    <row r="11079" spans="2:21" x14ac:dyDescent="0.2">
      <c r="B11079" s="207"/>
      <c r="C11079" s="210"/>
      <c r="D11079" s="211"/>
      <c r="E11079" s="211"/>
      <c r="U11079" s="222"/>
    </row>
    <row r="11080" spans="2:21" x14ac:dyDescent="0.2">
      <c r="B11080" s="207"/>
      <c r="C11080" s="210"/>
      <c r="D11080" s="211"/>
      <c r="E11080" s="211"/>
      <c r="U11080" s="222"/>
    </row>
    <row r="11081" spans="2:21" x14ac:dyDescent="0.2">
      <c r="B11081" s="207"/>
      <c r="C11081" s="210"/>
      <c r="D11081" s="211"/>
      <c r="E11081" s="211"/>
      <c r="U11081" s="222"/>
    </row>
    <row r="11082" spans="2:21" x14ac:dyDescent="0.2">
      <c r="B11082" s="207"/>
      <c r="C11082" s="210"/>
      <c r="D11082" s="211"/>
      <c r="E11082" s="211"/>
      <c r="U11082" s="222"/>
    </row>
    <row r="11083" spans="2:21" x14ac:dyDescent="0.2">
      <c r="B11083" s="207"/>
      <c r="C11083" s="210"/>
      <c r="D11083" s="211"/>
      <c r="E11083" s="211"/>
      <c r="U11083" s="222"/>
    </row>
    <row r="11084" spans="2:21" x14ac:dyDescent="0.2">
      <c r="B11084" s="207"/>
      <c r="C11084" s="210"/>
      <c r="D11084" s="211"/>
      <c r="E11084" s="211"/>
      <c r="U11084" s="222"/>
    </row>
    <row r="11085" spans="2:21" x14ac:dyDescent="0.2">
      <c r="B11085" s="207"/>
      <c r="C11085" s="210"/>
      <c r="D11085" s="211"/>
      <c r="E11085" s="211"/>
      <c r="U11085" s="222"/>
    </row>
    <row r="11086" spans="2:21" x14ac:dyDescent="0.2">
      <c r="B11086" s="207"/>
      <c r="C11086" s="210"/>
      <c r="D11086" s="211"/>
      <c r="E11086" s="211"/>
      <c r="U11086" s="222"/>
    </row>
    <row r="11087" spans="2:21" x14ac:dyDescent="0.2">
      <c r="B11087" s="207"/>
      <c r="C11087" s="210"/>
      <c r="D11087" s="211"/>
      <c r="E11087" s="211"/>
      <c r="U11087" s="222"/>
    </row>
    <row r="11088" spans="2:21" x14ac:dyDescent="0.2">
      <c r="B11088" s="207"/>
      <c r="C11088" s="210"/>
      <c r="D11088" s="211"/>
      <c r="E11088" s="211"/>
      <c r="U11088" s="222"/>
    </row>
    <row r="11089" spans="2:21" x14ac:dyDescent="0.2">
      <c r="B11089" s="207"/>
      <c r="C11089" s="210"/>
      <c r="D11089" s="211"/>
      <c r="E11089" s="211"/>
      <c r="U11089" s="222"/>
    </row>
    <row r="11090" spans="2:21" x14ac:dyDescent="0.2">
      <c r="B11090" s="207"/>
      <c r="C11090" s="210"/>
      <c r="D11090" s="211"/>
      <c r="E11090" s="211"/>
      <c r="U11090" s="222"/>
    </row>
    <row r="11091" spans="2:21" x14ac:dyDescent="0.2">
      <c r="B11091" s="207"/>
      <c r="C11091" s="210"/>
      <c r="D11091" s="211"/>
      <c r="E11091" s="211"/>
      <c r="U11091" s="222"/>
    </row>
    <row r="11092" spans="2:21" x14ac:dyDescent="0.2">
      <c r="B11092" s="207"/>
      <c r="C11092" s="210"/>
      <c r="D11092" s="211"/>
      <c r="E11092" s="211"/>
      <c r="U11092" s="222"/>
    </row>
    <row r="11093" spans="2:21" x14ac:dyDescent="0.2">
      <c r="B11093" s="207"/>
      <c r="C11093" s="210"/>
      <c r="D11093" s="211"/>
      <c r="E11093" s="211"/>
      <c r="U11093" s="222"/>
    </row>
    <row r="11094" spans="2:21" x14ac:dyDescent="0.2">
      <c r="B11094" s="207"/>
      <c r="C11094" s="210"/>
      <c r="D11094" s="211"/>
      <c r="E11094" s="211"/>
      <c r="U11094" s="222"/>
    </row>
    <row r="11095" spans="2:21" x14ac:dyDescent="0.2">
      <c r="B11095" s="207"/>
      <c r="C11095" s="210"/>
      <c r="D11095" s="211"/>
      <c r="E11095" s="211"/>
      <c r="U11095" s="222"/>
    </row>
    <row r="11096" spans="2:21" x14ac:dyDescent="0.2">
      <c r="B11096" s="207"/>
      <c r="C11096" s="210"/>
      <c r="D11096" s="211"/>
      <c r="E11096" s="211"/>
      <c r="U11096" s="222"/>
    </row>
    <row r="11097" spans="2:21" x14ac:dyDescent="0.2">
      <c r="B11097" s="207"/>
      <c r="C11097" s="210"/>
      <c r="D11097" s="211"/>
      <c r="E11097" s="211"/>
      <c r="U11097" s="222"/>
    </row>
    <row r="11098" spans="2:21" x14ac:dyDescent="0.2">
      <c r="B11098" s="207"/>
      <c r="C11098" s="210"/>
      <c r="D11098" s="211"/>
      <c r="E11098" s="211"/>
      <c r="U11098" s="222"/>
    </row>
    <row r="11099" spans="2:21" x14ac:dyDescent="0.2">
      <c r="B11099" s="207"/>
      <c r="C11099" s="210"/>
      <c r="D11099" s="211"/>
      <c r="E11099" s="211"/>
      <c r="U11099" s="222"/>
    </row>
    <row r="11100" spans="2:21" x14ac:dyDescent="0.2">
      <c r="B11100" s="207"/>
      <c r="C11100" s="210"/>
      <c r="D11100" s="211"/>
      <c r="E11100" s="211"/>
      <c r="U11100" s="222"/>
    </row>
    <row r="11101" spans="2:21" x14ac:dyDescent="0.2">
      <c r="B11101" s="207"/>
      <c r="C11101" s="210"/>
      <c r="D11101" s="211"/>
      <c r="E11101" s="211"/>
      <c r="U11101" s="222"/>
    </row>
    <row r="11102" spans="2:21" x14ac:dyDescent="0.2">
      <c r="B11102" s="207"/>
      <c r="C11102" s="210"/>
      <c r="D11102" s="211"/>
      <c r="E11102" s="211"/>
      <c r="U11102" s="222"/>
    </row>
    <row r="11103" spans="2:21" x14ac:dyDescent="0.2">
      <c r="B11103" s="207"/>
      <c r="C11103" s="210"/>
      <c r="D11103" s="211"/>
      <c r="E11103" s="211"/>
      <c r="U11103" s="222"/>
    </row>
    <row r="11104" spans="2:21" x14ac:dyDescent="0.2">
      <c r="B11104" s="207"/>
      <c r="C11104" s="210"/>
      <c r="D11104" s="211"/>
      <c r="E11104" s="211"/>
      <c r="U11104" s="222"/>
    </row>
    <row r="11105" spans="2:21" x14ac:dyDescent="0.2">
      <c r="B11105" s="207"/>
      <c r="C11105" s="210"/>
      <c r="D11105" s="211"/>
      <c r="E11105" s="211"/>
      <c r="U11105" s="222"/>
    </row>
    <row r="11106" spans="2:21" x14ac:dyDescent="0.2">
      <c r="B11106" s="207"/>
      <c r="C11106" s="210"/>
      <c r="D11106" s="211"/>
      <c r="E11106" s="211"/>
      <c r="U11106" s="222"/>
    </row>
    <row r="11107" spans="2:21" x14ac:dyDescent="0.2">
      <c r="B11107" s="207"/>
      <c r="C11107" s="210"/>
      <c r="D11107" s="211"/>
      <c r="E11107" s="211"/>
      <c r="U11107" s="222"/>
    </row>
    <row r="11108" spans="2:21" x14ac:dyDescent="0.2">
      <c r="B11108" s="207"/>
      <c r="C11108" s="210"/>
      <c r="D11108" s="211"/>
      <c r="E11108" s="211"/>
      <c r="U11108" s="222"/>
    </row>
    <row r="11109" spans="2:21" x14ac:dyDescent="0.2">
      <c r="B11109" s="207"/>
      <c r="C11109" s="210"/>
      <c r="D11109" s="211"/>
      <c r="E11109" s="211"/>
      <c r="U11109" s="222"/>
    </row>
    <row r="11110" spans="2:21" x14ac:dyDescent="0.2">
      <c r="B11110" s="207"/>
      <c r="C11110" s="210"/>
      <c r="D11110" s="211"/>
      <c r="E11110" s="211"/>
      <c r="U11110" s="222"/>
    </row>
    <row r="11111" spans="2:21" x14ac:dyDescent="0.2">
      <c r="B11111" s="207"/>
      <c r="C11111" s="210"/>
      <c r="D11111" s="211"/>
      <c r="E11111" s="211"/>
      <c r="U11111" s="222"/>
    </row>
    <row r="11112" spans="2:21" x14ac:dyDescent="0.2">
      <c r="B11112" s="207"/>
      <c r="C11112" s="210"/>
      <c r="D11112" s="211"/>
      <c r="E11112" s="211"/>
      <c r="U11112" s="222"/>
    </row>
    <row r="11113" spans="2:21" x14ac:dyDescent="0.2">
      <c r="B11113" s="207"/>
      <c r="C11113" s="210"/>
      <c r="D11113" s="211"/>
      <c r="E11113" s="211"/>
      <c r="U11113" s="222"/>
    </row>
    <row r="11114" spans="2:21" x14ac:dyDescent="0.2">
      <c r="B11114" s="207"/>
      <c r="C11114" s="210"/>
      <c r="D11114" s="211"/>
      <c r="E11114" s="211"/>
      <c r="U11114" s="222"/>
    </row>
    <row r="11115" spans="2:21" x14ac:dyDescent="0.2">
      <c r="B11115" s="207"/>
      <c r="C11115" s="210"/>
      <c r="D11115" s="211"/>
      <c r="E11115" s="211"/>
      <c r="U11115" s="222"/>
    </row>
    <row r="11116" spans="2:21" x14ac:dyDescent="0.2">
      <c r="B11116" s="207"/>
      <c r="C11116" s="210"/>
      <c r="D11116" s="211"/>
      <c r="E11116" s="211"/>
      <c r="U11116" s="222"/>
    </row>
    <row r="11117" spans="2:21" x14ac:dyDescent="0.2">
      <c r="B11117" s="207"/>
      <c r="C11117" s="210"/>
      <c r="D11117" s="211"/>
      <c r="E11117" s="211"/>
      <c r="U11117" s="222"/>
    </row>
    <row r="11118" spans="2:21" x14ac:dyDescent="0.2">
      <c r="B11118" s="207"/>
      <c r="C11118" s="210"/>
      <c r="D11118" s="211"/>
      <c r="E11118" s="211"/>
      <c r="U11118" s="222"/>
    </row>
    <row r="11119" spans="2:21" x14ac:dyDescent="0.2">
      <c r="B11119" s="207"/>
      <c r="C11119" s="210"/>
      <c r="D11119" s="211"/>
      <c r="E11119" s="211"/>
      <c r="U11119" s="222"/>
    </row>
    <row r="11120" spans="2:21" x14ac:dyDescent="0.2">
      <c r="B11120" s="207"/>
      <c r="C11120" s="210"/>
      <c r="D11120" s="211"/>
      <c r="E11120" s="211"/>
      <c r="U11120" s="222"/>
    </row>
    <row r="11121" spans="2:21" x14ac:dyDescent="0.2">
      <c r="B11121" s="207"/>
      <c r="C11121" s="210"/>
      <c r="D11121" s="211"/>
      <c r="E11121" s="211"/>
      <c r="U11121" s="222"/>
    </row>
    <row r="11122" spans="2:21" x14ac:dyDescent="0.2">
      <c r="B11122" s="207"/>
      <c r="C11122" s="210"/>
      <c r="D11122" s="211"/>
      <c r="E11122" s="211"/>
      <c r="U11122" s="222"/>
    </row>
    <row r="11123" spans="2:21" x14ac:dyDescent="0.2">
      <c r="B11123" s="207"/>
      <c r="C11123" s="210"/>
      <c r="D11123" s="211"/>
      <c r="E11123" s="211"/>
      <c r="U11123" s="222"/>
    </row>
    <row r="11124" spans="2:21" x14ac:dyDescent="0.2">
      <c r="B11124" s="207"/>
      <c r="C11124" s="210"/>
      <c r="D11124" s="211"/>
      <c r="E11124" s="211"/>
      <c r="U11124" s="222"/>
    </row>
    <row r="11125" spans="2:21" x14ac:dyDescent="0.2">
      <c r="B11125" s="207"/>
      <c r="C11125" s="210"/>
      <c r="D11125" s="211"/>
      <c r="E11125" s="211"/>
      <c r="U11125" s="222"/>
    </row>
    <row r="11126" spans="2:21" x14ac:dyDescent="0.2">
      <c r="B11126" s="207"/>
      <c r="C11126" s="210"/>
      <c r="D11126" s="211"/>
      <c r="E11126" s="211"/>
      <c r="U11126" s="222"/>
    </row>
    <row r="11127" spans="2:21" x14ac:dyDescent="0.2">
      <c r="B11127" s="207"/>
      <c r="C11127" s="210"/>
      <c r="D11127" s="211"/>
      <c r="E11127" s="211"/>
      <c r="U11127" s="222"/>
    </row>
    <row r="11128" spans="2:21" x14ac:dyDescent="0.2">
      <c r="B11128" s="207"/>
      <c r="C11128" s="210"/>
      <c r="D11128" s="211"/>
      <c r="E11128" s="211"/>
      <c r="U11128" s="222"/>
    </row>
    <row r="11129" spans="2:21" x14ac:dyDescent="0.2">
      <c r="B11129" s="207"/>
      <c r="C11129" s="210"/>
      <c r="D11129" s="211"/>
      <c r="E11129" s="211"/>
      <c r="U11129" s="222"/>
    </row>
    <row r="11130" spans="2:21" x14ac:dyDescent="0.2">
      <c r="B11130" s="207"/>
      <c r="C11130" s="210"/>
      <c r="D11130" s="211"/>
      <c r="E11130" s="211"/>
      <c r="U11130" s="222"/>
    </row>
    <row r="11131" spans="2:21" x14ac:dyDescent="0.2">
      <c r="B11131" s="207"/>
      <c r="C11131" s="210"/>
      <c r="D11131" s="211"/>
      <c r="E11131" s="211"/>
      <c r="U11131" s="222"/>
    </row>
    <row r="11132" spans="2:21" x14ac:dyDescent="0.2">
      <c r="B11132" s="207"/>
      <c r="C11132" s="210"/>
      <c r="D11132" s="211"/>
      <c r="E11132" s="211"/>
      <c r="U11132" s="222"/>
    </row>
    <row r="11133" spans="2:21" x14ac:dyDescent="0.2">
      <c r="B11133" s="207"/>
      <c r="C11133" s="210"/>
      <c r="D11133" s="211"/>
      <c r="E11133" s="211"/>
      <c r="U11133" s="222"/>
    </row>
    <row r="11134" spans="2:21" x14ac:dyDescent="0.2">
      <c r="B11134" s="207"/>
      <c r="C11134" s="210"/>
      <c r="D11134" s="211"/>
      <c r="E11134" s="211"/>
      <c r="U11134" s="222"/>
    </row>
    <row r="11135" spans="2:21" x14ac:dyDescent="0.2">
      <c r="B11135" s="207"/>
      <c r="C11135" s="210"/>
      <c r="D11135" s="211"/>
      <c r="E11135" s="211"/>
      <c r="U11135" s="222"/>
    </row>
    <row r="11136" spans="2:21" x14ac:dyDescent="0.2">
      <c r="B11136" s="207"/>
      <c r="C11136" s="210"/>
      <c r="D11136" s="211"/>
      <c r="E11136" s="211"/>
      <c r="U11136" s="222"/>
    </row>
    <row r="11137" spans="2:21" x14ac:dyDescent="0.2">
      <c r="B11137" s="207"/>
      <c r="C11137" s="210"/>
      <c r="D11137" s="211"/>
      <c r="E11137" s="211"/>
      <c r="U11137" s="222"/>
    </row>
    <row r="11138" spans="2:21" x14ac:dyDescent="0.2">
      <c r="B11138" s="207"/>
      <c r="C11138" s="210"/>
      <c r="D11138" s="211"/>
      <c r="E11138" s="211"/>
      <c r="U11138" s="222"/>
    </row>
    <row r="11139" spans="2:21" x14ac:dyDescent="0.2">
      <c r="B11139" s="207"/>
      <c r="C11139" s="210"/>
      <c r="D11139" s="211"/>
      <c r="E11139" s="211"/>
      <c r="U11139" s="222"/>
    </row>
    <row r="11140" spans="2:21" x14ac:dyDescent="0.2">
      <c r="B11140" s="207"/>
      <c r="C11140" s="210"/>
      <c r="D11140" s="211"/>
      <c r="E11140" s="211"/>
      <c r="U11140" s="222"/>
    </row>
    <row r="11141" spans="2:21" x14ac:dyDescent="0.2">
      <c r="B11141" s="207"/>
      <c r="C11141" s="210"/>
      <c r="D11141" s="211"/>
      <c r="E11141" s="211"/>
      <c r="U11141" s="222"/>
    </row>
    <row r="11142" spans="2:21" x14ac:dyDescent="0.2">
      <c r="B11142" s="207"/>
      <c r="C11142" s="210"/>
      <c r="D11142" s="211"/>
      <c r="E11142" s="211"/>
      <c r="U11142" s="222"/>
    </row>
    <row r="11143" spans="2:21" x14ac:dyDescent="0.2">
      <c r="B11143" s="207"/>
      <c r="C11143" s="210"/>
      <c r="D11143" s="211"/>
      <c r="E11143" s="211"/>
      <c r="U11143" s="222"/>
    </row>
    <row r="11144" spans="2:21" x14ac:dyDescent="0.2">
      <c r="B11144" s="207"/>
      <c r="C11144" s="210"/>
      <c r="D11144" s="211"/>
      <c r="E11144" s="211"/>
      <c r="U11144" s="222"/>
    </row>
    <row r="11145" spans="2:21" x14ac:dyDescent="0.2">
      <c r="B11145" s="207"/>
      <c r="C11145" s="210"/>
      <c r="D11145" s="211"/>
      <c r="E11145" s="211"/>
      <c r="U11145" s="222"/>
    </row>
    <row r="11146" spans="2:21" x14ac:dyDescent="0.2">
      <c r="B11146" s="207"/>
      <c r="C11146" s="210"/>
      <c r="D11146" s="211"/>
      <c r="E11146" s="211"/>
      <c r="U11146" s="222"/>
    </row>
    <row r="11147" spans="2:21" x14ac:dyDescent="0.2">
      <c r="B11147" s="207"/>
      <c r="C11147" s="210"/>
      <c r="D11147" s="211"/>
      <c r="E11147" s="211"/>
      <c r="U11147" s="222"/>
    </row>
    <row r="11148" spans="2:21" x14ac:dyDescent="0.2">
      <c r="B11148" s="207"/>
      <c r="C11148" s="210"/>
      <c r="D11148" s="211"/>
      <c r="E11148" s="211"/>
      <c r="U11148" s="222"/>
    </row>
    <row r="11149" spans="2:21" x14ac:dyDescent="0.2">
      <c r="B11149" s="207"/>
      <c r="C11149" s="210"/>
      <c r="D11149" s="211"/>
      <c r="E11149" s="211"/>
      <c r="U11149" s="222"/>
    </row>
    <row r="11150" spans="2:21" x14ac:dyDescent="0.2">
      <c r="B11150" s="207"/>
      <c r="C11150" s="210"/>
      <c r="D11150" s="211"/>
      <c r="E11150" s="211"/>
      <c r="U11150" s="222"/>
    </row>
    <row r="11151" spans="2:21" x14ac:dyDescent="0.2">
      <c r="B11151" s="207"/>
      <c r="C11151" s="210"/>
      <c r="D11151" s="211"/>
      <c r="E11151" s="211"/>
      <c r="U11151" s="222"/>
    </row>
    <row r="11152" spans="2:21" x14ac:dyDescent="0.2">
      <c r="B11152" s="207"/>
      <c r="C11152" s="210"/>
      <c r="D11152" s="211"/>
      <c r="E11152" s="211"/>
      <c r="U11152" s="222"/>
    </row>
    <row r="11153" spans="2:21" x14ac:dyDescent="0.2">
      <c r="B11153" s="207"/>
      <c r="C11153" s="210"/>
      <c r="D11153" s="211"/>
      <c r="E11153" s="211"/>
      <c r="U11153" s="222"/>
    </row>
    <row r="11154" spans="2:21" x14ac:dyDescent="0.2">
      <c r="B11154" s="207"/>
      <c r="C11154" s="210"/>
      <c r="D11154" s="211"/>
      <c r="E11154" s="211"/>
      <c r="U11154" s="222"/>
    </row>
    <row r="11155" spans="2:21" x14ac:dyDescent="0.2">
      <c r="B11155" s="207"/>
      <c r="C11155" s="210"/>
      <c r="D11155" s="211"/>
      <c r="E11155" s="211"/>
      <c r="U11155" s="222"/>
    </row>
    <row r="11156" spans="2:21" x14ac:dyDescent="0.2">
      <c r="B11156" s="207"/>
      <c r="C11156" s="210"/>
      <c r="D11156" s="211"/>
      <c r="E11156" s="211"/>
      <c r="U11156" s="222"/>
    </row>
    <row r="11157" spans="2:21" x14ac:dyDescent="0.2">
      <c r="B11157" s="207"/>
      <c r="C11157" s="210"/>
      <c r="D11157" s="211"/>
      <c r="E11157" s="211"/>
      <c r="U11157" s="222"/>
    </row>
    <row r="11158" spans="2:21" x14ac:dyDescent="0.2">
      <c r="B11158" s="207"/>
      <c r="C11158" s="210"/>
      <c r="D11158" s="211"/>
      <c r="E11158" s="211"/>
      <c r="U11158" s="222"/>
    </row>
    <row r="11159" spans="2:21" x14ac:dyDescent="0.2">
      <c r="B11159" s="207"/>
      <c r="C11159" s="210"/>
      <c r="D11159" s="211"/>
      <c r="E11159" s="211"/>
      <c r="U11159" s="222"/>
    </row>
    <row r="11160" spans="2:21" x14ac:dyDescent="0.2">
      <c r="B11160" s="207"/>
      <c r="C11160" s="210"/>
      <c r="D11160" s="211"/>
      <c r="E11160" s="211"/>
      <c r="U11160" s="222"/>
    </row>
    <row r="11161" spans="2:21" x14ac:dyDescent="0.2">
      <c r="B11161" s="207"/>
      <c r="C11161" s="210"/>
      <c r="D11161" s="211"/>
      <c r="E11161" s="211"/>
      <c r="U11161" s="222"/>
    </row>
    <row r="11162" spans="2:21" x14ac:dyDescent="0.2">
      <c r="B11162" s="207"/>
      <c r="C11162" s="210"/>
      <c r="D11162" s="211"/>
      <c r="E11162" s="211"/>
      <c r="U11162" s="222"/>
    </row>
    <row r="11163" spans="2:21" x14ac:dyDescent="0.2">
      <c r="B11163" s="207"/>
      <c r="C11163" s="210"/>
      <c r="D11163" s="211"/>
      <c r="E11163" s="211"/>
      <c r="U11163" s="222"/>
    </row>
    <row r="11164" spans="2:21" x14ac:dyDescent="0.2">
      <c r="B11164" s="207"/>
      <c r="C11164" s="210"/>
      <c r="D11164" s="211"/>
      <c r="E11164" s="211"/>
      <c r="U11164" s="222"/>
    </row>
    <row r="11165" spans="2:21" x14ac:dyDescent="0.2">
      <c r="B11165" s="207"/>
      <c r="C11165" s="210"/>
      <c r="D11165" s="211"/>
      <c r="E11165" s="211"/>
      <c r="U11165" s="222"/>
    </row>
    <row r="11166" spans="2:21" x14ac:dyDescent="0.2">
      <c r="B11166" s="207"/>
      <c r="C11166" s="210"/>
      <c r="D11166" s="211"/>
      <c r="E11166" s="211"/>
      <c r="U11166" s="222"/>
    </row>
    <row r="11167" spans="2:21" x14ac:dyDescent="0.2">
      <c r="B11167" s="207"/>
      <c r="C11167" s="210"/>
      <c r="D11167" s="211"/>
      <c r="E11167" s="211"/>
      <c r="U11167" s="222"/>
    </row>
    <row r="11168" spans="2:21" x14ac:dyDescent="0.2">
      <c r="B11168" s="207"/>
      <c r="C11168" s="210"/>
      <c r="D11168" s="211"/>
      <c r="E11168" s="211"/>
      <c r="U11168" s="222"/>
    </row>
    <row r="11169" spans="2:21" x14ac:dyDescent="0.2">
      <c r="B11169" s="207"/>
      <c r="C11169" s="210"/>
      <c r="D11169" s="211"/>
      <c r="E11169" s="211"/>
      <c r="U11169" s="222"/>
    </row>
    <row r="11170" spans="2:21" x14ac:dyDescent="0.2">
      <c r="B11170" s="207"/>
      <c r="C11170" s="210"/>
      <c r="D11170" s="211"/>
      <c r="E11170" s="211"/>
      <c r="U11170" s="222"/>
    </row>
    <row r="11171" spans="2:21" x14ac:dyDescent="0.2">
      <c r="B11171" s="207"/>
      <c r="C11171" s="210"/>
      <c r="D11171" s="211"/>
      <c r="E11171" s="211"/>
      <c r="U11171" s="222"/>
    </row>
    <row r="11172" spans="2:21" x14ac:dyDescent="0.2">
      <c r="B11172" s="207"/>
      <c r="C11172" s="210"/>
      <c r="D11172" s="211"/>
      <c r="E11172" s="211"/>
      <c r="U11172" s="222"/>
    </row>
    <row r="11173" spans="2:21" x14ac:dyDescent="0.2">
      <c r="B11173" s="207"/>
      <c r="C11173" s="210"/>
      <c r="D11173" s="211"/>
      <c r="E11173" s="211"/>
      <c r="U11173" s="222"/>
    </row>
    <row r="11174" spans="2:21" x14ac:dyDescent="0.2">
      <c r="B11174" s="207"/>
      <c r="C11174" s="210"/>
      <c r="D11174" s="211"/>
      <c r="E11174" s="211"/>
      <c r="U11174" s="222"/>
    </row>
    <row r="11175" spans="2:21" x14ac:dyDescent="0.2">
      <c r="B11175" s="207"/>
      <c r="C11175" s="210"/>
      <c r="D11175" s="211"/>
      <c r="E11175" s="211"/>
      <c r="U11175" s="222"/>
    </row>
    <row r="11176" spans="2:21" x14ac:dyDescent="0.2">
      <c r="B11176" s="207"/>
      <c r="C11176" s="210"/>
      <c r="D11176" s="211"/>
      <c r="E11176" s="211"/>
      <c r="U11176" s="222"/>
    </row>
    <row r="11177" spans="2:21" x14ac:dyDescent="0.2">
      <c r="B11177" s="207"/>
      <c r="C11177" s="210"/>
      <c r="D11177" s="211"/>
      <c r="E11177" s="211"/>
      <c r="U11177" s="222"/>
    </row>
    <row r="11178" spans="2:21" x14ac:dyDescent="0.2">
      <c r="B11178" s="207"/>
      <c r="C11178" s="210"/>
      <c r="D11178" s="211"/>
      <c r="E11178" s="211"/>
      <c r="U11178" s="222"/>
    </row>
    <row r="11179" spans="2:21" x14ac:dyDescent="0.2">
      <c r="B11179" s="207"/>
      <c r="C11179" s="210"/>
      <c r="D11179" s="211"/>
      <c r="E11179" s="211"/>
      <c r="U11179" s="222"/>
    </row>
    <row r="11180" spans="2:21" x14ac:dyDescent="0.2">
      <c r="B11180" s="207"/>
      <c r="C11180" s="210"/>
      <c r="D11180" s="211"/>
      <c r="E11180" s="211"/>
      <c r="U11180" s="222"/>
    </row>
    <row r="11181" spans="2:21" x14ac:dyDescent="0.2">
      <c r="B11181" s="207"/>
      <c r="C11181" s="210"/>
      <c r="D11181" s="211"/>
      <c r="E11181" s="211"/>
      <c r="U11181" s="222"/>
    </row>
    <row r="11182" spans="2:21" x14ac:dyDescent="0.2">
      <c r="B11182" s="207"/>
      <c r="C11182" s="210"/>
      <c r="D11182" s="211"/>
      <c r="E11182" s="211"/>
      <c r="U11182" s="222"/>
    </row>
    <row r="11183" spans="2:21" x14ac:dyDescent="0.2">
      <c r="B11183" s="207"/>
      <c r="C11183" s="210"/>
      <c r="D11183" s="211"/>
      <c r="E11183" s="211"/>
      <c r="U11183" s="222"/>
    </row>
    <row r="11184" spans="2:21" x14ac:dyDescent="0.2">
      <c r="B11184" s="207"/>
      <c r="C11184" s="210"/>
      <c r="D11184" s="211"/>
      <c r="E11184" s="211"/>
      <c r="U11184" s="222"/>
    </row>
    <row r="11185" spans="2:21" x14ac:dyDescent="0.2">
      <c r="B11185" s="207"/>
      <c r="C11185" s="210"/>
      <c r="D11185" s="211"/>
      <c r="E11185" s="211"/>
      <c r="U11185" s="222"/>
    </row>
    <row r="11186" spans="2:21" x14ac:dyDescent="0.2">
      <c r="B11186" s="207"/>
      <c r="C11186" s="210"/>
      <c r="D11186" s="211"/>
      <c r="E11186" s="211"/>
      <c r="U11186" s="222"/>
    </row>
    <row r="11187" spans="2:21" x14ac:dyDescent="0.2">
      <c r="B11187" s="207"/>
      <c r="C11187" s="210"/>
      <c r="D11187" s="211"/>
      <c r="E11187" s="211"/>
      <c r="U11187" s="222"/>
    </row>
    <row r="11188" spans="2:21" x14ac:dyDescent="0.2">
      <c r="B11188" s="207"/>
      <c r="C11188" s="210"/>
      <c r="D11188" s="211"/>
      <c r="E11188" s="211"/>
      <c r="U11188" s="222"/>
    </row>
    <row r="11189" spans="2:21" x14ac:dyDescent="0.2">
      <c r="B11189" s="207"/>
      <c r="C11189" s="210"/>
      <c r="D11189" s="211"/>
      <c r="E11189" s="211"/>
      <c r="U11189" s="222"/>
    </row>
    <row r="11190" spans="2:21" x14ac:dyDescent="0.2">
      <c r="B11190" s="207"/>
      <c r="C11190" s="210"/>
      <c r="D11190" s="211"/>
      <c r="E11190" s="211"/>
      <c r="U11190" s="222"/>
    </row>
    <row r="11191" spans="2:21" x14ac:dyDescent="0.2">
      <c r="B11191" s="207"/>
      <c r="C11191" s="210"/>
      <c r="D11191" s="211"/>
      <c r="E11191" s="211"/>
      <c r="U11191" s="222"/>
    </row>
    <row r="11192" spans="2:21" x14ac:dyDescent="0.2">
      <c r="B11192" s="207"/>
      <c r="C11192" s="210"/>
      <c r="D11192" s="211"/>
      <c r="E11192" s="211"/>
      <c r="U11192" s="222"/>
    </row>
    <row r="11193" spans="2:21" x14ac:dyDescent="0.2">
      <c r="B11193" s="207"/>
      <c r="C11193" s="210"/>
      <c r="D11193" s="211"/>
      <c r="E11193" s="211"/>
      <c r="U11193" s="222"/>
    </row>
    <row r="11194" spans="2:21" x14ac:dyDescent="0.2">
      <c r="B11194" s="207"/>
      <c r="C11194" s="210"/>
      <c r="D11194" s="211"/>
      <c r="E11194" s="211"/>
      <c r="U11194" s="222"/>
    </row>
    <row r="11195" spans="2:21" x14ac:dyDescent="0.2">
      <c r="B11195" s="207"/>
      <c r="C11195" s="210"/>
      <c r="D11195" s="211"/>
      <c r="E11195" s="211"/>
      <c r="U11195" s="222"/>
    </row>
    <row r="11196" spans="2:21" x14ac:dyDescent="0.2">
      <c r="B11196" s="207"/>
      <c r="C11196" s="210"/>
      <c r="D11196" s="211"/>
      <c r="E11196" s="211"/>
      <c r="U11196" s="222"/>
    </row>
    <row r="11197" spans="2:21" x14ac:dyDescent="0.2">
      <c r="B11197" s="207"/>
      <c r="C11197" s="210"/>
      <c r="D11197" s="211"/>
      <c r="E11197" s="211"/>
      <c r="U11197" s="222"/>
    </row>
    <row r="11198" spans="2:21" x14ac:dyDescent="0.2">
      <c r="B11198" s="207"/>
      <c r="C11198" s="210"/>
      <c r="D11198" s="211"/>
      <c r="E11198" s="211"/>
      <c r="U11198" s="222"/>
    </row>
    <row r="11199" spans="2:21" x14ac:dyDescent="0.2">
      <c r="B11199" s="207"/>
      <c r="C11199" s="210"/>
      <c r="D11199" s="211"/>
      <c r="E11199" s="211"/>
      <c r="U11199" s="222"/>
    </row>
    <row r="11200" spans="2:21" x14ac:dyDescent="0.2">
      <c r="B11200" s="207"/>
      <c r="C11200" s="210"/>
      <c r="D11200" s="211"/>
      <c r="E11200" s="211"/>
      <c r="U11200" s="222"/>
    </row>
    <row r="11201" spans="2:21" x14ac:dyDescent="0.2">
      <c r="B11201" s="207"/>
      <c r="C11201" s="210"/>
      <c r="D11201" s="211"/>
      <c r="E11201" s="211"/>
      <c r="U11201" s="222"/>
    </row>
    <row r="11202" spans="2:21" x14ac:dyDescent="0.2">
      <c r="B11202" s="207"/>
      <c r="C11202" s="210"/>
      <c r="D11202" s="211"/>
      <c r="E11202" s="211"/>
      <c r="U11202" s="222"/>
    </row>
    <row r="11203" spans="2:21" x14ac:dyDescent="0.2">
      <c r="B11203" s="207"/>
      <c r="C11203" s="210"/>
      <c r="D11203" s="211"/>
      <c r="E11203" s="211"/>
      <c r="U11203" s="222"/>
    </row>
    <row r="11204" spans="2:21" x14ac:dyDescent="0.2">
      <c r="B11204" s="207"/>
      <c r="C11204" s="210"/>
      <c r="D11204" s="211"/>
      <c r="E11204" s="211"/>
      <c r="U11204" s="222"/>
    </row>
    <row r="11205" spans="2:21" x14ac:dyDescent="0.2">
      <c r="B11205" s="207"/>
      <c r="C11205" s="210"/>
      <c r="D11205" s="211"/>
      <c r="E11205" s="211"/>
      <c r="U11205" s="222"/>
    </row>
    <row r="11206" spans="2:21" x14ac:dyDescent="0.2">
      <c r="B11206" s="207"/>
      <c r="C11206" s="210"/>
      <c r="D11206" s="211"/>
      <c r="E11206" s="211"/>
      <c r="U11206" s="222"/>
    </row>
    <row r="11207" spans="2:21" x14ac:dyDescent="0.2">
      <c r="B11207" s="207"/>
      <c r="C11207" s="210"/>
      <c r="D11207" s="211"/>
      <c r="E11207" s="211"/>
      <c r="U11207" s="222"/>
    </row>
    <row r="11208" spans="2:21" x14ac:dyDescent="0.2">
      <c r="B11208" s="207"/>
      <c r="C11208" s="210"/>
      <c r="D11208" s="211"/>
      <c r="E11208" s="211"/>
      <c r="U11208" s="222"/>
    </row>
    <row r="11209" spans="2:21" x14ac:dyDescent="0.2">
      <c r="B11209" s="207"/>
      <c r="C11209" s="210"/>
      <c r="D11209" s="211"/>
      <c r="E11209" s="211"/>
      <c r="U11209" s="222"/>
    </row>
    <row r="11210" spans="2:21" x14ac:dyDescent="0.2">
      <c r="B11210" s="207"/>
      <c r="C11210" s="210"/>
      <c r="D11210" s="211"/>
      <c r="E11210" s="211"/>
      <c r="U11210" s="222"/>
    </row>
    <row r="11211" spans="2:21" x14ac:dyDescent="0.2">
      <c r="B11211" s="207"/>
      <c r="C11211" s="210"/>
      <c r="D11211" s="211"/>
      <c r="E11211" s="211"/>
      <c r="U11211" s="222"/>
    </row>
    <row r="11212" spans="2:21" x14ac:dyDescent="0.2">
      <c r="B11212" s="207"/>
      <c r="C11212" s="210"/>
      <c r="D11212" s="211"/>
      <c r="E11212" s="211"/>
      <c r="U11212" s="222"/>
    </row>
    <row r="11213" spans="2:21" x14ac:dyDescent="0.2">
      <c r="B11213" s="207"/>
      <c r="C11213" s="210"/>
      <c r="D11213" s="211"/>
      <c r="E11213" s="211"/>
      <c r="U11213" s="222"/>
    </row>
    <row r="11214" spans="2:21" x14ac:dyDescent="0.2">
      <c r="B11214" s="207"/>
      <c r="C11214" s="210"/>
      <c r="D11214" s="211"/>
      <c r="E11214" s="211"/>
      <c r="U11214" s="222"/>
    </row>
    <row r="11215" spans="2:21" x14ac:dyDescent="0.2">
      <c r="B11215" s="207"/>
      <c r="C11215" s="210"/>
      <c r="D11215" s="211"/>
      <c r="E11215" s="211"/>
      <c r="U11215" s="222"/>
    </row>
    <row r="11216" spans="2:21" x14ac:dyDescent="0.2">
      <c r="B11216" s="207"/>
      <c r="C11216" s="210"/>
      <c r="D11216" s="211"/>
      <c r="E11216" s="211"/>
      <c r="U11216" s="222"/>
    </row>
    <row r="11217" spans="2:21" x14ac:dyDescent="0.2">
      <c r="B11217" s="207"/>
      <c r="C11217" s="210"/>
      <c r="D11217" s="211"/>
      <c r="E11217" s="211"/>
      <c r="U11217" s="222"/>
    </row>
    <row r="11218" spans="2:21" x14ac:dyDescent="0.2">
      <c r="B11218" s="207"/>
      <c r="C11218" s="210"/>
      <c r="D11218" s="211"/>
      <c r="E11218" s="211"/>
      <c r="U11218" s="222"/>
    </row>
    <row r="11219" spans="2:21" x14ac:dyDescent="0.2">
      <c r="B11219" s="207"/>
      <c r="C11219" s="210"/>
      <c r="D11219" s="211"/>
      <c r="E11219" s="211"/>
      <c r="U11219" s="222"/>
    </row>
    <row r="11220" spans="2:21" x14ac:dyDescent="0.2">
      <c r="B11220" s="207"/>
      <c r="C11220" s="210"/>
      <c r="D11220" s="211"/>
      <c r="E11220" s="211"/>
      <c r="U11220" s="222"/>
    </row>
    <row r="11221" spans="2:21" x14ac:dyDescent="0.2">
      <c r="B11221" s="207"/>
      <c r="C11221" s="210"/>
      <c r="D11221" s="211"/>
      <c r="E11221" s="211"/>
      <c r="U11221" s="222"/>
    </row>
    <row r="11222" spans="2:21" x14ac:dyDescent="0.2">
      <c r="B11222" s="207"/>
      <c r="C11222" s="210"/>
      <c r="D11222" s="211"/>
      <c r="E11222" s="211"/>
      <c r="U11222" s="222"/>
    </row>
    <row r="11223" spans="2:21" x14ac:dyDescent="0.2">
      <c r="B11223" s="207"/>
      <c r="C11223" s="210"/>
      <c r="D11223" s="211"/>
      <c r="E11223" s="211"/>
      <c r="U11223" s="222"/>
    </row>
    <row r="11224" spans="2:21" x14ac:dyDescent="0.2">
      <c r="B11224" s="207"/>
      <c r="C11224" s="210"/>
      <c r="D11224" s="211"/>
      <c r="E11224" s="211"/>
      <c r="U11224" s="222"/>
    </row>
    <row r="11225" spans="2:21" x14ac:dyDescent="0.2">
      <c r="B11225" s="207"/>
      <c r="C11225" s="210"/>
      <c r="D11225" s="211"/>
      <c r="E11225" s="211"/>
      <c r="U11225" s="222"/>
    </row>
    <row r="11226" spans="2:21" x14ac:dyDescent="0.2">
      <c r="B11226" s="207"/>
      <c r="C11226" s="210"/>
      <c r="D11226" s="211"/>
      <c r="E11226" s="211"/>
      <c r="U11226" s="222"/>
    </row>
    <row r="11227" spans="2:21" x14ac:dyDescent="0.2">
      <c r="B11227" s="207"/>
      <c r="C11227" s="210"/>
      <c r="D11227" s="211"/>
      <c r="E11227" s="211"/>
      <c r="U11227" s="222"/>
    </row>
    <row r="11228" spans="2:21" x14ac:dyDescent="0.2">
      <c r="B11228" s="207"/>
      <c r="C11228" s="210"/>
      <c r="D11228" s="211"/>
      <c r="E11228" s="211"/>
      <c r="U11228" s="222"/>
    </row>
    <row r="11229" spans="2:21" x14ac:dyDescent="0.2">
      <c r="B11229" s="207"/>
      <c r="C11229" s="210"/>
      <c r="D11229" s="211"/>
      <c r="E11229" s="211"/>
      <c r="U11229" s="222"/>
    </row>
    <row r="11230" spans="2:21" x14ac:dyDescent="0.2">
      <c r="B11230" s="207"/>
      <c r="C11230" s="210"/>
      <c r="D11230" s="211"/>
      <c r="E11230" s="211"/>
      <c r="U11230" s="222"/>
    </row>
    <row r="11231" spans="2:21" x14ac:dyDescent="0.2">
      <c r="B11231" s="207"/>
      <c r="C11231" s="210"/>
      <c r="D11231" s="211"/>
      <c r="E11231" s="211"/>
      <c r="U11231" s="222"/>
    </row>
    <row r="11232" spans="2:21" x14ac:dyDescent="0.2">
      <c r="B11232" s="207"/>
      <c r="C11232" s="210"/>
      <c r="D11232" s="211"/>
      <c r="E11232" s="211"/>
      <c r="U11232" s="222"/>
    </row>
    <row r="11233" spans="2:21" x14ac:dyDescent="0.2">
      <c r="B11233" s="207"/>
      <c r="C11233" s="210"/>
      <c r="D11233" s="211"/>
      <c r="E11233" s="211"/>
      <c r="U11233" s="222"/>
    </row>
    <row r="11234" spans="2:21" x14ac:dyDescent="0.2">
      <c r="B11234" s="207"/>
      <c r="C11234" s="210"/>
      <c r="D11234" s="211"/>
      <c r="E11234" s="211"/>
      <c r="U11234" s="222"/>
    </row>
    <row r="11235" spans="2:21" x14ac:dyDescent="0.2">
      <c r="B11235" s="207"/>
      <c r="C11235" s="210"/>
      <c r="D11235" s="211"/>
      <c r="E11235" s="211"/>
      <c r="U11235" s="222"/>
    </row>
    <row r="11236" spans="2:21" x14ac:dyDescent="0.2">
      <c r="B11236" s="207"/>
      <c r="C11236" s="210"/>
      <c r="D11236" s="211"/>
      <c r="E11236" s="211"/>
      <c r="U11236" s="222"/>
    </row>
    <row r="11237" spans="2:21" x14ac:dyDescent="0.2">
      <c r="B11237" s="207"/>
      <c r="C11237" s="210"/>
      <c r="D11237" s="211"/>
      <c r="E11237" s="211"/>
      <c r="U11237" s="222"/>
    </row>
    <row r="11238" spans="2:21" x14ac:dyDescent="0.2">
      <c r="B11238" s="207"/>
      <c r="C11238" s="210"/>
      <c r="D11238" s="211"/>
      <c r="E11238" s="211"/>
      <c r="U11238" s="222"/>
    </row>
    <row r="11239" spans="2:21" x14ac:dyDescent="0.2">
      <c r="B11239" s="207"/>
      <c r="C11239" s="210"/>
      <c r="D11239" s="211"/>
      <c r="E11239" s="211"/>
      <c r="U11239" s="222"/>
    </row>
    <row r="11240" spans="2:21" x14ac:dyDescent="0.2">
      <c r="B11240" s="207"/>
      <c r="C11240" s="210"/>
      <c r="D11240" s="211"/>
      <c r="E11240" s="211"/>
      <c r="U11240" s="222"/>
    </row>
    <row r="11241" spans="2:21" x14ac:dyDescent="0.2">
      <c r="B11241" s="207"/>
      <c r="C11241" s="210"/>
      <c r="D11241" s="211"/>
      <c r="E11241" s="211"/>
      <c r="U11241" s="222"/>
    </row>
    <row r="11242" spans="2:21" x14ac:dyDescent="0.2">
      <c r="B11242" s="207"/>
      <c r="C11242" s="210"/>
      <c r="D11242" s="211"/>
      <c r="E11242" s="211"/>
      <c r="U11242" s="222"/>
    </row>
    <row r="11243" spans="2:21" x14ac:dyDescent="0.2">
      <c r="B11243" s="207"/>
      <c r="C11243" s="210"/>
      <c r="D11243" s="211"/>
      <c r="E11243" s="211"/>
      <c r="U11243" s="222"/>
    </row>
    <row r="11244" spans="2:21" x14ac:dyDescent="0.2">
      <c r="B11244" s="207"/>
      <c r="C11244" s="210"/>
      <c r="D11244" s="211"/>
      <c r="E11244" s="211"/>
      <c r="U11244" s="222"/>
    </row>
    <row r="11245" spans="2:21" x14ac:dyDescent="0.2">
      <c r="B11245" s="207"/>
      <c r="C11245" s="210"/>
      <c r="D11245" s="211"/>
      <c r="E11245" s="211"/>
      <c r="U11245" s="222"/>
    </row>
    <row r="11246" spans="2:21" x14ac:dyDescent="0.2">
      <c r="B11246" s="207"/>
      <c r="C11246" s="210"/>
      <c r="D11246" s="211"/>
      <c r="E11246" s="211"/>
      <c r="U11246" s="222"/>
    </row>
    <row r="11247" spans="2:21" x14ac:dyDescent="0.2">
      <c r="B11247" s="207"/>
      <c r="C11247" s="210"/>
      <c r="D11247" s="211"/>
      <c r="E11247" s="211"/>
      <c r="U11247" s="222"/>
    </row>
    <row r="11248" spans="2:21" x14ac:dyDescent="0.2">
      <c r="B11248" s="207"/>
      <c r="C11248" s="210"/>
      <c r="D11248" s="211"/>
      <c r="E11248" s="211"/>
      <c r="U11248" s="222"/>
    </row>
    <row r="11249" spans="2:21" x14ac:dyDescent="0.2">
      <c r="B11249" s="207"/>
      <c r="C11249" s="210"/>
      <c r="D11249" s="211"/>
      <c r="E11249" s="211"/>
      <c r="U11249" s="222"/>
    </row>
    <row r="11250" spans="2:21" x14ac:dyDescent="0.2">
      <c r="B11250" s="207"/>
      <c r="C11250" s="210"/>
      <c r="D11250" s="211"/>
      <c r="E11250" s="211"/>
      <c r="U11250" s="222"/>
    </row>
    <row r="11251" spans="2:21" x14ac:dyDescent="0.2">
      <c r="B11251" s="207"/>
      <c r="C11251" s="210"/>
      <c r="D11251" s="211"/>
      <c r="E11251" s="211"/>
      <c r="U11251" s="222"/>
    </row>
    <row r="11252" spans="2:21" x14ac:dyDescent="0.2">
      <c r="B11252" s="207"/>
      <c r="C11252" s="210"/>
      <c r="D11252" s="211"/>
      <c r="E11252" s="211"/>
      <c r="U11252" s="222"/>
    </row>
    <row r="11253" spans="2:21" x14ac:dyDescent="0.2">
      <c r="B11253" s="207"/>
      <c r="C11253" s="210"/>
      <c r="D11253" s="211"/>
      <c r="E11253" s="211"/>
      <c r="U11253" s="222"/>
    </row>
    <row r="11254" spans="2:21" x14ac:dyDescent="0.2">
      <c r="B11254" s="207"/>
      <c r="C11254" s="210"/>
      <c r="D11254" s="211"/>
      <c r="E11254" s="211"/>
      <c r="U11254" s="222"/>
    </row>
    <row r="11255" spans="2:21" x14ac:dyDescent="0.2">
      <c r="B11255" s="207"/>
      <c r="C11255" s="210"/>
      <c r="D11255" s="211"/>
      <c r="E11255" s="211"/>
      <c r="U11255" s="222"/>
    </row>
    <row r="11256" spans="2:21" x14ac:dyDescent="0.2">
      <c r="B11256" s="207"/>
      <c r="C11256" s="210"/>
      <c r="D11256" s="211"/>
      <c r="E11256" s="211"/>
      <c r="U11256" s="222"/>
    </row>
    <row r="11257" spans="2:21" x14ac:dyDescent="0.2">
      <c r="B11257" s="207"/>
      <c r="C11257" s="210"/>
      <c r="D11257" s="211"/>
      <c r="E11257" s="211"/>
      <c r="U11257" s="222"/>
    </row>
    <row r="11258" spans="2:21" x14ac:dyDescent="0.2">
      <c r="B11258" s="207"/>
      <c r="C11258" s="210"/>
      <c r="D11258" s="211"/>
      <c r="E11258" s="211"/>
      <c r="U11258" s="222"/>
    </row>
    <row r="11259" spans="2:21" x14ac:dyDescent="0.2">
      <c r="B11259" s="207"/>
      <c r="C11259" s="210"/>
      <c r="D11259" s="211"/>
      <c r="E11259" s="211"/>
      <c r="U11259" s="222"/>
    </row>
    <row r="11260" spans="2:21" x14ac:dyDescent="0.2">
      <c r="B11260" s="207"/>
      <c r="C11260" s="210"/>
      <c r="D11260" s="211"/>
      <c r="E11260" s="211"/>
      <c r="U11260" s="222"/>
    </row>
    <row r="11261" spans="2:21" x14ac:dyDescent="0.2">
      <c r="B11261" s="207"/>
      <c r="C11261" s="210"/>
      <c r="D11261" s="211"/>
      <c r="E11261" s="211"/>
      <c r="U11261" s="222"/>
    </row>
    <row r="11262" spans="2:21" x14ac:dyDescent="0.2">
      <c r="B11262" s="207"/>
      <c r="C11262" s="210"/>
      <c r="D11262" s="211"/>
      <c r="E11262" s="211"/>
      <c r="U11262" s="222"/>
    </row>
    <row r="11263" spans="2:21" x14ac:dyDescent="0.2">
      <c r="B11263" s="207"/>
      <c r="C11263" s="210"/>
      <c r="D11263" s="211"/>
      <c r="E11263" s="211"/>
      <c r="U11263" s="222"/>
    </row>
    <row r="11264" spans="2:21" x14ac:dyDescent="0.2">
      <c r="B11264" s="207"/>
      <c r="C11264" s="210"/>
      <c r="D11264" s="211"/>
      <c r="E11264" s="211"/>
      <c r="U11264" s="222"/>
    </row>
    <row r="11265" spans="2:21" x14ac:dyDescent="0.2">
      <c r="B11265" s="207"/>
      <c r="C11265" s="210"/>
      <c r="D11265" s="211"/>
      <c r="E11265" s="211"/>
      <c r="U11265" s="222"/>
    </row>
    <row r="11266" spans="2:21" x14ac:dyDescent="0.2">
      <c r="B11266" s="207"/>
      <c r="C11266" s="210"/>
      <c r="D11266" s="211"/>
      <c r="E11266" s="211"/>
      <c r="U11266" s="222"/>
    </row>
    <row r="11267" spans="2:21" x14ac:dyDescent="0.2">
      <c r="B11267" s="207"/>
      <c r="C11267" s="210"/>
      <c r="D11267" s="211"/>
      <c r="E11267" s="211"/>
      <c r="U11267" s="222"/>
    </row>
    <row r="11268" spans="2:21" x14ac:dyDescent="0.2">
      <c r="B11268" s="207"/>
      <c r="C11268" s="210"/>
      <c r="D11268" s="211"/>
      <c r="E11268" s="211"/>
      <c r="U11268" s="222"/>
    </row>
    <row r="11269" spans="2:21" x14ac:dyDescent="0.2">
      <c r="B11269" s="207"/>
      <c r="C11269" s="210"/>
      <c r="D11269" s="211"/>
      <c r="E11269" s="211"/>
      <c r="U11269" s="222"/>
    </row>
    <row r="11270" spans="2:21" x14ac:dyDescent="0.2">
      <c r="B11270" s="207"/>
      <c r="C11270" s="210"/>
      <c r="D11270" s="211"/>
      <c r="E11270" s="211"/>
      <c r="U11270" s="222"/>
    </row>
    <row r="11271" spans="2:21" x14ac:dyDescent="0.2">
      <c r="B11271" s="207"/>
      <c r="C11271" s="210"/>
      <c r="D11271" s="211"/>
      <c r="E11271" s="211"/>
      <c r="U11271" s="222"/>
    </row>
    <row r="11272" spans="2:21" x14ac:dyDescent="0.2">
      <c r="B11272" s="207"/>
      <c r="C11272" s="210"/>
      <c r="D11272" s="211"/>
      <c r="E11272" s="211"/>
      <c r="U11272" s="222"/>
    </row>
    <row r="11273" spans="2:21" x14ac:dyDescent="0.2">
      <c r="B11273" s="207"/>
      <c r="C11273" s="210"/>
      <c r="D11273" s="211"/>
      <c r="E11273" s="211"/>
      <c r="U11273" s="222"/>
    </row>
    <row r="11274" spans="2:21" x14ac:dyDescent="0.2">
      <c r="B11274" s="207"/>
      <c r="C11274" s="210"/>
      <c r="D11274" s="211"/>
      <c r="E11274" s="211"/>
      <c r="U11274" s="222"/>
    </row>
    <row r="11275" spans="2:21" x14ac:dyDescent="0.2">
      <c r="B11275" s="207"/>
      <c r="C11275" s="210"/>
      <c r="D11275" s="211"/>
      <c r="E11275" s="211"/>
      <c r="U11275" s="222"/>
    </row>
    <row r="11276" spans="2:21" x14ac:dyDescent="0.2">
      <c r="B11276" s="207"/>
      <c r="C11276" s="210"/>
      <c r="D11276" s="211"/>
      <c r="E11276" s="211"/>
      <c r="U11276" s="222"/>
    </row>
    <row r="11277" spans="2:21" x14ac:dyDescent="0.2">
      <c r="B11277" s="207"/>
      <c r="C11277" s="210"/>
      <c r="D11277" s="211"/>
      <c r="E11277" s="211"/>
      <c r="U11277" s="222"/>
    </row>
    <row r="11278" spans="2:21" x14ac:dyDescent="0.2">
      <c r="B11278" s="207"/>
      <c r="C11278" s="210"/>
      <c r="D11278" s="211"/>
      <c r="E11278" s="211"/>
      <c r="U11278" s="222"/>
    </row>
    <row r="11279" spans="2:21" x14ac:dyDescent="0.2">
      <c r="B11279" s="207"/>
      <c r="C11279" s="210"/>
      <c r="D11279" s="211"/>
      <c r="E11279" s="211"/>
      <c r="U11279" s="222"/>
    </row>
    <row r="11280" spans="2:21" x14ac:dyDescent="0.2">
      <c r="B11280" s="207"/>
      <c r="C11280" s="210"/>
      <c r="D11280" s="211"/>
      <c r="E11280" s="211"/>
      <c r="U11280" s="222"/>
    </row>
    <row r="11281" spans="2:21" x14ac:dyDescent="0.2">
      <c r="B11281" s="207"/>
      <c r="C11281" s="210"/>
      <c r="D11281" s="211"/>
      <c r="E11281" s="211"/>
      <c r="U11281" s="222"/>
    </row>
    <row r="11282" spans="2:21" x14ac:dyDescent="0.2">
      <c r="B11282" s="207"/>
      <c r="C11282" s="210"/>
      <c r="D11282" s="211"/>
      <c r="E11282" s="211"/>
      <c r="U11282" s="222"/>
    </row>
    <row r="11283" spans="2:21" x14ac:dyDescent="0.2">
      <c r="B11283" s="207"/>
      <c r="C11283" s="210"/>
      <c r="D11283" s="211"/>
      <c r="E11283" s="211"/>
      <c r="U11283" s="222"/>
    </row>
    <row r="11284" spans="2:21" x14ac:dyDescent="0.2">
      <c r="B11284" s="207"/>
      <c r="C11284" s="210"/>
      <c r="D11284" s="211"/>
      <c r="E11284" s="211"/>
      <c r="U11284" s="222"/>
    </row>
    <row r="11285" spans="2:21" x14ac:dyDescent="0.2">
      <c r="B11285" s="207"/>
      <c r="C11285" s="210"/>
      <c r="D11285" s="211"/>
      <c r="E11285" s="211"/>
      <c r="U11285" s="222"/>
    </row>
    <row r="11286" spans="2:21" x14ac:dyDescent="0.2">
      <c r="B11286" s="207"/>
      <c r="C11286" s="210"/>
      <c r="D11286" s="211"/>
      <c r="E11286" s="211"/>
      <c r="U11286" s="222"/>
    </row>
    <row r="11287" spans="2:21" x14ac:dyDescent="0.2">
      <c r="B11287" s="207"/>
      <c r="C11287" s="210"/>
      <c r="D11287" s="211"/>
      <c r="E11287" s="211"/>
      <c r="U11287" s="222"/>
    </row>
    <row r="11288" spans="2:21" x14ac:dyDescent="0.2">
      <c r="B11288" s="207"/>
      <c r="C11288" s="210"/>
      <c r="D11288" s="211"/>
      <c r="E11288" s="211"/>
      <c r="U11288" s="222"/>
    </row>
    <row r="11289" spans="2:21" x14ac:dyDescent="0.2">
      <c r="B11289" s="207"/>
      <c r="C11289" s="210"/>
      <c r="D11289" s="211"/>
      <c r="E11289" s="211"/>
      <c r="U11289" s="222"/>
    </row>
    <row r="11290" spans="2:21" x14ac:dyDescent="0.2">
      <c r="B11290" s="207"/>
      <c r="C11290" s="210"/>
      <c r="D11290" s="211"/>
      <c r="E11290" s="211"/>
      <c r="U11290" s="222"/>
    </row>
    <row r="11291" spans="2:21" x14ac:dyDescent="0.2">
      <c r="B11291" s="207"/>
      <c r="C11291" s="210"/>
      <c r="D11291" s="211"/>
      <c r="E11291" s="211"/>
      <c r="U11291" s="222"/>
    </row>
    <row r="11292" spans="2:21" x14ac:dyDescent="0.2">
      <c r="B11292" s="207"/>
      <c r="C11292" s="210"/>
      <c r="D11292" s="211"/>
      <c r="E11292" s="211"/>
      <c r="U11292" s="222"/>
    </row>
    <row r="11293" spans="2:21" x14ac:dyDescent="0.2">
      <c r="B11293" s="207"/>
      <c r="C11293" s="210"/>
      <c r="D11293" s="211"/>
      <c r="E11293" s="211"/>
      <c r="U11293" s="222"/>
    </row>
    <row r="11294" spans="2:21" x14ac:dyDescent="0.2">
      <c r="B11294" s="207"/>
      <c r="C11294" s="210"/>
      <c r="D11294" s="211"/>
      <c r="E11294" s="211"/>
      <c r="U11294" s="222"/>
    </row>
    <row r="11295" spans="2:21" x14ac:dyDescent="0.2">
      <c r="B11295" s="207"/>
      <c r="C11295" s="210"/>
      <c r="D11295" s="211"/>
      <c r="E11295" s="211"/>
      <c r="U11295" s="222"/>
    </row>
    <row r="11296" spans="2:21" x14ac:dyDescent="0.2">
      <c r="B11296" s="207"/>
      <c r="C11296" s="210"/>
      <c r="D11296" s="211"/>
      <c r="E11296" s="211"/>
      <c r="U11296" s="222"/>
    </row>
    <row r="11297" spans="2:21" x14ac:dyDescent="0.2">
      <c r="B11297" s="207"/>
      <c r="C11297" s="210"/>
      <c r="D11297" s="211"/>
      <c r="E11297" s="211"/>
      <c r="U11297" s="222"/>
    </row>
    <row r="11298" spans="2:21" x14ac:dyDescent="0.2">
      <c r="B11298" s="207"/>
      <c r="C11298" s="210"/>
      <c r="D11298" s="211"/>
      <c r="E11298" s="211"/>
      <c r="U11298" s="222"/>
    </row>
    <row r="11299" spans="2:21" x14ac:dyDescent="0.2">
      <c r="B11299" s="207"/>
      <c r="C11299" s="210"/>
      <c r="D11299" s="211"/>
      <c r="E11299" s="211"/>
      <c r="U11299" s="222"/>
    </row>
    <row r="11300" spans="2:21" x14ac:dyDescent="0.2">
      <c r="B11300" s="207"/>
      <c r="C11300" s="210"/>
      <c r="D11300" s="211"/>
      <c r="E11300" s="211"/>
      <c r="U11300" s="222"/>
    </row>
    <row r="11301" spans="2:21" x14ac:dyDescent="0.2">
      <c r="B11301" s="207"/>
      <c r="C11301" s="210"/>
      <c r="D11301" s="211"/>
      <c r="E11301" s="211"/>
      <c r="U11301" s="222"/>
    </row>
    <row r="11302" spans="2:21" x14ac:dyDescent="0.2">
      <c r="B11302" s="207"/>
      <c r="C11302" s="210"/>
      <c r="D11302" s="211"/>
      <c r="E11302" s="211"/>
      <c r="U11302" s="222"/>
    </row>
    <row r="11303" spans="2:21" x14ac:dyDescent="0.2">
      <c r="B11303" s="207"/>
      <c r="C11303" s="210"/>
      <c r="D11303" s="211"/>
      <c r="E11303" s="211"/>
      <c r="U11303" s="222"/>
    </row>
    <row r="11304" spans="2:21" x14ac:dyDescent="0.2">
      <c r="B11304" s="207"/>
      <c r="C11304" s="210"/>
      <c r="D11304" s="211"/>
      <c r="E11304" s="211"/>
      <c r="U11304" s="222"/>
    </row>
    <row r="11305" spans="2:21" x14ac:dyDescent="0.2">
      <c r="B11305" s="207"/>
      <c r="C11305" s="210"/>
      <c r="D11305" s="211"/>
      <c r="E11305" s="211"/>
      <c r="U11305" s="222"/>
    </row>
    <row r="11306" spans="2:21" x14ac:dyDescent="0.2">
      <c r="B11306" s="207"/>
      <c r="C11306" s="210"/>
      <c r="D11306" s="211"/>
      <c r="E11306" s="211"/>
      <c r="U11306" s="222"/>
    </row>
    <row r="11307" spans="2:21" x14ac:dyDescent="0.2">
      <c r="B11307" s="207"/>
      <c r="C11307" s="210"/>
      <c r="D11307" s="211"/>
      <c r="E11307" s="211"/>
      <c r="U11307" s="222"/>
    </row>
    <row r="11308" spans="2:21" x14ac:dyDescent="0.2">
      <c r="B11308" s="207"/>
      <c r="C11308" s="210"/>
      <c r="D11308" s="211"/>
      <c r="E11308" s="211"/>
      <c r="U11308" s="222"/>
    </row>
    <row r="11309" spans="2:21" x14ac:dyDescent="0.2">
      <c r="B11309" s="207"/>
      <c r="C11309" s="210"/>
      <c r="D11309" s="211"/>
      <c r="E11309" s="211"/>
      <c r="U11309" s="222"/>
    </row>
    <row r="11310" spans="2:21" x14ac:dyDescent="0.2">
      <c r="B11310" s="207"/>
      <c r="C11310" s="210"/>
      <c r="D11310" s="211"/>
      <c r="E11310" s="211"/>
      <c r="U11310" s="222"/>
    </row>
    <row r="11311" spans="2:21" x14ac:dyDescent="0.2">
      <c r="B11311" s="207"/>
      <c r="C11311" s="210"/>
      <c r="D11311" s="211"/>
      <c r="E11311" s="211"/>
      <c r="U11311" s="222"/>
    </row>
    <row r="11312" spans="2:21" x14ac:dyDescent="0.2">
      <c r="B11312" s="207"/>
      <c r="C11312" s="210"/>
      <c r="D11312" s="211"/>
      <c r="E11312" s="211"/>
      <c r="U11312" s="222"/>
    </row>
    <row r="11313" spans="2:21" x14ac:dyDescent="0.2">
      <c r="B11313" s="207"/>
      <c r="C11313" s="210"/>
      <c r="D11313" s="211"/>
      <c r="E11313" s="211"/>
      <c r="U11313" s="222"/>
    </row>
    <row r="11314" spans="2:21" x14ac:dyDescent="0.2">
      <c r="B11314" s="207"/>
      <c r="C11314" s="210"/>
      <c r="D11314" s="211"/>
      <c r="E11314" s="211"/>
      <c r="U11314" s="222"/>
    </row>
    <row r="11315" spans="2:21" x14ac:dyDescent="0.2">
      <c r="B11315" s="207"/>
      <c r="C11315" s="210"/>
      <c r="D11315" s="211"/>
      <c r="E11315" s="211"/>
      <c r="U11315" s="222"/>
    </row>
    <row r="11316" spans="2:21" x14ac:dyDescent="0.2">
      <c r="B11316" s="207"/>
      <c r="C11316" s="210"/>
      <c r="D11316" s="211"/>
      <c r="E11316" s="211"/>
      <c r="U11316" s="222"/>
    </row>
    <row r="11317" spans="2:21" x14ac:dyDescent="0.2">
      <c r="B11317" s="207"/>
      <c r="C11317" s="210"/>
      <c r="D11317" s="211"/>
      <c r="E11317" s="211"/>
      <c r="U11317" s="222"/>
    </row>
    <row r="11318" spans="2:21" x14ac:dyDescent="0.2">
      <c r="B11318" s="207"/>
      <c r="C11318" s="210"/>
      <c r="D11318" s="211"/>
      <c r="E11318" s="211"/>
      <c r="U11318" s="222"/>
    </row>
    <row r="11319" spans="2:21" x14ac:dyDescent="0.2">
      <c r="B11319" s="207"/>
      <c r="C11319" s="210"/>
      <c r="D11319" s="211"/>
      <c r="E11319" s="211"/>
      <c r="U11319" s="222"/>
    </row>
    <row r="11320" spans="2:21" x14ac:dyDescent="0.2">
      <c r="B11320" s="207"/>
      <c r="C11320" s="210"/>
      <c r="D11320" s="211"/>
      <c r="E11320" s="211"/>
      <c r="U11320" s="222"/>
    </row>
    <row r="11321" spans="2:21" x14ac:dyDescent="0.2">
      <c r="B11321" s="207"/>
      <c r="C11321" s="210"/>
      <c r="D11321" s="211"/>
      <c r="E11321" s="211"/>
      <c r="U11321" s="222"/>
    </row>
    <row r="11322" spans="2:21" x14ac:dyDescent="0.2">
      <c r="B11322" s="207"/>
      <c r="C11322" s="210"/>
      <c r="D11322" s="211"/>
      <c r="E11322" s="211"/>
      <c r="U11322" s="222"/>
    </row>
    <row r="11323" spans="2:21" x14ac:dyDescent="0.2">
      <c r="B11323" s="207"/>
      <c r="C11323" s="210"/>
      <c r="D11323" s="211"/>
      <c r="E11323" s="211"/>
      <c r="U11323" s="222"/>
    </row>
    <row r="11324" spans="2:21" x14ac:dyDescent="0.2">
      <c r="B11324" s="207"/>
      <c r="C11324" s="210"/>
      <c r="D11324" s="211"/>
      <c r="E11324" s="211"/>
      <c r="U11324" s="222"/>
    </row>
    <row r="11325" spans="2:21" x14ac:dyDescent="0.2">
      <c r="B11325" s="207"/>
      <c r="C11325" s="210"/>
      <c r="D11325" s="211"/>
      <c r="E11325" s="211"/>
      <c r="U11325" s="222"/>
    </row>
    <row r="11326" spans="2:21" x14ac:dyDescent="0.2">
      <c r="B11326" s="207"/>
      <c r="C11326" s="210"/>
      <c r="D11326" s="211"/>
      <c r="E11326" s="211"/>
      <c r="U11326" s="222"/>
    </row>
    <row r="11327" spans="2:21" x14ac:dyDescent="0.2">
      <c r="B11327" s="207"/>
      <c r="C11327" s="210"/>
      <c r="D11327" s="211"/>
      <c r="E11327" s="211"/>
      <c r="U11327" s="222"/>
    </row>
    <row r="11328" spans="2:21" x14ac:dyDescent="0.2">
      <c r="B11328" s="207"/>
      <c r="C11328" s="210"/>
      <c r="D11328" s="211"/>
      <c r="E11328" s="211"/>
      <c r="U11328" s="222"/>
    </row>
    <row r="11329" spans="2:21" x14ac:dyDescent="0.2">
      <c r="B11329" s="207"/>
      <c r="C11329" s="210"/>
      <c r="D11329" s="211"/>
      <c r="E11329" s="211"/>
      <c r="U11329" s="222"/>
    </row>
    <row r="11330" spans="2:21" x14ac:dyDescent="0.2">
      <c r="B11330" s="207"/>
      <c r="C11330" s="210"/>
      <c r="D11330" s="211"/>
      <c r="E11330" s="211"/>
      <c r="U11330" s="222"/>
    </row>
    <row r="11331" spans="2:21" x14ac:dyDescent="0.2">
      <c r="B11331" s="207"/>
      <c r="C11331" s="210"/>
      <c r="D11331" s="211"/>
      <c r="E11331" s="211"/>
      <c r="U11331" s="222"/>
    </row>
    <row r="11332" spans="2:21" x14ac:dyDescent="0.2">
      <c r="B11332" s="207"/>
      <c r="C11332" s="210"/>
      <c r="D11332" s="211"/>
      <c r="E11332" s="211"/>
      <c r="U11332" s="222"/>
    </row>
    <row r="11333" spans="2:21" x14ac:dyDescent="0.2">
      <c r="B11333" s="207"/>
      <c r="C11333" s="210"/>
      <c r="D11333" s="211"/>
      <c r="E11333" s="211"/>
      <c r="U11333" s="222"/>
    </row>
    <row r="11334" spans="2:21" x14ac:dyDescent="0.2">
      <c r="B11334" s="207"/>
      <c r="C11334" s="210"/>
      <c r="D11334" s="211"/>
      <c r="E11334" s="211"/>
      <c r="U11334" s="222"/>
    </row>
    <row r="11335" spans="2:21" x14ac:dyDescent="0.2">
      <c r="B11335" s="207"/>
      <c r="C11335" s="210"/>
      <c r="D11335" s="211"/>
      <c r="E11335" s="211"/>
      <c r="U11335" s="222"/>
    </row>
    <row r="11336" spans="2:21" x14ac:dyDescent="0.2">
      <c r="B11336" s="207"/>
      <c r="C11336" s="210"/>
      <c r="D11336" s="211"/>
      <c r="E11336" s="211"/>
      <c r="U11336" s="222"/>
    </row>
    <row r="11337" spans="2:21" x14ac:dyDescent="0.2">
      <c r="B11337" s="207"/>
      <c r="C11337" s="210"/>
      <c r="D11337" s="211"/>
      <c r="E11337" s="211"/>
      <c r="U11337" s="222"/>
    </row>
    <row r="11338" spans="2:21" x14ac:dyDescent="0.2">
      <c r="B11338" s="207"/>
      <c r="C11338" s="210"/>
      <c r="D11338" s="211"/>
      <c r="E11338" s="211"/>
      <c r="U11338" s="222"/>
    </row>
    <row r="11339" spans="2:21" x14ac:dyDescent="0.2">
      <c r="B11339" s="207"/>
      <c r="C11339" s="210"/>
      <c r="D11339" s="211"/>
      <c r="E11339" s="211"/>
      <c r="U11339" s="222"/>
    </row>
    <row r="11340" spans="2:21" x14ac:dyDescent="0.2">
      <c r="B11340" s="207"/>
      <c r="C11340" s="210"/>
      <c r="D11340" s="211"/>
      <c r="E11340" s="211"/>
      <c r="U11340" s="222"/>
    </row>
    <row r="11341" spans="2:21" x14ac:dyDescent="0.2">
      <c r="B11341" s="207"/>
      <c r="C11341" s="210"/>
      <c r="D11341" s="211"/>
      <c r="E11341" s="211"/>
      <c r="U11341" s="222"/>
    </row>
    <row r="11342" spans="2:21" x14ac:dyDescent="0.2">
      <c r="B11342" s="207"/>
      <c r="C11342" s="210"/>
      <c r="D11342" s="211"/>
      <c r="E11342" s="211"/>
      <c r="U11342" s="222"/>
    </row>
    <row r="11343" spans="2:21" x14ac:dyDescent="0.2">
      <c r="B11343" s="207"/>
      <c r="C11343" s="210"/>
      <c r="D11343" s="211"/>
      <c r="E11343" s="211"/>
      <c r="U11343" s="222"/>
    </row>
    <row r="11344" spans="2:21" x14ac:dyDescent="0.2">
      <c r="B11344" s="207"/>
      <c r="C11344" s="210"/>
      <c r="D11344" s="211"/>
      <c r="E11344" s="211"/>
      <c r="U11344" s="222"/>
    </row>
    <row r="11345" spans="2:21" x14ac:dyDescent="0.2">
      <c r="B11345" s="207"/>
      <c r="C11345" s="210"/>
      <c r="D11345" s="211"/>
      <c r="E11345" s="211"/>
      <c r="U11345" s="222"/>
    </row>
    <row r="11346" spans="2:21" x14ac:dyDescent="0.2">
      <c r="B11346" s="207"/>
      <c r="C11346" s="210"/>
      <c r="D11346" s="211"/>
      <c r="E11346" s="211"/>
      <c r="U11346" s="222"/>
    </row>
    <row r="11347" spans="2:21" x14ac:dyDescent="0.2">
      <c r="B11347" s="207"/>
      <c r="C11347" s="210"/>
      <c r="D11347" s="211"/>
      <c r="E11347" s="211"/>
      <c r="U11347" s="222"/>
    </row>
    <row r="11348" spans="2:21" x14ac:dyDescent="0.2">
      <c r="B11348" s="207"/>
      <c r="C11348" s="210"/>
      <c r="D11348" s="211"/>
      <c r="E11348" s="211"/>
      <c r="U11348" s="222"/>
    </row>
    <row r="11349" spans="2:21" x14ac:dyDescent="0.2">
      <c r="B11349" s="207"/>
      <c r="C11349" s="210"/>
      <c r="D11349" s="211"/>
      <c r="E11349" s="211"/>
      <c r="U11349" s="222"/>
    </row>
    <row r="11350" spans="2:21" x14ac:dyDescent="0.2">
      <c r="B11350" s="207"/>
      <c r="C11350" s="210"/>
      <c r="D11350" s="211"/>
      <c r="E11350" s="211"/>
      <c r="U11350" s="222"/>
    </row>
    <row r="11351" spans="2:21" x14ac:dyDescent="0.2">
      <c r="B11351" s="207"/>
      <c r="C11351" s="210"/>
      <c r="D11351" s="211"/>
      <c r="E11351" s="211"/>
      <c r="U11351" s="222"/>
    </row>
    <row r="11352" spans="2:21" x14ac:dyDescent="0.2">
      <c r="B11352" s="207"/>
      <c r="C11352" s="210"/>
      <c r="D11352" s="211"/>
      <c r="E11352" s="211"/>
      <c r="U11352" s="222"/>
    </row>
    <row r="11353" spans="2:21" x14ac:dyDescent="0.2">
      <c r="B11353" s="207"/>
      <c r="C11353" s="210"/>
      <c r="D11353" s="211"/>
      <c r="E11353" s="211"/>
      <c r="U11353" s="222"/>
    </row>
    <row r="11354" spans="2:21" x14ac:dyDescent="0.2">
      <c r="B11354" s="207"/>
      <c r="C11354" s="210"/>
      <c r="D11354" s="211"/>
      <c r="E11354" s="211"/>
      <c r="U11354" s="222"/>
    </row>
    <row r="11355" spans="2:21" x14ac:dyDescent="0.2">
      <c r="B11355" s="207"/>
      <c r="C11355" s="210"/>
      <c r="D11355" s="211"/>
      <c r="E11355" s="211"/>
      <c r="U11355" s="222"/>
    </row>
    <row r="11356" spans="2:21" x14ac:dyDescent="0.2">
      <c r="B11356" s="207"/>
      <c r="C11356" s="210"/>
      <c r="D11356" s="211"/>
      <c r="E11356" s="211"/>
      <c r="U11356" s="222"/>
    </row>
    <row r="11357" spans="2:21" x14ac:dyDescent="0.2">
      <c r="B11357" s="207"/>
      <c r="C11357" s="210"/>
      <c r="D11357" s="211"/>
      <c r="E11357" s="211"/>
      <c r="U11357" s="222"/>
    </row>
    <row r="11358" spans="2:21" x14ac:dyDescent="0.2">
      <c r="B11358" s="207"/>
      <c r="C11358" s="210"/>
      <c r="D11358" s="211"/>
      <c r="E11358" s="211"/>
      <c r="U11358" s="222"/>
    </row>
    <row r="11359" spans="2:21" x14ac:dyDescent="0.2">
      <c r="B11359" s="207"/>
      <c r="C11359" s="210"/>
      <c r="D11359" s="211"/>
      <c r="E11359" s="211"/>
      <c r="U11359" s="222"/>
    </row>
    <row r="11360" spans="2:21" x14ac:dyDescent="0.2">
      <c r="B11360" s="207"/>
      <c r="C11360" s="210"/>
      <c r="D11360" s="211"/>
      <c r="E11360" s="211"/>
      <c r="U11360" s="222"/>
    </row>
    <row r="11361" spans="2:21" x14ac:dyDescent="0.2">
      <c r="B11361" s="207"/>
      <c r="C11361" s="210"/>
      <c r="D11361" s="211"/>
      <c r="E11361" s="211"/>
      <c r="U11361" s="222"/>
    </row>
    <row r="11362" spans="2:21" x14ac:dyDescent="0.2">
      <c r="B11362" s="207"/>
      <c r="C11362" s="210"/>
      <c r="D11362" s="211"/>
      <c r="E11362" s="211"/>
      <c r="U11362" s="222"/>
    </row>
    <row r="11363" spans="2:21" x14ac:dyDescent="0.2">
      <c r="B11363" s="207"/>
      <c r="C11363" s="210"/>
      <c r="D11363" s="211"/>
      <c r="E11363" s="211"/>
      <c r="U11363" s="222"/>
    </row>
    <row r="11364" spans="2:21" x14ac:dyDescent="0.2">
      <c r="B11364" s="207"/>
      <c r="C11364" s="210"/>
      <c r="D11364" s="211"/>
      <c r="E11364" s="211"/>
      <c r="U11364" s="222"/>
    </row>
    <row r="11365" spans="2:21" x14ac:dyDescent="0.2">
      <c r="B11365" s="207"/>
      <c r="C11365" s="210"/>
      <c r="D11365" s="211"/>
      <c r="E11365" s="211"/>
      <c r="U11365" s="222"/>
    </row>
    <row r="11366" spans="2:21" x14ac:dyDescent="0.2">
      <c r="B11366" s="207"/>
      <c r="C11366" s="210"/>
      <c r="D11366" s="211"/>
      <c r="E11366" s="211"/>
      <c r="U11366" s="222"/>
    </row>
    <row r="11367" spans="2:21" x14ac:dyDescent="0.2">
      <c r="B11367" s="207"/>
      <c r="C11367" s="210"/>
      <c r="D11367" s="211"/>
      <c r="E11367" s="211"/>
      <c r="U11367" s="222"/>
    </row>
    <row r="11368" spans="2:21" x14ac:dyDescent="0.2">
      <c r="B11368" s="207"/>
      <c r="C11368" s="210"/>
      <c r="D11368" s="211"/>
      <c r="E11368" s="211"/>
      <c r="U11368" s="222"/>
    </row>
    <row r="11369" spans="2:21" x14ac:dyDescent="0.2">
      <c r="B11369" s="207"/>
      <c r="C11369" s="210"/>
      <c r="D11369" s="211"/>
      <c r="E11369" s="211"/>
      <c r="U11369" s="222"/>
    </row>
    <row r="11370" spans="2:21" x14ac:dyDescent="0.2">
      <c r="B11370" s="207"/>
      <c r="C11370" s="210"/>
      <c r="D11370" s="211"/>
      <c r="E11370" s="211"/>
      <c r="U11370" s="222"/>
    </row>
    <row r="11371" spans="2:21" x14ac:dyDescent="0.2">
      <c r="B11371" s="207"/>
      <c r="C11371" s="210"/>
      <c r="D11371" s="211"/>
      <c r="E11371" s="211"/>
      <c r="U11371" s="222"/>
    </row>
    <row r="11372" spans="2:21" x14ac:dyDescent="0.2">
      <c r="B11372" s="207"/>
      <c r="C11372" s="210"/>
      <c r="D11372" s="211"/>
      <c r="E11372" s="211"/>
      <c r="U11372" s="222"/>
    </row>
    <row r="11373" spans="2:21" x14ac:dyDescent="0.2">
      <c r="B11373" s="207"/>
      <c r="C11373" s="210"/>
      <c r="D11373" s="211"/>
      <c r="E11373" s="211"/>
      <c r="U11373" s="222"/>
    </row>
    <row r="11374" spans="2:21" x14ac:dyDescent="0.2">
      <c r="B11374" s="207"/>
      <c r="C11374" s="210"/>
      <c r="D11374" s="211"/>
      <c r="E11374" s="211"/>
      <c r="U11374" s="222"/>
    </row>
    <row r="11375" spans="2:21" x14ac:dyDescent="0.2">
      <c r="B11375" s="207"/>
      <c r="C11375" s="210"/>
      <c r="D11375" s="211"/>
      <c r="E11375" s="211"/>
      <c r="U11375" s="222"/>
    </row>
    <row r="11376" spans="2:21" x14ac:dyDescent="0.2">
      <c r="B11376" s="207"/>
      <c r="C11376" s="210"/>
      <c r="D11376" s="211"/>
      <c r="E11376" s="211"/>
      <c r="U11376" s="222"/>
    </row>
    <row r="11377" spans="2:21" x14ac:dyDescent="0.2">
      <c r="B11377" s="207"/>
      <c r="C11377" s="210"/>
      <c r="D11377" s="211"/>
      <c r="E11377" s="211"/>
      <c r="U11377" s="222"/>
    </row>
    <row r="11378" spans="2:21" x14ac:dyDescent="0.2">
      <c r="B11378" s="207"/>
      <c r="C11378" s="210"/>
      <c r="D11378" s="211"/>
      <c r="E11378" s="211"/>
      <c r="U11378" s="222"/>
    </row>
    <row r="11379" spans="2:21" x14ac:dyDescent="0.2">
      <c r="B11379" s="207"/>
      <c r="C11379" s="210"/>
      <c r="D11379" s="211"/>
      <c r="E11379" s="211"/>
      <c r="U11379" s="222"/>
    </row>
    <row r="11380" spans="2:21" x14ac:dyDescent="0.2">
      <c r="B11380" s="207"/>
      <c r="C11380" s="210"/>
      <c r="D11380" s="211"/>
      <c r="E11380" s="211"/>
      <c r="U11380" s="222"/>
    </row>
    <row r="11381" spans="2:21" x14ac:dyDescent="0.2">
      <c r="B11381" s="207"/>
      <c r="C11381" s="210"/>
      <c r="D11381" s="211"/>
      <c r="E11381" s="211"/>
      <c r="U11381" s="222"/>
    </row>
    <row r="11382" spans="2:21" x14ac:dyDescent="0.2">
      <c r="B11382" s="207"/>
      <c r="C11382" s="210"/>
      <c r="D11382" s="211"/>
      <c r="E11382" s="211"/>
      <c r="U11382" s="222"/>
    </row>
    <row r="11383" spans="2:21" x14ac:dyDescent="0.2">
      <c r="B11383" s="207"/>
      <c r="C11383" s="210"/>
      <c r="D11383" s="211"/>
      <c r="E11383" s="211"/>
      <c r="U11383" s="222"/>
    </row>
    <row r="11384" spans="2:21" x14ac:dyDescent="0.2">
      <c r="B11384" s="207"/>
      <c r="C11384" s="210"/>
      <c r="D11384" s="211"/>
      <c r="E11384" s="211"/>
      <c r="U11384" s="222"/>
    </row>
    <row r="11385" spans="2:21" x14ac:dyDescent="0.2">
      <c r="B11385" s="207"/>
      <c r="C11385" s="210"/>
      <c r="D11385" s="211"/>
      <c r="E11385" s="211"/>
      <c r="U11385" s="222"/>
    </row>
    <row r="11386" spans="2:21" x14ac:dyDescent="0.2">
      <c r="B11386" s="207"/>
      <c r="C11386" s="210"/>
      <c r="D11386" s="211"/>
      <c r="E11386" s="211"/>
      <c r="U11386" s="222"/>
    </row>
    <row r="11387" spans="2:21" x14ac:dyDescent="0.2">
      <c r="B11387" s="207"/>
      <c r="C11387" s="210"/>
      <c r="D11387" s="211"/>
      <c r="E11387" s="211"/>
      <c r="U11387" s="222"/>
    </row>
    <row r="11388" spans="2:21" x14ac:dyDescent="0.2">
      <c r="B11388" s="207"/>
      <c r="C11388" s="210"/>
      <c r="D11388" s="211"/>
      <c r="E11388" s="211"/>
      <c r="U11388" s="222"/>
    </row>
    <row r="11389" spans="2:21" x14ac:dyDescent="0.2">
      <c r="B11389" s="207"/>
      <c r="C11389" s="210"/>
      <c r="D11389" s="211"/>
      <c r="E11389" s="211"/>
      <c r="U11389" s="222"/>
    </row>
    <row r="11390" spans="2:21" x14ac:dyDescent="0.2">
      <c r="B11390" s="207"/>
      <c r="C11390" s="210"/>
      <c r="D11390" s="211"/>
      <c r="E11390" s="211"/>
      <c r="U11390" s="222"/>
    </row>
    <row r="11391" spans="2:21" x14ac:dyDescent="0.2">
      <c r="B11391" s="207"/>
      <c r="C11391" s="210"/>
      <c r="D11391" s="211"/>
      <c r="E11391" s="211"/>
      <c r="U11391" s="222"/>
    </row>
    <row r="11392" spans="2:21" x14ac:dyDescent="0.2">
      <c r="B11392" s="207"/>
      <c r="C11392" s="210"/>
      <c r="D11392" s="211"/>
      <c r="E11392" s="211"/>
      <c r="U11392" s="222"/>
    </row>
    <row r="11393" spans="2:21" x14ac:dyDescent="0.2">
      <c r="B11393" s="207"/>
      <c r="C11393" s="210"/>
      <c r="D11393" s="211"/>
      <c r="E11393" s="211"/>
      <c r="U11393" s="222"/>
    </row>
    <row r="11394" spans="2:21" x14ac:dyDescent="0.2">
      <c r="B11394" s="207"/>
      <c r="C11394" s="210"/>
      <c r="D11394" s="211"/>
      <c r="E11394" s="211"/>
      <c r="U11394" s="222"/>
    </row>
    <row r="11395" spans="2:21" x14ac:dyDescent="0.2">
      <c r="B11395" s="207"/>
      <c r="C11395" s="210"/>
      <c r="D11395" s="211"/>
      <c r="E11395" s="211"/>
      <c r="U11395" s="222"/>
    </row>
    <row r="11396" spans="2:21" x14ac:dyDescent="0.2">
      <c r="B11396" s="207"/>
      <c r="C11396" s="210"/>
      <c r="D11396" s="211"/>
      <c r="E11396" s="211"/>
      <c r="U11396" s="222"/>
    </row>
    <row r="11397" spans="2:21" x14ac:dyDescent="0.2">
      <c r="B11397" s="207"/>
      <c r="C11397" s="210"/>
      <c r="D11397" s="211"/>
      <c r="E11397" s="211"/>
      <c r="U11397" s="222"/>
    </row>
    <row r="11398" spans="2:21" x14ac:dyDescent="0.2">
      <c r="B11398" s="207"/>
      <c r="C11398" s="210"/>
      <c r="D11398" s="211"/>
      <c r="E11398" s="211"/>
      <c r="U11398" s="222"/>
    </row>
    <row r="11399" spans="2:21" x14ac:dyDescent="0.2">
      <c r="B11399" s="207"/>
      <c r="C11399" s="210"/>
      <c r="D11399" s="211"/>
      <c r="E11399" s="211"/>
      <c r="U11399" s="222"/>
    </row>
    <row r="11400" spans="2:21" x14ac:dyDescent="0.2">
      <c r="B11400" s="207"/>
      <c r="C11400" s="210"/>
      <c r="D11400" s="211"/>
      <c r="E11400" s="211"/>
      <c r="U11400" s="222"/>
    </row>
    <row r="11401" spans="2:21" x14ac:dyDescent="0.2">
      <c r="B11401" s="207"/>
      <c r="C11401" s="210"/>
      <c r="D11401" s="211"/>
      <c r="E11401" s="211"/>
      <c r="U11401" s="222"/>
    </row>
    <row r="11402" spans="2:21" x14ac:dyDescent="0.2">
      <c r="B11402" s="207"/>
      <c r="C11402" s="210"/>
      <c r="D11402" s="211"/>
      <c r="E11402" s="211"/>
      <c r="U11402" s="222"/>
    </row>
    <row r="11403" spans="2:21" x14ac:dyDescent="0.2">
      <c r="B11403" s="207"/>
      <c r="C11403" s="210"/>
      <c r="D11403" s="211"/>
      <c r="E11403" s="211"/>
      <c r="U11403" s="222"/>
    </row>
    <row r="11404" spans="2:21" x14ac:dyDescent="0.2">
      <c r="B11404" s="207"/>
      <c r="C11404" s="210"/>
      <c r="D11404" s="211"/>
      <c r="E11404" s="211"/>
      <c r="U11404" s="222"/>
    </row>
    <row r="11405" spans="2:21" x14ac:dyDescent="0.2">
      <c r="B11405" s="207"/>
      <c r="C11405" s="210"/>
      <c r="D11405" s="211"/>
      <c r="E11405" s="211"/>
      <c r="U11405" s="222"/>
    </row>
    <row r="11406" spans="2:21" x14ac:dyDescent="0.2">
      <c r="B11406" s="207"/>
      <c r="C11406" s="210"/>
      <c r="D11406" s="211"/>
      <c r="E11406" s="211"/>
      <c r="U11406" s="222"/>
    </row>
    <row r="11407" spans="2:21" x14ac:dyDescent="0.2">
      <c r="B11407" s="207"/>
      <c r="C11407" s="210"/>
      <c r="D11407" s="211"/>
      <c r="E11407" s="211"/>
      <c r="U11407" s="222"/>
    </row>
    <row r="11408" spans="2:21" x14ac:dyDescent="0.2">
      <c r="B11408" s="207"/>
      <c r="C11408" s="210"/>
      <c r="D11408" s="211"/>
      <c r="E11408" s="211"/>
      <c r="U11408" s="222"/>
    </row>
    <row r="11409" spans="2:21" x14ac:dyDescent="0.2">
      <c r="B11409" s="207"/>
      <c r="C11409" s="210"/>
      <c r="D11409" s="211"/>
      <c r="E11409" s="211"/>
      <c r="U11409" s="222"/>
    </row>
    <row r="11410" spans="2:21" x14ac:dyDescent="0.2">
      <c r="B11410" s="207"/>
      <c r="C11410" s="210"/>
      <c r="D11410" s="211"/>
      <c r="E11410" s="211"/>
      <c r="U11410" s="222"/>
    </row>
    <row r="11411" spans="2:21" x14ac:dyDescent="0.2">
      <c r="B11411" s="207"/>
      <c r="C11411" s="210"/>
      <c r="D11411" s="211"/>
      <c r="E11411" s="211"/>
      <c r="U11411" s="222"/>
    </row>
    <row r="11412" spans="2:21" x14ac:dyDescent="0.2">
      <c r="B11412" s="207"/>
      <c r="C11412" s="210"/>
      <c r="D11412" s="211"/>
      <c r="E11412" s="211"/>
      <c r="U11412" s="222"/>
    </row>
    <row r="11413" spans="2:21" x14ac:dyDescent="0.2">
      <c r="B11413" s="207"/>
      <c r="C11413" s="210"/>
      <c r="D11413" s="211"/>
      <c r="E11413" s="211"/>
      <c r="U11413" s="222"/>
    </row>
    <row r="11414" spans="2:21" x14ac:dyDescent="0.2">
      <c r="B11414" s="207"/>
      <c r="C11414" s="210"/>
      <c r="D11414" s="211"/>
      <c r="E11414" s="211"/>
      <c r="U11414" s="222"/>
    </row>
    <row r="11415" spans="2:21" x14ac:dyDescent="0.2">
      <c r="B11415" s="207"/>
      <c r="C11415" s="210"/>
      <c r="D11415" s="211"/>
      <c r="E11415" s="211"/>
      <c r="U11415" s="222"/>
    </row>
    <row r="11416" spans="2:21" x14ac:dyDescent="0.2">
      <c r="B11416" s="207"/>
      <c r="C11416" s="210"/>
      <c r="D11416" s="211"/>
      <c r="E11416" s="211"/>
      <c r="U11416" s="222"/>
    </row>
    <row r="11417" spans="2:21" x14ac:dyDescent="0.2">
      <c r="B11417" s="207"/>
      <c r="C11417" s="210"/>
      <c r="D11417" s="211"/>
      <c r="E11417" s="211"/>
      <c r="U11417" s="222"/>
    </row>
    <row r="11418" spans="2:21" x14ac:dyDescent="0.2">
      <c r="B11418" s="207"/>
      <c r="C11418" s="210"/>
      <c r="D11418" s="211"/>
      <c r="E11418" s="211"/>
      <c r="U11418" s="222"/>
    </row>
    <row r="11419" spans="2:21" x14ac:dyDescent="0.2">
      <c r="B11419" s="207"/>
      <c r="C11419" s="210"/>
      <c r="D11419" s="211"/>
      <c r="E11419" s="211"/>
      <c r="U11419" s="222"/>
    </row>
    <row r="11420" spans="2:21" x14ac:dyDescent="0.2">
      <c r="B11420" s="207"/>
      <c r="C11420" s="210"/>
      <c r="D11420" s="211"/>
      <c r="E11420" s="211"/>
      <c r="U11420" s="222"/>
    </row>
    <row r="11421" spans="2:21" x14ac:dyDescent="0.2">
      <c r="B11421" s="207"/>
      <c r="C11421" s="210"/>
      <c r="D11421" s="211"/>
      <c r="E11421" s="211"/>
      <c r="U11421" s="222"/>
    </row>
    <row r="11422" spans="2:21" x14ac:dyDescent="0.2">
      <c r="B11422" s="207"/>
      <c r="C11422" s="210"/>
      <c r="D11422" s="211"/>
      <c r="E11422" s="211"/>
      <c r="U11422" s="222"/>
    </row>
    <row r="11423" spans="2:21" x14ac:dyDescent="0.2">
      <c r="B11423" s="207"/>
      <c r="C11423" s="210"/>
      <c r="D11423" s="211"/>
      <c r="E11423" s="211"/>
      <c r="U11423" s="222"/>
    </row>
    <row r="11424" spans="2:21" x14ac:dyDescent="0.2">
      <c r="B11424" s="207"/>
      <c r="C11424" s="210"/>
      <c r="D11424" s="211"/>
      <c r="E11424" s="211"/>
      <c r="U11424" s="222"/>
    </row>
    <row r="11425" spans="2:21" x14ac:dyDescent="0.2">
      <c r="B11425" s="207"/>
      <c r="C11425" s="210"/>
      <c r="D11425" s="211"/>
      <c r="E11425" s="211"/>
      <c r="U11425" s="222"/>
    </row>
    <row r="11426" spans="2:21" x14ac:dyDescent="0.2">
      <c r="B11426" s="207"/>
      <c r="C11426" s="210"/>
      <c r="D11426" s="211"/>
      <c r="E11426" s="211"/>
      <c r="U11426" s="222"/>
    </row>
    <row r="11427" spans="2:21" x14ac:dyDescent="0.2">
      <c r="B11427" s="207"/>
      <c r="C11427" s="210"/>
      <c r="D11427" s="211"/>
      <c r="E11427" s="211"/>
      <c r="U11427" s="222"/>
    </row>
    <row r="11428" spans="2:21" x14ac:dyDescent="0.2">
      <c r="B11428" s="207"/>
      <c r="C11428" s="210"/>
      <c r="D11428" s="211"/>
      <c r="E11428" s="211"/>
      <c r="U11428" s="222"/>
    </row>
    <row r="11429" spans="2:21" x14ac:dyDescent="0.2">
      <c r="B11429" s="207"/>
      <c r="C11429" s="210"/>
      <c r="D11429" s="211"/>
      <c r="E11429" s="211"/>
      <c r="U11429" s="222"/>
    </row>
    <row r="11430" spans="2:21" x14ac:dyDescent="0.2">
      <c r="B11430" s="207"/>
      <c r="C11430" s="210"/>
      <c r="D11430" s="211"/>
      <c r="E11430" s="211"/>
      <c r="U11430" s="222"/>
    </row>
    <row r="11431" spans="2:21" x14ac:dyDescent="0.2">
      <c r="B11431" s="207"/>
      <c r="C11431" s="210"/>
      <c r="D11431" s="211"/>
      <c r="E11431" s="211"/>
      <c r="U11431" s="222"/>
    </row>
    <row r="11432" spans="2:21" x14ac:dyDescent="0.2">
      <c r="B11432" s="207"/>
      <c r="C11432" s="210"/>
      <c r="D11432" s="211"/>
      <c r="E11432" s="211"/>
      <c r="U11432" s="222"/>
    </row>
    <row r="11433" spans="2:21" x14ac:dyDescent="0.2">
      <c r="B11433" s="207"/>
      <c r="C11433" s="210"/>
      <c r="D11433" s="211"/>
      <c r="E11433" s="211"/>
      <c r="U11433" s="222"/>
    </row>
    <row r="11434" spans="2:21" x14ac:dyDescent="0.2">
      <c r="B11434" s="207"/>
      <c r="C11434" s="210"/>
      <c r="D11434" s="211"/>
      <c r="E11434" s="211"/>
      <c r="U11434" s="222"/>
    </row>
    <row r="11435" spans="2:21" x14ac:dyDescent="0.2">
      <c r="B11435" s="207"/>
      <c r="C11435" s="210"/>
      <c r="D11435" s="211"/>
      <c r="E11435" s="211"/>
      <c r="U11435" s="222"/>
    </row>
    <row r="11436" spans="2:21" x14ac:dyDescent="0.2">
      <c r="B11436" s="207"/>
      <c r="C11436" s="210"/>
      <c r="D11436" s="211"/>
      <c r="E11436" s="211"/>
      <c r="U11436" s="222"/>
    </row>
    <row r="11437" spans="2:21" x14ac:dyDescent="0.2">
      <c r="B11437" s="207"/>
      <c r="C11437" s="210"/>
      <c r="D11437" s="211"/>
      <c r="E11437" s="211"/>
      <c r="U11437" s="222"/>
    </row>
    <row r="11438" spans="2:21" x14ac:dyDescent="0.2">
      <c r="B11438" s="207"/>
      <c r="C11438" s="210"/>
      <c r="D11438" s="211"/>
      <c r="E11438" s="211"/>
      <c r="U11438" s="222"/>
    </row>
    <row r="11439" spans="2:21" x14ac:dyDescent="0.2">
      <c r="B11439" s="207"/>
      <c r="C11439" s="210"/>
      <c r="D11439" s="211"/>
      <c r="E11439" s="211"/>
      <c r="U11439" s="222"/>
    </row>
    <row r="11440" spans="2:21" x14ac:dyDescent="0.2">
      <c r="B11440" s="207"/>
      <c r="C11440" s="210"/>
      <c r="D11440" s="211"/>
      <c r="E11440" s="211"/>
      <c r="U11440" s="222"/>
    </row>
    <row r="11441" spans="2:21" x14ac:dyDescent="0.2">
      <c r="B11441" s="207"/>
      <c r="C11441" s="210"/>
      <c r="D11441" s="211"/>
      <c r="E11441" s="211"/>
      <c r="U11441" s="222"/>
    </row>
    <row r="11442" spans="2:21" x14ac:dyDescent="0.2">
      <c r="B11442" s="207"/>
      <c r="C11442" s="210"/>
      <c r="D11442" s="211"/>
      <c r="E11442" s="211"/>
      <c r="U11442" s="222"/>
    </row>
    <row r="11443" spans="2:21" x14ac:dyDescent="0.2">
      <c r="B11443" s="207"/>
      <c r="C11443" s="210"/>
      <c r="D11443" s="211"/>
      <c r="E11443" s="211"/>
      <c r="U11443" s="222"/>
    </row>
    <row r="11444" spans="2:21" x14ac:dyDescent="0.2">
      <c r="B11444" s="207"/>
      <c r="C11444" s="210"/>
      <c r="D11444" s="211"/>
      <c r="E11444" s="211"/>
      <c r="U11444" s="222"/>
    </row>
    <row r="11445" spans="2:21" x14ac:dyDescent="0.2">
      <c r="B11445" s="207"/>
      <c r="C11445" s="210"/>
      <c r="D11445" s="211"/>
      <c r="E11445" s="211"/>
      <c r="U11445" s="222"/>
    </row>
    <row r="11446" spans="2:21" x14ac:dyDescent="0.2">
      <c r="B11446" s="207"/>
      <c r="C11446" s="210"/>
      <c r="D11446" s="211"/>
      <c r="E11446" s="211"/>
      <c r="U11446" s="222"/>
    </row>
    <row r="11447" spans="2:21" x14ac:dyDescent="0.2">
      <c r="B11447" s="207"/>
      <c r="C11447" s="210"/>
      <c r="D11447" s="211"/>
      <c r="E11447" s="211"/>
      <c r="U11447" s="222"/>
    </row>
    <row r="11448" spans="2:21" x14ac:dyDescent="0.2">
      <c r="B11448" s="207"/>
      <c r="C11448" s="210"/>
      <c r="D11448" s="211"/>
      <c r="E11448" s="211"/>
      <c r="U11448" s="222"/>
    </row>
    <row r="11449" spans="2:21" x14ac:dyDescent="0.2">
      <c r="B11449" s="207"/>
      <c r="C11449" s="210"/>
      <c r="D11449" s="211"/>
      <c r="E11449" s="211"/>
      <c r="U11449" s="222"/>
    </row>
    <row r="11450" spans="2:21" x14ac:dyDescent="0.2">
      <c r="B11450" s="207"/>
      <c r="C11450" s="210"/>
      <c r="D11450" s="211"/>
      <c r="E11450" s="211"/>
      <c r="U11450" s="222"/>
    </row>
    <row r="11451" spans="2:21" x14ac:dyDescent="0.2">
      <c r="B11451" s="207"/>
      <c r="C11451" s="210"/>
      <c r="D11451" s="211"/>
      <c r="E11451" s="211"/>
      <c r="U11451" s="222"/>
    </row>
    <row r="11452" spans="2:21" x14ac:dyDescent="0.2">
      <c r="B11452" s="207"/>
      <c r="C11452" s="210"/>
      <c r="D11452" s="211"/>
      <c r="E11452" s="211"/>
      <c r="U11452" s="222"/>
    </row>
    <row r="11453" spans="2:21" x14ac:dyDescent="0.2">
      <c r="B11453" s="207"/>
      <c r="C11453" s="210"/>
      <c r="D11453" s="211"/>
      <c r="E11453" s="211"/>
      <c r="U11453" s="222"/>
    </row>
    <row r="11454" spans="2:21" x14ac:dyDescent="0.2">
      <c r="B11454" s="207"/>
      <c r="C11454" s="210"/>
      <c r="D11454" s="211"/>
      <c r="E11454" s="211"/>
      <c r="U11454" s="222"/>
    </row>
    <row r="11455" spans="2:21" x14ac:dyDescent="0.2">
      <c r="B11455" s="207"/>
      <c r="C11455" s="210"/>
      <c r="D11455" s="211"/>
      <c r="E11455" s="211"/>
      <c r="U11455" s="222"/>
    </row>
    <row r="11456" spans="2:21" x14ac:dyDescent="0.2">
      <c r="B11456" s="207"/>
      <c r="C11456" s="210"/>
      <c r="D11456" s="211"/>
      <c r="E11456" s="211"/>
      <c r="U11456" s="222"/>
    </row>
    <row r="11457" spans="2:21" x14ac:dyDescent="0.2">
      <c r="B11457" s="207"/>
      <c r="C11457" s="210"/>
      <c r="D11457" s="211"/>
      <c r="E11457" s="211"/>
      <c r="U11457" s="222"/>
    </row>
    <row r="11458" spans="2:21" x14ac:dyDescent="0.2">
      <c r="B11458" s="207"/>
      <c r="C11458" s="210"/>
      <c r="D11458" s="211"/>
      <c r="E11458" s="211"/>
      <c r="U11458" s="222"/>
    </row>
    <row r="11459" spans="2:21" x14ac:dyDescent="0.2">
      <c r="B11459" s="207"/>
      <c r="C11459" s="210"/>
      <c r="D11459" s="211"/>
      <c r="E11459" s="211"/>
      <c r="U11459" s="222"/>
    </row>
    <row r="11460" spans="2:21" x14ac:dyDescent="0.2">
      <c r="B11460" s="207"/>
      <c r="C11460" s="210"/>
      <c r="D11460" s="211"/>
      <c r="E11460" s="211"/>
      <c r="U11460" s="222"/>
    </row>
    <row r="11461" spans="2:21" x14ac:dyDescent="0.2">
      <c r="B11461" s="207"/>
      <c r="C11461" s="210"/>
      <c r="D11461" s="211"/>
      <c r="E11461" s="211"/>
      <c r="U11461" s="222"/>
    </row>
    <row r="11462" spans="2:21" x14ac:dyDescent="0.2">
      <c r="B11462" s="207"/>
      <c r="C11462" s="210"/>
      <c r="D11462" s="211"/>
      <c r="E11462" s="211"/>
      <c r="U11462" s="222"/>
    </row>
    <row r="11463" spans="2:21" x14ac:dyDescent="0.2">
      <c r="B11463" s="207"/>
      <c r="C11463" s="210"/>
      <c r="D11463" s="211"/>
      <c r="E11463" s="211"/>
      <c r="U11463" s="222"/>
    </row>
    <row r="11464" spans="2:21" x14ac:dyDescent="0.2">
      <c r="B11464" s="207"/>
      <c r="C11464" s="210"/>
      <c r="D11464" s="211"/>
      <c r="E11464" s="211"/>
      <c r="U11464" s="222"/>
    </row>
    <row r="11465" spans="2:21" x14ac:dyDescent="0.2">
      <c r="B11465" s="207"/>
      <c r="C11465" s="210"/>
      <c r="D11465" s="211"/>
      <c r="E11465" s="211"/>
      <c r="U11465" s="222"/>
    </row>
    <row r="11466" spans="2:21" x14ac:dyDescent="0.2">
      <c r="B11466" s="207"/>
      <c r="C11466" s="210"/>
      <c r="D11466" s="211"/>
      <c r="E11466" s="211"/>
      <c r="U11466" s="222"/>
    </row>
    <row r="11467" spans="2:21" x14ac:dyDescent="0.2">
      <c r="B11467" s="207"/>
      <c r="C11467" s="210"/>
      <c r="D11467" s="211"/>
      <c r="E11467" s="211"/>
      <c r="U11467" s="222"/>
    </row>
    <row r="11468" spans="2:21" x14ac:dyDescent="0.2">
      <c r="B11468" s="207"/>
      <c r="C11468" s="210"/>
      <c r="D11468" s="211"/>
      <c r="E11468" s="211"/>
      <c r="U11468" s="222"/>
    </row>
    <row r="11469" spans="2:21" x14ac:dyDescent="0.2">
      <c r="B11469" s="207"/>
      <c r="C11469" s="210"/>
      <c r="D11469" s="211"/>
      <c r="E11469" s="211"/>
      <c r="U11469" s="222"/>
    </row>
    <row r="11470" spans="2:21" x14ac:dyDescent="0.2">
      <c r="B11470" s="207"/>
      <c r="C11470" s="210"/>
      <c r="D11470" s="211"/>
      <c r="E11470" s="211"/>
      <c r="U11470" s="222"/>
    </row>
    <row r="11471" spans="2:21" x14ac:dyDescent="0.2">
      <c r="B11471" s="207"/>
      <c r="C11471" s="210"/>
      <c r="D11471" s="211"/>
      <c r="E11471" s="211"/>
      <c r="U11471" s="222"/>
    </row>
    <row r="11472" spans="2:21" x14ac:dyDescent="0.2">
      <c r="B11472" s="207"/>
      <c r="C11472" s="210"/>
      <c r="D11472" s="211"/>
      <c r="E11472" s="211"/>
      <c r="U11472" s="222"/>
    </row>
    <row r="11473" spans="2:21" x14ac:dyDescent="0.2">
      <c r="B11473" s="207"/>
      <c r="C11473" s="210"/>
      <c r="D11473" s="211"/>
      <c r="E11473" s="211"/>
      <c r="U11473" s="222"/>
    </row>
    <row r="11474" spans="2:21" x14ac:dyDescent="0.2">
      <c r="B11474" s="207"/>
      <c r="C11474" s="210"/>
      <c r="D11474" s="211"/>
      <c r="E11474" s="211"/>
      <c r="U11474" s="222"/>
    </row>
    <row r="11475" spans="2:21" x14ac:dyDescent="0.2">
      <c r="B11475" s="207"/>
      <c r="C11475" s="210"/>
      <c r="D11475" s="211"/>
      <c r="E11475" s="211"/>
      <c r="U11475" s="222"/>
    </row>
    <row r="11476" spans="2:21" x14ac:dyDescent="0.2">
      <c r="B11476" s="207"/>
      <c r="C11476" s="210"/>
      <c r="D11476" s="211"/>
      <c r="E11476" s="211"/>
      <c r="U11476" s="222"/>
    </row>
    <row r="11477" spans="2:21" x14ac:dyDescent="0.2">
      <c r="B11477" s="207"/>
      <c r="C11477" s="210"/>
      <c r="D11477" s="211"/>
      <c r="E11477" s="211"/>
      <c r="U11477" s="222"/>
    </row>
    <row r="11478" spans="2:21" x14ac:dyDescent="0.2">
      <c r="B11478" s="207"/>
      <c r="C11478" s="210"/>
      <c r="D11478" s="211"/>
      <c r="E11478" s="211"/>
      <c r="U11478" s="222"/>
    </row>
    <row r="11479" spans="2:21" x14ac:dyDescent="0.2">
      <c r="B11479" s="207"/>
      <c r="C11479" s="210"/>
      <c r="D11479" s="211"/>
      <c r="E11479" s="211"/>
      <c r="U11479" s="222"/>
    </row>
    <row r="11480" spans="2:21" x14ac:dyDescent="0.2">
      <c r="B11480" s="207"/>
      <c r="C11480" s="210"/>
      <c r="D11480" s="211"/>
      <c r="E11480" s="211"/>
      <c r="U11480" s="222"/>
    </row>
    <row r="11481" spans="2:21" x14ac:dyDescent="0.2">
      <c r="B11481" s="207"/>
      <c r="C11481" s="210"/>
      <c r="D11481" s="211"/>
      <c r="E11481" s="211"/>
      <c r="U11481" s="222"/>
    </row>
    <row r="11482" spans="2:21" x14ac:dyDescent="0.2">
      <c r="B11482" s="207"/>
      <c r="C11482" s="210"/>
      <c r="D11482" s="211"/>
      <c r="E11482" s="211"/>
      <c r="U11482" s="222"/>
    </row>
    <row r="11483" spans="2:21" x14ac:dyDescent="0.2">
      <c r="B11483" s="207"/>
      <c r="C11483" s="210"/>
      <c r="D11483" s="211"/>
      <c r="E11483" s="211"/>
      <c r="U11483" s="222"/>
    </row>
    <row r="11484" spans="2:21" x14ac:dyDescent="0.2">
      <c r="B11484" s="207"/>
      <c r="C11484" s="210"/>
      <c r="D11484" s="211"/>
      <c r="E11484" s="211"/>
      <c r="U11484" s="222"/>
    </row>
    <row r="11485" spans="2:21" x14ac:dyDescent="0.2">
      <c r="B11485" s="207"/>
      <c r="C11485" s="210"/>
      <c r="D11485" s="211"/>
      <c r="E11485" s="211"/>
      <c r="U11485" s="222"/>
    </row>
    <row r="11486" spans="2:21" x14ac:dyDescent="0.2">
      <c r="B11486" s="207"/>
      <c r="C11486" s="210"/>
      <c r="D11486" s="211"/>
      <c r="E11486" s="211"/>
      <c r="U11486" s="222"/>
    </row>
    <row r="11487" spans="2:21" x14ac:dyDescent="0.2">
      <c r="B11487" s="207"/>
      <c r="C11487" s="210"/>
      <c r="D11487" s="211"/>
      <c r="E11487" s="211"/>
      <c r="U11487" s="222"/>
    </row>
    <row r="11488" spans="2:21" x14ac:dyDescent="0.2">
      <c r="B11488" s="207"/>
      <c r="C11488" s="210"/>
      <c r="D11488" s="211"/>
      <c r="E11488" s="211"/>
      <c r="U11488" s="222"/>
    </row>
    <row r="11489" spans="2:21" x14ac:dyDescent="0.2">
      <c r="B11489" s="207"/>
      <c r="C11489" s="210"/>
      <c r="D11489" s="211"/>
      <c r="E11489" s="211"/>
      <c r="U11489" s="222"/>
    </row>
    <row r="11490" spans="2:21" x14ac:dyDescent="0.2">
      <c r="B11490" s="207"/>
      <c r="C11490" s="210"/>
      <c r="D11490" s="211"/>
      <c r="E11490" s="211"/>
      <c r="U11490" s="222"/>
    </row>
    <row r="11491" spans="2:21" x14ac:dyDescent="0.2">
      <c r="B11491" s="207"/>
      <c r="C11491" s="210"/>
      <c r="D11491" s="211"/>
      <c r="E11491" s="211"/>
      <c r="U11491" s="222"/>
    </row>
    <row r="11492" spans="2:21" x14ac:dyDescent="0.2">
      <c r="B11492" s="207"/>
      <c r="C11492" s="210"/>
      <c r="D11492" s="211"/>
      <c r="E11492" s="211"/>
      <c r="U11492" s="222"/>
    </row>
    <row r="11493" spans="2:21" x14ac:dyDescent="0.2">
      <c r="B11493" s="207"/>
      <c r="C11493" s="210"/>
      <c r="D11493" s="211"/>
      <c r="E11493" s="211"/>
      <c r="U11493" s="222"/>
    </row>
    <row r="11494" spans="2:21" x14ac:dyDescent="0.2">
      <c r="B11494" s="207"/>
      <c r="C11494" s="210"/>
      <c r="D11494" s="211"/>
      <c r="E11494" s="211"/>
      <c r="U11494" s="222"/>
    </row>
    <row r="11495" spans="2:21" x14ac:dyDescent="0.2">
      <c r="B11495" s="207"/>
      <c r="C11495" s="210"/>
      <c r="D11495" s="211"/>
      <c r="E11495" s="211"/>
      <c r="U11495" s="222"/>
    </row>
    <row r="11496" spans="2:21" x14ac:dyDescent="0.2">
      <c r="B11496" s="207"/>
      <c r="C11496" s="210"/>
      <c r="D11496" s="211"/>
      <c r="E11496" s="211"/>
      <c r="U11496" s="222"/>
    </row>
    <row r="11497" spans="2:21" x14ac:dyDescent="0.2">
      <c r="B11497" s="207"/>
      <c r="C11497" s="210"/>
      <c r="D11497" s="211"/>
      <c r="E11497" s="211"/>
      <c r="U11497" s="222"/>
    </row>
    <row r="11498" spans="2:21" x14ac:dyDescent="0.2">
      <c r="B11498" s="207"/>
      <c r="C11498" s="210"/>
      <c r="D11498" s="211"/>
      <c r="E11498" s="211"/>
      <c r="U11498" s="222"/>
    </row>
    <row r="11499" spans="2:21" x14ac:dyDescent="0.2">
      <c r="B11499" s="207"/>
      <c r="C11499" s="210"/>
      <c r="D11499" s="211"/>
      <c r="E11499" s="211"/>
      <c r="U11499" s="222"/>
    </row>
    <row r="11500" spans="2:21" x14ac:dyDescent="0.2">
      <c r="B11500" s="207"/>
      <c r="C11500" s="210"/>
      <c r="D11500" s="211"/>
      <c r="E11500" s="211"/>
      <c r="U11500" s="222"/>
    </row>
    <row r="11501" spans="2:21" x14ac:dyDescent="0.2">
      <c r="B11501" s="207"/>
      <c r="C11501" s="210"/>
      <c r="D11501" s="211"/>
      <c r="E11501" s="211"/>
      <c r="U11501" s="222"/>
    </row>
    <row r="11502" spans="2:21" x14ac:dyDescent="0.2">
      <c r="B11502" s="207"/>
      <c r="C11502" s="210"/>
      <c r="D11502" s="211"/>
      <c r="E11502" s="211"/>
      <c r="U11502" s="222"/>
    </row>
    <row r="11503" spans="2:21" x14ac:dyDescent="0.2">
      <c r="B11503" s="207"/>
      <c r="C11503" s="210"/>
      <c r="D11503" s="211"/>
      <c r="E11503" s="211"/>
      <c r="U11503" s="222"/>
    </row>
    <row r="11504" spans="2:21" x14ac:dyDescent="0.2">
      <c r="B11504" s="207"/>
      <c r="C11504" s="210"/>
      <c r="D11504" s="211"/>
      <c r="E11504" s="211"/>
      <c r="U11504" s="222"/>
    </row>
    <row r="11505" spans="2:21" x14ac:dyDescent="0.2">
      <c r="B11505" s="207"/>
      <c r="C11505" s="210"/>
      <c r="D11505" s="211"/>
      <c r="E11505" s="211"/>
      <c r="U11505" s="222"/>
    </row>
    <row r="11506" spans="2:21" x14ac:dyDescent="0.2">
      <c r="B11506" s="207"/>
      <c r="C11506" s="210"/>
      <c r="D11506" s="211"/>
      <c r="E11506" s="211"/>
      <c r="U11506" s="222"/>
    </row>
    <row r="11507" spans="2:21" x14ac:dyDescent="0.2">
      <c r="B11507" s="207"/>
      <c r="C11507" s="210"/>
      <c r="D11507" s="211"/>
      <c r="E11507" s="211"/>
      <c r="U11507" s="222"/>
    </row>
    <row r="11508" spans="2:21" x14ac:dyDescent="0.2">
      <c r="B11508" s="207"/>
      <c r="C11508" s="210"/>
      <c r="D11508" s="211"/>
      <c r="E11508" s="211"/>
      <c r="U11508" s="222"/>
    </row>
    <row r="11509" spans="2:21" x14ac:dyDescent="0.2">
      <c r="B11509" s="207"/>
      <c r="C11509" s="210"/>
      <c r="D11509" s="211"/>
      <c r="E11509" s="211"/>
      <c r="U11509" s="222"/>
    </row>
    <row r="11510" spans="2:21" x14ac:dyDescent="0.2">
      <c r="B11510" s="207"/>
      <c r="C11510" s="210"/>
      <c r="D11510" s="211"/>
      <c r="E11510" s="211"/>
      <c r="U11510" s="222"/>
    </row>
    <row r="11511" spans="2:21" x14ac:dyDescent="0.2">
      <c r="B11511" s="207"/>
      <c r="C11511" s="210"/>
      <c r="D11511" s="211"/>
      <c r="E11511" s="211"/>
      <c r="U11511" s="222"/>
    </row>
    <row r="11512" spans="2:21" x14ac:dyDescent="0.2">
      <c r="B11512" s="207"/>
      <c r="C11512" s="210"/>
      <c r="D11512" s="211"/>
      <c r="E11512" s="211"/>
      <c r="U11512" s="222"/>
    </row>
    <row r="11513" spans="2:21" x14ac:dyDescent="0.2">
      <c r="B11513" s="207"/>
      <c r="C11513" s="210"/>
      <c r="D11513" s="211"/>
      <c r="E11513" s="211"/>
      <c r="U11513" s="222"/>
    </row>
    <row r="11514" spans="2:21" x14ac:dyDescent="0.2">
      <c r="B11514" s="207"/>
      <c r="C11514" s="210"/>
      <c r="D11514" s="211"/>
      <c r="E11514" s="211"/>
      <c r="U11514" s="222"/>
    </row>
    <row r="11515" spans="2:21" x14ac:dyDescent="0.2">
      <c r="B11515" s="207"/>
      <c r="C11515" s="210"/>
      <c r="D11515" s="211"/>
      <c r="E11515" s="211"/>
      <c r="U11515" s="222"/>
    </row>
    <row r="11516" spans="2:21" x14ac:dyDescent="0.2">
      <c r="B11516" s="207"/>
      <c r="C11516" s="210"/>
      <c r="D11516" s="211"/>
      <c r="E11516" s="211"/>
      <c r="U11516" s="222"/>
    </row>
    <row r="11517" spans="2:21" x14ac:dyDescent="0.2">
      <c r="B11517" s="207"/>
      <c r="C11517" s="210"/>
      <c r="D11517" s="211"/>
      <c r="E11517" s="211"/>
      <c r="U11517" s="222"/>
    </row>
    <row r="11518" spans="2:21" x14ac:dyDescent="0.2">
      <c r="B11518" s="207"/>
      <c r="C11518" s="210"/>
      <c r="D11518" s="211"/>
      <c r="E11518" s="211"/>
      <c r="U11518" s="222"/>
    </row>
    <row r="11519" spans="2:21" x14ac:dyDescent="0.2">
      <c r="B11519" s="207"/>
      <c r="C11519" s="210"/>
      <c r="D11519" s="211"/>
      <c r="E11519" s="211"/>
      <c r="U11519" s="222"/>
    </row>
    <row r="11520" spans="2:21" x14ac:dyDescent="0.2">
      <c r="B11520" s="207"/>
      <c r="C11520" s="210"/>
      <c r="D11520" s="211"/>
      <c r="E11520" s="211"/>
      <c r="U11520" s="222"/>
    </row>
    <row r="11521" spans="2:21" x14ac:dyDescent="0.2">
      <c r="B11521" s="207"/>
      <c r="C11521" s="210"/>
      <c r="D11521" s="211"/>
      <c r="E11521" s="211"/>
      <c r="U11521" s="222"/>
    </row>
    <row r="11522" spans="2:21" x14ac:dyDescent="0.2">
      <c r="B11522" s="207"/>
      <c r="C11522" s="210"/>
      <c r="D11522" s="211"/>
      <c r="E11522" s="211"/>
      <c r="U11522" s="222"/>
    </row>
    <row r="11523" spans="2:21" x14ac:dyDescent="0.2">
      <c r="B11523" s="207"/>
      <c r="C11523" s="210"/>
      <c r="D11523" s="211"/>
      <c r="E11523" s="211"/>
      <c r="U11523" s="222"/>
    </row>
    <row r="11524" spans="2:21" x14ac:dyDescent="0.2">
      <c r="B11524" s="207"/>
      <c r="C11524" s="210"/>
      <c r="D11524" s="211"/>
      <c r="E11524" s="211"/>
      <c r="U11524" s="222"/>
    </row>
    <row r="11525" spans="2:21" x14ac:dyDescent="0.2">
      <c r="B11525" s="207"/>
      <c r="C11525" s="210"/>
      <c r="D11525" s="211"/>
      <c r="E11525" s="211"/>
      <c r="U11525" s="222"/>
    </row>
    <row r="11526" spans="2:21" x14ac:dyDescent="0.2">
      <c r="B11526" s="207"/>
      <c r="C11526" s="210"/>
      <c r="D11526" s="211"/>
      <c r="E11526" s="211"/>
      <c r="U11526" s="222"/>
    </row>
    <row r="11527" spans="2:21" x14ac:dyDescent="0.2">
      <c r="B11527" s="207"/>
      <c r="C11527" s="210"/>
      <c r="D11527" s="211"/>
      <c r="E11527" s="211"/>
      <c r="U11527" s="222"/>
    </row>
    <row r="11528" spans="2:21" x14ac:dyDescent="0.2">
      <c r="B11528" s="207"/>
      <c r="C11528" s="210"/>
      <c r="D11528" s="211"/>
      <c r="E11528" s="211"/>
      <c r="U11528" s="222"/>
    </row>
    <row r="11529" spans="2:21" x14ac:dyDescent="0.2">
      <c r="B11529" s="207"/>
      <c r="C11529" s="210"/>
      <c r="D11529" s="211"/>
      <c r="E11529" s="211"/>
      <c r="U11529" s="222"/>
    </row>
    <row r="11530" spans="2:21" x14ac:dyDescent="0.2">
      <c r="B11530" s="207"/>
      <c r="C11530" s="210"/>
      <c r="D11530" s="211"/>
      <c r="E11530" s="211"/>
      <c r="U11530" s="222"/>
    </row>
    <row r="11531" spans="2:21" x14ac:dyDescent="0.2">
      <c r="B11531" s="207"/>
      <c r="C11531" s="210"/>
      <c r="D11531" s="211"/>
      <c r="E11531" s="211"/>
      <c r="U11531" s="222"/>
    </row>
    <row r="11532" spans="2:21" x14ac:dyDescent="0.2">
      <c r="B11532" s="207"/>
      <c r="C11532" s="210"/>
      <c r="D11532" s="211"/>
      <c r="E11532" s="211"/>
      <c r="U11532" s="222"/>
    </row>
    <row r="11533" spans="2:21" x14ac:dyDescent="0.2">
      <c r="B11533" s="207"/>
      <c r="C11533" s="210"/>
      <c r="D11533" s="211"/>
      <c r="E11533" s="211"/>
      <c r="U11533" s="222"/>
    </row>
    <row r="11534" spans="2:21" x14ac:dyDescent="0.2">
      <c r="B11534" s="207"/>
      <c r="C11534" s="210"/>
      <c r="D11534" s="211"/>
      <c r="E11534" s="211"/>
      <c r="U11534" s="222"/>
    </row>
    <row r="11535" spans="2:21" x14ac:dyDescent="0.2">
      <c r="B11535" s="207"/>
      <c r="C11535" s="210"/>
      <c r="D11535" s="211"/>
      <c r="E11535" s="211"/>
      <c r="U11535" s="222"/>
    </row>
    <row r="11536" spans="2:21" x14ac:dyDescent="0.2">
      <c r="B11536" s="207"/>
      <c r="C11536" s="210"/>
      <c r="D11536" s="211"/>
      <c r="E11536" s="211"/>
      <c r="U11536" s="222"/>
    </row>
    <row r="11537" spans="2:21" x14ac:dyDescent="0.2">
      <c r="B11537" s="207"/>
      <c r="C11537" s="210"/>
      <c r="D11537" s="211"/>
      <c r="E11537" s="211"/>
      <c r="U11537" s="222"/>
    </row>
    <row r="11538" spans="2:21" x14ac:dyDescent="0.2">
      <c r="B11538" s="207"/>
      <c r="C11538" s="210"/>
      <c r="D11538" s="211"/>
      <c r="E11538" s="211"/>
      <c r="U11538" s="222"/>
    </row>
    <row r="11539" spans="2:21" x14ac:dyDescent="0.2">
      <c r="B11539" s="207"/>
      <c r="C11539" s="210"/>
      <c r="D11539" s="211"/>
      <c r="E11539" s="211"/>
      <c r="U11539" s="222"/>
    </row>
    <row r="11540" spans="2:21" x14ac:dyDescent="0.2">
      <c r="B11540" s="207"/>
      <c r="C11540" s="210"/>
      <c r="D11540" s="211"/>
      <c r="E11540" s="211"/>
      <c r="U11540" s="222"/>
    </row>
    <row r="11541" spans="2:21" x14ac:dyDescent="0.2">
      <c r="B11541" s="207"/>
      <c r="C11541" s="210"/>
      <c r="D11541" s="211"/>
      <c r="E11541" s="211"/>
      <c r="U11541" s="222"/>
    </row>
    <row r="11542" spans="2:21" x14ac:dyDescent="0.2">
      <c r="B11542" s="207"/>
      <c r="C11542" s="210"/>
      <c r="D11542" s="211"/>
      <c r="E11542" s="211"/>
      <c r="U11542" s="222"/>
    </row>
    <row r="11543" spans="2:21" x14ac:dyDescent="0.2">
      <c r="B11543" s="207"/>
      <c r="C11543" s="210"/>
      <c r="D11543" s="211"/>
      <c r="E11543" s="211"/>
      <c r="U11543" s="222"/>
    </row>
    <row r="11544" spans="2:21" x14ac:dyDescent="0.2">
      <c r="B11544" s="207"/>
      <c r="C11544" s="210"/>
      <c r="D11544" s="211"/>
      <c r="E11544" s="211"/>
      <c r="U11544" s="222"/>
    </row>
    <row r="11545" spans="2:21" x14ac:dyDescent="0.2">
      <c r="B11545" s="207"/>
      <c r="C11545" s="210"/>
      <c r="D11545" s="211"/>
      <c r="E11545" s="211"/>
      <c r="U11545" s="222"/>
    </row>
    <row r="11546" spans="2:21" x14ac:dyDescent="0.2">
      <c r="B11546" s="207"/>
      <c r="C11546" s="210"/>
      <c r="D11546" s="211"/>
      <c r="E11546" s="211"/>
      <c r="U11546" s="222"/>
    </row>
    <row r="11547" spans="2:21" x14ac:dyDescent="0.2">
      <c r="B11547" s="207"/>
      <c r="C11547" s="210"/>
      <c r="D11547" s="211"/>
      <c r="E11547" s="211"/>
      <c r="U11547" s="222"/>
    </row>
    <row r="11548" spans="2:21" x14ac:dyDescent="0.2">
      <c r="B11548" s="207"/>
      <c r="C11548" s="210"/>
      <c r="D11548" s="211"/>
      <c r="E11548" s="211"/>
      <c r="U11548" s="222"/>
    </row>
    <row r="11549" spans="2:21" x14ac:dyDescent="0.2">
      <c r="B11549" s="207"/>
      <c r="C11549" s="210"/>
      <c r="D11549" s="211"/>
      <c r="E11549" s="211"/>
      <c r="U11549" s="222"/>
    </row>
    <row r="11550" spans="2:21" x14ac:dyDescent="0.2">
      <c r="B11550" s="207"/>
      <c r="C11550" s="210"/>
      <c r="D11550" s="211"/>
      <c r="E11550" s="211"/>
      <c r="U11550" s="222"/>
    </row>
    <row r="11551" spans="2:21" x14ac:dyDescent="0.2">
      <c r="B11551" s="207"/>
      <c r="C11551" s="210"/>
      <c r="D11551" s="211"/>
      <c r="E11551" s="211"/>
      <c r="U11551" s="222"/>
    </row>
    <row r="11552" spans="2:21" x14ac:dyDescent="0.2">
      <c r="B11552" s="207"/>
      <c r="C11552" s="210"/>
      <c r="D11552" s="211"/>
      <c r="E11552" s="211"/>
      <c r="U11552" s="222"/>
    </row>
    <row r="11553" spans="2:21" x14ac:dyDescent="0.2">
      <c r="B11553" s="207"/>
      <c r="C11553" s="210"/>
      <c r="D11553" s="211"/>
      <c r="E11553" s="211"/>
      <c r="U11553" s="222"/>
    </row>
    <row r="11554" spans="2:21" x14ac:dyDescent="0.2">
      <c r="B11554" s="207"/>
      <c r="C11554" s="210"/>
      <c r="D11554" s="211"/>
      <c r="E11554" s="211"/>
      <c r="U11554" s="222"/>
    </row>
    <row r="11555" spans="2:21" x14ac:dyDescent="0.2">
      <c r="B11555" s="207"/>
      <c r="C11555" s="210"/>
      <c r="D11555" s="211"/>
      <c r="E11555" s="211"/>
      <c r="U11555" s="222"/>
    </row>
    <row r="11556" spans="2:21" x14ac:dyDescent="0.2">
      <c r="B11556" s="207"/>
      <c r="C11556" s="210"/>
      <c r="D11556" s="211"/>
      <c r="E11556" s="211"/>
      <c r="U11556" s="222"/>
    </row>
    <row r="11557" spans="2:21" x14ac:dyDescent="0.2">
      <c r="B11557" s="207"/>
      <c r="C11557" s="210"/>
      <c r="D11557" s="211"/>
      <c r="E11557" s="211"/>
      <c r="U11557" s="222"/>
    </row>
    <row r="11558" spans="2:21" x14ac:dyDescent="0.2">
      <c r="B11558" s="207"/>
      <c r="C11558" s="210"/>
      <c r="D11558" s="211"/>
      <c r="E11558" s="211"/>
      <c r="U11558" s="222"/>
    </row>
    <row r="11559" spans="2:21" x14ac:dyDescent="0.2">
      <c r="B11559" s="207"/>
      <c r="C11559" s="210"/>
      <c r="D11559" s="211"/>
      <c r="E11559" s="211"/>
      <c r="U11559" s="222"/>
    </row>
    <row r="11560" spans="2:21" x14ac:dyDescent="0.2">
      <c r="B11560" s="207"/>
      <c r="C11560" s="210"/>
      <c r="D11560" s="211"/>
      <c r="E11560" s="211"/>
      <c r="U11560" s="222"/>
    </row>
    <row r="11561" spans="2:21" x14ac:dyDescent="0.2">
      <c r="B11561" s="207"/>
      <c r="C11561" s="210"/>
      <c r="D11561" s="211"/>
      <c r="E11561" s="211"/>
      <c r="U11561" s="222"/>
    </row>
    <row r="11562" spans="2:21" x14ac:dyDescent="0.2">
      <c r="B11562" s="207"/>
      <c r="C11562" s="210"/>
      <c r="D11562" s="211"/>
      <c r="E11562" s="211"/>
      <c r="U11562" s="222"/>
    </row>
    <row r="11563" spans="2:21" x14ac:dyDescent="0.2">
      <c r="B11563" s="207"/>
      <c r="C11563" s="210"/>
      <c r="D11563" s="211"/>
      <c r="E11563" s="211"/>
      <c r="U11563" s="222"/>
    </row>
    <row r="11564" spans="2:21" x14ac:dyDescent="0.2">
      <c r="B11564" s="207"/>
      <c r="C11564" s="210"/>
      <c r="D11564" s="211"/>
      <c r="E11564" s="211"/>
      <c r="U11564" s="222"/>
    </row>
    <row r="11565" spans="2:21" x14ac:dyDescent="0.2">
      <c r="B11565" s="207"/>
      <c r="C11565" s="210"/>
      <c r="D11565" s="211"/>
      <c r="E11565" s="211"/>
      <c r="U11565" s="222"/>
    </row>
    <row r="11566" spans="2:21" x14ac:dyDescent="0.2">
      <c r="B11566" s="207"/>
      <c r="C11566" s="210"/>
      <c r="D11566" s="211"/>
      <c r="E11566" s="211"/>
      <c r="U11566" s="222"/>
    </row>
    <row r="11567" spans="2:21" x14ac:dyDescent="0.2">
      <c r="B11567" s="207"/>
      <c r="C11567" s="210"/>
      <c r="D11567" s="211"/>
      <c r="E11567" s="211"/>
      <c r="U11567" s="222"/>
    </row>
    <row r="11568" spans="2:21" x14ac:dyDescent="0.2">
      <c r="B11568" s="207"/>
      <c r="C11568" s="210"/>
      <c r="D11568" s="211"/>
      <c r="E11568" s="211"/>
      <c r="U11568" s="222"/>
    </row>
    <row r="11569" spans="2:21" x14ac:dyDescent="0.2">
      <c r="B11569" s="207"/>
      <c r="C11569" s="210"/>
      <c r="D11569" s="211"/>
      <c r="E11569" s="211"/>
      <c r="U11569" s="222"/>
    </row>
    <row r="11570" spans="2:21" x14ac:dyDescent="0.2">
      <c r="B11570" s="207"/>
      <c r="C11570" s="210"/>
      <c r="D11570" s="211"/>
      <c r="E11570" s="211"/>
      <c r="U11570" s="222"/>
    </row>
    <row r="11571" spans="2:21" x14ac:dyDescent="0.2">
      <c r="B11571" s="207"/>
      <c r="C11571" s="210"/>
      <c r="D11571" s="211"/>
      <c r="E11571" s="211"/>
      <c r="U11571" s="222"/>
    </row>
    <row r="11572" spans="2:21" x14ac:dyDescent="0.2">
      <c r="B11572" s="207"/>
      <c r="C11572" s="210"/>
      <c r="D11572" s="211"/>
      <c r="E11572" s="211"/>
      <c r="U11572" s="222"/>
    </row>
    <row r="11573" spans="2:21" x14ac:dyDescent="0.2">
      <c r="B11573" s="207"/>
      <c r="C11573" s="210"/>
      <c r="D11573" s="211"/>
      <c r="E11573" s="211"/>
      <c r="U11573" s="222"/>
    </row>
    <row r="11574" spans="2:21" x14ac:dyDescent="0.2">
      <c r="B11574" s="207"/>
      <c r="C11574" s="210"/>
      <c r="D11574" s="211"/>
      <c r="E11574" s="211"/>
      <c r="U11574" s="222"/>
    </row>
    <row r="11575" spans="2:21" x14ac:dyDescent="0.2">
      <c r="B11575" s="207"/>
      <c r="C11575" s="210"/>
      <c r="D11575" s="211"/>
      <c r="E11575" s="211"/>
      <c r="U11575" s="222"/>
    </row>
    <row r="11576" spans="2:21" x14ac:dyDescent="0.2">
      <c r="B11576" s="207"/>
      <c r="C11576" s="210"/>
      <c r="D11576" s="211"/>
      <c r="E11576" s="211"/>
      <c r="U11576" s="222"/>
    </row>
    <row r="11577" spans="2:21" x14ac:dyDescent="0.2">
      <c r="B11577" s="207"/>
      <c r="C11577" s="210"/>
      <c r="D11577" s="211"/>
      <c r="E11577" s="211"/>
      <c r="U11577" s="222"/>
    </row>
    <row r="11578" spans="2:21" x14ac:dyDescent="0.2">
      <c r="B11578" s="207"/>
      <c r="C11578" s="210"/>
      <c r="D11578" s="211"/>
      <c r="E11578" s="211"/>
      <c r="U11578" s="222"/>
    </row>
    <row r="11579" spans="2:21" x14ac:dyDescent="0.2">
      <c r="B11579" s="207"/>
      <c r="C11579" s="210"/>
      <c r="D11579" s="211"/>
      <c r="E11579" s="211"/>
      <c r="U11579" s="222"/>
    </row>
    <row r="11580" spans="2:21" x14ac:dyDescent="0.2">
      <c r="B11580" s="207"/>
      <c r="C11580" s="210"/>
      <c r="D11580" s="211"/>
      <c r="E11580" s="211"/>
      <c r="U11580" s="222"/>
    </row>
    <row r="11581" spans="2:21" x14ac:dyDescent="0.2">
      <c r="B11581" s="207"/>
      <c r="C11581" s="210"/>
      <c r="D11581" s="211"/>
      <c r="E11581" s="211"/>
      <c r="U11581" s="222"/>
    </row>
    <row r="11582" spans="2:21" x14ac:dyDescent="0.2">
      <c r="B11582" s="207"/>
      <c r="C11582" s="210"/>
      <c r="D11582" s="211"/>
      <c r="E11582" s="211"/>
      <c r="U11582" s="222"/>
    </row>
    <row r="11583" spans="2:21" x14ac:dyDescent="0.2">
      <c r="B11583" s="207"/>
      <c r="C11583" s="210"/>
      <c r="D11583" s="211"/>
      <c r="E11583" s="211"/>
      <c r="U11583" s="222"/>
    </row>
    <row r="11584" spans="2:21" x14ac:dyDescent="0.2">
      <c r="B11584" s="207"/>
      <c r="C11584" s="210"/>
      <c r="D11584" s="211"/>
      <c r="E11584" s="211"/>
      <c r="U11584" s="222"/>
    </row>
    <row r="11585" spans="2:21" x14ac:dyDescent="0.2">
      <c r="B11585" s="207"/>
      <c r="C11585" s="210"/>
      <c r="D11585" s="211"/>
      <c r="E11585" s="211"/>
      <c r="U11585" s="222"/>
    </row>
    <row r="11586" spans="2:21" x14ac:dyDescent="0.2">
      <c r="B11586" s="207"/>
      <c r="C11586" s="210"/>
      <c r="D11586" s="211"/>
      <c r="E11586" s="211"/>
      <c r="U11586" s="222"/>
    </row>
    <row r="11587" spans="2:21" x14ac:dyDescent="0.2">
      <c r="B11587" s="207"/>
      <c r="C11587" s="210"/>
      <c r="D11587" s="211"/>
      <c r="E11587" s="211"/>
      <c r="U11587" s="222"/>
    </row>
    <row r="11588" spans="2:21" x14ac:dyDescent="0.2">
      <c r="B11588" s="207"/>
      <c r="C11588" s="210"/>
      <c r="D11588" s="211"/>
      <c r="E11588" s="211"/>
      <c r="U11588" s="222"/>
    </row>
    <row r="11589" spans="2:21" x14ac:dyDescent="0.2">
      <c r="B11589" s="207"/>
      <c r="C11589" s="210"/>
      <c r="D11589" s="211"/>
      <c r="E11589" s="211"/>
      <c r="U11589" s="222"/>
    </row>
    <row r="11590" spans="2:21" x14ac:dyDescent="0.2">
      <c r="B11590" s="207"/>
      <c r="C11590" s="210"/>
      <c r="D11590" s="211"/>
      <c r="E11590" s="211"/>
      <c r="U11590" s="222"/>
    </row>
    <row r="11591" spans="2:21" x14ac:dyDescent="0.2">
      <c r="B11591" s="207"/>
      <c r="C11591" s="210"/>
      <c r="D11591" s="211"/>
      <c r="E11591" s="211"/>
      <c r="U11591" s="222"/>
    </row>
    <row r="11592" spans="2:21" x14ac:dyDescent="0.2">
      <c r="B11592" s="207"/>
      <c r="C11592" s="210"/>
      <c r="D11592" s="211"/>
      <c r="E11592" s="211"/>
      <c r="U11592" s="222"/>
    </row>
    <row r="11593" spans="2:21" x14ac:dyDescent="0.2">
      <c r="B11593" s="207"/>
      <c r="C11593" s="210"/>
      <c r="D11593" s="211"/>
      <c r="E11593" s="211"/>
      <c r="U11593" s="222"/>
    </row>
    <row r="11594" spans="2:21" x14ac:dyDescent="0.2">
      <c r="B11594" s="207"/>
      <c r="C11594" s="210"/>
      <c r="D11594" s="211"/>
      <c r="E11594" s="211"/>
      <c r="U11594" s="222"/>
    </row>
    <row r="11595" spans="2:21" x14ac:dyDescent="0.2">
      <c r="B11595" s="207"/>
      <c r="C11595" s="210"/>
      <c r="D11595" s="211"/>
      <c r="E11595" s="211"/>
      <c r="U11595" s="222"/>
    </row>
    <row r="11596" spans="2:21" x14ac:dyDescent="0.2">
      <c r="B11596" s="207"/>
      <c r="C11596" s="210"/>
      <c r="D11596" s="211"/>
      <c r="E11596" s="211"/>
      <c r="U11596" s="222"/>
    </row>
    <row r="11597" spans="2:21" x14ac:dyDescent="0.2">
      <c r="B11597" s="207"/>
      <c r="C11597" s="210"/>
      <c r="D11597" s="211"/>
      <c r="E11597" s="211"/>
      <c r="U11597" s="222"/>
    </row>
    <row r="11598" spans="2:21" x14ac:dyDescent="0.2">
      <c r="B11598" s="207"/>
      <c r="C11598" s="210"/>
      <c r="D11598" s="211"/>
      <c r="E11598" s="211"/>
      <c r="U11598" s="222"/>
    </row>
    <row r="11599" spans="2:21" x14ac:dyDescent="0.2">
      <c r="B11599" s="207"/>
      <c r="C11599" s="210"/>
      <c r="D11599" s="211"/>
      <c r="E11599" s="211"/>
      <c r="U11599" s="222"/>
    </row>
    <row r="11600" spans="2:21" x14ac:dyDescent="0.2">
      <c r="B11600" s="207"/>
      <c r="C11600" s="210"/>
      <c r="D11600" s="211"/>
      <c r="E11600" s="211"/>
      <c r="U11600" s="222"/>
    </row>
    <row r="11601" spans="2:21" x14ac:dyDescent="0.2">
      <c r="B11601" s="207"/>
      <c r="C11601" s="210"/>
      <c r="D11601" s="211"/>
      <c r="E11601" s="211"/>
      <c r="U11601" s="222"/>
    </row>
    <row r="11602" spans="2:21" x14ac:dyDescent="0.2">
      <c r="B11602" s="207"/>
      <c r="C11602" s="210"/>
      <c r="D11602" s="211"/>
      <c r="E11602" s="211"/>
      <c r="U11602" s="222"/>
    </row>
    <row r="11603" spans="2:21" x14ac:dyDescent="0.2">
      <c r="B11603" s="207"/>
      <c r="C11603" s="210"/>
      <c r="D11603" s="211"/>
      <c r="E11603" s="211"/>
      <c r="U11603" s="222"/>
    </row>
    <row r="11604" spans="2:21" x14ac:dyDescent="0.2">
      <c r="B11604" s="207"/>
      <c r="C11604" s="210"/>
      <c r="D11604" s="211"/>
      <c r="E11604" s="211"/>
      <c r="U11604" s="222"/>
    </row>
    <row r="11605" spans="2:21" x14ac:dyDescent="0.2">
      <c r="B11605" s="207"/>
      <c r="C11605" s="210"/>
      <c r="D11605" s="211"/>
      <c r="E11605" s="211"/>
      <c r="U11605" s="222"/>
    </row>
    <row r="11606" spans="2:21" x14ac:dyDescent="0.2">
      <c r="B11606" s="207"/>
      <c r="C11606" s="210"/>
      <c r="D11606" s="211"/>
      <c r="E11606" s="211"/>
      <c r="U11606" s="222"/>
    </row>
    <row r="11607" spans="2:21" x14ac:dyDescent="0.2">
      <c r="B11607" s="207"/>
      <c r="C11607" s="210"/>
      <c r="D11607" s="211"/>
      <c r="E11607" s="211"/>
      <c r="U11607" s="222"/>
    </row>
    <row r="11608" spans="2:21" x14ac:dyDescent="0.2">
      <c r="B11608" s="207"/>
      <c r="C11608" s="210"/>
      <c r="D11608" s="211"/>
      <c r="E11608" s="211"/>
      <c r="U11608" s="222"/>
    </row>
    <row r="11609" spans="2:21" x14ac:dyDescent="0.2">
      <c r="B11609" s="207"/>
      <c r="C11609" s="210"/>
      <c r="D11609" s="211"/>
      <c r="E11609" s="211"/>
      <c r="U11609" s="222"/>
    </row>
    <row r="11610" spans="2:21" x14ac:dyDescent="0.2">
      <c r="B11610" s="207"/>
      <c r="C11610" s="210"/>
      <c r="D11610" s="211"/>
      <c r="E11610" s="211"/>
      <c r="U11610" s="222"/>
    </row>
    <row r="11611" spans="2:21" x14ac:dyDescent="0.2">
      <c r="B11611" s="207"/>
      <c r="C11611" s="210"/>
      <c r="D11611" s="211"/>
      <c r="E11611" s="211"/>
      <c r="U11611" s="222"/>
    </row>
    <row r="11612" spans="2:21" x14ac:dyDescent="0.2">
      <c r="B11612" s="207"/>
      <c r="C11612" s="210"/>
      <c r="D11612" s="211"/>
      <c r="E11612" s="211"/>
      <c r="U11612" s="222"/>
    </row>
    <row r="11613" spans="2:21" x14ac:dyDescent="0.2">
      <c r="B11613" s="207"/>
      <c r="C11613" s="210"/>
      <c r="D11613" s="211"/>
      <c r="E11613" s="211"/>
      <c r="U11613" s="222"/>
    </row>
    <row r="11614" spans="2:21" x14ac:dyDescent="0.2">
      <c r="B11614" s="207"/>
      <c r="C11614" s="210"/>
      <c r="D11614" s="211"/>
      <c r="E11614" s="211"/>
      <c r="U11614" s="222"/>
    </row>
    <row r="11615" spans="2:21" x14ac:dyDescent="0.2">
      <c r="B11615" s="207"/>
      <c r="C11615" s="210"/>
      <c r="D11615" s="211"/>
      <c r="E11615" s="211"/>
      <c r="U11615" s="222"/>
    </row>
    <row r="11616" spans="2:21" x14ac:dyDescent="0.2">
      <c r="B11616" s="207"/>
      <c r="C11616" s="210"/>
      <c r="D11616" s="211"/>
      <c r="E11616" s="211"/>
      <c r="U11616" s="222"/>
    </row>
    <row r="11617" spans="2:21" x14ac:dyDescent="0.2">
      <c r="B11617" s="207"/>
      <c r="C11617" s="210"/>
      <c r="D11617" s="211"/>
      <c r="E11617" s="211"/>
      <c r="U11617" s="222"/>
    </row>
    <row r="11618" spans="2:21" x14ac:dyDescent="0.2">
      <c r="B11618" s="207"/>
      <c r="C11618" s="210"/>
      <c r="D11618" s="211"/>
      <c r="E11618" s="211"/>
      <c r="U11618" s="222"/>
    </row>
    <row r="11619" spans="2:21" x14ac:dyDescent="0.2">
      <c r="B11619" s="207"/>
      <c r="C11619" s="210"/>
      <c r="D11619" s="211"/>
      <c r="E11619" s="211"/>
      <c r="U11619" s="222"/>
    </row>
    <row r="11620" spans="2:21" x14ac:dyDescent="0.2">
      <c r="B11620" s="207"/>
      <c r="C11620" s="210"/>
      <c r="D11620" s="211"/>
      <c r="E11620" s="211"/>
      <c r="U11620" s="222"/>
    </row>
    <row r="11621" spans="2:21" x14ac:dyDescent="0.2">
      <c r="B11621" s="207"/>
      <c r="C11621" s="210"/>
      <c r="D11621" s="211"/>
      <c r="E11621" s="211"/>
      <c r="U11621" s="222"/>
    </row>
    <row r="11622" spans="2:21" x14ac:dyDescent="0.2">
      <c r="B11622" s="207"/>
      <c r="C11622" s="210"/>
      <c r="D11622" s="211"/>
      <c r="E11622" s="211"/>
      <c r="U11622" s="222"/>
    </row>
    <row r="11623" spans="2:21" x14ac:dyDescent="0.2">
      <c r="B11623" s="207"/>
      <c r="C11623" s="210"/>
      <c r="D11623" s="211"/>
      <c r="E11623" s="211"/>
      <c r="U11623" s="222"/>
    </row>
    <row r="11624" spans="2:21" x14ac:dyDescent="0.2">
      <c r="B11624" s="207"/>
      <c r="C11624" s="210"/>
      <c r="D11624" s="211"/>
      <c r="E11624" s="211"/>
      <c r="U11624" s="222"/>
    </row>
    <row r="11625" spans="2:21" x14ac:dyDescent="0.2">
      <c r="B11625" s="207"/>
      <c r="C11625" s="210"/>
      <c r="D11625" s="211"/>
      <c r="E11625" s="211"/>
      <c r="U11625" s="222"/>
    </row>
    <row r="11626" spans="2:21" x14ac:dyDescent="0.2">
      <c r="B11626" s="207"/>
      <c r="C11626" s="210"/>
      <c r="D11626" s="211"/>
      <c r="E11626" s="211"/>
      <c r="U11626" s="222"/>
    </row>
    <row r="11627" spans="2:21" x14ac:dyDescent="0.2">
      <c r="B11627" s="207"/>
      <c r="C11627" s="210"/>
      <c r="D11627" s="211"/>
      <c r="E11627" s="211"/>
      <c r="U11627" s="222"/>
    </row>
    <row r="11628" spans="2:21" x14ac:dyDescent="0.2">
      <c r="B11628" s="207"/>
      <c r="C11628" s="210"/>
      <c r="D11628" s="211"/>
      <c r="E11628" s="211"/>
      <c r="U11628" s="222"/>
    </row>
    <row r="11629" spans="2:21" x14ac:dyDescent="0.2">
      <c r="B11629" s="207"/>
      <c r="C11629" s="210"/>
      <c r="D11629" s="211"/>
      <c r="E11629" s="211"/>
      <c r="U11629" s="222"/>
    </row>
    <row r="11630" spans="2:21" x14ac:dyDescent="0.2">
      <c r="B11630" s="207"/>
      <c r="C11630" s="210"/>
      <c r="D11630" s="211"/>
      <c r="E11630" s="211"/>
      <c r="U11630" s="222"/>
    </row>
    <row r="11631" spans="2:21" x14ac:dyDescent="0.2">
      <c r="B11631" s="207"/>
      <c r="C11631" s="210"/>
      <c r="D11631" s="211"/>
      <c r="E11631" s="211"/>
      <c r="U11631" s="222"/>
    </row>
    <row r="11632" spans="2:21" x14ac:dyDescent="0.2">
      <c r="B11632" s="207"/>
      <c r="C11632" s="210"/>
      <c r="D11632" s="211"/>
      <c r="E11632" s="211"/>
      <c r="U11632" s="222"/>
    </row>
    <row r="11633" spans="2:21" x14ac:dyDescent="0.2">
      <c r="B11633" s="207"/>
      <c r="C11633" s="210"/>
      <c r="D11633" s="211"/>
      <c r="E11633" s="211"/>
      <c r="U11633" s="222"/>
    </row>
    <row r="11634" spans="2:21" x14ac:dyDescent="0.2">
      <c r="B11634" s="207"/>
      <c r="C11634" s="210"/>
      <c r="D11634" s="211"/>
      <c r="E11634" s="211"/>
      <c r="U11634" s="222"/>
    </row>
    <row r="11635" spans="2:21" x14ac:dyDescent="0.2">
      <c r="B11635" s="207"/>
      <c r="C11635" s="210"/>
      <c r="D11635" s="211"/>
      <c r="E11635" s="211"/>
      <c r="U11635" s="222"/>
    </row>
    <row r="11636" spans="2:21" x14ac:dyDescent="0.2">
      <c r="B11636" s="207"/>
      <c r="C11636" s="210"/>
      <c r="D11636" s="211"/>
      <c r="E11636" s="211"/>
      <c r="U11636" s="222"/>
    </row>
    <row r="11637" spans="2:21" x14ac:dyDescent="0.2">
      <c r="B11637" s="207"/>
      <c r="C11637" s="210"/>
      <c r="D11637" s="211"/>
      <c r="E11637" s="211"/>
      <c r="U11637" s="222"/>
    </row>
    <row r="11638" spans="2:21" x14ac:dyDescent="0.2">
      <c r="B11638" s="207"/>
      <c r="C11638" s="210"/>
      <c r="D11638" s="211"/>
      <c r="E11638" s="211"/>
      <c r="U11638" s="222"/>
    </row>
    <row r="11639" spans="2:21" x14ac:dyDescent="0.2">
      <c r="B11639" s="207"/>
      <c r="C11639" s="210"/>
      <c r="D11639" s="211"/>
      <c r="E11639" s="211"/>
      <c r="U11639" s="222"/>
    </row>
    <row r="11640" spans="2:21" x14ac:dyDescent="0.2">
      <c r="B11640" s="207"/>
      <c r="C11640" s="210"/>
      <c r="D11640" s="211"/>
      <c r="E11640" s="211"/>
      <c r="U11640" s="222"/>
    </row>
    <row r="11641" spans="2:21" x14ac:dyDescent="0.2">
      <c r="B11641" s="207"/>
      <c r="C11641" s="210"/>
      <c r="D11641" s="211"/>
      <c r="E11641" s="211"/>
      <c r="U11641" s="222"/>
    </row>
    <row r="11642" spans="2:21" x14ac:dyDescent="0.2">
      <c r="B11642" s="207"/>
      <c r="C11642" s="210"/>
      <c r="D11642" s="211"/>
      <c r="E11642" s="211"/>
      <c r="U11642" s="222"/>
    </row>
    <row r="11643" spans="2:21" x14ac:dyDescent="0.2">
      <c r="B11643" s="207"/>
      <c r="C11643" s="210"/>
      <c r="D11643" s="211"/>
      <c r="E11643" s="211"/>
      <c r="U11643" s="222"/>
    </row>
    <row r="11644" spans="2:21" x14ac:dyDescent="0.2">
      <c r="B11644" s="207"/>
      <c r="C11644" s="210"/>
      <c r="D11644" s="211"/>
      <c r="E11644" s="211"/>
      <c r="U11644" s="222"/>
    </row>
    <row r="11645" spans="2:21" x14ac:dyDescent="0.2">
      <c r="B11645" s="207"/>
      <c r="C11645" s="210"/>
      <c r="D11645" s="211"/>
      <c r="E11645" s="211"/>
      <c r="U11645" s="222"/>
    </row>
    <row r="11646" spans="2:21" x14ac:dyDescent="0.2">
      <c r="B11646" s="207"/>
      <c r="C11646" s="210"/>
      <c r="D11646" s="211"/>
      <c r="E11646" s="211"/>
      <c r="U11646" s="222"/>
    </row>
    <row r="11647" spans="2:21" x14ac:dyDescent="0.2">
      <c r="B11647" s="207"/>
      <c r="C11647" s="210"/>
      <c r="D11647" s="211"/>
      <c r="E11647" s="211"/>
      <c r="U11647" s="222"/>
    </row>
    <row r="11648" spans="2:21" x14ac:dyDescent="0.2">
      <c r="B11648" s="207"/>
      <c r="C11648" s="210"/>
      <c r="D11648" s="211"/>
      <c r="E11648" s="211"/>
      <c r="U11648" s="222"/>
    </row>
    <row r="11649" spans="2:21" x14ac:dyDescent="0.2">
      <c r="B11649" s="207"/>
      <c r="C11649" s="210"/>
      <c r="D11649" s="211"/>
      <c r="E11649" s="211"/>
      <c r="U11649" s="222"/>
    </row>
    <row r="11650" spans="2:21" x14ac:dyDescent="0.2">
      <c r="B11650" s="207"/>
      <c r="C11650" s="210"/>
      <c r="D11650" s="211"/>
      <c r="E11650" s="211"/>
      <c r="U11650" s="222"/>
    </row>
    <row r="11651" spans="2:21" x14ac:dyDescent="0.2">
      <c r="B11651" s="207"/>
      <c r="C11651" s="210"/>
      <c r="D11651" s="211"/>
      <c r="E11651" s="211"/>
      <c r="U11651" s="222"/>
    </row>
    <row r="11652" spans="2:21" x14ac:dyDescent="0.2">
      <c r="B11652" s="207"/>
      <c r="C11652" s="210"/>
      <c r="D11652" s="211"/>
      <c r="E11652" s="211"/>
      <c r="U11652" s="222"/>
    </row>
    <row r="11653" spans="2:21" x14ac:dyDescent="0.2">
      <c r="B11653" s="207"/>
      <c r="C11653" s="210"/>
      <c r="D11653" s="211"/>
      <c r="E11653" s="211"/>
      <c r="U11653" s="222"/>
    </row>
    <row r="11654" spans="2:21" x14ac:dyDescent="0.2">
      <c r="B11654" s="207"/>
      <c r="C11654" s="210"/>
      <c r="D11654" s="211"/>
      <c r="E11654" s="211"/>
      <c r="U11654" s="222"/>
    </row>
    <row r="11655" spans="2:21" x14ac:dyDescent="0.2">
      <c r="B11655" s="207"/>
      <c r="C11655" s="210"/>
      <c r="D11655" s="211"/>
      <c r="E11655" s="211"/>
      <c r="U11655" s="222"/>
    </row>
    <row r="11656" spans="2:21" x14ac:dyDescent="0.2">
      <c r="B11656" s="207"/>
      <c r="C11656" s="210"/>
      <c r="D11656" s="211"/>
      <c r="E11656" s="211"/>
      <c r="U11656" s="222"/>
    </row>
    <row r="11657" spans="2:21" x14ac:dyDescent="0.2">
      <c r="B11657" s="207"/>
      <c r="C11657" s="210"/>
      <c r="D11657" s="211"/>
      <c r="E11657" s="211"/>
      <c r="U11657" s="222"/>
    </row>
    <row r="11658" spans="2:21" x14ac:dyDescent="0.2">
      <c r="B11658" s="207"/>
      <c r="C11658" s="210"/>
      <c r="D11658" s="211"/>
      <c r="E11658" s="211"/>
      <c r="U11658" s="222"/>
    </row>
    <row r="11659" spans="2:21" x14ac:dyDescent="0.2">
      <c r="B11659" s="207"/>
      <c r="C11659" s="210"/>
      <c r="D11659" s="211"/>
      <c r="E11659" s="211"/>
      <c r="U11659" s="222"/>
    </row>
    <row r="11660" spans="2:21" x14ac:dyDescent="0.2">
      <c r="B11660" s="207"/>
      <c r="C11660" s="210"/>
      <c r="D11660" s="211"/>
      <c r="E11660" s="211"/>
      <c r="U11660" s="222"/>
    </row>
    <row r="11661" spans="2:21" x14ac:dyDescent="0.2">
      <c r="B11661" s="207"/>
      <c r="C11661" s="210"/>
      <c r="D11661" s="211"/>
      <c r="E11661" s="211"/>
      <c r="U11661" s="222"/>
    </row>
    <row r="11662" spans="2:21" x14ac:dyDescent="0.2">
      <c r="B11662" s="207"/>
      <c r="C11662" s="210"/>
      <c r="D11662" s="211"/>
      <c r="E11662" s="211"/>
      <c r="U11662" s="222"/>
    </row>
    <row r="11663" spans="2:21" x14ac:dyDescent="0.2">
      <c r="B11663" s="207"/>
      <c r="C11663" s="210"/>
      <c r="D11663" s="211"/>
      <c r="E11663" s="211"/>
      <c r="U11663" s="222"/>
    </row>
    <row r="11664" spans="2:21" x14ac:dyDescent="0.2">
      <c r="B11664" s="207"/>
      <c r="C11664" s="210"/>
      <c r="D11664" s="211"/>
      <c r="E11664" s="211"/>
      <c r="U11664" s="222"/>
    </row>
    <row r="11665" spans="2:21" x14ac:dyDescent="0.2">
      <c r="B11665" s="207"/>
      <c r="C11665" s="210"/>
      <c r="D11665" s="211"/>
      <c r="E11665" s="211"/>
      <c r="U11665" s="222"/>
    </row>
    <row r="11666" spans="2:21" x14ac:dyDescent="0.2">
      <c r="B11666" s="207"/>
      <c r="C11666" s="210"/>
      <c r="D11666" s="211"/>
      <c r="E11666" s="211"/>
      <c r="U11666" s="222"/>
    </row>
    <row r="11667" spans="2:21" x14ac:dyDescent="0.2">
      <c r="B11667" s="207"/>
      <c r="C11667" s="210"/>
      <c r="D11667" s="211"/>
      <c r="E11667" s="211"/>
      <c r="U11667" s="222"/>
    </row>
    <row r="11668" spans="2:21" x14ac:dyDescent="0.2">
      <c r="B11668" s="207"/>
      <c r="C11668" s="210"/>
      <c r="D11668" s="211"/>
      <c r="E11668" s="211"/>
      <c r="U11668" s="222"/>
    </row>
    <row r="11669" spans="2:21" x14ac:dyDescent="0.2">
      <c r="B11669" s="207"/>
      <c r="C11669" s="210"/>
      <c r="D11669" s="211"/>
      <c r="E11669" s="211"/>
      <c r="U11669" s="222"/>
    </row>
    <row r="11670" spans="2:21" x14ac:dyDescent="0.2">
      <c r="B11670" s="207"/>
      <c r="C11670" s="210"/>
      <c r="D11670" s="211"/>
      <c r="E11670" s="211"/>
      <c r="U11670" s="222"/>
    </row>
    <row r="11671" spans="2:21" x14ac:dyDescent="0.2">
      <c r="B11671" s="207"/>
      <c r="C11671" s="210"/>
      <c r="D11671" s="211"/>
      <c r="E11671" s="211"/>
      <c r="U11671" s="222"/>
    </row>
    <row r="11672" spans="2:21" x14ac:dyDescent="0.2">
      <c r="B11672" s="207"/>
      <c r="C11672" s="210"/>
      <c r="D11672" s="211"/>
      <c r="E11672" s="211"/>
      <c r="U11672" s="222"/>
    </row>
    <row r="11673" spans="2:21" x14ac:dyDescent="0.2">
      <c r="B11673" s="207"/>
      <c r="C11673" s="210"/>
      <c r="D11673" s="211"/>
      <c r="E11673" s="211"/>
      <c r="U11673" s="222"/>
    </row>
    <row r="11674" spans="2:21" x14ac:dyDescent="0.2">
      <c r="B11674" s="207"/>
      <c r="C11674" s="210"/>
      <c r="D11674" s="211"/>
      <c r="E11674" s="211"/>
      <c r="U11674" s="222"/>
    </row>
    <row r="11675" spans="2:21" x14ac:dyDescent="0.2">
      <c r="B11675" s="207"/>
      <c r="C11675" s="210"/>
      <c r="D11675" s="211"/>
      <c r="E11675" s="211"/>
      <c r="U11675" s="222"/>
    </row>
    <row r="11676" spans="2:21" x14ac:dyDescent="0.2">
      <c r="B11676" s="207"/>
      <c r="C11676" s="210"/>
      <c r="D11676" s="211"/>
      <c r="E11676" s="211"/>
      <c r="U11676" s="222"/>
    </row>
    <row r="11677" spans="2:21" x14ac:dyDescent="0.2">
      <c r="B11677" s="207"/>
      <c r="C11677" s="210"/>
      <c r="D11677" s="211"/>
      <c r="E11677" s="211"/>
      <c r="U11677" s="222"/>
    </row>
    <row r="11678" spans="2:21" x14ac:dyDescent="0.2">
      <c r="B11678" s="207"/>
      <c r="C11678" s="210"/>
      <c r="D11678" s="211"/>
      <c r="E11678" s="211"/>
      <c r="U11678" s="222"/>
    </row>
    <row r="11679" spans="2:21" x14ac:dyDescent="0.2">
      <c r="B11679" s="207"/>
      <c r="C11679" s="210"/>
      <c r="D11679" s="211"/>
      <c r="E11679" s="211"/>
      <c r="U11679" s="222"/>
    </row>
    <row r="11680" spans="2:21" x14ac:dyDescent="0.2">
      <c r="B11680" s="207"/>
      <c r="C11680" s="210"/>
      <c r="D11680" s="211"/>
      <c r="E11680" s="211"/>
      <c r="U11680" s="222"/>
    </row>
    <row r="11681" spans="2:21" x14ac:dyDescent="0.2">
      <c r="B11681" s="207"/>
      <c r="C11681" s="210"/>
      <c r="D11681" s="211"/>
      <c r="E11681" s="211"/>
      <c r="U11681" s="222"/>
    </row>
    <row r="11682" spans="2:21" x14ac:dyDescent="0.2">
      <c r="B11682" s="207"/>
      <c r="C11682" s="210"/>
      <c r="D11682" s="211"/>
      <c r="E11682" s="211"/>
      <c r="U11682" s="222"/>
    </row>
    <row r="11683" spans="2:21" x14ac:dyDescent="0.2">
      <c r="B11683" s="207"/>
      <c r="C11683" s="210"/>
      <c r="D11683" s="211"/>
      <c r="E11683" s="211"/>
      <c r="U11683" s="222"/>
    </row>
    <row r="11684" spans="2:21" x14ac:dyDescent="0.2">
      <c r="B11684" s="207"/>
      <c r="C11684" s="210"/>
      <c r="D11684" s="211"/>
      <c r="E11684" s="211"/>
      <c r="U11684" s="222"/>
    </row>
    <row r="11685" spans="2:21" x14ac:dyDescent="0.2">
      <c r="B11685" s="207"/>
      <c r="C11685" s="210"/>
      <c r="D11685" s="211"/>
      <c r="E11685" s="211"/>
      <c r="U11685" s="222"/>
    </row>
    <row r="11686" spans="2:21" x14ac:dyDescent="0.2">
      <c r="B11686" s="207"/>
      <c r="C11686" s="210"/>
      <c r="D11686" s="211"/>
      <c r="E11686" s="211"/>
      <c r="U11686" s="222"/>
    </row>
    <row r="11687" spans="2:21" x14ac:dyDescent="0.2">
      <c r="B11687" s="207"/>
      <c r="C11687" s="210"/>
      <c r="D11687" s="211"/>
      <c r="E11687" s="211"/>
      <c r="U11687" s="222"/>
    </row>
    <row r="11688" spans="2:21" x14ac:dyDescent="0.2">
      <c r="B11688" s="207"/>
      <c r="C11688" s="210"/>
      <c r="D11688" s="211"/>
      <c r="E11688" s="211"/>
      <c r="U11688" s="222"/>
    </row>
    <row r="11689" spans="2:21" x14ac:dyDescent="0.2">
      <c r="B11689" s="207"/>
      <c r="C11689" s="210"/>
      <c r="D11689" s="211"/>
      <c r="E11689" s="211"/>
      <c r="U11689" s="222"/>
    </row>
    <row r="11690" spans="2:21" x14ac:dyDescent="0.2">
      <c r="B11690" s="207"/>
      <c r="C11690" s="210"/>
      <c r="D11690" s="211"/>
      <c r="E11690" s="211"/>
      <c r="U11690" s="222"/>
    </row>
    <row r="11691" spans="2:21" x14ac:dyDescent="0.2">
      <c r="B11691" s="207"/>
      <c r="C11691" s="210"/>
      <c r="D11691" s="211"/>
      <c r="E11691" s="211"/>
      <c r="U11691" s="222"/>
    </row>
    <row r="11692" spans="2:21" x14ac:dyDescent="0.2">
      <c r="B11692" s="207"/>
      <c r="C11692" s="210"/>
      <c r="D11692" s="211"/>
      <c r="E11692" s="211"/>
      <c r="U11692" s="222"/>
    </row>
    <row r="11693" spans="2:21" x14ac:dyDescent="0.2">
      <c r="B11693" s="207"/>
      <c r="C11693" s="210"/>
      <c r="D11693" s="211"/>
      <c r="E11693" s="211"/>
      <c r="U11693" s="222"/>
    </row>
    <row r="11694" spans="2:21" x14ac:dyDescent="0.2">
      <c r="B11694" s="207"/>
      <c r="C11694" s="210"/>
      <c r="D11694" s="211"/>
      <c r="E11694" s="211"/>
      <c r="U11694" s="222"/>
    </row>
    <row r="11695" spans="2:21" x14ac:dyDescent="0.2">
      <c r="B11695" s="207"/>
      <c r="C11695" s="210"/>
      <c r="D11695" s="211"/>
      <c r="E11695" s="211"/>
      <c r="U11695" s="222"/>
    </row>
    <row r="11696" spans="2:21" x14ac:dyDescent="0.2">
      <c r="B11696" s="207"/>
      <c r="C11696" s="210"/>
      <c r="D11696" s="211"/>
      <c r="E11696" s="211"/>
      <c r="U11696" s="222"/>
    </row>
    <row r="11697" spans="2:21" x14ac:dyDescent="0.2">
      <c r="B11697" s="207"/>
      <c r="C11697" s="210"/>
      <c r="D11697" s="211"/>
      <c r="E11697" s="211"/>
      <c r="U11697" s="222"/>
    </row>
    <row r="11698" spans="2:21" x14ac:dyDescent="0.2">
      <c r="B11698" s="207"/>
      <c r="C11698" s="210"/>
      <c r="D11698" s="211"/>
      <c r="E11698" s="211"/>
      <c r="U11698" s="222"/>
    </row>
    <row r="11699" spans="2:21" x14ac:dyDescent="0.2">
      <c r="B11699" s="207"/>
      <c r="C11699" s="210"/>
      <c r="D11699" s="211"/>
      <c r="E11699" s="211"/>
      <c r="U11699" s="222"/>
    </row>
    <row r="11700" spans="2:21" x14ac:dyDescent="0.2">
      <c r="B11700" s="207"/>
      <c r="C11700" s="210"/>
      <c r="D11700" s="211"/>
      <c r="E11700" s="211"/>
      <c r="U11700" s="222"/>
    </row>
    <row r="11701" spans="2:21" x14ac:dyDescent="0.2">
      <c r="B11701" s="207"/>
      <c r="C11701" s="210"/>
      <c r="D11701" s="211"/>
      <c r="E11701" s="211"/>
      <c r="U11701" s="222"/>
    </row>
    <row r="11702" spans="2:21" x14ac:dyDescent="0.2">
      <c r="B11702" s="207"/>
      <c r="C11702" s="210"/>
      <c r="D11702" s="211"/>
      <c r="E11702" s="211"/>
      <c r="U11702" s="222"/>
    </row>
    <row r="11703" spans="2:21" x14ac:dyDescent="0.2">
      <c r="B11703" s="207"/>
      <c r="C11703" s="210"/>
      <c r="D11703" s="211"/>
      <c r="E11703" s="211"/>
      <c r="U11703" s="222"/>
    </row>
    <row r="11704" spans="2:21" x14ac:dyDescent="0.2">
      <c r="B11704" s="207"/>
      <c r="C11704" s="210"/>
      <c r="D11704" s="211"/>
      <c r="E11704" s="211"/>
      <c r="U11704" s="222"/>
    </row>
    <row r="11705" spans="2:21" x14ac:dyDescent="0.2">
      <c r="B11705" s="207"/>
      <c r="C11705" s="210"/>
      <c r="D11705" s="211"/>
      <c r="E11705" s="211"/>
      <c r="U11705" s="222"/>
    </row>
    <row r="11706" spans="2:21" x14ac:dyDescent="0.2">
      <c r="B11706" s="207"/>
      <c r="C11706" s="210"/>
      <c r="D11706" s="211"/>
      <c r="E11706" s="211"/>
      <c r="U11706" s="222"/>
    </row>
    <row r="11707" spans="2:21" x14ac:dyDescent="0.2">
      <c r="B11707" s="207"/>
      <c r="C11707" s="210"/>
      <c r="D11707" s="211"/>
      <c r="E11707" s="211"/>
      <c r="U11707" s="222"/>
    </row>
    <row r="11708" spans="2:21" x14ac:dyDescent="0.2">
      <c r="B11708" s="207"/>
      <c r="C11708" s="210"/>
      <c r="D11708" s="211"/>
      <c r="E11708" s="211"/>
      <c r="U11708" s="222"/>
    </row>
    <row r="11709" spans="2:21" x14ac:dyDescent="0.2">
      <c r="B11709" s="207"/>
      <c r="C11709" s="210"/>
      <c r="D11709" s="211"/>
      <c r="E11709" s="211"/>
      <c r="U11709" s="222"/>
    </row>
    <row r="11710" spans="2:21" x14ac:dyDescent="0.2">
      <c r="B11710" s="207"/>
      <c r="C11710" s="210"/>
      <c r="D11710" s="211"/>
      <c r="E11710" s="211"/>
      <c r="U11710" s="222"/>
    </row>
    <row r="11711" spans="2:21" x14ac:dyDescent="0.2">
      <c r="B11711" s="207"/>
      <c r="C11711" s="210"/>
      <c r="D11711" s="211"/>
      <c r="E11711" s="211"/>
      <c r="U11711" s="222"/>
    </row>
    <row r="11712" spans="2:21" x14ac:dyDescent="0.2">
      <c r="B11712" s="207"/>
      <c r="C11712" s="210"/>
      <c r="D11712" s="211"/>
      <c r="E11712" s="211"/>
      <c r="U11712" s="222"/>
    </row>
    <row r="11713" spans="2:21" x14ac:dyDescent="0.2">
      <c r="B11713" s="207"/>
      <c r="C11713" s="210"/>
      <c r="D11713" s="211"/>
      <c r="E11713" s="211"/>
      <c r="U11713" s="222"/>
    </row>
    <row r="11714" spans="2:21" x14ac:dyDescent="0.2">
      <c r="B11714" s="207"/>
      <c r="C11714" s="210"/>
      <c r="D11714" s="211"/>
      <c r="E11714" s="211"/>
      <c r="U11714" s="222"/>
    </row>
    <row r="11715" spans="2:21" x14ac:dyDescent="0.2">
      <c r="B11715" s="207"/>
      <c r="C11715" s="210"/>
      <c r="D11715" s="211"/>
      <c r="E11715" s="211"/>
      <c r="U11715" s="222"/>
    </row>
    <row r="11716" spans="2:21" x14ac:dyDescent="0.2">
      <c r="B11716" s="207"/>
      <c r="C11716" s="210"/>
      <c r="D11716" s="211"/>
      <c r="E11716" s="211"/>
      <c r="U11716" s="222"/>
    </row>
    <row r="11717" spans="2:21" x14ac:dyDescent="0.2">
      <c r="B11717" s="207"/>
      <c r="C11717" s="210"/>
      <c r="D11717" s="211"/>
      <c r="E11717" s="211"/>
      <c r="U11717" s="222"/>
    </row>
    <row r="11718" spans="2:21" x14ac:dyDescent="0.2">
      <c r="B11718" s="207"/>
      <c r="C11718" s="210"/>
      <c r="D11718" s="211"/>
      <c r="E11718" s="211"/>
      <c r="U11718" s="222"/>
    </row>
    <row r="11719" spans="2:21" x14ac:dyDescent="0.2">
      <c r="B11719" s="207"/>
      <c r="C11719" s="210"/>
      <c r="D11719" s="211"/>
      <c r="E11719" s="211"/>
      <c r="U11719" s="222"/>
    </row>
    <row r="11720" spans="2:21" x14ac:dyDescent="0.2">
      <c r="B11720" s="207"/>
      <c r="C11720" s="210"/>
      <c r="D11720" s="211"/>
      <c r="E11720" s="211"/>
      <c r="U11720" s="222"/>
    </row>
    <row r="11721" spans="2:21" x14ac:dyDescent="0.2">
      <c r="B11721" s="207"/>
      <c r="C11721" s="210"/>
      <c r="D11721" s="211"/>
      <c r="E11721" s="211"/>
      <c r="U11721" s="222"/>
    </row>
    <row r="11722" spans="2:21" x14ac:dyDescent="0.2">
      <c r="B11722" s="207"/>
      <c r="C11722" s="210"/>
      <c r="D11722" s="211"/>
      <c r="E11722" s="211"/>
      <c r="U11722" s="222"/>
    </row>
    <row r="11723" spans="2:21" x14ac:dyDescent="0.2">
      <c r="B11723" s="207"/>
      <c r="C11723" s="210"/>
      <c r="D11723" s="211"/>
      <c r="E11723" s="211"/>
      <c r="U11723" s="222"/>
    </row>
    <row r="11724" spans="2:21" x14ac:dyDescent="0.2">
      <c r="B11724" s="207"/>
      <c r="C11724" s="210"/>
      <c r="D11724" s="211"/>
      <c r="E11724" s="211"/>
      <c r="U11724" s="222"/>
    </row>
    <row r="11725" spans="2:21" x14ac:dyDescent="0.2">
      <c r="B11725" s="207"/>
      <c r="C11725" s="210"/>
      <c r="D11725" s="211"/>
      <c r="E11725" s="211"/>
      <c r="U11725" s="222"/>
    </row>
    <row r="11726" spans="2:21" x14ac:dyDescent="0.2">
      <c r="B11726" s="207"/>
      <c r="C11726" s="210"/>
      <c r="D11726" s="211"/>
      <c r="E11726" s="211"/>
      <c r="U11726" s="222"/>
    </row>
    <row r="11727" spans="2:21" x14ac:dyDescent="0.2">
      <c r="B11727" s="207"/>
      <c r="C11727" s="210"/>
      <c r="D11727" s="211"/>
      <c r="E11727" s="211"/>
      <c r="U11727" s="222"/>
    </row>
    <row r="11728" spans="2:21" x14ac:dyDescent="0.2">
      <c r="B11728" s="207"/>
      <c r="C11728" s="210"/>
      <c r="D11728" s="211"/>
      <c r="E11728" s="211"/>
      <c r="U11728" s="222"/>
    </row>
    <row r="11729" spans="2:21" x14ac:dyDescent="0.2">
      <c r="B11729" s="207"/>
      <c r="C11729" s="210"/>
      <c r="D11729" s="211"/>
      <c r="E11729" s="211"/>
      <c r="U11729" s="222"/>
    </row>
    <row r="11730" spans="2:21" x14ac:dyDescent="0.2">
      <c r="B11730" s="207"/>
      <c r="C11730" s="210"/>
      <c r="D11730" s="211"/>
      <c r="E11730" s="211"/>
      <c r="U11730" s="222"/>
    </row>
    <row r="11731" spans="2:21" x14ac:dyDescent="0.2">
      <c r="B11731" s="207"/>
      <c r="C11731" s="210"/>
      <c r="D11731" s="211"/>
      <c r="E11731" s="211"/>
      <c r="U11731" s="222"/>
    </row>
    <row r="11732" spans="2:21" x14ac:dyDescent="0.2">
      <c r="B11732" s="207"/>
      <c r="C11732" s="210"/>
      <c r="D11732" s="211"/>
      <c r="E11732" s="211"/>
      <c r="U11732" s="222"/>
    </row>
    <row r="11733" spans="2:21" x14ac:dyDescent="0.2">
      <c r="B11733" s="207"/>
      <c r="C11733" s="210"/>
      <c r="D11733" s="211"/>
      <c r="E11733" s="211"/>
      <c r="U11733" s="222"/>
    </row>
    <row r="11734" spans="2:21" x14ac:dyDescent="0.2">
      <c r="B11734" s="207"/>
      <c r="C11734" s="210"/>
      <c r="D11734" s="211"/>
      <c r="E11734" s="211"/>
      <c r="U11734" s="222"/>
    </row>
    <row r="11735" spans="2:21" x14ac:dyDescent="0.2">
      <c r="B11735" s="207"/>
      <c r="C11735" s="210"/>
      <c r="D11735" s="211"/>
      <c r="E11735" s="211"/>
      <c r="U11735" s="222"/>
    </row>
    <row r="11736" spans="2:21" x14ac:dyDescent="0.2">
      <c r="B11736" s="207"/>
      <c r="C11736" s="210"/>
      <c r="D11736" s="211"/>
      <c r="E11736" s="211"/>
      <c r="U11736" s="222"/>
    </row>
    <row r="11737" spans="2:21" x14ac:dyDescent="0.2">
      <c r="B11737" s="207"/>
      <c r="C11737" s="210"/>
      <c r="D11737" s="211"/>
      <c r="E11737" s="211"/>
      <c r="U11737" s="222"/>
    </row>
    <row r="11738" spans="2:21" x14ac:dyDescent="0.2">
      <c r="B11738" s="207"/>
      <c r="C11738" s="210"/>
      <c r="D11738" s="211"/>
      <c r="E11738" s="211"/>
      <c r="U11738" s="222"/>
    </row>
    <row r="11739" spans="2:21" x14ac:dyDescent="0.2">
      <c r="B11739" s="207"/>
      <c r="C11739" s="210"/>
      <c r="D11739" s="211"/>
      <c r="E11739" s="211"/>
      <c r="U11739" s="222"/>
    </row>
    <row r="11740" spans="2:21" x14ac:dyDescent="0.2">
      <c r="B11740" s="207"/>
      <c r="C11740" s="210"/>
      <c r="D11740" s="211"/>
      <c r="E11740" s="211"/>
      <c r="U11740" s="222"/>
    </row>
    <row r="11741" spans="2:21" x14ac:dyDescent="0.2">
      <c r="B11741" s="207"/>
      <c r="C11741" s="210"/>
      <c r="D11741" s="211"/>
      <c r="E11741" s="211"/>
      <c r="U11741" s="222"/>
    </row>
    <row r="11742" spans="2:21" x14ac:dyDescent="0.2">
      <c r="B11742" s="207"/>
      <c r="C11742" s="210"/>
      <c r="D11742" s="211"/>
      <c r="E11742" s="211"/>
      <c r="U11742" s="222"/>
    </row>
    <row r="11743" spans="2:21" x14ac:dyDescent="0.2">
      <c r="B11743" s="207"/>
      <c r="C11743" s="210"/>
      <c r="D11743" s="211"/>
      <c r="E11743" s="211"/>
      <c r="U11743" s="222"/>
    </row>
    <row r="11744" spans="2:21" x14ac:dyDescent="0.2">
      <c r="B11744" s="207"/>
      <c r="C11744" s="210"/>
      <c r="D11744" s="211"/>
      <c r="E11744" s="211"/>
      <c r="U11744" s="222"/>
    </row>
    <row r="11745" spans="2:21" x14ac:dyDescent="0.2">
      <c r="B11745" s="207"/>
      <c r="C11745" s="210"/>
      <c r="D11745" s="211"/>
      <c r="E11745" s="211"/>
      <c r="U11745" s="222"/>
    </row>
    <row r="11746" spans="2:21" x14ac:dyDescent="0.2">
      <c r="B11746" s="207"/>
      <c r="C11746" s="210"/>
      <c r="D11746" s="211"/>
      <c r="E11746" s="211"/>
      <c r="U11746" s="222"/>
    </row>
    <row r="11747" spans="2:21" x14ac:dyDescent="0.2">
      <c r="B11747" s="207"/>
      <c r="C11747" s="210"/>
      <c r="D11747" s="211"/>
      <c r="E11747" s="211"/>
      <c r="U11747" s="222"/>
    </row>
    <row r="11748" spans="2:21" x14ac:dyDescent="0.2">
      <c r="B11748" s="207"/>
      <c r="C11748" s="210"/>
      <c r="D11748" s="211"/>
      <c r="E11748" s="211"/>
      <c r="U11748" s="222"/>
    </row>
    <row r="11749" spans="2:21" x14ac:dyDescent="0.2">
      <c r="B11749" s="207"/>
      <c r="C11749" s="210"/>
      <c r="D11749" s="211"/>
      <c r="E11749" s="211"/>
      <c r="U11749" s="222"/>
    </row>
    <row r="11750" spans="2:21" x14ac:dyDescent="0.2">
      <c r="B11750" s="207"/>
      <c r="C11750" s="210"/>
      <c r="D11750" s="211"/>
      <c r="E11750" s="211"/>
      <c r="U11750" s="222"/>
    </row>
    <row r="11751" spans="2:21" x14ac:dyDescent="0.2">
      <c r="B11751" s="207"/>
      <c r="C11751" s="210"/>
      <c r="D11751" s="211"/>
      <c r="E11751" s="211"/>
      <c r="U11751" s="222"/>
    </row>
    <row r="11752" spans="2:21" x14ac:dyDescent="0.2">
      <c r="B11752" s="207"/>
      <c r="C11752" s="210"/>
      <c r="D11752" s="211"/>
      <c r="E11752" s="211"/>
      <c r="U11752" s="222"/>
    </row>
    <row r="11753" spans="2:21" x14ac:dyDescent="0.2">
      <c r="B11753" s="207"/>
      <c r="C11753" s="210"/>
      <c r="D11753" s="211"/>
      <c r="E11753" s="211"/>
      <c r="U11753" s="222"/>
    </row>
    <row r="11754" spans="2:21" x14ac:dyDescent="0.2">
      <c r="B11754" s="207"/>
      <c r="C11754" s="210"/>
      <c r="D11754" s="211"/>
      <c r="E11754" s="211"/>
      <c r="U11754" s="222"/>
    </row>
    <row r="11755" spans="2:21" x14ac:dyDescent="0.2">
      <c r="B11755" s="207"/>
      <c r="C11755" s="210"/>
      <c r="D11755" s="211"/>
      <c r="E11755" s="211"/>
      <c r="U11755" s="222"/>
    </row>
    <row r="11756" spans="2:21" x14ac:dyDescent="0.2">
      <c r="B11756" s="207"/>
      <c r="C11756" s="210"/>
      <c r="D11756" s="211"/>
      <c r="E11756" s="211"/>
      <c r="U11756" s="222"/>
    </row>
    <row r="11757" spans="2:21" x14ac:dyDescent="0.2">
      <c r="B11757" s="207"/>
      <c r="C11757" s="210"/>
      <c r="D11757" s="211"/>
      <c r="E11757" s="211"/>
      <c r="U11757" s="222"/>
    </row>
    <row r="11758" spans="2:21" x14ac:dyDescent="0.2">
      <c r="B11758" s="207"/>
      <c r="C11758" s="210"/>
      <c r="D11758" s="211"/>
      <c r="E11758" s="211"/>
      <c r="U11758" s="222"/>
    </row>
    <row r="11759" spans="2:21" x14ac:dyDescent="0.2">
      <c r="B11759" s="207"/>
      <c r="C11759" s="210"/>
      <c r="D11759" s="211"/>
      <c r="E11759" s="211"/>
      <c r="U11759" s="222"/>
    </row>
    <row r="11760" spans="2:21" x14ac:dyDescent="0.2">
      <c r="B11760" s="207"/>
      <c r="C11760" s="210"/>
      <c r="D11760" s="211"/>
      <c r="E11760" s="211"/>
      <c r="U11760" s="222"/>
    </row>
    <row r="11761" spans="2:21" x14ac:dyDescent="0.2">
      <c r="B11761" s="207"/>
      <c r="C11761" s="210"/>
      <c r="D11761" s="211"/>
      <c r="E11761" s="211"/>
      <c r="U11761" s="222"/>
    </row>
    <row r="11762" spans="2:21" x14ac:dyDescent="0.2">
      <c r="B11762" s="207"/>
      <c r="C11762" s="210"/>
      <c r="D11762" s="211"/>
      <c r="E11762" s="211"/>
      <c r="U11762" s="222"/>
    </row>
    <row r="11763" spans="2:21" x14ac:dyDescent="0.2">
      <c r="B11763" s="207"/>
      <c r="C11763" s="210"/>
      <c r="D11763" s="211"/>
      <c r="E11763" s="211"/>
      <c r="U11763" s="222"/>
    </row>
    <row r="11764" spans="2:21" x14ac:dyDescent="0.2">
      <c r="B11764" s="207"/>
      <c r="C11764" s="210"/>
      <c r="D11764" s="211"/>
      <c r="E11764" s="211"/>
      <c r="U11764" s="222"/>
    </row>
    <row r="11765" spans="2:21" x14ac:dyDescent="0.2">
      <c r="B11765" s="207"/>
      <c r="C11765" s="210"/>
      <c r="D11765" s="211"/>
      <c r="E11765" s="211"/>
      <c r="U11765" s="222"/>
    </row>
    <row r="11766" spans="2:21" x14ac:dyDescent="0.2">
      <c r="B11766" s="207"/>
      <c r="C11766" s="210"/>
      <c r="D11766" s="211"/>
      <c r="E11766" s="211"/>
      <c r="U11766" s="222"/>
    </row>
    <row r="11767" spans="2:21" x14ac:dyDescent="0.2">
      <c r="B11767" s="207"/>
      <c r="C11767" s="210"/>
      <c r="D11767" s="211"/>
      <c r="E11767" s="211"/>
      <c r="U11767" s="222"/>
    </row>
    <row r="11768" spans="2:21" x14ac:dyDescent="0.2">
      <c r="B11768" s="207"/>
      <c r="C11768" s="210"/>
      <c r="D11768" s="211"/>
      <c r="E11768" s="211"/>
      <c r="U11768" s="222"/>
    </row>
    <row r="11769" spans="2:21" x14ac:dyDescent="0.2">
      <c r="B11769" s="207"/>
      <c r="C11769" s="210"/>
      <c r="D11769" s="211"/>
      <c r="E11769" s="211"/>
      <c r="U11769" s="222"/>
    </row>
    <row r="11770" spans="2:21" x14ac:dyDescent="0.2">
      <c r="B11770" s="207"/>
      <c r="C11770" s="210"/>
      <c r="D11770" s="211"/>
      <c r="E11770" s="211"/>
      <c r="U11770" s="222"/>
    </row>
    <row r="11771" spans="2:21" x14ac:dyDescent="0.2">
      <c r="B11771" s="207"/>
      <c r="C11771" s="210"/>
      <c r="D11771" s="211"/>
      <c r="E11771" s="211"/>
      <c r="U11771" s="222"/>
    </row>
    <row r="11772" spans="2:21" x14ac:dyDescent="0.2">
      <c r="B11772" s="207"/>
      <c r="C11772" s="210"/>
      <c r="D11772" s="211"/>
      <c r="E11772" s="211"/>
      <c r="U11772" s="222"/>
    </row>
    <row r="11773" spans="2:21" x14ac:dyDescent="0.2">
      <c r="B11773" s="207"/>
      <c r="C11773" s="210"/>
      <c r="D11773" s="211"/>
      <c r="E11773" s="211"/>
      <c r="U11773" s="222"/>
    </row>
    <row r="11774" spans="2:21" x14ac:dyDescent="0.2">
      <c r="B11774" s="207"/>
      <c r="C11774" s="210"/>
      <c r="D11774" s="211"/>
      <c r="E11774" s="211"/>
      <c r="U11774" s="222"/>
    </row>
    <row r="11775" spans="2:21" x14ac:dyDescent="0.2">
      <c r="B11775" s="207"/>
      <c r="C11775" s="210"/>
      <c r="D11775" s="211"/>
      <c r="E11775" s="211"/>
      <c r="U11775" s="222"/>
    </row>
    <row r="11776" spans="2:21" x14ac:dyDescent="0.2">
      <c r="B11776" s="207"/>
      <c r="C11776" s="210"/>
      <c r="D11776" s="211"/>
      <c r="E11776" s="211"/>
      <c r="U11776" s="222"/>
    </row>
    <row r="11777" spans="2:21" x14ac:dyDescent="0.2">
      <c r="B11777" s="207"/>
      <c r="C11777" s="210"/>
      <c r="D11777" s="211"/>
      <c r="E11777" s="211"/>
      <c r="U11777" s="222"/>
    </row>
    <row r="11778" spans="2:21" x14ac:dyDescent="0.2">
      <c r="B11778" s="207"/>
      <c r="C11778" s="210"/>
      <c r="D11778" s="211"/>
      <c r="E11778" s="211"/>
      <c r="U11778" s="222"/>
    </row>
    <row r="11779" spans="2:21" x14ac:dyDescent="0.2">
      <c r="B11779" s="207"/>
      <c r="C11779" s="210"/>
      <c r="D11779" s="211"/>
      <c r="E11779" s="211"/>
      <c r="U11779" s="222"/>
    </row>
    <row r="11780" spans="2:21" x14ac:dyDescent="0.2">
      <c r="B11780" s="207"/>
      <c r="C11780" s="210"/>
      <c r="D11780" s="211"/>
      <c r="E11780" s="211"/>
      <c r="U11780" s="222"/>
    </row>
    <row r="11781" spans="2:21" x14ac:dyDescent="0.2">
      <c r="B11781" s="207"/>
      <c r="C11781" s="210"/>
      <c r="D11781" s="211"/>
      <c r="E11781" s="211"/>
      <c r="U11781" s="222"/>
    </row>
    <row r="11782" spans="2:21" x14ac:dyDescent="0.2">
      <c r="B11782" s="207"/>
      <c r="C11782" s="210"/>
      <c r="D11782" s="211"/>
      <c r="E11782" s="211"/>
      <c r="U11782" s="222"/>
    </row>
    <row r="11783" spans="2:21" x14ac:dyDescent="0.2">
      <c r="B11783" s="207"/>
      <c r="C11783" s="210"/>
      <c r="D11783" s="211"/>
      <c r="E11783" s="211"/>
      <c r="U11783" s="222"/>
    </row>
    <row r="11784" spans="2:21" x14ac:dyDescent="0.2">
      <c r="B11784" s="207"/>
      <c r="C11784" s="210"/>
      <c r="D11784" s="211"/>
      <c r="E11784" s="211"/>
      <c r="U11784" s="222"/>
    </row>
    <row r="11785" spans="2:21" x14ac:dyDescent="0.2">
      <c r="B11785" s="207"/>
      <c r="C11785" s="210"/>
      <c r="D11785" s="211"/>
      <c r="E11785" s="211"/>
      <c r="U11785" s="222"/>
    </row>
    <row r="11786" spans="2:21" x14ac:dyDescent="0.2">
      <c r="B11786" s="207"/>
      <c r="C11786" s="210"/>
      <c r="D11786" s="211"/>
      <c r="E11786" s="211"/>
      <c r="U11786" s="222"/>
    </row>
    <row r="11787" spans="2:21" x14ac:dyDescent="0.2">
      <c r="B11787" s="207"/>
      <c r="C11787" s="210"/>
      <c r="D11787" s="211"/>
      <c r="E11787" s="211"/>
      <c r="U11787" s="222"/>
    </row>
    <row r="11788" spans="2:21" x14ac:dyDescent="0.2">
      <c r="B11788" s="207"/>
      <c r="C11788" s="210"/>
      <c r="D11788" s="211"/>
      <c r="E11788" s="211"/>
      <c r="U11788" s="222"/>
    </row>
    <row r="11789" spans="2:21" x14ac:dyDescent="0.2">
      <c r="B11789" s="207"/>
      <c r="C11789" s="210"/>
      <c r="D11789" s="211"/>
      <c r="E11789" s="211"/>
      <c r="U11789" s="222"/>
    </row>
    <row r="11790" spans="2:21" x14ac:dyDescent="0.2">
      <c r="B11790" s="207"/>
      <c r="C11790" s="210"/>
      <c r="D11790" s="211"/>
      <c r="E11790" s="211"/>
      <c r="U11790" s="222"/>
    </row>
    <row r="11791" spans="2:21" x14ac:dyDescent="0.2">
      <c r="B11791" s="207"/>
      <c r="C11791" s="210"/>
      <c r="D11791" s="211"/>
      <c r="E11791" s="211"/>
      <c r="U11791" s="222"/>
    </row>
    <row r="11792" spans="2:21" x14ac:dyDescent="0.2">
      <c r="B11792" s="207"/>
      <c r="C11792" s="210"/>
      <c r="D11792" s="211"/>
      <c r="E11792" s="211"/>
      <c r="U11792" s="222"/>
    </row>
    <row r="11793" spans="2:21" x14ac:dyDescent="0.2">
      <c r="B11793" s="207"/>
      <c r="C11793" s="210"/>
      <c r="D11793" s="211"/>
      <c r="E11793" s="211"/>
      <c r="U11793" s="222"/>
    </row>
    <row r="11794" spans="2:21" x14ac:dyDescent="0.2">
      <c r="B11794" s="207"/>
      <c r="C11794" s="210"/>
      <c r="D11794" s="211"/>
      <c r="E11794" s="211"/>
      <c r="U11794" s="222"/>
    </row>
    <row r="11795" spans="2:21" x14ac:dyDescent="0.2">
      <c r="B11795" s="207"/>
      <c r="C11795" s="210"/>
      <c r="D11795" s="211"/>
      <c r="E11795" s="211"/>
      <c r="U11795" s="222"/>
    </row>
    <row r="11796" spans="2:21" x14ac:dyDescent="0.2">
      <c r="B11796" s="207"/>
      <c r="C11796" s="210"/>
      <c r="D11796" s="211"/>
      <c r="E11796" s="211"/>
      <c r="U11796" s="222"/>
    </row>
    <row r="11797" spans="2:21" x14ac:dyDescent="0.2">
      <c r="B11797" s="207"/>
      <c r="C11797" s="210"/>
      <c r="D11797" s="211"/>
      <c r="E11797" s="211"/>
      <c r="U11797" s="222"/>
    </row>
    <row r="11798" spans="2:21" x14ac:dyDescent="0.2">
      <c r="B11798" s="207"/>
      <c r="C11798" s="210"/>
      <c r="D11798" s="211"/>
      <c r="E11798" s="211"/>
      <c r="U11798" s="222"/>
    </row>
    <row r="11799" spans="2:21" x14ac:dyDescent="0.2">
      <c r="B11799" s="207"/>
      <c r="C11799" s="210"/>
      <c r="D11799" s="211"/>
      <c r="E11799" s="211"/>
      <c r="U11799" s="222"/>
    </row>
    <row r="11800" spans="2:21" x14ac:dyDescent="0.2">
      <c r="B11800" s="207"/>
      <c r="C11800" s="210"/>
      <c r="D11800" s="211"/>
      <c r="E11800" s="211"/>
      <c r="U11800" s="222"/>
    </row>
    <row r="11801" spans="2:21" x14ac:dyDescent="0.2">
      <c r="B11801" s="207"/>
      <c r="C11801" s="210"/>
      <c r="D11801" s="211"/>
      <c r="E11801" s="211"/>
      <c r="U11801" s="222"/>
    </row>
    <row r="11802" spans="2:21" x14ac:dyDescent="0.2">
      <c r="B11802" s="207"/>
      <c r="C11802" s="210"/>
      <c r="D11802" s="211"/>
      <c r="E11802" s="211"/>
      <c r="U11802" s="222"/>
    </row>
    <row r="11803" spans="2:21" x14ac:dyDescent="0.2">
      <c r="B11803" s="207"/>
      <c r="C11803" s="210"/>
      <c r="D11803" s="211"/>
      <c r="E11803" s="211"/>
      <c r="U11803" s="222"/>
    </row>
    <row r="11804" spans="2:21" x14ac:dyDescent="0.2">
      <c r="B11804" s="207"/>
      <c r="C11804" s="210"/>
      <c r="D11804" s="211"/>
      <c r="E11804" s="211"/>
      <c r="U11804" s="222"/>
    </row>
    <row r="11805" spans="2:21" x14ac:dyDescent="0.2">
      <c r="B11805" s="207"/>
      <c r="C11805" s="210"/>
      <c r="D11805" s="211"/>
      <c r="E11805" s="211"/>
      <c r="U11805" s="222"/>
    </row>
    <row r="11806" spans="2:21" x14ac:dyDescent="0.2">
      <c r="B11806" s="207"/>
      <c r="C11806" s="210"/>
      <c r="D11806" s="211"/>
      <c r="E11806" s="211"/>
      <c r="U11806" s="222"/>
    </row>
    <row r="11807" spans="2:21" x14ac:dyDescent="0.2">
      <c r="B11807" s="207"/>
      <c r="C11807" s="210"/>
      <c r="D11807" s="211"/>
      <c r="E11807" s="211"/>
      <c r="U11807" s="222"/>
    </row>
    <row r="11808" spans="2:21" x14ac:dyDescent="0.2">
      <c r="B11808" s="207"/>
      <c r="C11808" s="210"/>
      <c r="D11808" s="211"/>
      <c r="E11808" s="211"/>
      <c r="U11808" s="222"/>
    </row>
    <row r="11809" spans="2:21" x14ac:dyDescent="0.2">
      <c r="B11809" s="207"/>
      <c r="C11809" s="210"/>
      <c r="D11809" s="211"/>
      <c r="E11809" s="211"/>
      <c r="U11809" s="222"/>
    </row>
    <row r="11810" spans="2:21" x14ac:dyDescent="0.2">
      <c r="B11810" s="207"/>
      <c r="C11810" s="210"/>
      <c r="D11810" s="211"/>
      <c r="E11810" s="211"/>
      <c r="U11810" s="222"/>
    </row>
    <row r="11811" spans="2:21" x14ac:dyDescent="0.2">
      <c r="B11811" s="207"/>
      <c r="C11811" s="210"/>
      <c r="D11811" s="211"/>
      <c r="E11811" s="211"/>
      <c r="U11811" s="222"/>
    </row>
    <row r="11812" spans="2:21" x14ac:dyDescent="0.2">
      <c r="B11812" s="207"/>
      <c r="C11812" s="210"/>
      <c r="D11812" s="211"/>
      <c r="E11812" s="211"/>
      <c r="U11812" s="222"/>
    </row>
    <row r="11813" spans="2:21" x14ac:dyDescent="0.2">
      <c r="B11813" s="207"/>
      <c r="C11813" s="210"/>
      <c r="D11813" s="211"/>
      <c r="E11813" s="211"/>
      <c r="U11813" s="222"/>
    </row>
    <row r="11814" spans="2:21" x14ac:dyDescent="0.2">
      <c r="B11814" s="207"/>
      <c r="C11814" s="210"/>
      <c r="D11814" s="211"/>
      <c r="E11814" s="211"/>
      <c r="U11814" s="222"/>
    </row>
    <row r="11815" spans="2:21" x14ac:dyDescent="0.2">
      <c r="B11815" s="207"/>
      <c r="C11815" s="210"/>
      <c r="D11815" s="211"/>
      <c r="E11815" s="211"/>
      <c r="U11815" s="222"/>
    </row>
    <row r="11816" spans="2:21" x14ac:dyDescent="0.2">
      <c r="B11816" s="207"/>
      <c r="C11816" s="210"/>
      <c r="D11816" s="211"/>
      <c r="E11816" s="211"/>
      <c r="U11816" s="222"/>
    </row>
    <row r="11817" spans="2:21" x14ac:dyDescent="0.2">
      <c r="B11817" s="207"/>
      <c r="C11817" s="210"/>
      <c r="D11817" s="211"/>
      <c r="E11817" s="211"/>
      <c r="U11817" s="222"/>
    </row>
    <row r="11818" spans="2:21" x14ac:dyDescent="0.2">
      <c r="B11818" s="207"/>
      <c r="C11818" s="210"/>
      <c r="D11818" s="211"/>
      <c r="E11818" s="211"/>
      <c r="U11818" s="222"/>
    </row>
    <row r="11819" spans="2:21" x14ac:dyDescent="0.2">
      <c r="B11819" s="207"/>
      <c r="C11819" s="210"/>
      <c r="D11819" s="211"/>
      <c r="E11819" s="211"/>
      <c r="U11819" s="222"/>
    </row>
    <row r="11820" spans="2:21" x14ac:dyDescent="0.2">
      <c r="B11820" s="207"/>
      <c r="C11820" s="210"/>
      <c r="D11820" s="211"/>
      <c r="E11820" s="211"/>
      <c r="U11820" s="222"/>
    </row>
    <row r="11821" spans="2:21" x14ac:dyDescent="0.2">
      <c r="B11821" s="207"/>
      <c r="C11821" s="210"/>
      <c r="D11821" s="211"/>
      <c r="E11821" s="211"/>
      <c r="U11821" s="222"/>
    </row>
    <row r="11822" spans="2:21" x14ac:dyDescent="0.2">
      <c r="B11822" s="207"/>
      <c r="C11822" s="210"/>
      <c r="D11822" s="211"/>
      <c r="E11822" s="211"/>
      <c r="U11822" s="222"/>
    </row>
    <row r="11823" spans="2:21" x14ac:dyDescent="0.2">
      <c r="B11823" s="207"/>
      <c r="C11823" s="210"/>
      <c r="D11823" s="211"/>
      <c r="E11823" s="211"/>
      <c r="U11823" s="222"/>
    </row>
    <row r="11824" spans="2:21" x14ac:dyDescent="0.2">
      <c r="B11824" s="207"/>
      <c r="C11824" s="210"/>
      <c r="D11824" s="211"/>
      <c r="E11824" s="211"/>
      <c r="U11824" s="222"/>
    </row>
    <row r="11825" spans="2:21" x14ac:dyDescent="0.2">
      <c r="B11825" s="207"/>
      <c r="C11825" s="210"/>
      <c r="D11825" s="211"/>
      <c r="E11825" s="211"/>
      <c r="U11825" s="222"/>
    </row>
    <row r="11826" spans="2:21" x14ac:dyDescent="0.2">
      <c r="B11826" s="207"/>
      <c r="C11826" s="210"/>
      <c r="D11826" s="211"/>
      <c r="E11826" s="211"/>
      <c r="U11826" s="222"/>
    </row>
    <row r="11827" spans="2:21" x14ac:dyDescent="0.2">
      <c r="B11827" s="207"/>
      <c r="C11827" s="210"/>
      <c r="D11827" s="211"/>
      <c r="E11827" s="211"/>
      <c r="U11827" s="222"/>
    </row>
    <row r="11828" spans="2:21" x14ac:dyDescent="0.2">
      <c r="B11828" s="207"/>
      <c r="C11828" s="210"/>
      <c r="D11828" s="211"/>
      <c r="E11828" s="211"/>
      <c r="U11828" s="222"/>
    </row>
    <row r="11829" spans="2:21" x14ac:dyDescent="0.2">
      <c r="B11829" s="207"/>
      <c r="C11829" s="210"/>
      <c r="D11829" s="211"/>
      <c r="E11829" s="211"/>
      <c r="U11829" s="222"/>
    </row>
    <row r="11830" spans="2:21" x14ac:dyDescent="0.2">
      <c r="B11830" s="207"/>
      <c r="C11830" s="210"/>
      <c r="D11830" s="211"/>
      <c r="E11830" s="211"/>
      <c r="U11830" s="222"/>
    </row>
    <row r="11831" spans="2:21" x14ac:dyDescent="0.2">
      <c r="B11831" s="207"/>
      <c r="C11831" s="210"/>
      <c r="D11831" s="211"/>
      <c r="E11831" s="211"/>
      <c r="U11831" s="222"/>
    </row>
    <row r="11832" spans="2:21" x14ac:dyDescent="0.2">
      <c r="B11832" s="207"/>
      <c r="C11832" s="210"/>
      <c r="D11832" s="211"/>
      <c r="E11832" s="211"/>
      <c r="U11832" s="222"/>
    </row>
    <row r="11833" spans="2:21" x14ac:dyDescent="0.2">
      <c r="B11833" s="207"/>
      <c r="C11833" s="210"/>
      <c r="D11833" s="211"/>
      <c r="E11833" s="211"/>
      <c r="U11833" s="222"/>
    </row>
    <row r="11834" spans="2:21" x14ac:dyDescent="0.2">
      <c r="B11834" s="207"/>
      <c r="C11834" s="210"/>
      <c r="D11834" s="211"/>
      <c r="E11834" s="211"/>
      <c r="U11834" s="222"/>
    </row>
    <row r="11835" spans="2:21" x14ac:dyDescent="0.2">
      <c r="B11835" s="207"/>
      <c r="C11835" s="210"/>
      <c r="D11835" s="211"/>
      <c r="E11835" s="211"/>
      <c r="U11835" s="222"/>
    </row>
    <row r="11836" spans="2:21" x14ac:dyDescent="0.2">
      <c r="B11836" s="207"/>
      <c r="C11836" s="210"/>
      <c r="D11836" s="211"/>
      <c r="E11836" s="211"/>
      <c r="U11836" s="222"/>
    </row>
    <row r="11837" spans="2:21" x14ac:dyDescent="0.2">
      <c r="B11837" s="207"/>
      <c r="C11837" s="210"/>
      <c r="D11837" s="211"/>
      <c r="E11837" s="211"/>
      <c r="U11837" s="222"/>
    </row>
    <row r="11838" spans="2:21" x14ac:dyDescent="0.2">
      <c r="B11838" s="207"/>
      <c r="C11838" s="210"/>
      <c r="D11838" s="211"/>
      <c r="E11838" s="211"/>
      <c r="U11838" s="222"/>
    </row>
    <row r="11839" spans="2:21" x14ac:dyDescent="0.2">
      <c r="B11839" s="207"/>
      <c r="C11839" s="210"/>
      <c r="D11839" s="211"/>
      <c r="E11839" s="211"/>
      <c r="U11839" s="222"/>
    </row>
    <row r="11840" spans="2:21" x14ac:dyDescent="0.2">
      <c r="B11840" s="207"/>
      <c r="C11840" s="210"/>
      <c r="D11840" s="211"/>
      <c r="E11840" s="211"/>
      <c r="U11840" s="222"/>
    </row>
    <row r="11841" spans="2:21" x14ac:dyDescent="0.2">
      <c r="B11841" s="207"/>
      <c r="C11841" s="210"/>
      <c r="D11841" s="211"/>
      <c r="E11841" s="211"/>
      <c r="U11841" s="222"/>
    </row>
    <row r="11842" spans="2:21" x14ac:dyDescent="0.2">
      <c r="B11842" s="207"/>
      <c r="C11842" s="210"/>
      <c r="D11842" s="211"/>
      <c r="E11842" s="211"/>
      <c r="U11842" s="222"/>
    </row>
    <row r="11843" spans="2:21" x14ac:dyDescent="0.2">
      <c r="B11843" s="207"/>
      <c r="C11843" s="210"/>
      <c r="D11843" s="211"/>
      <c r="E11843" s="211"/>
      <c r="U11843" s="222"/>
    </row>
    <row r="11844" spans="2:21" x14ac:dyDescent="0.2">
      <c r="B11844" s="207"/>
      <c r="C11844" s="210"/>
      <c r="D11844" s="211"/>
      <c r="E11844" s="211"/>
      <c r="U11844" s="222"/>
    </row>
    <row r="11845" spans="2:21" x14ac:dyDescent="0.2">
      <c r="B11845" s="207"/>
      <c r="C11845" s="210"/>
      <c r="D11845" s="211"/>
      <c r="E11845" s="211"/>
      <c r="U11845" s="222"/>
    </row>
    <row r="11846" spans="2:21" x14ac:dyDescent="0.2">
      <c r="B11846" s="207"/>
      <c r="C11846" s="210"/>
      <c r="D11846" s="211"/>
      <c r="E11846" s="211"/>
      <c r="U11846" s="222"/>
    </row>
    <row r="11847" spans="2:21" x14ac:dyDescent="0.2">
      <c r="B11847" s="207"/>
      <c r="C11847" s="210"/>
      <c r="D11847" s="211"/>
      <c r="E11847" s="211"/>
      <c r="U11847" s="222"/>
    </row>
    <row r="11848" spans="2:21" x14ac:dyDescent="0.2">
      <c r="B11848" s="207"/>
      <c r="C11848" s="210"/>
      <c r="D11848" s="211"/>
      <c r="E11848" s="211"/>
      <c r="U11848" s="222"/>
    </row>
    <row r="11849" spans="2:21" x14ac:dyDescent="0.2">
      <c r="B11849" s="207"/>
      <c r="C11849" s="210"/>
      <c r="D11849" s="211"/>
      <c r="E11849" s="211"/>
      <c r="U11849" s="222"/>
    </row>
    <row r="11850" spans="2:21" x14ac:dyDescent="0.2">
      <c r="B11850" s="207"/>
      <c r="C11850" s="210"/>
      <c r="D11850" s="211"/>
      <c r="E11850" s="211"/>
      <c r="U11850" s="222"/>
    </row>
    <row r="11851" spans="2:21" x14ac:dyDescent="0.2">
      <c r="B11851" s="207"/>
      <c r="C11851" s="210"/>
      <c r="D11851" s="211"/>
      <c r="E11851" s="211"/>
      <c r="U11851" s="222"/>
    </row>
    <row r="11852" spans="2:21" x14ac:dyDescent="0.2">
      <c r="B11852" s="207"/>
      <c r="C11852" s="210"/>
      <c r="D11852" s="211"/>
      <c r="E11852" s="211"/>
      <c r="U11852" s="222"/>
    </row>
    <row r="11853" spans="2:21" x14ac:dyDescent="0.2">
      <c r="B11853" s="207"/>
      <c r="C11853" s="210"/>
      <c r="D11853" s="211"/>
      <c r="E11853" s="211"/>
      <c r="U11853" s="222"/>
    </row>
    <row r="11854" spans="2:21" x14ac:dyDescent="0.2">
      <c r="B11854" s="207"/>
      <c r="C11854" s="210"/>
      <c r="D11854" s="211"/>
      <c r="E11854" s="211"/>
      <c r="U11854" s="222"/>
    </row>
    <row r="11855" spans="2:21" x14ac:dyDescent="0.2">
      <c r="B11855" s="207"/>
      <c r="C11855" s="210"/>
      <c r="D11855" s="211"/>
      <c r="E11855" s="211"/>
      <c r="U11855" s="222"/>
    </row>
    <row r="11856" spans="2:21" x14ac:dyDescent="0.2">
      <c r="B11856" s="207"/>
      <c r="C11856" s="210"/>
      <c r="D11856" s="211"/>
      <c r="E11856" s="211"/>
      <c r="U11856" s="222"/>
    </row>
    <row r="11857" spans="2:21" x14ac:dyDescent="0.2">
      <c r="B11857" s="207"/>
      <c r="C11857" s="210"/>
      <c r="D11857" s="211"/>
      <c r="E11857" s="211"/>
      <c r="U11857" s="222"/>
    </row>
    <row r="11858" spans="2:21" x14ac:dyDescent="0.2">
      <c r="B11858" s="207"/>
      <c r="C11858" s="210"/>
      <c r="D11858" s="211"/>
      <c r="E11858" s="211"/>
      <c r="U11858" s="222"/>
    </row>
    <row r="11859" spans="2:21" x14ac:dyDescent="0.2">
      <c r="B11859" s="207"/>
      <c r="C11859" s="210"/>
      <c r="D11859" s="211"/>
      <c r="E11859" s="211"/>
      <c r="U11859" s="222"/>
    </row>
    <row r="11860" spans="2:21" x14ac:dyDescent="0.2">
      <c r="B11860" s="207"/>
      <c r="C11860" s="210"/>
      <c r="D11860" s="211"/>
      <c r="E11860" s="211"/>
      <c r="U11860" s="222"/>
    </row>
    <row r="11861" spans="2:21" x14ac:dyDescent="0.2">
      <c r="B11861" s="207"/>
      <c r="C11861" s="210"/>
      <c r="D11861" s="211"/>
      <c r="E11861" s="211"/>
      <c r="U11861" s="222"/>
    </row>
    <row r="11862" spans="2:21" x14ac:dyDescent="0.2">
      <c r="B11862" s="207"/>
      <c r="C11862" s="210"/>
      <c r="D11862" s="211"/>
      <c r="E11862" s="211"/>
      <c r="U11862" s="222"/>
    </row>
    <row r="11863" spans="2:21" x14ac:dyDescent="0.2">
      <c r="B11863" s="207"/>
      <c r="C11863" s="210"/>
      <c r="D11863" s="211"/>
      <c r="E11863" s="211"/>
      <c r="U11863" s="222"/>
    </row>
    <row r="11864" spans="2:21" x14ac:dyDescent="0.2">
      <c r="B11864" s="207"/>
      <c r="C11864" s="210"/>
      <c r="D11864" s="211"/>
      <c r="E11864" s="211"/>
      <c r="U11864" s="222"/>
    </row>
    <row r="11865" spans="2:21" x14ac:dyDescent="0.2">
      <c r="B11865" s="207"/>
      <c r="C11865" s="210"/>
      <c r="D11865" s="211"/>
      <c r="E11865" s="211"/>
      <c r="U11865" s="222"/>
    </row>
    <row r="11866" spans="2:21" x14ac:dyDescent="0.2">
      <c r="B11866" s="207"/>
      <c r="C11866" s="210"/>
      <c r="D11866" s="211"/>
      <c r="E11866" s="211"/>
      <c r="U11866" s="222"/>
    </row>
    <row r="11867" spans="2:21" x14ac:dyDescent="0.2">
      <c r="B11867" s="207"/>
      <c r="C11867" s="210"/>
      <c r="D11867" s="211"/>
      <c r="E11867" s="211"/>
      <c r="U11867" s="222"/>
    </row>
    <row r="11868" spans="2:21" x14ac:dyDescent="0.2">
      <c r="B11868" s="207"/>
      <c r="C11868" s="210"/>
      <c r="D11868" s="211"/>
      <c r="E11868" s="211"/>
      <c r="U11868" s="222"/>
    </row>
    <row r="11869" spans="2:21" x14ac:dyDescent="0.2">
      <c r="B11869" s="207"/>
      <c r="C11869" s="210"/>
      <c r="D11869" s="211"/>
      <c r="E11869" s="211"/>
      <c r="U11869" s="222"/>
    </row>
    <row r="11870" spans="2:21" x14ac:dyDescent="0.2">
      <c r="B11870" s="207"/>
      <c r="C11870" s="210"/>
      <c r="D11870" s="211"/>
      <c r="E11870" s="211"/>
      <c r="U11870" s="222"/>
    </row>
    <row r="11871" spans="2:21" x14ac:dyDescent="0.2">
      <c r="B11871" s="207"/>
      <c r="C11871" s="210"/>
      <c r="D11871" s="211"/>
      <c r="E11871" s="211"/>
      <c r="U11871" s="222"/>
    </row>
    <row r="11872" spans="2:21" x14ac:dyDescent="0.2">
      <c r="B11872" s="207"/>
      <c r="C11872" s="210"/>
      <c r="D11872" s="211"/>
      <c r="E11872" s="211"/>
      <c r="U11872" s="222"/>
    </row>
    <row r="11873" spans="2:21" x14ac:dyDescent="0.2">
      <c r="B11873" s="207"/>
      <c r="C11873" s="210"/>
      <c r="D11873" s="211"/>
      <c r="E11873" s="211"/>
      <c r="U11873" s="222"/>
    </row>
    <row r="11874" spans="2:21" x14ac:dyDescent="0.2">
      <c r="B11874" s="207"/>
      <c r="C11874" s="210"/>
      <c r="D11874" s="211"/>
      <c r="E11874" s="211"/>
      <c r="U11874" s="222"/>
    </row>
    <row r="11875" spans="2:21" x14ac:dyDescent="0.2">
      <c r="B11875" s="207"/>
      <c r="C11875" s="210"/>
      <c r="D11875" s="211"/>
      <c r="E11875" s="211"/>
      <c r="U11875" s="222"/>
    </row>
    <row r="11876" spans="2:21" x14ac:dyDescent="0.2">
      <c r="B11876" s="207"/>
      <c r="C11876" s="210"/>
      <c r="D11876" s="211"/>
      <c r="E11876" s="211"/>
      <c r="U11876" s="222"/>
    </row>
    <row r="11877" spans="2:21" x14ac:dyDescent="0.2">
      <c r="B11877" s="207"/>
      <c r="C11877" s="210"/>
      <c r="D11877" s="211"/>
      <c r="E11877" s="211"/>
      <c r="U11877" s="222"/>
    </row>
    <row r="11878" spans="2:21" x14ac:dyDescent="0.2">
      <c r="B11878" s="207"/>
      <c r="C11878" s="210"/>
      <c r="D11878" s="211"/>
      <c r="E11878" s="211"/>
      <c r="U11878" s="222"/>
    </row>
    <row r="11879" spans="2:21" x14ac:dyDescent="0.2">
      <c r="B11879" s="207"/>
      <c r="C11879" s="210"/>
      <c r="D11879" s="211"/>
      <c r="E11879" s="211"/>
      <c r="U11879" s="222"/>
    </row>
    <row r="11880" spans="2:21" x14ac:dyDescent="0.2">
      <c r="B11880" s="207"/>
      <c r="C11880" s="210"/>
      <c r="D11880" s="211"/>
      <c r="E11880" s="211"/>
      <c r="U11880" s="222"/>
    </row>
    <row r="11881" spans="2:21" x14ac:dyDescent="0.2">
      <c r="B11881" s="207"/>
      <c r="C11881" s="210"/>
      <c r="D11881" s="211"/>
      <c r="E11881" s="211"/>
      <c r="U11881" s="222"/>
    </row>
    <row r="11882" spans="2:21" x14ac:dyDescent="0.2">
      <c r="B11882" s="207"/>
      <c r="C11882" s="210"/>
      <c r="D11882" s="211"/>
      <c r="E11882" s="211"/>
      <c r="U11882" s="222"/>
    </row>
    <row r="11883" spans="2:21" x14ac:dyDescent="0.2">
      <c r="B11883" s="207"/>
      <c r="C11883" s="210"/>
      <c r="D11883" s="211"/>
      <c r="E11883" s="211"/>
      <c r="U11883" s="222"/>
    </row>
    <row r="11884" spans="2:21" x14ac:dyDescent="0.2">
      <c r="B11884" s="207"/>
      <c r="C11884" s="210"/>
      <c r="D11884" s="211"/>
      <c r="E11884" s="211"/>
      <c r="U11884" s="222"/>
    </row>
    <row r="11885" spans="2:21" x14ac:dyDescent="0.2">
      <c r="B11885" s="207"/>
      <c r="C11885" s="210"/>
      <c r="D11885" s="211"/>
      <c r="E11885" s="211"/>
      <c r="U11885" s="222"/>
    </row>
    <row r="11886" spans="2:21" x14ac:dyDescent="0.2">
      <c r="B11886" s="207"/>
      <c r="C11886" s="210"/>
      <c r="D11886" s="211"/>
      <c r="E11886" s="211"/>
      <c r="U11886" s="222"/>
    </row>
    <row r="11887" spans="2:21" x14ac:dyDescent="0.2">
      <c r="B11887" s="207"/>
      <c r="C11887" s="210"/>
      <c r="D11887" s="211"/>
      <c r="E11887" s="211"/>
      <c r="U11887" s="222"/>
    </row>
    <row r="11888" spans="2:21" x14ac:dyDescent="0.2">
      <c r="B11888" s="207"/>
      <c r="C11888" s="210"/>
      <c r="D11888" s="211"/>
      <c r="E11888" s="211"/>
      <c r="U11888" s="222"/>
    </row>
    <row r="11889" spans="2:21" x14ac:dyDescent="0.2">
      <c r="B11889" s="207"/>
      <c r="C11889" s="210"/>
      <c r="D11889" s="211"/>
      <c r="E11889" s="211"/>
      <c r="U11889" s="222"/>
    </row>
    <row r="11890" spans="2:21" x14ac:dyDescent="0.2">
      <c r="B11890" s="207"/>
      <c r="C11890" s="210"/>
      <c r="D11890" s="211"/>
      <c r="E11890" s="211"/>
      <c r="U11890" s="222"/>
    </row>
    <row r="11891" spans="2:21" x14ac:dyDescent="0.2">
      <c r="B11891" s="207"/>
      <c r="C11891" s="210"/>
      <c r="D11891" s="211"/>
      <c r="E11891" s="211"/>
      <c r="U11891" s="222"/>
    </row>
    <row r="11892" spans="2:21" x14ac:dyDescent="0.2">
      <c r="B11892" s="207"/>
      <c r="C11892" s="210"/>
      <c r="D11892" s="211"/>
      <c r="E11892" s="211"/>
      <c r="U11892" s="222"/>
    </row>
    <row r="11893" spans="2:21" x14ac:dyDescent="0.2">
      <c r="B11893" s="207"/>
      <c r="C11893" s="210"/>
      <c r="D11893" s="211"/>
      <c r="E11893" s="211"/>
      <c r="U11893" s="222"/>
    </row>
    <row r="11894" spans="2:21" x14ac:dyDescent="0.2">
      <c r="B11894" s="207"/>
      <c r="C11894" s="210"/>
      <c r="D11894" s="211"/>
      <c r="E11894" s="211"/>
      <c r="U11894" s="222"/>
    </row>
    <row r="11895" spans="2:21" x14ac:dyDescent="0.2">
      <c r="B11895" s="207"/>
      <c r="C11895" s="210"/>
      <c r="D11895" s="211"/>
      <c r="E11895" s="211"/>
      <c r="U11895" s="222"/>
    </row>
    <row r="11896" spans="2:21" x14ac:dyDescent="0.2">
      <c r="B11896" s="207"/>
      <c r="C11896" s="210"/>
      <c r="D11896" s="211"/>
      <c r="E11896" s="211"/>
      <c r="U11896" s="222"/>
    </row>
    <row r="11897" spans="2:21" x14ac:dyDescent="0.2">
      <c r="B11897" s="207"/>
      <c r="C11897" s="210"/>
      <c r="D11897" s="211"/>
      <c r="E11897" s="211"/>
      <c r="U11897" s="222"/>
    </row>
    <row r="11898" spans="2:21" x14ac:dyDescent="0.2">
      <c r="B11898" s="207"/>
      <c r="C11898" s="210"/>
      <c r="D11898" s="211"/>
      <c r="E11898" s="211"/>
      <c r="U11898" s="222"/>
    </row>
    <row r="11899" spans="2:21" x14ac:dyDescent="0.2">
      <c r="B11899" s="207"/>
      <c r="C11899" s="210"/>
      <c r="D11899" s="211"/>
      <c r="E11899" s="211"/>
      <c r="U11899" s="222"/>
    </row>
    <row r="11900" spans="2:21" x14ac:dyDescent="0.2">
      <c r="B11900" s="207"/>
      <c r="C11900" s="210"/>
      <c r="D11900" s="211"/>
      <c r="E11900" s="211"/>
      <c r="U11900" s="222"/>
    </row>
    <row r="11901" spans="2:21" x14ac:dyDescent="0.2">
      <c r="B11901" s="207"/>
      <c r="C11901" s="210"/>
      <c r="D11901" s="211"/>
      <c r="E11901" s="211"/>
      <c r="U11901" s="222"/>
    </row>
    <row r="11902" spans="2:21" x14ac:dyDescent="0.2">
      <c r="B11902" s="207"/>
      <c r="C11902" s="210"/>
      <c r="D11902" s="211"/>
      <c r="E11902" s="211"/>
      <c r="U11902" s="222"/>
    </row>
    <row r="11903" spans="2:21" x14ac:dyDescent="0.2">
      <c r="B11903" s="207"/>
      <c r="C11903" s="210"/>
      <c r="D11903" s="211"/>
      <c r="E11903" s="211"/>
      <c r="U11903" s="222"/>
    </row>
    <row r="11904" spans="2:21" x14ac:dyDescent="0.2">
      <c r="B11904" s="207"/>
      <c r="C11904" s="210"/>
      <c r="D11904" s="211"/>
      <c r="E11904" s="211"/>
      <c r="U11904" s="222"/>
    </row>
    <row r="11905" spans="2:21" x14ac:dyDescent="0.2">
      <c r="B11905" s="207"/>
      <c r="C11905" s="210"/>
      <c r="D11905" s="211"/>
      <c r="E11905" s="211"/>
      <c r="U11905" s="222"/>
    </row>
    <row r="11906" spans="2:21" x14ac:dyDescent="0.2">
      <c r="B11906" s="207"/>
      <c r="C11906" s="210"/>
      <c r="D11906" s="211"/>
      <c r="E11906" s="211"/>
      <c r="U11906" s="222"/>
    </row>
    <row r="11907" spans="2:21" x14ac:dyDescent="0.2">
      <c r="B11907" s="207"/>
      <c r="C11907" s="210"/>
      <c r="D11907" s="211"/>
      <c r="E11907" s="211"/>
      <c r="U11907" s="222"/>
    </row>
    <row r="11908" spans="2:21" x14ac:dyDescent="0.2">
      <c r="B11908" s="207"/>
      <c r="C11908" s="210"/>
      <c r="D11908" s="211"/>
      <c r="E11908" s="211"/>
      <c r="U11908" s="222"/>
    </row>
    <row r="11909" spans="2:21" x14ac:dyDescent="0.2">
      <c r="B11909" s="207"/>
      <c r="C11909" s="210"/>
      <c r="D11909" s="211"/>
      <c r="E11909" s="211"/>
      <c r="U11909" s="222"/>
    </row>
    <row r="11910" spans="2:21" x14ac:dyDescent="0.2">
      <c r="B11910" s="207"/>
      <c r="C11910" s="210"/>
      <c r="D11910" s="211"/>
      <c r="E11910" s="211"/>
      <c r="U11910" s="222"/>
    </row>
    <row r="11911" spans="2:21" x14ac:dyDescent="0.2">
      <c r="B11911" s="207"/>
      <c r="C11911" s="210"/>
      <c r="D11911" s="211"/>
      <c r="E11911" s="211"/>
      <c r="U11911" s="222"/>
    </row>
    <row r="11912" spans="2:21" x14ac:dyDescent="0.2">
      <c r="B11912" s="207"/>
      <c r="C11912" s="210"/>
      <c r="D11912" s="211"/>
      <c r="E11912" s="211"/>
      <c r="U11912" s="222"/>
    </row>
    <row r="11913" spans="2:21" x14ac:dyDescent="0.2">
      <c r="B11913" s="207"/>
      <c r="C11913" s="210"/>
      <c r="D11913" s="211"/>
      <c r="E11913" s="211"/>
      <c r="U11913" s="222"/>
    </row>
    <row r="11914" spans="2:21" x14ac:dyDescent="0.2">
      <c r="B11914" s="207"/>
      <c r="C11914" s="210"/>
      <c r="D11914" s="211"/>
      <c r="E11914" s="211"/>
      <c r="U11914" s="222"/>
    </row>
    <row r="11915" spans="2:21" x14ac:dyDescent="0.2">
      <c r="B11915" s="207"/>
      <c r="C11915" s="210"/>
      <c r="D11915" s="211"/>
      <c r="E11915" s="211"/>
      <c r="U11915" s="222"/>
    </row>
    <row r="11916" spans="2:21" x14ac:dyDescent="0.2">
      <c r="B11916" s="207"/>
      <c r="C11916" s="210"/>
      <c r="D11916" s="211"/>
      <c r="E11916" s="211"/>
      <c r="U11916" s="222"/>
    </row>
    <row r="11917" spans="2:21" x14ac:dyDescent="0.2">
      <c r="B11917" s="207"/>
      <c r="C11917" s="210"/>
      <c r="D11917" s="211"/>
      <c r="E11917" s="211"/>
      <c r="U11917" s="222"/>
    </row>
    <row r="11918" spans="2:21" x14ac:dyDescent="0.2">
      <c r="B11918" s="207"/>
      <c r="C11918" s="210"/>
      <c r="D11918" s="211"/>
      <c r="E11918" s="211"/>
      <c r="U11918" s="222"/>
    </row>
    <row r="11919" spans="2:21" x14ac:dyDescent="0.2">
      <c r="B11919" s="207"/>
      <c r="C11919" s="210"/>
      <c r="D11919" s="211"/>
      <c r="E11919" s="211"/>
      <c r="U11919" s="222"/>
    </row>
    <row r="11920" spans="2:21" x14ac:dyDescent="0.2">
      <c r="B11920" s="207"/>
      <c r="C11920" s="210"/>
      <c r="D11920" s="211"/>
      <c r="E11920" s="211"/>
      <c r="U11920" s="222"/>
    </row>
    <row r="11921" spans="2:21" x14ac:dyDescent="0.2">
      <c r="B11921" s="207"/>
      <c r="C11921" s="210"/>
      <c r="D11921" s="211"/>
      <c r="E11921" s="211"/>
      <c r="U11921" s="222"/>
    </row>
    <row r="11922" spans="2:21" x14ac:dyDescent="0.2">
      <c r="B11922" s="207"/>
      <c r="C11922" s="210"/>
      <c r="D11922" s="211"/>
      <c r="E11922" s="211"/>
      <c r="U11922" s="222"/>
    </row>
    <row r="11923" spans="2:21" x14ac:dyDescent="0.2">
      <c r="B11923" s="207"/>
      <c r="C11923" s="210"/>
      <c r="D11923" s="211"/>
      <c r="E11923" s="211"/>
      <c r="U11923" s="222"/>
    </row>
    <row r="11924" spans="2:21" x14ac:dyDescent="0.2">
      <c r="B11924" s="207"/>
      <c r="C11924" s="210"/>
      <c r="D11924" s="211"/>
      <c r="E11924" s="211"/>
      <c r="U11924" s="222"/>
    </row>
    <row r="11925" spans="2:21" x14ac:dyDescent="0.2">
      <c r="B11925" s="207"/>
      <c r="C11925" s="210"/>
      <c r="D11925" s="211"/>
      <c r="E11925" s="211"/>
      <c r="U11925" s="222"/>
    </row>
    <row r="11926" spans="2:21" x14ac:dyDescent="0.2">
      <c r="B11926" s="207"/>
      <c r="C11926" s="210"/>
      <c r="D11926" s="211"/>
      <c r="E11926" s="211"/>
      <c r="U11926" s="222"/>
    </row>
    <row r="11927" spans="2:21" x14ac:dyDescent="0.2">
      <c r="B11927" s="207"/>
      <c r="C11927" s="210"/>
      <c r="D11927" s="211"/>
      <c r="E11927" s="211"/>
      <c r="U11927" s="222"/>
    </row>
    <row r="11928" spans="2:21" x14ac:dyDescent="0.2">
      <c r="B11928" s="207"/>
      <c r="C11928" s="210"/>
      <c r="D11928" s="211"/>
      <c r="E11928" s="211"/>
      <c r="U11928" s="222"/>
    </row>
    <row r="11929" spans="2:21" x14ac:dyDescent="0.2">
      <c r="B11929" s="207"/>
      <c r="C11929" s="210"/>
      <c r="D11929" s="211"/>
      <c r="E11929" s="211"/>
      <c r="U11929" s="222"/>
    </row>
    <row r="11930" spans="2:21" x14ac:dyDescent="0.2">
      <c r="B11930" s="207"/>
      <c r="C11930" s="210"/>
      <c r="D11930" s="211"/>
      <c r="E11930" s="211"/>
      <c r="U11930" s="222"/>
    </row>
    <row r="11931" spans="2:21" x14ac:dyDescent="0.2">
      <c r="B11931" s="207"/>
      <c r="C11931" s="210"/>
      <c r="D11931" s="211"/>
      <c r="E11931" s="211"/>
      <c r="U11931" s="222"/>
    </row>
    <row r="11932" spans="2:21" x14ac:dyDescent="0.2">
      <c r="B11932" s="207"/>
      <c r="C11932" s="210"/>
      <c r="D11932" s="211"/>
      <c r="E11932" s="211"/>
      <c r="U11932" s="222"/>
    </row>
    <row r="11933" spans="2:21" x14ac:dyDescent="0.2">
      <c r="B11933" s="207"/>
      <c r="C11933" s="210"/>
      <c r="D11933" s="211"/>
      <c r="E11933" s="211"/>
      <c r="U11933" s="222"/>
    </row>
    <row r="11934" spans="2:21" x14ac:dyDescent="0.2">
      <c r="B11934" s="207"/>
      <c r="C11934" s="210"/>
      <c r="D11934" s="211"/>
      <c r="E11934" s="211"/>
      <c r="U11934" s="222"/>
    </row>
    <row r="11935" spans="2:21" x14ac:dyDescent="0.2">
      <c r="B11935" s="207"/>
      <c r="C11935" s="210"/>
      <c r="D11935" s="211"/>
      <c r="E11935" s="211"/>
      <c r="U11935" s="222"/>
    </row>
    <row r="11936" spans="2:21" x14ac:dyDescent="0.2">
      <c r="B11936" s="207"/>
      <c r="C11936" s="210"/>
      <c r="D11936" s="211"/>
      <c r="E11936" s="211"/>
      <c r="U11936" s="222"/>
    </row>
    <row r="11937" spans="2:21" x14ac:dyDescent="0.2">
      <c r="B11937" s="207"/>
      <c r="C11937" s="210"/>
      <c r="D11937" s="211"/>
      <c r="E11937" s="211"/>
      <c r="U11937" s="222"/>
    </row>
    <row r="11938" spans="2:21" x14ac:dyDescent="0.2">
      <c r="B11938" s="207"/>
      <c r="C11938" s="210"/>
      <c r="D11938" s="211"/>
      <c r="E11938" s="211"/>
      <c r="U11938" s="222"/>
    </row>
    <row r="11939" spans="2:21" x14ac:dyDescent="0.2">
      <c r="B11939" s="207"/>
      <c r="C11939" s="210"/>
      <c r="D11939" s="211"/>
      <c r="E11939" s="211"/>
      <c r="U11939" s="222"/>
    </row>
    <row r="11940" spans="2:21" x14ac:dyDescent="0.2">
      <c r="B11940" s="207"/>
      <c r="C11940" s="210"/>
      <c r="D11940" s="211"/>
      <c r="E11940" s="211"/>
      <c r="U11940" s="222"/>
    </row>
    <row r="11941" spans="2:21" x14ac:dyDescent="0.2">
      <c r="B11941" s="207"/>
      <c r="C11941" s="210"/>
      <c r="D11941" s="211"/>
      <c r="E11941" s="211"/>
      <c r="U11941" s="222"/>
    </row>
    <row r="11942" spans="2:21" x14ac:dyDescent="0.2">
      <c r="B11942" s="207"/>
      <c r="C11942" s="210"/>
      <c r="D11942" s="211"/>
      <c r="E11942" s="211"/>
      <c r="U11942" s="222"/>
    </row>
    <row r="11943" spans="2:21" x14ac:dyDescent="0.2">
      <c r="B11943" s="207"/>
      <c r="C11943" s="210"/>
      <c r="D11943" s="211"/>
      <c r="E11943" s="211"/>
      <c r="U11943" s="222"/>
    </row>
    <row r="11944" spans="2:21" x14ac:dyDescent="0.2">
      <c r="B11944" s="207"/>
      <c r="C11944" s="210"/>
      <c r="D11944" s="211"/>
      <c r="E11944" s="211"/>
      <c r="U11944" s="222"/>
    </row>
    <row r="11945" spans="2:21" x14ac:dyDescent="0.2">
      <c r="B11945" s="207"/>
      <c r="C11945" s="210"/>
      <c r="D11945" s="211"/>
      <c r="E11945" s="211"/>
      <c r="U11945" s="222"/>
    </row>
    <row r="11946" spans="2:21" x14ac:dyDescent="0.2">
      <c r="B11946" s="207"/>
      <c r="C11946" s="210"/>
      <c r="D11946" s="211"/>
      <c r="E11946" s="211"/>
      <c r="U11946" s="222"/>
    </row>
    <row r="11947" spans="2:21" x14ac:dyDescent="0.2">
      <c r="B11947" s="207"/>
      <c r="C11947" s="210"/>
      <c r="D11947" s="211"/>
      <c r="E11947" s="211"/>
      <c r="U11947" s="222"/>
    </row>
    <row r="11948" spans="2:21" x14ac:dyDescent="0.2">
      <c r="B11948" s="207"/>
      <c r="C11948" s="210"/>
      <c r="D11948" s="211"/>
      <c r="E11948" s="211"/>
      <c r="U11948" s="222"/>
    </row>
    <row r="11949" spans="2:21" x14ac:dyDescent="0.2">
      <c r="B11949" s="207"/>
      <c r="C11949" s="210"/>
      <c r="D11949" s="211"/>
      <c r="E11949" s="211"/>
      <c r="U11949" s="222"/>
    </row>
    <row r="11950" spans="2:21" x14ac:dyDescent="0.2">
      <c r="B11950" s="207"/>
      <c r="C11950" s="210"/>
      <c r="D11950" s="211"/>
      <c r="E11950" s="211"/>
      <c r="U11950" s="222"/>
    </row>
    <row r="11951" spans="2:21" x14ac:dyDescent="0.2">
      <c r="B11951" s="207"/>
      <c r="C11951" s="210"/>
      <c r="D11951" s="211"/>
      <c r="E11951" s="211"/>
      <c r="U11951" s="222"/>
    </row>
    <row r="11952" spans="2:21" x14ac:dyDescent="0.2">
      <c r="B11952" s="207"/>
      <c r="C11952" s="210"/>
      <c r="D11952" s="211"/>
      <c r="E11952" s="211"/>
      <c r="U11952" s="222"/>
    </row>
    <row r="11953" spans="2:21" x14ac:dyDescent="0.2">
      <c r="B11953" s="207"/>
      <c r="C11953" s="210"/>
      <c r="D11953" s="211"/>
      <c r="E11953" s="211"/>
      <c r="U11953" s="222"/>
    </row>
    <row r="11954" spans="2:21" x14ac:dyDescent="0.2">
      <c r="B11954" s="207"/>
      <c r="C11954" s="210"/>
      <c r="D11954" s="211"/>
      <c r="E11954" s="211"/>
      <c r="U11954" s="222"/>
    </row>
    <row r="11955" spans="2:21" x14ac:dyDescent="0.2">
      <c r="B11955" s="207"/>
      <c r="C11955" s="210"/>
      <c r="D11955" s="211"/>
      <c r="E11955" s="211"/>
      <c r="U11955" s="222"/>
    </row>
    <row r="11956" spans="2:21" x14ac:dyDescent="0.2">
      <c r="B11956" s="207"/>
      <c r="C11956" s="210"/>
      <c r="D11956" s="211"/>
      <c r="E11956" s="211"/>
      <c r="U11956" s="222"/>
    </row>
    <row r="11957" spans="2:21" x14ac:dyDescent="0.2">
      <c r="B11957" s="207"/>
      <c r="C11957" s="210"/>
      <c r="D11957" s="211"/>
      <c r="E11957" s="211"/>
      <c r="U11957" s="222"/>
    </row>
    <row r="11958" spans="2:21" x14ac:dyDescent="0.2">
      <c r="B11958" s="207"/>
      <c r="C11958" s="210"/>
      <c r="D11958" s="211"/>
      <c r="E11958" s="211"/>
      <c r="U11958" s="222"/>
    </row>
    <row r="11959" spans="2:21" x14ac:dyDescent="0.2">
      <c r="B11959" s="207"/>
      <c r="C11959" s="210"/>
      <c r="D11959" s="211"/>
      <c r="E11959" s="211"/>
      <c r="U11959" s="222"/>
    </row>
    <row r="11960" spans="2:21" x14ac:dyDescent="0.2">
      <c r="B11960" s="207"/>
      <c r="C11960" s="210"/>
      <c r="D11960" s="211"/>
      <c r="E11960" s="211"/>
      <c r="U11960" s="222"/>
    </row>
    <row r="11961" spans="2:21" x14ac:dyDescent="0.2">
      <c r="B11961" s="207"/>
      <c r="C11961" s="210"/>
      <c r="D11961" s="211"/>
      <c r="E11961" s="211"/>
      <c r="U11961" s="222"/>
    </row>
    <row r="11962" spans="2:21" x14ac:dyDescent="0.2">
      <c r="B11962" s="207"/>
      <c r="C11962" s="210"/>
      <c r="D11962" s="211"/>
      <c r="E11962" s="211"/>
      <c r="U11962" s="222"/>
    </row>
    <row r="11963" spans="2:21" x14ac:dyDescent="0.2">
      <c r="B11963" s="207"/>
      <c r="C11963" s="210"/>
      <c r="D11963" s="211"/>
      <c r="E11963" s="211"/>
      <c r="U11963" s="222"/>
    </row>
    <row r="11964" spans="2:21" x14ac:dyDescent="0.2">
      <c r="B11964" s="207"/>
      <c r="C11964" s="210"/>
      <c r="D11964" s="211"/>
      <c r="E11964" s="211"/>
      <c r="U11964" s="222"/>
    </row>
    <row r="11965" spans="2:21" x14ac:dyDescent="0.2">
      <c r="B11965" s="207"/>
      <c r="C11965" s="210"/>
      <c r="D11965" s="211"/>
      <c r="E11965" s="211"/>
      <c r="U11965" s="222"/>
    </row>
    <row r="11966" spans="2:21" x14ac:dyDescent="0.2">
      <c r="B11966" s="207"/>
      <c r="C11966" s="210"/>
      <c r="D11966" s="211"/>
      <c r="E11966" s="211"/>
      <c r="U11966" s="222"/>
    </row>
    <row r="11967" spans="2:21" x14ac:dyDescent="0.2">
      <c r="B11967" s="207"/>
      <c r="C11967" s="210"/>
      <c r="D11967" s="211"/>
      <c r="E11967" s="211"/>
      <c r="U11967" s="222"/>
    </row>
    <row r="11968" spans="2:21" x14ac:dyDescent="0.2">
      <c r="B11968" s="207"/>
      <c r="C11968" s="210"/>
      <c r="D11968" s="211"/>
      <c r="E11968" s="211"/>
      <c r="U11968" s="222"/>
    </row>
    <row r="11969" spans="2:21" x14ac:dyDescent="0.2">
      <c r="B11969" s="207"/>
      <c r="C11969" s="210"/>
      <c r="D11969" s="211"/>
      <c r="E11969" s="211"/>
      <c r="U11969" s="222"/>
    </row>
    <row r="11970" spans="2:21" x14ac:dyDescent="0.2">
      <c r="B11970" s="207"/>
      <c r="C11970" s="210"/>
      <c r="D11970" s="211"/>
      <c r="E11970" s="211"/>
      <c r="U11970" s="222"/>
    </row>
    <row r="11971" spans="2:21" x14ac:dyDescent="0.2">
      <c r="B11971" s="207"/>
      <c r="C11971" s="210"/>
      <c r="D11971" s="211"/>
      <c r="E11971" s="211"/>
      <c r="U11971" s="222"/>
    </row>
    <row r="11972" spans="2:21" x14ac:dyDescent="0.2">
      <c r="B11972" s="207"/>
      <c r="C11972" s="210"/>
      <c r="D11972" s="211"/>
      <c r="E11972" s="211"/>
      <c r="U11972" s="222"/>
    </row>
    <row r="11973" spans="2:21" x14ac:dyDescent="0.2">
      <c r="B11973" s="207"/>
      <c r="C11973" s="210"/>
      <c r="D11973" s="211"/>
      <c r="E11973" s="211"/>
      <c r="U11973" s="222"/>
    </row>
    <row r="11974" spans="2:21" x14ac:dyDescent="0.2">
      <c r="B11974" s="207"/>
      <c r="C11974" s="210"/>
      <c r="D11974" s="211"/>
      <c r="E11974" s="211"/>
      <c r="U11974" s="222"/>
    </row>
    <row r="11975" spans="2:21" x14ac:dyDescent="0.2">
      <c r="B11975" s="207"/>
      <c r="C11975" s="210"/>
      <c r="D11975" s="211"/>
      <c r="E11975" s="211"/>
      <c r="U11975" s="222"/>
    </row>
    <row r="11976" spans="2:21" x14ac:dyDescent="0.2">
      <c r="B11976" s="207"/>
      <c r="C11976" s="210"/>
      <c r="D11976" s="211"/>
      <c r="E11976" s="211"/>
      <c r="U11976" s="222"/>
    </row>
    <row r="11977" spans="2:21" x14ac:dyDescent="0.2">
      <c r="B11977" s="207"/>
      <c r="C11977" s="210"/>
      <c r="D11977" s="211"/>
      <c r="E11977" s="211"/>
      <c r="U11977" s="222"/>
    </row>
    <row r="11978" spans="2:21" x14ac:dyDescent="0.2">
      <c r="B11978" s="207"/>
      <c r="C11978" s="210"/>
      <c r="D11978" s="211"/>
      <c r="E11978" s="211"/>
      <c r="U11978" s="222"/>
    </row>
    <row r="11979" spans="2:21" x14ac:dyDescent="0.2">
      <c r="B11979" s="207"/>
      <c r="C11979" s="210"/>
      <c r="D11979" s="211"/>
      <c r="E11979" s="211"/>
      <c r="U11979" s="222"/>
    </row>
    <row r="11980" spans="2:21" x14ac:dyDescent="0.2">
      <c r="B11980" s="207"/>
      <c r="C11980" s="210"/>
      <c r="D11980" s="211"/>
      <c r="E11980" s="211"/>
      <c r="U11980" s="222"/>
    </row>
    <row r="11981" spans="2:21" x14ac:dyDescent="0.2">
      <c r="B11981" s="207"/>
      <c r="C11981" s="210"/>
      <c r="D11981" s="211"/>
      <c r="E11981" s="211"/>
      <c r="U11981" s="222"/>
    </row>
    <row r="11982" spans="2:21" x14ac:dyDescent="0.2">
      <c r="B11982" s="207"/>
      <c r="C11982" s="210"/>
      <c r="D11982" s="211"/>
      <c r="E11982" s="211"/>
      <c r="U11982" s="222"/>
    </row>
    <row r="11983" spans="2:21" x14ac:dyDescent="0.2">
      <c r="B11983" s="207"/>
      <c r="C11983" s="210"/>
      <c r="D11983" s="211"/>
      <c r="E11983" s="211"/>
      <c r="U11983" s="222"/>
    </row>
    <row r="11984" spans="2:21" x14ac:dyDescent="0.2">
      <c r="B11984" s="207"/>
      <c r="C11984" s="210"/>
      <c r="D11984" s="211"/>
      <c r="E11984" s="211"/>
      <c r="U11984" s="222"/>
    </row>
    <row r="11985" spans="2:21" x14ac:dyDescent="0.2">
      <c r="B11985" s="207"/>
      <c r="C11985" s="210"/>
      <c r="D11985" s="211"/>
      <c r="E11985" s="211"/>
      <c r="U11985" s="222"/>
    </row>
    <row r="11986" spans="2:21" x14ac:dyDescent="0.2">
      <c r="B11986" s="207"/>
      <c r="C11986" s="210"/>
      <c r="D11986" s="211"/>
      <c r="E11986" s="211"/>
      <c r="U11986" s="222"/>
    </row>
    <row r="11987" spans="2:21" x14ac:dyDescent="0.2">
      <c r="B11987" s="207"/>
      <c r="C11987" s="210"/>
      <c r="D11987" s="211"/>
      <c r="E11987" s="211"/>
      <c r="U11987" s="222"/>
    </row>
    <row r="11988" spans="2:21" x14ac:dyDescent="0.2">
      <c r="B11988" s="207"/>
      <c r="C11988" s="210"/>
      <c r="D11988" s="211"/>
      <c r="E11988" s="211"/>
      <c r="U11988" s="222"/>
    </row>
    <row r="11989" spans="2:21" x14ac:dyDescent="0.2">
      <c r="B11989" s="207"/>
      <c r="C11989" s="210"/>
      <c r="D11989" s="211"/>
      <c r="E11989" s="211"/>
      <c r="U11989" s="222"/>
    </row>
    <row r="11990" spans="2:21" x14ac:dyDescent="0.2">
      <c r="B11990" s="207"/>
      <c r="C11990" s="210"/>
      <c r="D11990" s="211"/>
      <c r="E11990" s="211"/>
      <c r="U11990" s="222"/>
    </row>
    <row r="11991" spans="2:21" x14ac:dyDescent="0.2">
      <c r="B11991" s="207"/>
      <c r="C11991" s="210"/>
      <c r="D11991" s="211"/>
      <c r="E11991" s="211"/>
      <c r="U11991" s="222"/>
    </row>
    <row r="11992" spans="2:21" x14ac:dyDescent="0.2">
      <c r="B11992" s="207"/>
      <c r="C11992" s="210"/>
      <c r="D11992" s="211"/>
      <c r="E11992" s="211"/>
      <c r="U11992" s="222"/>
    </row>
    <row r="11993" spans="2:21" x14ac:dyDescent="0.2">
      <c r="B11993" s="207"/>
      <c r="C11993" s="210"/>
      <c r="D11993" s="211"/>
      <c r="E11993" s="211"/>
      <c r="U11993" s="222"/>
    </row>
    <row r="11994" spans="2:21" x14ac:dyDescent="0.2">
      <c r="B11994" s="207"/>
      <c r="C11994" s="210"/>
      <c r="D11994" s="211"/>
      <c r="E11994" s="211"/>
      <c r="U11994" s="222"/>
    </row>
    <row r="11995" spans="2:21" x14ac:dyDescent="0.2">
      <c r="B11995" s="207"/>
      <c r="C11995" s="210"/>
      <c r="D11995" s="211"/>
      <c r="E11995" s="211"/>
      <c r="U11995" s="222"/>
    </row>
    <row r="11996" spans="2:21" x14ac:dyDescent="0.2">
      <c r="B11996" s="207"/>
      <c r="C11996" s="210"/>
      <c r="D11996" s="211"/>
      <c r="E11996" s="211"/>
      <c r="U11996" s="222"/>
    </row>
    <row r="11997" spans="2:21" x14ac:dyDescent="0.2">
      <c r="B11997" s="207"/>
      <c r="C11997" s="210"/>
      <c r="D11997" s="211"/>
      <c r="E11997" s="211"/>
      <c r="U11997" s="222"/>
    </row>
    <row r="11998" spans="2:21" x14ac:dyDescent="0.2">
      <c r="B11998" s="207"/>
      <c r="C11998" s="210"/>
      <c r="D11998" s="211"/>
      <c r="E11998" s="211"/>
      <c r="U11998" s="222"/>
    </row>
    <row r="11999" spans="2:21" x14ac:dyDescent="0.2">
      <c r="B11999" s="207"/>
      <c r="C11999" s="210"/>
      <c r="D11999" s="211"/>
      <c r="E11999" s="211"/>
      <c r="U11999" s="222"/>
    </row>
    <row r="12000" spans="2:21" x14ac:dyDescent="0.2">
      <c r="B12000" s="207"/>
      <c r="C12000" s="210"/>
      <c r="D12000" s="211"/>
      <c r="E12000" s="211"/>
      <c r="U12000" s="222"/>
    </row>
    <row r="12001" spans="2:21" x14ac:dyDescent="0.2">
      <c r="B12001" s="207"/>
      <c r="C12001" s="210"/>
      <c r="D12001" s="211"/>
      <c r="E12001" s="211"/>
      <c r="U12001" s="222"/>
    </row>
    <row r="12002" spans="2:21" x14ac:dyDescent="0.2">
      <c r="B12002" s="207"/>
      <c r="C12002" s="210"/>
      <c r="D12002" s="211"/>
      <c r="E12002" s="211"/>
      <c r="U12002" s="222"/>
    </row>
    <row r="12003" spans="2:21" x14ac:dyDescent="0.2">
      <c r="B12003" s="207"/>
      <c r="C12003" s="210"/>
      <c r="D12003" s="211"/>
      <c r="E12003" s="211"/>
      <c r="U12003" s="222"/>
    </row>
    <row r="12004" spans="2:21" x14ac:dyDescent="0.2">
      <c r="B12004" s="207"/>
      <c r="C12004" s="210"/>
      <c r="D12004" s="211"/>
      <c r="E12004" s="211"/>
      <c r="U12004" s="222"/>
    </row>
    <row r="12005" spans="2:21" x14ac:dyDescent="0.2">
      <c r="B12005" s="207"/>
      <c r="C12005" s="210"/>
      <c r="D12005" s="211"/>
      <c r="E12005" s="211"/>
      <c r="U12005" s="222"/>
    </row>
    <row r="12006" spans="2:21" x14ac:dyDescent="0.2">
      <c r="B12006" s="207"/>
      <c r="C12006" s="210"/>
      <c r="D12006" s="211"/>
      <c r="E12006" s="211"/>
      <c r="U12006" s="222"/>
    </row>
    <row r="12007" spans="2:21" x14ac:dyDescent="0.2">
      <c r="B12007" s="207"/>
      <c r="C12007" s="210"/>
      <c r="D12007" s="211"/>
      <c r="E12007" s="211"/>
      <c r="U12007" s="222"/>
    </row>
    <row r="12008" spans="2:21" x14ac:dyDescent="0.2">
      <c r="B12008" s="207"/>
      <c r="C12008" s="210"/>
      <c r="D12008" s="211"/>
      <c r="E12008" s="211"/>
      <c r="U12008" s="222"/>
    </row>
    <row r="12009" spans="2:21" x14ac:dyDescent="0.2">
      <c r="B12009" s="207"/>
      <c r="C12009" s="210"/>
      <c r="D12009" s="211"/>
      <c r="E12009" s="211"/>
      <c r="U12009" s="222"/>
    </row>
    <row r="12010" spans="2:21" x14ac:dyDescent="0.2">
      <c r="B12010" s="207"/>
      <c r="C12010" s="210"/>
      <c r="D12010" s="211"/>
      <c r="E12010" s="211"/>
      <c r="U12010" s="222"/>
    </row>
    <row r="12011" spans="2:21" x14ac:dyDescent="0.2">
      <c r="B12011" s="207"/>
      <c r="C12011" s="210"/>
      <c r="D12011" s="211"/>
      <c r="E12011" s="211"/>
      <c r="U12011" s="222"/>
    </row>
    <row r="12012" spans="2:21" x14ac:dyDescent="0.2">
      <c r="B12012" s="207"/>
      <c r="C12012" s="210"/>
      <c r="D12012" s="211"/>
      <c r="E12012" s="211"/>
      <c r="U12012" s="222"/>
    </row>
    <row r="12013" spans="2:21" x14ac:dyDescent="0.2">
      <c r="B12013" s="207"/>
      <c r="C12013" s="210"/>
      <c r="D12013" s="211"/>
      <c r="E12013" s="211"/>
      <c r="U12013" s="222"/>
    </row>
    <row r="12014" spans="2:21" x14ac:dyDescent="0.2">
      <c r="B12014" s="207"/>
      <c r="C12014" s="210"/>
      <c r="D12014" s="211"/>
      <c r="E12014" s="211"/>
      <c r="U12014" s="222"/>
    </row>
    <row r="12015" spans="2:21" x14ac:dyDescent="0.2">
      <c r="B12015" s="207"/>
      <c r="C12015" s="210"/>
      <c r="D12015" s="211"/>
      <c r="E12015" s="211"/>
      <c r="U12015" s="222"/>
    </row>
    <row r="12016" spans="2:21" x14ac:dyDescent="0.2">
      <c r="B12016" s="207"/>
      <c r="C12016" s="210"/>
      <c r="D12016" s="211"/>
      <c r="E12016" s="211"/>
      <c r="U12016" s="222"/>
    </row>
    <row r="12017" spans="2:21" x14ac:dyDescent="0.2">
      <c r="B12017" s="207"/>
      <c r="C12017" s="210"/>
      <c r="D12017" s="211"/>
      <c r="E12017" s="211"/>
      <c r="U12017" s="222"/>
    </row>
    <row r="12018" spans="2:21" x14ac:dyDescent="0.2">
      <c r="B12018" s="207"/>
      <c r="C12018" s="210"/>
      <c r="D12018" s="211"/>
      <c r="E12018" s="211"/>
      <c r="U12018" s="222"/>
    </row>
    <row r="12019" spans="2:21" x14ac:dyDescent="0.2">
      <c r="B12019" s="207"/>
      <c r="C12019" s="210"/>
      <c r="D12019" s="211"/>
      <c r="E12019" s="211"/>
      <c r="U12019" s="222"/>
    </row>
    <row r="12020" spans="2:21" x14ac:dyDescent="0.2">
      <c r="B12020" s="207"/>
      <c r="C12020" s="210"/>
      <c r="D12020" s="211"/>
      <c r="E12020" s="211"/>
      <c r="U12020" s="222"/>
    </row>
    <row r="12021" spans="2:21" x14ac:dyDescent="0.2">
      <c r="B12021" s="207"/>
      <c r="C12021" s="210"/>
      <c r="D12021" s="211"/>
      <c r="E12021" s="211"/>
      <c r="U12021" s="222"/>
    </row>
    <row r="12022" spans="2:21" x14ac:dyDescent="0.2">
      <c r="B12022" s="207"/>
      <c r="C12022" s="210"/>
      <c r="D12022" s="211"/>
      <c r="E12022" s="211"/>
      <c r="U12022" s="222"/>
    </row>
    <row r="12023" spans="2:21" x14ac:dyDescent="0.2">
      <c r="B12023" s="207"/>
      <c r="C12023" s="210"/>
      <c r="D12023" s="211"/>
      <c r="E12023" s="211"/>
      <c r="U12023" s="222"/>
    </row>
    <row r="12024" spans="2:21" x14ac:dyDescent="0.2">
      <c r="B12024" s="207"/>
      <c r="C12024" s="210"/>
      <c r="D12024" s="211"/>
      <c r="E12024" s="211"/>
      <c r="U12024" s="222"/>
    </row>
    <row r="12025" spans="2:21" x14ac:dyDescent="0.2">
      <c r="B12025" s="207"/>
      <c r="C12025" s="210"/>
      <c r="D12025" s="211"/>
      <c r="E12025" s="211"/>
      <c r="U12025" s="222"/>
    </row>
    <row r="12026" spans="2:21" x14ac:dyDescent="0.2">
      <c r="B12026" s="207"/>
      <c r="C12026" s="210"/>
      <c r="D12026" s="211"/>
      <c r="E12026" s="211"/>
      <c r="U12026" s="222"/>
    </row>
    <row r="12027" spans="2:21" x14ac:dyDescent="0.2">
      <c r="B12027" s="207"/>
      <c r="C12027" s="210"/>
      <c r="D12027" s="211"/>
      <c r="E12027" s="211"/>
      <c r="U12027" s="222"/>
    </row>
    <row r="12028" spans="2:21" x14ac:dyDescent="0.2">
      <c r="B12028" s="207"/>
      <c r="C12028" s="210"/>
      <c r="D12028" s="211"/>
      <c r="E12028" s="211"/>
      <c r="U12028" s="222"/>
    </row>
    <row r="12029" spans="2:21" x14ac:dyDescent="0.2">
      <c r="B12029" s="207"/>
      <c r="C12029" s="210"/>
      <c r="D12029" s="211"/>
      <c r="E12029" s="211"/>
      <c r="U12029" s="222"/>
    </row>
    <row r="12030" spans="2:21" x14ac:dyDescent="0.2">
      <c r="B12030" s="207"/>
      <c r="C12030" s="210"/>
      <c r="D12030" s="211"/>
      <c r="E12030" s="211"/>
      <c r="U12030" s="222"/>
    </row>
    <row r="12031" spans="2:21" x14ac:dyDescent="0.2">
      <c r="B12031" s="207"/>
      <c r="C12031" s="210"/>
      <c r="D12031" s="211"/>
      <c r="E12031" s="211"/>
      <c r="U12031" s="222"/>
    </row>
    <row r="12032" spans="2:21" x14ac:dyDescent="0.2">
      <c r="B12032" s="207"/>
      <c r="C12032" s="210"/>
      <c r="D12032" s="211"/>
      <c r="E12032" s="211"/>
      <c r="U12032" s="222"/>
    </row>
    <row r="12033" spans="2:21" x14ac:dyDescent="0.2">
      <c r="B12033" s="207"/>
      <c r="C12033" s="210"/>
      <c r="D12033" s="211"/>
      <c r="E12033" s="211"/>
      <c r="U12033" s="222"/>
    </row>
    <row r="12034" spans="2:21" x14ac:dyDescent="0.2">
      <c r="B12034" s="207"/>
      <c r="C12034" s="210"/>
      <c r="D12034" s="211"/>
      <c r="E12034" s="211"/>
      <c r="U12034" s="222"/>
    </row>
    <row r="12035" spans="2:21" x14ac:dyDescent="0.2">
      <c r="B12035" s="207"/>
      <c r="C12035" s="210"/>
      <c r="D12035" s="211"/>
      <c r="E12035" s="211"/>
      <c r="U12035" s="222"/>
    </row>
    <row r="12036" spans="2:21" x14ac:dyDescent="0.2">
      <c r="B12036" s="207"/>
      <c r="C12036" s="210"/>
      <c r="D12036" s="211"/>
      <c r="E12036" s="211"/>
      <c r="U12036" s="222"/>
    </row>
    <row r="12037" spans="2:21" x14ac:dyDescent="0.2">
      <c r="B12037" s="207"/>
      <c r="C12037" s="210"/>
      <c r="D12037" s="211"/>
      <c r="E12037" s="211"/>
      <c r="U12037" s="222"/>
    </row>
    <row r="12038" spans="2:21" x14ac:dyDescent="0.2">
      <c r="B12038" s="207"/>
      <c r="C12038" s="210"/>
      <c r="D12038" s="211"/>
      <c r="E12038" s="211"/>
      <c r="U12038" s="222"/>
    </row>
    <row r="12039" spans="2:21" x14ac:dyDescent="0.2">
      <c r="B12039" s="207"/>
      <c r="C12039" s="210"/>
      <c r="D12039" s="211"/>
      <c r="E12039" s="211"/>
      <c r="U12039" s="222"/>
    </row>
    <row r="12040" spans="2:21" x14ac:dyDescent="0.2">
      <c r="B12040" s="207"/>
      <c r="C12040" s="210"/>
      <c r="D12040" s="211"/>
      <c r="E12040" s="211"/>
      <c r="U12040" s="222"/>
    </row>
    <row r="12041" spans="2:21" x14ac:dyDescent="0.2">
      <c r="B12041" s="207"/>
      <c r="C12041" s="210"/>
      <c r="D12041" s="211"/>
      <c r="E12041" s="211"/>
      <c r="U12041" s="222"/>
    </row>
    <row r="12042" spans="2:21" x14ac:dyDescent="0.2">
      <c r="B12042" s="207"/>
      <c r="C12042" s="210"/>
      <c r="D12042" s="211"/>
      <c r="E12042" s="211"/>
      <c r="U12042" s="222"/>
    </row>
    <row r="12043" spans="2:21" x14ac:dyDescent="0.2">
      <c r="B12043" s="207"/>
      <c r="C12043" s="210"/>
      <c r="D12043" s="211"/>
      <c r="E12043" s="211"/>
      <c r="U12043" s="222"/>
    </row>
    <row r="12044" spans="2:21" x14ac:dyDescent="0.2">
      <c r="B12044" s="207"/>
      <c r="C12044" s="210"/>
      <c r="D12044" s="211"/>
      <c r="E12044" s="211"/>
      <c r="U12044" s="222"/>
    </row>
    <row r="12045" spans="2:21" x14ac:dyDescent="0.2">
      <c r="B12045" s="207"/>
      <c r="C12045" s="210"/>
      <c r="D12045" s="211"/>
      <c r="E12045" s="211"/>
      <c r="U12045" s="222"/>
    </row>
    <row r="12046" spans="2:21" x14ac:dyDescent="0.2">
      <c r="B12046" s="207"/>
      <c r="C12046" s="210"/>
      <c r="D12046" s="211"/>
      <c r="E12046" s="211"/>
      <c r="U12046" s="222"/>
    </row>
    <row r="12047" spans="2:21" x14ac:dyDescent="0.2">
      <c r="B12047" s="207"/>
      <c r="C12047" s="210"/>
      <c r="D12047" s="211"/>
      <c r="E12047" s="211"/>
      <c r="U12047" s="222"/>
    </row>
    <row r="12048" spans="2:21" x14ac:dyDescent="0.2">
      <c r="B12048" s="207"/>
      <c r="C12048" s="210"/>
      <c r="D12048" s="211"/>
      <c r="E12048" s="211"/>
      <c r="U12048" s="222"/>
    </row>
    <row r="12049" spans="2:21" x14ac:dyDescent="0.2">
      <c r="B12049" s="207"/>
      <c r="C12049" s="210"/>
      <c r="D12049" s="211"/>
      <c r="E12049" s="211"/>
      <c r="U12049" s="222"/>
    </row>
    <row r="12050" spans="2:21" x14ac:dyDescent="0.2">
      <c r="B12050" s="207"/>
      <c r="C12050" s="210"/>
      <c r="D12050" s="211"/>
      <c r="E12050" s="211"/>
      <c r="U12050" s="222"/>
    </row>
    <row r="12051" spans="2:21" x14ac:dyDescent="0.2">
      <c r="B12051" s="207"/>
      <c r="C12051" s="210"/>
      <c r="D12051" s="211"/>
      <c r="E12051" s="211"/>
      <c r="U12051" s="222"/>
    </row>
    <row r="12052" spans="2:21" x14ac:dyDescent="0.2">
      <c r="B12052" s="207"/>
      <c r="C12052" s="210"/>
      <c r="D12052" s="211"/>
      <c r="E12052" s="211"/>
      <c r="U12052" s="222"/>
    </row>
    <row r="12053" spans="2:21" x14ac:dyDescent="0.2">
      <c r="B12053" s="207"/>
      <c r="C12053" s="210"/>
      <c r="D12053" s="211"/>
      <c r="E12053" s="211"/>
      <c r="U12053" s="222"/>
    </row>
    <row r="12054" spans="2:21" x14ac:dyDescent="0.2">
      <c r="B12054" s="207"/>
      <c r="C12054" s="210"/>
      <c r="D12054" s="211"/>
      <c r="E12054" s="211"/>
      <c r="U12054" s="222"/>
    </row>
    <row r="12055" spans="2:21" x14ac:dyDescent="0.2">
      <c r="B12055" s="207"/>
      <c r="C12055" s="210"/>
      <c r="D12055" s="211"/>
      <c r="E12055" s="211"/>
      <c r="U12055" s="222"/>
    </row>
    <row r="12056" spans="2:21" x14ac:dyDescent="0.2">
      <c r="B12056" s="207"/>
      <c r="C12056" s="210"/>
      <c r="D12056" s="211"/>
      <c r="E12056" s="211"/>
      <c r="U12056" s="222"/>
    </row>
    <row r="12057" spans="2:21" x14ac:dyDescent="0.2">
      <c r="B12057" s="207"/>
      <c r="C12057" s="210"/>
      <c r="D12057" s="211"/>
      <c r="E12057" s="211"/>
      <c r="U12057" s="222"/>
    </row>
    <row r="12058" spans="2:21" x14ac:dyDescent="0.2">
      <c r="B12058" s="207"/>
      <c r="C12058" s="210"/>
      <c r="D12058" s="211"/>
      <c r="E12058" s="211"/>
      <c r="U12058" s="222"/>
    </row>
    <row r="12059" spans="2:21" x14ac:dyDescent="0.2">
      <c r="B12059" s="207"/>
      <c r="C12059" s="210"/>
      <c r="D12059" s="211"/>
      <c r="E12059" s="211"/>
      <c r="U12059" s="222"/>
    </row>
    <row r="12060" spans="2:21" x14ac:dyDescent="0.2">
      <c r="B12060" s="207"/>
      <c r="C12060" s="210"/>
      <c r="D12060" s="211"/>
      <c r="E12060" s="211"/>
      <c r="U12060" s="222"/>
    </row>
    <row r="12061" spans="2:21" x14ac:dyDescent="0.2">
      <c r="B12061" s="207"/>
      <c r="C12061" s="210"/>
      <c r="D12061" s="211"/>
      <c r="E12061" s="211"/>
      <c r="U12061" s="222"/>
    </row>
    <row r="12062" spans="2:21" x14ac:dyDescent="0.2">
      <c r="B12062" s="207"/>
      <c r="C12062" s="210"/>
      <c r="D12062" s="211"/>
      <c r="E12062" s="211"/>
      <c r="U12062" s="222"/>
    </row>
    <row r="12063" spans="2:21" x14ac:dyDescent="0.2">
      <c r="B12063" s="207"/>
      <c r="C12063" s="210"/>
      <c r="D12063" s="211"/>
      <c r="E12063" s="211"/>
      <c r="U12063" s="222"/>
    </row>
    <row r="12064" spans="2:21" x14ac:dyDescent="0.2">
      <c r="B12064" s="207"/>
      <c r="C12064" s="210"/>
      <c r="D12064" s="211"/>
      <c r="E12064" s="211"/>
      <c r="U12064" s="222"/>
    </row>
    <row r="12065" spans="2:21" x14ac:dyDescent="0.2">
      <c r="B12065" s="207"/>
      <c r="C12065" s="210"/>
      <c r="D12065" s="211"/>
      <c r="E12065" s="211"/>
      <c r="U12065" s="222"/>
    </row>
    <row r="12066" spans="2:21" x14ac:dyDescent="0.2">
      <c r="B12066" s="207"/>
      <c r="C12066" s="210"/>
      <c r="D12066" s="211"/>
      <c r="E12066" s="211"/>
      <c r="U12066" s="222"/>
    </row>
    <row r="12067" spans="2:21" x14ac:dyDescent="0.2">
      <c r="B12067" s="207"/>
      <c r="C12067" s="210"/>
      <c r="D12067" s="211"/>
      <c r="E12067" s="211"/>
      <c r="U12067" s="222"/>
    </row>
    <row r="12068" spans="2:21" x14ac:dyDescent="0.2">
      <c r="B12068" s="207"/>
      <c r="C12068" s="210"/>
      <c r="D12068" s="211"/>
      <c r="E12068" s="211"/>
      <c r="U12068" s="222"/>
    </row>
    <row r="12069" spans="2:21" x14ac:dyDescent="0.2">
      <c r="B12069" s="207"/>
      <c r="C12069" s="210"/>
      <c r="D12069" s="211"/>
      <c r="E12069" s="211"/>
      <c r="U12069" s="222"/>
    </row>
    <row r="12070" spans="2:21" x14ac:dyDescent="0.2">
      <c r="B12070" s="207"/>
      <c r="C12070" s="210"/>
      <c r="D12070" s="211"/>
      <c r="E12070" s="211"/>
      <c r="U12070" s="222"/>
    </row>
    <row r="12071" spans="2:21" x14ac:dyDescent="0.2">
      <c r="B12071" s="207"/>
      <c r="C12071" s="210"/>
      <c r="D12071" s="211"/>
      <c r="E12071" s="211"/>
      <c r="U12071" s="222"/>
    </row>
    <row r="12072" spans="2:21" x14ac:dyDescent="0.2">
      <c r="B12072" s="207"/>
      <c r="C12072" s="210"/>
      <c r="D12072" s="211"/>
      <c r="E12072" s="211"/>
      <c r="U12072" s="222"/>
    </row>
    <row r="12073" spans="2:21" x14ac:dyDescent="0.2">
      <c r="B12073" s="207"/>
      <c r="C12073" s="210"/>
      <c r="D12073" s="211"/>
      <c r="E12073" s="211"/>
      <c r="U12073" s="222"/>
    </row>
    <row r="12074" spans="2:21" x14ac:dyDescent="0.2">
      <c r="B12074" s="207"/>
      <c r="C12074" s="210"/>
      <c r="D12074" s="211"/>
      <c r="E12074" s="211"/>
      <c r="U12074" s="222"/>
    </row>
    <row r="12075" spans="2:21" x14ac:dyDescent="0.2">
      <c r="B12075" s="207"/>
      <c r="C12075" s="210"/>
      <c r="D12075" s="211"/>
      <c r="E12075" s="211"/>
      <c r="U12075" s="222"/>
    </row>
    <row r="12076" spans="2:21" x14ac:dyDescent="0.2">
      <c r="B12076" s="207"/>
      <c r="C12076" s="210"/>
      <c r="D12076" s="211"/>
      <c r="E12076" s="211"/>
      <c r="U12076" s="222"/>
    </row>
    <row r="12077" spans="2:21" x14ac:dyDescent="0.2">
      <c r="B12077" s="207"/>
      <c r="C12077" s="210"/>
      <c r="D12077" s="211"/>
      <c r="E12077" s="211"/>
      <c r="U12077" s="222"/>
    </row>
    <row r="12078" spans="2:21" x14ac:dyDescent="0.2">
      <c r="B12078" s="207"/>
      <c r="C12078" s="210"/>
      <c r="D12078" s="211"/>
      <c r="E12078" s="211"/>
      <c r="U12078" s="222"/>
    </row>
    <row r="12079" spans="2:21" x14ac:dyDescent="0.2">
      <c r="B12079" s="207"/>
      <c r="C12079" s="210"/>
      <c r="D12079" s="211"/>
      <c r="E12079" s="211"/>
      <c r="U12079" s="222"/>
    </row>
    <row r="12080" spans="2:21" x14ac:dyDescent="0.2">
      <c r="B12080" s="207"/>
      <c r="C12080" s="210"/>
      <c r="D12080" s="211"/>
      <c r="E12080" s="211"/>
      <c r="U12080" s="222"/>
    </row>
    <row r="12081" spans="2:21" x14ac:dyDescent="0.2">
      <c r="B12081" s="207"/>
      <c r="C12081" s="210"/>
      <c r="D12081" s="211"/>
      <c r="E12081" s="211"/>
      <c r="U12081" s="222"/>
    </row>
    <row r="12082" spans="2:21" x14ac:dyDescent="0.2">
      <c r="B12082" s="207"/>
      <c r="C12082" s="210"/>
      <c r="D12082" s="211"/>
      <c r="E12082" s="211"/>
      <c r="U12082" s="222"/>
    </row>
    <row r="12083" spans="2:21" x14ac:dyDescent="0.2">
      <c r="B12083" s="207"/>
      <c r="C12083" s="210"/>
      <c r="D12083" s="211"/>
      <c r="E12083" s="211"/>
      <c r="U12083" s="222"/>
    </row>
    <row r="12084" spans="2:21" x14ac:dyDescent="0.2">
      <c r="B12084" s="207"/>
      <c r="C12084" s="210"/>
      <c r="D12084" s="211"/>
      <c r="E12084" s="211"/>
      <c r="U12084" s="222"/>
    </row>
    <row r="12085" spans="2:21" x14ac:dyDescent="0.2">
      <c r="B12085" s="207"/>
      <c r="C12085" s="210"/>
      <c r="D12085" s="211"/>
      <c r="E12085" s="211"/>
      <c r="U12085" s="222"/>
    </row>
    <row r="12086" spans="2:21" x14ac:dyDescent="0.2">
      <c r="B12086" s="207"/>
      <c r="C12086" s="210"/>
      <c r="D12086" s="211"/>
      <c r="E12086" s="211"/>
      <c r="U12086" s="222"/>
    </row>
    <row r="12087" spans="2:21" x14ac:dyDescent="0.2">
      <c r="B12087" s="207"/>
      <c r="C12087" s="210"/>
      <c r="D12087" s="211"/>
      <c r="E12087" s="211"/>
      <c r="U12087" s="222"/>
    </row>
    <row r="12088" spans="2:21" x14ac:dyDescent="0.2">
      <c r="B12088" s="207"/>
      <c r="C12088" s="210"/>
      <c r="D12088" s="211"/>
      <c r="E12088" s="211"/>
      <c r="U12088" s="222"/>
    </row>
    <row r="12089" spans="2:21" x14ac:dyDescent="0.2">
      <c r="B12089" s="207"/>
      <c r="C12089" s="210"/>
      <c r="D12089" s="211"/>
      <c r="E12089" s="211"/>
      <c r="U12089" s="222"/>
    </row>
    <row r="12090" spans="2:21" x14ac:dyDescent="0.2">
      <c r="B12090" s="207"/>
      <c r="C12090" s="210"/>
      <c r="D12090" s="211"/>
      <c r="E12090" s="211"/>
      <c r="U12090" s="222"/>
    </row>
    <row r="12091" spans="2:21" x14ac:dyDescent="0.2">
      <c r="B12091" s="207"/>
      <c r="C12091" s="210"/>
      <c r="D12091" s="211"/>
      <c r="E12091" s="211"/>
      <c r="U12091" s="222"/>
    </row>
    <row r="12092" spans="2:21" x14ac:dyDescent="0.2">
      <c r="B12092" s="207"/>
      <c r="C12092" s="210"/>
      <c r="D12092" s="211"/>
      <c r="E12092" s="211"/>
      <c r="U12092" s="222"/>
    </row>
    <row r="12093" spans="2:21" x14ac:dyDescent="0.2">
      <c r="B12093" s="207"/>
      <c r="C12093" s="210"/>
      <c r="D12093" s="211"/>
      <c r="E12093" s="211"/>
      <c r="U12093" s="222"/>
    </row>
    <row r="12094" spans="2:21" x14ac:dyDescent="0.2">
      <c r="B12094" s="207"/>
      <c r="C12094" s="210"/>
      <c r="D12094" s="211"/>
      <c r="E12094" s="211"/>
      <c r="U12094" s="222"/>
    </row>
    <row r="12095" spans="2:21" x14ac:dyDescent="0.2">
      <c r="B12095" s="207"/>
      <c r="C12095" s="210"/>
      <c r="D12095" s="211"/>
      <c r="E12095" s="211"/>
      <c r="U12095" s="222"/>
    </row>
    <row r="12096" spans="2:21" x14ac:dyDescent="0.2">
      <c r="B12096" s="207"/>
      <c r="C12096" s="210"/>
      <c r="D12096" s="211"/>
      <c r="E12096" s="211"/>
      <c r="U12096" s="222"/>
    </row>
    <row r="12097" spans="2:21" x14ac:dyDescent="0.2">
      <c r="B12097" s="207"/>
      <c r="C12097" s="210"/>
      <c r="D12097" s="211"/>
      <c r="E12097" s="211"/>
      <c r="U12097" s="222"/>
    </row>
    <row r="12098" spans="2:21" x14ac:dyDescent="0.2">
      <c r="B12098" s="207"/>
      <c r="C12098" s="210"/>
      <c r="D12098" s="211"/>
      <c r="E12098" s="211"/>
      <c r="U12098" s="222"/>
    </row>
    <row r="12099" spans="2:21" x14ac:dyDescent="0.2">
      <c r="B12099" s="207"/>
      <c r="C12099" s="210"/>
      <c r="D12099" s="211"/>
      <c r="E12099" s="211"/>
      <c r="U12099" s="222"/>
    </row>
    <row r="12100" spans="2:21" x14ac:dyDescent="0.2">
      <c r="B12100" s="207"/>
      <c r="C12100" s="210"/>
      <c r="D12100" s="211"/>
      <c r="E12100" s="211"/>
      <c r="U12100" s="222"/>
    </row>
    <row r="12101" spans="2:21" x14ac:dyDescent="0.2">
      <c r="B12101" s="207"/>
      <c r="C12101" s="210"/>
      <c r="D12101" s="211"/>
      <c r="E12101" s="211"/>
      <c r="U12101" s="222"/>
    </row>
    <row r="12102" spans="2:21" x14ac:dyDescent="0.2">
      <c r="B12102" s="207"/>
      <c r="C12102" s="210"/>
      <c r="D12102" s="211"/>
      <c r="E12102" s="211"/>
      <c r="U12102" s="222"/>
    </row>
    <row r="12103" spans="2:21" x14ac:dyDescent="0.2">
      <c r="B12103" s="207"/>
      <c r="C12103" s="210"/>
      <c r="D12103" s="211"/>
      <c r="E12103" s="211"/>
      <c r="U12103" s="222"/>
    </row>
    <row r="12104" spans="2:21" x14ac:dyDescent="0.2">
      <c r="B12104" s="207"/>
      <c r="C12104" s="210"/>
      <c r="D12104" s="211"/>
      <c r="E12104" s="211"/>
      <c r="U12104" s="222"/>
    </row>
    <row r="12105" spans="2:21" x14ac:dyDescent="0.2">
      <c r="B12105" s="207"/>
      <c r="C12105" s="210"/>
      <c r="D12105" s="211"/>
      <c r="E12105" s="211"/>
      <c r="U12105" s="222"/>
    </row>
    <row r="12106" spans="2:21" x14ac:dyDescent="0.2">
      <c r="B12106" s="207"/>
      <c r="C12106" s="210"/>
      <c r="D12106" s="211"/>
      <c r="E12106" s="211"/>
      <c r="U12106" s="222"/>
    </row>
    <row r="12107" spans="2:21" x14ac:dyDescent="0.2">
      <c r="B12107" s="207"/>
      <c r="C12107" s="210"/>
      <c r="D12107" s="211"/>
      <c r="E12107" s="211"/>
      <c r="U12107" s="222"/>
    </row>
    <row r="12108" spans="2:21" x14ac:dyDescent="0.2">
      <c r="B12108" s="207"/>
      <c r="C12108" s="210"/>
      <c r="D12108" s="211"/>
      <c r="E12108" s="211"/>
      <c r="U12108" s="222"/>
    </row>
    <row r="12109" spans="2:21" x14ac:dyDescent="0.2">
      <c r="B12109" s="207"/>
      <c r="C12109" s="210"/>
      <c r="D12109" s="211"/>
      <c r="E12109" s="211"/>
      <c r="U12109" s="222"/>
    </row>
    <row r="12110" spans="2:21" x14ac:dyDescent="0.2">
      <c r="B12110" s="207"/>
      <c r="C12110" s="210"/>
      <c r="D12110" s="211"/>
      <c r="E12110" s="211"/>
      <c r="U12110" s="222"/>
    </row>
    <row r="12111" spans="2:21" x14ac:dyDescent="0.2">
      <c r="B12111" s="207"/>
      <c r="C12111" s="210"/>
      <c r="D12111" s="211"/>
      <c r="E12111" s="211"/>
      <c r="U12111" s="222"/>
    </row>
    <row r="12112" spans="2:21" x14ac:dyDescent="0.2">
      <c r="B12112" s="207"/>
      <c r="C12112" s="210"/>
      <c r="D12112" s="211"/>
      <c r="E12112" s="211"/>
      <c r="U12112" s="222"/>
    </row>
    <row r="12113" spans="2:21" x14ac:dyDescent="0.2">
      <c r="B12113" s="207"/>
      <c r="C12113" s="210"/>
      <c r="D12113" s="211"/>
      <c r="E12113" s="211"/>
      <c r="U12113" s="222"/>
    </row>
    <row r="12114" spans="2:21" x14ac:dyDescent="0.2">
      <c r="B12114" s="207"/>
      <c r="C12114" s="210"/>
      <c r="D12114" s="211"/>
      <c r="E12114" s="211"/>
      <c r="U12114" s="222"/>
    </row>
    <row r="12115" spans="2:21" x14ac:dyDescent="0.2">
      <c r="B12115" s="207"/>
      <c r="C12115" s="210"/>
      <c r="D12115" s="211"/>
      <c r="E12115" s="211"/>
      <c r="U12115" s="222"/>
    </row>
    <row r="12116" spans="2:21" x14ac:dyDescent="0.2">
      <c r="B12116" s="207"/>
      <c r="C12116" s="210"/>
      <c r="D12116" s="211"/>
      <c r="E12116" s="211"/>
      <c r="U12116" s="222"/>
    </row>
    <row r="12117" spans="2:21" x14ac:dyDescent="0.2">
      <c r="B12117" s="207"/>
      <c r="C12117" s="210"/>
      <c r="D12117" s="211"/>
      <c r="E12117" s="211"/>
      <c r="U12117" s="222"/>
    </row>
    <row r="12118" spans="2:21" x14ac:dyDescent="0.2">
      <c r="B12118" s="207"/>
      <c r="C12118" s="210"/>
      <c r="D12118" s="211"/>
      <c r="E12118" s="211"/>
      <c r="U12118" s="222"/>
    </row>
    <row r="12119" spans="2:21" x14ac:dyDescent="0.2">
      <c r="B12119" s="207"/>
      <c r="C12119" s="210"/>
      <c r="D12119" s="211"/>
      <c r="E12119" s="211"/>
      <c r="U12119" s="222"/>
    </row>
    <row r="12120" spans="2:21" x14ac:dyDescent="0.2">
      <c r="B12120" s="207"/>
      <c r="C12120" s="210"/>
      <c r="D12120" s="211"/>
      <c r="E12120" s="211"/>
      <c r="U12120" s="222"/>
    </row>
    <row r="12121" spans="2:21" x14ac:dyDescent="0.2">
      <c r="B12121" s="207"/>
      <c r="C12121" s="210"/>
      <c r="D12121" s="211"/>
      <c r="E12121" s="211"/>
      <c r="U12121" s="222"/>
    </row>
    <row r="12122" spans="2:21" x14ac:dyDescent="0.2">
      <c r="B12122" s="207"/>
      <c r="C12122" s="210"/>
      <c r="D12122" s="211"/>
      <c r="E12122" s="211"/>
      <c r="U12122" s="222"/>
    </row>
    <row r="12123" spans="2:21" x14ac:dyDescent="0.2">
      <c r="B12123" s="207"/>
      <c r="C12123" s="210"/>
      <c r="D12123" s="211"/>
      <c r="E12123" s="211"/>
      <c r="U12123" s="222"/>
    </row>
    <row r="12124" spans="2:21" x14ac:dyDescent="0.2">
      <c r="B12124" s="207"/>
      <c r="C12124" s="210"/>
      <c r="D12124" s="211"/>
      <c r="E12124" s="211"/>
      <c r="U12124" s="222"/>
    </row>
    <row r="12125" spans="2:21" x14ac:dyDescent="0.2">
      <c r="B12125" s="207"/>
      <c r="C12125" s="210"/>
      <c r="D12125" s="211"/>
      <c r="E12125" s="211"/>
      <c r="U12125" s="222"/>
    </row>
    <row r="12126" spans="2:21" x14ac:dyDescent="0.2">
      <c r="B12126" s="207"/>
      <c r="C12126" s="210"/>
      <c r="D12126" s="211"/>
      <c r="E12126" s="211"/>
      <c r="U12126" s="222"/>
    </row>
    <row r="12127" spans="2:21" x14ac:dyDescent="0.2">
      <c r="B12127" s="207"/>
      <c r="C12127" s="210"/>
      <c r="D12127" s="211"/>
      <c r="E12127" s="211"/>
      <c r="U12127" s="222"/>
    </row>
    <row r="12128" spans="2:21" x14ac:dyDescent="0.2">
      <c r="B12128" s="207"/>
      <c r="C12128" s="210"/>
      <c r="D12128" s="211"/>
      <c r="E12128" s="211"/>
      <c r="U12128" s="222"/>
    </row>
    <row r="12129" spans="2:21" x14ac:dyDescent="0.2">
      <c r="B12129" s="207"/>
      <c r="C12129" s="210"/>
      <c r="D12129" s="211"/>
      <c r="E12129" s="211"/>
      <c r="U12129" s="222"/>
    </row>
    <row r="12130" spans="2:21" x14ac:dyDescent="0.2">
      <c r="B12130" s="207"/>
      <c r="C12130" s="210"/>
      <c r="D12130" s="211"/>
      <c r="E12130" s="211"/>
      <c r="U12130" s="222"/>
    </row>
    <row r="12131" spans="2:21" x14ac:dyDescent="0.2">
      <c r="B12131" s="207"/>
      <c r="C12131" s="210"/>
      <c r="D12131" s="211"/>
      <c r="E12131" s="211"/>
      <c r="U12131" s="222"/>
    </row>
    <row r="12132" spans="2:21" x14ac:dyDescent="0.2">
      <c r="B12132" s="207"/>
      <c r="C12132" s="210"/>
      <c r="D12132" s="211"/>
      <c r="E12132" s="211"/>
      <c r="U12132" s="222"/>
    </row>
    <row r="12133" spans="2:21" x14ac:dyDescent="0.2">
      <c r="B12133" s="207"/>
      <c r="C12133" s="210"/>
      <c r="D12133" s="211"/>
      <c r="E12133" s="211"/>
      <c r="U12133" s="222"/>
    </row>
    <row r="12134" spans="2:21" x14ac:dyDescent="0.2">
      <c r="B12134" s="207"/>
      <c r="C12134" s="210"/>
      <c r="D12134" s="211"/>
      <c r="E12134" s="211"/>
      <c r="U12134" s="222"/>
    </row>
    <row r="12135" spans="2:21" x14ac:dyDescent="0.2">
      <c r="B12135" s="207"/>
      <c r="C12135" s="210"/>
      <c r="D12135" s="211"/>
      <c r="E12135" s="211"/>
      <c r="U12135" s="222"/>
    </row>
    <row r="12136" spans="2:21" x14ac:dyDescent="0.2">
      <c r="B12136" s="207"/>
      <c r="C12136" s="210"/>
      <c r="D12136" s="211"/>
      <c r="E12136" s="211"/>
      <c r="U12136" s="222"/>
    </row>
    <row r="12137" spans="2:21" x14ac:dyDescent="0.2">
      <c r="B12137" s="207"/>
      <c r="C12137" s="210"/>
      <c r="D12137" s="211"/>
      <c r="E12137" s="211"/>
      <c r="U12137" s="222"/>
    </row>
    <row r="12138" spans="2:21" x14ac:dyDescent="0.2">
      <c r="B12138" s="207"/>
      <c r="C12138" s="210"/>
      <c r="D12138" s="211"/>
      <c r="E12138" s="211"/>
      <c r="U12138" s="222"/>
    </row>
    <row r="12139" spans="2:21" x14ac:dyDescent="0.2">
      <c r="B12139" s="207"/>
      <c r="C12139" s="210"/>
      <c r="D12139" s="211"/>
      <c r="E12139" s="211"/>
      <c r="U12139" s="222"/>
    </row>
    <row r="12140" spans="2:21" x14ac:dyDescent="0.2">
      <c r="B12140" s="207"/>
      <c r="C12140" s="210"/>
      <c r="D12140" s="211"/>
      <c r="E12140" s="211"/>
      <c r="U12140" s="222"/>
    </row>
    <row r="12141" spans="2:21" x14ac:dyDescent="0.2">
      <c r="B12141" s="207"/>
      <c r="C12141" s="210"/>
      <c r="D12141" s="211"/>
      <c r="E12141" s="211"/>
      <c r="U12141" s="222"/>
    </row>
    <row r="12142" spans="2:21" x14ac:dyDescent="0.2">
      <c r="B12142" s="207"/>
      <c r="C12142" s="210"/>
      <c r="D12142" s="211"/>
      <c r="E12142" s="211"/>
      <c r="U12142" s="222"/>
    </row>
    <row r="12143" spans="2:21" x14ac:dyDescent="0.2">
      <c r="B12143" s="207"/>
      <c r="C12143" s="210"/>
      <c r="D12143" s="211"/>
      <c r="E12143" s="211"/>
      <c r="U12143" s="222"/>
    </row>
    <row r="12144" spans="2:21" x14ac:dyDescent="0.2">
      <c r="B12144" s="207"/>
      <c r="C12144" s="210"/>
      <c r="D12144" s="211"/>
      <c r="E12144" s="211"/>
      <c r="U12144" s="222"/>
    </row>
    <row r="12145" spans="2:21" x14ac:dyDescent="0.2">
      <c r="B12145" s="207"/>
      <c r="C12145" s="210"/>
      <c r="D12145" s="211"/>
      <c r="E12145" s="211"/>
      <c r="U12145" s="222"/>
    </row>
    <row r="12146" spans="2:21" x14ac:dyDescent="0.2">
      <c r="B12146" s="207"/>
      <c r="C12146" s="210"/>
      <c r="D12146" s="211"/>
      <c r="E12146" s="211"/>
      <c r="U12146" s="222"/>
    </row>
    <row r="12147" spans="2:21" x14ac:dyDescent="0.2">
      <c r="B12147" s="207"/>
      <c r="C12147" s="210"/>
      <c r="D12147" s="211"/>
      <c r="E12147" s="211"/>
      <c r="U12147" s="222"/>
    </row>
    <row r="12148" spans="2:21" x14ac:dyDescent="0.2">
      <c r="B12148" s="207"/>
      <c r="C12148" s="210"/>
      <c r="D12148" s="211"/>
      <c r="E12148" s="211"/>
      <c r="U12148" s="222"/>
    </row>
    <row r="12149" spans="2:21" x14ac:dyDescent="0.2">
      <c r="B12149" s="207"/>
      <c r="C12149" s="210"/>
      <c r="D12149" s="211"/>
      <c r="E12149" s="211"/>
      <c r="U12149" s="222"/>
    </row>
    <row r="12150" spans="2:21" x14ac:dyDescent="0.2">
      <c r="B12150" s="207"/>
      <c r="C12150" s="210"/>
      <c r="D12150" s="211"/>
      <c r="E12150" s="211"/>
      <c r="U12150" s="222"/>
    </row>
    <row r="12151" spans="2:21" x14ac:dyDescent="0.2">
      <c r="B12151" s="207"/>
      <c r="C12151" s="210"/>
      <c r="D12151" s="211"/>
      <c r="E12151" s="211"/>
      <c r="U12151" s="222"/>
    </row>
    <row r="12152" spans="2:21" x14ac:dyDescent="0.2">
      <c r="B12152" s="207"/>
      <c r="C12152" s="210"/>
      <c r="D12152" s="211"/>
      <c r="E12152" s="211"/>
      <c r="U12152" s="222"/>
    </row>
    <row r="12153" spans="2:21" x14ac:dyDescent="0.2">
      <c r="B12153" s="207"/>
      <c r="C12153" s="210"/>
      <c r="D12153" s="211"/>
      <c r="E12153" s="211"/>
      <c r="U12153" s="222"/>
    </row>
    <row r="12154" spans="2:21" x14ac:dyDescent="0.2">
      <c r="B12154" s="207"/>
      <c r="C12154" s="210"/>
      <c r="D12154" s="211"/>
      <c r="E12154" s="211"/>
      <c r="U12154" s="222"/>
    </row>
    <row r="12155" spans="2:21" x14ac:dyDescent="0.2">
      <c r="B12155" s="207"/>
      <c r="C12155" s="210"/>
      <c r="D12155" s="211"/>
      <c r="E12155" s="211"/>
      <c r="U12155" s="222"/>
    </row>
    <row r="12156" spans="2:21" x14ac:dyDescent="0.2">
      <c r="B12156" s="207"/>
      <c r="C12156" s="210"/>
      <c r="D12156" s="211"/>
      <c r="E12156" s="211"/>
      <c r="U12156" s="222"/>
    </row>
    <row r="12157" spans="2:21" x14ac:dyDescent="0.2">
      <c r="B12157" s="207"/>
      <c r="C12157" s="210"/>
      <c r="D12157" s="211"/>
      <c r="E12157" s="211"/>
      <c r="U12157" s="222"/>
    </row>
    <row r="12158" spans="2:21" x14ac:dyDescent="0.2">
      <c r="B12158" s="207"/>
      <c r="C12158" s="210"/>
      <c r="D12158" s="211"/>
      <c r="E12158" s="211"/>
      <c r="U12158" s="222"/>
    </row>
    <row r="12159" spans="2:21" x14ac:dyDescent="0.2">
      <c r="B12159" s="207"/>
      <c r="C12159" s="210"/>
      <c r="D12159" s="211"/>
      <c r="E12159" s="211"/>
      <c r="U12159" s="222"/>
    </row>
    <row r="12160" spans="2:21" x14ac:dyDescent="0.2">
      <c r="B12160" s="207"/>
      <c r="C12160" s="210"/>
      <c r="D12160" s="211"/>
      <c r="E12160" s="211"/>
      <c r="U12160" s="222"/>
    </row>
    <row r="12161" spans="2:21" x14ac:dyDescent="0.2">
      <c r="B12161" s="207"/>
      <c r="C12161" s="210"/>
      <c r="D12161" s="211"/>
      <c r="E12161" s="211"/>
      <c r="U12161" s="222"/>
    </row>
    <row r="12162" spans="2:21" x14ac:dyDescent="0.2">
      <c r="B12162" s="207"/>
      <c r="C12162" s="210"/>
      <c r="D12162" s="211"/>
      <c r="E12162" s="211"/>
      <c r="U12162" s="222"/>
    </row>
    <row r="12163" spans="2:21" x14ac:dyDescent="0.2">
      <c r="B12163" s="207"/>
      <c r="C12163" s="210"/>
      <c r="D12163" s="211"/>
      <c r="E12163" s="211"/>
      <c r="U12163" s="222"/>
    </row>
    <row r="12164" spans="2:21" x14ac:dyDescent="0.2">
      <c r="B12164" s="207"/>
      <c r="C12164" s="210"/>
      <c r="D12164" s="211"/>
      <c r="E12164" s="211"/>
      <c r="U12164" s="222"/>
    </row>
    <row r="12165" spans="2:21" x14ac:dyDescent="0.2">
      <c r="B12165" s="207"/>
      <c r="C12165" s="210"/>
      <c r="D12165" s="211"/>
      <c r="E12165" s="211"/>
      <c r="U12165" s="222"/>
    </row>
    <row r="12166" spans="2:21" x14ac:dyDescent="0.2">
      <c r="B12166" s="207"/>
      <c r="C12166" s="210"/>
      <c r="D12166" s="211"/>
      <c r="E12166" s="211"/>
      <c r="U12166" s="222"/>
    </row>
    <row r="12167" spans="2:21" x14ac:dyDescent="0.2">
      <c r="B12167" s="207"/>
      <c r="C12167" s="210"/>
      <c r="D12167" s="211"/>
      <c r="E12167" s="211"/>
      <c r="U12167" s="222"/>
    </row>
    <row r="12168" spans="2:21" x14ac:dyDescent="0.2">
      <c r="B12168" s="207"/>
      <c r="C12168" s="210"/>
      <c r="D12168" s="211"/>
      <c r="E12168" s="211"/>
      <c r="U12168" s="222"/>
    </row>
    <row r="12169" spans="2:21" x14ac:dyDescent="0.2">
      <c r="B12169" s="207"/>
      <c r="C12169" s="210"/>
      <c r="D12169" s="211"/>
      <c r="E12169" s="211"/>
      <c r="U12169" s="222"/>
    </row>
    <row r="12170" spans="2:21" x14ac:dyDescent="0.2">
      <c r="B12170" s="207"/>
      <c r="C12170" s="210"/>
      <c r="D12170" s="211"/>
      <c r="E12170" s="211"/>
      <c r="U12170" s="222"/>
    </row>
    <row r="12171" spans="2:21" x14ac:dyDescent="0.2">
      <c r="B12171" s="207"/>
      <c r="C12171" s="210"/>
      <c r="D12171" s="211"/>
      <c r="E12171" s="211"/>
      <c r="U12171" s="222"/>
    </row>
    <row r="12172" spans="2:21" x14ac:dyDescent="0.2">
      <c r="B12172" s="207"/>
      <c r="C12172" s="210"/>
      <c r="D12172" s="211"/>
      <c r="E12172" s="211"/>
      <c r="U12172" s="222"/>
    </row>
    <row r="12173" spans="2:21" x14ac:dyDescent="0.2">
      <c r="B12173" s="207"/>
      <c r="C12173" s="210"/>
      <c r="D12173" s="211"/>
      <c r="E12173" s="211"/>
      <c r="U12173" s="222"/>
    </row>
    <row r="12174" spans="2:21" x14ac:dyDescent="0.2">
      <c r="B12174" s="207"/>
      <c r="C12174" s="210"/>
      <c r="D12174" s="211"/>
      <c r="E12174" s="211"/>
      <c r="U12174" s="222"/>
    </row>
    <row r="12175" spans="2:21" x14ac:dyDescent="0.2">
      <c r="B12175" s="207"/>
      <c r="C12175" s="210"/>
      <c r="D12175" s="211"/>
      <c r="E12175" s="211"/>
      <c r="U12175" s="222"/>
    </row>
    <row r="12176" spans="2:21" x14ac:dyDescent="0.2">
      <c r="B12176" s="207"/>
      <c r="C12176" s="210"/>
      <c r="D12176" s="211"/>
      <c r="E12176" s="211"/>
      <c r="U12176" s="222"/>
    </row>
    <row r="12177" spans="2:21" x14ac:dyDescent="0.2">
      <c r="B12177" s="207"/>
      <c r="C12177" s="210"/>
      <c r="D12177" s="211"/>
      <c r="E12177" s="211"/>
      <c r="U12177" s="222"/>
    </row>
    <row r="12178" spans="2:21" x14ac:dyDescent="0.2">
      <c r="B12178" s="207"/>
      <c r="C12178" s="210"/>
      <c r="D12178" s="211"/>
      <c r="E12178" s="211"/>
      <c r="U12178" s="222"/>
    </row>
    <row r="12179" spans="2:21" x14ac:dyDescent="0.2">
      <c r="B12179" s="207"/>
      <c r="C12179" s="210"/>
      <c r="D12179" s="211"/>
      <c r="E12179" s="211"/>
      <c r="U12179" s="222"/>
    </row>
    <row r="12180" spans="2:21" x14ac:dyDescent="0.2">
      <c r="B12180" s="207"/>
      <c r="C12180" s="210"/>
      <c r="D12180" s="211"/>
      <c r="E12180" s="211"/>
      <c r="U12180" s="222"/>
    </row>
    <row r="12181" spans="2:21" x14ac:dyDescent="0.2">
      <c r="B12181" s="207"/>
      <c r="C12181" s="210"/>
      <c r="D12181" s="211"/>
      <c r="E12181" s="211"/>
      <c r="U12181" s="222"/>
    </row>
    <row r="12182" spans="2:21" x14ac:dyDescent="0.2">
      <c r="B12182" s="207"/>
      <c r="C12182" s="210"/>
      <c r="D12182" s="211"/>
      <c r="E12182" s="211"/>
      <c r="U12182" s="222"/>
    </row>
    <row r="12183" spans="2:21" x14ac:dyDescent="0.2">
      <c r="B12183" s="207"/>
      <c r="C12183" s="210"/>
      <c r="D12183" s="211"/>
      <c r="E12183" s="211"/>
      <c r="U12183" s="222"/>
    </row>
    <row r="12184" spans="2:21" x14ac:dyDescent="0.2">
      <c r="B12184" s="207"/>
      <c r="C12184" s="210"/>
      <c r="D12184" s="211"/>
      <c r="E12184" s="211"/>
      <c r="U12184" s="222"/>
    </row>
    <row r="12185" spans="2:21" x14ac:dyDescent="0.2">
      <c r="B12185" s="207"/>
      <c r="C12185" s="210"/>
      <c r="D12185" s="211"/>
      <c r="E12185" s="211"/>
      <c r="U12185" s="222"/>
    </row>
    <row r="12186" spans="2:21" x14ac:dyDescent="0.2">
      <c r="B12186" s="207"/>
      <c r="C12186" s="210"/>
      <c r="D12186" s="211"/>
      <c r="E12186" s="211"/>
      <c r="U12186" s="222"/>
    </row>
    <row r="12187" spans="2:21" x14ac:dyDescent="0.2">
      <c r="B12187" s="207"/>
      <c r="C12187" s="210"/>
      <c r="D12187" s="211"/>
      <c r="E12187" s="211"/>
      <c r="U12187" s="222"/>
    </row>
    <row r="12188" spans="2:21" x14ac:dyDescent="0.2">
      <c r="B12188" s="207"/>
      <c r="C12188" s="210"/>
      <c r="D12188" s="211"/>
      <c r="E12188" s="211"/>
      <c r="U12188" s="222"/>
    </row>
    <row r="12189" spans="2:21" x14ac:dyDescent="0.2">
      <c r="B12189" s="207"/>
      <c r="C12189" s="210"/>
      <c r="D12189" s="211"/>
      <c r="E12189" s="211"/>
      <c r="U12189" s="222"/>
    </row>
    <row r="12190" spans="2:21" x14ac:dyDescent="0.2">
      <c r="B12190" s="207"/>
      <c r="C12190" s="210"/>
      <c r="D12190" s="211"/>
      <c r="E12190" s="211"/>
      <c r="U12190" s="222"/>
    </row>
    <row r="12191" spans="2:21" x14ac:dyDescent="0.2">
      <c r="B12191" s="207"/>
      <c r="C12191" s="210"/>
      <c r="D12191" s="211"/>
      <c r="E12191" s="211"/>
      <c r="U12191" s="222"/>
    </row>
    <row r="12192" spans="2:21" x14ac:dyDescent="0.2">
      <c r="B12192" s="207"/>
      <c r="C12192" s="210"/>
      <c r="D12192" s="211"/>
      <c r="E12192" s="211"/>
      <c r="U12192" s="222"/>
    </row>
    <row r="12193" spans="2:21" x14ac:dyDescent="0.2">
      <c r="B12193" s="207"/>
      <c r="C12193" s="210"/>
      <c r="D12193" s="211"/>
      <c r="E12193" s="211"/>
      <c r="U12193" s="222"/>
    </row>
    <row r="12194" spans="2:21" x14ac:dyDescent="0.2">
      <c r="B12194" s="207"/>
      <c r="C12194" s="210"/>
      <c r="D12194" s="211"/>
      <c r="E12194" s="211"/>
      <c r="U12194" s="222"/>
    </row>
    <row r="12195" spans="2:21" x14ac:dyDescent="0.2">
      <c r="B12195" s="207"/>
      <c r="C12195" s="210"/>
      <c r="D12195" s="211"/>
      <c r="E12195" s="211"/>
      <c r="U12195" s="222"/>
    </row>
    <row r="12196" spans="2:21" x14ac:dyDescent="0.2">
      <c r="B12196" s="207"/>
      <c r="C12196" s="210"/>
      <c r="D12196" s="211"/>
      <c r="E12196" s="211"/>
      <c r="U12196" s="222"/>
    </row>
    <row r="12197" spans="2:21" x14ac:dyDescent="0.2">
      <c r="B12197" s="207"/>
      <c r="C12197" s="210"/>
      <c r="D12197" s="211"/>
      <c r="E12197" s="211"/>
      <c r="U12197" s="222"/>
    </row>
    <row r="12198" spans="2:21" x14ac:dyDescent="0.2">
      <c r="B12198" s="207"/>
      <c r="C12198" s="210"/>
      <c r="D12198" s="211"/>
      <c r="E12198" s="211"/>
      <c r="U12198" s="222"/>
    </row>
    <row r="12199" spans="2:21" x14ac:dyDescent="0.2">
      <c r="B12199" s="207"/>
      <c r="C12199" s="210"/>
      <c r="D12199" s="211"/>
      <c r="E12199" s="211"/>
      <c r="U12199" s="222"/>
    </row>
    <row r="12200" spans="2:21" x14ac:dyDescent="0.2">
      <c r="B12200" s="207"/>
      <c r="C12200" s="210"/>
      <c r="D12200" s="211"/>
      <c r="E12200" s="211"/>
      <c r="U12200" s="222"/>
    </row>
    <row r="12201" spans="2:21" x14ac:dyDescent="0.2">
      <c r="B12201" s="207"/>
      <c r="C12201" s="210"/>
      <c r="D12201" s="211"/>
      <c r="E12201" s="211"/>
      <c r="U12201" s="222"/>
    </row>
    <row r="12202" spans="2:21" x14ac:dyDescent="0.2">
      <c r="B12202" s="207"/>
      <c r="C12202" s="210"/>
      <c r="D12202" s="211"/>
      <c r="E12202" s="211"/>
      <c r="U12202" s="222"/>
    </row>
    <row r="12203" spans="2:21" x14ac:dyDescent="0.2">
      <c r="B12203" s="207"/>
      <c r="C12203" s="210"/>
      <c r="D12203" s="211"/>
      <c r="E12203" s="211"/>
      <c r="U12203" s="222"/>
    </row>
    <row r="12204" spans="2:21" x14ac:dyDescent="0.2">
      <c r="B12204" s="207"/>
      <c r="C12204" s="210"/>
      <c r="D12204" s="211"/>
      <c r="E12204" s="211"/>
      <c r="U12204" s="222"/>
    </row>
    <row r="12205" spans="2:21" x14ac:dyDescent="0.2">
      <c r="B12205" s="207"/>
      <c r="C12205" s="210"/>
      <c r="D12205" s="211"/>
      <c r="E12205" s="211"/>
      <c r="U12205" s="222"/>
    </row>
    <row r="12206" spans="2:21" x14ac:dyDescent="0.2">
      <c r="B12206" s="207"/>
      <c r="C12206" s="210"/>
      <c r="D12206" s="211"/>
      <c r="E12206" s="211"/>
      <c r="U12206" s="222"/>
    </row>
    <row r="12207" spans="2:21" x14ac:dyDescent="0.2">
      <c r="B12207" s="207"/>
      <c r="C12207" s="210"/>
      <c r="D12207" s="211"/>
      <c r="E12207" s="211"/>
      <c r="U12207" s="222"/>
    </row>
    <row r="12208" spans="2:21" x14ac:dyDescent="0.2">
      <c r="B12208" s="207"/>
      <c r="C12208" s="210"/>
      <c r="D12208" s="211"/>
      <c r="E12208" s="211"/>
      <c r="U12208" s="222"/>
    </row>
    <row r="12209" spans="2:21" x14ac:dyDescent="0.2">
      <c r="B12209" s="207"/>
      <c r="C12209" s="210"/>
      <c r="D12209" s="211"/>
      <c r="E12209" s="211"/>
      <c r="U12209" s="222"/>
    </row>
    <row r="12210" spans="2:21" x14ac:dyDescent="0.2">
      <c r="B12210" s="207"/>
      <c r="C12210" s="210"/>
      <c r="D12210" s="211"/>
      <c r="E12210" s="211"/>
      <c r="U12210" s="222"/>
    </row>
    <row r="12211" spans="2:21" x14ac:dyDescent="0.2">
      <c r="B12211" s="207"/>
      <c r="C12211" s="210"/>
      <c r="D12211" s="211"/>
      <c r="E12211" s="211"/>
      <c r="U12211" s="222"/>
    </row>
    <row r="12212" spans="2:21" x14ac:dyDescent="0.2">
      <c r="B12212" s="207"/>
      <c r="C12212" s="210"/>
      <c r="D12212" s="211"/>
      <c r="E12212" s="211"/>
      <c r="U12212" s="222"/>
    </row>
    <row r="12213" spans="2:21" x14ac:dyDescent="0.2">
      <c r="B12213" s="207"/>
      <c r="C12213" s="210"/>
      <c r="D12213" s="211"/>
      <c r="E12213" s="211"/>
      <c r="U12213" s="222"/>
    </row>
    <row r="12214" spans="2:21" x14ac:dyDescent="0.2">
      <c r="B12214" s="207"/>
      <c r="C12214" s="210"/>
      <c r="D12214" s="211"/>
      <c r="E12214" s="211"/>
      <c r="U12214" s="222"/>
    </row>
    <row r="12215" spans="2:21" x14ac:dyDescent="0.2">
      <c r="B12215" s="207"/>
      <c r="C12215" s="210"/>
      <c r="D12215" s="211"/>
      <c r="E12215" s="211"/>
      <c r="U12215" s="222"/>
    </row>
    <row r="12216" spans="2:21" x14ac:dyDescent="0.2">
      <c r="B12216" s="207"/>
      <c r="C12216" s="210"/>
      <c r="D12216" s="211"/>
      <c r="E12216" s="211"/>
      <c r="U12216" s="222"/>
    </row>
    <row r="12217" spans="2:21" x14ac:dyDescent="0.2">
      <c r="B12217" s="207"/>
      <c r="C12217" s="210"/>
      <c r="D12217" s="211"/>
      <c r="E12217" s="211"/>
      <c r="U12217" s="222"/>
    </row>
    <row r="12218" spans="2:21" x14ac:dyDescent="0.2">
      <c r="B12218" s="207"/>
      <c r="C12218" s="210"/>
      <c r="D12218" s="211"/>
      <c r="E12218" s="211"/>
      <c r="U12218" s="222"/>
    </row>
    <row r="12219" spans="2:21" x14ac:dyDescent="0.2">
      <c r="B12219" s="207"/>
      <c r="C12219" s="210"/>
      <c r="D12219" s="211"/>
      <c r="E12219" s="211"/>
      <c r="U12219" s="222"/>
    </row>
    <row r="12220" spans="2:21" x14ac:dyDescent="0.2">
      <c r="B12220" s="207"/>
      <c r="C12220" s="210"/>
      <c r="D12220" s="211"/>
      <c r="E12220" s="211"/>
      <c r="U12220" s="222"/>
    </row>
    <row r="12221" spans="2:21" x14ac:dyDescent="0.2">
      <c r="B12221" s="207"/>
      <c r="C12221" s="210"/>
      <c r="D12221" s="211"/>
      <c r="E12221" s="211"/>
      <c r="U12221" s="222"/>
    </row>
    <row r="12222" spans="2:21" x14ac:dyDescent="0.2">
      <c r="B12222" s="207"/>
      <c r="C12222" s="210"/>
      <c r="D12222" s="211"/>
      <c r="E12222" s="211"/>
      <c r="U12222" s="222"/>
    </row>
    <row r="12223" spans="2:21" x14ac:dyDescent="0.2">
      <c r="B12223" s="207"/>
      <c r="C12223" s="210"/>
      <c r="D12223" s="211"/>
      <c r="E12223" s="211"/>
      <c r="U12223" s="222"/>
    </row>
    <row r="12224" spans="2:21" x14ac:dyDescent="0.2">
      <c r="B12224" s="207"/>
      <c r="C12224" s="210"/>
      <c r="D12224" s="211"/>
      <c r="E12224" s="211"/>
      <c r="U12224" s="222"/>
    </row>
    <row r="12225" spans="2:21" x14ac:dyDescent="0.2">
      <c r="B12225" s="207"/>
      <c r="C12225" s="210"/>
      <c r="D12225" s="211"/>
      <c r="E12225" s="211"/>
      <c r="U12225" s="222"/>
    </row>
    <row r="12226" spans="2:21" x14ac:dyDescent="0.2">
      <c r="B12226" s="207"/>
      <c r="C12226" s="210"/>
      <c r="D12226" s="211"/>
      <c r="E12226" s="211"/>
      <c r="U12226" s="222"/>
    </row>
    <row r="12227" spans="2:21" x14ac:dyDescent="0.2">
      <c r="B12227" s="207"/>
      <c r="C12227" s="210"/>
      <c r="D12227" s="211"/>
      <c r="E12227" s="211"/>
      <c r="U12227" s="222"/>
    </row>
    <row r="12228" spans="2:21" x14ac:dyDescent="0.2">
      <c r="B12228" s="207"/>
      <c r="C12228" s="210"/>
      <c r="D12228" s="211"/>
      <c r="E12228" s="211"/>
      <c r="U12228" s="222"/>
    </row>
    <row r="12229" spans="2:21" x14ac:dyDescent="0.2">
      <c r="B12229" s="207"/>
      <c r="C12229" s="210"/>
      <c r="D12229" s="211"/>
      <c r="E12229" s="211"/>
      <c r="U12229" s="222"/>
    </row>
    <row r="12230" spans="2:21" x14ac:dyDescent="0.2">
      <c r="B12230" s="207"/>
      <c r="C12230" s="210"/>
      <c r="D12230" s="211"/>
      <c r="E12230" s="211"/>
      <c r="U12230" s="222"/>
    </row>
    <row r="12231" spans="2:21" x14ac:dyDescent="0.2">
      <c r="B12231" s="207"/>
      <c r="C12231" s="210"/>
      <c r="D12231" s="211"/>
      <c r="E12231" s="211"/>
      <c r="U12231" s="222"/>
    </row>
    <row r="12232" spans="2:21" x14ac:dyDescent="0.2">
      <c r="B12232" s="207"/>
      <c r="C12232" s="210"/>
      <c r="D12232" s="211"/>
      <c r="E12232" s="211"/>
      <c r="U12232" s="222"/>
    </row>
    <row r="12233" spans="2:21" x14ac:dyDescent="0.2">
      <c r="B12233" s="207"/>
      <c r="C12233" s="210"/>
      <c r="D12233" s="211"/>
      <c r="E12233" s="211"/>
      <c r="U12233" s="222"/>
    </row>
    <row r="12234" spans="2:21" x14ac:dyDescent="0.2">
      <c r="B12234" s="207"/>
      <c r="C12234" s="210"/>
      <c r="D12234" s="211"/>
      <c r="E12234" s="211"/>
      <c r="U12234" s="222"/>
    </row>
    <row r="12235" spans="2:21" x14ac:dyDescent="0.2">
      <c r="B12235" s="207"/>
      <c r="C12235" s="210"/>
      <c r="D12235" s="211"/>
      <c r="E12235" s="211"/>
      <c r="U12235" s="222"/>
    </row>
    <row r="12236" spans="2:21" x14ac:dyDescent="0.2">
      <c r="B12236" s="207"/>
      <c r="C12236" s="210"/>
      <c r="D12236" s="211"/>
      <c r="E12236" s="211"/>
      <c r="U12236" s="222"/>
    </row>
    <row r="12237" spans="2:21" x14ac:dyDescent="0.2">
      <c r="B12237" s="207"/>
      <c r="C12237" s="210"/>
      <c r="D12237" s="211"/>
      <c r="E12237" s="211"/>
      <c r="U12237" s="222"/>
    </row>
    <row r="12238" spans="2:21" x14ac:dyDescent="0.2">
      <c r="B12238" s="207"/>
      <c r="C12238" s="210"/>
      <c r="D12238" s="211"/>
      <c r="E12238" s="211"/>
      <c r="U12238" s="222"/>
    </row>
    <row r="12239" spans="2:21" x14ac:dyDescent="0.2">
      <c r="B12239" s="207"/>
      <c r="C12239" s="210"/>
      <c r="D12239" s="211"/>
      <c r="E12239" s="211"/>
      <c r="U12239" s="222"/>
    </row>
    <row r="12240" spans="2:21" x14ac:dyDescent="0.2">
      <c r="B12240" s="207"/>
      <c r="C12240" s="210"/>
      <c r="D12240" s="211"/>
      <c r="E12240" s="211"/>
      <c r="U12240" s="222"/>
    </row>
    <row r="12241" spans="2:21" x14ac:dyDescent="0.2">
      <c r="B12241" s="207"/>
      <c r="C12241" s="210"/>
      <c r="D12241" s="211"/>
      <c r="E12241" s="211"/>
      <c r="U12241" s="222"/>
    </row>
    <row r="12242" spans="2:21" x14ac:dyDescent="0.2">
      <c r="B12242" s="207"/>
      <c r="C12242" s="210"/>
      <c r="D12242" s="211"/>
      <c r="E12242" s="211"/>
      <c r="U12242" s="222"/>
    </row>
    <row r="12243" spans="2:21" x14ac:dyDescent="0.2">
      <c r="B12243" s="207"/>
      <c r="C12243" s="210"/>
      <c r="D12243" s="211"/>
      <c r="E12243" s="211"/>
      <c r="U12243" s="222"/>
    </row>
    <row r="12244" spans="2:21" x14ac:dyDescent="0.2">
      <c r="B12244" s="207"/>
      <c r="C12244" s="210"/>
      <c r="D12244" s="211"/>
      <c r="E12244" s="211"/>
      <c r="U12244" s="222"/>
    </row>
    <row r="12245" spans="2:21" x14ac:dyDescent="0.2">
      <c r="B12245" s="207"/>
      <c r="C12245" s="210"/>
      <c r="D12245" s="211"/>
      <c r="E12245" s="211"/>
      <c r="U12245" s="222"/>
    </row>
    <row r="12246" spans="2:21" x14ac:dyDescent="0.2">
      <c r="B12246" s="207"/>
      <c r="C12246" s="210"/>
      <c r="D12246" s="211"/>
      <c r="E12246" s="211"/>
      <c r="U12246" s="222"/>
    </row>
    <row r="12247" spans="2:21" x14ac:dyDescent="0.2">
      <c r="B12247" s="207"/>
      <c r="C12247" s="210"/>
      <c r="D12247" s="211"/>
      <c r="E12247" s="211"/>
      <c r="U12247" s="222"/>
    </row>
    <row r="12248" spans="2:21" x14ac:dyDescent="0.2">
      <c r="B12248" s="207"/>
      <c r="C12248" s="210"/>
      <c r="D12248" s="211"/>
      <c r="E12248" s="211"/>
      <c r="U12248" s="222"/>
    </row>
    <row r="12249" spans="2:21" x14ac:dyDescent="0.2">
      <c r="B12249" s="207"/>
      <c r="C12249" s="210"/>
      <c r="D12249" s="211"/>
      <c r="E12249" s="211"/>
      <c r="U12249" s="222"/>
    </row>
    <row r="12250" spans="2:21" x14ac:dyDescent="0.2">
      <c r="B12250" s="207"/>
      <c r="C12250" s="210"/>
      <c r="D12250" s="211"/>
      <c r="E12250" s="211"/>
      <c r="U12250" s="222"/>
    </row>
    <row r="12251" spans="2:21" x14ac:dyDescent="0.2">
      <c r="B12251" s="207"/>
      <c r="C12251" s="210"/>
      <c r="D12251" s="211"/>
      <c r="E12251" s="211"/>
      <c r="U12251" s="222"/>
    </row>
    <row r="12252" spans="2:21" x14ac:dyDescent="0.2">
      <c r="B12252" s="207"/>
      <c r="C12252" s="210"/>
      <c r="D12252" s="211"/>
      <c r="E12252" s="211"/>
      <c r="U12252" s="222"/>
    </row>
    <row r="12253" spans="2:21" x14ac:dyDescent="0.2">
      <c r="B12253" s="207"/>
      <c r="C12253" s="210"/>
      <c r="D12253" s="211"/>
      <c r="E12253" s="211"/>
      <c r="U12253" s="222"/>
    </row>
    <row r="12254" spans="2:21" x14ac:dyDescent="0.2">
      <c r="B12254" s="207"/>
      <c r="C12254" s="210"/>
      <c r="D12254" s="211"/>
      <c r="E12254" s="211"/>
      <c r="U12254" s="222"/>
    </row>
    <row r="12255" spans="2:21" x14ac:dyDescent="0.2">
      <c r="B12255" s="207"/>
      <c r="C12255" s="210"/>
      <c r="D12255" s="211"/>
      <c r="E12255" s="211"/>
      <c r="U12255" s="222"/>
    </row>
    <row r="12256" spans="2:21" x14ac:dyDescent="0.2">
      <c r="B12256" s="207"/>
      <c r="C12256" s="210"/>
      <c r="D12256" s="211"/>
      <c r="E12256" s="211"/>
      <c r="U12256" s="222"/>
    </row>
    <row r="12257" spans="2:21" x14ac:dyDescent="0.2">
      <c r="B12257" s="207"/>
      <c r="C12257" s="210"/>
      <c r="D12257" s="211"/>
      <c r="E12257" s="211"/>
      <c r="U12257" s="222"/>
    </row>
    <row r="12258" spans="2:21" x14ac:dyDescent="0.2">
      <c r="B12258" s="207"/>
      <c r="C12258" s="210"/>
      <c r="D12258" s="211"/>
      <c r="E12258" s="211"/>
      <c r="U12258" s="222"/>
    </row>
    <row r="12259" spans="2:21" x14ac:dyDescent="0.2">
      <c r="B12259" s="207"/>
      <c r="C12259" s="210"/>
      <c r="D12259" s="211"/>
      <c r="E12259" s="211"/>
      <c r="U12259" s="222"/>
    </row>
    <row r="12260" spans="2:21" x14ac:dyDescent="0.2">
      <c r="B12260" s="207"/>
      <c r="C12260" s="210"/>
      <c r="D12260" s="211"/>
      <c r="E12260" s="211"/>
      <c r="U12260" s="222"/>
    </row>
    <row r="12261" spans="2:21" x14ac:dyDescent="0.2">
      <c r="B12261" s="207"/>
      <c r="C12261" s="210"/>
      <c r="D12261" s="211"/>
      <c r="E12261" s="211"/>
      <c r="U12261" s="222"/>
    </row>
    <row r="12262" spans="2:21" x14ac:dyDescent="0.2">
      <c r="B12262" s="207"/>
      <c r="C12262" s="210"/>
      <c r="D12262" s="211"/>
      <c r="E12262" s="211"/>
      <c r="U12262" s="222"/>
    </row>
    <row r="12263" spans="2:21" x14ac:dyDescent="0.2">
      <c r="B12263" s="207"/>
      <c r="C12263" s="210"/>
      <c r="D12263" s="211"/>
      <c r="E12263" s="211"/>
      <c r="U12263" s="222"/>
    </row>
    <row r="12264" spans="2:21" x14ac:dyDescent="0.2">
      <c r="B12264" s="207"/>
      <c r="C12264" s="210"/>
      <c r="D12264" s="211"/>
      <c r="E12264" s="211"/>
      <c r="U12264" s="222"/>
    </row>
    <row r="12265" spans="2:21" x14ac:dyDescent="0.2">
      <c r="B12265" s="207"/>
      <c r="C12265" s="210"/>
      <c r="D12265" s="211"/>
      <c r="E12265" s="211"/>
      <c r="U12265" s="222"/>
    </row>
    <row r="12266" spans="2:21" x14ac:dyDescent="0.2">
      <c r="B12266" s="207"/>
      <c r="C12266" s="210"/>
      <c r="D12266" s="211"/>
      <c r="E12266" s="211"/>
      <c r="U12266" s="222"/>
    </row>
    <row r="12267" spans="2:21" x14ac:dyDescent="0.2">
      <c r="B12267" s="207"/>
      <c r="C12267" s="210"/>
      <c r="D12267" s="211"/>
      <c r="E12267" s="211"/>
      <c r="U12267" s="222"/>
    </row>
    <row r="12268" spans="2:21" x14ac:dyDescent="0.2">
      <c r="B12268" s="207"/>
      <c r="C12268" s="210"/>
      <c r="D12268" s="211"/>
      <c r="E12268" s="211"/>
      <c r="U12268" s="222"/>
    </row>
    <row r="12269" spans="2:21" x14ac:dyDescent="0.2">
      <c r="B12269" s="207"/>
      <c r="C12269" s="210"/>
      <c r="D12269" s="211"/>
      <c r="E12269" s="211"/>
      <c r="U12269" s="222"/>
    </row>
    <row r="12270" spans="2:21" x14ac:dyDescent="0.2">
      <c r="B12270" s="207"/>
      <c r="C12270" s="210"/>
      <c r="D12270" s="211"/>
      <c r="E12270" s="211"/>
      <c r="U12270" s="222"/>
    </row>
    <row r="12271" spans="2:21" x14ac:dyDescent="0.2">
      <c r="B12271" s="207"/>
      <c r="C12271" s="210"/>
      <c r="D12271" s="211"/>
      <c r="E12271" s="211"/>
      <c r="U12271" s="222"/>
    </row>
    <row r="12272" spans="2:21" x14ac:dyDescent="0.2">
      <c r="B12272" s="207"/>
      <c r="C12272" s="210"/>
      <c r="D12272" s="211"/>
      <c r="E12272" s="211"/>
      <c r="U12272" s="222"/>
    </row>
    <row r="12273" spans="2:21" x14ac:dyDescent="0.2">
      <c r="B12273" s="207"/>
      <c r="C12273" s="210"/>
      <c r="D12273" s="211"/>
      <c r="E12273" s="211"/>
      <c r="U12273" s="222"/>
    </row>
    <row r="12274" spans="2:21" x14ac:dyDescent="0.2">
      <c r="B12274" s="207"/>
      <c r="C12274" s="210"/>
      <c r="D12274" s="211"/>
      <c r="E12274" s="211"/>
      <c r="U12274" s="222"/>
    </row>
    <row r="12275" spans="2:21" x14ac:dyDescent="0.2">
      <c r="B12275" s="207"/>
      <c r="C12275" s="210"/>
      <c r="D12275" s="211"/>
      <c r="E12275" s="211"/>
      <c r="U12275" s="222"/>
    </row>
    <row r="12276" spans="2:21" x14ac:dyDescent="0.2">
      <c r="B12276" s="207"/>
      <c r="C12276" s="210"/>
      <c r="D12276" s="211"/>
      <c r="E12276" s="211"/>
      <c r="U12276" s="222"/>
    </row>
    <row r="12277" spans="2:21" x14ac:dyDescent="0.2">
      <c r="B12277" s="207"/>
      <c r="C12277" s="210"/>
      <c r="D12277" s="211"/>
      <c r="E12277" s="211"/>
      <c r="U12277" s="222"/>
    </row>
    <row r="12278" spans="2:21" x14ac:dyDescent="0.2">
      <c r="B12278" s="207"/>
      <c r="C12278" s="210"/>
      <c r="D12278" s="211"/>
      <c r="E12278" s="211"/>
      <c r="U12278" s="222"/>
    </row>
    <row r="12279" spans="2:21" x14ac:dyDescent="0.2">
      <c r="B12279" s="207"/>
      <c r="C12279" s="210"/>
      <c r="D12279" s="211"/>
      <c r="E12279" s="211"/>
      <c r="U12279" s="222"/>
    </row>
    <row r="12280" spans="2:21" x14ac:dyDescent="0.2">
      <c r="B12280" s="207"/>
      <c r="C12280" s="210"/>
      <c r="D12280" s="211"/>
      <c r="E12280" s="211"/>
      <c r="U12280" s="222"/>
    </row>
    <row r="12281" spans="2:21" x14ac:dyDescent="0.2">
      <c r="B12281" s="207"/>
      <c r="C12281" s="210"/>
      <c r="D12281" s="211"/>
      <c r="E12281" s="211"/>
      <c r="U12281" s="222"/>
    </row>
    <row r="12282" spans="2:21" x14ac:dyDescent="0.2">
      <c r="B12282" s="207"/>
      <c r="C12282" s="210"/>
      <c r="D12282" s="211"/>
      <c r="E12282" s="211"/>
      <c r="U12282" s="222"/>
    </row>
    <row r="12283" spans="2:21" x14ac:dyDescent="0.2">
      <c r="B12283" s="207"/>
      <c r="C12283" s="210"/>
      <c r="D12283" s="211"/>
      <c r="E12283" s="211"/>
      <c r="U12283" s="222"/>
    </row>
    <row r="12284" spans="2:21" x14ac:dyDescent="0.2">
      <c r="B12284" s="207"/>
      <c r="C12284" s="210"/>
      <c r="D12284" s="211"/>
      <c r="E12284" s="211"/>
      <c r="U12284" s="222"/>
    </row>
    <row r="12285" spans="2:21" x14ac:dyDescent="0.2">
      <c r="B12285" s="207"/>
      <c r="C12285" s="210"/>
      <c r="D12285" s="211"/>
      <c r="E12285" s="211"/>
      <c r="U12285" s="222"/>
    </row>
    <row r="12286" spans="2:21" x14ac:dyDescent="0.2">
      <c r="B12286" s="207"/>
      <c r="C12286" s="210"/>
      <c r="D12286" s="211"/>
      <c r="E12286" s="211"/>
      <c r="U12286" s="222"/>
    </row>
    <row r="12287" spans="2:21" x14ac:dyDescent="0.2">
      <c r="B12287" s="207"/>
      <c r="C12287" s="210"/>
      <c r="D12287" s="211"/>
      <c r="E12287" s="211"/>
      <c r="U12287" s="222"/>
    </row>
    <row r="12288" spans="2:21" x14ac:dyDescent="0.2">
      <c r="B12288" s="207"/>
      <c r="C12288" s="210"/>
      <c r="D12288" s="211"/>
      <c r="E12288" s="211"/>
      <c r="U12288" s="222"/>
    </row>
    <row r="12289" spans="2:21" x14ac:dyDescent="0.2">
      <c r="B12289" s="207"/>
      <c r="C12289" s="210"/>
      <c r="D12289" s="211"/>
      <c r="E12289" s="211"/>
      <c r="U12289" s="222"/>
    </row>
    <row r="12290" spans="2:21" x14ac:dyDescent="0.2">
      <c r="B12290" s="207"/>
      <c r="C12290" s="210"/>
      <c r="D12290" s="211"/>
      <c r="E12290" s="211"/>
      <c r="U12290" s="222"/>
    </row>
    <row r="12291" spans="2:21" x14ac:dyDescent="0.2">
      <c r="B12291" s="207"/>
      <c r="C12291" s="210"/>
      <c r="D12291" s="211"/>
      <c r="E12291" s="211"/>
      <c r="U12291" s="222"/>
    </row>
    <row r="12292" spans="2:21" x14ac:dyDescent="0.2">
      <c r="B12292" s="207"/>
      <c r="C12292" s="210"/>
      <c r="D12292" s="211"/>
      <c r="E12292" s="211"/>
      <c r="U12292" s="222"/>
    </row>
    <row r="12293" spans="2:21" x14ac:dyDescent="0.2">
      <c r="B12293" s="207"/>
      <c r="C12293" s="210"/>
      <c r="D12293" s="211"/>
      <c r="E12293" s="211"/>
      <c r="U12293" s="222"/>
    </row>
    <row r="12294" spans="2:21" x14ac:dyDescent="0.2">
      <c r="B12294" s="207"/>
      <c r="C12294" s="210"/>
      <c r="D12294" s="211"/>
      <c r="E12294" s="211"/>
      <c r="U12294" s="222"/>
    </row>
    <row r="12295" spans="2:21" x14ac:dyDescent="0.2">
      <c r="B12295" s="207"/>
      <c r="C12295" s="210"/>
      <c r="D12295" s="211"/>
      <c r="E12295" s="211"/>
      <c r="U12295" s="222"/>
    </row>
    <row r="12296" spans="2:21" x14ac:dyDescent="0.2">
      <c r="B12296" s="207"/>
      <c r="C12296" s="210"/>
      <c r="D12296" s="211"/>
      <c r="E12296" s="211"/>
      <c r="U12296" s="222"/>
    </row>
    <row r="12297" spans="2:21" x14ac:dyDescent="0.2">
      <c r="B12297" s="207"/>
      <c r="C12297" s="210"/>
      <c r="D12297" s="211"/>
      <c r="E12297" s="211"/>
      <c r="U12297" s="222"/>
    </row>
    <row r="12298" spans="2:21" x14ac:dyDescent="0.2">
      <c r="B12298" s="207"/>
      <c r="C12298" s="210"/>
      <c r="D12298" s="211"/>
      <c r="E12298" s="211"/>
      <c r="U12298" s="222"/>
    </row>
    <row r="12299" spans="2:21" x14ac:dyDescent="0.2">
      <c r="B12299" s="207"/>
      <c r="C12299" s="210"/>
      <c r="D12299" s="211"/>
      <c r="E12299" s="211"/>
      <c r="U12299" s="222"/>
    </row>
    <row r="12300" spans="2:21" x14ac:dyDescent="0.2">
      <c r="B12300" s="207"/>
      <c r="C12300" s="210"/>
      <c r="D12300" s="211"/>
      <c r="E12300" s="211"/>
      <c r="U12300" s="222"/>
    </row>
    <row r="12301" spans="2:21" x14ac:dyDescent="0.2">
      <c r="B12301" s="207"/>
      <c r="C12301" s="210"/>
      <c r="D12301" s="211"/>
      <c r="E12301" s="211"/>
      <c r="U12301" s="222"/>
    </row>
    <row r="12302" spans="2:21" x14ac:dyDescent="0.2">
      <c r="B12302" s="207"/>
      <c r="C12302" s="210"/>
      <c r="D12302" s="211"/>
      <c r="E12302" s="211"/>
      <c r="U12302" s="222"/>
    </row>
    <row r="12303" spans="2:21" x14ac:dyDescent="0.2">
      <c r="B12303" s="207"/>
      <c r="C12303" s="210"/>
      <c r="D12303" s="211"/>
      <c r="E12303" s="211"/>
      <c r="U12303" s="222"/>
    </row>
    <row r="12304" spans="2:21" x14ac:dyDescent="0.2">
      <c r="B12304" s="207"/>
      <c r="C12304" s="210"/>
      <c r="D12304" s="211"/>
      <c r="E12304" s="211"/>
      <c r="U12304" s="222"/>
    </row>
    <row r="12305" spans="2:21" x14ac:dyDescent="0.2">
      <c r="B12305" s="207"/>
      <c r="C12305" s="210"/>
      <c r="D12305" s="211"/>
      <c r="E12305" s="211"/>
      <c r="U12305" s="222"/>
    </row>
    <row r="12306" spans="2:21" x14ac:dyDescent="0.2">
      <c r="B12306" s="207"/>
      <c r="C12306" s="210"/>
      <c r="D12306" s="211"/>
      <c r="E12306" s="211"/>
      <c r="U12306" s="222"/>
    </row>
    <row r="12307" spans="2:21" x14ac:dyDescent="0.2">
      <c r="B12307" s="207"/>
      <c r="C12307" s="210"/>
      <c r="D12307" s="211"/>
      <c r="E12307" s="211"/>
      <c r="U12307" s="222"/>
    </row>
    <row r="12308" spans="2:21" x14ac:dyDescent="0.2">
      <c r="B12308" s="207"/>
      <c r="C12308" s="210"/>
      <c r="D12308" s="211"/>
      <c r="E12308" s="211"/>
      <c r="U12308" s="222"/>
    </row>
    <row r="12309" spans="2:21" x14ac:dyDescent="0.2">
      <c r="B12309" s="207"/>
      <c r="C12309" s="210"/>
      <c r="D12309" s="211"/>
      <c r="E12309" s="211"/>
      <c r="U12309" s="222"/>
    </row>
    <row r="12310" spans="2:21" x14ac:dyDescent="0.2">
      <c r="B12310" s="207"/>
      <c r="C12310" s="210"/>
      <c r="D12310" s="211"/>
      <c r="E12310" s="211"/>
      <c r="U12310" s="222"/>
    </row>
    <row r="12311" spans="2:21" x14ac:dyDescent="0.2">
      <c r="B12311" s="207"/>
      <c r="C12311" s="210"/>
      <c r="D12311" s="211"/>
      <c r="E12311" s="211"/>
      <c r="U12311" s="222"/>
    </row>
    <row r="12312" spans="2:21" x14ac:dyDescent="0.2">
      <c r="B12312" s="207"/>
      <c r="C12312" s="210"/>
      <c r="D12312" s="211"/>
      <c r="E12312" s="211"/>
      <c r="U12312" s="222"/>
    </row>
    <row r="12313" spans="2:21" x14ac:dyDescent="0.2">
      <c r="B12313" s="207"/>
      <c r="C12313" s="210"/>
      <c r="D12313" s="211"/>
      <c r="E12313" s="211"/>
      <c r="U12313" s="222"/>
    </row>
    <row r="12314" spans="2:21" x14ac:dyDescent="0.2">
      <c r="B12314" s="207"/>
      <c r="C12314" s="210"/>
      <c r="D12314" s="211"/>
      <c r="E12314" s="211"/>
      <c r="U12314" s="222"/>
    </row>
    <row r="12315" spans="2:21" x14ac:dyDescent="0.2">
      <c r="B12315" s="207"/>
      <c r="C12315" s="210"/>
      <c r="D12315" s="211"/>
      <c r="E12315" s="211"/>
      <c r="U12315" s="222"/>
    </row>
    <row r="12316" spans="2:21" x14ac:dyDescent="0.2">
      <c r="B12316" s="207"/>
      <c r="C12316" s="210"/>
      <c r="D12316" s="211"/>
      <c r="E12316" s="211"/>
      <c r="U12316" s="222"/>
    </row>
    <row r="12317" spans="2:21" x14ac:dyDescent="0.2">
      <c r="B12317" s="207"/>
      <c r="C12317" s="210"/>
      <c r="D12317" s="211"/>
      <c r="E12317" s="211"/>
      <c r="U12317" s="222"/>
    </row>
    <row r="12318" spans="2:21" x14ac:dyDescent="0.2">
      <c r="B12318" s="207"/>
      <c r="C12318" s="210"/>
      <c r="D12318" s="211"/>
      <c r="E12318" s="211"/>
      <c r="U12318" s="222"/>
    </row>
    <row r="12319" spans="2:21" x14ac:dyDescent="0.2">
      <c r="B12319" s="207"/>
      <c r="C12319" s="210"/>
      <c r="D12319" s="211"/>
      <c r="E12319" s="211"/>
      <c r="U12319" s="222"/>
    </row>
    <row r="12320" spans="2:21" x14ac:dyDescent="0.2">
      <c r="B12320" s="207"/>
      <c r="C12320" s="210"/>
      <c r="D12320" s="211"/>
      <c r="E12320" s="211"/>
      <c r="U12320" s="222"/>
    </row>
    <row r="12321" spans="2:21" x14ac:dyDescent="0.2">
      <c r="B12321" s="207"/>
      <c r="C12321" s="210"/>
      <c r="D12321" s="211"/>
      <c r="E12321" s="211"/>
      <c r="U12321" s="222"/>
    </row>
    <row r="12322" spans="2:21" x14ac:dyDescent="0.2">
      <c r="B12322" s="207"/>
      <c r="C12322" s="210"/>
      <c r="D12322" s="211"/>
      <c r="E12322" s="211"/>
      <c r="U12322" s="222"/>
    </row>
    <row r="12323" spans="2:21" x14ac:dyDescent="0.2">
      <c r="B12323" s="207"/>
      <c r="C12323" s="210"/>
      <c r="D12323" s="211"/>
      <c r="E12323" s="211"/>
      <c r="U12323" s="222"/>
    </row>
    <row r="12324" spans="2:21" x14ac:dyDescent="0.2">
      <c r="B12324" s="207"/>
      <c r="C12324" s="210"/>
      <c r="D12324" s="211"/>
      <c r="E12324" s="211"/>
      <c r="U12324" s="222"/>
    </row>
    <row r="12325" spans="2:21" x14ac:dyDescent="0.2">
      <c r="B12325" s="207"/>
      <c r="C12325" s="210"/>
      <c r="D12325" s="211"/>
      <c r="E12325" s="211"/>
      <c r="U12325" s="222"/>
    </row>
    <row r="12326" spans="2:21" x14ac:dyDescent="0.2">
      <c r="B12326" s="207"/>
      <c r="C12326" s="210"/>
      <c r="D12326" s="211"/>
      <c r="E12326" s="211"/>
      <c r="U12326" s="222"/>
    </row>
    <row r="12327" spans="2:21" x14ac:dyDescent="0.2">
      <c r="B12327" s="207"/>
      <c r="C12327" s="210"/>
      <c r="D12327" s="211"/>
      <c r="E12327" s="211"/>
      <c r="U12327" s="222"/>
    </row>
    <row r="12328" spans="2:21" x14ac:dyDescent="0.2">
      <c r="B12328" s="207"/>
      <c r="C12328" s="210"/>
      <c r="D12328" s="211"/>
      <c r="E12328" s="211"/>
      <c r="U12328" s="222"/>
    </row>
    <row r="12329" spans="2:21" x14ac:dyDescent="0.2">
      <c r="B12329" s="207"/>
      <c r="C12329" s="210"/>
      <c r="D12329" s="211"/>
      <c r="E12329" s="211"/>
      <c r="U12329" s="222"/>
    </row>
    <row r="12330" spans="2:21" x14ac:dyDescent="0.2">
      <c r="B12330" s="207"/>
      <c r="C12330" s="210"/>
      <c r="D12330" s="211"/>
      <c r="E12330" s="211"/>
      <c r="U12330" s="222"/>
    </row>
    <row r="12331" spans="2:21" x14ac:dyDescent="0.2">
      <c r="B12331" s="207"/>
      <c r="C12331" s="210"/>
      <c r="D12331" s="211"/>
      <c r="E12331" s="211"/>
      <c r="U12331" s="222"/>
    </row>
    <row r="12332" spans="2:21" x14ac:dyDescent="0.2">
      <c r="B12332" s="207"/>
      <c r="C12332" s="210"/>
      <c r="D12332" s="211"/>
      <c r="E12332" s="211"/>
      <c r="U12332" s="222"/>
    </row>
    <row r="12333" spans="2:21" x14ac:dyDescent="0.2">
      <c r="B12333" s="207"/>
      <c r="C12333" s="210"/>
      <c r="D12333" s="211"/>
      <c r="E12333" s="211"/>
      <c r="U12333" s="222"/>
    </row>
    <row r="12334" spans="2:21" x14ac:dyDescent="0.2">
      <c r="B12334" s="207"/>
      <c r="C12334" s="210"/>
      <c r="D12334" s="211"/>
      <c r="E12334" s="211"/>
      <c r="U12334" s="222"/>
    </row>
    <row r="12335" spans="2:21" x14ac:dyDescent="0.2">
      <c r="B12335" s="207"/>
      <c r="C12335" s="210"/>
      <c r="D12335" s="211"/>
      <c r="E12335" s="211"/>
      <c r="U12335" s="222"/>
    </row>
    <row r="12336" spans="2:21" x14ac:dyDescent="0.2">
      <c r="B12336" s="207"/>
      <c r="C12336" s="210"/>
      <c r="D12336" s="211"/>
      <c r="E12336" s="211"/>
      <c r="U12336" s="222"/>
    </row>
    <row r="12337" spans="2:21" x14ac:dyDescent="0.2">
      <c r="B12337" s="207"/>
      <c r="C12337" s="210"/>
      <c r="D12337" s="211"/>
      <c r="E12337" s="211"/>
      <c r="U12337" s="222"/>
    </row>
    <row r="12338" spans="2:21" x14ac:dyDescent="0.2">
      <c r="B12338" s="207"/>
      <c r="C12338" s="210"/>
      <c r="D12338" s="211"/>
      <c r="E12338" s="211"/>
      <c r="U12338" s="222"/>
    </row>
    <row r="12339" spans="2:21" x14ac:dyDescent="0.2">
      <c r="B12339" s="207"/>
      <c r="C12339" s="210"/>
      <c r="D12339" s="211"/>
      <c r="E12339" s="211"/>
      <c r="U12339" s="222"/>
    </row>
    <row r="12340" spans="2:21" x14ac:dyDescent="0.2">
      <c r="B12340" s="207"/>
      <c r="C12340" s="210"/>
      <c r="D12340" s="211"/>
      <c r="E12340" s="211"/>
      <c r="U12340" s="222"/>
    </row>
    <row r="12341" spans="2:21" x14ac:dyDescent="0.2">
      <c r="B12341" s="207"/>
      <c r="C12341" s="210"/>
      <c r="D12341" s="211"/>
      <c r="E12341" s="211"/>
      <c r="U12341" s="222"/>
    </row>
    <row r="12342" spans="2:21" x14ac:dyDescent="0.2">
      <c r="B12342" s="207"/>
      <c r="C12342" s="210"/>
      <c r="D12342" s="211"/>
      <c r="E12342" s="211"/>
      <c r="U12342" s="222"/>
    </row>
    <row r="12343" spans="2:21" x14ac:dyDescent="0.2">
      <c r="B12343" s="207"/>
      <c r="C12343" s="210"/>
      <c r="D12343" s="211"/>
      <c r="E12343" s="211"/>
      <c r="U12343" s="222"/>
    </row>
    <row r="12344" spans="2:21" x14ac:dyDescent="0.2">
      <c r="B12344" s="207"/>
      <c r="C12344" s="210"/>
      <c r="D12344" s="211"/>
      <c r="E12344" s="211"/>
      <c r="U12344" s="222"/>
    </row>
    <row r="12345" spans="2:21" x14ac:dyDescent="0.2">
      <c r="B12345" s="207"/>
      <c r="C12345" s="210"/>
      <c r="D12345" s="211"/>
      <c r="E12345" s="211"/>
      <c r="U12345" s="222"/>
    </row>
    <row r="12346" spans="2:21" x14ac:dyDescent="0.2">
      <c r="B12346" s="207"/>
      <c r="C12346" s="210"/>
      <c r="D12346" s="211"/>
      <c r="E12346" s="211"/>
      <c r="U12346" s="222"/>
    </row>
    <row r="12347" spans="2:21" x14ac:dyDescent="0.2">
      <c r="B12347" s="207"/>
      <c r="C12347" s="210"/>
      <c r="D12347" s="211"/>
      <c r="E12347" s="211"/>
      <c r="U12347" s="222"/>
    </row>
    <row r="12348" spans="2:21" x14ac:dyDescent="0.2">
      <c r="B12348" s="207"/>
      <c r="C12348" s="210"/>
      <c r="D12348" s="211"/>
      <c r="E12348" s="211"/>
      <c r="U12348" s="222"/>
    </row>
    <row r="12349" spans="2:21" x14ac:dyDescent="0.2">
      <c r="B12349" s="207"/>
      <c r="C12349" s="210"/>
      <c r="D12349" s="211"/>
      <c r="E12349" s="211"/>
      <c r="U12349" s="222"/>
    </row>
    <row r="12350" spans="2:21" x14ac:dyDescent="0.2">
      <c r="B12350" s="207"/>
      <c r="C12350" s="210"/>
      <c r="D12350" s="211"/>
      <c r="E12350" s="211"/>
      <c r="U12350" s="222"/>
    </row>
    <row r="12351" spans="2:21" x14ac:dyDescent="0.2">
      <c r="B12351" s="207"/>
      <c r="C12351" s="210"/>
      <c r="D12351" s="211"/>
      <c r="E12351" s="211"/>
      <c r="U12351" s="222"/>
    </row>
    <row r="12352" spans="2:21" x14ac:dyDescent="0.2">
      <c r="B12352" s="207"/>
      <c r="C12352" s="210"/>
      <c r="D12352" s="211"/>
      <c r="E12352" s="211"/>
      <c r="U12352" s="222"/>
    </row>
    <row r="12353" spans="2:21" x14ac:dyDescent="0.2">
      <c r="B12353" s="207"/>
      <c r="C12353" s="210"/>
      <c r="D12353" s="211"/>
      <c r="E12353" s="211"/>
      <c r="U12353" s="222"/>
    </row>
    <row r="12354" spans="2:21" x14ac:dyDescent="0.2">
      <c r="B12354" s="207"/>
      <c r="C12354" s="210"/>
      <c r="D12354" s="211"/>
      <c r="E12354" s="211"/>
      <c r="U12354" s="222"/>
    </row>
    <row r="12355" spans="2:21" x14ac:dyDescent="0.2">
      <c r="B12355" s="207"/>
      <c r="C12355" s="210"/>
      <c r="D12355" s="211"/>
      <c r="E12355" s="211"/>
      <c r="U12355" s="222"/>
    </row>
    <row r="12356" spans="2:21" x14ac:dyDescent="0.2">
      <c r="B12356" s="207"/>
      <c r="C12356" s="210"/>
      <c r="D12356" s="211"/>
      <c r="E12356" s="211"/>
      <c r="U12356" s="222"/>
    </row>
    <row r="12357" spans="2:21" x14ac:dyDescent="0.2">
      <c r="B12357" s="207"/>
      <c r="C12357" s="210"/>
      <c r="D12357" s="211"/>
      <c r="E12357" s="211"/>
      <c r="U12357" s="222"/>
    </row>
    <row r="12358" spans="2:21" x14ac:dyDescent="0.2">
      <c r="B12358" s="207"/>
      <c r="C12358" s="210"/>
      <c r="D12358" s="211"/>
      <c r="E12358" s="211"/>
      <c r="U12358" s="222"/>
    </row>
    <row r="12359" spans="2:21" x14ac:dyDescent="0.2">
      <c r="B12359" s="207"/>
      <c r="C12359" s="210"/>
      <c r="D12359" s="211"/>
      <c r="E12359" s="211"/>
      <c r="U12359" s="222"/>
    </row>
    <row r="12360" spans="2:21" x14ac:dyDescent="0.2">
      <c r="B12360" s="207"/>
      <c r="C12360" s="210"/>
      <c r="D12360" s="211"/>
      <c r="E12360" s="211"/>
      <c r="U12360" s="222"/>
    </row>
    <row r="12361" spans="2:21" x14ac:dyDescent="0.2">
      <c r="B12361" s="207"/>
      <c r="C12361" s="210"/>
      <c r="D12361" s="211"/>
      <c r="E12361" s="211"/>
      <c r="U12361" s="222"/>
    </row>
    <row r="12362" spans="2:21" x14ac:dyDescent="0.2">
      <c r="B12362" s="207"/>
      <c r="C12362" s="210"/>
      <c r="D12362" s="211"/>
      <c r="E12362" s="211"/>
      <c r="U12362" s="222"/>
    </row>
    <row r="12363" spans="2:21" x14ac:dyDescent="0.2">
      <c r="B12363" s="207"/>
      <c r="C12363" s="210"/>
      <c r="D12363" s="211"/>
      <c r="E12363" s="211"/>
      <c r="U12363" s="222"/>
    </row>
    <row r="12364" spans="2:21" x14ac:dyDescent="0.2">
      <c r="B12364" s="207"/>
      <c r="C12364" s="210"/>
      <c r="D12364" s="211"/>
      <c r="E12364" s="211"/>
      <c r="U12364" s="222"/>
    </row>
    <row r="12365" spans="2:21" x14ac:dyDescent="0.2">
      <c r="B12365" s="207"/>
      <c r="C12365" s="210"/>
      <c r="D12365" s="211"/>
      <c r="E12365" s="211"/>
      <c r="U12365" s="222"/>
    </row>
    <row r="12366" spans="2:21" x14ac:dyDescent="0.2">
      <c r="B12366" s="207"/>
      <c r="C12366" s="210"/>
      <c r="D12366" s="211"/>
      <c r="E12366" s="211"/>
      <c r="U12366" s="222"/>
    </row>
    <row r="12367" spans="2:21" x14ac:dyDescent="0.2">
      <c r="B12367" s="207"/>
      <c r="C12367" s="210"/>
      <c r="D12367" s="211"/>
      <c r="E12367" s="211"/>
      <c r="U12367" s="222"/>
    </row>
    <row r="12368" spans="2:21" x14ac:dyDescent="0.2">
      <c r="B12368" s="207"/>
      <c r="C12368" s="210"/>
      <c r="D12368" s="211"/>
      <c r="E12368" s="211"/>
      <c r="U12368" s="222"/>
    </row>
    <row r="12369" spans="2:21" x14ac:dyDescent="0.2">
      <c r="B12369" s="207"/>
      <c r="C12369" s="210"/>
      <c r="D12369" s="211"/>
      <c r="E12369" s="211"/>
      <c r="U12369" s="222"/>
    </row>
    <row r="12370" spans="2:21" x14ac:dyDescent="0.2">
      <c r="B12370" s="207"/>
      <c r="C12370" s="210"/>
      <c r="D12370" s="211"/>
      <c r="E12370" s="211"/>
      <c r="U12370" s="222"/>
    </row>
    <row r="12371" spans="2:21" x14ac:dyDescent="0.2">
      <c r="B12371" s="207"/>
      <c r="C12371" s="210"/>
      <c r="D12371" s="211"/>
      <c r="E12371" s="211"/>
      <c r="U12371" s="222"/>
    </row>
    <row r="12372" spans="2:21" x14ac:dyDescent="0.2">
      <c r="B12372" s="207"/>
      <c r="C12372" s="210"/>
      <c r="D12372" s="211"/>
      <c r="E12372" s="211"/>
      <c r="U12372" s="222"/>
    </row>
    <row r="12373" spans="2:21" x14ac:dyDescent="0.2">
      <c r="B12373" s="207"/>
      <c r="C12373" s="210"/>
      <c r="D12373" s="211"/>
      <c r="E12373" s="211"/>
      <c r="U12373" s="222"/>
    </row>
    <row r="12374" spans="2:21" x14ac:dyDescent="0.2">
      <c r="B12374" s="207"/>
      <c r="C12374" s="210"/>
      <c r="D12374" s="211"/>
      <c r="E12374" s="211"/>
      <c r="U12374" s="222"/>
    </row>
    <row r="12375" spans="2:21" x14ac:dyDescent="0.2">
      <c r="B12375" s="207"/>
      <c r="C12375" s="210"/>
      <c r="D12375" s="211"/>
      <c r="E12375" s="211"/>
      <c r="U12375" s="222"/>
    </row>
    <row r="12376" spans="2:21" x14ac:dyDescent="0.2">
      <c r="B12376" s="207"/>
      <c r="C12376" s="210"/>
      <c r="D12376" s="211"/>
      <c r="E12376" s="211"/>
      <c r="U12376" s="222"/>
    </row>
    <row r="12377" spans="2:21" x14ac:dyDescent="0.2">
      <c r="B12377" s="207"/>
      <c r="C12377" s="210"/>
      <c r="D12377" s="211"/>
      <c r="E12377" s="211"/>
      <c r="U12377" s="222"/>
    </row>
    <row r="12378" spans="2:21" x14ac:dyDescent="0.2">
      <c r="B12378" s="207"/>
      <c r="C12378" s="210"/>
      <c r="D12378" s="211"/>
      <c r="E12378" s="211"/>
      <c r="U12378" s="222"/>
    </row>
    <row r="12379" spans="2:21" x14ac:dyDescent="0.2">
      <c r="B12379" s="207"/>
      <c r="C12379" s="210"/>
      <c r="D12379" s="211"/>
      <c r="E12379" s="211"/>
      <c r="U12379" s="222"/>
    </row>
    <row r="12380" spans="2:21" x14ac:dyDescent="0.2">
      <c r="B12380" s="207"/>
      <c r="C12380" s="210"/>
      <c r="D12380" s="211"/>
      <c r="E12380" s="211"/>
      <c r="U12380" s="222"/>
    </row>
    <row r="12381" spans="2:21" x14ac:dyDescent="0.2">
      <c r="B12381" s="207"/>
      <c r="C12381" s="210"/>
      <c r="D12381" s="211"/>
      <c r="E12381" s="211"/>
      <c r="U12381" s="222"/>
    </row>
    <row r="12382" spans="2:21" x14ac:dyDescent="0.2">
      <c r="B12382" s="207"/>
      <c r="C12382" s="210"/>
      <c r="D12382" s="211"/>
      <c r="E12382" s="211"/>
      <c r="U12382" s="222"/>
    </row>
    <row r="12383" spans="2:21" x14ac:dyDescent="0.2">
      <c r="B12383" s="207"/>
      <c r="C12383" s="210"/>
      <c r="D12383" s="211"/>
      <c r="E12383" s="211"/>
      <c r="U12383" s="222"/>
    </row>
    <row r="12384" spans="2:21" x14ac:dyDescent="0.2">
      <c r="B12384" s="207"/>
      <c r="C12384" s="210"/>
      <c r="D12384" s="211"/>
      <c r="E12384" s="211"/>
      <c r="U12384" s="222"/>
    </row>
    <row r="12385" spans="2:21" x14ac:dyDescent="0.2">
      <c r="B12385" s="207"/>
      <c r="C12385" s="210"/>
      <c r="D12385" s="211"/>
      <c r="E12385" s="211"/>
      <c r="U12385" s="222"/>
    </row>
    <row r="12386" spans="2:21" x14ac:dyDescent="0.2">
      <c r="B12386" s="207"/>
      <c r="C12386" s="210"/>
      <c r="D12386" s="211"/>
      <c r="E12386" s="211"/>
      <c r="U12386" s="222"/>
    </row>
    <row r="12387" spans="2:21" x14ac:dyDescent="0.2">
      <c r="B12387" s="207"/>
      <c r="C12387" s="210"/>
      <c r="D12387" s="211"/>
      <c r="E12387" s="211"/>
      <c r="U12387" s="222"/>
    </row>
    <row r="12388" spans="2:21" x14ac:dyDescent="0.2">
      <c r="B12388" s="207"/>
      <c r="C12388" s="210"/>
      <c r="D12388" s="211"/>
      <c r="E12388" s="211"/>
      <c r="U12388" s="222"/>
    </row>
    <row r="12389" spans="2:21" x14ac:dyDescent="0.2">
      <c r="B12389" s="207"/>
      <c r="C12389" s="210"/>
      <c r="D12389" s="211"/>
      <c r="E12389" s="211"/>
      <c r="U12389" s="222"/>
    </row>
    <row r="12390" spans="2:21" x14ac:dyDescent="0.2">
      <c r="B12390" s="207"/>
      <c r="C12390" s="210"/>
      <c r="D12390" s="211"/>
      <c r="E12390" s="211"/>
      <c r="U12390" s="222"/>
    </row>
    <row r="12391" spans="2:21" x14ac:dyDescent="0.2">
      <c r="B12391" s="207"/>
      <c r="C12391" s="210"/>
      <c r="D12391" s="211"/>
      <c r="E12391" s="211"/>
      <c r="U12391" s="222"/>
    </row>
    <row r="12392" spans="2:21" x14ac:dyDescent="0.2">
      <c r="B12392" s="207"/>
      <c r="C12392" s="210"/>
      <c r="D12392" s="211"/>
      <c r="E12392" s="211"/>
      <c r="U12392" s="222"/>
    </row>
    <row r="12393" spans="2:21" x14ac:dyDescent="0.2">
      <c r="B12393" s="207"/>
      <c r="C12393" s="210"/>
      <c r="D12393" s="211"/>
      <c r="E12393" s="211"/>
      <c r="U12393" s="222"/>
    </row>
    <row r="12394" spans="2:21" x14ac:dyDescent="0.2">
      <c r="B12394" s="207"/>
      <c r="C12394" s="210"/>
      <c r="D12394" s="211"/>
      <c r="E12394" s="211"/>
      <c r="U12394" s="222"/>
    </row>
    <row r="12395" spans="2:21" x14ac:dyDescent="0.2">
      <c r="B12395" s="207"/>
      <c r="C12395" s="210"/>
      <c r="D12395" s="211"/>
      <c r="E12395" s="211"/>
      <c r="U12395" s="222"/>
    </row>
    <row r="12396" spans="2:21" x14ac:dyDescent="0.2">
      <c r="B12396" s="207"/>
      <c r="C12396" s="210"/>
      <c r="D12396" s="211"/>
      <c r="E12396" s="211"/>
      <c r="U12396" s="222"/>
    </row>
    <row r="12397" spans="2:21" x14ac:dyDescent="0.2">
      <c r="B12397" s="207"/>
      <c r="C12397" s="210"/>
      <c r="D12397" s="211"/>
      <c r="E12397" s="211"/>
      <c r="U12397" s="222"/>
    </row>
    <row r="12398" spans="2:21" x14ac:dyDescent="0.2">
      <c r="B12398" s="207"/>
      <c r="C12398" s="210"/>
      <c r="D12398" s="211"/>
      <c r="E12398" s="211"/>
      <c r="U12398" s="222"/>
    </row>
    <row r="12399" spans="2:21" x14ac:dyDescent="0.2">
      <c r="B12399" s="207"/>
      <c r="C12399" s="210"/>
      <c r="D12399" s="211"/>
      <c r="E12399" s="211"/>
      <c r="U12399" s="222"/>
    </row>
    <row r="12400" spans="2:21" x14ac:dyDescent="0.2">
      <c r="B12400" s="207"/>
      <c r="C12400" s="210"/>
      <c r="D12400" s="211"/>
      <c r="E12400" s="211"/>
      <c r="U12400" s="222"/>
    </row>
    <row r="12401" spans="2:21" x14ac:dyDescent="0.2">
      <c r="B12401" s="207"/>
      <c r="C12401" s="210"/>
      <c r="D12401" s="211"/>
      <c r="E12401" s="211"/>
      <c r="U12401" s="222"/>
    </row>
    <row r="12402" spans="2:21" x14ac:dyDescent="0.2">
      <c r="B12402" s="207"/>
      <c r="C12402" s="210"/>
      <c r="D12402" s="211"/>
      <c r="E12402" s="211"/>
      <c r="U12402" s="222"/>
    </row>
    <row r="12403" spans="2:21" x14ac:dyDescent="0.2">
      <c r="B12403" s="207"/>
      <c r="C12403" s="210"/>
      <c r="D12403" s="211"/>
      <c r="E12403" s="211"/>
      <c r="U12403" s="222"/>
    </row>
    <row r="12404" spans="2:21" x14ac:dyDescent="0.2">
      <c r="B12404" s="207"/>
      <c r="C12404" s="210"/>
      <c r="D12404" s="211"/>
      <c r="E12404" s="211"/>
      <c r="U12404" s="222"/>
    </row>
    <row r="12405" spans="2:21" x14ac:dyDescent="0.2">
      <c r="B12405" s="207"/>
      <c r="C12405" s="210"/>
      <c r="D12405" s="211"/>
      <c r="E12405" s="211"/>
      <c r="U12405" s="222"/>
    </row>
    <row r="12406" spans="2:21" x14ac:dyDescent="0.2">
      <c r="B12406" s="207"/>
      <c r="C12406" s="210"/>
      <c r="D12406" s="211"/>
      <c r="E12406" s="211"/>
      <c r="U12406" s="222"/>
    </row>
    <row r="12407" spans="2:21" x14ac:dyDescent="0.2">
      <c r="B12407" s="207"/>
      <c r="C12407" s="210"/>
      <c r="D12407" s="211"/>
      <c r="E12407" s="211"/>
      <c r="U12407" s="222"/>
    </row>
    <row r="12408" spans="2:21" x14ac:dyDescent="0.2">
      <c r="B12408" s="207"/>
      <c r="C12408" s="210"/>
      <c r="D12408" s="211"/>
      <c r="E12408" s="211"/>
      <c r="U12408" s="222"/>
    </row>
    <row r="12409" spans="2:21" x14ac:dyDescent="0.2">
      <c r="B12409" s="207"/>
      <c r="C12409" s="210"/>
      <c r="D12409" s="211"/>
      <c r="E12409" s="211"/>
      <c r="U12409" s="222"/>
    </row>
    <row r="12410" spans="2:21" x14ac:dyDescent="0.2">
      <c r="B12410" s="207"/>
      <c r="C12410" s="210"/>
      <c r="D12410" s="211"/>
      <c r="E12410" s="211"/>
      <c r="U12410" s="222"/>
    </row>
    <row r="12411" spans="2:21" x14ac:dyDescent="0.2">
      <c r="B12411" s="207"/>
      <c r="C12411" s="210"/>
      <c r="D12411" s="211"/>
      <c r="E12411" s="211"/>
      <c r="U12411" s="222"/>
    </row>
    <row r="12412" spans="2:21" x14ac:dyDescent="0.2">
      <c r="B12412" s="207"/>
      <c r="C12412" s="210"/>
      <c r="D12412" s="211"/>
      <c r="E12412" s="211"/>
      <c r="U12412" s="222"/>
    </row>
    <row r="12413" spans="2:21" x14ac:dyDescent="0.2">
      <c r="B12413" s="207"/>
      <c r="C12413" s="210"/>
      <c r="D12413" s="211"/>
      <c r="E12413" s="211"/>
      <c r="U12413" s="222"/>
    </row>
    <row r="12414" spans="2:21" x14ac:dyDescent="0.2">
      <c r="B12414" s="207"/>
      <c r="C12414" s="210"/>
      <c r="D12414" s="211"/>
      <c r="E12414" s="211"/>
      <c r="U12414" s="222"/>
    </row>
    <row r="12415" spans="2:21" x14ac:dyDescent="0.2">
      <c r="B12415" s="207"/>
      <c r="C12415" s="210"/>
      <c r="D12415" s="211"/>
      <c r="E12415" s="211"/>
      <c r="U12415" s="222"/>
    </row>
    <row r="12416" spans="2:21" x14ac:dyDescent="0.2">
      <c r="B12416" s="207"/>
      <c r="C12416" s="210"/>
      <c r="D12416" s="211"/>
      <c r="E12416" s="211"/>
      <c r="U12416" s="222"/>
    </row>
    <row r="12417" spans="2:21" x14ac:dyDescent="0.2">
      <c r="B12417" s="207"/>
      <c r="C12417" s="210"/>
      <c r="D12417" s="211"/>
      <c r="E12417" s="211"/>
      <c r="U12417" s="222"/>
    </row>
    <row r="12418" spans="2:21" x14ac:dyDescent="0.2">
      <c r="B12418" s="207"/>
      <c r="C12418" s="210"/>
      <c r="D12418" s="211"/>
      <c r="E12418" s="211"/>
      <c r="U12418" s="222"/>
    </row>
    <row r="12419" spans="2:21" x14ac:dyDescent="0.2">
      <c r="B12419" s="207"/>
      <c r="C12419" s="210"/>
      <c r="D12419" s="211"/>
      <c r="E12419" s="211"/>
      <c r="U12419" s="222"/>
    </row>
    <row r="12420" spans="2:21" x14ac:dyDescent="0.2">
      <c r="B12420" s="207"/>
      <c r="C12420" s="210"/>
      <c r="D12420" s="211"/>
      <c r="E12420" s="211"/>
      <c r="U12420" s="222"/>
    </row>
    <row r="12421" spans="2:21" x14ac:dyDescent="0.2">
      <c r="B12421" s="207"/>
      <c r="C12421" s="210"/>
      <c r="D12421" s="211"/>
      <c r="E12421" s="211"/>
      <c r="U12421" s="222"/>
    </row>
    <row r="12422" spans="2:21" x14ac:dyDescent="0.2">
      <c r="B12422" s="207"/>
      <c r="C12422" s="210"/>
      <c r="D12422" s="211"/>
      <c r="E12422" s="211"/>
      <c r="U12422" s="222"/>
    </row>
    <row r="12423" spans="2:21" x14ac:dyDescent="0.2">
      <c r="B12423" s="207"/>
      <c r="C12423" s="210"/>
      <c r="D12423" s="211"/>
      <c r="E12423" s="211"/>
      <c r="U12423" s="222"/>
    </row>
    <row r="12424" spans="2:21" x14ac:dyDescent="0.2">
      <c r="B12424" s="207"/>
      <c r="C12424" s="210"/>
      <c r="D12424" s="211"/>
      <c r="E12424" s="211"/>
      <c r="U12424" s="222"/>
    </row>
    <row r="12425" spans="2:21" x14ac:dyDescent="0.2">
      <c r="B12425" s="207"/>
      <c r="C12425" s="210"/>
      <c r="D12425" s="211"/>
      <c r="E12425" s="211"/>
      <c r="U12425" s="222"/>
    </row>
    <row r="12426" spans="2:21" x14ac:dyDescent="0.2">
      <c r="B12426" s="207"/>
      <c r="C12426" s="210"/>
      <c r="D12426" s="211"/>
      <c r="E12426" s="211"/>
      <c r="U12426" s="222"/>
    </row>
    <row r="12427" spans="2:21" x14ac:dyDescent="0.2">
      <c r="B12427" s="207"/>
      <c r="C12427" s="210"/>
      <c r="D12427" s="211"/>
      <c r="E12427" s="211"/>
      <c r="U12427" s="222"/>
    </row>
    <row r="12428" spans="2:21" x14ac:dyDescent="0.2">
      <c r="B12428" s="207"/>
      <c r="C12428" s="210"/>
      <c r="D12428" s="211"/>
      <c r="E12428" s="211"/>
      <c r="U12428" s="222"/>
    </row>
    <row r="12429" spans="2:21" x14ac:dyDescent="0.2">
      <c r="B12429" s="207"/>
      <c r="C12429" s="210"/>
      <c r="D12429" s="211"/>
      <c r="E12429" s="211"/>
      <c r="U12429" s="222"/>
    </row>
    <row r="12430" spans="2:21" x14ac:dyDescent="0.2">
      <c r="B12430" s="207"/>
      <c r="C12430" s="210"/>
      <c r="D12430" s="211"/>
      <c r="E12430" s="211"/>
      <c r="U12430" s="222"/>
    </row>
    <row r="12431" spans="2:21" x14ac:dyDescent="0.2">
      <c r="B12431" s="207"/>
      <c r="C12431" s="210"/>
      <c r="D12431" s="211"/>
      <c r="E12431" s="211"/>
      <c r="U12431" s="222"/>
    </row>
    <row r="12432" spans="2:21" x14ac:dyDescent="0.2">
      <c r="B12432" s="207"/>
      <c r="C12432" s="210"/>
      <c r="D12432" s="211"/>
      <c r="E12432" s="211"/>
      <c r="U12432" s="222"/>
    </row>
    <row r="12433" spans="2:21" x14ac:dyDescent="0.2">
      <c r="B12433" s="207"/>
      <c r="C12433" s="210"/>
      <c r="D12433" s="211"/>
      <c r="E12433" s="211"/>
      <c r="U12433" s="222"/>
    </row>
    <row r="12434" spans="2:21" x14ac:dyDescent="0.2">
      <c r="B12434" s="207"/>
      <c r="C12434" s="210"/>
      <c r="D12434" s="211"/>
      <c r="E12434" s="211"/>
      <c r="U12434" s="222"/>
    </row>
    <row r="12435" spans="2:21" x14ac:dyDescent="0.2">
      <c r="B12435" s="207"/>
      <c r="C12435" s="210"/>
      <c r="D12435" s="211"/>
      <c r="E12435" s="211"/>
      <c r="U12435" s="222"/>
    </row>
    <row r="12436" spans="2:21" x14ac:dyDescent="0.2">
      <c r="B12436" s="207"/>
      <c r="C12436" s="210"/>
      <c r="D12436" s="211"/>
      <c r="E12436" s="211"/>
      <c r="U12436" s="222"/>
    </row>
    <row r="12437" spans="2:21" x14ac:dyDescent="0.2">
      <c r="B12437" s="207"/>
      <c r="C12437" s="210"/>
      <c r="D12437" s="211"/>
      <c r="E12437" s="211"/>
      <c r="U12437" s="222"/>
    </row>
    <row r="12438" spans="2:21" x14ac:dyDescent="0.2">
      <c r="B12438" s="207"/>
      <c r="C12438" s="210"/>
      <c r="D12438" s="211"/>
      <c r="E12438" s="211"/>
      <c r="U12438" s="222"/>
    </row>
    <row r="12439" spans="2:21" x14ac:dyDescent="0.2">
      <c r="B12439" s="207"/>
      <c r="C12439" s="210"/>
      <c r="D12439" s="211"/>
      <c r="E12439" s="211"/>
      <c r="U12439" s="222"/>
    </row>
    <row r="12440" spans="2:21" x14ac:dyDescent="0.2">
      <c r="B12440" s="207"/>
      <c r="C12440" s="210"/>
      <c r="D12440" s="211"/>
      <c r="E12440" s="211"/>
      <c r="U12440" s="222"/>
    </row>
    <row r="12441" spans="2:21" x14ac:dyDescent="0.2">
      <c r="B12441" s="207"/>
      <c r="C12441" s="210"/>
      <c r="D12441" s="211"/>
      <c r="E12441" s="211"/>
      <c r="U12441" s="222"/>
    </row>
    <row r="12442" spans="2:21" x14ac:dyDescent="0.2">
      <c r="B12442" s="207"/>
      <c r="C12442" s="210"/>
      <c r="D12442" s="211"/>
      <c r="E12442" s="211"/>
      <c r="U12442" s="222"/>
    </row>
    <row r="12443" spans="2:21" x14ac:dyDescent="0.2">
      <c r="B12443" s="207"/>
      <c r="C12443" s="210"/>
      <c r="D12443" s="211"/>
      <c r="E12443" s="211"/>
      <c r="U12443" s="222"/>
    </row>
    <row r="12444" spans="2:21" x14ac:dyDescent="0.2">
      <c r="B12444" s="207"/>
      <c r="C12444" s="210"/>
      <c r="D12444" s="211"/>
      <c r="E12444" s="211"/>
      <c r="U12444" s="222"/>
    </row>
    <row r="12445" spans="2:21" x14ac:dyDescent="0.2">
      <c r="B12445" s="207"/>
      <c r="C12445" s="210"/>
      <c r="D12445" s="211"/>
      <c r="E12445" s="211"/>
      <c r="U12445" s="222"/>
    </row>
    <row r="12446" spans="2:21" x14ac:dyDescent="0.2">
      <c r="B12446" s="207"/>
      <c r="C12446" s="210"/>
      <c r="D12446" s="211"/>
      <c r="E12446" s="211"/>
      <c r="U12446" s="222"/>
    </row>
    <row r="12447" spans="2:21" x14ac:dyDescent="0.2">
      <c r="B12447" s="207"/>
      <c r="C12447" s="210"/>
      <c r="D12447" s="211"/>
      <c r="E12447" s="211"/>
      <c r="U12447" s="222"/>
    </row>
    <row r="12448" spans="2:21" x14ac:dyDescent="0.2">
      <c r="B12448" s="207"/>
      <c r="C12448" s="210"/>
      <c r="D12448" s="211"/>
      <c r="E12448" s="211"/>
      <c r="U12448" s="222"/>
    </row>
    <row r="12449" spans="2:21" x14ac:dyDescent="0.2">
      <c r="B12449" s="207"/>
      <c r="C12449" s="210"/>
      <c r="D12449" s="211"/>
      <c r="E12449" s="211"/>
      <c r="U12449" s="222"/>
    </row>
    <row r="12450" spans="2:21" x14ac:dyDescent="0.2">
      <c r="B12450" s="207"/>
      <c r="C12450" s="210"/>
      <c r="D12450" s="211"/>
      <c r="E12450" s="211"/>
      <c r="U12450" s="222"/>
    </row>
    <row r="12451" spans="2:21" x14ac:dyDescent="0.2">
      <c r="B12451" s="207"/>
      <c r="C12451" s="210"/>
      <c r="D12451" s="211"/>
      <c r="E12451" s="211"/>
      <c r="U12451" s="222"/>
    </row>
    <row r="12452" spans="2:21" x14ac:dyDescent="0.2">
      <c r="B12452" s="207"/>
      <c r="C12452" s="210"/>
      <c r="D12452" s="211"/>
      <c r="E12452" s="211"/>
      <c r="U12452" s="222"/>
    </row>
    <row r="12453" spans="2:21" x14ac:dyDescent="0.2">
      <c r="B12453" s="207"/>
      <c r="C12453" s="210"/>
      <c r="D12453" s="211"/>
      <c r="E12453" s="211"/>
      <c r="U12453" s="222"/>
    </row>
    <row r="12454" spans="2:21" x14ac:dyDescent="0.2">
      <c r="B12454" s="207"/>
      <c r="C12454" s="210"/>
      <c r="D12454" s="211"/>
      <c r="E12454" s="211"/>
      <c r="U12454" s="222"/>
    </row>
    <row r="12455" spans="2:21" x14ac:dyDescent="0.2">
      <c r="B12455" s="207"/>
      <c r="C12455" s="210"/>
      <c r="D12455" s="211"/>
      <c r="E12455" s="211"/>
      <c r="U12455" s="222"/>
    </row>
    <row r="12456" spans="2:21" x14ac:dyDescent="0.2">
      <c r="B12456" s="207"/>
      <c r="C12456" s="210"/>
      <c r="D12456" s="211"/>
      <c r="E12456" s="211"/>
      <c r="U12456" s="222"/>
    </row>
    <row r="12457" spans="2:21" x14ac:dyDescent="0.2">
      <c r="B12457" s="207"/>
      <c r="C12457" s="210"/>
      <c r="D12457" s="211"/>
      <c r="E12457" s="211"/>
      <c r="U12457" s="222"/>
    </row>
    <row r="12458" spans="2:21" x14ac:dyDescent="0.2">
      <c r="B12458" s="207"/>
      <c r="C12458" s="210"/>
      <c r="D12458" s="211"/>
      <c r="E12458" s="211"/>
      <c r="U12458" s="222"/>
    </row>
    <row r="12459" spans="2:21" x14ac:dyDescent="0.2">
      <c r="B12459" s="207"/>
      <c r="C12459" s="210"/>
      <c r="D12459" s="211"/>
      <c r="E12459" s="211"/>
      <c r="U12459" s="222"/>
    </row>
    <row r="12460" spans="2:21" x14ac:dyDescent="0.2">
      <c r="B12460" s="207"/>
      <c r="C12460" s="210"/>
      <c r="D12460" s="211"/>
      <c r="E12460" s="211"/>
      <c r="U12460" s="222"/>
    </row>
    <row r="12461" spans="2:21" x14ac:dyDescent="0.2">
      <c r="B12461" s="207"/>
      <c r="C12461" s="210"/>
      <c r="D12461" s="211"/>
      <c r="E12461" s="211"/>
      <c r="U12461" s="222"/>
    </row>
    <row r="12462" spans="2:21" x14ac:dyDescent="0.2">
      <c r="B12462" s="207"/>
      <c r="C12462" s="210"/>
      <c r="D12462" s="211"/>
      <c r="E12462" s="211"/>
      <c r="U12462" s="222"/>
    </row>
    <row r="12463" spans="2:21" x14ac:dyDescent="0.2">
      <c r="B12463" s="207"/>
      <c r="C12463" s="210"/>
      <c r="D12463" s="211"/>
      <c r="E12463" s="211"/>
      <c r="U12463" s="222"/>
    </row>
    <row r="12464" spans="2:21" x14ac:dyDescent="0.2">
      <c r="B12464" s="207"/>
      <c r="C12464" s="210"/>
      <c r="D12464" s="211"/>
      <c r="E12464" s="211"/>
      <c r="U12464" s="222"/>
    </row>
    <row r="12465" spans="2:21" x14ac:dyDescent="0.2">
      <c r="B12465" s="207"/>
      <c r="C12465" s="210"/>
      <c r="D12465" s="211"/>
      <c r="E12465" s="211"/>
      <c r="U12465" s="222"/>
    </row>
    <row r="12466" spans="2:21" x14ac:dyDescent="0.2">
      <c r="B12466" s="207"/>
      <c r="C12466" s="210"/>
      <c r="D12466" s="211"/>
      <c r="E12466" s="211"/>
      <c r="U12466" s="222"/>
    </row>
    <row r="12467" spans="2:21" x14ac:dyDescent="0.2">
      <c r="B12467" s="207"/>
      <c r="C12467" s="210"/>
      <c r="D12467" s="211"/>
      <c r="E12467" s="211"/>
      <c r="U12467" s="222"/>
    </row>
    <row r="12468" spans="2:21" x14ac:dyDescent="0.2">
      <c r="B12468" s="207"/>
      <c r="C12468" s="210"/>
      <c r="D12468" s="211"/>
      <c r="E12468" s="211"/>
      <c r="U12468" s="222"/>
    </row>
    <row r="12469" spans="2:21" x14ac:dyDescent="0.2">
      <c r="B12469" s="207"/>
      <c r="C12469" s="210"/>
      <c r="D12469" s="211"/>
      <c r="E12469" s="211"/>
      <c r="U12469" s="222"/>
    </row>
    <row r="12470" spans="2:21" x14ac:dyDescent="0.2">
      <c r="B12470" s="207"/>
      <c r="C12470" s="210"/>
      <c r="D12470" s="211"/>
      <c r="E12470" s="211"/>
      <c r="U12470" s="222"/>
    </row>
    <row r="12471" spans="2:21" x14ac:dyDescent="0.2">
      <c r="B12471" s="207"/>
      <c r="C12471" s="210"/>
      <c r="D12471" s="211"/>
      <c r="E12471" s="211"/>
      <c r="U12471" s="222"/>
    </row>
    <row r="12472" spans="2:21" x14ac:dyDescent="0.2">
      <c r="B12472" s="207"/>
      <c r="C12472" s="210"/>
      <c r="D12472" s="211"/>
      <c r="E12472" s="211"/>
      <c r="U12472" s="222"/>
    </row>
    <row r="12473" spans="2:21" x14ac:dyDescent="0.2">
      <c r="B12473" s="207"/>
      <c r="C12473" s="210"/>
      <c r="D12473" s="211"/>
      <c r="E12473" s="211"/>
      <c r="U12473" s="222"/>
    </row>
    <row r="12474" spans="2:21" x14ac:dyDescent="0.2">
      <c r="B12474" s="207"/>
      <c r="C12474" s="210"/>
      <c r="D12474" s="211"/>
      <c r="E12474" s="211"/>
      <c r="U12474" s="222"/>
    </row>
    <row r="12475" spans="2:21" x14ac:dyDescent="0.2">
      <c r="B12475" s="207"/>
      <c r="C12475" s="210"/>
      <c r="D12475" s="211"/>
      <c r="E12475" s="211"/>
      <c r="U12475" s="222"/>
    </row>
    <row r="12476" spans="2:21" x14ac:dyDescent="0.2">
      <c r="B12476" s="207"/>
      <c r="C12476" s="210"/>
      <c r="D12476" s="211"/>
      <c r="E12476" s="211"/>
      <c r="U12476" s="222"/>
    </row>
    <row r="12477" spans="2:21" x14ac:dyDescent="0.2">
      <c r="B12477" s="207"/>
      <c r="C12477" s="210"/>
      <c r="D12477" s="211"/>
      <c r="E12477" s="211"/>
      <c r="U12477" s="222"/>
    </row>
    <row r="12478" spans="2:21" x14ac:dyDescent="0.2">
      <c r="B12478" s="207"/>
      <c r="C12478" s="210"/>
      <c r="D12478" s="211"/>
      <c r="E12478" s="211"/>
      <c r="U12478" s="222"/>
    </row>
    <row r="12479" spans="2:21" x14ac:dyDescent="0.2">
      <c r="B12479" s="207"/>
      <c r="C12479" s="210"/>
      <c r="D12479" s="211"/>
      <c r="E12479" s="211"/>
      <c r="U12479" s="222"/>
    </row>
    <row r="12480" spans="2:21" x14ac:dyDescent="0.2">
      <c r="B12480" s="207"/>
      <c r="C12480" s="210"/>
      <c r="D12480" s="211"/>
      <c r="E12480" s="211"/>
      <c r="U12480" s="222"/>
    </row>
    <row r="12481" spans="2:21" x14ac:dyDescent="0.2">
      <c r="B12481" s="207"/>
      <c r="C12481" s="210"/>
      <c r="D12481" s="211"/>
      <c r="E12481" s="211"/>
      <c r="U12481" s="222"/>
    </row>
    <row r="12482" spans="2:21" x14ac:dyDescent="0.2">
      <c r="B12482" s="207"/>
      <c r="C12482" s="210"/>
      <c r="D12482" s="211"/>
      <c r="E12482" s="211"/>
      <c r="U12482" s="222"/>
    </row>
    <row r="12483" spans="2:21" x14ac:dyDescent="0.2">
      <c r="B12483" s="207"/>
      <c r="C12483" s="210"/>
      <c r="D12483" s="211"/>
      <c r="E12483" s="211"/>
      <c r="U12483" s="222"/>
    </row>
    <row r="12484" spans="2:21" x14ac:dyDescent="0.2">
      <c r="B12484" s="207"/>
      <c r="C12484" s="210"/>
      <c r="D12484" s="211"/>
      <c r="E12484" s="211"/>
      <c r="U12484" s="222"/>
    </row>
    <row r="12485" spans="2:21" x14ac:dyDescent="0.2">
      <c r="B12485" s="207"/>
      <c r="C12485" s="210"/>
      <c r="D12485" s="211"/>
      <c r="E12485" s="211"/>
      <c r="U12485" s="222"/>
    </row>
    <row r="12486" spans="2:21" x14ac:dyDescent="0.2">
      <c r="B12486" s="207"/>
      <c r="C12486" s="210"/>
      <c r="D12486" s="211"/>
      <c r="E12486" s="211"/>
      <c r="U12486" s="222"/>
    </row>
    <row r="12487" spans="2:21" x14ac:dyDescent="0.2">
      <c r="B12487" s="207"/>
      <c r="C12487" s="210"/>
      <c r="D12487" s="211"/>
      <c r="E12487" s="211"/>
      <c r="U12487" s="222"/>
    </row>
    <row r="12488" spans="2:21" x14ac:dyDescent="0.2">
      <c r="B12488" s="207"/>
      <c r="C12488" s="210"/>
      <c r="D12488" s="211"/>
      <c r="E12488" s="211"/>
      <c r="U12488" s="222"/>
    </row>
    <row r="12489" spans="2:21" x14ac:dyDescent="0.2">
      <c r="B12489" s="207"/>
      <c r="C12489" s="210"/>
      <c r="D12489" s="211"/>
      <c r="E12489" s="211"/>
      <c r="U12489" s="222"/>
    </row>
    <row r="12490" spans="2:21" x14ac:dyDescent="0.2">
      <c r="B12490" s="207"/>
      <c r="C12490" s="210"/>
      <c r="D12490" s="211"/>
      <c r="E12490" s="211"/>
      <c r="U12490" s="222"/>
    </row>
    <row r="12491" spans="2:21" x14ac:dyDescent="0.2">
      <c r="B12491" s="207"/>
      <c r="C12491" s="210"/>
      <c r="D12491" s="211"/>
      <c r="E12491" s="211"/>
      <c r="U12491" s="222"/>
    </row>
    <row r="12492" spans="2:21" x14ac:dyDescent="0.2">
      <c r="B12492" s="207"/>
      <c r="C12492" s="210"/>
      <c r="D12492" s="211"/>
      <c r="E12492" s="211"/>
      <c r="U12492" s="222"/>
    </row>
    <row r="12493" spans="2:21" x14ac:dyDescent="0.2">
      <c r="B12493" s="207"/>
      <c r="C12493" s="210"/>
      <c r="D12493" s="211"/>
      <c r="E12493" s="211"/>
      <c r="U12493" s="222"/>
    </row>
    <row r="12494" spans="2:21" x14ac:dyDescent="0.2">
      <c r="B12494" s="207"/>
      <c r="C12494" s="210"/>
      <c r="D12494" s="211"/>
      <c r="E12494" s="211"/>
      <c r="U12494" s="222"/>
    </row>
    <row r="12495" spans="2:21" x14ac:dyDescent="0.2">
      <c r="B12495" s="207"/>
      <c r="C12495" s="210"/>
      <c r="D12495" s="211"/>
      <c r="E12495" s="211"/>
      <c r="U12495" s="222"/>
    </row>
    <row r="12496" spans="2:21" x14ac:dyDescent="0.2">
      <c r="B12496" s="207"/>
      <c r="C12496" s="210"/>
      <c r="D12496" s="211"/>
      <c r="E12496" s="211"/>
      <c r="U12496" s="222"/>
    </row>
    <row r="12497" spans="2:21" x14ac:dyDescent="0.2">
      <c r="B12497" s="207"/>
      <c r="C12497" s="210"/>
      <c r="D12497" s="211"/>
      <c r="E12497" s="211"/>
      <c r="U12497" s="222"/>
    </row>
    <row r="12498" spans="2:21" x14ac:dyDescent="0.2">
      <c r="B12498" s="207"/>
      <c r="C12498" s="210"/>
      <c r="D12498" s="211"/>
      <c r="E12498" s="211"/>
      <c r="U12498" s="222"/>
    </row>
    <row r="12499" spans="2:21" x14ac:dyDescent="0.2">
      <c r="B12499" s="207"/>
      <c r="C12499" s="210"/>
      <c r="D12499" s="211"/>
      <c r="E12499" s="211"/>
      <c r="U12499" s="222"/>
    </row>
    <row r="12500" spans="2:21" x14ac:dyDescent="0.2">
      <c r="B12500" s="207"/>
      <c r="C12500" s="210"/>
      <c r="D12500" s="211"/>
      <c r="E12500" s="211"/>
      <c r="U12500" s="222"/>
    </row>
    <row r="12501" spans="2:21" x14ac:dyDescent="0.2">
      <c r="B12501" s="207"/>
      <c r="C12501" s="210"/>
      <c r="D12501" s="211"/>
      <c r="E12501" s="211"/>
      <c r="U12501" s="222"/>
    </row>
    <row r="12502" spans="2:21" x14ac:dyDescent="0.2">
      <c r="B12502" s="207"/>
      <c r="C12502" s="210"/>
      <c r="D12502" s="211"/>
      <c r="E12502" s="211"/>
      <c r="U12502" s="222"/>
    </row>
    <row r="12503" spans="2:21" x14ac:dyDescent="0.2">
      <c r="B12503" s="207"/>
      <c r="C12503" s="210"/>
      <c r="D12503" s="211"/>
      <c r="E12503" s="211"/>
      <c r="U12503" s="222"/>
    </row>
    <row r="12504" spans="2:21" x14ac:dyDescent="0.2">
      <c r="B12504" s="207"/>
      <c r="C12504" s="210"/>
      <c r="D12504" s="211"/>
      <c r="E12504" s="211"/>
      <c r="U12504" s="222"/>
    </row>
    <row r="12505" spans="2:21" x14ac:dyDescent="0.2">
      <c r="B12505" s="207"/>
      <c r="C12505" s="210"/>
      <c r="D12505" s="211"/>
      <c r="E12505" s="211"/>
      <c r="U12505" s="222"/>
    </row>
    <row r="12506" spans="2:21" x14ac:dyDescent="0.2">
      <c r="B12506" s="207"/>
      <c r="C12506" s="210"/>
      <c r="D12506" s="211"/>
      <c r="E12506" s="211"/>
      <c r="U12506" s="222"/>
    </row>
    <row r="12507" spans="2:21" x14ac:dyDescent="0.2">
      <c r="B12507" s="207"/>
      <c r="C12507" s="210"/>
      <c r="D12507" s="211"/>
      <c r="E12507" s="211"/>
      <c r="U12507" s="222"/>
    </row>
    <row r="12508" spans="2:21" x14ac:dyDescent="0.2">
      <c r="B12508" s="207"/>
      <c r="C12508" s="210"/>
      <c r="D12508" s="211"/>
      <c r="E12508" s="211"/>
      <c r="U12508" s="222"/>
    </row>
    <row r="12509" spans="2:21" x14ac:dyDescent="0.2">
      <c r="B12509" s="207"/>
      <c r="C12509" s="210"/>
      <c r="D12509" s="211"/>
      <c r="E12509" s="211"/>
      <c r="U12509" s="222"/>
    </row>
    <row r="12510" spans="2:21" x14ac:dyDescent="0.2">
      <c r="B12510" s="207"/>
      <c r="C12510" s="210"/>
      <c r="D12510" s="211"/>
      <c r="E12510" s="211"/>
      <c r="U12510" s="222"/>
    </row>
    <row r="12511" spans="2:21" x14ac:dyDescent="0.2">
      <c r="B12511" s="207"/>
      <c r="C12511" s="210"/>
      <c r="D12511" s="211"/>
      <c r="E12511" s="211"/>
      <c r="U12511" s="222"/>
    </row>
    <row r="12512" spans="2:21" x14ac:dyDescent="0.2">
      <c r="B12512" s="207"/>
      <c r="C12512" s="210"/>
      <c r="D12512" s="211"/>
      <c r="E12512" s="211"/>
      <c r="U12512" s="222"/>
    </row>
    <row r="12513" spans="2:21" x14ac:dyDescent="0.2">
      <c r="B12513" s="207"/>
      <c r="C12513" s="210"/>
      <c r="D12513" s="211"/>
      <c r="E12513" s="211"/>
      <c r="U12513" s="222"/>
    </row>
    <row r="12514" spans="2:21" x14ac:dyDescent="0.2">
      <c r="B12514" s="207"/>
      <c r="C12514" s="210"/>
      <c r="D12514" s="211"/>
      <c r="E12514" s="211"/>
      <c r="U12514" s="222"/>
    </row>
    <row r="12515" spans="2:21" x14ac:dyDescent="0.2">
      <c r="B12515" s="207"/>
      <c r="C12515" s="210"/>
      <c r="D12515" s="211"/>
      <c r="E12515" s="211"/>
      <c r="U12515" s="222"/>
    </row>
    <row r="12516" spans="2:21" x14ac:dyDescent="0.2">
      <c r="B12516" s="207"/>
      <c r="C12516" s="210"/>
      <c r="D12516" s="211"/>
      <c r="E12516" s="211"/>
      <c r="U12516" s="222"/>
    </row>
    <row r="12517" spans="2:21" x14ac:dyDescent="0.2">
      <c r="B12517" s="207"/>
      <c r="C12517" s="210"/>
      <c r="D12517" s="211"/>
      <c r="E12517" s="211"/>
      <c r="U12517" s="222"/>
    </row>
    <row r="12518" spans="2:21" x14ac:dyDescent="0.2">
      <c r="B12518" s="207"/>
      <c r="C12518" s="210"/>
      <c r="D12518" s="211"/>
      <c r="E12518" s="211"/>
      <c r="U12518" s="222"/>
    </row>
    <row r="12519" spans="2:21" x14ac:dyDescent="0.2">
      <c r="B12519" s="207"/>
      <c r="C12519" s="210"/>
      <c r="D12519" s="211"/>
      <c r="E12519" s="211"/>
      <c r="U12519" s="222"/>
    </row>
    <row r="12520" spans="2:21" x14ac:dyDescent="0.2">
      <c r="B12520" s="207"/>
      <c r="C12520" s="210"/>
      <c r="D12520" s="211"/>
      <c r="E12520" s="211"/>
      <c r="U12520" s="222"/>
    </row>
    <row r="12521" spans="2:21" x14ac:dyDescent="0.2">
      <c r="B12521" s="207"/>
      <c r="C12521" s="210"/>
      <c r="D12521" s="211"/>
      <c r="E12521" s="211"/>
      <c r="U12521" s="222"/>
    </row>
    <row r="12522" spans="2:21" x14ac:dyDescent="0.2">
      <c r="B12522" s="207"/>
      <c r="C12522" s="210"/>
      <c r="D12522" s="211"/>
      <c r="E12522" s="211"/>
      <c r="U12522" s="222"/>
    </row>
    <row r="12523" spans="2:21" x14ac:dyDescent="0.2">
      <c r="B12523" s="207"/>
      <c r="C12523" s="210"/>
      <c r="D12523" s="211"/>
      <c r="E12523" s="211"/>
      <c r="U12523" s="222"/>
    </row>
    <row r="12524" spans="2:21" x14ac:dyDescent="0.2">
      <c r="B12524" s="207"/>
      <c r="C12524" s="210"/>
      <c r="D12524" s="211"/>
      <c r="E12524" s="211"/>
      <c r="U12524" s="222"/>
    </row>
    <row r="12525" spans="2:21" x14ac:dyDescent="0.2">
      <c r="B12525" s="207"/>
      <c r="C12525" s="210"/>
      <c r="D12525" s="211"/>
      <c r="E12525" s="211"/>
      <c r="U12525" s="222"/>
    </row>
    <row r="12526" spans="2:21" x14ac:dyDescent="0.2">
      <c r="B12526" s="207"/>
      <c r="C12526" s="210"/>
      <c r="D12526" s="211"/>
      <c r="E12526" s="211"/>
      <c r="U12526" s="222"/>
    </row>
    <row r="12527" spans="2:21" x14ac:dyDescent="0.2">
      <c r="B12527" s="207"/>
      <c r="C12527" s="210"/>
      <c r="D12527" s="211"/>
      <c r="E12527" s="211"/>
      <c r="U12527" s="222"/>
    </row>
    <row r="12528" spans="2:21" x14ac:dyDescent="0.2">
      <c r="B12528" s="207"/>
      <c r="C12528" s="210"/>
      <c r="D12528" s="211"/>
      <c r="E12528" s="211"/>
      <c r="U12528" s="222"/>
    </row>
    <row r="12529" spans="2:21" x14ac:dyDescent="0.2">
      <c r="B12529" s="207"/>
      <c r="C12529" s="210"/>
      <c r="D12529" s="211"/>
      <c r="E12529" s="211"/>
      <c r="U12529" s="222"/>
    </row>
    <row r="12530" spans="2:21" x14ac:dyDescent="0.2">
      <c r="B12530" s="207"/>
      <c r="C12530" s="210"/>
      <c r="D12530" s="211"/>
      <c r="E12530" s="211"/>
      <c r="U12530" s="222"/>
    </row>
    <row r="12531" spans="2:21" x14ac:dyDescent="0.2">
      <c r="B12531" s="207"/>
      <c r="C12531" s="210"/>
      <c r="D12531" s="211"/>
      <c r="E12531" s="211"/>
      <c r="U12531" s="222"/>
    </row>
    <row r="12532" spans="2:21" x14ac:dyDescent="0.2">
      <c r="B12532" s="207"/>
      <c r="C12532" s="210"/>
      <c r="D12532" s="211"/>
      <c r="E12532" s="211"/>
      <c r="U12532" s="222"/>
    </row>
    <row r="12533" spans="2:21" x14ac:dyDescent="0.2">
      <c r="B12533" s="207"/>
      <c r="C12533" s="210"/>
      <c r="D12533" s="211"/>
      <c r="E12533" s="211"/>
      <c r="U12533" s="222"/>
    </row>
    <row r="12534" spans="2:21" x14ac:dyDescent="0.2">
      <c r="B12534" s="207"/>
      <c r="C12534" s="210"/>
      <c r="D12534" s="211"/>
      <c r="E12534" s="211"/>
      <c r="U12534" s="222"/>
    </row>
    <row r="12535" spans="2:21" x14ac:dyDescent="0.2">
      <c r="B12535" s="207"/>
      <c r="C12535" s="210"/>
      <c r="D12535" s="211"/>
      <c r="E12535" s="211"/>
      <c r="U12535" s="222"/>
    </row>
    <row r="12536" spans="2:21" x14ac:dyDescent="0.2">
      <c r="B12536" s="207"/>
      <c r="C12536" s="210"/>
      <c r="D12536" s="211"/>
      <c r="E12536" s="211"/>
      <c r="U12536" s="222"/>
    </row>
    <row r="12537" spans="2:21" x14ac:dyDescent="0.2">
      <c r="B12537" s="207"/>
      <c r="C12537" s="210"/>
      <c r="D12537" s="211"/>
      <c r="E12537" s="211"/>
      <c r="U12537" s="222"/>
    </row>
    <row r="12538" spans="2:21" x14ac:dyDescent="0.2">
      <c r="B12538" s="207"/>
      <c r="C12538" s="210"/>
      <c r="D12538" s="211"/>
      <c r="E12538" s="211"/>
      <c r="U12538" s="222"/>
    </row>
    <row r="12539" spans="2:21" x14ac:dyDescent="0.2">
      <c r="B12539" s="207"/>
      <c r="C12539" s="210"/>
      <c r="D12539" s="211"/>
      <c r="E12539" s="211"/>
      <c r="U12539" s="222"/>
    </row>
    <row r="12540" spans="2:21" x14ac:dyDescent="0.2">
      <c r="B12540" s="207"/>
      <c r="C12540" s="210"/>
      <c r="D12540" s="211"/>
      <c r="E12540" s="211"/>
      <c r="U12540" s="222"/>
    </row>
    <row r="12541" spans="2:21" x14ac:dyDescent="0.2">
      <c r="B12541" s="207"/>
      <c r="C12541" s="210"/>
      <c r="D12541" s="211"/>
      <c r="E12541" s="211"/>
      <c r="U12541" s="222"/>
    </row>
    <row r="12542" spans="2:21" x14ac:dyDescent="0.2">
      <c r="B12542" s="207"/>
      <c r="C12542" s="210"/>
      <c r="D12542" s="211"/>
      <c r="E12542" s="211"/>
      <c r="U12542" s="222"/>
    </row>
    <row r="12543" spans="2:21" x14ac:dyDescent="0.2">
      <c r="B12543" s="207"/>
      <c r="C12543" s="210"/>
      <c r="D12543" s="211"/>
      <c r="E12543" s="211"/>
      <c r="U12543" s="222"/>
    </row>
    <row r="12544" spans="2:21" x14ac:dyDescent="0.2">
      <c r="B12544" s="207"/>
      <c r="C12544" s="210"/>
      <c r="D12544" s="211"/>
      <c r="E12544" s="211"/>
      <c r="U12544" s="222"/>
    </row>
    <row r="12545" spans="2:21" x14ac:dyDescent="0.2">
      <c r="B12545" s="207"/>
      <c r="C12545" s="210"/>
      <c r="D12545" s="211"/>
      <c r="E12545" s="211"/>
      <c r="U12545" s="222"/>
    </row>
    <row r="12546" spans="2:21" x14ac:dyDescent="0.2">
      <c r="B12546" s="207"/>
      <c r="C12546" s="210"/>
      <c r="D12546" s="211"/>
      <c r="E12546" s="211"/>
      <c r="U12546" s="222"/>
    </row>
    <row r="12547" spans="2:21" x14ac:dyDescent="0.2">
      <c r="B12547" s="207"/>
      <c r="C12547" s="210"/>
      <c r="D12547" s="211"/>
      <c r="E12547" s="211"/>
      <c r="U12547" s="222"/>
    </row>
    <row r="12548" spans="2:21" x14ac:dyDescent="0.2">
      <c r="B12548" s="207"/>
      <c r="C12548" s="210"/>
      <c r="D12548" s="211"/>
      <c r="E12548" s="211"/>
      <c r="U12548" s="222"/>
    </row>
    <row r="12549" spans="2:21" x14ac:dyDescent="0.2">
      <c r="B12549" s="207"/>
      <c r="C12549" s="210"/>
      <c r="D12549" s="211"/>
      <c r="E12549" s="211"/>
      <c r="U12549" s="222"/>
    </row>
    <row r="12550" spans="2:21" x14ac:dyDescent="0.2">
      <c r="B12550" s="207"/>
      <c r="C12550" s="210"/>
      <c r="D12550" s="211"/>
      <c r="E12550" s="211"/>
      <c r="U12550" s="222"/>
    </row>
    <row r="12551" spans="2:21" x14ac:dyDescent="0.2">
      <c r="B12551" s="207"/>
      <c r="C12551" s="210"/>
      <c r="D12551" s="211"/>
      <c r="E12551" s="211"/>
      <c r="U12551" s="222"/>
    </row>
    <row r="12552" spans="2:21" x14ac:dyDescent="0.2">
      <c r="B12552" s="207"/>
      <c r="C12552" s="210"/>
      <c r="D12552" s="211"/>
      <c r="E12552" s="211"/>
      <c r="U12552" s="222"/>
    </row>
    <row r="12553" spans="2:21" x14ac:dyDescent="0.2">
      <c r="B12553" s="207"/>
      <c r="C12553" s="210"/>
      <c r="D12553" s="211"/>
      <c r="E12553" s="211"/>
      <c r="U12553" s="222"/>
    </row>
    <row r="12554" spans="2:21" x14ac:dyDescent="0.2">
      <c r="B12554" s="207"/>
      <c r="C12554" s="210"/>
      <c r="D12554" s="211"/>
      <c r="E12554" s="211"/>
      <c r="U12554" s="222"/>
    </row>
    <row r="12555" spans="2:21" x14ac:dyDescent="0.2">
      <c r="B12555" s="207"/>
      <c r="C12555" s="210"/>
      <c r="D12555" s="211"/>
      <c r="E12555" s="211"/>
      <c r="U12555" s="222"/>
    </row>
    <row r="12556" spans="2:21" x14ac:dyDescent="0.2">
      <c r="B12556" s="207"/>
      <c r="C12556" s="210"/>
      <c r="D12556" s="211"/>
      <c r="E12556" s="211"/>
      <c r="U12556" s="222"/>
    </row>
    <row r="12557" spans="2:21" x14ac:dyDescent="0.2">
      <c r="B12557" s="207"/>
      <c r="C12557" s="210"/>
      <c r="D12557" s="211"/>
      <c r="E12557" s="211"/>
      <c r="U12557" s="222"/>
    </row>
    <row r="12558" spans="2:21" x14ac:dyDescent="0.2">
      <c r="B12558" s="207"/>
      <c r="C12558" s="210"/>
      <c r="D12558" s="211"/>
      <c r="E12558" s="211"/>
      <c r="U12558" s="222"/>
    </row>
    <row r="12559" spans="2:21" x14ac:dyDescent="0.2">
      <c r="B12559" s="207"/>
      <c r="C12559" s="210"/>
      <c r="D12559" s="211"/>
      <c r="E12559" s="211"/>
      <c r="U12559" s="222"/>
    </row>
    <row r="12560" spans="2:21" x14ac:dyDescent="0.2">
      <c r="B12560" s="207"/>
      <c r="C12560" s="210"/>
      <c r="D12560" s="211"/>
      <c r="E12560" s="211"/>
      <c r="U12560" s="222"/>
    </row>
    <row r="12561" spans="2:21" x14ac:dyDescent="0.2">
      <c r="B12561" s="207"/>
      <c r="C12561" s="210"/>
      <c r="D12561" s="211"/>
      <c r="E12561" s="211"/>
      <c r="U12561" s="222"/>
    </row>
    <row r="12562" spans="2:21" x14ac:dyDescent="0.2">
      <c r="B12562" s="207"/>
      <c r="C12562" s="210"/>
      <c r="D12562" s="211"/>
      <c r="E12562" s="211"/>
      <c r="U12562" s="222"/>
    </row>
    <row r="12563" spans="2:21" x14ac:dyDescent="0.2">
      <c r="B12563" s="207"/>
      <c r="C12563" s="210"/>
      <c r="D12563" s="211"/>
      <c r="E12563" s="211"/>
      <c r="U12563" s="222"/>
    </row>
    <row r="12564" spans="2:21" x14ac:dyDescent="0.2">
      <c r="B12564" s="207"/>
      <c r="C12564" s="210"/>
      <c r="D12564" s="211"/>
      <c r="E12564" s="211"/>
      <c r="U12564" s="222"/>
    </row>
    <row r="12565" spans="2:21" x14ac:dyDescent="0.2">
      <c r="B12565" s="207"/>
      <c r="C12565" s="210"/>
      <c r="D12565" s="211"/>
      <c r="E12565" s="211"/>
      <c r="U12565" s="222"/>
    </row>
    <row r="12566" spans="2:21" x14ac:dyDescent="0.2">
      <c r="B12566" s="207"/>
      <c r="C12566" s="210"/>
      <c r="D12566" s="211"/>
      <c r="E12566" s="211"/>
      <c r="U12566" s="222"/>
    </row>
    <row r="12567" spans="2:21" x14ac:dyDescent="0.2">
      <c r="B12567" s="207"/>
      <c r="C12567" s="210"/>
      <c r="D12567" s="211"/>
      <c r="E12567" s="211"/>
      <c r="U12567" s="222"/>
    </row>
    <row r="12568" spans="2:21" x14ac:dyDescent="0.2">
      <c r="B12568" s="207"/>
      <c r="C12568" s="210"/>
      <c r="D12568" s="211"/>
      <c r="E12568" s="211"/>
      <c r="U12568" s="222"/>
    </row>
    <row r="12569" spans="2:21" x14ac:dyDescent="0.2">
      <c r="B12569" s="207"/>
      <c r="C12569" s="210"/>
      <c r="D12569" s="211"/>
      <c r="E12569" s="211"/>
      <c r="U12569" s="222"/>
    </row>
    <row r="12570" spans="2:21" x14ac:dyDescent="0.2">
      <c r="B12570" s="207"/>
      <c r="C12570" s="210"/>
      <c r="D12570" s="211"/>
      <c r="E12570" s="211"/>
      <c r="U12570" s="222"/>
    </row>
    <row r="12571" spans="2:21" x14ac:dyDescent="0.2">
      <c r="B12571" s="207"/>
      <c r="C12571" s="210"/>
      <c r="D12571" s="211"/>
      <c r="E12571" s="211"/>
      <c r="U12571" s="222"/>
    </row>
    <row r="12572" spans="2:21" x14ac:dyDescent="0.2">
      <c r="B12572" s="207"/>
      <c r="C12572" s="210"/>
      <c r="D12572" s="211"/>
      <c r="E12572" s="211"/>
      <c r="U12572" s="222"/>
    </row>
    <row r="12573" spans="2:21" x14ac:dyDescent="0.2">
      <c r="B12573" s="207"/>
      <c r="C12573" s="210"/>
      <c r="D12573" s="211"/>
      <c r="E12573" s="211"/>
      <c r="U12573" s="222"/>
    </row>
    <row r="12574" spans="2:21" x14ac:dyDescent="0.2">
      <c r="B12574" s="207"/>
      <c r="C12574" s="210"/>
      <c r="D12574" s="211"/>
      <c r="E12574" s="211"/>
      <c r="U12574" s="222"/>
    </row>
    <row r="12575" spans="2:21" x14ac:dyDescent="0.2">
      <c r="B12575" s="207"/>
      <c r="C12575" s="210"/>
      <c r="D12575" s="211"/>
      <c r="E12575" s="211"/>
      <c r="U12575" s="222"/>
    </row>
    <row r="12576" spans="2:21" x14ac:dyDescent="0.2">
      <c r="B12576" s="207"/>
      <c r="C12576" s="210"/>
      <c r="D12576" s="211"/>
      <c r="E12576" s="211"/>
      <c r="U12576" s="222"/>
    </row>
    <row r="12577" spans="2:21" x14ac:dyDescent="0.2">
      <c r="B12577" s="207"/>
      <c r="C12577" s="210"/>
      <c r="D12577" s="211"/>
      <c r="E12577" s="211"/>
      <c r="U12577" s="222"/>
    </row>
    <row r="12578" spans="2:21" x14ac:dyDescent="0.2">
      <c r="B12578" s="207"/>
      <c r="C12578" s="210"/>
      <c r="D12578" s="211"/>
      <c r="E12578" s="211"/>
      <c r="U12578" s="222"/>
    </row>
    <row r="12579" spans="2:21" x14ac:dyDescent="0.2">
      <c r="B12579" s="207"/>
      <c r="C12579" s="210"/>
      <c r="D12579" s="211"/>
      <c r="E12579" s="211"/>
      <c r="U12579" s="222"/>
    </row>
    <row r="12580" spans="2:21" x14ac:dyDescent="0.2">
      <c r="B12580" s="207"/>
      <c r="C12580" s="210"/>
      <c r="D12580" s="211"/>
      <c r="E12580" s="211"/>
      <c r="U12580" s="222"/>
    </row>
    <row r="12581" spans="2:21" x14ac:dyDescent="0.2">
      <c r="B12581" s="207"/>
      <c r="C12581" s="210"/>
      <c r="D12581" s="211"/>
      <c r="E12581" s="211"/>
      <c r="U12581" s="222"/>
    </row>
    <row r="12582" spans="2:21" x14ac:dyDescent="0.2">
      <c r="B12582" s="207"/>
      <c r="C12582" s="210"/>
      <c r="D12582" s="211"/>
      <c r="E12582" s="211"/>
      <c r="U12582" s="222"/>
    </row>
    <row r="12583" spans="2:21" x14ac:dyDescent="0.2">
      <c r="B12583" s="207"/>
      <c r="C12583" s="210"/>
      <c r="D12583" s="211"/>
      <c r="E12583" s="211"/>
      <c r="U12583" s="222"/>
    </row>
    <row r="12584" spans="2:21" x14ac:dyDescent="0.2">
      <c r="B12584" s="207"/>
      <c r="C12584" s="210"/>
      <c r="D12584" s="211"/>
      <c r="E12584" s="211"/>
      <c r="U12584" s="222"/>
    </row>
    <row r="12585" spans="2:21" x14ac:dyDescent="0.2">
      <c r="B12585" s="207"/>
      <c r="C12585" s="210"/>
      <c r="D12585" s="211"/>
      <c r="E12585" s="211"/>
      <c r="U12585" s="222"/>
    </row>
    <row r="12586" spans="2:21" x14ac:dyDescent="0.2">
      <c r="B12586" s="207"/>
      <c r="C12586" s="210"/>
      <c r="D12586" s="211"/>
      <c r="E12586" s="211"/>
      <c r="U12586" s="222"/>
    </row>
    <row r="12587" spans="2:21" x14ac:dyDescent="0.2">
      <c r="B12587" s="207"/>
      <c r="C12587" s="210"/>
      <c r="D12587" s="211"/>
      <c r="E12587" s="211"/>
      <c r="U12587" s="222"/>
    </row>
    <row r="12588" spans="2:21" x14ac:dyDescent="0.2">
      <c r="B12588" s="207"/>
      <c r="C12588" s="210"/>
      <c r="D12588" s="211"/>
      <c r="E12588" s="211"/>
      <c r="U12588" s="222"/>
    </row>
    <row r="12589" spans="2:21" x14ac:dyDescent="0.2">
      <c r="B12589" s="207"/>
      <c r="C12589" s="210"/>
      <c r="D12589" s="211"/>
      <c r="E12589" s="211"/>
      <c r="U12589" s="222"/>
    </row>
    <row r="12590" spans="2:21" x14ac:dyDescent="0.2">
      <c r="B12590" s="207"/>
      <c r="C12590" s="210"/>
      <c r="D12590" s="211"/>
      <c r="E12590" s="211"/>
      <c r="U12590" s="222"/>
    </row>
    <row r="12591" spans="2:21" x14ac:dyDescent="0.2">
      <c r="B12591" s="207"/>
      <c r="C12591" s="210"/>
      <c r="D12591" s="211"/>
      <c r="E12591" s="211"/>
      <c r="U12591" s="222"/>
    </row>
    <row r="12592" spans="2:21" x14ac:dyDescent="0.2">
      <c r="B12592" s="207"/>
      <c r="C12592" s="210"/>
      <c r="D12592" s="211"/>
      <c r="E12592" s="211"/>
      <c r="U12592" s="222"/>
    </row>
    <row r="12593" spans="2:21" x14ac:dyDescent="0.2">
      <c r="B12593" s="207"/>
      <c r="C12593" s="210"/>
      <c r="D12593" s="211"/>
      <c r="E12593" s="211"/>
      <c r="U12593" s="222"/>
    </row>
    <row r="12594" spans="2:21" x14ac:dyDescent="0.2">
      <c r="B12594" s="207"/>
      <c r="C12594" s="210"/>
      <c r="D12594" s="211"/>
      <c r="E12594" s="211"/>
      <c r="U12594" s="222"/>
    </row>
    <row r="12595" spans="2:21" x14ac:dyDescent="0.2">
      <c r="B12595" s="207"/>
      <c r="C12595" s="210"/>
      <c r="D12595" s="211"/>
      <c r="E12595" s="211"/>
      <c r="U12595" s="222"/>
    </row>
    <row r="12596" spans="2:21" x14ac:dyDescent="0.2">
      <c r="B12596" s="207"/>
      <c r="C12596" s="210"/>
      <c r="D12596" s="211"/>
      <c r="E12596" s="211"/>
      <c r="U12596" s="222"/>
    </row>
    <row r="12597" spans="2:21" x14ac:dyDescent="0.2">
      <c r="B12597" s="207"/>
      <c r="C12597" s="210"/>
      <c r="D12597" s="211"/>
      <c r="E12597" s="211"/>
      <c r="U12597" s="222"/>
    </row>
    <row r="12598" spans="2:21" x14ac:dyDescent="0.2">
      <c r="B12598" s="207"/>
      <c r="C12598" s="210"/>
      <c r="D12598" s="211"/>
      <c r="E12598" s="211"/>
      <c r="U12598" s="222"/>
    </row>
    <row r="12599" spans="2:21" x14ac:dyDescent="0.2">
      <c r="B12599" s="207"/>
      <c r="C12599" s="210"/>
      <c r="D12599" s="211"/>
      <c r="E12599" s="211"/>
      <c r="U12599" s="222"/>
    </row>
    <row r="12600" spans="2:21" x14ac:dyDescent="0.2">
      <c r="B12600" s="207"/>
      <c r="C12600" s="210"/>
      <c r="D12600" s="211"/>
      <c r="E12600" s="211"/>
      <c r="U12600" s="222"/>
    </row>
    <row r="12601" spans="2:21" x14ac:dyDescent="0.2">
      <c r="B12601" s="207"/>
      <c r="C12601" s="210"/>
      <c r="D12601" s="211"/>
      <c r="E12601" s="211"/>
      <c r="U12601" s="222"/>
    </row>
    <row r="12602" spans="2:21" x14ac:dyDescent="0.2">
      <c r="B12602" s="207"/>
      <c r="C12602" s="210"/>
      <c r="D12602" s="211"/>
      <c r="E12602" s="211"/>
      <c r="U12602" s="222"/>
    </row>
    <row r="12603" spans="2:21" x14ac:dyDescent="0.2">
      <c r="B12603" s="207"/>
      <c r="C12603" s="210"/>
      <c r="D12603" s="211"/>
      <c r="E12603" s="211"/>
      <c r="U12603" s="222"/>
    </row>
    <row r="12604" spans="2:21" x14ac:dyDescent="0.2">
      <c r="B12604" s="207"/>
      <c r="C12604" s="210"/>
      <c r="D12604" s="211"/>
      <c r="E12604" s="211"/>
      <c r="U12604" s="222"/>
    </row>
    <row r="12605" spans="2:21" x14ac:dyDescent="0.2">
      <c r="B12605" s="207"/>
      <c r="C12605" s="210"/>
      <c r="D12605" s="211"/>
      <c r="E12605" s="211"/>
      <c r="U12605" s="222"/>
    </row>
    <row r="12606" spans="2:21" x14ac:dyDescent="0.2">
      <c r="B12606" s="207"/>
      <c r="C12606" s="210"/>
      <c r="D12606" s="211"/>
      <c r="E12606" s="211"/>
      <c r="U12606" s="222"/>
    </row>
    <row r="12607" spans="2:21" x14ac:dyDescent="0.2">
      <c r="B12607" s="207"/>
      <c r="C12607" s="210"/>
      <c r="D12607" s="211"/>
      <c r="E12607" s="211"/>
      <c r="U12607" s="222"/>
    </row>
    <row r="12608" spans="2:21" x14ac:dyDescent="0.2">
      <c r="B12608" s="207"/>
      <c r="C12608" s="210"/>
      <c r="D12608" s="211"/>
      <c r="E12608" s="211"/>
      <c r="U12608" s="222"/>
    </row>
    <row r="12609" spans="2:21" x14ac:dyDescent="0.2">
      <c r="B12609" s="207"/>
      <c r="C12609" s="210"/>
      <c r="D12609" s="211"/>
      <c r="E12609" s="211"/>
      <c r="U12609" s="222"/>
    </row>
    <row r="12610" spans="2:21" x14ac:dyDescent="0.2">
      <c r="B12610" s="207"/>
      <c r="C12610" s="210"/>
      <c r="D12610" s="211"/>
      <c r="E12610" s="211"/>
      <c r="U12610" s="222"/>
    </row>
    <row r="12611" spans="2:21" x14ac:dyDescent="0.2">
      <c r="B12611" s="207"/>
      <c r="C12611" s="210"/>
      <c r="D12611" s="211"/>
      <c r="E12611" s="211"/>
      <c r="U12611" s="222"/>
    </row>
    <row r="12612" spans="2:21" x14ac:dyDescent="0.2">
      <c r="B12612" s="207"/>
      <c r="C12612" s="210"/>
      <c r="D12612" s="211"/>
      <c r="E12612" s="211"/>
      <c r="U12612" s="222"/>
    </row>
    <row r="12613" spans="2:21" x14ac:dyDescent="0.2">
      <c r="B12613" s="207"/>
      <c r="C12613" s="210"/>
      <c r="D12613" s="211"/>
      <c r="E12613" s="211"/>
      <c r="U12613" s="222"/>
    </row>
    <row r="12614" spans="2:21" x14ac:dyDescent="0.2">
      <c r="B12614" s="207"/>
      <c r="C12614" s="210"/>
      <c r="D12614" s="211"/>
      <c r="E12614" s="211"/>
      <c r="U12614" s="222"/>
    </row>
    <row r="12615" spans="2:21" x14ac:dyDescent="0.2">
      <c r="B12615" s="207"/>
      <c r="C12615" s="210"/>
      <c r="D12615" s="211"/>
      <c r="E12615" s="211"/>
      <c r="U12615" s="222"/>
    </row>
    <row r="12616" spans="2:21" x14ac:dyDescent="0.2">
      <c r="B12616" s="207"/>
      <c r="C12616" s="210"/>
      <c r="D12616" s="211"/>
      <c r="E12616" s="211"/>
      <c r="U12616" s="222"/>
    </row>
    <row r="12617" spans="2:21" x14ac:dyDescent="0.2">
      <c r="B12617" s="207"/>
      <c r="C12617" s="210"/>
      <c r="D12617" s="211"/>
      <c r="E12617" s="211"/>
      <c r="U12617" s="222"/>
    </row>
    <row r="12618" spans="2:21" x14ac:dyDescent="0.2">
      <c r="B12618" s="207"/>
      <c r="C12618" s="210"/>
      <c r="D12618" s="211"/>
      <c r="E12618" s="211"/>
      <c r="U12618" s="222"/>
    </row>
    <row r="12619" spans="2:21" x14ac:dyDescent="0.2">
      <c r="B12619" s="207"/>
      <c r="C12619" s="210"/>
      <c r="D12619" s="211"/>
      <c r="E12619" s="211"/>
      <c r="U12619" s="222"/>
    </row>
    <row r="12620" spans="2:21" x14ac:dyDescent="0.2">
      <c r="B12620" s="207"/>
      <c r="C12620" s="210"/>
      <c r="D12620" s="211"/>
      <c r="E12620" s="211"/>
      <c r="U12620" s="222"/>
    </row>
    <row r="12621" spans="2:21" x14ac:dyDescent="0.2">
      <c r="B12621" s="207"/>
      <c r="C12621" s="210"/>
      <c r="D12621" s="211"/>
      <c r="E12621" s="211"/>
      <c r="U12621" s="222"/>
    </row>
    <row r="12622" spans="2:21" x14ac:dyDescent="0.2">
      <c r="B12622" s="207"/>
      <c r="C12622" s="210"/>
      <c r="D12622" s="211"/>
      <c r="E12622" s="211"/>
      <c r="U12622" s="222"/>
    </row>
    <row r="12623" spans="2:21" x14ac:dyDescent="0.2">
      <c r="B12623" s="207"/>
      <c r="C12623" s="210"/>
      <c r="D12623" s="211"/>
      <c r="E12623" s="211"/>
      <c r="U12623" s="222"/>
    </row>
    <row r="12624" spans="2:21" x14ac:dyDescent="0.2">
      <c r="B12624" s="207"/>
      <c r="C12624" s="210"/>
      <c r="D12624" s="211"/>
      <c r="E12624" s="211"/>
      <c r="U12624" s="222"/>
    </row>
    <row r="12625" spans="2:21" x14ac:dyDescent="0.2">
      <c r="B12625" s="207"/>
      <c r="C12625" s="210"/>
      <c r="D12625" s="211"/>
      <c r="E12625" s="211"/>
      <c r="U12625" s="222"/>
    </row>
    <row r="12626" spans="2:21" x14ac:dyDescent="0.2">
      <c r="B12626" s="207"/>
      <c r="C12626" s="210"/>
      <c r="D12626" s="211"/>
      <c r="E12626" s="211"/>
      <c r="U12626" s="222"/>
    </row>
    <row r="12627" spans="2:21" x14ac:dyDescent="0.2">
      <c r="B12627" s="207"/>
      <c r="C12627" s="210"/>
      <c r="D12627" s="211"/>
      <c r="E12627" s="211"/>
      <c r="U12627" s="222"/>
    </row>
    <row r="12628" spans="2:21" x14ac:dyDescent="0.2">
      <c r="B12628" s="207"/>
      <c r="C12628" s="210"/>
      <c r="D12628" s="211"/>
      <c r="E12628" s="211"/>
      <c r="U12628" s="222"/>
    </row>
    <row r="12629" spans="2:21" x14ac:dyDescent="0.2">
      <c r="B12629" s="207"/>
      <c r="C12629" s="210"/>
      <c r="D12629" s="211"/>
      <c r="E12629" s="211"/>
      <c r="U12629" s="222"/>
    </row>
    <row r="12630" spans="2:21" x14ac:dyDescent="0.2">
      <c r="B12630" s="207"/>
      <c r="C12630" s="210"/>
      <c r="D12630" s="211"/>
      <c r="E12630" s="211"/>
      <c r="U12630" s="222"/>
    </row>
    <row r="12631" spans="2:21" x14ac:dyDescent="0.2">
      <c r="B12631" s="207"/>
      <c r="C12631" s="210"/>
      <c r="D12631" s="211"/>
      <c r="E12631" s="211"/>
      <c r="U12631" s="222"/>
    </row>
    <row r="12632" spans="2:21" x14ac:dyDescent="0.2">
      <c r="B12632" s="207"/>
      <c r="C12632" s="210"/>
      <c r="D12632" s="211"/>
      <c r="E12632" s="211"/>
      <c r="U12632" s="222"/>
    </row>
    <row r="12633" spans="2:21" x14ac:dyDescent="0.2">
      <c r="B12633" s="207"/>
      <c r="C12633" s="210"/>
      <c r="D12633" s="211"/>
      <c r="E12633" s="211"/>
      <c r="U12633" s="222"/>
    </row>
    <row r="12634" spans="2:21" x14ac:dyDescent="0.2">
      <c r="B12634" s="207"/>
      <c r="C12634" s="210"/>
      <c r="D12634" s="211"/>
      <c r="E12634" s="211"/>
      <c r="U12634" s="222"/>
    </row>
    <row r="12635" spans="2:21" x14ac:dyDescent="0.2">
      <c r="B12635" s="207"/>
      <c r="C12635" s="210"/>
      <c r="D12635" s="211"/>
      <c r="E12635" s="211"/>
      <c r="U12635" s="222"/>
    </row>
    <row r="12636" spans="2:21" x14ac:dyDescent="0.2">
      <c r="B12636" s="207"/>
      <c r="C12636" s="210"/>
      <c r="D12636" s="211"/>
      <c r="E12636" s="211"/>
      <c r="U12636" s="222"/>
    </row>
    <row r="12637" spans="2:21" x14ac:dyDescent="0.2">
      <c r="B12637" s="207"/>
      <c r="C12637" s="210"/>
      <c r="D12637" s="211"/>
      <c r="E12637" s="211"/>
      <c r="U12637" s="222"/>
    </row>
    <row r="12638" spans="2:21" x14ac:dyDescent="0.2">
      <c r="B12638" s="207"/>
      <c r="C12638" s="210"/>
      <c r="D12638" s="211"/>
      <c r="E12638" s="211"/>
      <c r="U12638" s="222"/>
    </row>
    <row r="12639" spans="2:21" x14ac:dyDescent="0.2">
      <c r="B12639" s="207"/>
      <c r="C12639" s="210"/>
      <c r="D12639" s="211"/>
      <c r="E12639" s="211"/>
      <c r="U12639" s="222"/>
    </row>
    <row r="12640" spans="2:21" x14ac:dyDescent="0.2">
      <c r="B12640" s="207"/>
      <c r="C12640" s="210"/>
      <c r="D12640" s="211"/>
      <c r="E12640" s="211"/>
      <c r="U12640" s="222"/>
    </row>
    <row r="12641" spans="2:21" x14ac:dyDescent="0.2">
      <c r="B12641" s="207"/>
      <c r="C12641" s="210"/>
      <c r="D12641" s="211"/>
      <c r="E12641" s="211"/>
      <c r="U12641" s="222"/>
    </row>
    <row r="12642" spans="2:21" x14ac:dyDescent="0.2">
      <c r="B12642" s="207"/>
      <c r="C12642" s="210"/>
      <c r="D12642" s="211"/>
      <c r="E12642" s="211"/>
      <c r="U12642" s="222"/>
    </row>
    <row r="12643" spans="2:21" x14ac:dyDescent="0.2">
      <c r="B12643" s="207"/>
      <c r="C12643" s="210"/>
      <c r="D12643" s="211"/>
      <c r="E12643" s="211"/>
      <c r="U12643" s="222"/>
    </row>
    <row r="12644" spans="2:21" x14ac:dyDescent="0.2">
      <c r="B12644" s="207"/>
      <c r="C12644" s="210"/>
      <c r="D12644" s="211"/>
      <c r="E12644" s="211"/>
      <c r="U12644" s="222"/>
    </row>
    <row r="12645" spans="2:21" x14ac:dyDescent="0.2">
      <c r="B12645" s="207"/>
      <c r="C12645" s="210"/>
      <c r="D12645" s="211"/>
      <c r="E12645" s="211"/>
      <c r="U12645" s="222"/>
    </row>
    <row r="12646" spans="2:21" x14ac:dyDescent="0.2">
      <c r="B12646" s="207"/>
      <c r="C12646" s="210"/>
      <c r="D12646" s="211"/>
      <c r="E12646" s="211"/>
      <c r="U12646" s="222"/>
    </row>
    <row r="12647" spans="2:21" x14ac:dyDescent="0.2">
      <c r="B12647" s="207"/>
      <c r="C12647" s="210"/>
      <c r="D12647" s="211"/>
      <c r="E12647" s="211"/>
      <c r="U12647" s="222"/>
    </row>
    <row r="12648" spans="2:21" x14ac:dyDescent="0.2">
      <c r="B12648" s="207"/>
      <c r="C12648" s="210"/>
      <c r="D12648" s="211"/>
      <c r="E12648" s="211"/>
      <c r="U12648" s="222"/>
    </row>
    <row r="12649" spans="2:21" x14ac:dyDescent="0.2">
      <c r="B12649" s="207"/>
      <c r="C12649" s="210"/>
      <c r="D12649" s="211"/>
      <c r="E12649" s="211"/>
      <c r="U12649" s="222"/>
    </row>
    <row r="12650" spans="2:21" x14ac:dyDescent="0.2">
      <c r="B12650" s="207"/>
      <c r="C12650" s="210"/>
      <c r="D12650" s="211"/>
      <c r="E12650" s="211"/>
      <c r="U12650" s="222"/>
    </row>
    <row r="12651" spans="2:21" x14ac:dyDescent="0.2">
      <c r="B12651" s="207"/>
      <c r="C12651" s="210"/>
      <c r="D12651" s="211"/>
      <c r="E12651" s="211"/>
      <c r="U12651" s="222"/>
    </row>
    <row r="12652" spans="2:21" x14ac:dyDescent="0.2">
      <c r="B12652" s="207"/>
      <c r="C12652" s="210"/>
      <c r="D12652" s="211"/>
      <c r="E12652" s="211"/>
      <c r="U12652" s="222"/>
    </row>
    <row r="12653" spans="2:21" x14ac:dyDescent="0.2">
      <c r="B12653" s="207"/>
      <c r="C12653" s="210"/>
      <c r="D12653" s="211"/>
      <c r="E12653" s="211"/>
      <c r="U12653" s="222"/>
    </row>
    <row r="12654" spans="2:21" x14ac:dyDescent="0.2">
      <c r="B12654" s="207"/>
      <c r="C12654" s="210"/>
      <c r="D12654" s="211"/>
      <c r="E12654" s="211"/>
      <c r="U12654" s="222"/>
    </row>
    <row r="12655" spans="2:21" x14ac:dyDescent="0.2">
      <c r="B12655" s="207"/>
      <c r="C12655" s="210"/>
      <c r="D12655" s="211"/>
      <c r="E12655" s="211"/>
      <c r="U12655" s="222"/>
    </row>
    <row r="12656" spans="2:21" x14ac:dyDescent="0.2">
      <c r="B12656" s="207"/>
      <c r="C12656" s="210"/>
      <c r="D12656" s="211"/>
      <c r="E12656" s="211"/>
      <c r="U12656" s="222"/>
    </row>
    <row r="12657" spans="2:21" x14ac:dyDescent="0.2">
      <c r="B12657" s="207"/>
      <c r="C12657" s="210"/>
      <c r="D12657" s="211"/>
      <c r="E12657" s="211"/>
      <c r="U12657" s="222"/>
    </row>
    <row r="12658" spans="2:21" x14ac:dyDescent="0.2">
      <c r="B12658" s="207"/>
      <c r="C12658" s="210"/>
      <c r="D12658" s="211"/>
      <c r="E12658" s="211"/>
      <c r="U12658" s="222"/>
    </row>
    <row r="12659" spans="2:21" x14ac:dyDescent="0.2">
      <c r="B12659" s="207"/>
      <c r="C12659" s="210"/>
      <c r="D12659" s="211"/>
      <c r="E12659" s="211"/>
      <c r="U12659" s="222"/>
    </row>
    <row r="12660" spans="2:21" x14ac:dyDescent="0.2">
      <c r="B12660" s="207"/>
      <c r="C12660" s="210"/>
      <c r="D12660" s="211"/>
      <c r="E12660" s="211"/>
      <c r="U12660" s="222"/>
    </row>
    <row r="12661" spans="2:21" x14ac:dyDescent="0.2">
      <c r="B12661" s="207"/>
      <c r="C12661" s="210"/>
      <c r="D12661" s="211"/>
      <c r="E12661" s="211"/>
      <c r="U12661" s="222"/>
    </row>
    <row r="12662" spans="2:21" x14ac:dyDescent="0.2">
      <c r="B12662" s="207"/>
      <c r="C12662" s="210"/>
      <c r="D12662" s="211"/>
      <c r="E12662" s="211"/>
      <c r="U12662" s="222"/>
    </row>
    <row r="12663" spans="2:21" x14ac:dyDescent="0.2">
      <c r="B12663" s="207"/>
      <c r="C12663" s="210"/>
      <c r="D12663" s="211"/>
      <c r="E12663" s="211"/>
      <c r="U12663" s="222"/>
    </row>
    <row r="12664" spans="2:21" x14ac:dyDescent="0.2">
      <c r="B12664" s="207"/>
      <c r="C12664" s="210"/>
      <c r="D12664" s="211"/>
      <c r="E12664" s="211"/>
      <c r="U12664" s="222"/>
    </row>
    <row r="12665" spans="2:21" x14ac:dyDescent="0.2">
      <c r="B12665" s="207"/>
      <c r="C12665" s="210"/>
      <c r="D12665" s="211"/>
      <c r="E12665" s="211"/>
      <c r="U12665" s="222"/>
    </row>
    <row r="12666" spans="2:21" x14ac:dyDescent="0.2">
      <c r="B12666" s="207"/>
      <c r="C12666" s="210"/>
      <c r="D12666" s="211"/>
      <c r="E12666" s="211"/>
      <c r="U12666" s="222"/>
    </row>
    <row r="12667" spans="2:21" x14ac:dyDescent="0.2">
      <c r="B12667" s="207"/>
      <c r="C12667" s="210"/>
      <c r="D12667" s="211"/>
      <c r="E12667" s="211"/>
      <c r="U12667" s="222"/>
    </row>
    <row r="12668" spans="2:21" x14ac:dyDescent="0.2">
      <c r="B12668" s="207"/>
      <c r="C12668" s="210"/>
      <c r="D12668" s="211"/>
      <c r="E12668" s="211"/>
      <c r="U12668" s="222"/>
    </row>
    <row r="12669" spans="2:21" x14ac:dyDescent="0.2">
      <c r="B12669" s="207"/>
      <c r="C12669" s="210"/>
      <c r="D12669" s="211"/>
      <c r="E12669" s="211"/>
      <c r="U12669" s="222"/>
    </row>
    <row r="12670" spans="2:21" x14ac:dyDescent="0.2">
      <c r="B12670" s="207"/>
      <c r="C12670" s="210"/>
      <c r="D12670" s="211"/>
      <c r="E12670" s="211"/>
      <c r="U12670" s="222"/>
    </row>
    <row r="12671" spans="2:21" x14ac:dyDescent="0.2">
      <c r="B12671" s="207"/>
      <c r="C12671" s="210"/>
      <c r="D12671" s="211"/>
      <c r="E12671" s="211"/>
      <c r="U12671" s="222"/>
    </row>
    <row r="12672" spans="2:21" x14ac:dyDescent="0.2">
      <c r="B12672" s="207"/>
      <c r="C12672" s="210"/>
      <c r="D12672" s="211"/>
      <c r="E12672" s="211"/>
      <c r="U12672" s="222"/>
    </row>
    <row r="12673" spans="2:21" x14ac:dyDescent="0.2">
      <c r="B12673" s="207"/>
      <c r="C12673" s="210"/>
      <c r="D12673" s="211"/>
      <c r="E12673" s="211"/>
      <c r="U12673" s="222"/>
    </row>
    <row r="12674" spans="2:21" x14ac:dyDescent="0.2">
      <c r="B12674" s="207"/>
      <c r="C12674" s="210"/>
      <c r="D12674" s="211"/>
      <c r="E12674" s="211"/>
      <c r="U12674" s="222"/>
    </row>
    <row r="12675" spans="2:21" x14ac:dyDescent="0.2">
      <c r="B12675" s="207"/>
      <c r="C12675" s="210"/>
      <c r="D12675" s="211"/>
      <c r="E12675" s="211"/>
      <c r="U12675" s="222"/>
    </row>
    <row r="12676" spans="2:21" x14ac:dyDescent="0.2">
      <c r="B12676" s="207"/>
      <c r="C12676" s="210"/>
      <c r="D12676" s="211"/>
      <c r="E12676" s="211"/>
      <c r="U12676" s="222"/>
    </row>
    <row r="12677" spans="2:21" x14ac:dyDescent="0.2">
      <c r="B12677" s="207"/>
      <c r="C12677" s="210"/>
      <c r="D12677" s="211"/>
      <c r="E12677" s="211"/>
      <c r="U12677" s="222"/>
    </row>
    <row r="12678" spans="2:21" x14ac:dyDescent="0.2">
      <c r="B12678" s="207"/>
      <c r="C12678" s="210"/>
      <c r="D12678" s="211"/>
      <c r="E12678" s="211"/>
      <c r="U12678" s="222"/>
    </row>
    <row r="12679" spans="2:21" x14ac:dyDescent="0.2">
      <c r="B12679" s="207"/>
      <c r="C12679" s="210"/>
      <c r="D12679" s="211"/>
      <c r="E12679" s="211"/>
      <c r="U12679" s="222"/>
    </row>
    <row r="12680" spans="2:21" x14ac:dyDescent="0.2">
      <c r="B12680" s="207"/>
      <c r="C12680" s="210"/>
      <c r="D12680" s="211"/>
      <c r="E12680" s="211"/>
      <c r="U12680" s="222"/>
    </row>
    <row r="12681" spans="2:21" x14ac:dyDescent="0.2">
      <c r="B12681" s="207"/>
      <c r="C12681" s="210"/>
      <c r="D12681" s="211"/>
      <c r="E12681" s="211"/>
      <c r="U12681" s="222"/>
    </row>
    <row r="12682" spans="2:21" x14ac:dyDescent="0.2">
      <c r="B12682" s="207"/>
      <c r="C12682" s="210"/>
      <c r="D12682" s="211"/>
      <c r="E12682" s="211"/>
      <c r="U12682" s="222"/>
    </row>
    <row r="12683" spans="2:21" x14ac:dyDescent="0.2">
      <c r="B12683" s="207"/>
      <c r="C12683" s="210"/>
      <c r="D12683" s="211"/>
      <c r="E12683" s="211"/>
      <c r="U12683" s="222"/>
    </row>
    <row r="12684" spans="2:21" x14ac:dyDescent="0.2">
      <c r="B12684" s="207"/>
      <c r="C12684" s="210"/>
      <c r="D12684" s="211"/>
      <c r="E12684" s="211"/>
      <c r="U12684" s="222"/>
    </row>
    <row r="12685" spans="2:21" x14ac:dyDescent="0.2">
      <c r="B12685" s="207"/>
      <c r="C12685" s="210"/>
      <c r="D12685" s="211"/>
      <c r="E12685" s="211"/>
      <c r="U12685" s="222"/>
    </row>
    <row r="12686" spans="2:21" x14ac:dyDescent="0.2">
      <c r="B12686" s="207"/>
      <c r="C12686" s="210"/>
      <c r="D12686" s="211"/>
      <c r="E12686" s="211"/>
      <c r="U12686" s="222"/>
    </row>
    <row r="12687" spans="2:21" x14ac:dyDescent="0.2">
      <c r="B12687" s="207"/>
      <c r="C12687" s="210"/>
      <c r="D12687" s="211"/>
      <c r="E12687" s="211"/>
      <c r="U12687" s="222"/>
    </row>
    <row r="12688" spans="2:21" x14ac:dyDescent="0.2">
      <c r="B12688" s="207"/>
      <c r="C12688" s="210"/>
      <c r="D12688" s="211"/>
      <c r="E12688" s="211"/>
      <c r="U12688" s="222"/>
    </row>
    <row r="12689" spans="2:21" x14ac:dyDescent="0.2">
      <c r="B12689" s="207"/>
      <c r="C12689" s="210"/>
      <c r="D12689" s="211"/>
      <c r="E12689" s="211"/>
      <c r="U12689" s="222"/>
    </row>
    <row r="12690" spans="2:21" x14ac:dyDescent="0.2">
      <c r="B12690" s="207"/>
      <c r="C12690" s="210"/>
      <c r="D12690" s="211"/>
      <c r="E12690" s="211"/>
      <c r="U12690" s="222"/>
    </row>
    <row r="12691" spans="2:21" x14ac:dyDescent="0.2">
      <c r="B12691" s="207"/>
      <c r="C12691" s="210"/>
      <c r="D12691" s="211"/>
      <c r="E12691" s="211"/>
      <c r="U12691" s="222"/>
    </row>
    <row r="12692" spans="2:21" x14ac:dyDescent="0.2">
      <c r="B12692" s="207"/>
      <c r="C12692" s="210"/>
      <c r="D12692" s="211"/>
      <c r="E12692" s="211"/>
      <c r="U12692" s="222"/>
    </row>
    <row r="12693" spans="2:21" x14ac:dyDescent="0.2">
      <c r="B12693" s="207"/>
      <c r="C12693" s="210"/>
      <c r="D12693" s="211"/>
      <c r="E12693" s="211"/>
      <c r="U12693" s="222"/>
    </row>
    <row r="12694" spans="2:21" x14ac:dyDescent="0.2">
      <c r="B12694" s="207"/>
      <c r="C12694" s="210"/>
      <c r="D12694" s="211"/>
      <c r="E12694" s="211"/>
      <c r="U12694" s="222"/>
    </row>
    <row r="12695" spans="2:21" x14ac:dyDescent="0.2">
      <c r="B12695" s="207"/>
      <c r="C12695" s="210"/>
      <c r="D12695" s="211"/>
      <c r="E12695" s="211"/>
      <c r="U12695" s="222"/>
    </row>
    <row r="12696" spans="2:21" x14ac:dyDescent="0.2">
      <c r="B12696" s="207"/>
      <c r="C12696" s="210"/>
      <c r="D12696" s="211"/>
      <c r="E12696" s="211"/>
      <c r="U12696" s="222"/>
    </row>
    <row r="12697" spans="2:21" x14ac:dyDescent="0.2">
      <c r="B12697" s="207"/>
      <c r="C12697" s="210"/>
      <c r="D12697" s="211"/>
      <c r="E12697" s="211"/>
      <c r="U12697" s="222"/>
    </row>
    <row r="12698" spans="2:21" x14ac:dyDescent="0.2">
      <c r="B12698" s="207"/>
      <c r="C12698" s="210"/>
      <c r="D12698" s="211"/>
      <c r="E12698" s="211"/>
      <c r="U12698" s="222"/>
    </row>
    <row r="12699" spans="2:21" x14ac:dyDescent="0.2">
      <c r="B12699" s="207"/>
      <c r="C12699" s="210"/>
      <c r="D12699" s="211"/>
      <c r="E12699" s="211"/>
      <c r="U12699" s="222"/>
    </row>
    <row r="12700" spans="2:21" x14ac:dyDescent="0.2">
      <c r="B12700" s="207"/>
      <c r="C12700" s="210"/>
      <c r="D12700" s="211"/>
      <c r="E12700" s="211"/>
      <c r="U12700" s="222"/>
    </row>
    <row r="12701" spans="2:21" x14ac:dyDescent="0.2">
      <c r="B12701" s="207"/>
      <c r="C12701" s="210"/>
      <c r="D12701" s="211"/>
      <c r="E12701" s="211"/>
      <c r="U12701" s="222"/>
    </row>
    <row r="12702" spans="2:21" x14ac:dyDescent="0.2">
      <c r="B12702" s="207"/>
      <c r="C12702" s="210"/>
      <c r="D12702" s="211"/>
      <c r="E12702" s="211"/>
      <c r="U12702" s="222"/>
    </row>
    <row r="12703" spans="2:21" x14ac:dyDescent="0.2">
      <c r="B12703" s="207"/>
      <c r="C12703" s="210"/>
      <c r="D12703" s="211"/>
      <c r="E12703" s="211"/>
      <c r="U12703" s="222"/>
    </row>
    <row r="12704" spans="2:21" x14ac:dyDescent="0.2">
      <c r="B12704" s="207"/>
      <c r="C12704" s="210"/>
      <c r="D12704" s="211"/>
      <c r="E12704" s="211"/>
      <c r="U12704" s="222"/>
    </row>
    <row r="12705" spans="2:21" x14ac:dyDescent="0.2">
      <c r="B12705" s="207"/>
      <c r="C12705" s="210"/>
      <c r="D12705" s="211"/>
      <c r="E12705" s="211"/>
      <c r="U12705" s="222"/>
    </row>
    <row r="12706" spans="2:21" x14ac:dyDescent="0.2">
      <c r="B12706" s="207"/>
      <c r="C12706" s="210"/>
      <c r="D12706" s="211"/>
      <c r="E12706" s="211"/>
      <c r="U12706" s="222"/>
    </row>
    <row r="12707" spans="2:21" x14ac:dyDescent="0.2">
      <c r="B12707" s="207"/>
      <c r="C12707" s="210"/>
      <c r="D12707" s="211"/>
      <c r="E12707" s="211"/>
      <c r="U12707" s="222"/>
    </row>
    <row r="12708" spans="2:21" x14ac:dyDescent="0.2">
      <c r="B12708" s="207"/>
      <c r="C12708" s="210"/>
      <c r="D12708" s="211"/>
      <c r="E12708" s="211"/>
      <c r="U12708" s="222"/>
    </row>
    <row r="12709" spans="2:21" x14ac:dyDescent="0.2">
      <c r="B12709" s="207"/>
      <c r="C12709" s="210"/>
      <c r="D12709" s="211"/>
      <c r="E12709" s="211"/>
      <c r="U12709" s="222"/>
    </row>
    <row r="12710" spans="2:21" x14ac:dyDescent="0.2">
      <c r="B12710" s="207"/>
      <c r="C12710" s="210"/>
      <c r="D12710" s="211"/>
      <c r="E12710" s="211"/>
      <c r="U12710" s="222"/>
    </row>
    <row r="12711" spans="2:21" x14ac:dyDescent="0.2">
      <c r="B12711" s="207"/>
      <c r="C12711" s="210"/>
      <c r="D12711" s="211"/>
      <c r="E12711" s="211"/>
      <c r="U12711" s="222"/>
    </row>
    <row r="12712" spans="2:21" x14ac:dyDescent="0.2">
      <c r="B12712" s="207"/>
      <c r="C12712" s="210"/>
      <c r="D12712" s="211"/>
      <c r="E12712" s="211"/>
      <c r="U12712" s="222"/>
    </row>
    <row r="12713" spans="2:21" x14ac:dyDescent="0.2">
      <c r="B12713" s="207"/>
      <c r="C12713" s="210"/>
      <c r="D12713" s="211"/>
      <c r="E12713" s="211"/>
      <c r="U12713" s="222"/>
    </row>
    <row r="12714" spans="2:21" x14ac:dyDescent="0.2">
      <c r="B12714" s="207"/>
      <c r="C12714" s="210"/>
      <c r="D12714" s="211"/>
      <c r="E12714" s="211"/>
      <c r="U12714" s="222"/>
    </row>
    <row r="12715" spans="2:21" x14ac:dyDescent="0.2">
      <c r="B12715" s="207"/>
      <c r="C12715" s="210"/>
      <c r="D12715" s="211"/>
      <c r="E12715" s="211"/>
      <c r="U12715" s="222"/>
    </row>
    <row r="12716" spans="2:21" x14ac:dyDescent="0.2">
      <c r="B12716" s="207"/>
      <c r="C12716" s="210"/>
      <c r="D12716" s="211"/>
      <c r="E12716" s="211"/>
      <c r="U12716" s="222"/>
    </row>
    <row r="12717" spans="2:21" x14ac:dyDescent="0.2">
      <c r="B12717" s="207"/>
      <c r="C12717" s="210"/>
      <c r="D12717" s="211"/>
      <c r="E12717" s="211"/>
      <c r="U12717" s="222"/>
    </row>
    <row r="12718" spans="2:21" x14ac:dyDescent="0.2">
      <c r="B12718" s="207"/>
      <c r="C12718" s="210"/>
      <c r="D12718" s="211"/>
      <c r="E12718" s="211"/>
      <c r="U12718" s="222"/>
    </row>
    <row r="12719" spans="2:21" x14ac:dyDescent="0.2">
      <c r="B12719" s="207"/>
      <c r="C12719" s="210"/>
      <c r="D12719" s="211"/>
      <c r="E12719" s="211"/>
      <c r="U12719" s="222"/>
    </row>
    <row r="12720" spans="2:21" x14ac:dyDescent="0.2">
      <c r="B12720" s="207"/>
      <c r="C12720" s="210"/>
      <c r="D12720" s="211"/>
      <c r="E12720" s="211"/>
      <c r="U12720" s="222"/>
    </row>
    <row r="12721" spans="2:21" x14ac:dyDescent="0.2">
      <c r="B12721" s="207"/>
      <c r="C12721" s="210"/>
      <c r="D12721" s="211"/>
      <c r="E12721" s="211"/>
      <c r="U12721" s="222"/>
    </row>
    <row r="12722" spans="2:21" x14ac:dyDescent="0.2">
      <c r="B12722" s="207"/>
      <c r="C12722" s="210"/>
      <c r="D12722" s="211"/>
      <c r="E12722" s="211"/>
      <c r="U12722" s="222"/>
    </row>
    <row r="12723" spans="2:21" x14ac:dyDescent="0.2">
      <c r="B12723" s="207"/>
      <c r="C12723" s="210"/>
      <c r="D12723" s="211"/>
      <c r="E12723" s="211"/>
      <c r="U12723" s="222"/>
    </row>
    <row r="12724" spans="2:21" x14ac:dyDescent="0.2">
      <c r="B12724" s="207"/>
      <c r="C12724" s="210"/>
      <c r="D12724" s="211"/>
      <c r="E12724" s="211"/>
      <c r="U12724" s="222"/>
    </row>
    <row r="12725" spans="2:21" x14ac:dyDescent="0.2">
      <c r="B12725" s="207"/>
      <c r="C12725" s="210"/>
      <c r="D12725" s="211"/>
      <c r="E12725" s="211"/>
      <c r="U12725" s="222"/>
    </row>
    <row r="12726" spans="2:21" x14ac:dyDescent="0.2">
      <c r="B12726" s="207"/>
      <c r="C12726" s="210"/>
      <c r="D12726" s="211"/>
      <c r="E12726" s="211"/>
      <c r="U12726" s="222"/>
    </row>
    <row r="12727" spans="2:21" x14ac:dyDescent="0.2">
      <c r="B12727" s="207"/>
      <c r="C12727" s="210"/>
      <c r="D12727" s="211"/>
      <c r="E12727" s="211"/>
      <c r="U12727" s="222"/>
    </row>
    <row r="12728" spans="2:21" x14ac:dyDescent="0.2">
      <c r="B12728" s="207"/>
      <c r="C12728" s="210"/>
      <c r="D12728" s="211"/>
      <c r="E12728" s="211"/>
      <c r="U12728" s="222"/>
    </row>
    <row r="12729" spans="2:21" x14ac:dyDescent="0.2">
      <c r="B12729" s="207"/>
      <c r="C12729" s="210"/>
      <c r="D12729" s="211"/>
      <c r="E12729" s="211"/>
      <c r="U12729" s="222"/>
    </row>
    <row r="12730" spans="2:21" x14ac:dyDescent="0.2">
      <c r="B12730" s="207"/>
      <c r="C12730" s="210"/>
      <c r="D12730" s="211"/>
      <c r="E12730" s="211"/>
      <c r="U12730" s="222"/>
    </row>
    <row r="12731" spans="2:21" x14ac:dyDescent="0.2">
      <c r="B12731" s="207"/>
      <c r="C12731" s="210"/>
      <c r="D12731" s="211"/>
      <c r="E12731" s="211"/>
      <c r="U12731" s="222"/>
    </row>
    <row r="12732" spans="2:21" x14ac:dyDescent="0.2">
      <c r="B12732" s="207"/>
      <c r="C12732" s="210"/>
      <c r="D12732" s="211"/>
      <c r="E12732" s="211"/>
      <c r="U12732" s="222"/>
    </row>
    <row r="12733" spans="2:21" x14ac:dyDescent="0.2">
      <c r="B12733" s="207"/>
      <c r="C12733" s="210"/>
      <c r="D12733" s="211"/>
      <c r="E12733" s="211"/>
      <c r="U12733" s="222"/>
    </row>
    <row r="12734" spans="2:21" x14ac:dyDescent="0.2">
      <c r="B12734" s="207"/>
      <c r="C12734" s="210"/>
      <c r="D12734" s="211"/>
      <c r="E12734" s="211"/>
      <c r="U12734" s="222"/>
    </row>
    <row r="12735" spans="2:21" x14ac:dyDescent="0.2">
      <c r="B12735" s="207"/>
      <c r="C12735" s="210"/>
      <c r="D12735" s="211"/>
      <c r="E12735" s="211"/>
      <c r="U12735" s="222"/>
    </row>
    <row r="12736" spans="2:21" x14ac:dyDescent="0.2">
      <c r="B12736" s="207"/>
      <c r="C12736" s="210"/>
      <c r="D12736" s="211"/>
      <c r="E12736" s="211"/>
      <c r="U12736" s="222"/>
    </row>
    <row r="12737" spans="2:21" x14ac:dyDescent="0.2">
      <c r="B12737" s="207"/>
      <c r="C12737" s="210"/>
      <c r="D12737" s="211"/>
      <c r="E12737" s="211"/>
      <c r="U12737" s="222"/>
    </row>
    <row r="12738" spans="2:21" x14ac:dyDescent="0.2">
      <c r="B12738" s="207"/>
      <c r="C12738" s="210"/>
      <c r="D12738" s="211"/>
      <c r="E12738" s="211"/>
      <c r="U12738" s="222"/>
    </row>
    <row r="12739" spans="2:21" x14ac:dyDescent="0.2">
      <c r="B12739" s="207"/>
      <c r="C12739" s="210"/>
      <c r="D12739" s="211"/>
      <c r="E12739" s="211"/>
      <c r="U12739" s="222"/>
    </row>
    <row r="12740" spans="2:21" x14ac:dyDescent="0.2">
      <c r="B12740" s="207"/>
      <c r="C12740" s="210"/>
      <c r="D12740" s="211"/>
      <c r="E12740" s="211"/>
      <c r="U12740" s="222"/>
    </row>
    <row r="12741" spans="2:21" x14ac:dyDescent="0.2">
      <c r="B12741" s="207"/>
      <c r="C12741" s="210"/>
      <c r="D12741" s="211"/>
      <c r="E12741" s="211"/>
      <c r="U12741" s="222"/>
    </row>
    <row r="12742" spans="2:21" x14ac:dyDescent="0.2">
      <c r="B12742" s="207"/>
      <c r="C12742" s="210"/>
      <c r="D12742" s="211"/>
      <c r="E12742" s="211"/>
      <c r="U12742" s="222"/>
    </row>
    <row r="12743" spans="2:21" x14ac:dyDescent="0.2">
      <c r="B12743" s="207"/>
      <c r="C12743" s="210"/>
      <c r="D12743" s="211"/>
      <c r="E12743" s="211"/>
      <c r="U12743" s="222"/>
    </row>
    <row r="12744" spans="2:21" x14ac:dyDescent="0.2">
      <c r="B12744" s="207"/>
      <c r="C12744" s="210"/>
      <c r="D12744" s="211"/>
      <c r="E12744" s="211"/>
      <c r="U12744" s="222"/>
    </row>
    <row r="12745" spans="2:21" x14ac:dyDescent="0.2">
      <c r="B12745" s="207"/>
      <c r="C12745" s="210"/>
      <c r="D12745" s="211"/>
      <c r="E12745" s="211"/>
      <c r="U12745" s="222"/>
    </row>
    <row r="12746" spans="2:21" x14ac:dyDescent="0.2">
      <c r="B12746" s="207"/>
      <c r="C12746" s="210"/>
      <c r="D12746" s="211"/>
      <c r="E12746" s="211"/>
      <c r="U12746" s="222"/>
    </row>
    <row r="12747" spans="2:21" x14ac:dyDescent="0.2">
      <c r="B12747" s="207"/>
      <c r="C12747" s="210"/>
      <c r="D12747" s="211"/>
      <c r="E12747" s="211"/>
      <c r="U12747" s="222"/>
    </row>
    <row r="12748" spans="2:21" x14ac:dyDescent="0.2">
      <c r="B12748" s="207"/>
      <c r="C12748" s="210"/>
      <c r="D12748" s="211"/>
      <c r="E12748" s="211"/>
      <c r="U12748" s="222"/>
    </row>
    <row r="12749" spans="2:21" x14ac:dyDescent="0.2">
      <c r="B12749" s="207"/>
      <c r="C12749" s="210"/>
      <c r="D12749" s="211"/>
      <c r="E12749" s="211"/>
      <c r="U12749" s="222"/>
    </row>
    <row r="12750" spans="2:21" x14ac:dyDescent="0.2">
      <c r="B12750" s="207"/>
      <c r="C12750" s="210"/>
      <c r="D12750" s="211"/>
      <c r="E12750" s="211"/>
      <c r="U12750" s="222"/>
    </row>
    <row r="12751" spans="2:21" x14ac:dyDescent="0.2">
      <c r="B12751" s="207"/>
      <c r="C12751" s="210"/>
      <c r="D12751" s="211"/>
      <c r="E12751" s="211"/>
      <c r="U12751" s="222"/>
    </row>
    <row r="12752" spans="2:21" x14ac:dyDescent="0.2">
      <c r="B12752" s="207"/>
      <c r="C12752" s="210"/>
      <c r="D12752" s="211"/>
      <c r="E12752" s="211"/>
      <c r="U12752" s="222"/>
    </row>
    <row r="12753" spans="2:21" x14ac:dyDescent="0.2">
      <c r="B12753" s="207"/>
      <c r="C12753" s="210"/>
      <c r="D12753" s="211"/>
      <c r="E12753" s="211"/>
      <c r="U12753" s="222"/>
    </row>
    <row r="12754" spans="2:21" x14ac:dyDescent="0.2">
      <c r="B12754" s="207"/>
      <c r="C12754" s="210"/>
      <c r="D12754" s="211"/>
      <c r="E12754" s="211"/>
      <c r="U12754" s="222"/>
    </row>
    <row r="12755" spans="2:21" x14ac:dyDescent="0.2">
      <c r="B12755" s="207"/>
      <c r="C12755" s="210"/>
      <c r="D12755" s="211"/>
      <c r="E12755" s="211"/>
      <c r="U12755" s="222"/>
    </row>
    <row r="12756" spans="2:21" x14ac:dyDescent="0.2">
      <c r="B12756" s="207"/>
      <c r="C12756" s="210"/>
      <c r="D12756" s="211"/>
      <c r="E12756" s="211"/>
      <c r="U12756" s="222"/>
    </row>
    <row r="12757" spans="2:21" x14ac:dyDescent="0.2">
      <c r="B12757" s="207"/>
      <c r="C12757" s="210"/>
      <c r="D12757" s="211"/>
      <c r="E12757" s="211"/>
      <c r="U12757" s="222"/>
    </row>
    <row r="12758" spans="2:21" x14ac:dyDescent="0.2">
      <c r="B12758" s="207"/>
      <c r="C12758" s="210"/>
      <c r="D12758" s="211"/>
      <c r="E12758" s="211"/>
      <c r="U12758" s="222"/>
    </row>
    <row r="12759" spans="2:21" x14ac:dyDescent="0.2">
      <c r="B12759" s="207"/>
      <c r="C12759" s="210"/>
      <c r="D12759" s="211"/>
      <c r="E12759" s="211"/>
      <c r="U12759" s="222"/>
    </row>
    <row r="12760" spans="2:21" x14ac:dyDescent="0.2">
      <c r="B12760" s="207"/>
      <c r="C12760" s="210"/>
      <c r="D12760" s="211"/>
      <c r="E12760" s="211"/>
      <c r="U12760" s="222"/>
    </row>
    <row r="12761" spans="2:21" x14ac:dyDescent="0.2">
      <c r="B12761" s="207"/>
      <c r="C12761" s="210"/>
      <c r="D12761" s="211"/>
      <c r="E12761" s="211"/>
      <c r="U12761" s="222"/>
    </row>
    <row r="12762" spans="2:21" x14ac:dyDescent="0.2">
      <c r="B12762" s="207"/>
      <c r="C12762" s="210"/>
      <c r="D12762" s="211"/>
      <c r="E12762" s="211"/>
      <c r="U12762" s="222"/>
    </row>
    <row r="12763" spans="2:21" x14ac:dyDescent="0.2">
      <c r="B12763" s="207"/>
      <c r="C12763" s="210"/>
      <c r="D12763" s="211"/>
      <c r="E12763" s="211"/>
      <c r="U12763" s="222"/>
    </row>
    <row r="12764" spans="2:21" x14ac:dyDescent="0.2">
      <c r="B12764" s="207"/>
      <c r="C12764" s="210"/>
      <c r="D12764" s="211"/>
      <c r="E12764" s="211"/>
      <c r="U12764" s="222"/>
    </row>
    <row r="12765" spans="2:21" x14ac:dyDescent="0.2">
      <c r="B12765" s="207"/>
      <c r="C12765" s="210"/>
      <c r="D12765" s="211"/>
      <c r="E12765" s="211"/>
      <c r="U12765" s="222"/>
    </row>
    <row r="12766" spans="2:21" x14ac:dyDescent="0.2">
      <c r="B12766" s="207"/>
      <c r="C12766" s="210"/>
      <c r="D12766" s="211"/>
      <c r="E12766" s="211"/>
      <c r="U12766" s="222"/>
    </row>
    <row r="12767" spans="2:21" x14ac:dyDescent="0.2">
      <c r="B12767" s="207"/>
      <c r="C12767" s="210"/>
      <c r="D12767" s="211"/>
      <c r="E12767" s="211"/>
      <c r="U12767" s="222"/>
    </row>
    <row r="12768" spans="2:21" x14ac:dyDescent="0.2">
      <c r="B12768" s="207"/>
      <c r="C12768" s="210"/>
      <c r="D12768" s="211"/>
      <c r="E12768" s="211"/>
      <c r="U12768" s="222"/>
    </row>
    <row r="12769" spans="2:21" x14ac:dyDescent="0.2">
      <c r="B12769" s="207"/>
      <c r="C12769" s="210"/>
      <c r="D12769" s="211"/>
      <c r="E12769" s="211"/>
      <c r="U12769" s="222"/>
    </row>
    <row r="12770" spans="2:21" x14ac:dyDescent="0.2">
      <c r="B12770" s="207"/>
      <c r="C12770" s="210"/>
      <c r="D12770" s="211"/>
      <c r="E12770" s="211"/>
      <c r="U12770" s="222"/>
    </row>
    <row r="12771" spans="2:21" x14ac:dyDescent="0.2">
      <c r="B12771" s="207"/>
      <c r="C12771" s="210"/>
      <c r="D12771" s="211"/>
      <c r="E12771" s="211"/>
      <c r="U12771" s="222"/>
    </row>
    <row r="12772" spans="2:21" x14ac:dyDescent="0.2">
      <c r="B12772" s="207"/>
      <c r="C12772" s="210"/>
      <c r="D12772" s="211"/>
      <c r="E12772" s="211"/>
      <c r="U12772" s="222"/>
    </row>
    <row r="12773" spans="2:21" x14ac:dyDescent="0.2">
      <c r="B12773" s="207"/>
      <c r="C12773" s="210"/>
      <c r="D12773" s="211"/>
      <c r="E12773" s="211"/>
      <c r="U12773" s="222"/>
    </row>
    <row r="12774" spans="2:21" x14ac:dyDescent="0.2">
      <c r="B12774" s="207"/>
      <c r="C12774" s="210"/>
      <c r="D12774" s="211"/>
      <c r="E12774" s="211"/>
      <c r="U12774" s="222"/>
    </row>
    <row r="12775" spans="2:21" x14ac:dyDescent="0.2">
      <c r="B12775" s="207"/>
      <c r="C12775" s="210"/>
      <c r="D12775" s="211"/>
      <c r="E12775" s="211"/>
      <c r="U12775" s="222"/>
    </row>
    <row r="12776" spans="2:21" x14ac:dyDescent="0.2">
      <c r="B12776" s="207"/>
      <c r="C12776" s="210"/>
      <c r="D12776" s="211"/>
      <c r="E12776" s="211"/>
      <c r="U12776" s="222"/>
    </row>
    <row r="12777" spans="2:21" x14ac:dyDescent="0.2">
      <c r="B12777" s="207"/>
      <c r="C12777" s="210"/>
      <c r="D12777" s="211"/>
      <c r="E12777" s="211"/>
      <c r="U12777" s="222"/>
    </row>
    <row r="12778" spans="2:21" x14ac:dyDescent="0.2">
      <c r="B12778" s="207"/>
      <c r="C12778" s="210"/>
      <c r="D12778" s="211"/>
      <c r="E12778" s="211"/>
      <c r="U12778" s="222"/>
    </row>
    <row r="12779" spans="2:21" x14ac:dyDescent="0.2">
      <c r="B12779" s="207"/>
      <c r="C12779" s="210"/>
      <c r="D12779" s="211"/>
      <c r="E12779" s="211"/>
      <c r="U12779" s="222"/>
    </row>
    <row r="12780" spans="2:21" x14ac:dyDescent="0.2">
      <c r="B12780" s="207"/>
      <c r="C12780" s="210"/>
      <c r="D12780" s="211"/>
      <c r="E12780" s="211"/>
      <c r="U12780" s="222"/>
    </row>
    <row r="12781" spans="2:21" x14ac:dyDescent="0.2">
      <c r="B12781" s="207"/>
      <c r="C12781" s="210"/>
      <c r="D12781" s="211"/>
      <c r="E12781" s="211"/>
      <c r="U12781" s="222"/>
    </row>
    <row r="12782" spans="2:21" x14ac:dyDescent="0.2">
      <c r="B12782" s="207"/>
      <c r="C12782" s="210"/>
      <c r="D12782" s="211"/>
      <c r="E12782" s="211"/>
      <c r="U12782" s="222"/>
    </row>
    <row r="12783" spans="2:21" x14ac:dyDescent="0.2">
      <c r="B12783" s="207"/>
      <c r="C12783" s="210"/>
      <c r="D12783" s="211"/>
      <c r="E12783" s="211"/>
      <c r="U12783" s="222"/>
    </row>
    <row r="12784" spans="2:21" x14ac:dyDescent="0.2">
      <c r="B12784" s="207"/>
      <c r="C12784" s="210"/>
      <c r="D12784" s="211"/>
      <c r="E12784" s="211"/>
      <c r="U12784" s="222"/>
    </row>
    <row r="12785" spans="2:21" x14ac:dyDescent="0.2">
      <c r="B12785" s="207"/>
      <c r="C12785" s="210"/>
      <c r="D12785" s="211"/>
      <c r="E12785" s="211"/>
      <c r="U12785" s="222"/>
    </row>
    <row r="12786" spans="2:21" x14ac:dyDescent="0.2">
      <c r="B12786" s="207"/>
      <c r="C12786" s="210"/>
      <c r="D12786" s="211"/>
      <c r="E12786" s="211"/>
      <c r="U12786" s="222"/>
    </row>
    <row r="12787" spans="2:21" x14ac:dyDescent="0.2">
      <c r="B12787" s="207"/>
      <c r="C12787" s="210"/>
      <c r="D12787" s="211"/>
      <c r="E12787" s="211"/>
      <c r="U12787" s="222"/>
    </row>
    <row r="12788" spans="2:21" x14ac:dyDescent="0.2">
      <c r="B12788" s="207"/>
      <c r="C12788" s="210"/>
      <c r="D12788" s="211"/>
      <c r="E12788" s="211"/>
      <c r="U12788" s="222"/>
    </row>
    <row r="12789" spans="2:21" x14ac:dyDescent="0.2">
      <c r="B12789" s="207"/>
      <c r="C12789" s="210"/>
      <c r="D12789" s="211"/>
      <c r="E12789" s="211"/>
      <c r="U12789" s="222"/>
    </row>
    <row r="12790" spans="2:21" x14ac:dyDescent="0.2">
      <c r="B12790" s="207"/>
      <c r="C12790" s="210"/>
      <c r="D12790" s="211"/>
      <c r="E12790" s="211"/>
      <c r="U12790" s="222"/>
    </row>
    <row r="12791" spans="2:21" x14ac:dyDescent="0.2">
      <c r="B12791" s="207"/>
      <c r="C12791" s="210"/>
      <c r="D12791" s="211"/>
      <c r="E12791" s="211"/>
      <c r="U12791" s="222"/>
    </row>
    <row r="12792" spans="2:21" x14ac:dyDescent="0.2">
      <c r="B12792" s="207"/>
      <c r="C12792" s="210"/>
      <c r="D12792" s="211"/>
      <c r="E12792" s="211"/>
      <c r="U12792" s="222"/>
    </row>
    <row r="12793" spans="2:21" x14ac:dyDescent="0.2">
      <c r="B12793" s="207"/>
      <c r="C12793" s="210"/>
      <c r="D12793" s="211"/>
      <c r="E12793" s="211"/>
      <c r="U12793" s="222"/>
    </row>
    <row r="12794" spans="2:21" x14ac:dyDescent="0.2">
      <c r="B12794" s="207"/>
      <c r="C12794" s="210"/>
      <c r="D12794" s="211"/>
      <c r="E12794" s="211"/>
      <c r="U12794" s="222"/>
    </row>
    <row r="12795" spans="2:21" x14ac:dyDescent="0.2">
      <c r="B12795" s="207"/>
      <c r="C12795" s="210"/>
      <c r="D12795" s="211"/>
      <c r="E12795" s="211"/>
      <c r="U12795" s="222"/>
    </row>
    <row r="12796" spans="2:21" x14ac:dyDescent="0.2">
      <c r="B12796" s="207"/>
      <c r="C12796" s="210"/>
      <c r="D12796" s="211"/>
      <c r="E12796" s="211"/>
      <c r="U12796" s="222"/>
    </row>
    <row r="12797" spans="2:21" x14ac:dyDescent="0.2">
      <c r="B12797" s="207"/>
      <c r="C12797" s="210"/>
      <c r="D12797" s="211"/>
      <c r="E12797" s="211"/>
      <c r="U12797" s="222"/>
    </row>
    <row r="12798" spans="2:21" x14ac:dyDescent="0.2">
      <c r="B12798" s="207"/>
      <c r="C12798" s="210"/>
      <c r="D12798" s="211"/>
      <c r="E12798" s="211"/>
      <c r="U12798" s="222"/>
    </row>
    <row r="12799" spans="2:21" x14ac:dyDescent="0.2">
      <c r="B12799" s="207"/>
      <c r="C12799" s="210"/>
      <c r="D12799" s="211"/>
      <c r="E12799" s="211"/>
      <c r="U12799" s="222"/>
    </row>
    <row r="12800" spans="2:21" x14ac:dyDescent="0.2">
      <c r="B12800" s="207"/>
      <c r="C12800" s="210"/>
      <c r="D12800" s="211"/>
      <c r="E12800" s="211"/>
      <c r="U12800" s="222"/>
    </row>
    <row r="12801" spans="2:21" x14ac:dyDescent="0.2">
      <c r="B12801" s="207"/>
      <c r="C12801" s="210"/>
      <c r="D12801" s="211"/>
      <c r="E12801" s="211"/>
      <c r="U12801" s="222"/>
    </row>
    <row r="12802" spans="2:21" x14ac:dyDescent="0.2">
      <c r="B12802" s="207"/>
      <c r="C12802" s="210"/>
      <c r="D12802" s="211"/>
      <c r="E12802" s="211"/>
      <c r="U12802" s="222"/>
    </row>
    <row r="12803" spans="2:21" x14ac:dyDescent="0.2">
      <c r="B12803" s="207"/>
      <c r="C12803" s="210"/>
      <c r="D12803" s="211"/>
      <c r="E12803" s="211"/>
      <c r="U12803" s="222"/>
    </row>
    <row r="12804" spans="2:21" x14ac:dyDescent="0.2">
      <c r="B12804" s="207"/>
      <c r="C12804" s="210"/>
      <c r="D12804" s="211"/>
      <c r="E12804" s="211"/>
      <c r="U12804" s="222"/>
    </row>
    <row r="12805" spans="2:21" x14ac:dyDescent="0.2">
      <c r="B12805" s="207"/>
      <c r="C12805" s="210"/>
      <c r="D12805" s="211"/>
      <c r="E12805" s="211"/>
      <c r="U12805" s="222"/>
    </row>
    <row r="12806" spans="2:21" x14ac:dyDescent="0.2">
      <c r="B12806" s="207"/>
      <c r="C12806" s="210"/>
      <c r="D12806" s="211"/>
      <c r="E12806" s="211"/>
      <c r="U12806" s="222"/>
    </row>
    <row r="12807" spans="2:21" x14ac:dyDescent="0.2">
      <c r="B12807" s="207"/>
      <c r="C12807" s="210"/>
      <c r="D12807" s="211"/>
      <c r="E12807" s="211"/>
      <c r="U12807" s="222"/>
    </row>
    <row r="12808" spans="2:21" x14ac:dyDescent="0.2">
      <c r="B12808" s="207"/>
      <c r="C12808" s="210"/>
      <c r="D12808" s="211"/>
      <c r="E12808" s="211"/>
      <c r="U12808" s="222"/>
    </row>
    <row r="12809" spans="2:21" x14ac:dyDescent="0.2">
      <c r="B12809" s="207"/>
      <c r="C12809" s="210"/>
      <c r="D12809" s="211"/>
      <c r="E12809" s="211"/>
      <c r="U12809" s="222"/>
    </row>
    <row r="12810" spans="2:21" x14ac:dyDescent="0.2">
      <c r="B12810" s="207"/>
      <c r="C12810" s="210"/>
      <c r="D12810" s="211"/>
      <c r="E12810" s="211"/>
      <c r="U12810" s="222"/>
    </row>
    <row r="12811" spans="2:21" x14ac:dyDescent="0.2">
      <c r="B12811" s="207"/>
      <c r="C12811" s="210"/>
      <c r="D12811" s="211"/>
      <c r="E12811" s="211"/>
      <c r="U12811" s="222"/>
    </row>
    <row r="12812" spans="2:21" x14ac:dyDescent="0.2">
      <c r="B12812" s="207"/>
      <c r="C12812" s="210"/>
      <c r="D12812" s="211"/>
      <c r="E12812" s="211"/>
      <c r="U12812" s="222"/>
    </row>
    <row r="12813" spans="2:21" x14ac:dyDescent="0.2">
      <c r="B12813" s="207"/>
      <c r="C12813" s="210"/>
      <c r="D12813" s="211"/>
      <c r="E12813" s="211"/>
      <c r="U12813" s="222"/>
    </row>
    <row r="12814" spans="2:21" x14ac:dyDescent="0.2">
      <c r="B12814" s="207"/>
      <c r="C12814" s="210"/>
      <c r="D12814" s="211"/>
      <c r="E12814" s="211"/>
      <c r="U12814" s="222"/>
    </row>
    <row r="12815" spans="2:21" x14ac:dyDescent="0.2">
      <c r="B12815" s="207"/>
      <c r="C12815" s="210"/>
      <c r="D12815" s="211"/>
      <c r="E12815" s="211"/>
      <c r="U12815" s="222"/>
    </row>
    <row r="12816" spans="2:21" x14ac:dyDescent="0.2">
      <c r="B12816" s="207"/>
      <c r="C12816" s="210"/>
      <c r="D12816" s="211"/>
      <c r="E12816" s="211"/>
      <c r="U12816" s="222"/>
    </row>
    <row r="12817" spans="2:21" x14ac:dyDescent="0.2">
      <c r="B12817" s="207"/>
      <c r="C12817" s="210"/>
      <c r="D12817" s="211"/>
      <c r="E12817" s="211"/>
      <c r="U12817" s="222"/>
    </row>
    <row r="12818" spans="2:21" x14ac:dyDescent="0.2">
      <c r="B12818" s="207"/>
      <c r="C12818" s="210"/>
      <c r="D12818" s="211"/>
      <c r="E12818" s="211"/>
      <c r="U12818" s="222"/>
    </row>
    <row r="12819" spans="2:21" x14ac:dyDescent="0.2">
      <c r="B12819" s="207"/>
      <c r="C12819" s="210"/>
      <c r="D12819" s="211"/>
      <c r="E12819" s="211"/>
      <c r="U12819" s="222"/>
    </row>
    <row r="12820" spans="2:21" x14ac:dyDescent="0.2">
      <c r="B12820" s="207"/>
      <c r="C12820" s="210"/>
      <c r="D12820" s="211"/>
      <c r="E12820" s="211"/>
      <c r="U12820" s="222"/>
    </row>
    <row r="12821" spans="2:21" x14ac:dyDescent="0.2">
      <c r="B12821" s="207"/>
      <c r="C12821" s="210"/>
      <c r="D12821" s="211"/>
      <c r="E12821" s="211"/>
      <c r="U12821" s="222"/>
    </row>
    <row r="12822" spans="2:21" x14ac:dyDescent="0.2">
      <c r="B12822" s="207"/>
      <c r="C12822" s="210"/>
      <c r="D12822" s="211"/>
      <c r="E12822" s="211"/>
      <c r="U12822" s="222"/>
    </row>
    <row r="12823" spans="2:21" x14ac:dyDescent="0.2">
      <c r="B12823" s="207"/>
      <c r="C12823" s="210"/>
      <c r="D12823" s="211"/>
      <c r="E12823" s="211"/>
      <c r="U12823" s="222"/>
    </row>
    <row r="12824" spans="2:21" x14ac:dyDescent="0.2">
      <c r="B12824" s="207"/>
      <c r="C12824" s="210"/>
      <c r="D12824" s="211"/>
      <c r="E12824" s="211"/>
      <c r="U12824" s="222"/>
    </row>
    <row r="12825" spans="2:21" x14ac:dyDescent="0.2">
      <c r="B12825" s="207"/>
      <c r="C12825" s="210"/>
      <c r="D12825" s="211"/>
      <c r="E12825" s="211"/>
      <c r="U12825" s="222"/>
    </row>
    <row r="12826" spans="2:21" x14ac:dyDescent="0.2">
      <c r="B12826" s="207"/>
      <c r="C12826" s="210"/>
      <c r="D12826" s="211"/>
      <c r="E12826" s="211"/>
      <c r="U12826" s="222"/>
    </row>
    <row r="12827" spans="2:21" x14ac:dyDescent="0.2">
      <c r="B12827" s="207"/>
      <c r="C12827" s="210"/>
      <c r="D12827" s="211"/>
      <c r="E12827" s="211"/>
      <c r="U12827" s="222"/>
    </row>
    <row r="12828" spans="2:21" x14ac:dyDescent="0.2">
      <c r="B12828" s="207"/>
      <c r="C12828" s="210"/>
      <c r="D12828" s="211"/>
      <c r="E12828" s="211"/>
      <c r="U12828" s="222"/>
    </row>
    <row r="12829" spans="2:21" x14ac:dyDescent="0.2">
      <c r="B12829" s="207"/>
      <c r="C12829" s="210"/>
      <c r="D12829" s="211"/>
      <c r="E12829" s="211"/>
      <c r="U12829" s="222"/>
    </row>
    <row r="12830" spans="2:21" x14ac:dyDescent="0.2">
      <c r="B12830" s="207"/>
      <c r="C12830" s="210"/>
      <c r="D12830" s="211"/>
      <c r="E12830" s="211"/>
      <c r="U12830" s="222"/>
    </row>
    <row r="12831" spans="2:21" x14ac:dyDescent="0.2">
      <c r="B12831" s="207"/>
      <c r="C12831" s="210"/>
      <c r="D12831" s="211"/>
      <c r="E12831" s="211"/>
      <c r="U12831" s="222"/>
    </row>
    <row r="12832" spans="2:21" x14ac:dyDescent="0.2">
      <c r="B12832" s="207"/>
      <c r="C12832" s="210"/>
      <c r="D12832" s="211"/>
      <c r="E12832" s="211"/>
      <c r="U12832" s="222"/>
    </row>
    <row r="12833" spans="2:21" x14ac:dyDescent="0.2">
      <c r="B12833" s="207"/>
      <c r="C12833" s="210"/>
      <c r="D12833" s="211"/>
      <c r="E12833" s="211"/>
      <c r="U12833" s="222"/>
    </row>
    <row r="12834" spans="2:21" x14ac:dyDescent="0.2">
      <c r="B12834" s="207"/>
      <c r="C12834" s="210"/>
      <c r="D12834" s="211"/>
      <c r="E12834" s="211"/>
      <c r="U12834" s="222"/>
    </row>
    <row r="12835" spans="2:21" x14ac:dyDescent="0.2">
      <c r="B12835" s="207"/>
      <c r="C12835" s="210"/>
      <c r="D12835" s="211"/>
      <c r="E12835" s="211"/>
      <c r="U12835" s="222"/>
    </row>
    <row r="12836" spans="2:21" x14ac:dyDescent="0.2">
      <c r="B12836" s="207"/>
      <c r="C12836" s="210"/>
      <c r="D12836" s="211"/>
      <c r="E12836" s="211"/>
      <c r="U12836" s="222"/>
    </row>
    <row r="12837" spans="2:21" x14ac:dyDescent="0.2">
      <c r="B12837" s="207"/>
      <c r="C12837" s="210"/>
      <c r="D12837" s="211"/>
      <c r="E12837" s="211"/>
      <c r="U12837" s="222"/>
    </row>
    <row r="12838" spans="2:21" x14ac:dyDescent="0.2">
      <c r="B12838" s="207"/>
      <c r="C12838" s="210"/>
      <c r="D12838" s="211"/>
      <c r="E12838" s="211"/>
      <c r="U12838" s="222"/>
    </row>
    <row r="12839" spans="2:21" x14ac:dyDescent="0.2">
      <c r="B12839" s="207"/>
      <c r="C12839" s="210"/>
      <c r="D12839" s="211"/>
      <c r="E12839" s="211"/>
      <c r="U12839" s="222"/>
    </row>
    <row r="12840" spans="2:21" x14ac:dyDescent="0.2">
      <c r="B12840" s="207"/>
      <c r="C12840" s="210"/>
      <c r="D12840" s="211"/>
      <c r="E12840" s="211"/>
      <c r="U12840" s="222"/>
    </row>
    <row r="12841" spans="2:21" x14ac:dyDescent="0.2">
      <c r="B12841" s="207"/>
      <c r="C12841" s="210"/>
      <c r="D12841" s="211"/>
      <c r="E12841" s="211"/>
      <c r="U12841" s="222"/>
    </row>
    <row r="12842" spans="2:21" x14ac:dyDescent="0.2">
      <c r="B12842" s="207"/>
      <c r="C12842" s="210"/>
      <c r="D12842" s="211"/>
      <c r="E12842" s="211"/>
      <c r="U12842" s="222"/>
    </row>
    <row r="12843" spans="2:21" x14ac:dyDescent="0.2">
      <c r="B12843" s="207"/>
      <c r="C12843" s="210"/>
      <c r="D12843" s="211"/>
      <c r="E12843" s="211"/>
      <c r="U12843" s="222"/>
    </row>
    <row r="12844" spans="2:21" x14ac:dyDescent="0.2">
      <c r="B12844" s="207"/>
      <c r="C12844" s="210"/>
      <c r="D12844" s="211"/>
      <c r="E12844" s="211"/>
      <c r="U12844" s="222"/>
    </row>
    <row r="12845" spans="2:21" x14ac:dyDescent="0.2">
      <c r="B12845" s="207"/>
      <c r="C12845" s="210"/>
      <c r="D12845" s="211"/>
      <c r="E12845" s="211"/>
      <c r="U12845" s="222"/>
    </row>
    <row r="12846" spans="2:21" x14ac:dyDescent="0.2">
      <c r="B12846" s="207"/>
      <c r="C12846" s="210"/>
      <c r="D12846" s="211"/>
      <c r="E12846" s="211"/>
      <c r="U12846" s="222"/>
    </row>
    <row r="12847" spans="2:21" x14ac:dyDescent="0.2">
      <c r="B12847" s="207"/>
      <c r="C12847" s="210"/>
      <c r="D12847" s="211"/>
      <c r="E12847" s="211"/>
      <c r="U12847" s="222"/>
    </row>
    <row r="12848" spans="2:21" x14ac:dyDescent="0.2">
      <c r="B12848" s="207"/>
      <c r="C12848" s="210"/>
      <c r="D12848" s="211"/>
      <c r="E12848" s="211"/>
      <c r="U12848" s="222"/>
    </row>
    <row r="12849" spans="2:21" x14ac:dyDescent="0.2">
      <c r="B12849" s="207"/>
      <c r="C12849" s="210"/>
      <c r="D12849" s="211"/>
      <c r="E12849" s="211"/>
      <c r="U12849" s="222"/>
    </row>
    <row r="12850" spans="2:21" x14ac:dyDescent="0.2">
      <c r="B12850" s="207"/>
      <c r="C12850" s="210"/>
      <c r="D12850" s="211"/>
      <c r="E12850" s="211"/>
      <c r="U12850" s="222"/>
    </row>
    <row r="12851" spans="2:21" x14ac:dyDescent="0.2">
      <c r="B12851" s="207"/>
      <c r="C12851" s="210"/>
      <c r="D12851" s="211"/>
      <c r="E12851" s="211"/>
      <c r="U12851" s="222"/>
    </row>
    <row r="12852" spans="2:21" x14ac:dyDescent="0.2">
      <c r="B12852" s="207"/>
      <c r="C12852" s="210"/>
      <c r="D12852" s="211"/>
      <c r="E12852" s="211"/>
      <c r="U12852" s="222"/>
    </row>
    <row r="12853" spans="2:21" x14ac:dyDescent="0.2">
      <c r="B12853" s="207"/>
      <c r="C12853" s="210"/>
      <c r="D12853" s="211"/>
      <c r="E12853" s="211"/>
      <c r="U12853" s="222"/>
    </row>
    <row r="12854" spans="2:21" x14ac:dyDescent="0.2">
      <c r="B12854" s="207"/>
      <c r="C12854" s="210"/>
      <c r="D12854" s="211"/>
      <c r="E12854" s="211"/>
      <c r="U12854" s="222"/>
    </row>
    <row r="12855" spans="2:21" x14ac:dyDescent="0.2">
      <c r="B12855" s="207"/>
      <c r="C12855" s="210"/>
      <c r="D12855" s="211"/>
      <c r="E12855" s="211"/>
      <c r="U12855" s="222"/>
    </row>
    <row r="12856" spans="2:21" x14ac:dyDescent="0.2">
      <c r="B12856" s="207"/>
      <c r="C12856" s="210"/>
      <c r="D12856" s="211"/>
      <c r="E12856" s="211"/>
      <c r="U12856" s="222"/>
    </row>
    <row r="12857" spans="2:21" x14ac:dyDescent="0.2">
      <c r="B12857" s="207"/>
      <c r="C12857" s="210"/>
      <c r="D12857" s="211"/>
      <c r="E12857" s="211"/>
      <c r="U12857" s="222"/>
    </row>
    <row r="12858" spans="2:21" x14ac:dyDescent="0.2">
      <c r="B12858" s="207"/>
      <c r="C12858" s="210"/>
      <c r="D12858" s="211"/>
      <c r="E12858" s="211"/>
      <c r="U12858" s="222"/>
    </row>
    <row r="12859" spans="2:21" x14ac:dyDescent="0.2">
      <c r="B12859" s="207"/>
      <c r="C12859" s="210"/>
      <c r="D12859" s="211"/>
      <c r="E12859" s="211"/>
      <c r="U12859" s="222"/>
    </row>
    <row r="12860" spans="2:21" x14ac:dyDescent="0.2">
      <c r="B12860" s="207"/>
      <c r="C12860" s="210"/>
      <c r="D12860" s="211"/>
      <c r="E12860" s="211"/>
      <c r="U12860" s="222"/>
    </row>
    <row r="12861" spans="2:21" x14ac:dyDescent="0.2">
      <c r="B12861" s="207"/>
      <c r="C12861" s="210"/>
      <c r="D12861" s="211"/>
      <c r="E12861" s="211"/>
      <c r="U12861" s="222"/>
    </row>
    <row r="12862" spans="2:21" x14ac:dyDescent="0.2">
      <c r="B12862" s="207"/>
      <c r="C12862" s="210"/>
      <c r="D12862" s="211"/>
      <c r="E12862" s="211"/>
      <c r="U12862" s="222"/>
    </row>
    <row r="12863" spans="2:21" x14ac:dyDescent="0.2">
      <c r="B12863" s="207"/>
      <c r="C12863" s="210"/>
      <c r="D12863" s="211"/>
      <c r="E12863" s="211"/>
      <c r="U12863" s="222"/>
    </row>
    <row r="12864" spans="2:21" x14ac:dyDescent="0.2">
      <c r="B12864" s="207"/>
      <c r="C12864" s="210"/>
      <c r="D12864" s="211"/>
      <c r="E12864" s="211"/>
      <c r="U12864" s="222"/>
    </row>
    <row r="12865" spans="2:21" x14ac:dyDescent="0.2">
      <c r="B12865" s="207"/>
      <c r="C12865" s="210"/>
      <c r="D12865" s="211"/>
      <c r="E12865" s="211"/>
      <c r="U12865" s="222"/>
    </row>
    <row r="12866" spans="2:21" x14ac:dyDescent="0.2">
      <c r="B12866" s="207"/>
      <c r="C12866" s="210"/>
      <c r="D12866" s="211"/>
      <c r="E12866" s="211"/>
      <c r="U12866" s="222"/>
    </row>
    <row r="12867" spans="2:21" x14ac:dyDescent="0.2">
      <c r="B12867" s="207"/>
      <c r="C12867" s="210"/>
      <c r="D12867" s="211"/>
      <c r="E12867" s="211"/>
      <c r="U12867" s="222"/>
    </row>
    <row r="12868" spans="2:21" x14ac:dyDescent="0.2">
      <c r="B12868" s="207"/>
      <c r="C12868" s="210"/>
      <c r="D12868" s="211"/>
      <c r="E12868" s="211"/>
      <c r="U12868" s="222"/>
    </row>
    <row r="12869" spans="2:21" x14ac:dyDescent="0.2">
      <c r="B12869" s="207"/>
      <c r="C12869" s="210"/>
      <c r="D12869" s="211"/>
      <c r="E12869" s="211"/>
      <c r="U12869" s="222"/>
    </row>
    <row r="12870" spans="2:21" x14ac:dyDescent="0.2">
      <c r="B12870" s="207"/>
      <c r="C12870" s="210"/>
      <c r="D12870" s="211"/>
      <c r="E12870" s="211"/>
      <c r="U12870" s="222"/>
    </row>
    <row r="12871" spans="2:21" x14ac:dyDescent="0.2">
      <c r="B12871" s="207"/>
      <c r="C12871" s="210"/>
      <c r="D12871" s="211"/>
      <c r="E12871" s="211"/>
      <c r="U12871" s="222"/>
    </row>
    <row r="12872" spans="2:21" x14ac:dyDescent="0.2">
      <c r="B12872" s="207"/>
      <c r="C12872" s="210"/>
      <c r="D12872" s="211"/>
      <c r="E12872" s="211"/>
      <c r="U12872" s="222"/>
    </row>
    <row r="12873" spans="2:21" x14ac:dyDescent="0.2">
      <c r="B12873" s="207"/>
      <c r="C12873" s="210"/>
      <c r="D12873" s="211"/>
      <c r="E12873" s="211"/>
      <c r="U12873" s="222"/>
    </row>
    <row r="12874" spans="2:21" x14ac:dyDescent="0.2">
      <c r="B12874" s="207"/>
      <c r="C12874" s="210"/>
      <c r="D12874" s="211"/>
      <c r="E12874" s="211"/>
      <c r="U12874" s="222"/>
    </row>
    <row r="12875" spans="2:21" x14ac:dyDescent="0.2">
      <c r="B12875" s="207"/>
      <c r="C12875" s="210"/>
      <c r="D12875" s="211"/>
      <c r="E12875" s="211"/>
      <c r="U12875" s="222"/>
    </row>
    <row r="12876" spans="2:21" x14ac:dyDescent="0.2">
      <c r="B12876" s="207"/>
      <c r="C12876" s="210"/>
      <c r="D12876" s="211"/>
      <c r="E12876" s="211"/>
      <c r="U12876" s="222"/>
    </row>
    <row r="12877" spans="2:21" x14ac:dyDescent="0.2">
      <c r="B12877" s="207"/>
      <c r="C12877" s="210"/>
      <c r="D12877" s="211"/>
      <c r="E12877" s="211"/>
      <c r="U12877" s="222"/>
    </row>
    <row r="12878" spans="2:21" x14ac:dyDescent="0.2">
      <c r="B12878" s="207"/>
      <c r="C12878" s="210"/>
      <c r="D12878" s="211"/>
      <c r="E12878" s="211"/>
      <c r="U12878" s="222"/>
    </row>
    <row r="12879" spans="2:21" x14ac:dyDescent="0.2">
      <c r="B12879" s="207"/>
      <c r="C12879" s="210"/>
      <c r="D12879" s="211"/>
      <c r="E12879" s="211"/>
      <c r="U12879" s="222"/>
    </row>
    <row r="12880" spans="2:21" x14ac:dyDescent="0.2">
      <c r="B12880" s="207"/>
      <c r="C12880" s="210"/>
      <c r="D12880" s="211"/>
      <c r="E12880" s="211"/>
      <c r="U12880" s="222"/>
    </row>
    <row r="12881" spans="2:21" x14ac:dyDescent="0.2">
      <c r="B12881" s="207"/>
      <c r="C12881" s="210"/>
      <c r="D12881" s="211"/>
      <c r="E12881" s="211"/>
      <c r="U12881" s="222"/>
    </row>
    <row r="12882" spans="2:21" x14ac:dyDescent="0.2">
      <c r="B12882" s="207"/>
      <c r="C12882" s="210"/>
      <c r="D12882" s="211"/>
      <c r="E12882" s="211"/>
      <c r="U12882" s="222"/>
    </row>
    <row r="12883" spans="2:21" x14ac:dyDescent="0.2">
      <c r="B12883" s="207"/>
      <c r="C12883" s="210"/>
      <c r="D12883" s="211"/>
      <c r="E12883" s="211"/>
      <c r="U12883" s="222"/>
    </row>
    <row r="12884" spans="2:21" x14ac:dyDescent="0.2">
      <c r="B12884" s="207"/>
      <c r="C12884" s="210"/>
      <c r="D12884" s="211"/>
      <c r="E12884" s="211"/>
      <c r="U12884" s="222"/>
    </row>
    <row r="12885" spans="2:21" x14ac:dyDescent="0.2">
      <c r="B12885" s="207"/>
      <c r="C12885" s="210"/>
      <c r="D12885" s="211"/>
      <c r="E12885" s="211"/>
      <c r="U12885" s="222"/>
    </row>
    <row r="12886" spans="2:21" x14ac:dyDescent="0.2">
      <c r="B12886" s="207"/>
      <c r="C12886" s="210"/>
      <c r="D12886" s="211"/>
      <c r="E12886" s="211"/>
      <c r="U12886" s="222"/>
    </row>
    <row r="12887" spans="2:21" x14ac:dyDescent="0.2">
      <c r="B12887" s="207"/>
      <c r="C12887" s="210"/>
      <c r="D12887" s="211"/>
      <c r="E12887" s="211"/>
      <c r="U12887" s="222"/>
    </row>
    <row r="12888" spans="2:21" x14ac:dyDescent="0.2">
      <c r="B12888" s="207"/>
      <c r="C12888" s="210"/>
      <c r="D12888" s="211"/>
      <c r="E12888" s="211"/>
      <c r="U12888" s="222"/>
    </row>
    <row r="12889" spans="2:21" x14ac:dyDescent="0.2">
      <c r="B12889" s="207"/>
      <c r="C12889" s="210"/>
      <c r="D12889" s="211"/>
      <c r="E12889" s="211"/>
      <c r="U12889" s="222"/>
    </row>
    <row r="12890" spans="2:21" x14ac:dyDescent="0.2">
      <c r="B12890" s="207"/>
      <c r="C12890" s="210"/>
      <c r="D12890" s="211"/>
      <c r="E12890" s="211"/>
      <c r="U12890" s="222"/>
    </row>
    <row r="12891" spans="2:21" x14ac:dyDescent="0.2">
      <c r="B12891" s="207"/>
      <c r="C12891" s="210"/>
      <c r="D12891" s="211"/>
      <c r="E12891" s="211"/>
      <c r="U12891" s="222"/>
    </row>
    <row r="12892" spans="2:21" x14ac:dyDescent="0.2">
      <c r="B12892" s="207"/>
      <c r="C12892" s="210"/>
      <c r="D12892" s="211"/>
      <c r="E12892" s="211"/>
      <c r="U12892" s="222"/>
    </row>
    <row r="12893" spans="2:21" x14ac:dyDescent="0.2">
      <c r="B12893" s="207"/>
      <c r="C12893" s="210"/>
      <c r="D12893" s="211"/>
      <c r="E12893" s="211"/>
      <c r="U12893" s="222"/>
    </row>
    <row r="12894" spans="2:21" x14ac:dyDescent="0.2">
      <c r="B12894" s="207"/>
      <c r="C12894" s="210"/>
      <c r="D12894" s="211"/>
      <c r="E12894" s="211"/>
      <c r="U12894" s="222"/>
    </row>
    <row r="12895" spans="2:21" x14ac:dyDescent="0.2">
      <c r="B12895" s="207"/>
      <c r="C12895" s="210"/>
      <c r="D12895" s="211"/>
      <c r="E12895" s="211"/>
      <c r="U12895" s="222"/>
    </row>
    <row r="12896" spans="2:21" x14ac:dyDescent="0.2">
      <c r="B12896" s="207"/>
      <c r="C12896" s="210"/>
      <c r="D12896" s="211"/>
      <c r="E12896" s="211"/>
      <c r="U12896" s="222"/>
    </row>
    <row r="12897" spans="2:21" x14ac:dyDescent="0.2">
      <c r="B12897" s="207"/>
      <c r="C12897" s="210"/>
      <c r="D12897" s="211"/>
      <c r="E12897" s="211"/>
      <c r="U12897" s="222"/>
    </row>
    <row r="12898" spans="2:21" x14ac:dyDescent="0.2">
      <c r="B12898" s="207"/>
      <c r="C12898" s="210"/>
      <c r="D12898" s="211"/>
      <c r="E12898" s="211"/>
      <c r="U12898" s="222"/>
    </row>
    <row r="12899" spans="2:21" x14ac:dyDescent="0.2">
      <c r="B12899" s="207"/>
      <c r="C12899" s="210"/>
      <c r="D12899" s="211"/>
      <c r="E12899" s="211"/>
      <c r="U12899" s="222"/>
    </row>
    <row r="12900" spans="2:21" x14ac:dyDescent="0.2">
      <c r="B12900" s="207"/>
      <c r="C12900" s="210"/>
      <c r="D12900" s="211"/>
      <c r="E12900" s="211"/>
      <c r="U12900" s="222"/>
    </row>
    <row r="12901" spans="2:21" x14ac:dyDescent="0.2">
      <c r="B12901" s="207"/>
      <c r="C12901" s="210"/>
      <c r="D12901" s="211"/>
      <c r="E12901" s="211"/>
      <c r="U12901" s="222"/>
    </row>
    <row r="12902" spans="2:21" x14ac:dyDescent="0.2">
      <c r="B12902" s="207"/>
      <c r="C12902" s="210"/>
      <c r="D12902" s="211"/>
      <c r="E12902" s="211"/>
      <c r="U12902" s="222"/>
    </row>
    <row r="12903" spans="2:21" x14ac:dyDescent="0.2">
      <c r="B12903" s="207"/>
      <c r="C12903" s="210"/>
      <c r="D12903" s="211"/>
      <c r="E12903" s="211"/>
      <c r="U12903" s="222"/>
    </row>
    <row r="12904" spans="2:21" x14ac:dyDescent="0.2">
      <c r="B12904" s="207"/>
      <c r="C12904" s="210"/>
      <c r="D12904" s="211"/>
      <c r="E12904" s="211"/>
      <c r="U12904" s="222"/>
    </row>
    <row r="12905" spans="2:21" x14ac:dyDescent="0.2">
      <c r="B12905" s="207"/>
      <c r="C12905" s="210"/>
      <c r="D12905" s="211"/>
      <c r="E12905" s="211"/>
      <c r="U12905" s="222"/>
    </row>
    <row r="12906" spans="2:21" x14ac:dyDescent="0.2">
      <c r="B12906" s="207"/>
      <c r="C12906" s="210"/>
      <c r="D12906" s="211"/>
      <c r="E12906" s="211"/>
      <c r="U12906" s="222"/>
    </row>
    <row r="12907" spans="2:21" x14ac:dyDescent="0.2">
      <c r="B12907" s="207"/>
      <c r="C12907" s="210"/>
      <c r="D12907" s="211"/>
      <c r="E12907" s="211"/>
      <c r="U12907" s="222"/>
    </row>
    <row r="12908" spans="2:21" x14ac:dyDescent="0.2">
      <c r="B12908" s="207"/>
      <c r="C12908" s="210"/>
      <c r="D12908" s="211"/>
      <c r="E12908" s="211"/>
      <c r="U12908" s="222"/>
    </row>
    <row r="12909" spans="2:21" x14ac:dyDescent="0.2">
      <c r="B12909" s="207"/>
      <c r="C12909" s="210"/>
      <c r="D12909" s="211"/>
      <c r="E12909" s="211"/>
      <c r="U12909" s="222"/>
    </row>
    <row r="12910" spans="2:21" x14ac:dyDescent="0.2">
      <c r="B12910" s="207"/>
      <c r="C12910" s="210"/>
      <c r="D12910" s="211"/>
      <c r="E12910" s="211"/>
      <c r="U12910" s="222"/>
    </row>
    <row r="12911" spans="2:21" x14ac:dyDescent="0.2">
      <c r="B12911" s="207"/>
      <c r="C12911" s="210"/>
      <c r="D12911" s="211"/>
      <c r="E12911" s="211"/>
      <c r="U12911" s="222"/>
    </row>
    <row r="12912" spans="2:21" x14ac:dyDescent="0.2">
      <c r="B12912" s="207"/>
      <c r="C12912" s="210"/>
      <c r="D12912" s="211"/>
      <c r="E12912" s="211"/>
      <c r="U12912" s="222"/>
    </row>
    <row r="12913" spans="2:21" x14ac:dyDescent="0.2">
      <c r="B12913" s="207"/>
      <c r="C12913" s="210"/>
      <c r="D12913" s="211"/>
      <c r="E12913" s="211"/>
      <c r="U12913" s="222"/>
    </row>
    <row r="12914" spans="2:21" x14ac:dyDescent="0.2">
      <c r="B12914" s="207"/>
      <c r="C12914" s="210"/>
      <c r="D12914" s="211"/>
      <c r="E12914" s="211"/>
      <c r="U12914" s="222"/>
    </row>
    <row r="12915" spans="2:21" x14ac:dyDescent="0.2">
      <c r="B12915" s="207"/>
      <c r="C12915" s="210"/>
      <c r="D12915" s="211"/>
      <c r="E12915" s="211"/>
      <c r="U12915" s="222"/>
    </row>
    <row r="12916" spans="2:21" x14ac:dyDescent="0.2">
      <c r="B12916" s="207"/>
      <c r="C12916" s="210"/>
      <c r="D12916" s="211"/>
      <c r="E12916" s="211"/>
      <c r="U12916" s="222"/>
    </row>
    <row r="12917" spans="2:21" x14ac:dyDescent="0.2">
      <c r="B12917" s="207"/>
      <c r="C12917" s="210"/>
      <c r="D12917" s="211"/>
      <c r="E12917" s="211"/>
      <c r="U12917" s="222"/>
    </row>
    <row r="12918" spans="2:21" x14ac:dyDescent="0.2">
      <c r="B12918" s="207"/>
      <c r="C12918" s="210"/>
      <c r="D12918" s="211"/>
      <c r="E12918" s="211"/>
      <c r="U12918" s="222"/>
    </row>
    <row r="12919" spans="2:21" x14ac:dyDescent="0.2">
      <c r="B12919" s="207"/>
      <c r="C12919" s="210"/>
      <c r="D12919" s="211"/>
      <c r="E12919" s="211"/>
      <c r="U12919" s="222"/>
    </row>
    <row r="12920" spans="2:21" x14ac:dyDescent="0.2">
      <c r="B12920" s="207"/>
      <c r="C12920" s="210"/>
      <c r="D12920" s="211"/>
      <c r="E12920" s="211"/>
      <c r="U12920" s="222"/>
    </row>
    <row r="12921" spans="2:21" x14ac:dyDescent="0.2">
      <c r="B12921" s="207"/>
      <c r="C12921" s="210"/>
      <c r="D12921" s="211"/>
      <c r="E12921" s="211"/>
      <c r="U12921" s="222"/>
    </row>
    <row r="12922" spans="2:21" x14ac:dyDescent="0.2">
      <c r="B12922" s="207"/>
      <c r="C12922" s="210"/>
      <c r="D12922" s="211"/>
      <c r="E12922" s="211"/>
      <c r="U12922" s="222"/>
    </row>
    <row r="12923" spans="2:21" x14ac:dyDescent="0.2">
      <c r="B12923" s="207"/>
      <c r="C12923" s="210"/>
      <c r="D12923" s="211"/>
      <c r="E12923" s="211"/>
      <c r="U12923" s="222"/>
    </row>
    <row r="12924" spans="2:21" x14ac:dyDescent="0.2">
      <c r="B12924" s="207"/>
      <c r="C12924" s="210"/>
      <c r="D12924" s="211"/>
      <c r="E12924" s="211"/>
      <c r="U12924" s="222"/>
    </row>
    <row r="12925" spans="2:21" x14ac:dyDescent="0.2">
      <c r="B12925" s="207"/>
      <c r="C12925" s="210"/>
      <c r="D12925" s="211"/>
      <c r="E12925" s="211"/>
      <c r="U12925" s="222"/>
    </row>
    <row r="12926" spans="2:21" x14ac:dyDescent="0.2">
      <c r="B12926" s="207"/>
      <c r="C12926" s="210"/>
      <c r="D12926" s="211"/>
      <c r="E12926" s="211"/>
      <c r="U12926" s="222"/>
    </row>
    <row r="12927" spans="2:21" x14ac:dyDescent="0.2">
      <c r="B12927" s="207"/>
      <c r="C12927" s="210"/>
      <c r="D12927" s="211"/>
      <c r="E12927" s="211"/>
      <c r="U12927" s="222"/>
    </row>
    <row r="12928" spans="2:21" x14ac:dyDescent="0.2">
      <c r="B12928" s="207"/>
      <c r="C12928" s="210"/>
      <c r="D12928" s="211"/>
      <c r="E12928" s="211"/>
      <c r="U12928" s="222"/>
    </row>
    <row r="12929" spans="2:21" x14ac:dyDescent="0.2">
      <c r="B12929" s="207"/>
      <c r="C12929" s="210"/>
      <c r="D12929" s="211"/>
      <c r="E12929" s="211"/>
      <c r="U12929" s="222"/>
    </row>
    <row r="12930" spans="2:21" x14ac:dyDescent="0.2">
      <c r="B12930" s="207"/>
      <c r="C12930" s="210"/>
      <c r="D12930" s="211"/>
      <c r="E12930" s="211"/>
      <c r="U12930" s="222"/>
    </row>
    <row r="12931" spans="2:21" x14ac:dyDescent="0.2">
      <c r="B12931" s="207"/>
      <c r="C12931" s="210"/>
      <c r="D12931" s="211"/>
      <c r="E12931" s="211"/>
      <c r="U12931" s="222"/>
    </row>
    <row r="12932" spans="2:21" x14ac:dyDescent="0.2">
      <c r="B12932" s="207"/>
      <c r="C12932" s="210"/>
      <c r="D12932" s="211"/>
      <c r="E12932" s="211"/>
      <c r="U12932" s="222"/>
    </row>
    <row r="12933" spans="2:21" x14ac:dyDescent="0.2">
      <c r="B12933" s="207"/>
      <c r="C12933" s="210"/>
      <c r="D12933" s="211"/>
      <c r="E12933" s="211"/>
      <c r="U12933" s="222"/>
    </row>
    <row r="12934" spans="2:21" x14ac:dyDescent="0.2">
      <c r="B12934" s="207"/>
      <c r="C12934" s="210"/>
      <c r="D12934" s="211"/>
      <c r="E12934" s="211"/>
      <c r="U12934" s="222"/>
    </row>
    <row r="12935" spans="2:21" x14ac:dyDescent="0.2">
      <c r="B12935" s="207"/>
      <c r="C12935" s="210"/>
      <c r="D12935" s="211"/>
      <c r="E12935" s="211"/>
      <c r="U12935" s="222"/>
    </row>
    <row r="12936" spans="2:21" x14ac:dyDescent="0.2">
      <c r="B12936" s="207"/>
      <c r="C12936" s="210"/>
      <c r="D12936" s="211"/>
      <c r="E12936" s="211"/>
      <c r="U12936" s="222"/>
    </row>
    <row r="12937" spans="2:21" x14ac:dyDescent="0.2">
      <c r="B12937" s="207"/>
      <c r="C12937" s="210"/>
      <c r="D12937" s="211"/>
      <c r="E12937" s="211"/>
      <c r="U12937" s="222"/>
    </row>
    <row r="12938" spans="2:21" x14ac:dyDescent="0.2">
      <c r="B12938" s="207"/>
      <c r="C12938" s="210"/>
      <c r="D12938" s="211"/>
      <c r="E12938" s="211"/>
      <c r="U12938" s="222"/>
    </row>
    <row r="12939" spans="2:21" x14ac:dyDescent="0.2">
      <c r="B12939" s="207"/>
      <c r="C12939" s="210"/>
      <c r="D12939" s="211"/>
      <c r="E12939" s="211"/>
      <c r="U12939" s="222"/>
    </row>
    <row r="12940" spans="2:21" x14ac:dyDescent="0.2">
      <c r="B12940" s="207"/>
      <c r="C12940" s="210"/>
      <c r="D12940" s="211"/>
      <c r="E12940" s="211"/>
      <c r="U12940" s="222"/>
    </row>
    <row r="12941" spans="2:21" x14ac:dyDescent="0.2">
      <c r="B12941" s="207"/>
      <c r="C12941" s="210"/>
      <c r="D12941" s="211"/>
      <c r="E12941" s="211"/>
      <c r="U12941" s="222"/>
    </row>
    <row r="12942" spans="2:21" x14ac:dyDescent="0.2">
      <c r="B12942" s="207"/>
      <c r="C12942" s="210"/>
      <c r="D12942" s="211"/>
      <c r="E12942" s="211"/>
      <c r="U12942" s="222"/>
    </row>
    <row r="12943" spans="2:21" x14ac:dyDescent="0.2">
      <c r="B12943" s="207"/>
      <c r="C12943" s="210"/>
      <c r="D12943" s="211"/>
      <c r="E12943" s="211"/>
      <c r="U12943" s="222"/>
    </row>
    <row r="12944" spans="2:21" x14ac:dyDescent="0.2">
      <c r="B12944" s="207"/>
      <c r="C12944" s="210"/>
      <c r="D12944" s="211"/>
      <c r="E12944" s="211"/>
      <c r="U12944" s="222"/>
    </row>
    <row r="12945" spans="2:21" x14ac:dyDescent="0.2">
      <c r="B12945" s="207"/>
      <c r="C12945" s="210"/>
      <c r="D12945" s="211"/>
      <c r="E12945" s="211"/>
      <c r="U12945" s="222"/>
    </row>
    <row r="12946" spans="2:21" x14ac:dyDescent="0.2">
      <c r="B12946" s="207"/>
      <c r="C12946" s="210"/>
      <c r="D12946" s="211"/>
      <c r="E12946" s="211"/>
      <c r="U12946" s="222"/>
    </row>
    <row r="12947" spans="2:21" x14ac:dyDescent="0.2">
      <c r="B12947" s="207"/>
      <c r="C12947" s="210"/>
      <c r="D12947" s="211"/>
      <c r="E12947" s="211"/>
      <c r="U12947" s="222"/>
    </row>
    <row r="12948" spans="2:21" x14ac:dyDescent="0.2">
      <c r="B12948" s="207"/>
      <c r="C12948" s="210"/>
      <c r="D12948" s="211"/>
      <c r="E12948" s="211"/>
      <c r="U12948" s="222"/>
    </row>
    <row r="12949" spans="2:21" x14ac:dyDescent="0.2">
      <c r="B12949" s="207"/>
      <c r="C12949" s="210"/>
      <c r="D12949" s="211"/>
      <c r="E12949" s="211"/>
      <c r="U12949" s="222"/>
    </row>
    <row r="12950" spans="2:21" x14ac:dyDescent="0.2">
      <c r="B12950" s="207"/>
      <c r="C12950" s="210"/>
      <c r="D12950" s="211"/>
      <c r="E12950" s="211"/>
      <c r="U12950" s="222"/>
    </row>
    <row r="12951" spans="2:21" x14ac:dyDescent="0.2">
      <c r="B12951" s="207"/>
      <c r="C12951" s="210"/>
      <c r="D12951" s="211"/>
      <c r="E12951" s="211"/>
      <c r="U12951" s="222"/>
    </row>
    <row r="12952" spans="2:21" x14ac:dyDescent="0.2">
      <c r="B12952" s="207"/>
      <c r="C12952" s="210"/>
      <c r="D12952" s="211"/>
      <c r="E12952" s="211"/>
      <c r="U12952" s="222"/>
    </row>
    <row r="12953" spans="2:21" x14ac:dyDescent="0.2">
      <c r="B12953" s="207"/>
      <c r="C12953" s="210"/>
      <c r="D12953" s="211"/>
      <c r="E12953" s="211"/>
      <c r="U12953" s="222"/>
    </row>
    <row r="12954" spans="2:21" x14ac:dyDescent="0.2">
      <c r="B12954" s="207"/>
      <c r="C12954" s="210"/>
      <c r="D12954" s="211"/>
      <c r="E12954" s="211"/>
      <c r="U12954" s="222"/>
    </row>
    <row r="12955" spans="2:21" x14ac:dyDescent="0.2">
      <c r="B12955" s="207"/>
      <c r="C12955" s="210"/>
      <c r="D12955" s="211"/>
      <c r="E12955" s="211"/>
      <c r="U12955" s="222"/>
    </row>
    <row r="12956" spans="2:21" x14ac:dyDescent="0.2">
      <c r="B12956" s="207"/>
      <c r="C12956" s="210"/>
      <c r="D12956" s="211"/>
      <c r="E12956" s="211"/>
      <c r="U12956" s="222"/>
    </row>
    <row r="12957" spans="2:21" x14ac:dyDescent="0.2">
      <c r="B12957" s="207"/>
      <c r="C12957" s="210"/>
      <c r="D12957" s="211"/>
      <c r="E12957" s="211"/>
      <c r="U12957" s="222"/>
    </row>
    <row r="12958" spans="2:21" x14ac:dyDescent="0.2">
      <c r="B12958" s="207"/>
      <c r="C12958" s="210"/>
      <c r="D12958" s="211"/>
      <c r="E12958" s="211"/>
      <c r="U12958" s="222"/>
    </row>
    <row r="12959" spans="2:21" x14ac:dyDescent="0.2">
      <c r="B12959" s="207"/>
      <c r="C12959" s="210"/>
      <c r="D12959" s="211"/>
      <c r="E12959" s="211"/>
      <c r="U12959" s="222"/>
    </row>
    <row r="12960" spans="2:21" x14ac:dyDescent="0.2">
      <c r="B12960" s="207"/>
      <c r="C12960" s="210"/>
      <c r="D12960" s="211"/>
      <c r="E12960" s="211"/>
      <c r="U12960" s="222"/>
    </row>
    <row r="12961" spans="2:21" x14ac:dyDescent="0.2">
      <c r="B12961" s="207"/>
      <c r="C12961" s="210"/>
      <c r="D12961" s="211"/>
      <c r="E12961" s="211"/>
      <c r="U12961" s="222"/>
    </row>
    <row r="12962" spans="2:21" x14ac:dyDescent="0.2">
      <c r="B12962" s="207"/>
      <c r="C12962" s="210"/>
      <c r="D12962" s="211"/>
      <c r="E12962" s="211"/>
      <c r="U12962" s="222"/>
    </row>
    <row r="12963" spans="2:21" x14ac:dyDescent="0.2">
      <c r="B12963" s="207"/>
      <c r="C12963" s="210"/>
      <c r="D12963" s="211"/>
      <c r="E12963" s="211"/>
      <c r="U12963" s="222"/>
    </row>
    <row r="12964" spans="2:21" x14ac:dyDescent="0.2">
      <c r="B12964" s="207"/>
      <c r="C12964" s="210"/>
      <c r="D12964" s="211"/>
      <c r="E12964" s="211"/>
      <c r="U12964" s="222"/>
    </row>
    <row r="12965" spans="2:21" x14ac:dyDescent="0.2">
      <c r="B12965" s="207"/>
      <c r="C12965" s="210"/>
      <c r="D12965" s="211"/>
      <c r="E12965" s="211"/>
      <c r="U12965" s="222"/>
    </row>
    <row r="12966" spans="2:21" x14ac:dyDescent="0.2">
      <c r="B12966" s="207"/>
      <c r="C12966" s="210"/>
      <c r="D12966" s="211"/>
      <c r="E12966" s="211"/>
      <c r="U12966" s="222"/>
    </row>
    <row r="12967" spans="2:21" x14ac:dyDescent="0.2">
      <c r="B12967" s="207"/>
      <c r="C12967" s="210"/>
      <c r="D12967" s="211"/>
      <c r="E12967" s="211"/>
      <c r="U12967" s="222"/>
    </row>
    <row r="12968" spans="2:21" x14ac:dyDescent="0.2">
      <c r="B12968" s="207"/>
      <c r="C12968" s="210"/>
      <c r="D12968" s="211"/>
      <c r="E12968" s="211"/>
      <c r="U12968" s="222"/>
    </row>
    <row r="12969" spans="2:21" x14ac:dyDescent="0.2">
      <c r="B12969" s="207"/>
      <c r="C12969" s="210"/>
      <c r="D12969" s="211"/>
      <c r="E12969" s="211"/>
      <c r="U12969" s="222"/>
    </row>
    <row r="12970" spans="2:21" x14ac:dyDescent="0.2">
      <c r="B12970" s="207"/>
      <c r="C12970" s="210"/>
      <c r="D12970" s="211"/>
      <c r="E12970" s="211"/>
      <c r="U12970" s="222"/>
    </row>
    <row r="12971" spans="2:21" x14ac:dyDescent="0.2">
      <c r="B12971" s="207"/>
      <c r="C12971" s="210"/>
      <c r="D12971" s="211"/>
      <c r="E12971" s="211"/>
      <c r="U12971" s="222"/>
    </row>
    <row r="12972" spans="2:21" x14ac:dyDescent="0.2">
      <c r="B12972" s="207"/>
      <c r="C12972" s="210"/>
      <c r="D12972" s="211"/>
      <c r="E12972" s="211"/>
      <c r="U12972" s="222"/>
    </row>
    <row r="12973" spans="2:21" x14ac:dyDescent="0.2">
      <c r="B12973" s="207"/>
      <c r="C12973" s="210"/>
      <c r="D12973" s="211"/>
      <c r="E12973" s="211"/>
      <c r="U12973" s="222"/>
    </row>
    <row r="12974" spans="2:21" x14ac:dyDescent="0.2">
      <c r="B12974" s="207"/>
      <c r="C12974" s="210"/>
      <c r="D12974" s="211"/>
      <c r="E12974" s="211"/>
      <c r="U12974" s="222"/>
    </row>
    <row r="12975" spans="2:21" x14ac:dyDescent="0.2">
      <c r="B12975" s="207"/>
      <c r="C12975" s="210"/>
      <c r="D12975" s="211"/>
      <c r="E12975" s="211"/>
      <c r="U12975" s="222"/>
    </row>
    <row r="12976" spans="2:21" x14ac:dyDescent="0.2">
      <c r="B12976" s="207"/>
      <c r="C12976" s="210"/>
      <c r="D12976" s="211"/>
      <c r="E12976" s="211"/>
      <c r="U12976" s="222"/>
    </row>
    <row r="12977" spans="2:21" x14ac:dyDescent="0.2">
      <c r="B12977" s="207"/>
      <c r="C12977" s="210"/>
      <c r="D12977" s="211"/>
      <c r="E12977" s="211"/>
      <c r="U12977" s="222"/>
    </row>
    <row r="12978" spans="2:21" x14ac:dyDescent="0.2">
      <c r="B12978" s="207"/>
      <c r="C12978" s="210"/>
      <c r="D12978" s="211"/>
      <c r="E12978" s="211"/>
      <c r="U12978" s="222"/>
    </row>
    <row r="12979" spans="2:21" x14ac:dyDescent="0.2">
      <c r="B12979" s="207"/>
      <c r="C12979" s="210"/>
      <c r="D12979" s="211"/>
      <c r="E12979" s="211"/>
      <c r="U12979" s="222"/>
    </row>
    <row r="12980" spans="2:21" x14ac:dyDescent="0.2">
      <c r="B12980" s="207"/>
      <c r="C12980" s="210"/>
      <c r="D12980" s="211"/>
      <c r="E12980" s="211"/>
      <c r="U12980" s="222"/>
    </row>
    <row r="12981" spans="2:21" x14ac:dyDescent="0.2">
      <c r="B12981" s="207"/>
      <c r="C12981" s="210"/>
      <c r="D12981" s="211"/>
      <c r="E12981" s="211"/>
      <c r="U12981" s="222"/>
    </row>
    <row r="12982" spans="2:21" x14ac:dyDescent="0.2">
      <c r="B12982" s="207"/>
      <c r="C12982" s="210"/>
      <c r="D12982" s="211"/>
      <c r="E12982" s="211"/>
      <c r="U12982" s="222"/>
    </row>
    <row r="12983" spans="2:21" x14ac:dyDescent="0.2">
      <c r="B12983" s="207"/>
      <c r="C12983" s="210"/>
      <c r="D12983" s="211"/>
      <c r="E12983" s="211"/>
      <c r="U12983" s="222"/>
    </row>
    <row r="12984" spans="2:21" x14ac:dyDescent="0.2">
      <c r="B12984" s="207"/>
      <c r="C12984" s="210"/>
      <c r="D12984" s="211"/>
      <c r="E12984" s="211"/>
      <c r="U12984" s="222"/>
    </row>
    <row r="12985" spans="2:21" x14ac:dyDescent="0.2">
      <c r="B12985" s="207"/>
      <c r="C12985" s="210"/>
      <c r="D12985" s="211"/>
      <c r="E12985" s="211"/>
      <c r="U12985" s="222"/>
    </row>
    <row r="12986" spans="2:21" x14ac:dyDescent="0.2">
      <c r="B12986" s="207"/>
      <c r="C12986" s="210"/>
      <c r="D12986" s="211"/>
      <c r="E12986" s="211"/>
      <c r="U12986" s="222"/>
    </row>
    <row r="12987" spans="2:21" x14ac:dyDescent="0.2">
      <c r="B12987" s="207"/>
      <c r="C12987" s="210"/>
      <c r="D12987" s="211"/>
      <c r="E12987" s="211"/>
      <c r="U12987" s="222"/>
    </row>
    <row r="12988" spans="2:21" x14ac:dyDescent="0.2">
      <c r="B12988" s="207"/>
      <c r="C12988" s="210"/>
      <c r="D12988" s="211"/>
      <c r="E12988" s="211"/>
      <c r="U12988" s="222"/>
    </row>
    <row r="12989" spans="2:21" x14ac:dyDescent="0.2">
      <c r="B12989" s="207"/>
      <c r="C12989" s="210"/>
      <c r="D12989" s="211"/>
      <c r="E12989" s="211"/>
      <c r="U12989" s="222"/>
    </row>
    <row r="12990" spans="2:21" x14ac:dyDescent="0.2">
      <c r="B12990" s="207"/>
      <c r="C12990" s="210"/>
      <c r="D12990" s="211"/>
      <c r="E12990" s="211"/>
      <c r="U12990" s="222"/>
    </row>
    <row r="12991" spans="2:21" x14ac:dyDescent="0.2">
      <c r="B12991" s="207"/>
      <c r="C12991" s="210"/>
      <c r="D12991" s="211"/>
      <c r="E12991" s="211"/>
      <c r="U12991" s="222"/>
    </row>
    <row r="12992" spans="2:21" x14ac:dyDescent="0.2">
      <c r="B12992" s="207"/>
      <c r="C12992" s="210"/>
      <c r="D12992" s="211"/>
      <c r="E12992" s="211"/>
      <c r="U12992" s="222"/>
    </row>
    <row r="12993" spans="2:21" x14ac:dyDescent="0.2">
      <c r="B12993" s="207"/>
      <c r="C12993" s="210"/>
      <c r="D12993" s="211"/>
      <c r="E12993" s="211"/>
      <c r="U12993" s="222"/>
    </row>
    <row r="12994" spans="2:21" x14ac:dyDescent="0.2">
      <c r="B12994" s="207"/>
      <c r="C12994" s="210"/>
      <c r="D12994" s="211"/>
      <c r="E12994" s="211"/>
      <c r="U12994" s="222"/>
    </row>
    <row r="12995" spans="2:21" x14ac:dyDescent="0.2">
      <c r="B12995" s="207"/>
      <c r="C12995" s="210"/>
      <c r="D12995" s="211"/>
      <c r="E12995" s="211"/>
      <c r="U12995" s="222"/>
    </row>
    <row r="12996" spans="2:21" x14ac:dyDescent="0.2">
      <c r="B12996" s="207"/>
      <c r="C12996" s="210"/>
      <c r="D12996" s="211"/>
      <c r="E12996" s="211"/>
      <c r="U12996" s="222"/>
    </row>
    <row r="12997" spans="2:21" x14ac:dyDescent="0.2">
      <c r="B12997" s="207"/>
      <c r="C12997" s="210"/>
      <c r="D12997" s="211"/>
      <c r="E12997" s="211"/>
      <c r="U12997" s="222"/>
    </row>
    <row r="12998" spans="2:21" x14ac:dyDescent="0.2">
      <c r="B12998" s="207"/>
      <c r="C12998" s="210"/>
      <c r="D12998" s="211"/>
      <c r="E12998" s="211"/>
      <c r="U12998" s="222"/>
    </row>
    <row r="12999" spans="2:21" x14ac:dyDescent="0.2">
      <c r="B12999" s="207"/>
      <c r="C12999" s="210"/>
      <c r="D12999" s="211"/>
      <c r="E12999" s="211"/>
      <c r="U12999" s="222"/>
    </row>
    <row r="13000" spans="2:21" x14ac:dyDescent="0.2">
      <c r="B13000" s="207"/>
      <c r="C13000" s="210"/>
      <c r="D13000" s="211"/>
      <c r="E13000" s="211"/>
      <c r="U13000" s="222"/>
    </row>
    <row r="13001" spans="2:21" x14ac:dyDescent="0.2">
      <c r="B13001" s="207"/>
      <c r="C13001" s="210"/>
      <c r="D13001" s="211"/>
      <c r="E13001" s="211"/>
      <c r="U13001" s="222"/>
    </row>
    <row r="13002" spans="2:21" x14ac:dyDescent="0.2">
      <c r="B13002" s="207"/>
      <c r="C13002" s="210"/>
      <c r="D13002" s="211"/>
      <c r="E13002" s="211"/>
      <c r="U13002" s="222"/>
    </row>
    <row r="13003" spans="2:21" x14ac:dyDescent="0.2">
      <c r="B13003" s="207"/>
      <c r="C13003" s="210"/>
      <c r="D13003" s="211"/>
      <c r="E13003" s="211"/>
      <c r="U13003" s="222"/>
    </row>
    <row r="13004" spans="2:21" x14ac:dyDescent="0.2">
      <c r="B13004" s="207"/>
      <c r="C13004" s="210"/>
      <c r="D13004" s="211"/>
      <c r="E13004" s="211"/>
      <c r="U13004" s="222"/>
    </row>
    <row r="13005" spans="2:21" x14ac:dyDescent="0.2">
      <c r="B13005" s="207"/>
      <c r="C13005" s="210"/>
      <c r="D13005" s="211"/>
      <c r="E13005" s="211"/>
      <c r="U13005" s="222"/>
    </row>
    <row r="13006" spans="2:21" x14ac:dyDescent="0.2">
      <c r="B13006" s="207"/>
      <c r="C13006" s="210"/>
      <c r="D13006" s="211"/>
      <c r="E13006" s="211"/>
      <c r="U13006" s="222"/>
    </row>
    <row r="13007" spans="2:21" x14ac:dyDescent="0.2">
      <c r="B13007" s="207"/>
      <c r="C13007" s="210"/>
      <c r="D13007" s="211"/>
      <c r="E13007" s="211"/>
      <c r="U13007" s="222"/>
    </row>
    <row r="13008" spans="2:21" x14ac:dyDescent="0.2">
      <c r="B13008" s="207"/>
      <c r="C13008" s="210"/>
      <c r="D13008" s="211"/>
      <c r="E13008" s="211"/>
      <c r="U13008" s="222"/>
    </row>
    <row r="13009" spans="2:21" x14ac:dyDescent="0.2">
      <c r="B13009" s="207"/>
      <c r="C13009" s="210"/>
      <c r="D13009" s="211"/>
      <c r="E13009" s="211"/>
      <c r="U13009" s="222"/>
    </row>
    <row r="13010" spans="2:21" x14ac:dyDescent="0.2">
      <c r="B13010" s="207"/>
      <c r="C13010" s="210"/>
      <c r="D13010" s="211"/>
      <c r="E13010" s="211"/>
      <c r="U13010" s="222"/>
    </row>
    <row r="13011" spans="2:21" x14ac:dyDescent="0.2">
      <c r="B13011" s="207"/>
      <c r="C13011" s="210"/>
      <c r="D13011" s="211"/>
      <c r="E13011" s="211"/>
      <c r="U13011" s="222"/>
    </row>
    <row r="13012" spans="2:21" x14ac:dyDescent="0.2">
      <c r="B13012" s="207"/>
      <c r="C13012" s="210"/>
      <c r="D13012" s="211"/>
      <c r="E13012" s="211"/>
      <c r="U13012" s="222"/>
    </row>
    <row r="13013" spans="2:21" x14ac:dyDescent="0.2">
      <c r="B13013" s="207"/>
      <c r="C13013" s="210"/>
      <c r="D13013" s="211"/>
      <c r="E13013" s="211"/>
      <c r="U13013" s="222"/>
    </row>
    <row r="13014" spans="2:21" x14ac:dyDescent="0.2">
      <c r="B13014" s="207"/>
      <c r="C13014" s="210"/>
      <c r="D13014" s="211"/>
      <c r="E13014" s="211"/>
      <c r="U13014" s="222"/>
    </row>
    <row r="13015" spans="2:21" x14ac:dyDescent="0.2">
      <c r="B13015" s="207"/>
      <c r="C13015" s="210"/>
      <c r="D13015" s="211"/>
      <c r="E13015" s="211"/>
      <c r="U13015" s="222"/>
    </row>
    <row r="13016" spans="2:21" x14ac:dyDescent="0.2">
      <c r="B13016" s="207"/>
      <c r="C13016" s="210"/>
      <c r="D13016" s="211"/>
      <c r="E13016" s="211"/>
      <c r="U13016" s="222"/>
    </row>
    <row r="13017" spans="2:21" x14ac:dyDescent="0.2">
      <c r="B13017" s="207"/>
      <c r="C13017" s="210"/>
      <c r="D13017" s="211"/>
      <c r="E13017" s="211"/>
      <c r="U13017" s="222"/>
    </row>
    <row r="13018" spans="2:21" x14ac:dyDescent="0.2">
      <c r="B13018" s="207"/>
      <c r="C13018" s="210"/>
      <c r="D13018" s="211"/>
      <c r="E13018" s="211"/>
      <c r="U13018" s="222"/>
    </row>
    <row r="13019" spans="2:21" x14ac:dyDescent="0.2">
      <c r="B13019" s="207"/>
      <c r="C13019" s="210"/>
      <c r="D13019" s="211"/>
      <c r="E13019" s="211"/>
      <c r="U13019" s="222"/>
    </row>
    <row r="13020" spans="2:21" x14ac:dyDescent="0.2">
      <c r="B13020" s="207"/>
      <c r="C13020" s="210"/>
      <c r="D13020" s="211"/>
      <c r="E13020" s="211"/>
      <c r="U13020" s="222"/>
    </row>
    <row r="13021" spans="2:21" x14ac:dyDescent="0.2">
      <c r="B13021" s="207"/>
      <c r="C13021" s="210"/>
      <c r="D13021" s="211"/>
      <c r="E13021" s="211"/>
      <c r="U13021" s="222"/>
    </row>
    <row r="13022" spans="2:21" x14ac:dyDescent="0.2">
      <c r="B13022" s="207"/>
      <c r="C13022" s="210"/>
      <c r="D13022" s="211"/>
      <c r="E13022" s="211"/>
      <c r="U13022" s="222"/>
    </row>
    <row r="13023" spans="2:21" x14ac:dyDescent="0.2">
      <c r="B13023" s="207"/>
      <c r="C13023" s="210"/>
      <c r="D13023" s="211"/>
      <c r="E13023" s="211"/>
      <c r="U13023" s="222"/>
    </row>
    <row r="13024" spans="2:21" x14ac:dyDescent="0.2">
      <c r="B13024" s="207"/>
      <c r="C13024" s="210"/>
      <c r="D13024" s="211"/>
      <c r="E13024" s="211"/>
      <c r="U13024" s="222"/>
    </row>
    <row r="13025" spans="2:21" x14ac:dyDescent="0.2">
      <c r="B13025" s="207"/>
      <c r="C13025" s="210"/>
      <c r="D13025" s="211"/>
      <c r="E13025" s="211"/>
      <c r="U13025" s="222"/>
    </row>
    <row r="13026" spans="2:21" x14ac:dyDescent="0.2">
      <c r="B13026" s="207"/>
      <c r="C13026" s="210"/>
      <c r="D13026" s="211"/>
      <c r="E13026" s="211"/>
      <c r="U13026" s="222"/>
    </row>
    <row r="13027" spans="2:21" x14ac:dyDescent="0.2">
      <c r="B13027" s="207"/>
      <c r="C13027" s="210"/>
      <c r="D13027" s="211"/>
      <c r="E13027" s="211"/>
      <c r="U13027" s="222"/>
    </row>
    <row r="13028" spans="2:21" x14ac:dyDescent="0.2">
      <c r="B13028" s="207"/>
      <c r="C13028" s="210"/>
      <c r="D13028" s="211"/>
      <c r="E13028" s="211"/>
      <c r="U13028" s="222"/>
    </row>
    <row r="13029" spans="2:21" x14ac:dyDescent="0.2">
      <c r="B13029" s="207"/>
      <c r="C13029" s="210"/>
      <c r="D13029" s="211"/>
      <c r="E13029" s="211"/>
      <c r="U13029" s="222"/>
    </row>
    <row r="13030" spans="2:21" x14ac:dyDescent="0.2">
      <c r="B13030" s="207"/>
      <c r="C13030" s="210"/>
      <c r="D13030" s="211"/>
      <c r="E13030" s="211"/>
      <c r="U13030" s="222"/>
    </row>
    <row r="13031" spans="2:21" x14ac:dyDescent="0.2">
      <c r="B13031" s="207"/>
      <c r="C13031" s="210"/>
      <c r="D13031" s="211"/>
      <c r="E13031" s="211"/>
      <c r="U13031" s="222"/>
    </row>
    <row r="13032" spans="2:21" x14ac:dyDescent="0.2">
      <c r="B13032" s="207"/>
      <c r="C13032" s="210"/>
      <c r="D13032" s="211"/>
      <c r="E13032" s="211"/>
      <c r="U13032" s="222"/>
    </row>
    <row r="13033" spans="2:21" x14ac:dyDescent="0.2">
      <c r="B13033" s="207"/>
      <c r="C13033" s="210"/>
      <c r="D13033" s="211"/>
      <c r="E13033" s="211"/>
      <c r="U13033" s="222"/>
    </row>
    <row r="13034" spans="2:21" x14ac:dyDescent="0.2">
      <c r="B13034" s="207"/>
      <c r="C13034" s="210"/>
      <c r="D13034" s="211"/>
      <c r="E13034" s="211"/>
      <c r="U13034" s="222"/>
    </row>
    <row r="13035" spans="2:21" x14ac:dyDescent="0.2">
      <c r="B13035" s="207"/>
      <c r="C13035" s="210"/>
      <c r="D13035" s="211"/>
      <c r="E13035" s="211"/>
      <c r="U13035" s="222"/>
    </row>
    <row r="13036" spans="2:21" x14ac:dyDescent="0.2">
      <c r="B13036" s="207"/>
      <c r="C13036" s="210"/>
      <c r="D13036" s="211"/>
      <c r="E13036" s="211"/>
      <c r="U13036" s="222"/>
    </row>
    <row r="13037" spans="2:21" x14ac:dyDescent="0.2">
      <c r="B13037" s="207"/>
      <c r="C13037" s="210"/>
      <c r="D13037" s="211"/>
      <c r="E13037" s="211"/>
      <c r="U13037" s="222"/>
    </row>
    <row r="13038" spans="2:21" x14ac:dyDescent="0.2">
      <c r="B13038" s="207"/>
      <c r="C13038" s="210"/>
      <c r="D13038" s="211"/>
      <c r="E13038" s="211"/>
      <c r="U13038" s="222"/>
    </row>
    <row r="13039" spans="2:21" x14ac:dyDescent="0.2">
      <c r="B13039" s="207"/>
      <c r="C13039" s="210"/>
      <c r="D13039" s="211"/>
      <c r="E13039" s="211"/>
      <c r="U13039" s="222"/>
    </row>
    <row r="13040" spans="2:21" x14ac:dyDescent="0.2">
      <c r="B13040" s="207"/>
      <c r="C13040" s="210"/>
      <c r="D13040" s="211"/>
      <c r="E13040" s="211"/>
      <c r="U13040" s="222"/>
    </row>
    <row r="13041" spans="2:21" x14ac:dyDescent="0.2">
      <c r="B13041" s="207"/>
      <c r="C13041" s="210"/>
      <c r="D13041" s="211"/>
      <c r="E13041" s="211"/>
      <c r="U13041" s="222"/>
    </row>
    <row r="13042" spans="2:21" x14ac:dyDescent="0.2">
      <c r="B13042" s="207"/>
      <c r="C13042" s="210"/>
      <c r="D13042" s="211"/>
      <c r="E13042" s="211"/>
      <c r="U13042" s="222"/>
    </row>
    <row r="13043" spans="2:21" x14ac:dyDescent="0.2">
      <c r="B13043" s="207"/>
      <c r="C13043" s="210"/>
      <c r="D13043" s="211"/>
      <c r="E13043" s="211"/>
      <c r="U13043" s="222"/>
    </row>
    <row r="13044" spans="2:21" x14ac:dyDescent="0.2">
      <c r="B13044" s="207"/>
      <c r="C13044" s="210"/>
      <c r="D13044" s="211"/>
      <c r="E13044" s="211"/>
      <c r="U13044" s="222"/>
    </row>
    <row r="13045" spans="2:21" x14ac:dyDescent="0.2">
      <c r="B13045" s="207"/>
      <c r="C13045" s="210"/>
      <c r="D13045" s="211"/>
      <c r="E13045" s="211"/>
      <c r="U13045" s="222"/>
    </row>
    <row r="13046" spans="2:21" x14ac:dyDescent="0.2">
      <c r="B13046" s="207"/>
      <c r="C13046" s="210"/>
      <c r="D13046" s="211"/>
      <c r="E13046" s="211"/>
      <c r="U13046" s="222"/>
    </row>
    <row r="13047" spans="2:21" x14ac:dyDescent="0.2">
      <c r="B13047" s="207"/>
      <c r="C13047" s="210"/>
      <c r="D13047" s="211"/>
      <c r="E13047" s="211"/>
      <c r="U13047" s="222"/>
    </row>
    <row r="13048" spans="2:21" x14ac:dyDescent="0.2">
      <c r="B13048" s="207"/>
      <c r="C13048" s="210"/>
      <c r="D13048" s="211"/>
      <c r="E13048" s="211"/>
      <c r="U13048" s="222"/>
    </row>
    <row r="13049" spans="2:21" x14ac:dyDescent="0.2">
      <c r="B13049" s="207"/>
      <c r="C13049" s="210"/>
      <c r="D13049" s="211"/>
      <c r="E13049" s="211"/>
      <c r="U13049" s="222"/>
    </row>
    <row r="13050" spans="2:21" x14ac:dyDescent="0.2">
      <c r="B13050" s="207"/>
      <c r="C13050" s="210"/>
      <c r="D13050" s="211"/>
      <c r="E13050" s="211"/>
      <c r="U13050" s="222"/>
    </row>
    <row r="13051" spans="2:21" x14ac:dyDescent="0.2">
      <c r="B13051" s="207"/>
      <c r="C13051" s="210"/>
      <c r="D13051" s="211"/>
      <c r="E13051" s="211"/>
      <c r="U13051" s="222"/>
    </row>
    <row r="13052" spans="2:21" x14ac:dyDescent="0.2">
      <c r="B13052" s="207"/>
      <c r="C13052" s="210"/>
      <c r="D13052" s="211"/>
      <c r="E13052" s="211"/>
      <c r="U13052" s="222"/>
    </row>
    <row r="13053" spans="2:21" x14ac:dyDescent="0.2">
      <c r="B13053" s="207"/>
      <c r="C13053" s="210"/>
      <c r="D13053" s="211"/>
      <c r="E13053" s="211"/>
      <c r="U13053" s="222"/>
    </row>
    <row r="13054" spans="2:21" x14ac:dyDescent="0.2">
      <c r="B13054" s="207"/>
      <c r="C13054" s="210"/>
      <c r="D13054" s="211"/>
      <c r="E13054" s="211"/>
      <c r="U13054" s="222"/>
    </row>
    <row r="13055" spans="2:21" x14ac:dyDescent="0.2">
      <c r="B13055" s="207"/>
      <c r="C13055" s="210"/>
      <c r="D13055" s="211"/>
      <c r="E13055" s="211"/>
      <c r="U13055" s="222"/>
    </row>
    <row r="13056" spans="2:21" x14ac:dyDescent="0.2">
      <c r="B13056" s="207"/>
      <c r="C13056" s="210"/>
      <c r="D13056" s="211"/>
      <c r="E13056" s="211"/>
      <c r="U13056" s="222"/>
    </row>
    <row r="13057" spans="2:21" x14ac:dyDescent="0.2">
      <c r="B13057" s="207"/>
      <c r="C13057" s="210"/>
      <c r="D13057" s="211"/>
      <c r="E13057" s="211"/>
      <c r="U13057" s="222"/>
    </row>
    <row r="13058" spans="2:21" x14ac:dyDescent="0.2">
      <c r="B13058" s="207"/>
      <c r="C13058" s="210"/>
      <c r="D13058" s="211"/>
      <c r="E13058" s="211"/>
      <c r="U13058" s="222"/>
    </row>
    <row r="13059" spans="2:21" x14ac:dyDescent="0.2">
      <c r="B13059" s="207"/>
      <c r="C13059" s="210"/>
      <c r="D13059" s="211"/>
      <c r="E13059" s="211"/>
      <c r="U13059" s="222"/>
    </row>
    <row r="13060" spans="2:21" x14ac:dyDescent="0.2">
      <c r="B13060" s="207"/>
      <c r="C13060" s="210"/>
      <c r="D13060" s="211"/>
      <c r="E13060" s="211"/>
      <c r="U13060" s="222"/>
    </row>
    <row r="13061" spans="2:21" x14ac:dyDescent="0.2">
      <c r="B13061" s="207"/>
      <c r="C13061" s="210"/>
      <c r="D13061" s="211"/>
      <c r="E13061" s="211"/>
      <c r="U13061" s="222"/>
    </row>
    <row r="13062" spans="2:21" x14ac:dyDescent="0.2">
      <c r="B13062" s="207"/>
      <c r="C13062" s="210"/>
      <c r="D13062" s="211"/>
      <c r="E13062" s="211"/>
      <c r="U13062" s="222"/>
    </row>
    <row r="13063" spans="2:21" x14ac:dyDescent="0.2">
      <c r="B13063" s="207"/>
      <c r="C13063" s="210"/>
      <c r="D13063" s="211"/>
      <c r="E13063" s="211"/>
      <c r="U13063" s="222"/>
    </row>
    <row r="13064" spans="2:21" x14ac:dyDescent="0.2">
      <c r="B13064" s="207"/>
      <c r="C13064" s="210"/>
      <c r="D13064" s="211"/>
      <c r="E13064" s="211"/>
      <c r="U13064" s="222"/>
    </row>
    <row r="13065" spans="2:21" x14ac:dyDescent="0.2">
      <c r="B13065" s="207"/>
      <c r="C13065" s="210"/>
      <c r="D13065" s="211"/>
      <c r="E13065" s="211"/>
      <c r="U13065" s="222"/>
    </row>
    <row r="13066" spans="2:21" x14ac:dyDescent="0.2">
      <c r="B13066" s="207"/>
      <c r="C13066" s="210"/>
      <c r="D13066" s="211"/>
      <c r="E13066" s="211"/>
      <c r="U13066" s="222"/>
    </row>
    <row r="13067" spans="2:21" x14ac:dyDescent="0.2">
      <c r="B13067" s="207"/>
      <c r="C13067" s="210"/>
      <c r="D13067" s="211"/>
      <c r="E13067" s="211"/>
      <c r="U13067" s="222"/>
    </row>
    <row r="13068" spans="2:21" x14ac:dyDescent="0.2">
      <c r="B13068" s="207"/>
      <c r="C13068" s="210"/>
      <c r="D13068" s="211"/>
      <c r="E13068" s="211"/>
      <c r="U13068" s="222"/>
    </row>
    <row r="13069" spans="2:21" x14ac:dyDescent="0.2">
      <c r="B13069" s="207"/>
      <c r="C13069" s="210"/>
      <c r="D13069" s="211"/>
      <c r="E13069" s="211"/>
      <c r="U13069" s="222"/>
    </row>
    <row r="13070" spans="2:21" x14ac:dyDescent="0.2">
      <c r="B13070" s="207"/>
      <c r="C13070" s="210"/>
      <c r="D13070" s="211"/>
      <c r="E13070" s="211"/>
      <c r="U13070" s="222"/>
    </row>
    <row r="13071" spans="2:21" x14ac:dyDescent="0.2">
      <c r="B13071" s="207"/>
      <c r="C13071" s="210"/>
      <c r="D13071" s="211"/>
      <c r="E13071" s="211"/>
      <c r="U13071" s="222"/>
    </row>
    <row r="13072" spans="2:21" x14ac:dyDescent="0.2">
      <c r="B13072" s="207"/>
      <c r="C13072" s="210"/>
      <c r="D13072" s="211"/>
      <c r="E13072" s="211"/>
      <c r="U13072" s="222"/>
    </row>
    <row r="13073" spans="2:21" x14ac:dyDescent="0.2">
      <c r="B13073" s="207"/>
      <c r="C13073" s="210"/>
      <c r="D13073" s="211"/>
      <c r="E13073" s="211"/>
      <c r="U13073" s="222"/>
    </row>
    <row r="13074" spans="2:21" x14ac:dyDescent="0.2">
      <c r="B13074" s="207"/>
      <c r="C13074" s="210"/>
      <c r="D13074" s="211"/>
      <c r="E13074" s="211"/>
      <c r="U13074" s="222"/>
    </row>
    <row r="13075" spans="2:21" x14ac:dyDescent="0.2">
      <c r="B13075" s="207"/>
      <c r="C13075" s="210"/>
      <c r="D13075" s="211"/>
      <c r="E13075" s="211"/>
      <c r="U13075" s="222"/>
    </row>
    <row r="13076" spans="2:21" x14ac:dyDescent="0.2">
      <c r="B13076" s="207"/>
      <c r="C13076" s="210"/>
      <c r="D13076" s="211"/>
      <c r="E13076" s="211"/>
      <c r="U13076" s="222"/>
    </row>
    <row r="13077" spans="2:21" x14ac:dyDescent="0.2">
      <c r="B13077" s="207"/>
      <c r="C13077" s="210"/>
      <c r="D13077" s="211"/>
      <c r="E13077" s="211"/>
      <c r="U13077" s="222"/>
    </row>
    <row r="13078" spans="2:21" x14ac:dyDescent="0.2">
      <c r="B13078" s="207"/>
      <c r="C13078" s="210"/>
      <c r="D13078" s="211"/>
      <c r="E13078" s="211"/>
      <c r="U13078" s="222"/>
    </row>
    <row r="13079" spans="2:21" x14ac:dyDescent="0.2">
      <c r="B13079" s="207"/>
      <c r="C13079" s="210"/>
      <c r="D13079" s="211"/>
      <c r="E13079" s="211"/>
      <c r="U13079" s="222"/>
    </row>
    <row r="13080" spans="2:21" x14ac:dyDescent="0.2">
      <c r="B13080" s="207"/>
      <c r="C13080" s="210"/>
      <c r="D13080" s="211"/>
      <c r="E13080" s="211"/>
      <c r="U13080" s="222"/>
    </row>
    <row r="13081" spans="2:21" x14ac:dyDescent="0.2">
      <c r="B13081" s="207"/>
      <c r="C13081" s="210"/>
      <c r="D13081" s="211"/>
      <c r="E13081" s="211"/>
      <c r="U13081" s="222"/>
    </row>
    <row r="13082" spans="2:21" x14ac:dyDescent="0.2">
      <c r="B13082" s="207"/>
      <c r="C13082" s="210"/>
      <c r="D13082" s="211"/>
      <c r="E13082" s="211"/>
      <c r="U13082" s="222"/>
    </row>
    <row r="13083" spans="2:21" x14ac:dyDescent="0.2">
      <c r="B13083" s="207"/>
      <c r="C13083" s="210"/>
      <c r="D13083" s="211"/>
      <c r="E13083" s="211"/>
      <c r="U13083" s="222"/>
    </row>
    <row r="13084" spans="2:21" x14ac:dyDescent="0.2">
      <c r="B13084" s="207"/>
      <c r="C13084" s="210"/>
      <c r="D13084" s="211"/>
      <c r="E13084" s="211"/>
      <c r="U13084" s="222"/>
    </row>
    <row r="13085" spans="2:21" x14ac:dyDescent="0.2">
      <c r="B13085" s="207"/>
      <c r="C13085" s="210"/>
      <c r="D13085" s="211"/>
      <c r="E13085" s="211"/>
      <c r="U13085" s="222"/>
    </row>
    <row r="13086" spans="2:21" x14ac:dyDescent="0.2">
      <c r="B13086" s="207"/>
      <c r="C13086" s="210"/>
      <c r="D13086" s="211"/>
      <c r="E13086" s="211"/>
      <c r="U13086" s="222"/>
    </row>
    <row r="13087" spans="2:21" x14ac:dyDescent="0.2">
      <c r="B13087" s="207"/>
      <c r="C13087" s="210"/>
      <c r="D13087" s="211"/>
      <c r="E13087" s="211"/>
      <c r="U13087" s="222"/>
    </row>
    <row r="13088" spans="2:21" x14ac:dyDescent="0.2">
      <c r="B13088" s="207"/>
      <c r="C13088" s="210"/>
      <c r="D13088" s="211"/>
      <c r="E13088" s="211"/>
      <c r="U13088" s="222"/>
    </row>
    <row r="13089" spans="2:21" x14ac:dyDescent="0.2">
      <c r="B13089" s="207"/>
      <c r="C13089" s="210"/>
      <c r="D13089" s="211"/>
      <c r="E13089" s="211"/>
      <c r="U13089" s="222"/>
    </row>
    <row r="13090" spans="2:21" x14ac:dyDescent="0.2">
      <c r="B13090" s="207"/>
      <c r="C13090" s="210"/>
      <c r="D13090" s="211"/>
      <c r="E13090" s="211"/>
      <c r="U13090" s="222"/>
    </row>
    <row r="13091" spans="2:21" x14ac:dyDescent="0.2">
      <c r="B13091" s="207"/>
      <c r="C13091" s="210"/>
      <c r="D13091" s="211"/>
      <c r="E13091" s="211"/>
      <c r="U13091" s="222"/>
    </row>
    <row r="13092" spans="2:21" x14ac:dyDescent="0.2">
      <c r="B13092" s="207"/>
      <c r="C13092" s="210"/>
      <c r="D13092" s="211"/>
      <c r="E13092" s="211"/>
      <c r="U13092" s="222"/>
    </row>
    <row r="13093" spans="2:21" x14ac:dyDescent="0.2">
      <c r="B13093" s="207"/>
      <c r="C13093" s="210"/>
      <c r="D13093" s="211"/>
      <c r="E13093" s="211"/>
      <c r="U13093" s="222"/>
    </row>
    <row r="13094" spans="2:21" x14ac:dyDescent="0.2">
      <c r="B13094" s="207"/>
      <c r="C13094" s="210"/>
      <c r="D13094" s="211"/>
      <c r="E13094" s="211"/>
      <c r="U13094" s="222"/>
    </row>
    <row r="13095" spans="2:21" x14ac:dyDescent="0.2">
      <c r="B13095" s="207"/>
      <c r="C13095" s="210"/>
      <c r="D13095" s="211"/>
      <c r="E13095" s="211"/>
      <c r="U13095" s="222"/>
    </row>
    <row r="13096" spans="2:21" x14ac:dyDescent="0.2">
      <c r="B13096" s="207"/>
      <c r="C13096" s="210"/>
      <c r="D13096" s="211"/>
      <c r="E13096" s="211"/>
      <c r="U13096" s="222"/>
    </row>
    <row r="13097" spans="2:21" x14ac:dyDescent="0.2">
      <c r="B13097" s="207"/>
      <c r="C13097" s="210"/>
      <c r="D13097" s="211"/>
      <c r="E13097" s="211"/>
      <c r="U13097" s="222"/>
    </row>
    <row r="13098" spans="2:21" x14ac:dyDescent="0.2">
      <c r="B13098" s="207"/>
      <c r="C13098" s="210"/>
      <c r="D13098" s="211"/>
      <c r="E13098" s="211"/>
      <c r="U13098" s="222"/>
    </row>
    <row r="13099" spans="2:21" x14ac:dyDescent="0.2">
      <c r="B13099" s="207"/>
      <c r="C13099" s="210"/>
      <c r="D13099" s="211"/>
      <c r="E13099" s="211"/>
      <c r="U13099" s="222"/>
    </row>
    <row r="13100" spans="2:21" x14ac:dyDescent="0.2">
      <c r="B13100" s="207"/>
      <c r="C13100" s="210"/>
      <c r="D13100" s="211"/>
      <c r="E13100" s="211"/>
      <c r="U13100" s="222"/>
    </row>
    <row r="13101" spans="2:21" x14ac:dyDescent="0.2">
      <c r="B13101" s="207"/>
      <c r="C13101" s="210"/>
      <c r="D13101" s="211"/>
      <c r="E13101" s="211"/>
      <c r="U13101" s="222"/>
    </row>
    <row r="13102" spans="2:21" x14ac:dyDescent="0.2">
      <c r="B13102" s="207"/>
      <c r="C13102" s="210"/>
      <c r="D13102" s="211"/>
      <c r="E13102" s="211"/>
      <c r="U13102" s="222"/>
    </row>
    <row r="13103" spans="2:21" x14ac:dyDescent="0.2">
      <c r="B13103" s="207"/>
      <c r="C13103" s="210"/>
      <c r="D13103" s="211"/>
      <c r="E13103" s="211"/>
      <c r="U13103" s="222"/>
    </row>
    <row r="13104" spans="2:21" x14ac:dyDescent="0.2">
      <c r="B13104" s="207"/>
      <c r="C13104" s="210"/>
      <c r="D13104" s="211"/>
      <c r="E13104" s="211"/>
      <c r="U13104" s="222"/>
    </row>
    <row r="13105" spans="2:21" x14ac:dyDescent="0.2">
      <c r="B13105" s="207"/>
      <c r="C13105" s="210"/>
      <c r="D13105" s="211"/>
      <c r="E13105" s="211"/>
      <c r="U13105" s="222"/>
    </row>
    <row r="13106" spans="2:21" x14ac:dyDescent="0.2">
      <c r="B13106" s="207"/>
      <c r="C13106" s="210"/>
      <c r="D13106" s="211"/>
      <c r="E13106" s="211"/>
      <c r="U13106" s="222"/>
    </row>
    <row r="13107" spans="2:21" x14ac:dyDescent="0.2">
      <c r="B13107" s="207"/>
      <c r="C13107" s="210"/>
      <c r="D13107" s="211"/>
      <c r="E13107" s="211"/>
      <c r="U13107" s="222"/>
    </row>
    <row r="13108" spans="2:21" x14ac:dyDescent="0.2">
      <c r="B13108" s="207"/>
      <c r="C13108" s="210"/>
      <c r="D13108" s="211"/>
      <c r="E13108" s="211"/>
      <c r="U13108" s="222"/>
    </row>
    <row r="13109" spans="2:21" x14ac:dyDescent="0.2">
      <c r="B13109" s="207"/>
      <c r="C13109" s="210"/>
      <c r="D13109" s="211"/>
      <c r="E13109" s="211"/>
      <c r="U13109" s="222"/>
    </row>
    <row r="13110" spans="2:21" x14ac:dyDescent="0.2">
      <c r="B13110" s="207"/>
      <c r="C13110" s="210"/>
      <c r="D13110" s="211"/>
      <c r="E13110" s="211"/>
      <c r="U13110" s="222"/>
    </row>
    <row r="13111" spans="2:21" x14ac:dyDescent="0.2">
      <c r="B13111" s="207"/>
      <c r="C13111" s="210"/>
      <c r="D13111" s="211"/>
      <c r="E13111" s="211"/>
      <c r="U13111" s="222"/>
    </row>
    <row r="13112" spans="2:21" x14ac:dyDescent="0.2">
      <c r="B13112" s="207"/>
      <c r="C13112" s="210"/>
      <c r="D13112" s="211"/>
      <c r="E13112" s="211"/>
      <c r="U13112" s="222"/>
    </row>
    <row r="13113" spans="2:21" x14ac:dyDescent="0.2">
      <c r="B13113" s="207"/>
      <c r="C13113" s="210"/>
      <c r="D13113" s="211"/>
      <c r="E13113" s="211"/>
      <c r="U13113" s="222"/>
    </row>
    <row r="13114" spans="2:21" x14ac:dyDescent="0.2">
      <c r="B13114" s="207"/>
      <c r="C13114" s="210"/>
      <c r="D13114" s="211"/>
      <c r="E13114" s="211"/>
      <c r="U13114" s="222"/>
    </row>
    <row r="13115" spans="2:21" x14ac:dyDescent="0.2">
      <c r="B13115" s="207"/>
      <c r="C13115" s="210"/>
      <c r="D13115" s="211"/>
      <c r="E13115" s="211"/>
      <c r="U13115" s="222"/>
    </row>
    <row r="13116" spans="2:21" x14ac:dyDescent="0.2">
      <c r="B13116" s="207"/>
      <c r="C13116" s="210"/>
      <c r="D13116" s="211"/>
      <c r="E13116" s="211"/>
      <c r="U13116" s="222"/>
    </row>
    <row r="13117" spans="2:21" x14ac:dyDescent="0.2">
      <c r="B13117" s="207"/>
      <c r="C13117" s="210"/>
      <c r="D13117" s="211"/>
      <c r="E13117" s="211"/>
      <c r="U13117" s="222"/>
    </row>
    <row r="13118" spans="2:21" x14ac:dyDescent="0.2">
      <c r="B13118" s="207"/>
      <c r="C13118" s="210"/>
      <c r="D13118" s="211"/>
      <c r="E13118" s="211"/>
      <c r="U13118" s="222"/>
    </row>
    <row r="13119" spans="2:21" x14ac:dyDescent="0.2">
      <c r="B13119" s="207"/>
      <c r="C13119" s="210"/>
      <c r="D13119" s="211"/>
      <c r="E13119" s="211"/>
      <c r="U13119" s="222"/>
    </row>
    <row r="13120" spans="2:21" x14ac:dyDescent="0.2">
      <c r="B13120" s="207"/>
      <c r="C13120" s="210"/>
      <c r="D13120" s="211"/>
      <c r="E13120" s="211"/>
      <c r="U13120" s="222"/>
    </row>
    <row r="13121" spans="2:21" x14ac:dyDescent="0.2">
      <c r="B13121" s="207"/>
      <c r="C13121" s="210"/>
      <c r="D13121" s="211"/>
      <c r="E13121" s="211"/>
      <c r="U13121" s="222"/>
    </row>
    <row r="13122" spans="2:21" x14ac:dyDescent="0.2">
      <c r="B13122" s="207"/>
      <c r="C13122" s="210"/>
      <c r="D13122" s="211"/>
      <c r="E13122" s="211"/>
      <c r="U13122" s="222"/>
    </row>
    <row r="13123" spans="2:21" x14ac:dyDescent="0.2">
      <c r="B13123" s="207"/>
      <c r="C13123" s="210"/>
      <c r="D13123" s="211"/>
      <c r="E13123" s="211"/>
      <c r="U13123" s="222"/>
    </row>
    <row r="13124" spans="2:21" x14ac:dyDescent="0.2">
      <c r="B13124" s="207"/>
      <c r="C13124" s="210"/>
      <c r="D13124" s="211"/>
      <c r="E13124" s="211"/>
      <c r="U13124" s="222"/>
    </row>
    <row r="13125" spans="2:21" x14ac:dyDescent="0.2">
      <c r="B13125" s="207"/>
      <c r="C13125" s="210"/>
      <c r="D13125" s="211"/>
      <c r="E13125" s="211"/>
      <c r="U13125" s="222"/>
    </row>
    <row r="13126" spans="2:21" x14ac:dyDescent="0.2">
      <c r="B13126" s="207"/>
      <c r="C13126" s="210"/>
      <c r="D13126" s="211"/>
      <c r="E13126" s="211"/>
      <c r="U13126" s="222"/>
    </row>
    <row r="13127" spans="2:21" x14ac:dyDescent="0.2">
      <c r="B13127" s="207"/>
      <c r="C13127" s="210"/>
      <c r="D13127" s="211"/>
      <c r="E13127" s="211"/>
      <c r="U13127" s="222"/>
    </row>
    <row r="13128" spans="2:21" x14ac:dyDescent="0.2">
      <c r="B13128" s="207"/>
      <c r="C13128" s="210"/>
      <c r="D13128" s="211"/>
      <c r="E13128" s="211"/>
      <c r="U13128" s="222"/>
    </row>
    <row r="13129" spans="2:21" x14ac:dyDescent="0.2">
      <c r="B13129" s="207"/>
      <c r="C13129" s="210"/>
      <c r="D13129" s="211"/>
      <c r="E13129" s="211"/>
      <c r="U13129" s="222"/>
    </row>
    <row r="13130" spans="2:21" x14ac:dyDescent="0.2">
      <c r="B13130" s="207"/>
      <c r="C13130" s="210"/>
      <c r="D13130" s="211"/>
      <c r="E13130" s="211"/>
      <c r="U13130" s="222"/>
    </row>
    <row r="13131" spans="2:21" x14ac:dyDescent="0.2">
      <c r="B13131" s="207"/>
      <c r="C13131" s="210"/>
      <c r="D13131" s="211"/>
      <c r="E13131" s="211"/>
      <c r="U13131" s="222"/>
    </row>
    <row r="13132" spans="2:21" x14ac:dyDescent="0.2">
      <c r="B13132" s="207"/>
      <c r="C13132" s="210"/>
      <c r="D13132" s="211"/>
      <c r="E13132" s="211"/>
      <c r="U13132" s="222"/>
    </row>
    <row r="13133" spans="2:21" x14ac:dyDescent="0.2">
      <c r="B13133" s="207"/>
      <c r="C13133" s="210"/>
      <c r="D13133" s="211"/>
      <c r="E13133" s="211"/>
      <c r="U13133" s="222"/>
    </row>
    <row r="13134" spans="2:21" x14ac:dyDescent="0.2">
      <c r="B13134" s="207"/>
      <c r="C13134" s="210"/>
      <c r="D13134" s="211"/>
      <c r="E13134" s="211"/>
      <c r="U13134" s="222"/>
    </row>
    <row r="13135" spans="2:21" x14ac:dyDescent="0.2">
      <c r="B13135" s="207"/>
      <c r="C13135" s="210"/>
      <c r="D13135" s="211"/>
      <c r="E13135" s="211"/>
      <c r="U13135" s="222"/>
    </row>
    <row r="13136" spans="2:21" x14ac:dyDescent="0.2">
      <c r="B13136" s="207"/>
      <c r="C13136" s="210"/>
      <c r="D13136" s="211"/>
      <c r="E13136" s="211"/>
      <c r="U13136" s="222"/>
    </row>
    <row r="13137" spans="2:21" x14ac:dyDescent="0.2">
      <c r="B13137" s="207"/>
      <c r="C13137" s="210"/>
      <c r="D13137" s="211"/>
      <c r="E13137" s="211"/>
      <c r="U13137" s="222"/>
    </row>
    <row r="13138" spans="2:21" x14ac:dyDescent="0.2">
      <c r="B13138" s="207"/>
      <c r="C13138" s="210"/>
      <c r="D13138" s="211"/>
      <c r="E13138" s="211"/>
      <c r="U13138" s="222"/>
    </row>
    <row r="13139" spans="2:21" x14ac:dyDescent="0.2">
      <c r="B13139" s="207"/>
      <c r="C13139" s="210"/>
      <c r="D13139" s="211"/>
      <c r="E13139" s="211"/>
      <c r="U13139" s="222"/>
    </row>
    <row r="13140" spans="2:21" x14ac:dyDescent="0.2">
      <c r="B13140" s="207"/>
      <c r="C13140" s="210"/>
      <c r="D13140" s="211"/>
      <c r="E13140" s="211"/>
      <c r="U13140" s="222"/>
    </row>
    <row r="13141" spans="2:21" x14ac:dyDescent="0.2">
      <c r="B13141" s="207"/>
      <c r="C13141" s="210"/>
      <c r="D13141" s="211"/>
      <c r="E13141" s="211"/>
      <c r="U13141" s="222"/>
    </row>
    <row r="13142" spans="2:21" x14ac:dyDescent="0.2">
      <c r="B13142" s="207"/>
      <c r="C13142" s="210"/>
      <c r="D13142" s="211"/>
      <c r="E13142" s="211"/>
      <c r="U13142" s="222"/>
    </row>
    <row r="13143" spans="2:21" x14ac:dyDescent="0.2">
      <c r="B13143" s="207"/>
      <c r="C13143" s="210"/>
      <c r="D13143" s="211"/>
      <c r="E13143" s="211"/>
      <c r="U13143" s="222"/>
    </row>
    <row r="13144" spans="2:21" x14ac:dyDescent="0.2">
      <c r="B13144" s="207"/>
      <c r="C13144" s="210"/>
      <c r="D13144" s="211"/>
      <c r="E13144" s="211"/>
      <c r="U13144" s="222"/>
    </row>
    <row r="13145" spans="2:21" x14ac:dyDescent="0.2">
      <c r="B13145" s="207"/>
      <c r="C13145" s="210"/>
      <c r="D13145" s="211"/>
      <c r="E13145" s="211"/>
      <c r="U13145" s="222"/>
    </row>
    <row r="13146" spans="2:21" x14ac:dyDescent="0.2">
      <c r="B13146" s="207"/>
      <c r="C13146" s="210"/>
      <c r="D13146" s="211"/>
      <c r="E13146" s="211"/>
      <c r="U13146" s="222"/>
    </row>
    <row r="13147" spans="2:21" x14ac:dyDescent="0.2">
      <c r="B13147" s="207"/>
      <c r="C13147" s="210"/>
      <c r="D13147" s="211"/>
      <c r="E13147" s="211"/>
      <c r="U13147" s="222"/>
    </row>
    <row r="13148" spans="2:21" x14ac:dyDescent="0.2">
      <c r="B13148" s="207"/>
      <c r="C13148" s="210"/>
      <c r="D13148" s="211"/>
      <c r="E13148" s="211"/>
      <c r="U13148" s="222"/>
    </row>
    <row r="13149" spans="2:21" x14ac:dyDescent="0.2">
      <c r="B13149" s="207"/>
      <c r="C13149" s="210"/>
      <c r="D13149" s="211"/>
      <c r="E13149" s="211"/>
      <c r="U13149" s="222"/>
    </row>
    <row r="13150" spans="2:21" x14ac:dyDescent="0.2">
      <c r="B13150" s="207"/>
      <c r="C13150" s="210"/>
      <c r="D13150" s="211"/>
      <c r="E13150" s="211"/>
      <c r="U13150" s="222"/>
    </row>
    <row r="13151" spans="2:21" x14ac:dyDescent="0.2">
      <c r="B13151" s="207"/>
      <c r="C13151" s="210"/>
      <c r="D13151" s="211"/>
      <c r="E13151" s="211"/>
      <c r="U13151" s="222"/>
    </row>
    <row r="13152" spans="2:21" x14ac:dyDescent="0.2">
      <c r="B13152" s="207"/>
      <c r="C13152" s="210"/>
      <c r="D13152" s="211"/>
      <c r="E13152" s="211"/>
      <c r="U13152" s="222"/>
    </row>
    <row r="13153" spans="2:21" x14ac:dyDescent="0.2">
      <c r="B13153" s="207"/>
      <c r="C13153" s="210"/>
      <c r="D13153" s="211"/>
      <c r="E13153" s="211"/>
      <c r="U13153" s="222"/>
    </row>
    <row r="13154" spans="2:21" x14ac:dyDescent="0.2">
      <c r="B13154" s="207"/>
      <c r="C13154" s="210"/>
      <c r="D13154" s="211"/>
      <c r="E13154" s="211"/>
      <c r="U13154" s="222"/>
    </row>
    <row r="13155" spans="2:21" x14ac:dyDescent="0.2">
      <c r="B13155" s="207"/>
      <c r="C13155" s="210"/>
      <c r="D13155" s="211"/>
      <c r="E13155" s="211"/>
      <c r="U13155" s="222"/>
    </row>
    <row r="13156" spans="2:21" x14ac:dyDescent="0.2">
      <c r="B13156" s="207"/>
      <c r="C13156" s="210"/>
      <c r="D13156" s="211"/>
      <c r="E13156" s="211"/>
      <c r="U13156" s="222"/>
    </row>
    <row r="13157" spans="2:21" x14ac:dyDescent="0.2">
      <c r="B13157" s="207"/>
      <c r="C13157" s="210"/>
      <c r="D13157" s="211"/>
      <c r="E13157" s="211"/>
      <c r="U13157" s="222"/>
    </row>
    <row r="13158" spans="2:21" x14ac:dyDescent="0.2">
      <c r="B13158" s="207"/>
      <c r="C13158" s="210"/>
      <c r="D13158" s="211"/>
      <c r="E13158" s="211"/>
      <c r="U13158" s="222"/>
    </row>
    <row r="13159" spans="2:21" x14ac:dyDescent="0.2">
      <c r="B13159" s="207"/>
      <c r="C13159" s="210"/>
      <c r="D13159" s="211"/>
      <c r="E13159" s="211"/>
      <c r="U13159" s="222"/>
    </row>
    <row r="13160" spans="2:21" x14ac:dyDescent="0.2">
      <c r="B13160" s="207"/>
      <c r="C13160" s="210"/>
      <c r="D13160" s="211"/>
      <c r="E13160" s="211"/>
      <c r="U13160" s="222"/>
    </row>
    <row r="13161" spans="2:21" x14ac:dyDescent="0.2">
      <c r="B13161" s="207"/>
      <c r="C13161" s="210"/>
      <c r="D13161" s="211"/>
      <c r="E13161" s="211"/>
      <c r="U13161" s="222"/>
    </row>
    <row r="13162" spans="2:21" x14ac:dyDescent="0.2">
      <c r="B13162" s="207"/>
      <c r="C13162" s="210"/>
      <c r="D13162" s="211"/>
      <c r="E13162" s="211"/>
      <c r="U13162" s="222"/>
    </row>
    <row r="13163" spans="2:21" x14ac:dyDescent="0.2">
      <c r="B13163" s="207"/>
      <c r="C13163" s="210"/>
      <c r="D13163" s="211"/>
      <c r="E13163" s="211"/>
      <c r="U13163" s="222"/>
    </row>
    <row r="13164" spans="2:21" x14ac:dyDescent="0.2">
      <c r="B13164" s="207"/>
      <c r="C13164" s="210"/>
      <c r="D13164" s="211"/>
      <c r="E13164" s="211"/>
      <c r="U13164" s="222"/>
    </row>
    <row r="13165" spans="2:21" x14ac:dyDescent="0.2">
      <c r="B13165" s="207"/>
      <c r="C13165" s="210"/>
      <c r="D13165" s="211"/>
      <c r="E13165" s="211"/>
      <c r="U13165" s="222"/>
    </row>
    <row r="13166" spans="2:21" x14ac:dyDescent="0.2">
      <c r="B13166" s="207"/>
      <c r="C13166" s="210"/>
      <c r="D13166" s="211"/>
      <c r="E13166" s="211"/>
      <c r="U13166" s="222"/>
    </row>
    <row r="13167" spans="2:21" x14ac:dyDescent="0.2">
      <c r="B13167" s="207"/>
      <c r="C13167" s="210"/>
      <c r="D13167" s="211"/>
      <c r="E13167" s="211"/>
      <c r="U13167" s="222"/>
    </row>
    <row r="13168" spans="2:21" x14ac:dyDescent="0.2">
      <c r="B13168" s="207"/>
      <c r="C13168" s="210"/>
      <c r="D13168" s="211"/>
      <c r="E13168" s="211"/>
      <c r="U13168" s="222"/>
    </row>
    <row r="13169" spans="2:21" x14ac:dyDescent="0.2">
      <c r="B13169" s="207"/>
      <c r="C13169" s="210"/>
      <c r="D13169" s="211"/>
      <c r="E13169" s="211"/>
      <c r="U13169" s="222"/>
    </row>
    <row r="13170" spans="2:21" x14ac:dyDescent="0.2">
      <c r="B13170" s="207"/>
      <c r="C13170" s="210"/>
      <c r="D13170" s="211"/>
      <c r="E13170" s="211"/>
      <c r="U13170" s="222"/>
    </row>
    <row r="13171" spans="2:21" x14ac:dyDescent="0.2">
      <c r="B13171" s="207"/>
      <c r="C13171" s="210"/>
      <c r="D13171" s="211"/>
      <c r="E13171" s="211"/>
      <c r="U13171" s="222"/>
    </row>
    <row r="13172" spans="2:21" x14ac:dyDescent="0.2">
      <c r="B13172" s="207"/>
      <c r="C13172" s="210"/>
      <c r="D13172" s="211"/>
      <c r="E13172" s="211"/>
      <c r="U13172" s="222"/>
    </row>
    <row r="13173" spans="2:21" x14ac:dyDescent="0.2">
      <c r="B13173" s="207"/>
      <c r="C13173" s="210"/>
      <c r="D13173" s="211"/>
      <c r="E13173" s="211"/>
      <c r="U13173" s="222"/>
    </row>
    <row r="13174" spans="2:21" x14ac:dyDescent="0.2">
      <c r="B13174" s="207"/>
      <c r="C13174" s="210"/>
      <c r="D13174" s="211"/>
      <c r="E13174" s="211"/>
      <c r="U13174" s="222"/>
    </row>
    <row r="13175" spans="2:21" x14ac:dyDescent="0.2">
      <c r="B13175" s="207"/>
      <c r="C13175" s="210"/>
      <c r="D13175" s="211"/>
      <c r="E13175" s="211"/>
      <c r="U13175" s="222"/>
    </row>
    <row r="13176" spans="2:21" x14ac:dyDescent="0.2">
      <c r="B13176" s="207"/>
      <c r="C13176" s="210"/>
      <c r="D13176" s="211"/>
      <c r="E13176" s="211"/>
      <c r="U13176" s="222"/>
    </row>
    <row r="13177" spans="2:21" x14ac:dyDescent="0.2">
      <c r="B13177" s="207"/>
      <c r="C13177" s="210"/>
      <c r="D13177" s="211"/>
      <c r="E13177" s="211"/>
      <c r="U13177" s="222"/>
    </row>
    <row r="13178" spans="2:21" x14ac:dyDescent="0.2">
      <c r="B13178" s="207"/>
      <c r="C13178" s="210"/>
      <c r="D13178" s="211"/>
      <c r="E13178" s="211"/>
      <c r="U13178" s="222"/>
    </row>
    <row r="13179" spans="2:21" x14ac:dyDescent="0.2">
      <c r="B13179" s="207"/>
      <c r="C13179" s="210"/>
      <c r="D13179" s="211"/>
      <c r="E13179" s="211"/>
      <c r="U13179" s="222"/>
    </row>
    <row r="13180" spans="2:21" x14ac:dyDescent="0.2">
      <c r="B13180" s="207"/>
      <c r="C13180" s="210"/>
      <c r="D13180" s="211"/>
      <c r="E13180" s="211"/>
      <c r="U13180" s="222"/>
    </row>
    <row r="13181" spans="2:21" x14ac:dyDescent="0.2">
      <c r="B13181" s="207"/>
      <c r="C13181" s="210"/>
      <c r="D13181" s="211"/>
      <c r="E13181" s="211"/>
      <c r="U13181" s="222"/>
    </row>
    <row r="13182" spans="2:21" x14ac:dyDescent="0.2">
      <c r="B13182" s="207"/>
      <c r="C13182" s="210"/>
      <c r="D13182" s="211"/>
      <c r="E13182" s="211"/>
      <c r="U13182" s="222"/>
    </row>
    <row r="13183" spans="2:21" x14ac:dyDescent="0.2">
      <c r="B13183" s="207"/>
      <c r="C13183" s="210"/>
      <c r="D13183" s="211"/>
      <c r="E13183" s="211"/>
      <c r="U13183" s="222"/>
    </row>
    <row r="13184" spans="2:21" x14ac:dyDescent="0.2">
      <c r="B13184" s="207"/>
      <c r="C13184" s="210"/>
      <c r="D13184" s="211"/>
      <c r="E13184" s="211"/>
      <c r="U13184" s="222"/>
    </row>
    <row r="13185" spans="2:21" x14ac:dyDescent="0.2">
      <c r="B13185" s="207"/>
      <c r="C13185" s="210"/>
      <c r="D13185" s="211"/>
      <c r="E13185" s="211"/>
      <c r="U13185" s="222"/>
    </row>
    <row r="13186" spans="2:21" x14ac:dyDescent="0.2">
      <c r="B13186" s="207"/>
      <c r="C13186" s="210"/>
      <c r="D13186" s="211"/>
      <c r="E13186" s="211"/>
      <c r="U13186" s="222"/>
    </row>
    <row r="13187" spans="2:21" x14ac:dyDescent="0.2">
      <c r="B13187" s="207"/>
      <c r="C13187" s="210"/>
      <c r="D13187" s="211"/>
      <c r="E13187" s="211"/>
      <c r="U13187" s="222"/>
    </row>
    <row r="13188" spans="2:21" x14ac:dyDescent="0.2">
      <c r="B13188" s="207"/>
      <c r="C13188" s="210"/>
      <c r="D13188" s="211"/>
      <c r="E13188" s="211"/>
      <c r="U13188" s="222"/>
    </row>
    <row r="13189" spans="2:21" x14ac:dyDescent="0.2">
      <c r="B13189" s="207"/>
      <c r="C13189" s="210"/>
      <c r="D13189" s="211"/>
      <c r="E13189" s="211"/>
      <c r="U13189" s="222"/>
    </row>
    <row r="13190" spans="2:21" x14ac:dyDescent="0.2">
      <c r="B13190" s="207"/>
      <c r="C13190" s="210"/>
      <c r="D13190" s="211"/>
      <c r="E13190" s="211"/>
      <c r="U13190" s="222"/>
    </row>
    <row r="13191" spans="2:21" x14ac:dyDescent="0.2">
      <c r="B13191" s="207"/>
      <c r="C13191" s="210"/>
      <c r="D13191" s="211"/>
      <c r="E13191" s="211"/>
      <c r="U13191" s="222"/>
    </row>
    <row r="13192" spans="2:21" x14ac:dyDescent="0.2">
      <c r="B13192" s="207"/>
      <c r="C13192" s="210"/>
      <c r="D13192" s="211"/>
      <c r="E13192" s="211"/>
      <c r="U13192" s="222"/>
    </row>
    <row r="13193" spans="2:21" x14ac:dyDescent="0.2">
      <c r="B13193" s="207"/>
      <c r="C13193" s="210"/>
      <c r="D13193" s="211"/>
      <c r="E13193" s="211"/>
      <c r="U13193" s="222"/>
    </row>
    <row r="13194" spans="2:21" x14ac:dyDescent="0.2">
      <c r="B13194" s="207"/>
      <c r="C13194" s="210"/>
      <c r="D13194" s="211"/>
      <c r="E13194" s="211"/>
      <c r="U13194" s="222"/>
    </row>
    <row r="13195" spans="2:21" x14ac:dyDescent="0.2">
      <c r="B13195" s="207"/>
      <c r="C13195" s="210"/>
      <c r="D13195" s="211"/>
      <c r="E13195" s="211"/>
      <c r="U13195" s="222"/>
    </row>
    <row r="13196" spans="2:21" x14ac:dyDescent="0.2">
      <c r="B13196" s="207"/>
      <c r="C13196" s="210"/>
      <c r="D13196" s="211"/>
      <c r="E13196" s="211"/>
      <c r="U13196" s="222"/>
    </row>
    <row r="13197" spans="2:21" x14ac:dyDescent="0.2">
      <c r="B13197" s="207"/>
      <c r="C13197" s="210"/>
      <c r="D13197" s="211"/>
      <c r="E13197" s="211"/>
      <c r="U13197" s="222"/>
    </row>
    <row r="13198" spans="2:21" x14ac:dyDescent="0.2">
      <c r="B13198" s="207"/>
      <c r="C13198" s="210"/>
      <c r="D13198" s="211"/>
      <c r="E13198" s="211"/>
      <c r="U13198" s="222"/>
    </row>
    <row r="13199" spans="2:21" x14ac:dyDescent="0.2">
      <c r="B13199" s="207"/>
      <c r="C13199" s="210"/>
      <c r="D13199" s="211"/>
      <c r="E13199" s="211"/>
      <c r="U13199" s="222"/>
    </row>
    <row r="13200" spans="2:21" x14ac:dyDescent="0.2">
      <c r="B13200" s="207"/>
      <c r="C13200" s="210"/>
      <c r="D13200" s="211"/>
      <c r="E13200" s="211"/>
      <c r="U13200" s="222"/>
    </row>
    <row r="13201" spans="2:21" x14ac:dyDescent="0.2">
      <c r="B13201" s="207"/>
      <c r="C13201" s="210"/>
      <c r="D13201" s="211"/>
      <c r="E13201" s="211"/>
      <c r="U13201" s="222"/>
    </row>
    <row r="13202" spans="2:21" x14ac:dyDescent="0.2">
      <c r="B13202" s="207"/>
      <c r="C13202" s="210"/>
      <c r="D13202" s="211"/>
      <c r="E13202" s="211"/>
      <c r="U13202" s="222"/>
    </row>
    <row r="13203" spans="2:21" x14ac:dyDescent="0.2">
      <c r="B13203" s="207"/>
      <c r="C13203" s="210"/>
      <c r="D13203" s="211"/>
      <c r="E13203" s="211"/>
      <c r="U13203" s="222"/>
    </row>
    <row r="13204" spans="2:21" x14ac:dyDescent="0.2">
      <c r="B13204" s="207"/>
      <c r="C13204" s="210"/>
      <c r="D13204" s="211"/>
      <c r="E13204" s="211"/>
      <c r="U13204" s="222"/>
    </row>
    <row r="13205" spans="2:21" x14ac:dyDescent="0.2">
      <c r="B13205" s="207"/>
      <c r="C13205" s="210"/>
      <c r="D13205" s="211"/>
      <c r="E13205" s="211"/>
      <c r="U13205" s="222"/>
    </row>
    <row r="13206" spans="2:21" x14ac:dyDescent="0.2">
      <c r="B13206" s="207"/>
      <c r="C13206" s="210"/>
      <c r="D13206" s="211"/>
      <c r="E13206" s="211"/>
      <c r="U13206" s="222"/>
    </row>
    <row r="13207" spans="2:21" x14ac:dyDescent="0.2">
      <c r="B13207" s="207"/>
      <c r="C13207" s="210"/>
      <c r="D13207" s="211"/>
      <c r="E13207" s="211"/>
      <c r="U13207" s="222"/>
    </row>
    <row r="13208" spans="2:21" x14ac:dyDescent="0.2">
      <c r="B13208" s="207"/>
      <c r="C13208" s="210"/>
      <c r="D13208" s="211"/>
      <c r="E13208" s="211"/>
      <c r="U13208" s="222"/>
    </row>
    <row r="13209" spans="2:21" x14ac:dyDescent="0.2">
      <c r="B13209" s="207"/>
      <c r="C13209" s="210"/>
      <c r="D13209" s="211"/>
      <c r="E13209" s="211"/>
      <c r="U13209" s="222"/>
    </row>
    <row r="13210" spans="2:21" x14ac:dyDescent="0.2">
      <c r="B13210" s="207"/>
      <c r="C13210" s="210"/>
      <c r="D13210" s="211"/>
      <c r="E13210" s="211"/>
      <c r="U13210" s="222"/>
    </row>
    <row r="13211" spans="2:21" x14ac:dyDescent="0.2">
      <c r="B13211" s="207"/>
      <c r="C13211" s="210"/>
      <c r="D13211" s="211"/>
      <c r="E13211" s="211"/>
      <c r="U13211" s="222"/>
    </row>
    <row r="13212" spans="2:21" x14ac:dyDescent="0.2">
      <c r="B13212" s="207"/>
      <c r="C13212" s="210"/>
      <c r="D13212" s="211"/>
      <c r="E13212" s="211"/>
      <c r="U13212" s="222"/>
    </row>
    <row r="13213" spans="2:21" x14ac:dyDescent="0.2">
      <c r="B13213" s="207"/>
      <c r="C13213" s="210"/>
      <c r="D13213" s="211"/>
      <c r="E13213" s="211"/>
      <c r="U13213" s="222"/>
    </row>
    <row r="13214" spans="2:21" x14ac:dyDescent="0.2">
      <c r="B13214" s="207"/>
      <c r="C13214" s="210"/>
      <c r="D13214" s="211"/>
      <c r="E13214" s="211"/>
      <c r="U13214" s="222"/>
    </row>
    <row r="13215" spans="2:21" x14ac:dyDescent="0.2">
      <c r="B13215" s="207"/>
      <c r="C13215" s="210"/>
      <c r="D13215" s="211"/>
      <c r="E13215" s="211"/>
      <c r="U13215" s="222"/>
    </row>
    <row r="13216" spans="2:21" x14ac:dyDescent="0.2">
      <c r="B13216" s="207"/>
      <c r="C13216" s="210"/>
      <c r="D13216" s="211"/>
      <c r="E13216" s="211"/>
      <c r="U13216" s="222"/>
    </row>
    <row r="13217" spans="2:21" x14ac:dyDescent="0.2">
      <c r="B13217" s="207"/>
      <c r="C13217" s="210"/>
      <c r="D13217" s="211"/>
      <c r="E13217" s="211"/>
      <c r="U13217" s="222"/>
    </row>
    <row r="13218" spans="2:21" x14ac:dyDescent="0.2">
      <c r="B13218" s="207"/>
      <c r="C13218" s="210"/>
      <c r="D13218" s="211"/>
      <c r="E13218" s="211"/>
      <c r="U13218" s="222"/>
    </row>
    <row r="13219" spans="2:21" x14ac:dyDescent="0.2">
      <c r="B13219" s="207"/>
      <c r="C13219" s="210"/>
      <c r="D13219" s="211"/>
      <c r="E13219" s="211"/>
      <c r="U13219" s="222"/>
    </row>
    <row r="13220" spans="2:21" x14ac:dyDescent="0.2">
      <c r="B13220" s="207"/>
      <c r="C13220" s="210"/>
      <c r="D13220" s="211"/>
      <c r="E13220" s="211"/>
      <c r="U13220" s="222"/>
    </row>
    <row r="13221" spans="2:21" x14ac:dyDescent="0.2">
      <c r="B13221" s="207"/>
      <c r="C13221" s="210"/>
      <c r="D13221" s="211"/>
      <c r="E13221" s="211"/>
      <c r="U13221" s="222"/>
    </row>
    <row r="13222" spans="2:21" x14ac:dyDescent="0.2">
      <c r="B13222" s="207"/>
      <c r="C13222" s="210"/>
      <c r="D13222" s="211"/>
      <c r="E13222" s="211"/>
      <c r="U13222" s="222"/>
    </row>
    <row r="13223" spans="2:21" x14ac:dyDescent="0.2">
      <c r="B13223" s="207"/>
      <c r="C13223" s="210"/>
      <c r="D13223" s="211"/>
      <c r="E13223" s="211"/>
      <c r="U13223" s="222"/>
    </row>
    <row r="13224" spans="2:21" x14ac:dyDescent="0.2">
      <c r="B13224" s="207"/>
      <c r="C13224" s="210"/>
      <c r="D13224" s="211"/>
      <c r="E13224" s="211"/>
      <c r="U13224" s="222"/>
    </row>
    <row r="13225" spans="2:21" x14ac:dyDescent="0.2">
      <c r="B13225" s="207"/>
      <c r="C13225" s="210"/>
      <c r="D13225" s="211"/>
      <c r="E13225" s="211"/>
      <c r="U13225" s="222"/>
    </row>
    <row r="13226" spans="2:21" x14ac:dyDescent="0.2">
      <c r="B13226" s="207"/>
      <c r="C13226" s="210"/>
      <c r="D13226" s="211"/>
      <c r="E13226" s="211"/>
      <c r="U13226" s="222"/>
    </row>
    <row r="13227" spans="2:21" x14ac:dyDescent="0.2">
      <c r="B13227" s="207"/>
      <c r="C13227" s="210"/>
      <c r="D13227" s="211"/>
      <c r="E13227" s="211"/>
      <c r="U13227" s="222"/>
    </row>
    <row r="13228" spans="2:21" x14ac:dyDescent="0.2">
      <c r="B13228" s="207"/>
      <c r="C13228" s="210"/>
      <c r="D13228" s="211"/>
      <c r="E13228" s="211"/>
      <c r="U13228" s="222"/>
    </row>
    <row r="13229" spans="2:21" x14ac:dyDescent="0.2">
      <c r="B13229" s="207"/>
      <c r="C13229" s="210"/>
      <c r="D13229" s="211"/>
      <c r="E13229" s="211"/>
      <c r="U13229" s="222"/>
    </row>
    <row r="13230" spans="2:21" x14ac:dyDescent="0.2">
      <c r="B13230" s="207"/>
      <c r="C13230" s="210"/>
      <c r="D13230" s="211"/>
      <c r="E13230" s="211"/>
      <c r="U13230" s="222"/>
    </row>
    <row r="13231" spans="2:21" x14ac:dyDescent="0.2">
      <c r="B13231" s="207"/>
      <c r="C13231" s="210"/>
      <c r="D13231" s="211"/>
      <c r="E13231" s="211"/>
      <c r="U13231" s="222"/>
    </row>
    <row r="13232" spans="2:21" x14ac:dyDescent="0.2">
      <c r="B13232" s="207"/>
      <c r="C13232" s="210"/>
      <c r="D13232" s="211"/>
      <c r="E13232" s="211"/>
      <c r="U13232" s="222"/>
    </row>
    <row r="13233" spans="2:21" x14ac:dyDescent="0.2">
      <c r="B13233" s="207"/>
      <c r="C13233" s="210"/>
      <c r="D13233" s="211"/>
      <c r="E13233" s="211"/>
      <c r="U13233" s="222"/>
    </row>
    <row r="13234" spans="2:21" x14ac:dyDescent="0.2">
      <c r="B13234" s="207"/>
      <c r="C13234" s="210"/>
      <c r="D13234" s="211"/>
      <c r="E13234" s="211"/>
      <c r="U13234" s="222"/>
    </row>
    <row r="13235" spans="2:21" x14ac:dyDescent="0.2">
      <c r="B13235" s="207"/>
      <c r="C13235" s="210"/>
      <c r="D13235" s="211"/>
      <c r="E13235" s="211"/>
      <c r="U13235" s="222"/>
    </row>
    <row r="13236" spans="2:21" x14ac:dyDescent="0.2">
      <c r="B13236" s="207"/>
      <c r="C13236" s="210"/>
      <c r="D13236" s="211"/>
      <c r="E13236" s="211"/>
      <c r="U13236" s="222"/>
    </row>
    <row r="13237" spans="2:21" x14ac:dyDescent="0.2">
      <c r="B13237" s="207"/>
      <c r="C13237" s="210"/>
      <c r="D13237" s="211"/>
      <c r="E13237" s="211"/>
      <c r="U13237" s="222"/>
    </row>
    <row r="13238" spans="2:21" x14ac:dyDescent="0.2">
      <c r="B13238" s="207"/>
      <c r="C13238" s="210"/>
      <c r="D13238" s="211"/>
      <c r="E13238" s="211"/>
      <c r="U13238" s="222"/>
    </row>
    <row r="13239" spans="2:21" x14ac:dyDescent="0.2">
      <c r="B13239" s="207"/>
      <c r="C13239" s="210"/>
      <c r="D13239" s="211"/>
      <c r="E13239" s="211"/>
      <c r="U13239" s="222"/>
    </row>
    <row r="13240" spans="2:21" x14ac:dyDescent="0.2">
      <c r="B13240" s="207"/>
      <c r="C13240" s="210"/>
      <c r="D13240" s="211"/>
      <c r="E13240" s="211"/>
      <c r="U13240" s="222"/>
    </row>
    <row r="13241" spans="2:21" x14ac:dyDescent="0.2">
      <c r="B13241" s="207"/>
      <c r="C13241" s="210"/>
      <c r="D13241" s="211"/>
      <c r="E13241" s="211"/>
      <c r="U13241" s="222"/>
    </row>
    <row r="13242" spans="2:21" x14ac:dyDescent="0.2">
      <c r="B13242" s="207"/>
      <c r="C13242" s="210"/>
      <c r="D13242" s="211"/>
      <c r="E13242" s="211"/>
      <c r="U13242" s="222"/>
    </row>
    <row r="13243" spans="2:21" x14ac:dyDescent="0.2">
      <c r="B13243" s="207"/>
      <c r="C13243" s="210"/>
      <c r="D13243" s="211"/>
      <c r="E13243" s="211"/>
      <c r="U13243" s="222"/>
    </row>
    <row r="13244" spans="2:21" x14ac:dyDescent="0.2">
      <c r="B13244" s="207"/>
      <c r="C13244" s="210"/>
      <c r="D13244" s="211"/>
      <c r="E13244" s="211"/>
      <c r="U13244" s="222"/>
    </row>
    <row r="13245" spans="2:21" x14ac:dyDescent="0.2">
      <c r="B13245" s="207"/>
      <c r="C13245" s="210"/>
      <c r="D13245" s="211"/>
      <c r="E13245" s="211"/>
      <c r="U13245" s="222"/>
    </row>
    <row r="13246" spans="2:21" x14ac:dyDescent="0.2">
      <c r="B13246" s="207"/>
      <c r="C13246" s="210"/>
      <c r="D13246" s="211"/>
      <c r="E13246" s="211"/>
      <c r="U13246" s="222"/>
    </row>
    <row r="13247" spans="2:21" x14ac:dyDescent="0.2">
      <c r="B13247" s="207"/>
      <c r="C13247" s="210"/>
      <c r="D13247" s="211"/>
      <c r="E13247" s="211"/>
      <c r="U13247" s="222"/>
    </row>
    <row r="13248" spans="2:21" x14ac:dyDescent="0.2">
      <c r="B13248" s="207"/>
      <c r="C13248" s="210"/>
      <c r="D13248" s="211"/>
      <c r="E13248" s="211"/>
      <c r="U13248" s="222"/>
    </row>
    <row r="13249" spans="2:21" x14ac:dyDescent="0.2">
      <c r="B13249" s="207"/>
      <c r="C13249" s="210"/>
      <c r="D13249" s="211"/>
      <c r="E13249" s="211"/>
      <c r="U13249" s="222"/>
    </row>
    <row r="13250" spans="2:21" x14ac:dyDescent="0.2">
      <c r="B13250" s="207"/>
      <c r="C13250" s="210"/>
      <c r="D13250" s="211"/>
      <c r="E13250" s="211"/>
      <c r="U13250" s="222"/>
    </row>
    <row r="13251" spans="2:21" x14ac:dyDescent="0.2">
      <c r="B13251" s="207"/>
      <c r="C13251" s="210"/>
      <c r="D13251" s="211"/>
      <c r="E13251" s="211"/>
      <c r="U13251" s="222"/>
    </row>
    <row r="13252" spans="2:21" x14ac:dyDescent="0.2">
      <c r="B13252" s="207"/>
      <c r="C13252" s="210"/>
      <c r="D13252" s="211"/>
      <c r="E13252" s="211"/>
      <c r="U13252" s="222"/>
    </row>
    <row r="13253" spans="2:21" x14ac:dyDescent="0.2">
      <c r="B13253" s="207"/>
      <c r="C13253" s="210"/>
      <c r="D13253" s="211"/>
      <c r="E13253" s="211"/>
      <c r="U13253" s="222"/>
    </row>
    <row r="13254" spans="2:21" x14ac:dyDescent="0.2">
      <c r="B13254" s="207"/>
      <c r="C13254" s="210"/>
      <c r="D13254" s="211"/>
      <c r="E13254" s="211"/>
      <c r="U13254" s="222"/>
    </row>
    <row r="13255" spans="2:21" x14ac:dyDescent="0.2">
      <c r="B13255" s="207"/>
      <c r="C13255" s="210"/>
      <c r="D13255" s="211"/>
      <c r="E13255" s="211"/>
      <c r="U13255" s="222"/>
    </row>
    <row r="13256" spans="2:21" x14ac:dyDescent="0.2">
      <c r="B13256" s="207"/>
      <c r="C13256" s="210"/>
      <c r="D13256" s="211"/>
      <c r="E13256" s="211"/>
      <c r="U13256" s="222"/>
    </row>
    <row r="13257" spans="2:21" x14ac:dyDescent="0.2">
      <c r="B13257" s="207"/>
      <c r="C13257" s="210"/>
      <c r="D13257" s="211"/>
      <c r="E13257" s="211"/>
      <c r="U13257" s="222"/>
    </row>
    <row r="13258" spans="2:21" x14ac:dyDescent="0.2">
      <c r="B13258" s="207"/>
      <c r="C13258" s="210"/>
      <c r="D13258" s="211"/>
      <c r="E13258" s="211"/>
      <c r="U13258" s="222"/>
    </row>
    <row r="13259" spans="2:21" x14ac:dyDescent="0.2">
      <c r="B13259" s="207"/>
      <c r="C13259" s="210"/>
      <c r="D13259" s="211"/>
      <c r="E13259" s="211"/>
      <c r="U13259" s="222"/>
    </row>
    <row r="13260" spans="2:21" x14ac:dyDescent="0.2">
      <c r="B13260" s="207"/>
      <c r="C13260" s="210"/>
      <c r="D13260" s="211"/>
      <c r="E13260" s="211"/>
      <c r="U13260" s="222"/>
    </row>
    <row r="13261" spans="2:21" x14ac:dyDescent="0.2">
      <c r="B13261" s="207"/>
      <c r="C13261" s="210"/>
      <c r="D13261" s="211"/>
      <c r="E13261" s="211"/>
      <c r="U13261" s="222"/>
    </row>
    <row r="13262" spans="2:21" x14ac:dyDescent="0.2">
      <c r="B13262" s="207"/>
      <c r="C13262" s="210"/>
      <c r="D13262" s="211"/>
      <c r="E13262" s="211"/>
      <c r="U13262" s="222"/>
    </row>
    <row r="13263" spans="2:21" x14ac:dyDescent="0.2">
      <c r="B13263" s="207"/>
      <c r="C13263" s="210"/>
      <c r="D13263" s="211"/>
      <c r="E13263" s="211"/>
      <c r="U13263" s="222"/>
    </row>
    <row r="13264" spans="2:21" x14ac:dyDescent="0.2">
      <c r="B13264" s="207"/>
      <c r="C13264" s="210"/>
      <c r="D13264" s="211"/>
      <c r="E13264" s="211"/>
      <c r="U13264" s="222"/>
    </row>
    <row r="13265" spans="2:21" x14ac:dyDescent="0.2">
      <c r="B13265" s="207"/>
      <c r="C13265" s="210"/>
      <c r="D13265" s="211"/>
      <c r="E13265" s="211"/>
      <c r="U13265" s="222"/>
    </row>
    <row r="13266" spans="2:21" x14ac:dyDescent="0.2">
      <c r="B13266" s="207"/>
      <c r="C13266" s="210"/>
      <c r="D13266" s="211"/>
      <c r="E13266" s="211"/>
      <c r="U13266" s="222"/>
    </row>
    <row r="13267" spans="2:21" x14ac:dyDescent="0.2">
      <c r="B13267" s="207"/>
      <c r="C13267" s="210"/>
      <c r="D13267" s="211"/>
      <c r="E13267" s="211"/>
      <c r="U13267" s="222"/>
    </row>
    <row r="13268" spans="2:21" x14ac:dyDescent="0.2">
      <c r="B13268" s="207"/>
      <c r="C13268" s="210"/>
      <c r="D13268" s="211"/>
      <c r="E13268" s="211"/>
      <c r="U13268" s="222"/>
    </row>
    <row r="13269" spans="2:21" x14ac:dyDescent="0.2">
      <c r="B13269" s="207"/>
      <c r="C13269" s="210"/>
      <c r="D13269" s="211"/>
      <c r="E13269" s="211"/>
      <c r="U13269" s="222"/>
    </row>
    <row r="13270" spans="2:21" x14ac:dyDescent="0.2">
      <c r="B13270" s="207"/>
      <c r="C13270" s="210"/>
      <c r="D13270" s="211"/>
      <c r="E13270" s="211"/>
      <c r="U13270" s="222"/>
    </row>
    <row r="13271" spans="2:21" x14ac:dyDescent="0.2">
      <c r="B13271" s="207"/>
      <c r="C13271" s="210"/>
      <c r="D13271" s="211"/>
      <c r="E13271" s="211"/>
      <c r="U13271" s="222"/>
    </row>
    <row r="13272" spans="2:21" x14ac:dyDescent="0.2">
      <c r="B13272" s="207"/>
      <c r="C13272" s="210"/>
      <c r="D13272" s="211"/>
      <c r="E13272" s="211"/>
      <c r="U13272" s="222"/>
    </row>
    <row r="13273" spans="2:21" x14ac:dyDescent="0.2">
      <c r="B13273" s="207"/>
      <c r="C13273" s="210"/>
      <c r="D13273" s="211"/>
      <c r="E13273" s="211"/>
      <c r="U13273" s="222"/>
    </row>
    <row r="13274" spans="2:21" x14ac:dyDescent="0.2">
      <c r="B13274" s="207"/>
      <c r="C13274" s="210"/>
      <c r="D13274" s="211"/>
      <c r="E13274" s="211"/>
      <c r="U13274" s="222"/>
    </row>
    <row r="13275" spans="2:21" x14ac:dyDescent="0.2">
      <c r="B13275" s="207"/>
      <c r="C13275" s="210"/>
      <c r="D13275" s="211"/>
      <c r="E13275" s="211"/>
      <c r="U13275" s="222"/>
    </row>
    <row r="13276" spans="2:21" x14ac:dyDescent="0.2">
      <c r="B13276" s="207"/>
      <c r="C13276" s="210"/>
      <c r="D13276" s="211"/>
      <c r="E13276" s="211"/>
      <c r="U13276" s="222"/>
    </row>
    <row r="13277" spans="2:21" x14ac:dyDescent="0.2">
      <c r="B13277" s="207"/>
      <c r="C13277" s="210"/>
      <c r="D13277" s="211"/>
      <c r="E13277" s="211"/>
      <c r="U13277" s="222"/>
    </row>
    <row r="13278" spans="2:21" x14ac:dyDescent="0.2">
      <c r="B13278" s="207"/>
      <c r="C13278" s="210"/>
      <c r="D13278" s="211"/>
      <c r="E13278" s="211"/>
      <c r="U13278" s="222"/>
    </row>
    <row r="13279" spans="2:21" x14ac:dyDescent="0.2">
      <c r="B13279" s="207"/>
      <c r="C13279" s="210"/>
      <c r="D13279" s="211"/>
      <c r="E13279" s="211"/>
      <c r="U13279" s="222"/>
    </row>
    <row r="13280" spans="2:21" x14ac:dyDescent="0.2">
      <c r="B13280" s="207"/>
      <c r="C13280" s="210"/>
      <c r="D13280" s="211"/>
      <c r="E13280" s="211"/>
      <c r="U13280" s="222"/>
    </row>
    <row r="13281" spans="2:21" x14ac:dyDescent="0.2">
      <c r="B13281" s="207"/>
      <c r="C13281" s="210"/>
      <c r="D13281" s="211"/>
      <c r="E13281" s="211"/>
      <c r="U13281" s="222"/>
    </row>
    <row r="13282" spans="2:21" x14ac:dyDescent="0.2">
      <c r="B13282" s="207"/>
      <c r="C13282" s="210"/>
      <c r="D13282" s="211"/>
      <c r="E13282" s="211"/>
      <c r="U13282" s="222"/>
    </row>
    <row r="13283" spans="2:21" x14ac:dyDescent="0.2">
      <c r="B13283" s="207"/>
      <c r="C13283" s="210"/>
      <c r="D13283" s="211"/>
      <c r="E13283" s="211"/>
      <c r="U13283" s="222"/>
    </row>
    <row r="13284" spans="2:21" x14ac:dyDescent="0.2">
      <c r="B13284" s="207"/>
      <c r="C13284" s="210"/>
      <c r="D13284" s="211"/>
      <c r="E13284" s="211"/>
      <c r="U13284" s="222"/>
    </row>
    <row r="13285" spans="2:21" x14ac:dyDescent="0.2">
      <c r="B13285" s="207"/>
      <c r="C13285" s="210"/>
      <c r="D13285" s="211"/>
      <c r="E13285" s="211"/>
      <c r="U13285" s="222"/>
    </row>
    <row r="13286" spans="2:21" x14ac:dyDescent="0.2">
      <c r="B13286" s="207"/>
      <c r="C13286" s="210"/>
      <c r="D13286" s="211"/>
      <c r="E13286" s="211"/>
      <c r="U13286" s="222"/>
    </row>
    <row r="13287" spans="2:21" x14ac:dyDescent="0.2">
      <c r="B13287" s="207"/>
      <c r="C13287" s="210"/>
      <c r="D13287" s="211"/>
      <c r="E13287" s="211"/>
      <c r="U13287" s="222"/>
    </row>
    <row r="13288" spans="2:21" x14ac:dyDescent="0.2">
      <c r="B13288" s="207"/>
      <c r="C13288" s="210"/>
      <c r="D13288" s="211"/>
      <c r="E13288" s="211"/>
      <c r="U13288" s="222"/>
    </row>
    <row r="13289" spans="2:21" x14ac:dyDescent="0.2">
      <c r="B13289" s="207"/>
      <c r="C13289" s="210"/>
      <c r="D13289" s="211"/>
      <c r="E13289" s="211"/>
      <c r="U13289" s="222"/>
    </row>
    <row r="13290" spans="2:21" x14ac:dyDescent="0.2">
      <c r="B13290" s="207"/>
      <c r="C13290" s="210"/>
      <c r="D13290" s="211"/>
      <c r="E13290" s="211"/>
      <c r="U13290" s="222"/>
    </row>
    <row r="13291" spans="2:21" x14ac:dyDescent="0.2">
      <c r="B13291" s="207"/>
      <c r="C13291" s="210"/>
      <c r="D13291" s="211"/>
      <c r="E13291" s="211"/>
      <c r="U13291" s="222"/>
    </row>
    <row r="13292" spans="2:21" x14ac:dyDescent="0.2">
      <c r="B13292" s="207"/>
      <c r="C13292" s="210"/>
      <c r="D13292" s="211"/>
      <c r="E13292" s="211"/>
      <c r="U13292" s="222"/>
    </row>
    <row r="13293" spans="2:21" x14ac:dyDescent="0.2">
      <c r="B13293" s="207"/>
      <c r="C13293" s="210"/>
      <c r="D13293" s="211"/>
      <c r="E13293" s="211"/>
      <c r="U13293" s="222"/>
    </row>
    <row r="13294" spans="2:21" x14ac:dyDescent="0.2">
      <c r="B13294" s="207"/>
      <c r="C13294" s="210"/>
      <c r="D13294" s="211"/>
      <c r="E13294" s="211"/>
      <c r="U13294" s="222"/>
    </row>
    <row r="13295" spans="2:21" x14ac:dyDescent="0.2">
      <c r="B13295" s="207"/>
      <c r="C13295" s="210"/>
      <c r="D13295" s="211"/>
      <c r="E13295" s="211"/>
      <c r="U13295" s="222"/>
    </row>
    <row r="13296" spans="2:21" x14ac:dyDescent="0.2">
      <c r="B13296" s="207"/>
      <c r="C13296" s="210"/>
      <c r="D13296" s="211"/>
      <c r="E13296" s="211"/>
      <c r="U13296" s="222"/>
    </row>
    <row r="13297" spans="2:21" x14ac:dyDescent="0.2">
      <c r="B13297" s="207"/>
      <c r="C13297" s="210"/>
      <c r="D13297" s="211"/>
      <c r="E13297" s="211"/>
      <c r="U13297" s="222"/>
    </row>
    <row r="13298" spans="2:21" x14ac:dyDescent="0.2">
      <c r="B13298" s="207"/>
      <c r="C13298" s="210"/>
      <c r="D13298" s="211"/>
      <c r="E13298" s="211"/>
      <c r="U13298" s="222"/>
    </row>
    <row r="13299" spans="2:21" x14ac:dyDescent="0.2">
      <c r="B13299" s="207"/>
      <c r="C13299" s="210"/>
      <c r="D13299" s="211"/>
      <c r="E13299" s="211"/>
      <c r="U13299" s="222"/>
    </row>
    <row r="13300" spans="2:21" x14ac:dyDescent="0.2">
      <c r="B13300" s="207"/>
      <c r="C13300" s="210"/>
      <c r="D13300" s="211"/>
      <c r="E13300" s="211"/>
      <c r="U13300" s="222"/>
    </row>
    <row r="13301" spans="2:21" x14ac:dyDescent="0.2">
      <c r="B13301" s="207"/>
      <c r="C13301" s="210"/>
      <c r="D13301" s="211"/>
      <c r="E13301" s="211"/>
      <c r="U13301" s="222"/>
    </row>
    <row r="13302" spans="2:21" x14ac:dyDescent="0.2">
      <c r="B13302" s="207"/>
      <c r="C13302" s="210"/>
      <c r="D13302" s="211"/>
      <c r="E13302" s="211"/>
      <c r="U13302" s="222"/>
    </row>
    <row r="13303" spans="2:21" x14ac:dyDescent="0.2">
      <c r="B13303" s="207"/>
      <c r="C13303" s="210"/>
      <c r="D13303" s="211"/>
      <c r="E13303" s="211"/>
      <c r="U13303" s="222"/>
    </row>
    <row r="13304" spans="2:21" x14ac:dyDescent="0.2">
      <c r="B13304" s="207"/>
      <c r="C13304" s="210"/>
      <c r="D13304" s="211"/>
      <c r="E13304" s="211"/>
      <c r="U13304" s="222"/>
    </row>
    <row r="13305" spans="2:21" x14ac:dyDescent="0.2">
      <c r="B13305" s="207"/>
      <c r="C13305" s="210"/>
      <c r="D13305" s="211"/>
      <c r="E13305" s="211"/>
      <c r="U13305" s="222"/>
    </row>
    <row r="13306" spans="2:21" x14ac:dyDescent="0.2">
      <c r="B13306" s="207"/>
      <c r="C13306" s="210"/>
      <c r="D13306" s="211"/>
      <c r="E13306" s="211"/>
      <c r="U13306" s="222"/>
    </row>
    <row r="13307" spans="2:21" x14ac:dyDescent="0.2">
      <c r="B13307" s="207"/>
      <c r="C13307" s="210"/>
      <c r="D13307" s="211"/>
      <c r="E13307" s="211"/>
      <c r="U13307" s="222"/>
    </row>
    <row r="13308" spans="2:21" x14ac:dyDescent="0.2">
      <c r="B13308" s="207"/>
      <c r="C13308" s="210"/>
      <c r="D13308" s="211"/>
      <c r="E13308" s="211"/>
      <c r="U13308" s="222"/>
    </row>
    <row r="13309" spans="2:21" x14ac:dyDescent="0.2">
      <c r="B13309" s="207"/>
      <c r="C13309" s="210"/>
      <c r="D13309" s="211"/>
      <c r="E13309" s="211"/>
      <c r="U13309" s="222"/>
    </row>
    <row r="13310" spans="2:21" x14ac:dyDescent="0.2">
      <c r="B13310" s="207"/>
      <c r="C13310" s="210"/>
      <c r="D13310" s="211"/>
      <c r="E13310" s="211"/>
      <c r="U13310" s="222"/>
    </row>
    <row r="13311" spans="2:21" x14ac:dyDescent="0.2">
      <c r="B13311" s="207"/>
      <c r="C13311" s="210"/>
      <c r="D13311" s="211"/>
      <c r="E13311" s="211"/>
      <c r="U13311" s="222"/>
    </row>
    <row r="13312" spans="2:21" x14ac:dyDescent="0.2">
      <c r="B13312" s="207"/>
      <c r="C13312" s="210"/>
      <c r="D13312" s="211"/>
      <c r="E13312" s="211"/>
      <c r="U13312" s="222"/>
    </row>
    <row r="13313" spans="2:21" x14ac:dyDescent="0.2">
      <c r="B13313" s="207"/>
      <c r="C13313" s="210"/>
      <c r="D13313" s="211"/>
      <c r="E13313" s="211"/>
      <c r="U13313" s="222"/>
    </row>
    <row r="13314" spans="2:21" x14ac:dyDescent="0.2">
      <c r="B13314" s="207"/>
      <c r="C13314" s="210"/>
      <c r="D13314" s="211"/>
      <c r="E13314" s="211"/>
      <c r="U13314" s="222"/>
    </row>
    <row r="13315" spans="2:21" x14ac:dyDescent="0.2">
      <c r="B13315" s="207"/>
      <c r="C13315" s="210"/>
      <c r="D13315" s="211"/>
      <c r="E13315" s="211"/>
      <c r="U13315" s="222"/>
    </row>
    <row r="13316" spans="2:21" x14ac:dyDescent="0.2">
      <c r="B13316" s="207"/>
      <c r="C13316" s="210"/>
      <c r="D13316" s="211"/>
      <c r="E13316" s="211"/>
      <c r="U13316" s="222"/>
    </row>
    <row r="13317" spans="2:21" x14ac:dyDescent="0.2">
      <c r="B13317" s="207"/>
      <c r="C13317" s="210"/>
      <c r="D13317" s="211"/>
      <c r="E13317" s="211"/>
      <c r="U13317" s="222"/>
    </row>
    <row r="13318" spans="2:21" x14ac:dyDescent="0.2">
      <c r="B13318" s="207"/>
      <c r="C13318" s="210"/>
      <c r="D13318" s="211"/>
      <c r="E13318" s="211"/>
      <c r="U13318" s="222"/>
    </row>
    <row r="13319" spans="2:21" x14ac:dyDescent="0.2">
      <c r="B13319" s="207"/>
      <c r="C13319" s="210"/>
      <c r="D13319" s="211"/>
      <c r="E13319" s="211"/>
      <c r="U13319" s="222"/>
    </row>
    <row r="13320" spans="2:21" x14ac:dyDescent="0.2">
      <c r="B13320" s="207"/>
      <c r="C13320" s="210"/>
      <c r="D13320" s="211"/>
      <c r="E13320" s="211"/>
      <c r="U13320" s="222"/>
    </row>
    <row r="13321" spans="2:21" x14ac:dyDescent="0.2">
      <c r="B13321" s="207"/>
      <c r="C13321" s="210"/>
      <c r="D13321" s="211"/>
      <c r="E13321" s="211"/>
      <c r="U13321" s="222"/>
    </row>
    <row r="13322" spans="2:21" x14ac:dyDescent="0.2">
      <c r="B13322" s="207"/>
      <c r="C13322" s="210"/>
      <c r="D13322" s="211"/>
      <c r="E13322" s="211"/>
      <c r="U13322" s="222"/>
    </row>
    <row r="13323" spans="2:21" x14ac:dyDescent="0.2">
      <c r="B13323" s="207"/>
      <c r="C13323" s="210"/>
      <c r="D13323" s="211"/>
      <c r="E13323" s="211"/>
      <c r="U13323" s="222"/>
    </row>
    <row r="13324" spans="2:21" x14ac:dyDescent="0.2">
      <c r="B13324" s="207"/>
      <c r="C13324" s="210"/>
      <c r="D13324" s="211"/>
      <c r="E13324" s="211"/>
      <c r="U13324" s="222"/>
    </row>
    <row r="13325" spans="2:21" x14ac:dyDescent="0.2">
      <c r="B13325" s="207"/>
      <c r="C13325" s="210"/>
      <c r="D13325" s="211"/>
      <c r="E13325" s="211"/>
      <c r="U13325" s="222"/>
    </row>
    <row r="13326" spans="2:21" x14ac:dyDescent="0.2">
      <c r="B13326" s="207"/>
      <c r="C13326" s="210"/>
      <c r="D13326" s="211"/>
      <c r="E13326" s="211"/>
      <c r="U13326" s="222"/>
    </row>
    <row r="13327" spans="2:21" x14ac:dyDescent="0.2">
      <c r="B13327" s="207"/>
      <c r="C13327" s="210"/>
      <c r="D13327" s="211"/>
      <c r="E13327" s="211"/>
      <c r="U13327" s="222"/>
    </row>
    <row r="13328" spans="2:21" x14ac:dyDescent="0.2">
      <c r="B13328" s="207"/>
      <c r="C13328" s="210"/>
      <c r="D13328" s="211"/>
      <c r="E13328" s="211"/>
      <c r="U13328" s="222"/>
    </row>
    <row r="13329" spans="2:21" x14ac:dyDescent="0.2">
      <c r="B13329" s="207"/>
      <c r="C13329" s="210"/>
      <c r="D13329" s="211"/>
      <c r="E13329" s="211"/>
      <c r="U13329" s="222"/>
    </row>
    <row r="13330" spans="2:21" x14ac:dyDescent="0.2">
      <c r="B13330" s="207"/>
      <c r="C13330" s="210"/>
      <c r="D13330" s="211"/>
      <c r="E13330" s="211"/>
      <c r="U13330" s="222"/>
    </row>
    <row r="13331" spans="2:21" x14ac:dyDescent="0.2">
      <c r="B13331" s="207"/>
      <c r="C13331" s="210"/>
      <c r="D13331" s="211"/>
      <c r="E13331" s="211"/>
      <c r="U13331" s="222"/>
    </row>
    <row r="13332" spans="2:21" x14ac:dyDescent="0.2">
      <c r="B13332" s="207"/>
      <c r="C13332" s="210"/>
      <c r="D13332" s="211"/>
      <c r="E13332" s="211"/>
      <c r="U13332" s="222"/>
    </row>
    <row r="13333" spans="2:21" x14ac:dyDescent="0.2">
      <c r="B13333" s="207"/>
      <c r="C13333" s="210"/>
      <c r="D13333" s="211"/>
      <c r="E13333" s="211"/>
      <c r="U13333" s="222"/>
    </row>
    <row r="13334" spans="2:21" x14ac:dyDescent="0.2">
      <c r="B13334" s="207"/>
      <c r="C13334" s="210"/>
      <c r="D13334" s="211"/>
      <c r="E13334" s="211"/>
      <c r="U13334" s="222"/>
    </row>
    <row r="13335" spans="2:21" x14ac:dyDescent="0.2">
      <c r="B13335" s="207"/>
      <c r="C13335" s="210"/>
      <c r="D13335" s="211"/>
      <c r="E13335" s="211"/>
      <c r="U13335" s="222"/>
    </row>
    <row r="13336" spans="2:21" x14ac:dyDescent="0.2">
      <c r="B13336" s="207"/>
      <c r="C13336" s="210"/>
      <c r="D13336" s="211"/>
      <c r="E13336" s="211"/>
      <c r="U13336" s="222"/>
    </row>
    <row r="13337" spans="2:21" x14ac:dyDescent="0.2">
      <c r="B13337" s="207"/>
      <c r="C13337" s="210"/>
      <c r="D13337" s="211"/>
      <c r="E13337" s="211"/>
      <c r="U13337" s="222"/>
    </row>
    <row r="13338" spans="2:21" x14ac:dyDescent="0.2">
      <c r="B13338" s="207"/>
      <c r="C13338" s="210"/>
      <c r="D13338" s="211"/>
      <c r="E13338" s="211"/>
      <c r="U13338" s="222"/>
    </row>
    <row r="13339" spans="2:21" x14ac:dyDescent="0.2">
      <c r="B13339" s="207"/>
      <c r="C13339" s="210"/>
      <c r="D13339" s="211"/>
      <c r="E13339" s="211"/>
      <c r="U13339" s="222"/>
    </row>
    <row r="13340" spans="2:21" x14ac:dyDescent="0.2">
      <c r="B13340" s="207"/>
      <c r="C13340" s="210"/>
      <c r="D13340" s="211"/>
      <c r="E13340" s="211"/>
      <c r="U13340" s="222"/>
    </row>
    <row r="13341" spans="2:21" x14ac:dyDescent="0.2">
      <c r="B13341" s="207"/>
      <c r="C13341" s="210"/>
      <c r="D13341" s="211"/>
      <c r="E13341" s="211"/>
      <c r="U13341" s="222"/>
    </row>
    <row r="13342" spans="2:21" x14ac:dyDescent="0.2">
      <c r="B13342" s="207"/>
      <c r="C13342" s="210"/>
      <c r="D13342" s="211"/>
      <c r="E13342" s="211"/>
      <c r="U13342" s="222"/>
    </row>
    <row r="13343" spans="2:21" x14ac:dyDescent="0.2">
      <c r="B13343" s="207"/>
      <c r="C13343" s="210"/>
      <c r="D13343" s="211"/>
      <c r="E13343" s="211"/>
      <c r="U13343" s="222"/>
    </row>
    <row r="13344" spans="2:21" x14ac:dyDescent="0.2">
      <c r="B13344" s="207"/>
      <c r="C13344" s="210"/>
      <c r="D13344" s="211"/>
      <c r="E13344" s="211"/>
      <c r="U13344" s="222"/>
    </row>
    <row r="13345" spans="2:21" x14ac:dyDescent="0.2">
      <c r="B13345" s="207"/>
      <c r="C13345" s="210"/>
      <c r="D13345" s="211"/>
      <c r="E13345" s="211"/>
      <c r="U13345" s="222"/>
    </row>
    <row r="13346" spans="2:21" x14ac:dyDescent="0.2">
      <c r="B13346" s="207"/>
      <c r="C13346" s="210"/>
      <c r="D13346" s="211"/>
      <c r="E13346" s="211"/>
      <c r="U13346" s="222"/>
    </row>
    <row r="13347" spans="2:21" x14ac:dyDescent="0.2">
      <c r="B13347" s="207"/>
      <c r="C13347" s="210"/>
      <c r="D13347" s="211"/>
      <c r="E13347" s="211"/>
      <c r="U13347" s="222"/>
    </row>
    <row r="13348" spans="2:21" x14ac:dyDescent="0.2">
      <c r="B13348" s="207"/>
      <c r="C13348" s="210"/>
      <c r="D13348" s="211"/>
      <c r="E13348" s="211"/>
      <c r="U13348" s="222"/>
    </row>
    <row r="13349" spans="2:21" x14ac:dyDescent="0.2">
      <c r="B13349" s="207"/>
      <c r="C13349" s="210"/>
      <c r="D13349" s="211"/>
      <c r="E13349" s="211"/>
      <c r="U13349" s="222"/>
    </row>
    <row r="13350" spans="2:21" x14ac:dyDescent="0.2">
      <c r="B13350" s="207"/>
      <c r="C13350" s="210"/>
      <c r="D13350" s="211"/>
      <c r="E13350" s="211"/>
      <c r="U13350" s="222"/>
    </row>
    <row r="13351" spans="2:21" x14ac:dyDescent="0.2">
      <c r="B13351" s="207"/>
      <c r="C13351" s="210"/>
      <c r="D13351" s="211"/>
      <c r="E13351" s="211"/>
      <c r="U13351" s="222"/>
    </row>
    <row r="13352" spans="2:21" x14ac:dyDescent="0.2">
      <c r="B13352" s="207"/>
      <c r="C13352" s="210"/>
      <c r="D13352" s="211"/>
      <c r="E13352" s="211"/>
      <c r="U13352" s="222"/>
    </row>
    <row r="13353" spans="2:21" x14ac:dyDescent="0.2">
      <c r="B13353" s="207"/>
      <c r="C13353" s="210"/>
      <c r="D13353" s="211"/>
      <c r="E13353" s="211"/>
      <c r="U13353" s="222"/>
    </row>
    <row r="13354" spans="2:21" x14ac:dyDescent="0.2">
      <c r="B13354" s="207"/>
      <c r="C13354" s="210"/>
      <c r="D13354" s="211"/>
      <c r="E13354" s="211"/>
      <c r="U13354" s="222"/>
    </row>
    <row r="13355" spans="2:21" x14ac:dyDescent="0.2">
      <c r="B13355" s="207"/>
      <c r="C13355" s="210"/>
      <c r="D13355" s="211"/>
      <c r="E13355" s="211"/>
      <c r="U13355" s="222"/>
    </row>
    <row r="13356" spans="2:21" x14ac:dyDescent="0.2">
      <c r="B13356" s="207"/>
      <c r="C13356" s="210"/>
      <c r="D13356" s="211"/>
      <c r="E13356" s="211"/>
      <c r="U13356" s="222"/>
    </row>
    <row r="13357" spans="2:21" x14ac:dyDescent="0.2">
      <c r="B13357" s="207"/>
      <c r="C13357" s="210"/>
      <c r="D13357" s="211"/>
      <c r="E13357" s="211"/>
      <c r="U13357" s="222"/>
    </row>
    <row r="13358" spans="2:21" x14ac:dyDescent="0.2">
      <c r="B13358" s="207"/>
      <c r="C13358" s="210"/>
      <c r="D13358" s="211"/>
      <c r="E13358" s="211"/>
      <c r="U13358" s="222"/>
    </row>
    <row r="13359" spans="2:21" x14ac:dyDescent="0.2">
      <c r="B13359" s="207"/>
      <c r="C13359" s="210"/>
      <c r="D13359" s="211"/>
      <c r="E13359" s="211"/>
      <c r="U13359" s="222"/>
    </row>
    <row r="13360" spans="2:21" x14ac:dyDescent="0.2">
      <c r="B13360" s="207"/>
      <c r="C13360" s="210"/>
      <c r="D13360" s="211"/>
      <c r="E13360" s="211"/>
      <c r="U13360" s="222"/>
    </row>
    <row r="13361" spans="2:21" x14ac:dyDescent="0.2">
      <c r="B13361" s="207"/>
      <c r="C13361" s="210"/>
      <c r="D13361" s="211"/>
      <c r="E13361" s="211"/>
      <c r="U13361" s="222"/>
    </row>
    <row r="13362" spans="2:21" x14ac:dyDescent="0.2">
      <c r="B13362" s="207"/>
      <c r="C13362" s="210"/>
      <c r="D13362" s="211"/>
      <c r="E13362" s="211"/>
      <c r="U13362" s="222"/>
    </row>
    <row r="13363" spans="2:21" x14ac:dyDescent="0.2">
      <c r="B13363" s="207"/>
      <c r="C13363" s="210"/>
      <c r="D13363" s="211"/>
      <c r="E13363" s="211"/>
      <c r="U13363" s="222"/>
    </row>
    <row r="13364" spans="2:21" x14ac:dyDescent="0.2">
      <c r="B13364" s="207"/>
      <c r="C13364" s="210"/>
      <c r="D13364" s="211"/>
      <c r="E13364" s="211"/>
      <c r="U13364" s="222"/>
    </row>
    <row r="13365" spans="2:21" x14ac:dyDescent="0.2">
      <c r="B13365" s="207"/>
      <c r="C13365" s="210"/>
      <c r="D13365" s="211"/>
      <c r="E13365" s="211"/>
      <c r="U13365" s="222"/>
    </row>
    <row r="13366" spans="2:21" x14ac:dyDescent="0.2">
      <c r="B13366" s="207"/>
      <c r="C13366" s="210"/>
      <c r="D13366" s="211"/>
      <c r="E13366" s="211"/>
      <c r="U13366" s="222"/>
    </row>
    <row r="13367" spans="2:21" x14ac:dyDescent="0.2">
      <c r="B13367" s="207"/>
      <c r="C13367" s="210"/>
      <c r="D13367" s="211"/>
      <c r="E13367" s="211"/>
      <c r="U13367" s="222"/>
    </row>
    <row r="13368" spans="2:21" x14ac:dyDescent="0.2">
      <c r="B13368" s="207"/>
      <c r="C13368" s="210"/>
      <c r="D13368" s="211"/>
      <c r="E13368" s="211"/>
      <c r="U13368" s="222"/>
    </row>
    <row r="13369" spans="2:21" x14ac:dyDescent="0.2">
      <c r="B13369" s="207"/>
      <c r="C13369" s="210"/>
      <c r="D13369" s="211"/>
      <c r="E13369" s="211"/>
      <c r="U13369" s="222"/>
    </row>
    <row r="13370" spans="2:21" x14ac:dyDescent="0.2">
      <c r="B13370" s="207"/>
      <c r="C13370" s="210"/>
      <c r="D13370" s="211"/>
      <c r="E13370" s="211"/>
      <c r="U13370" s="222"/>
    </row>
    <row r="13371" spans="2:21" x14ac:dyDescent="0.2">
      <c r="B13371" s="207"/>
      <c r="C13371" s="210"/>
      <c r="D13371" s="211"/>
      <c r="E13371" s="211"/>
      <c r="U13371" s="222"/>
    </row>
    <row r="13372" spans="2:21" x14ac:dyDescent="0.2">
      <c r="B13372" s="207"/>
      <c r="C13372" s="210"/>
      <c r="D13372" s="211"/>
      <c r="E13372" s="211"/>
      <c r="U13372" s="222"/>
    </row>
    <row r="13373" spans="2:21" x14ac:dyDescent="0.2">
      <c r="B13373" s="207"/>
      <c r="C13373" s="210"/>
      <c r="D13373" s="211"/>
      <c r="E13373" s="211"/>
      <c r="U13373" s="222"/>
    </row>
    <row r="13374" spans="2:21" x14ac:dyDescent="0.2">
      <c r="B13374" s="207"/>
      <c r="C13374" s="210"/>
      <c r="D13374" s="211"/>
      <c r="E13374" s="211"/>
      <c r="U13374" s="222"/>
    </row>
    <row r="13375" spans="2:21" x14ac:dyDescent="0.2">
      <c r="B13375" s="207"/>
      <c r="C13375" s="210"/>
      <c r="D13375" s="211"/>
      <c r="E13375" s="211"/>
      <c r="U13375" s="222"/>
    </row>
    <row r="13376" spans="2:21" x14ac:dyDescent="0.2">
      <c r="B13376" s="207"/>
      <c r="C13376" s="210"/>
      <c r="D13376" s="211"/>
      <c r="E13376" s="211"/>
      <c r="U13376" s="222"/>
    </row>
    <row r="13377" spans="2:21" x14ac:dyDescent="0.2">
      <c r="B13377" s="207"/>
      <c r="C13377" s="210"/>
      <c r="D13377" s="211"/>
      <c r="E13377" s="211"/>
      <c r="U13377" s="222"/>
    </row>
    <row r="13378" spans="2:21" x14ac:dyDescent="0.2">
      <c r="B13378" s="207"/>
      <c r="C13378" s="210"/>
      <c r="D13378" s="211"/>
      <c r="E13378" s="211"/>
      <c r="U13378" s="222"/>
    </row>
    <row r="13379" spans="2:21" x14ac:dyDescent="0.2">
      <c r="B13379" s="207"/>
      <c r="C13379" s="210"/>
      <c r="D13379" s="211"/>
      <c r="E13379" s="211"/>
      <c r="U13379" s="222"/>
    </row>
    <row r="13380" spans="2:21" x14ac:dyDescent="0.2">
      <c r="B13380" s="207"/>
      <c r="C13380" s="210"/>
      <c r="D13380" s="211"/>
      <c r="E13380" s="211"/>
      <c r="U13380" s="222"/>
    </row>
    <row r="13381" spans="2:21" x14ac:dyDescent="0.2">
      <c r="B13381" s="207"/>
      <c r="C13381" s="210"/>
      <c r="D13381" s="211"/>
      <c r="E13381" s="211"/>
      <c r="U13381" s="222"/>
    </row>
    <row r="13382" spans="2:21" x14ac:dyDescent="0.2">
      <c r="B13382" s="207"/>
      <c r="C13382" s="210"/>
      <c r="D13382" s="211"/>
      <c r="E13382" s="211"/>
      <c r="U13382" s="222"/>
    </row>
    <row r="13383" spans="2:21" x14ac:dyDescent="0.2">
      <c r="B13383" s="207"/>
      <c r="C13383" s="210"/>
      <c r="D13383" s="211"/>
      <c r="E13383" s="211"/>
      <c r="U13383" s="222"/>
    </row>
    <row r="13384" spans="2:21" x14ac:dyDescent="0.2">
      <c r="B13384" s="207"/>
      <c r="C13384" s="210"/>
      <c r="D13384" s="211"/>
      <c r="E13384" s="211"/>
      <c r="U13384" s="222"/>
    </row>
    <row r="13385" spans="2:21" x14ac:dyDescent="0.2">
      <c r="B13385" s="207"/>
      <c r="C13385" s="210"/>
      <c r="D13385" s="211"/>
      <c r="E13385" s="211"/>
      <c r="U13385" s="222"/>
    </row>
    <row r="13386" spans="2:21" x14ac:dyDescent="0.2">
      <c r="B13386" s="207"/>
      <c r="C13386" s="210"/>
      <c r="D13386" s="211"/>
      <c r="E13386" s="211"/>
      <c r="U13386" s="222"/>
    </row>
    <row r="13387" spans="2:21" x14ac:dyDescent="0.2">
      <c r="B13387" s="207"/>
      <c r="C13387" s="210"/>
      <c r="D13387" s="211"/>
      <c r="E13387" s="211"/>
      <c r="U13387" s="222"/>
    </row>
    <row r="13388" spans="2:21" x14ac:dyDescent="0.2">
      <c r="B13388" s="207"/>
      <c r="C13388" s="210"/>
      <c r="D13388" s="211"/>
      <c r="E13388" s="211"/>
      <c r="U13388" s="222"/>
    </row>
    <row r="13389" spans="2:21" x14ac:dyDescent="0.2">
      <c r="B13389" s="207"/>
      <c r="C13389" s="210"/>
      <c r="D13389" s="211"/>
      <c r="E13389" s="211"/>
      <c r="U13389" s="222"/>
    </row>
    <row r="13390" spans="2:21" x14ac:dyDescent="0.2">
      <c r="B13390" s="207"/>
      <c r="C13390" s="210"/>
      <c r="D13390" s="211"/>
      <c r="E13390" s="211"/>
      <c r="U13390" s="222"/>
    </row>
    <row r="13391" spans="2:21" x14ac:dyDescent="0.2">
      <c r="B13391" s="207"/>
      <c r="C13391" s="210"/>
      <c r="D13391" s="211"/>
      <c r="E13391" s="211"/>
      <c r="U13391" s="222"/>
    </row>
    <row r="13392" spans="2:21" x14ac:dyDescent="0.2">
      <c r="B13392" s="207"/>
      <c r="C13392" s="210"/>
      <c r="D13392" s="211"/>
      <c r="E13392" s="211"/>
      <c r="U13392" s="222"/>
    </row>
    <row r="13393" spans="2:21" x14ac:dyDescent="0.2">
      <c r="B13393" s="207"/>
      <c r="C13393" s="210"/>
      <c r="D13393" s="211"/>
      <c r="E13393" s="211"/>
      <c r="U13393" s="222"/>
    </row>
    <row r="13394" spans="2:21" x14ac:dyDescent="0.2">
      <c r="B13394" s="207"/>
      <c r="C13394" s="210"/>
      <c r="D13394" s="211"/>
      <c r="E13394" s="211"/>
      <c r="U13394" s="222"/>
    </row>
    <row r="13395" spans="2:21" x14ac:dyDescent="0.2">
      <c r="B13395" s="207"/>
      <c r="C13395" s="210"/>
      <c r="D13395" s="211"/>
      <c r="E13395" s="211"/>
      <c r="U13395" s="222"/>
    </row>
    <row r="13396" spans="2:21" x14ac:dyDescent="0.2">
      <c r="B13396" s="207"/>
      <c r="C13396" s="210"/>
      <c r="D13396" s="211"/>
      <c r="E13396" s="211"/>
      <c r="U13396" s="222"/>
    </row>
    <row r="13397" spans="2:21" x14ac:dyDescent="0.2">
      <c r="B13397" s="207"/>
      <c r="C13397" s="210"/>
      <c r="D13397" s="211"/>
      <c r="E13397" s="211"/>
      <c r="U13397" s="222"/>
    </row>
    <row r="13398" spans="2:21" x14ac:dyDescent="0.2">
      <c r="B13398" s="207"/>
      <c r="C13398" s="210"/>
      <c r="D13398" s="211"/>
      <c r="E13398" s="211"/>
      <c r="U13398" s="222"/>
    </row>
    <row r="13399" spans="2:21" x14ac:dyDescent="0.2">
      <c r="B13399" s="207"/>
      <c r="C13399" s="210"/>
      <c r="D13399" s="211"/>
      <c r="E13399" s="211"/>
      <c r="U13399" s="222"/>
    </row>
    <row r="13400" spans="2:21" x14ac:dyDescent="0.2">
      <c r="B13400" s="207"/>
      <c r="C13400" s="210"/>
      <c r="D13400" s="211"/>
      <c r="E13400" s="211"/>
      <c r="U13400" s="222"/>
    </row>
    <row r="13401" spans="2:21" x14ac:dyDescent="0.2">
      <c r="B13401" s="207"/>
      <c r="C13401" s="210"/>
      <c r="D13401" s="211"/>
      <c r="E13401" s="211"/>
      <c r="U13401" s="222"/>
    </row>
    <row r="13402" spans="2:21" x14ac:dyDescent="0.2">
      <c r="B13402" s="207"/>
      <c r="C13402" s="210"/>
      <c r="D13402" s="211"/>
      <c r="E13402" s="211"/>
      <c r="U13402" s="222"/>
    </row>
    <row r="13403" spans="2:21" x14ac:dyDescent="0.2">
      <c r="B13403" s="207"/>
      <c r="C13403" s="210"/>
      <c r="D13403" s="211"/>
      <c r="E13403" s="211"/>
      <c r="U13403" s="222"/>
    </row>
    <row r="13404" spans="2:21" x14ac:dyDescent="0.2">
      <c r="B13404" s="207"/>
      <c r="C13404" s="210"/>
      <c r="D13404" s="211"/>
      <c r="E13404" s="211"/>
      <c r="U13404" s="222"/>
    </row>
    <row r="13405" spans="2:21" x14ac:dyDescent="0.2">
      <c r="B13405" s="207"/>
      <c r="C13405" s="210"/>
      <c r="D13405" s="211"/>
      <c r="E13405" s="211"/>
      <c r="U13405" s="222"/>
    </row>
    <row r="13406" spans="2:21" x14ac:dyDescent="0.2">
      <c r="B13406" s="207"/>
      <c r="C13406" s="210"/>
      <c r="D13406" s="211"/>
      <c r="E13406" s="211"/>
      <c r="U13406" s="222"/>
    </row>
    <row r="13407" spans="2:21" x14ac:dyDescent="0.2">
      <c r="B13407" s="207"/>
      <c r="C13407" s="210"/>
      <c r="D13407" s="211"/>
      <c r="E13407" s="211"/>
      <c r="U13407" s="222"/>
    </row>
    <row r="13408" spans="2:21" x14ac:dyDescent="0.2">
      <c r="B13408" s="207"/>
      <c r="C13408" s="210"/>
      <c r="D13408" s="211"/>
      <c r="E13408" s="211"/>
      <c r="U13408" s="222"/>
    </row>
    <row r="13409" spans="2:21" x14ac:dyDescent="0.2">
      <c r="B13409" s="207"/>
      <c r="C13409" s="210"/>
      <c r="D13409" s="211"/>
      <c r="E13409" s="211"/>
      <c r="U13409" s="222"/>
    </row>
    <row r="13410" spans="2:21" x14ac:dyDescent="0.2">
      <c r="B13410" s="207"/>
      <c r="C13410" s="210"/>
      <c r="D13410" s="211"/>
      <c r="E13410" s="211"/>
      <c r="U13410" s="222"/>
    </row>
    <row r="13411" spans="2:21" x14ac:dyDescent="0.2">
      <c r="B13411" s="207"/>
      <c r="C13411" s="210"/>
      <c r="D13411" s="211"/>
      <c r="E13411" s="211"/>
      <c r="U13411" s="222"/>
    </row>
    <row r="13412" spans="2:21" x14ac:dyDescent="0.2">
      <c r="B13412" s="207"/>
      <c r="C13412" s="210"/>
      <c r="D13412" s="211"/>
      <c r="E13412" s="211"/>
      <c r="U13412" s="222"/>
    </row>
    <row r="13413" spans="2:21" x14ac:dyDescent="0.2">
      <c r="B13413" s="207"/>
      <c r="C13413" s="210"/>
      <c r="D13413" s="211"/>
      <c r="E13413" s="211"/>
      <c r="U13413" s="222"/>
    </row>
    <row r="13414" spans="2:21" x14ac:dyDescent="0.2">
      <c r="B13414" s="207"/>
      <c r="C13414" s="210"/>
      <c r="D13414" s="211"/>
      <c r="E13414" s="211"/>
      <c r="U13414" s="222"/>
    </row>
    <row r="13415" spans="2:21" x14ac:dyDescent="0.2">
      <c r="B13415" s="207"/>
      <c r="C13415" s="210"/>
      <c r="D13415" s="211"/>
      <c r="E13415" s="211"/>
      <c r="U13415" s="222"/>
    </row>
    <row r="13416" spans="2:21" x14ac:dyDescent="0.2">
      <c r="B13416" s="207"/>
      <c r="C13416" s="210"/>
      <c r="D13416" s="211"/>
      <c r="E13416" s="211"/>
      <c r="U13416" s="222"/>
    </row>
    <row r="13417" spans="2:21" x14ac:dyDescent="0.2">
      <c r="B13417" s="207"/>
      <c r="C13417" s="210"/>
      <c r="D13417" s="211"/>
      <c r="E13417" s="211"/>
      <c r="U13417" s="222"/>
    </row>
    <row r="13418" spans="2:21" x14ac:dyDescent="0.2">
      <c r="B13418" s="207"/>
      <c r="C13418" s="210"/>
      <c r="D13418" s="211"/>
      <c r="E13418" s="211"/>
      <c r="U13418" s="222"/>
    </row>
    <row r="13419" spans="2:21" x14ac:dyDescent="0.2">
      <c r="B13419" s="207"/>
      <c r="C13419" s="210"/>
      <c r="D13419" s="211"/>
      <c r="E13419" s="211"/>
      <c r="U13419" s="222"/>
    </row>
    <row r="13420" spans="2:21" x14ac:dyDescent="0.2">
      <c r="B13420" s="207"/>
      <c r="C13420" s="210"/>
      <c r="D13420" s="211"/>
      <c r="E13420" s="211"/>
      <c r="U13420" s="222"/>
    </row>
    <row r="13421" spans="2:21" x14ac:dyDescent="0.2">
      <c r="B13421" s="207"/>
      <c r="C13421" s="210"/>
      <c r="D13421" s="211"/>
      <c r="E13421" s="211"/>
      <c r="U13421" s="222"/>
    </row>
    <row r="13422" spans="2:21" x14ac:dyDescent="0.2">
      <c r="B13422" s="207"/>
      <c r="C13422" s="210"/>
      <c r="D13422" s="211"/>
      <c r="E13422" s="211"/>
      <c r="U13422" s="222"/>
    </row>
    <row r="13423" spans="2:21" x14ac:dyDescent="0.2">
      <c r="B13423" s="207"/>
      <c r="C13423" s="210"/>
      <c r="D13423" s="211"/>
      <c r="E13423" s="211"/>
      <c r="U13423" s="222"/>
    </row>
    <row r="13424" spans="2:21" x14ac:dyDescent="0.2">
      <c r="B13424" s="207"/>
      <c r="C13424" s="210"/>
      <c r="D13424" s="211"/>
      <c r="E13424" s="211"/>
      <c r="U13424" s="222"/>
    </row>
    <row r="13425" spans="2:21" x14ac:dyDescent="0.2">
      <c r="B13425" s="207"/>
      <c r="C13425" s="210"/>
      <c r="D13425" s="211"/>
      <c r="E13425" s="211"/>
      <c r="U13425" s="222"/>
    </row>
    <row r="13426" spans="2:21" x14ac:dyDescent="0.2">
      <c r="B13426" s="207"/>
      <c r="C13426" s="210"/>
      <c r="D13426" s="211"/>
      <c r="E13426" s="211"/>
      <c r="U13426" s="222"/>
    </row>
    <row r="13427" spans="2:21" x14ac:dyDescent="0.2">
      <c r="B13427" s="207"/>
      <c r="C13427" s="210"/>
      <c r="D13427" s="211"/>
      <c r="E13427" s="211"/>
      <c r="U13427" s="222"/>
    </row>
    <row r="13428" spans="2:21" x14ac:dyDescent="0.2">
      <c r="B13428" s="207"/>
      <c r="C13428" s="210"/>
      <c r="D13428" s="211"/>
      <c r="E13428" s="211"/>
      <c r="U13428" s="222"/>
    </row>
    <row r="13429" spans="2:21" x14ac:dyDescent="0.2">
      <c r="B13429" s="207"/>
      <c r="C13429" s="210"/>
      <c r="D13429" s="211"/>
      <c r="E13429" s="211"/>
      <c r="U13429" s="222"/>
    </row>
    <row r="13430" spans="2:21" x14ac:dyDescent="0.2">
      <c r="B13430" s="207"/>
      <c r="C13430" s="210"/>
      <c r="D13430" s="211"/>
      <c r="E13430" s="211"/>
      <c r="U13430" s="222"/>
    </row>
    <row r="13431" spans="2:21" x14ac:dyDescent="0.2">
      <c r="B13431" s="207"/>
      <c r="C13431" s="210"/>
      <c r="D13431" s="211"/>
      <c r="E13431" s="211"/>
      <c r="U13431" s="222"/>
    </row>
    <row r="13432" spans="2:21" x14ac:dyDescent="0.2">
      <c r="B13432" s="207"/>
      <c r="C13432" s="210"/>
      <c r="D13432" s="211"/>
      <c r="E13432" s="211"/>
      <c r="U13432" s="222"/>
    </row>
    <row r="13433" spans="2:21" x14ac:dyDescent="0.2">
      <c r="B13433" s="207"/>
      <c r="C13433" s="210"/>
      <c r="D13433" s="211"/>
      <c r="E13433" s="211"/>
      <c r="U13433" s="222"/>
    </row>
    <row r="13434" spans="2:21" x14ac:dyDescent="0.2">
      <c r="B13434" s="207"/>
      <c r="C13434" s="210"/>
      <c r="D13434" s="211"/>
      <c r="E13434" s="211"/>
      <c r="U13434" s="222"/>
    </row>
    <row r="13435" spans="2:21" x14ac:dyDescent="0.2">
      <c r="B13435" s="207"/>
      <c r="C13435" s="210"/>
      <c r="D13435" s="211"/>
      <c r="E13435" s="211"/>
      <c r="U13435" s="222"/>
    </row>
    <row r="13436" spans="2:21" x14ac:dyDescent="0.2">
      <c r="B13436" s="207"/>
      <c r="C13436" s="210"/>
      <c r="D13436" s="211"/>
      <c r="E13436" s="211"/>
      <c r="U13436" s="222"/>
    </row>
    <row r="13437" spans="2:21" x14ac:dyDescent="0.2">
      <c r="B13437" s="207"/>
      <c r="C13437" s="210"/>
      <c r="D13437" s="211"/>
      <c r="E13437" s="211"/>
      <c r="U13437" s="222"/>
    </row>
    <row r="13438" spans="2:21" x14ac:dyDescent="0.2">
      <c r="B13438" s="207"/>
      <c r="C13438" s="210"/>
      <c r="D13438" s="211"/>
      <c r="E13438" s="211"/>
      <c r="U13438" s="222"/>
    </row>
    <row r="13439" spans="2:21" x14ac:dyDescent="0.2">
      <c r="B13439" s="207"/>
      <c r="C13439" s="210"/>
      <c r="D13439" s="211"/>
      <c r="E13439" s="211"/>
      <c r="U13439" s="222"/>
    </row>
    <row r="13440" spans="2:21" x14ac:dyDescent="0.2">
      <c r="B13440" s="207"/>
      <c r="C13440" s="210"/>
      <c r="D13440" s="211"/>
      <c r="E13440" s="211"/>
      <c r="U13440" s="222"/>
    </row>
    <row r="13441" spans="2:21" x14ac:dyDescent="0.2">
      <c r="B13441" s="207"/>
      <c r="C13441" s="210"/>
      <c r="D13441" s="211"/>
      <c r="E13441" s="211"/>
      <c r="U13441" s="222"/>
    </row>
    <row r="13442" spans="2:21" x14ac:dyDescent="0.2">
      <c r="B13442" s="207"/>
      <c r="C13442" s="210"/>
      <c r="D13442" s="211"/>
      <c r="E13442" s="211"/>
      <c r="U13442" s="222"/>
    </row>
    <row r="13443" spans="2:21" x14ac:dyDescent="0.2">
      <c r="B13443" s="207"/>
      <c r="C13443" s="210"/>
      <c r="D13443" s="211"/>
      <c r="E13443" s="211"/>
      <c r="U13443" s="222"/>
    </row>
    <row r="13444" spans="2:21" x14ac:dyDescent="0.2">
      <c r="B13444" s="207"/>
      <c r="C13444" s="210"/>
      <c r="D13444" s="211"/>
      <c r="E13444" s="211"/>
      <c r="U13444" s="222"/>
    </row>
    <row r="13445" spans="2:21" x14ac:dyDescent="0.2">
      <c r="B13445" s="207"/>
      <c r="C13445" s="210"/>
      <c r="D13445" s="211"/>
      <c r="E13445" s="211"/>
      <c r="U13445" s="222"/>
    </row>
    <row r="13446" spans="2:21" x14ac:dyDescent="0.2">
      <c r="B13446" s="207"/>
      <c r="C13446" s="210"/>
      <c r="D13446" s="211"/>
      <c r="E13446" s="211"/>
      <c r="U13446" s="222"/>
    </row>
    <row r="13447" spans="2:21" x14ac:dyDescent="0.2">
      <c r="B13447" s="207"/>
      <c r="C13447" s="210"/>
      <c r="D13447" s="211"/>
      <c r="E13447" s="211"/>
      <c r="U13447" s="222"/>
    </row>
    <row r="13448" spans="2:21" x14ac:dyDescent="0.2">
      <c r="B13448" s="207"/>
      <c r="C13448" s="210"/>
      <c r="D13448" s="211"/>
      <c r="E13448" s="211"/>
      <c r="U13448" s="222"/>
    </row>
    <row r="13449" spans="2:21" x14ac:dyDescent="0.2">
      <c r="B13449" s="207"/>
      <c r="C13449" s="210"/>
      <c r="D13449" s="211"/>
      <c r="E13449" s="211"/>
      <c r="U13449" s="222"/>
    </row>
    <row r="13450" spans="2:21" x14ac:dyDescent="0.2">
      <c r="B13450" s="207"/>
      <c r="C13450" s="210"/>
      <c r="D13450" s="211"/>
      <c r="E13450" s="211"/>
      <c r="U13450" s="222"/>
    </row>
    <row r="13451" spans="2:21" x14ac:dyDescent="0.2">
      <c r="B13451" s="207"/>
      <c r="C13451" s="210"/>
      <c r="D13451" s="211"/>
      <c r="E13451" s="211"/>
      <c r="U13451" s="222"/>
    </row>
    <row r="13452" spans="2:21" x14ac:dyDescent="0.2">
      <c r="B13452" s="207"/>
      <c r="C13452" s="210"/>
      <c r="D13452" s="211"/>
      <c r="E13452" s="211"/>
      <c r="U13452" s="222"/>
    </row>
    <row r="13453" spans="2:21" x14ac:dyDescent="0.2">
      <c r="B13453" s="207"/>
      <c r="C13453" s="210"/>
      <c r="D13453" s="211"/>
      <c r="E13453" s="211"/>
      <c r="U13453" s="222"/>
    </row>
    <row r="13454" spans="2:21" x14ac:dyDescent="0.2">
      <c r="B13454" s="207"/>
      <c r="C13454" s="210"/>
      <c r="D13454" s="211"/>
      <c r="E13454" s="211"/>
      <c r="U13454" s="222"/>
    </row>
    <row r="13455" spans="2:21" x14ac:dyDescent="0.2">
      <c r="B13455" s="207"/>
      <c r="C13455" s="210"/>
      <c r="D13455" s="211"/>
      <c r="E13455" s="211"/>
      <c r="U13455" s="222"/>
    </row>
    <row r="13456" spans="2:21" x14ac:dyDescent="0.2">
      <c r="B13456" s="207"/>
      <c r="C13456" s="210"/>
      <c r="D13456" s="211"/>
      <c r="E13456" s="211"/>
      <c r="U13456" s="222"/>
    </row>
    <row r="13457" spans="2:21" x14ac:dyDescent="0.2">
      <c r="B13457" s="207"/>
      <c r="C13457" s="210"/>
      <c r="D13457" s="211"/>
      <c r="E13457" s="211"/>
      <c r="U13457" s="222"/>
    </row>
    <row r="13458" spans="2:21" x14ac:dyDescent="0.2">
      <c r="B13458" s="207"/>
      <c r="C13458" s="210"/>
      <c r="D13458" s="211"/>
      <c r="E13458" s="211"/>
      <c r="U13458" s="222"/>
    </row>
    <row r="13459" spans="2:21" x14ac:dyDescent="0.2">
      <c r="B13459" s="207"/>
      <c r="C13459" s="210"/>
      <c r="D13459" s="211"/>
      <c r="E13459" s="211"/>
      <c r="U13459" s="222"/>
    </row>
    <row r="13460" spans="2:21" x14ac:dyDescent="0.2">
      <c r="B13460" s="207"/>
      <c r="C13460" s="210"/>
      <c r="D13460" s="211"/>
      <c r="E13460" s="211"/>
      <c r="U13460" s="222"/>
    </row>
    <row r="13461" spans="2:21" x14ac:dyDescent="0.2">
      <c r="B13461" s="207"/>
      <c r="C13461" s="210"/>
      <c r="D13461" s="211"/>
      <c r="E13461" s="211"/>
      <c r="U13461" s="222"/>
    </row>
    <row r="13462" spans="2:21" x14ac:dyDescent="0.2">
      <c r="B13462" s="207"/>
      <c r="C13462" s="210"/>
      <c r="D13462" s="211"/>
      <c r="E13462" s="211"/>
      <c r="U13462" s="222"/>
    </row>
    <row r="13463" spans="2:21" x14ac:dyDescent="0.2">
      <c r="B13463" s="207"/>
      <c r="C13463" s="210"/>
      <c r="D13463" s="211"/>
      <c r="E13463" s="211"/>
      <c r="U13463" s="222"/>
    </row>
    <row r="13464" spans="2:21" x14ac:dyDescent="0.2">
      <c r="B13464" s="207"/>
      <c r="C13464" s="210"/>
      <c r="D13464" s="211"/>
      <c r="E13464" s="211"/>
      <c r="U13464" s="222"/>
    </row>
    <row r="13465" spans="2:21" x14ac:dyDescent="0.2">
      <c r="B13465" s="207"/>
      <c r="C13465" s="210"/>
      <c r="D13465" s="211"/>
      <c r="E13465" s="211"/>
      <c r="U13465" s="222"/>
    </row>
    <row r="13466" spans="2:21" x14ac:dyDescent="0.2">
      <c r="B13466" s="207"/>
      <c r="C13466" s="210"/>
      <c r="D13466" s="211"/>
      <c r="E13466" s="211"/>
      <c r="U13466" s="222"/>
    </row>
    <row r="13467" spans="2:21" x14ac:dyDescent="0.2">
      <c r="B13467" s="207"/>
      <c r="C13467" s="210"/>
      <c r="D13467" s="211"/>
      <c r="E13467" s="211"/>
      <c r="U13467" s="222"/>
    </row>
    <row r="13468" spans="2:21" x14ac:dyDescent="0.2">
      <c r="B13468" s="207"/>
      <c r="C13468" s="210"/>
      <c r="D13468" s="211"/>
      <c r="E13468" s="211"/>
      <c r="U13468" s="222"/>
    </row>
    <row r="13469" spans="2:21" x14ac:dyDescent="0.2">
      <c r="B13469" s="207"/>
      <c r="C13469" s="210"/>
      <c r="D13469" s="211"/>
      <c r="E13469" s="211"/>
      <c r="U13469" s="222"/>
    </row>
    <row r="13470" spans="2:21" x14ac:dyDescent="0.2">
      <c r="B13470" s="207"/>
      <c r="C13470" s="210"/>
      <c r="D13470" s="211"/>
      <c r="E13470" s="211"/>
      <c r="U13470" s="222"/>
    </row>
    <row r="13471" spans="2:21" x14ac:dyDescent="0.2">
      <c r="B13471" s="207"/>
      <c r="C13471" s="210"/>
      <c r="D13471" s="211"/>
      <c r="E13471" s="211"/>
      <c r="U13471" s="222"/>
    </row>
    <row r="13472" spans="2:21" x14ac:dyDescent="0.2">
      <c r="B13472" s="207"/>
      <c r="C13472" s="210"/>
      <c r="D13472" s="211"/>
      <c r="E13472" s="211"/>
      <c r="U13472" s="222"/>
    </row>
    <row r="13473" spans="2:21" x14ac:dyDescent="0.2">
      <c r="B13473" s="207"/>
      <c r="C13473" s="210"/>
      <c r="D13473" s="211"/>
      <c r="E13473" s="211"/>
      <c r="U13473" s="222"/>
    </row>
    <row r="13474" spans="2:21" x14ac:dyDescent="0.2">
      <c r="B13474" s="207"/>
      <c r="C13474" s="210"/>
      <c r="D13474" s="211"/>
      <c r="E13474" s="211"/>
      <c r="U13474" s="222"/>
    </row>
    <row r="13475" spans="2:21" x14ac:dyDescent="0.2">
      <c r="B13475" s="207"/>
      <c r="C13475" s="210"/>
      <c r="D13475" s="211"/>
      <c r="E13475" s="211"/>
      <c r="U13475" s="222"/>
    </row>
    <row r="13476" spans="2:21" x14ac:dyDescent="0.2">
      <c r="B13476" s="207"/>
      <c r="C13476" s="210"/>
      <c r="D13476" s="211"/>
      <c r="E13476" s="211"/>
      <c r="U13476" s="222"/>
    </row>
    <row r="13477" spans="2:21" x14ac:dyDescent="0.2">
      <c r="B13477" s="207"/>
      <c r="C13477" s="210"/>
      <c r="D13477" s="211"/>
      <c r="E13477" s="211"/>
      <c r="U13477" s="222"/>
    </row>
    <row r="13478" spans="2:21" x14ac:dyDescent="0.2">
      <c r="B13478" s="207"/>
      <c r="C13478" s="210"/>
      <c r="D13478" s="211"/>
      <c r="E13478" s="211"/>
      <c r="U13478" s="222"/>
    </row>
    <row r="13479" spans="2:21" x14ac:dyDescent="0.2">
      <c r="B13479" s="207"/>
      <c r="C13479" s="210"/>
      <c r="D13479" s="211"/>
      <c r="E13479" s="211"/>
      <c r="U13479" s="222"/>
    </row>
    <row r="13480" spans="2:21" x14ac:dyDescent="0.2">
      <c r="B13480" s="207"/>
      <c r="C13480" s="210"/>
      <c r="D13480" s="211"/>
      <c r="E13480" s="211"/>
      <c r="U13480" s="222"/>
    </row>
    <row r="13481" spans="2:21" x14ac:dyDescent="0.2">
      <c r="B13481" s="207"/>
      <c r="C13481" s="210"/>
      <c r="D13481" s="211"/>
      <c r="E13481" s="211"/>
      <c r="U13481" s="222"/>
    </row>
    <row r="13482" spans="2:21" x14ac:dyDescent="0.2">
      <c r="B13482" s="207"/>
      <c r="C13482" s="210"/>
      <c r="D13482" s="211"/>
      <c r="E13482" s="211"/>
      <c r="U13482" s="222"/>
    </row>
    <row r="13483" spans="2:21" x14ac:dyDescent="0.2">
      <c r="B13483" s="207"/>
      <c r="C13483" s="210"/>
      <c r="D13483" s="211"/>
      <c r="E13483" s="211"/>
      <c r="U13483" s="222"/>
    </row>
    <row r="13484" spans="2:21" x14ac:dyDescent="0.2">
      <c r="B13484" s="207"/>
      <c r="C13484" s="210"/>
      <c r="D13484" s="211"/>
      <c r="E13484" s="211"/>
      <c r="U13484" s="222"/>
    </row>
    <row r="13485" spans="2:21" x14ac:dyDescent="0.2">
      <c r="B13485" s="207"/>
      <c r="C13485" s="210"/>
      <c r="D13485" s="211"/>
      <c r="E13485" s="211"/>
      <c r="U13485" s="222"/>
    </row>
    <row r="13486" spans="2:21" x14ac:dyDescent="0.2">
      <c r="B13486" s="207"/>
      <c r="C13486" s="210"/>
      <c r="D13486" s="211"/>
      <c r="E13486" s="211"/>
      <c r="U13486" s="222"/>
    </row>
    <row r="13487" spans="2:21" x14ac:dyDescent="0.2">
      <c r="B13487" s="207"/>
      <c r="C13487" s="210"/>
      <c r="D13487" s="211"/>
      <c r="E13487" s="211"/>
      <c r="U13487" s="222"/>
    </row>
    <row r="13488" spans="2:21" x14ac:dyDescent="0.2">
      <c r="B13488" s="207"/>
      <c r="C13488" s="210"/>
      <c r="D13488" s="211"/>
      <c r="E13488" s="211"/>
      <c r="U13488" s="222"/>
    </row>
    <row r="13489" spans="2:21" x14ac:dyDescent="0.2">
      <c r="B13489" s="207"/>
      <c r="C13489" s="210"/>
      <c r="D13489" s="211"/>
      <c r="E13489" s="211"/>
      <c r="U13489" s="222"/>
    </row>
    <row r="13490" spans="2:21" x14ac:dyDescent="0.2">
      <c r="B13490" s="207"/>
      <c r="C13490" s="210"/>
      <c r="D13490" s="211"/>
      <c r="E13490" s="211"/>
      <c r="U13490" s="222"/>
    </row>
    <row r="13491" spans="2:21" x14ac:dyDescent="0.2">
      <c r="B13491" s="207"/>
      <c r="C13491" s="210"/>
      <c r="D13491" s="211"/>
      <c r="E13491" s="211"/>
      <c r="U13491" s="222"/>
    </row>
    <row r="13492" spans="2:21" x14ac:dyDescent="0.2">
      <c r="B13492" s="207"/>
      <c r="C13492" s="210"/>
      <c r="D13492" s="211"/>
      <c r="E13492" s="211"/>
      <c r="U13492" s="222"/>
    </row>
    <row r="13493" spans="2:21" x14ac:dyDescent="0.2">
      <c r="B13493" s="207"/>
      <c r="C13493" s="210"/>
      <c r="D13493" s="211"/>
      <c r="E13493" s="211"/>
      <c r="U13493" s="222"/>
    </row>
    <row r="13494" spans="2:21" x14ac:dyDescent="0.2">
      <c r="B13494" s="207"/>
      <c r="C13494" s="210"/>
      <c r="D13494" s="211"/>
      <c r="E13494" s="211"/>
      <c r="U13494" s="222"/>
    </row>
    <row r="13495" spans="2:21" x14ac:dyDescent="0.2">
      <c r="B13495" s="207"/>
      <c r="C13495" s="210"/>
      <c r="D13495" s="211"/>
      <c r="E13495" s="211"/>
      <c r="U13495" s="222"/>
    </row>
    <row r="13496" spans="2:21" x14ac:dyDescent="0.2">
      <c r="B13496" s="207"/>
      <c r="C13496" s="210"/>
      <c r="D13496" s="211"/>
      <c r="E13496" s="211"/>
      <c r="U13496" s="222"/>
    </row>
    <row r="13497" spans="2:21" x14ac:dyDescent="0.2">
      <c r="B13497" s="207"/>
      <c r="C13497" s="210"/>
      <c r="D13497" s="211"/>
      <c r="E13497" s="211"/>
      <c r="U13497" s="222"/>
    </row>
    <row r="13498" spans="2:21" x14ac:dyDescent="0.2">
      <c r="B13498" s="207"/>
      <c r="C13498" s="210"/>
      <c r="D13498" s="211"/>
      <c r="E13498" s="211"/>
      <c r="U13498" s="222"/>
    </row>
    <row r="13499" spans="2:21" x14ac:dyDescent="0.2">
      <c r="B13499" s="207"/>
      <c r="C13499" s="210"/>
      <c r="D13499" s="211"/>
      <c r="E13499" s="211"/>
      <c r="U13499" s="222"/>
    </row>
    <row r="13500" spans="2:21" x14ac:dyDescent="0.2">
      <c r="B13500" s="207"/>
      <c r="C13500" s="210"/>
      <c r="D13500" s="211"/>
      <c r="E13500" s="211"/>
      <c r="U13500" s="222"/>
    </row>
    <row r="13501" spans="2:21" x14ac:dyDescent="0.2">
      <c r="B13501" s="207"/>
      <c r="C13501" s="210"/>
      <c r="D13501" s="211"/>
      <c r="E13501" s="211"/>
      <c r="U13501" s="222"/>
    </row>
    <row r="13502" spans="2:21" x14ac:dyDescent="0.2">
      <c r="B13502" s="207"/>
      <c r="C13502" s="210"/>
      <c r="D13502" s="211"/>
      <c r="E13502" s="211"/>
      <c r="U13502" s="222"/>
    </row>
    <row r="13503" spans="2:21" x14ac:dyDescent="0.2">
      <c r="B13503" s="207"/>
      <c r="C13503" s="210"/>
      <c r="D13503" s="211"/>
      <c r="E13503" s="211"/>
      <c r="U13503" s="222"/>
    </row>
    <row r="13504" spans="2:21" x14ac:dyDescent="0.2">
      <c r="B13504" s="207"/>
      <c r="C13504" s="210"/>
      <c r="D13504" s="211"/>
      <c r="E13504" s="211"/>
      <c r="U13504" s="222"/>
    </row>
    <row r="13505" spans="2:21" x14ac:dyDescent="0.2">
      <c r="B13505" s="207"/>
      <c r="C13505" s="210"/>
      <c r="D13505" s="211"/>
      <c r="E13505" s="211"/>
      <c r="U13505" s="222"/>
    </row>
    <row r="13506" spans="2:21" x14ac:dyDescent="0.2">
      <c r="B13506" s="207"/>
      <c r="C13506" s="210"/>
      <c r="D13506" s="211"/>
      <c r="E13506" s="211"/>
      <c r="U13506" s="222"/>
    </row>
    <row r="13507" spans="2:21" x14ac:dyDescent="0.2">
      <c r="B13507" s="207"/>
      <c r="C13507" s="210"/>
      <c r="D13507" s="211"/>
      <c r="E13507" s="211"/>
      <c r="U13507" s="222"/>
    </row>
    <row r="13508" spans="2:21" x14ac:dyDescent="0.2">
      <c r="B13508" s="207"/>
      <c r="C13508" s="210"/>
      <c r="D13508" s="211"/>
      <c r="E13508" s="211"/>
      <c r="U13508" s="222"/>
    </row>
    <row r="13509" spans="2:21" x14ac:dyDescent="0.2">
      <c r="B13509" s="207"/>
      <c r="C13509" s="210"/>
      <c r="D13509" s="211"/>
      <c r="E13509" s="211"/>
      <c r="U13509" s="222"/>
    </row>
    <row r="13510" spans="2:21" x14ac:dyDescent="0.2">
      <c r="B13510" s="207"/>
      <c r="C13510" s="210"/>
      <c r="D13510" s="211"/>
      <c r="E13510" s="211"/>
      <c r="U13510" s="222"/>
    </row>
    <row r="13511" spans="2:21" x14ac:dyDescent="0.2">
      <c r="B13511" s="207"/>
      <c r="C13511" s="210"/>
      <c r="D13511" s="211"/>
      <c r="E13511" s="211"/>
      <c r="U13511" s="222"/>
    </row>
    <row r="13512" spans="2:21" x14ac:dyDescent="0.2">
      <c r="B13512" s="207"/>
      <c r="C13512" s="210"/>
      <c r="D13512" s="211"/>
      <c r="E13512" s="211"/>
      <c r="U13512" s="222"/>
    </row>
    <row r="13513" spans="2:21" x14ac:dyDescent="0.2">
      <c r="B13513" s="207"/>
      <c r="C13513" s="210"/>
      <c r="D13513" s="211"/>
      <c r="E13513" s="211"/>
      <c r="U13513" s="222"/>
    </row>
    <row r="13514" spans="2:21" x14ac:dyDescent="0.2">
      <c r="B13514" s="207"/>
      <c r="C13514" s="210"/>
      <c r="D13514" s="211"/>
      <c r="E13514" s="211"/>
      <c r="U13514" s="222"/>
    </row>
    <row r="13515" spans="2:21" x14ac:dyDescent="0.2">
      <c r="B13515" s="207"/>
      <c r="C13515" s="210"/>
      <c r="D13515" s="211"/>
      <c r="E13515" s="211"/>
      <c r="U13515" s="222"/>
    </row>
    <row r="13516" spans="2:21" x14ac:dyDescent="0.2">
      <c r="B13516" s="207"/>
      <c r="C13516" s="210"/>
      <c r="D13516" s="211"/>
      <c r="E13516" s="211"/>
      <c r="U13516" s="222"/>
    </row>
    <row r="13517" spans="2:21" x14ac:dyDescent="0.2">
      <c r="B13517" s="207"/>
      <c r="C13517" s="210"/>
      <c r="D13517" s="211"/>
      <c r="E13517" s="211"/>
      <c r="U13517" s="222"/>
    </row>
    <row r="13518" spans="2:21" x14ac:dyDescent="0.2">
      <c r="B13518" s="207"/>
      <c r="C13518" s="210"/>
      <c r="D13518" s="211"/>
      <c r="E13518" s="211"/>
      <c r="U13518" s="222"/>
    </row>
    <row r="13519" spans="2:21" x14ac:dyDescent="0.2">
      <c r="B13519" s="207"/>
      <c r="C13519" s="210"/>
      <c r="D13519" s="211"/>
      <c r="E13519" s="211"/>
      <c r="U13519" s="222"/>
    </row>
    <row r="13520" spans="2:21" x14ac:dyDescent="0.2">
      <c r="B13520" s="207"/>
      <c r="C13520" s="210"/>
      <c r="D13520" s="211"/>
      <c r="E13520" s="211"/>
      <c r="U13520" s="222"/>
    </row>
    <row r="13521" spans="2:21" x14ac:dyDescent="0.2">
      <c r="B13521" s="207"/>
      <c r="C13521" s="210"/>
      <c r="D13521" s="211"/>
      <c r="E13521" s="211"/>
      <c r="U13521" s="222"/>
    </row>
    <row r="13522" spans="2:21" x14ac:dyDescent="0.2">
      <c r="B13522" s="207"/>
      <c r="C13522" s="210"/>
      <c r="D13522" s="211"/>
      <c r="E13522" s="211"/>
      <c r="U13522" s="222"/>
    </row>
    <row r="13523" spans="2:21" x14ac:dyDescent="0.2">
      <c r="B13523" s="207"/>
      <c r="C13523" s="210"/>
      <c r="D13523" s="211"/>
      <c r="E13523" s="211"/>
      <c r="U13523" s="222"/>
    </row>
    <row r="13524" spans="2:21" x14ac:dyDescent="0.2">
      <c r="B13524" s="207"/>
      <c r="C13524" s="210"/>
      <c r="D13524" s="211"/>
      <c r="E13524" s="211"/>
      <c r="U13524" s="222"/>
    </row>
    <row r="13525" spans="2:21" x14ac:dyDescent="0.2">
      <c r="B13525" s="207"/>
      <c r="C13525" s="210"/>
      <c r="D13525" s="211"/>
      <c r="E13525" s="211"/>
      <c r="U13525" s="222"/>
    </row>
    <row r="13526" spans="2:21" x14ac:dyDescent="0.2">
      <c r="B13526" s="207"/>
      <c r="C13526" s="210"/>
      <c r="D13526" s="211"/>
      <c r="E13526" s="211"/>
      <c r="U13526" s="222"/>
    </row>
    <row r="13527" spans="2:21" x14ac:dyDescent="0.2">
      <c r="B13527" s="207"/>
      <c r="C13527" s="210"/>
      <c r="D13527" s="211"/>
      <c r="E13527" s="211"/>
      <c r="U13527" s="222"/>
    </row>
    <row r="13528" spans="2:21" x14ac:dyDescent="0.2">
      <c r="B13528" s="207"/>
      <c r="C13528" s="210"/>
      <c r="D13528" s="211"/>
      <c r="E13528" s="211"/>
      <c r="U13528" s="222"/>
    </row>
    <row r="13529" spans="2:21" x14ac:dyDescent="0.2">
      <c r="B13529" s="207"/>
      <c r="C13529" s="210"/>
      <c r="D13529" s="211"/>
      <c r="E13529" s="211"/>
      <c r="U13529" s="222"/>
    </row>
    <row r="13530" spans="2:21" x14ac:dyDescent="0.2">
      <c r="B13530" s="207"/>
      <c r="C13530" s="210"/>
      <c r="D13530" s="211"/>
      <c r="E13530" s="211"/>
      <c r="U13530" s="222"/>
    </row>
    <row r="13531" spans="2:21" x14ac:dyDescent="0.2">
      <c r="B13531" s="207"/>
      <c r="C13531" s="210"/>
      <c r="D13531" s="211"/>
      <c r="E13531" s="211"/>
      <c r="U13531" s="222"/>
    </row>
    <row r="13532" spans="2:21" x14ac:dyDescent="0.2">
      <c r="B13532" s="207"/>
      <c r="C13532" s="210"/>
      <c r="D13532" s="211"/>
      <c r="E13532" s="211"/>
      <c r="U13532" s="222"/>
    </row>
    <row r="13533" spans="2:21" x14ac:dyDescent="0.2">
      <c r="B13533" s="207"/>
      <c r="C13533" s="210"/>
      <c r="D13533" s="211"/>
      <c r="E13533" s="211"/>
      <c r="U13533" s="222"/>
    </row>
    <row r="13534" spans="2:21" x14ac:dyDescent="0.2">
      <c r="B13534" s="207"/>
      <c r="C13534" s="210"/>
      <c r="D13534" s="211"/>
      <c r="E13534" s="211"/>
      <c r="U13534" s="222"/>
    </row>
    <row r="13535" spans="2:21" x14ac:dyDescent="0.2">
      <c r="B13535" s="207"/>
      <c r="C13535" s="210"/>
      <c r="D13535" s="211"/>
      <c r="E13535" s="211"/>
      <c r="U13535" s="222"/>
    </row>
    <row r="13536" spans="2:21" x14ac:dyDescent="0.2">
      <c r="B13536" s="207"/>
      <c r="C13536" s="210"/>
      <c r="D13536" s="211"/>
      <c r="E13536" s="211"/>
      <c r="U13536" s="222"/>
    </row>
    <row r="13537" spans="2:21" x14ac:dyDescent="0.2">
      <c r="B13537" s="207"/>
      <c r="C13537" s="210"/>
      <c r="D13537" s="211"/>
      <c r="E13537" s="211"/>
      <c r="U13537" s="222"/>
    </row>
    <row r="13538" spans="2:21" x14ac:dyDescent="0.2">
      <c r="B13538" s="207"/>
      <c r="C13538" s="210"/>
      <c r="D13538" s="211"/>
      <c r="E13538" s="211"/>
      <c r="U13538" s="222"/>
    </row>
    <row r="13539" spans="2:21" x14ac:dyDescent="0.2">
      <c r="B13539" s="207"/>
      <c r="C13539" s="210"/>
      <c r="D13539" s="211"/>
      <c r="E13539" s="211"/>
      <c r="U13539" s="222"/>
    </row>
    <row r="13540" spans="2:21" x14ac:dyDescent="0.2">
      <c r="B13540" s="207"/>
      <c r="C13540" s="210"/>
      <c r="D13540" s="211"/>
      <c r="E13540" s="211"/>
      <c r="U13540" s="222"/>
    </row>
    <row r="13541" spans="2:21" x14ac:dyDescent="0.2">
      <c r="B13541" s="207"/>
      <c r="C13541" s="210"/>
      <c r="D13541" s="211"/>
      <c r="E13541" s="211"/>
      <c r="U13541" s="222"/>
    </row>
    <row r="13542" spans="2:21" x14ac:dyDescent="0.2">
      <c r="B13542" s="207"/>
      <c r="C13542" s="210"/>
      <c r="D13542" s="211"/>
      <c r="E13542" s="211"/>
      <c r="U13542" s="222"/>
    </row>
    <row r="13543" spans="2:21" x14ac:dyDescent="0.2">
      <c r="B13543" s="207"/>
      <c r="C13543" s="210"/>
      <c r="D13543" s="211"/>
      <c r="E13543" s="211"/>
      <c r="U13543" s="222"/>
    </row>
    <row r="13544" spans="2:21" x14ac:dyDescent="0.2">
      <c r="B13544" s="207"/>
      <c r="C13544" s="210"/>
      <c r="D13544" s="211"/>
      <c r="E13544" s="211"/>
      <c r="U13544" s="222"/>
    </row>
    <row r="13545" spans="2:21" x14ac:dyDescent="0.2">
      <c r="B13545" s="207"/>
      <c r="C13545" s="210"/>
      <c r="D13545" s="211"/>
      <c r="E13545" s="211"/>
      <c r="U13545" s="222"/>
    </row>
    <row r="13546" spans="2:21" x14ac:dyDescent="0.2">
      <c r="B13546" s="207"/>
      <c r="C13546" s="210"/>
      <c r="D13546" s="211"/>
      <c r="E13546" s="211"/>
      <c r="U13546" s="222"/>
    </row>
    <row r="13547" spans="2:21" x14ac:dyDescent="0.2">
      <c r="B13547" s="207"/>
      <c r="C13547" s="210"/>
      <c r="D13547" s="211"/>
      <c r="E13547" s="211"/>
      <c r="U13547" s="222"/>
    </row>
    <row r="13548" spans="2:21" x14ac:dyDescent="0.2">
      <c r="B13548" s="207"/>
      <c r="C13548" s="210"/>
      <c r="D13548" s="211"/>
      <c r="E13548" s="211"/>
      <c r="U13548" s="222"/>
    </row>
    <row r="13549" spans="2:21" x14ac:dyDescent="0.2">
      <c r="B13549" s="207"/>
      <c r="C13549" s="210"/>
      <c r="D13549" s="211"/>
      <c r="E13549" s="211"/>
      <c r="U13549" s="222"/>
    </row>
    <row r="13550" spans="2:21" x14ac:dyDescent="0.2">
      <c r="B13550" s="207"/>
      <c r="C13550" s="210"/>
      <c r="D13550" s="211"/>
      <c r="E13550" s="211"/>
      <c r="U13550" s="222"/>
    </row>
    <row r="13551" spans="2:21" x14ac:dyDescent="0.2">
      <c r="B13551" s="207"/>
      <c r="C13551" s="210"/>
      <c r="D13551" s="211"/>
      <c r="E13551" s="211"/>
      <c r="U13551" s="222"/>
    </row>
    <row r="13552" spans="2:21" x14ac:dyDescent="0.2">
      <c r="B13552" s="207"/>
      <c r="C13552" s="210"/>
      <c r="D13552" s="211"/>
      <c r="E13552" s="211"/>
      <c r="U13552" s="222"/>
    </row>
    <row r="13553" spans="2:21" x14ac:dyDescent="0.2">
      <c r="B13553" s="207"/>
      <c r="C13553" s="210"/>
      <c r="D13553" s="211"/>
      <c r="E13553" s="211"/>
      <c r="U13553" s="222"/>
    </row>
    <row r="13554" spans="2:21" x14ac:dyDescent="0.2">
      <c r="B13554" s="207"/>
      <c r="C13554" s="210"/>
      <c r="D13554" s="211"/>
      <c r="E13554" s="211"/>
      <c r="U13554" s="222"/>
    </row>
    <row r="13555" spans="2:21" x14ac:dyDescent="0.2">
      <c r="B13555" s="207"/>
      <c r="C13555" s="210"/>
      <c r="D13555" s="211"/>
      <c r="E13555" s="211"/>
      <c r="U13555" s="222"/>
    </row>
    <row r="13556" spans="2:21" x14ac:dyDescent="0.2">
      <c r="B13556" s="207"/>
      <c r="C13556" s="210"/>
      <c r="D13556" s="211"/>
      <c r="E13556" s="211"/>
      <c r="U13556" s="222"/>
    </row>
    <row r="13557" spans="2:21" x14ac:dyDescent="0.2">
      <c r="B13557" s="207"/>
      <c r="C13557" s="210"/>
      <c r="D13557" s="211"/>
      <c r="E13557" s="211"/>
      <c r="U13557" s="222"/>
    </row>
    <row r="13558" spans="2:21" x14ac:dyDescent="0.2">
      <c r="B13558" s="207"/>
      <c r="C13558" s="210"/>
      <c r="D13558" s="211"/>
      <c r="E13558" s="211"/>
      <c r="U13558" s="222"/>
    </row>
    <row r="13559" spans="2:21" x14ac:dyDescent="0.2">
      <c r="B13559" s="207"/>
      <c r="C13559" s="210"/>
      <c r="D13559" s="211"/>
      <c r="E13559" s="211"/>
      <c r="U13559" s="222"/>
    </row>
    <row r="13560" spans="2:21" x14ac:dyDescent="0.2">
      <c r="B13560" s="207"/>
      <c r="C13560" s="210"/>
      <c r="D13560" s="211"/>
      <c r="E13560" s="211"/>
      <c r="U13560" s="222"/>
    </row>
    <row r="13561" spans="2:21" x14ac:dyDescent="0.2">
      <c r="B13561" s="207"/>
      <c r="C13561" s="210"/>
      <c r="D13561" s="211"/>
      <c r="E13561" s="211"/>
      <c r="U13561" s="222"/>
    </row>
    <row r="13562" spans="2:21" x14ac:dyDescent="0.2">
      <c r="B13562" s="207"/>
      <c r="C13562" s="210"/>
      <c r="D13562" s="211"/>
      <c r="E13562" s="211"/>
      <c r="U13562" s="222"/>
    </row>
    <row r="13563" spans="2:21" x14ac:dyDescent="0.2">
      <c r="B13563" s="207"/>
      <c r="C13563" s="210"/>
      <c r="D13563" s="211"/>
      <c r="E13563" s="211"/>
      <c r="U13563" s="222"/>
    </row>
    <row r="13564" spans="2:21" x14ac:dyDescent="0.2">
      <c r="B13564" s="207"/>
      <c r="C13564" s="210"/>
      <c r="D13564" s="211"/>
      <c r="E13564" s="211"/>
      <c r="U13564" s="222"/>
    </row>
    <row r="13565" spans="2:21" x14ac:dyDescent="0.2">
      <c r="B13565" s="207"/>
      <c r="C13565" s="210"/>
      <c r="D13565" s="211"/>
      <c r="E13565" s="211"/>
      <c r="U13565" s="222"/>
    </row>
    <row r="13566" spans="2:21" x14ac:dyDescent="0.2">
      <c r="B13566" s="207"/>
      <c r="C13566" s="210"/>
      <c r="D13566" s="211"/>
      <c r="E13566" s="211"/>
      <c r="U13566" s="222"/>
    </row>
    <row r="13567" spans="2:21" x14ac:dyDescent="0.2">
      <c r="B13567" s="207"/>
      <c r="C13567" s="210"/>
      <c r="D13567" s="211"/>
      <c r="E13567" s="211"/>
      <c r="U13567" s="222"/>
    </row>
    <row r="13568" spans="2:21" x14ac:dyDescent="0.2">
      <c r="B13568" s="207"/>
      <c r="C13568" s="210"/>
      <c r="D13568" s="211"/>
      <c r="E13568" s="211"/>
      <c r="U13568" s="222"/>
    </row>
    <row r="13569" spans="2:21" x14ac:dyDescent="0.2">
      <c r="B13569" s="207"/>
      <c r="C13569" s="210"/>
      <c r="D13569" s="211"/>
      <c r="E13569" s="211"/>
      <c r="U13569" s="222"/>
    </row>
    <row r="13570" spans="2:21" x14ac:dyDescent="0.2">
      <c r="B13570" s="207"/>
      <c r="C13570" s="210"/>
      <c r="D13570" s="211"/>
      <c r="E13570" s="211"/>
      <c r="U13570" s="222"/>
    </row>
    <row r="13571" spans="2:21" x14ac:dyDescent="0.2">
      <c r="B13571" s="207"/>
      <c r="C13571" s="210"/>
      <c r="D13571" s="211"/>
      <c r="E13571" s="211"/>
      <c r="U13571" s="222"/>
    </row>
    <row r="13572" spans="2:21" x14ac:dyDescent="0.2">
      <c r="B13572" s="207"/>
      <c r="C13572" s="210"/>
      <c r="D13572" s="211"/>
      <c r="E13572" s="211"/>
      <c r="U13572" s="222"/>
    </row>
    <row r="13573" spans="2:21" x14ac:dyDescent="0.2">
      <c r="B13573" s="207"/>
      <c r="C13573" s="210"/>
      <c r="D13573" s="211"/>
      <c r="E13573" s="211"/>
      <c r="U13573" s="222"/>
    </row>
    <row r="13574" spans="2:21" x14ac:dyDescent="0.2">
      <c r="B13574" s="207"/>
      <c r="C13574" s="210"/>
      <c r="D13574" s="211"/>
      <c r="E13574" s="211"/>
      <c r="U13574" s="222"/>
    </row>
    <row r="13575" spans="2:21" x14ac:dyDescent="0.2">
      <c r="B13575" s="207"/>
      <c r="C13575" s="210"/>
      <c r="D13575" s="211"/>
      <c r="E13575" s="211"/>
      <c r="U13575" s="222"/>
    </row>
    <row r="13576" spans="2:21" x14ac:dyDescent="0.2">
      <c r="B13576" s="207"/>
      <c r="C13576" s="210"/>
      <c r="D13576" s="211"/>
      <c r="E13576" s="211"/>
      <c r="U13576" s="222"/>
    </row>
    <row r="13577" spans="2:21" x14ac:dyDescent="0.2">
      <c r="B13577" s="207"/>
      <c r="C13577" s="210"/>
      <c r="D13577" s="211"/>
      <c r="E13577" s="211"/>
      <c r="U13577" s="222"/>
    </row>
    <row r="13578" spans="2:21" x14ac:dyDescent="0.2">
      <c r="B13578" s="207"/>
      <c r="C13578" s="210"/>
      <c r="D13578" s="211"/>
      <c r="E13578" s="211"/>
      <c r="U13578" s="222"/>
    </row>
    <row r="13579" spans="2:21" x14ac:dyDescent="0.2">
      <c r="B13579" s="207"/>
      <c r="C13579" s="210"/>
      <c r="D13579" s="211"/>
      <c r="E13579" s="211"/>
      <c r="U13579" s="222"/>
    </row>
    <row r="13580" spans="2:21" x14ac:dyDescent="0.2">
      <c r="B13580" s="207"/>
      <c r="C13580" s="210"/>
      <c r="D13580" s="211"/>
      <c r="E13580" s="211"/>
      <c r="U13580" s="222"/>
    </row>
    <row r="13581" spans="2:21" x14ac:dyDescent="0.2">
      <c r="B13581" s="207"/>
      <c r="C13581" s="210"/>
      <c r="D13581" s="211"/>
      <c r="E13581" s="211"/>
      <c r="U13581" s="222"/>
    </row>
    <row r="13582" spans="2:21" x14ac:dyDescent="0.2">
      <c r="B13582" s="207"/>
      <c r="C13582" s="210"/>
      <c r="D13582" s="211"/>
      <c r="E13582" s="211"/>
      <c r="U13582" s="222"/>
    </row>
    <row r="13583" spans="2:21" x14ac:dyDescent="0.2">
      <c r="B13583" s="207"/>
      <c r="C13583" s="210"/>
      <c r="D13583" s="211"/>
      <c r="E13583" s="211"/>
      <c r="U13583" s="222"/>
    </row>
    <row r="13584" spans="2:21" x14ac:dyDescent="0.2">
      <c r="B13584" s="207"/>
      <c r="C13584" s="210"/>
      <c r="D13584" s="211"/>
      <c r="E13584" s="211"/>
      <c r="U13584" s="222"/>
    </row>
    <row r="13585" spans="2:21" x14ac:dyDescent="0.2">
      <c r="B13585" s="207"/>
      <c r="C13585" s="210"/>
      <c r="D13585" s="211"/>
      <c r="E13585" s="211"/>
      <c r="U13585" s="222"/>
    </row>
    <row r="13586" spans="2:21" x14ac:dyDescent="0.2">
      <c r="B13586" s="207"/>
      <c r="C13586" s="210"/>
      <c r="D13586" s="211"/>
      <c r="E13586" s="211"/>
      <c r="U13586" s="222"/>
    </row>
    <row r="13587" spans="2:21" x14ac:dyDescent="0.2">
      <c r="B13587" s="207"/>
      <c r="C13587" s="210"/>
      <c r="D13587" s="211"/>
      <c r="E13587" s="211"/>
      <c r="U13587" s="222"/>
    </row>
    <row r="13588" spans="2:21" x14ac:dyDescent="0.2">
      <c r="B13588" s="207"/>
      <c r="C13588" s="210"/>
      <c r="D13588" s="211"/>
      <c r="E13588" s="211"/>
      <c r="U13588" s="222"/>
    </row>
    <row r="13589" spans="2:21" x14ac:dyDescent="0.2">
      <c r="B13589" s="207"/>
      <c r="C13589" s="210"/>
      <c r="D13589" s="211"/>
      <c r="E13589" s="211"/>
      <c r="U13589" s="222"/>
    </row>
    <row r="13590" spans="2:21" x14ac:dyDescent="0.2">
      <c r="B13590" s="207"/>
      <c r="C13590" s="210"/>
      <c r="D13590" s="211"/>
      <c r="E13590" s="211"/>
      <c r="U13590" s="222"/>
    </row>
    <row r="13591" spans="2:21" x14ac:dyDescent="0.2">
      <c r="B13591" s="207"/>
      <c r="C13591" s="210"/>
      <c r="D13591" s="211"/>
      <c r="E13591" s="211"/>
      <c r="U13591" s="222"/>
    </row>
    <row r="13592" spans="2:21" x14ac:dyDescent="0.2">
      <c r="B13592" s="207"/>
      <c r="C13592" s="210"/>
      <c r="D13592" s="211"/>
      <c r="E13592" s="211"/>
      <c r="U13592" s="222"/>
    </row>
    <row r="13593" spans="2:21" x14ac:dyDescent="0.2">
      <c r="B13593" s="207"/>
      <c r="C13593" s="210"/>
      <c r="D13593" s="211"/>
      <c r="E13593" s="211"/>
      <c r="U13593" s="222"/>
    </row>
    <row r="13594" spans="2:21" x14ac:dyDescent="0.2">
      <c r="B13594" s="207"/>
      <c r="C13594" s="210"/>
      <c r="D13594" s="211"/>
      <c r="E13594" s="211"/>
      <c r="U13594" s="222"/>
    </row>
    <row r="13595" spans="2:21" x14ac:dyDescent="0.2">
      <c r="B13595" s="207"/>
      <c r="C13595" s="210"/>
      <c r="D13595" s="211"/>
      <c r="E13595" s="211"/>
      <c r="U13595" s="222"/>
    </row>
    <row r="13596" spans="2:21" x14ac:dyDescent="0.2">
      <c r="B13596" s="207"/>
      <c r="C13596" s="210"/>
      <c r="D13596" s="211"/>
      <c r="E13596" s="211"/>
      <c r="U13596" s="222"/>
    </row>
    <row r="13597" spans="2:21" x14ac:dyDescent="0.2">
      <c r="B13597" s="207"/>
      <c r="C13597" s="210"/>
      <c r="D13597" s="211"/>
      <c r="E13597" s="211"/>
      <c r="U13597" s="222"/>
    </row>
    <row r="13598" spans="2:21" x14ac:dyDescent="0.2">
      <c r="B13598" s="207"/>
      <c r="C13598" s="210"/>
      <c r="D13598" s="211"/>
      <c r="E13598" s="211"/>
      <c r="U13598" s="222"/>
    </row>
    <row r="13599" spans="2:21" x14ac:dyDescent="0.2">
      <c r="B13599" s="207"/>
      <c r="C13599" s="210"/>
      <c r="D13599" s="211"/>
      <c r="E13599" s="211"/>
      <c r="U13599" s="222"/>
    </row>
    <row r="13600" spans="2:21" x14ac:dyDescent="0.2">
      <c r="B13600" s="207"/>
      <c r="C13600" s="210"/>
      <c r="D13600" s="211"/>
      <c r="E13600" s="211"/>
      <c r="U13600" s="222"/>
    </row>
    <row r="13601" spans="2:21" x14ac:dyDescent="0.2">
      <c r="B13601" s="207"/>
      <c r="C13601" s="210"/>
      <c r="D13601" s="211"/>
      <c r="E13601" s="211"/>
      <c r="U13601" s="222"/>
    </row>
    <row r="13602" spans="2:21" x14ac:dyDescent="0.2">
      <c r="B13602" s="207"/>
      <c r="C13602" s="210"/>
      <c r="D13602" s="211"/>
      <c r="E13602" s="211"/>
      <c r="U13602" s="222"/>
    </row>
    <row r="13603" spans="2:21" x14ac:dyDescent="0.2">
      <c r="B13603" s="207"/>
      <c r="C13603" s="210"/>
      <c r="D13603" s="211"/>
      <c r="E13603" s="211"/>
      <c r="U13603" s="222"/>
    </row>
    <row r="13604" spans="2:21" x14ac:dyDescent="0.2">
      <c r="B13604" s="207"/>
      <c r="C13604" s="210"/>
      <c r="D13604" s="211"/>
      <c r="E13604" s="211"/>
      <c r="U13604" s="222"/>
    </row>
    <row r="13605" spans="2:21" x14ac:dyDescent="0.2">
      <c r="B13605" s="207"/>
      <c r="C13605" s="210"/>
      <c r="D13605" s="211"/>
      <c r="E13605" s="211"/>
      <c r="U13605" s="222"/>
    </row>
    <row r="13606" spans="2:21" x14ac:dyDescent="0.2">
      <c r="B13606" s="207"/>
      <c r="C13606" s="210"/>
      <c r="D13606" s="211"/>
      <c r="E13606" s="211"/>
      <c r="U13606" s="222"/>
    </row>
    <row r="13607" spans="2:21" x14ac:dyDescent="0.2">
      <c r="B13607" s="207"/>
      <c r="C13607" s="210"/>
      <c r="D13607" s="211"/>
      <c r="E13607" s="211"/>
      <c r="U13607" s="222"/>
    </row>
    <row r="13608" spans="2:21" x14ac:dyDescent="0.2">
      <c r="B13608" s="207"/>
      <c r="C13608" s="210"/>
      <c r="D13608" s="211"/>
      <c r="E13608" s="211"/>
      <c r="U13608" s="222"/>
    </row>
    <row r="13609" spans="2:21" x14ac:dyDescent="0.2">
      <c r="B13609" s="207"/>
      <c r="C13609" s="210"/>
      <c r="D13609" s="211"/>
      <c r="E13609" s="211"/>
      <c r="U13609" s="222"/>
    </row>
    <row r="13610" spans="2:21" x14ac:dyDescent="0.2">
      <c r="B13610" s="207"/>
      <c r="C13610" s="210"/>
      <c r="D13610" s="211"/>
      <c r="E13610" s="211"/>
      <c r="U13610" s="222"/>
    </row>
    <row r="13611" spans="2:21" x14ac:dyDescent="0.2">
      <c r="B13611" s="207"/>
      <c r="C13611" s="210"/>
      <c r="D13611" s="211"/>
      <c r="E13611" s="211"/>
      <c r="U13611" s="222"/>
    </row>
    <row r="13612" spans="2:21" x14ac:dyDescent="0.2">
      <c r="B13612" s="207"/>
      <c r="C13612" s="210"/>
      <c r="D13612" s="211"/>
      <c r="E13612" s="211"/>
      <c r="U13612" s="222"/>
    </row>
    <row r="13613" spans="2:21" x14ac:dyDescent="0.2">
      <c r="B13613" s="207"/>
      <c r="C13613" s="210"/>
      <c r="D13613" s="211"/>
      <c r="E13613" s="211"/>
      <c r="U13613" s="222"/>
    </row>
    <row r="13614" spans="2:21" x14ac:dyDescent="0.2">
      <c r="B13614" s="207"/>
      <c r="C13614" s="210"/>
      <c r="D13614" s="211"/>
      <c r="E13614" s="211"/>
      <c r="U13614" s="222"/>
    </row>
    <row r="13615" spans="2:21" x14ac:dyDescent="0.2">
      <c r="B13615" s="207"/>
      <c r="C13615" s="210"/>
      <c r="D13615" s="211"/>
      <c r="E13615" s="211"/>
      <c r="U13615" s="222"/>
    </row>
    <row r="13616" spans="2:21" x14ac:dyDescent="0.2">
      <c r="B13616" s="207"/>
      <c r="C13616" s="210"/>
      <c r="D13616" s="211"/>
      <c r="E13616" s="211"/>
      <c r="U13616" s="222"/>
    </row>
    <row r="13617" spans="2:21" x14ac:dyDescent="0.2">
      <c r="B13617" s="207"/>
      <c r="C13617" s="210"/>
      <c r="D13617" s="211"/>
      <c r="E13617" s="211"/>
      <c r="U13617" s="222"/>
    </row>
    <row r="13618" spans="2:21" x14ac:dyDescent="0.2">
      <c r="B13618" s="207"/>
      <c r="C13618" s="210"/>
      <c r="D13618" s="211"/>
      <c r="E13618" s="211"/>
      <c r="U13618" s="222"/>
    </row>
    <row r="13619" spans="2:21" x14ac:dyDescent="0.2">
      <c r="B13619" s="207"/>
      <c r="C13619" s="210"/>
      <c r="D13619" s="211"/>
      <c r="E13619" s="211"/>
      <c r="U13619" s="222"/>
    </row>
    <row r="13620" spans="2:21" x14ac:dyDescent="0.2">
      <c r="B13620" s="207"/>
      <c r="C13620" s="210"/>
      <c r="D13620" s="211"/>
      <c r="E13620" s="211"/>
      <c r="U13620" s="222"/>
    </row>
    <row r="13621" spans="2:21" x14ac:dyDescent="0.2">
      <c r="B13621" s="207"/>
      <c r="C13621" s="210"/>
      <c r="D13621" s="211"/>
      <c r="E13621" s="211"/>
      <c r="U13621" s="222"/>
    </row>
    <row r="13622" spans="2:21" x14ac:dyDescent="0.2">
      <c r="B13622" s="207"/>
      <c r="C13622" s="210"/>
      <c r="D13622" s="211"/>
      <c r="E13622" s="211"/>
      <c r="U13622" s="222"/>
    </row>
    <row r="13623" spans="2:21" x14ac:dyDescent="0.2">
      <c r="B13623" s="207"/>
      <c r="C13623" s="210"/>
      <c r="D13623" s="211"/>
      <c r="E13623" s="211"/>
      <c r="U13623" s="222"/>
    </row>
    <row r="13624" spans="2:21" x14ac:dyDescent="0.2">
      <c r="B13624" s="207"/>
      <c r="C13624" s="210"/>
      <c r="D13624" s="211"/>
      <c r="E13624" s="211"/>
      <c r="U13624" s="222"/>
    </row>
    <row r="13625" spans="2:21" x14ac:dyDescent="0.2">
      <c r="B13625" s="207"/>
      <c r="C13625" s="210"/>
      <c r="D13625" s="211"/>
      <c r="E13625" s="211"/>
      <c r="U13625" s="222"/>
    </row>
    <row r="13626" spans="2:21" x14ac:dyDescent="0.2">
      <c r="B13626" s="207"/>
      <c r="C13626" s="210"/>
      <c r="D13626" s="211"/>
      <c r="E13626" s="211"/>
      <c r="U13626" s="222"/>
    </row>
    <row r="13627" spans="2:21" x14ac:dyDescent="0.2">
      <c r="B13627" s="207"/>
      <c r="C13627" s="210"/>
      <c r="D13627" s="211"/>
      <c r="E13627" s="211"/>
      <c r="U13627" s="222"/>
    </row>
    <row r="13628" spans="2:21" x14ac:dyDescent="0.2">
      <c r="B13628" s="207"/>
      <c r="C13628" s="210"/>
      <c r="D13628" s="211"/>
      <c r="E13628" s="211"/>
      <c r="U13628" s="222"/>
    </row>
    <row r="13629" spans="2:21" x14ac:dyDescent="0.2">
      <c r="B13629" s="207"/>
      <c r="C13629" s="210"/>
      <c r="D13629" s="211"/>
      <c r="E13629" s="211"/>
      <c r="U13629" s="222"/>
    </row>
    <row r="13630" spans="2:21" x14ac:dyDescent="0.2">
      <c r="B13630" s="207"/>
      <c r="C13630" s="210"/>
      <c r="D13630" s="211"/>
      <c r="E13630" s="211"/>
      <c r="U13630" s="222"/>
    </row>
    <row r="13631" spans="2:21" x14ac:dyDescent="0.2">
      <c r="B13631" s="207"/>
      <c r="C13631" s="210"/>
      <c r="D13631" s="211"/>
      <c r="E13631" s="211"/>
      <c r="U13631" s="222"/>
    </row>
    <row r="13632" spans="2:21" x14ac:dyDescent="0.2">
      <c r="B13632" s="207"/>
      <c r="C13632" s="210"/>
      <c r="D13632" s="211"/>
      <c r="E13632" s="211"/>
      <c r="U13632" s="222"/>
    </row>
    <row r="13633" spans="2:21" x14ac:dyDescent="0.2">
      <c r="B13633" s="207"/>
      <c r="C13633" s="210"/>
      <c r="D13633" s="211"/>
      <c r="E13633" s="211"/>
      <c r="U13633" s="222"/>
    </row>
    <row r="13634" spans="2:21" x14ac:dyDescent="0.2">
      <c r="B13634" s="207"/>
      <c r="C13634" s="210"/>
      <c r="D13634" s="211"/>
      <c r="E13634" s="211"/>
      <c r="U13634" s="222"/>
    </row>
    <row r="13635" spans="2:21" x14ac:dyDescent="0.2">
      <c r="B13635" s="207"/>
      <c r="C13635" s="210"/>
      <c r="D13635" s="211"/>
      <c r="E13635" s="211"/>
      <c r="U13635" s="222"/>
    </row>
    <row r="13636" spans="2:21" x14ac:dyDescent="0.2">
      <c r="B13636" s="207"/>
      <c r="C13636" s="210"/>
      <c r="D13636" s="211"/>
      <c r="E13636" s="211"/>
      <c r="U13636" s="222"/>
    </row>
    <row r="13637" spans="2:21" x14ac:dyDescent="0.2">
      <c r="B13637" s="207"/>
      <c r="C13637" s="210"/>
      <c r="D13637" s="211"/>
      <c r="E13637" s="211"/>
      <c r="U13637" s="222"/>
    </row>
    <row r="13638" spans="2:21" x14ac:dyDescent="0.2">
      <c r="B13638" s="207"/>
      <c r="C13638" s="210"/>
      <c r="D13638" s="211"/>
      <c r="E13638" s="211"/>
      <c r="U13638" s="222"/>
    </row>
    <row r="13639" spans="2:21" x14ac:dyDescent="0.2">
      <c r="B13639" s="207"/>
      <c r="C13639" s="210"/>
      <c r="D13639" s="211"/>
      <c r="E13639" s="211"/>
      <c r="U13639" s="222"/>
    </row>
    <row r="13640" spans="2:21" x14ac:dyDescent="0.2">
      <c r="B13640" s="207"/>
      <c r="C13640" s="210"/>
      <c r="D13640" s="211"/>
      <c r="E13640" s="211"/>
      <c r="U13640" s="222"/>
    </row>
    <row r="13641" spans="2:21" x14ac:dyDescent="0.2">
      <c r="B13641" s="207"/>
      <c r="C13641" s="210"/>
      <c r="D13641" s="211"/>
      <c r="E13641" s="211"/>
      <c r="U13641" s="222"/>
    </row>
    <row r="13642" spans="2:21" x14ac:dyDescent="0.2">
      <c r="B13642" s="207"/>
      <c r="C13642" s="210"/>
      <c r="D13642" s="211"/>
      <c r="E13642" s="211"/>
      <c r="U13642" s="222"/>
    </row>
    <row r="13643" spans="2:21" x14ac:dyDescent="0.2">
      <c r="B13643" s="207"/>
      <c r="C13643" s="210"/>
      <c r="D13643" s="211"/>
      <c r="E13643" s="211"/>
      <c r="U13643" s="222"/>
    </row>
    <row r="13644" spans="2:21" x14ac:dyDescent="0.2">
      <c r="B13644" s="207"/>
      <c r="C13644" s="210"/>
      <c r="D13644" s="211"/>
      <c r="E13644" s="211"/>
      <c r="U13644" s="222"/>
    </row>
    <row r="13645" spans="2:21" x14ac:dyDescent="0.2">
      <c r="B13645" s="207"/>
      <c r="C13645" s="210"/>
      <c r="D13645" s="211"/>
      <c r="E13645" s="211"/>
      <c r="U13645" s="222"/>
    </row>
    <row r="13646" spans="2:21" x14ac:dyDescent="0.2">
      <c r="B13646" s="207"/>
      <c r="C13646" s="210"/>
      <c r="D13646" s="211"/>
      <c r="E13646" s="211"/>
      <c r="U13646" s="222"/>
    </row>
    <row r="13647" spans="2:21" x14ac:dyDescent="0.2">
      <c r="B13647" s="207"/>
      <c r="C13647" s="210"/>
      <c r="D13647" s="211"/>
      <c r="E13647" s="211"/>
      <c r="U13647" s="222"/>
    </row>
    <row r="13648" spans="2:21" x14ac:dyDescent="0.2">
      <c r="B13648" s="207"/>
      <c r="C13648" s="210"/>
      <c r="D13648" s="211"/>
      <c r="E13648" s="211"/>
      <c r="U13648" s="222"/>
    </row>
    <row r="13649" spans="2:21" x14ac:dyDescent="0.2">
      <c r="B13649" s="207"/>
      <c r="C13649" s="210"/>
      <c r="D13649" s="211"/>
      <c r="E13649" s="211"/>
      <c r="U13649" s="222"/>
    </row>
    <row r="13650" spans="2:21" x14ac:dyDescent="0.2">
      <c r="B13650" s="207"/>
      <c r="C13650" s="210"/>
      <c r="D13650" s="211"/>
      <c r="E13650" s="211"/>
      <c r="U13650" s="222"/>
    </row>
    <row r="13651" spans="2:21" x14ac:dyDescent="0.2">
      <c r="B13651" s="207"/>
      <c r="C13651" s="210"/>
      <c r="D13651" s="211"/>
      <c r="E13651" s="211"/>
      <c r="U13651" s="222"/>
    </row>
    <row r="13652" spans="2:21" x14ac:dyDescent="0.2">
      <c r="B13652" s="207"/>
      <c r="C13652" s="210"/>
      <c r="D13652" s="211"/>
      <c r="E13652" s="211"/>
      <c r="U13652" s="222"/>
    </row>
    <row r="13653" spans="2:21" x14ac:dyDescent="0.2">
      <c r="B13653" s="207"/>
      <c r="C13653" s="210"/>
      <c r="D13653" s="211"/>
      <c r="E13653" s="211"/>
      <c r="U13653" s="222"/>
    </row>
    <row r="13654" spans="2:21" x14ac:dyDescent="0.2">
      <c r="B13654" s="207"/>
      <c r="C13654" s="210"/>
      <c r="D13654" s="211"/>
      <c r="E13654" s="211"/>
      <c r="U13654" s="222"/>
    </row>
    <row r="13655" spans="2:21" x14ac:dyDescent="0.2">
      <c r="B13655" s="207"/>
      <c r="C13655" s="210"/>
      <c r="D13655" s="211"/>
      <c r="E13655" s="211"/>
      <c r="U13655" s="222"/>
    </row>
    <row r="13656" spans="2:21" x14ac:dyDescent="0.2">
      <c r="B13656" s="207"/>
      <c r="C13656" s="210"/>
      <c r="D13656" s="211"/>
      <c r="E13656" s="211"/>
      <c r="U13656" s="222"/>
    </row>
    <row r="13657" spans="2:21" x14ac:dyDescent="0.2">
      <c r="B13657" s="207"/>
      <c r="C13657" s="210"/>
      <c r="D13657" s="211"/>
      <c r="E13657" s="211"/>
      <c r="U13657" s="222"/>
    </row>
    <row r="13658" spans="2:21" x14ac:dyDescent="0.2">
      <c r="B13658" s="207"/>
      <c r="C13658" s="210"/>
      <c r="D13658" s="211"/>
      <c r="E13658" s="211"/>
      <c r="U13658" s="222"/>
    </row>
    <row r="13659" spans="2:21" x14ac:dyDescent="0.2">
      <c r="B13659" s="207"/>
      <c r="C13659" s="210"/>
      <c r="D13659" s="211"/>
      <c r="E13659" s="211"/>
      <c r="U13659" s="222"/>
    </row>
    <row r="13660" spans="2:21" x14ac:dyDescent="0.2">
      <c r="B13660" s="207"/>
      <c r="C13660" s="210"/>
      <c r="D13660" s="211"/>
      <c r="E13660" s="211"/>
      <c r="U13660" s="222"/>
    </row>
    <row r="13661" spans="2:21" x14ac:dyDescent="0.2">
      <c r="B13661" s="207"/>
      <c r="C13661" s="210"/>
      <c r="D13661" s="211"/>
      <c r="E13661" s="211"/>
      <c r="U13661" s="222"/>
    </row>
    <row r="13662" spans="2:21" x14ac:dyDescent="0.2">
      <c r="B13662" s="207"/>
      <c r="C13662" s="210"/>
      <c r="D13662" s="211"/>
      <c r="E13662" s="211"/>
      <c r="U13662" s="222"/>
    </row>
    <row r="13663" spans="2:21" x14ac:dyDescent="0.2">
      <c r="B13663" s="207"/>
      <c r="C13663" s="210"/>
      <c r="D13663" s="211"/>
      <c r="E13663" s="211"/>
      <c r="U13663" s="222"/>
    </row>
    <row r="13664" spans="2:21" x14ac:dyDescent="0.2">
      <c r="B13664" s="207"/>
      <c r="C13664" s="210"/>
      <c r="D13664" s="211"/>
      <c r="E13664" s="211"/>
      <c r="U13664" s="222"/>
    </row>
    <row r="13665" spans="2:21" x14ac:dyDescent="0.2">
      <c r="B13665" s="207"/>
      <c r="C13665" s="210"/>
      <c r="D13665" s="211"/>
      <c r="E13665" s="211"/>
      <c r="U13665" s="222"/>
    </row>
    <row r="13666" spans="2:21" x14ac:dyDescent="0.2">
      <c r="B13666" s="207"/>
      <c r="C13666" s="210"/>
      <c r="D13666" s="211"/>
      <c r="E13666" s="211"/>
      <c r="U13666" s="222"/>
    </row>
    <row r="13667" spans="2:21" x14ac:dyDescent="0.2">
      <c r="B13667" s="207"/>
      <c r="C13667" s="210"/>
      <c r="D13667" s="211"/>
      <c r="E13667" s="211"/>
      <c r="U13667" s="222"/>
    </row>
    <row r="13668" spans="2:21" x14ac:dyDescent="0.2">
      <c r="B13668" s="207"/>
      <c r="C13668" s="210"/>
      <c r="D13668" s="211"/>
      <c r="E13668" s="211"/>
      <c r="U13668" s="222"/>
    </row>
    <row r="13669" spans="2:21" x14ac:dyDescent="0.2">
      <c r="B13669" s="207"/>
      <c r="C13669" s="210"/>
      <c r="D13669" s="211"/>
      <c r="E13669" s="211"/>
      <c r="U13669" s="222"/>
    </row>
    <row r="13670" spans="2:21" x14ac:dyDescent="0.2">
      <c r="B13670" s="207"/>
      <c r="C13670" s="210"/>
      <c r="D13670" s="211"/>
      <c r="E13670" s="211"/>
      <c r="U13670" s="222"/>
    </row>
    <row r="13671" spans="2:21" x14ac:dyDescent="0.2">
      <c r="B13671" s="207"/>
      <c r="C13671" s="210"/>
      <c r="D13671" s="211"/>
      <c r="E13671" s="211"/>
      <c r="U13671" s="222"/>
    </row>
    <row r="13672" spans="2:21" x14ac:dyDescent="0.2">
      <c r="B13672" s="207"/>
      <c r="C13672" s="210"/>
      <c r="D13672" s="211"/>
      <c r="E13672" s="211"/>
      <c r="U13672" s="222"/>
    </row>
    <row r="13673" spans="2:21" x14ac:dyDescent="0.2">
      <c r="B13673" s="207"/>
      <c r="C13673" s="210"/>
      <c r="D13673" s="211"/>
      <c r="E13673" s="211"/>
      <c r="U13673" s="222"/>
    </row>
    <row r="13674" spans="2:21" x14ac:dyDescent="0.2">
      <c r="B13674" s="207"/>
      <c r="C13674" s="210"/>
      <c r="D13674" s="211"/>
      <c r="E13674" s="211"/>
      <c r="U13674" s="222"/>
    </row>
    <row r="13675" spans="2:21" x14ac:dyDescent="0.2">
      <c r="B13675" s="207"/>
      <c r="C13675" s="210"/>
      <c r="D13675" s="211"/>
      <c r="E13675" s="211"/>
      <c r="U13675" s="222"/>
    </row>
    <row r="13676" spans="2:21" x14ac:dyDescent="0.2">
      <c r="B13676" s="207"/>
      <c r="C13676" s="210"/>
      <c r="D13676" s="211"/>
      <c r="E13676" s="211"/>
      <c r="U13676" s="222"/>
    </row>
    <row r="13677" spans="2:21" x14ac:dyDescent="0.2">
      <c r="B13677" s="207"/>
      <c r="C13677" s="210"/>
      <c r="D13677" s="211"/>
      <c r="E13677" s="211"/>
      <c r="U13677" s="222"/>
    </row>
    <row r="13678" spans="2:21" x14ac:dyDescent="0.2">
      <c r="B13678" s="207"/>
      <c r="C13678" s="210"/>
      <c r="D13678" s="211"/>
      <c r="E13678" s="211"/>
      <c r="U13678" s="222"/>
    </row>
    <row r="13679" spans="2:21" x14ac:dyDescent="0.2">
      <c r="B13679" s="207"/>
      <c r="C13679" s="210"/>
      <c r="D13679" s="211"/>
      <c r="E13679" s="211"/>
      <c r="U13679" s="222"/>
    </row>
    <row r="13680" spans="2:21" x14ac:dyDescent="0.2">
      <c r="B13680" s="207"/>
      <c r="C13680" s="210"/>
      <c r="D13680" s="211"/>
      <c r="E13680" s="211"/>
      <c r="U13680" s="222"/>
    </row>
    <row r="13681" spans="2:21" x14ac:dyDescent="0.2">
      <c r="B13681" s="207"/>
      <c r="C13681" s="210"/>
      <c r="D13681" s="211"/>
      <c r="E13681" s="211"/>
      <c r="U13681" s="222"/>
    </row>
    <row r="13682" spans="2:21" x14ac:dyDescent="0.2">
      <c r="B13682" s="207"/>
      <c r="C13682" s="210"/>
      <c r="D13682" s="211"/>
      <c r="E13682" s="211"/>
      <c r="U13682" s="222"/>
    </row>
    <row r="13683" spans="2:21" x14ac:dyDescent="0.2">
      <c r="B13683" s="207"/>
      <c r="C13683" s="210"/>
      <c r="D13683" s="211"/>
      <c r="E13683" s="211"/>
      <c r="U13683" s="222"/>
    </row>
    <row r="13684" spans="2:21" x14ac:dyDescent="0.2">
      <c r="B13684" s="207"/>
      <c r="C13684" s="210"/>
      <c r="D13684" s="211"/>
      <c r="E13684" s="211"/>
      <c r="U13684" s="222"/>
    </row>
    <row r="13685" spans="2:21" x14ac:dyDescent="0.2">
      <c r="B13685" s="207"/>
      <c r="C13685" s="210"/>
      <c r="D13685" s="211"/>
      <c r="E13685" s="211"/>
      <c r="U13685" s="222"/>
    </row>
    <row r="13686" spans="2:21" x14ac:dyDescent="0.2">
      <c r="B13686" s="207"/>
      <c r="C13686" s="210"/>
      <c r="D13686" s="211"/>
      <c r="E13686" s="211"/>
      <c r="U13686" s="222"/>
    </row>
    <row r="13687" spans="2:21" x14ac:dyDescent="0.2">
      <c r="B13687" s="207"/>
      <c r="C13687" s="210"/>
      <c r="D13687" s="211"/>
      <c r="E13687" s="211"/>
      <c r="U13687" s="222"/>
    </row>
    <row r="13688" spans="2:21" x14ac:dyDescent="0.2">
      <c r="B13688" s="207"/>
      <c r="C13688" s="210"/>
      <c r="D13688" s="211"/>
      <c r="E13688" s="211"/>
      <c r="U13688" s="222"/>
    </row>
    <row r="13689" spans="2:21" x14ac:dyDescent="0.2">
      <c r="B13689" s="207"/>
      <c r="C13689" s="210"/>
      <c r="D13689" s="211"/>
      <c r="E13689" s="211"/>
      <c r="U13689" s="222"/>
    </row>
    <row r="13690" spans="2:21" x14ac:dyDescent="0.2">
      <c r="B13690" s="207"/>
      <c r="C13690" s="210"/>
      <c r="D13690" s="211"/>
      <c r="E13690" s="211"/>
      <c r="U13690" s="222"/>
    </row>
    <row r="13691" spans="2:21" x14ac:dyDescent="0.2">
      <c r="B13691" s="207"/>
      <c r="C13691" s="210"/>
      <c r="D13691" s="211"/>
      <c r="E13691" s="211"/>
      <c r="U13691" s="222"/>
    </row>
    <row r="13692" spans="2:21" x14ac:dyDescent="0.2">
      <c r="B13692" s="207"/>
      <c r="C13692" s="210"/>
      <c r="D13692" s="211"/>
      <c r="E13692" s="211"/>
      <c r="U13692" s="222"/>
    </row>
    <row r="13693" spans="2:21" x14ac:dyDescent="0.2">
      <c r="B13693" s="207"/>
      <c r="C13693" s="210"/>
      <c r="D13693" s="211"/>
      <c r="E13693" s="211"/>
      <c r="U13693" s="222"/>
    </row>
    <row r="13694" spans="2:21" x14ac:dyDescent="0.2">
      <c r="B13694" s="207"/>
      <c r="C13694" s="210"/>
      <c r="D13694" s="211"/>
      <c r="E13694" s="211"/>
      <c r="U13694" s="222"/>
    </row>
    <row r="13695" spans="2:21" x14ac:dyDescent="0.2">
      <c r="B13695" s="207"/>
      <c r="C13695" s="210"/>
      <c r="D13695" s="211"/>
      <c r="E13695" s="211"/>
      <c r="U13695" s="222"/>
    </row>
    <row r="13696" spans="2:21" x14ac:dyDescent="0.2">
      <c r="B13696" s="207"/>
      <c r="C13696" s="210"/>
      <c r="D13696" s="211"/>
      <c r="E13696" s="211"/>
      <c r="U13696" s="222"/>
    </row>
    <row r="13697" spans="2:21" x14ac:dyDescent="0.2">
      <c r="B13697" s="207"/>
      <c r="C13697" s="210"/>
      <c r="D13697" s="211"/>
      <c r="E13697" s="211"/>
      <c r="U13697" s="222"/>
    </row>
    <row r="13698" spans="2:21" x14ac:dyDescent="0.2">
      <c r="B13698" s="207"/>
      <c r="C13698" s="210"/>
      <c r="D13698" s="211"/>
      <c r="E13698" s="211"/>
      <c r="U13698" s="222"/>
    </row>
    <row r="13699" spans="2:21" x14ac:dyDescent="0.2">
      <c r="B13699" s="207"/>
      <c r="C13699" s="210"/>
      <c r="D13699" s="211"/>
      <c r="E13699" s="211"/>
      <c r="U13699" s="222"/>
    </row>
    <row r="13700" spans="2:21" x14ac:dyDescent="0.2">
      <c r="B13700" s="207"/>
      <c r="C13700" s="210"/>
      <c r="D13700" s="211"/>
      <c r="E13700" s="211"/>
      <c r="U13700" s="222"/>
    </row>
    <row r="13701" spans="2:21" x14ac:dyDescent="0.2">
      <c r="B13701" s="207"/>
      <c r="C13701" s="210"/>
      <c r="D13701" s="211"/>
      <c r="E13701" s="211"/>
      <c r="U13701" s="222"/>
    </row>
    <row r="13702" spans="2:21" x14ac:dyDescent="0.2">
      <c r="B13702" s="207"/>
      <c r="C13702" s="210"/>
      <c r="D13702" s="211"/>
      <c r="E13702" s="211"/>
      <c r="U13702" s="222"/>
    </row>
    <row r="13703" spans="2:21" x14ac:dyDescent="0.2">
      <c r="B13703" s="207"/>
      <c r="C13703" s="210"/>
      <c r="D13703" s="211"/>
      <c r="E13703" s="211"/>
      <c r="U13703" s="222"/>
    </row>
    <row r="13704" spans="2:21" x14ac:dyDescent="0.2">
      <c r="B13704" s="207"/>
      <c r="C13704" s="210"/>
      <c r="D13704" s="211"/>
      <c r="E13704" s="211"/>
      <c r="U13704" s="222"/>
    </row>
    <row r="13705" spans="2:21" x14ac:dyDescent="0.2">
      <c r="B13705" s="207"/>
      <c r="C13705" s="210"/>
      <c r="D13705" s="211"/>
      <c r="E13705" s="211"/>
      <c r="U13705" s="222"/>
    </row>
    <row r="13706" spans="2:21" x14ac:dyDescent="0.2">
      <c r="B13706" s="207"/>
      <c r="C13706" s="210"/>
      <c r="D13706" s="211"/>
      <c r="E13706" s="211"/>
      <c r="U13706" s="222"/>
    </row>
    <row r="13707" spans="2:21" x14ac:dyDescent="0.2">
      <c r="B13707" s="207"/>
      <c r="C13707" s="210"/>
      <c r="D13707" s="211"/>
      <c r="E13707" s="211"/>
      <c r="U13707" s="222"/>
    </row>
    <row r="13708" spans="2:21" x14ac:dyDescent="0.2">
      <c r="B13708" s="207"/>
      <c r="C13708" s="210"/>
      <c r="D13708" s="211"/>
      <c r="E13708" s="211"/>
      <c r="U13708" s="222"/>
    </row>
    <row r="13709" spans="2:21" x14ac:dyDescent="0.2">
      <c r="B13709" s="207"/>
      <c r="C13709" s="210"/>
      <c r="D13709" s="211"/>
      <c r="E13709" s="211"/>
      <c r="U13709" s="222"/>
    </row>
    <row r="13710" spans="2:21" x14ac:dyDescent="0.2">
      <c r="B13710" s="207"/>
      <c r="C13710" s="210"/>
      <c r="D13710" s="211"/>
      <c r="E13710" s="211"/>
      <c r="U13710" s="222"/>
    </row>
    <row r="13711" spans="2:21" x14ac:dyDescent="0.2">
      <c r="B13711" s="207"/>
      <c r="C13711" s="210"/>
      <c r="D13711" s="211"/>
      <c r="E13711" s="211"/>
      <c r="U13711" s="222"/>
    </row>
    <row r="13712" spans="2:21" x14ac:dyDescent="0.2">
      <c r="B13712" s="207"/>
      <c r="C13712" s="210"/>
      <c r="D13712" s="211"/>
      <c r="E13712" s="211"/>
      <c r="U13712" s="222"/>
    </row>
    <row r="13713" spans="2:21" x14ac:dyDescent="0.2">
      <c r="B13713" s="207"/>
      <c r="C13713" s="210"/>
      <c r="D13713" s="211"/>
      <c r="E13713" s="211"/>
      <c r="U13713" s="222"/>
    </row>
    <row r="13714" spans="2:21" x14ac:dyDescent="0.2">
      <c r="B13714" s="207"/>
      <c r="C13714" s="210"/>
      <c r="D13714" s="211"/>
      <c r="E13714" s="211"/>
      <c r="U13714" s="222"/>
    </row>
    <row r="13715" spans="2:21" x14ac:dyDescent="0.2">
      <c r="B13715" s="207"/>
      <c r="C13715" s="210"/>
      <c r="D13715" s="211"/>
      <c r="E13715" s="211"/>
      <c r="U13715" s="222"/>
    </row>
    <row r="13716" spans="2:21" x14ac:dyDescent="0.2">
      <c r="B13716" s="207"/>
      <c r="C13716" s="210"/>
      <c r="D13716" s="211"/>
      <c r="E13716" s="211"/>
      <c r="U13716" s="222"/>
    </row>
    <row r="13717" spans="2:21" x14ac:dyDescent="0.2">
      <c r="B13717" s="207"/>
      <c r="C13717" s="210"/>
      <c r="D13717" s="211"/>
      <c r="E13717" s="211"/>
      <c r="U13717" s="222"/>
    </row>
    <row r="13718" spans="2:21" x14ac:dyDescent="0.2">
      <c r="B13718" s="207"/>
      <c r="C13718" s="210"/>
      <c r="D13718" s="211"/>
      <c r="E13718" s="211"/>
      <c r="U13718" s="222"/>
    </row>
    <row r="13719" spans="2:21" x14ac:dyDescent="0.2">
      <c r="B13719" s="207"/>
      <c r="C13719" s="210"/>
      <c r="D13719" s="211"/>
      <c r="E13719" s="211"/>
      <c r="U13719" s="222"/>
    </row>
    <row r="13720" spans="2:21" x14ac:dyDescent="0.2">
      <c r="B13720" s="207"/>
      <c r="C13720" s="210"/>
      <c r="D13720" s="211"/>
      <c r="E13720" s="211"/>
      <c r="U13720" s="222"/>
    </row>
    <row r="13721" spans="2:21" x14ac:dyDescent="0.2">
      <c r="B13721" s="207"/>
      <c r="C13721" s="210"/>
      <c r="D13721" s="211"/>
      <c r="E13721" s="211"/>
      <c r="U13721" s="222"/>
    </row>
    <row r="13722" spans="2:21" x14ac:dyDescent="0.2">
      <c r="B13722" s="207"/>
      <c r="C13722" s="210"/>
      <c r="D13722" s="211"/>
      <c r="E13722" s="211"/>
      <c r="U13722" s="222"/>
    </row>
    <row r="13723" spans="2:21" x14ac:dyDescent="0.2">
      <c r="B13723" s="207"/>
      <c r="C13723" s="210"/>
      <c r="D13723" s="211"/>
      <c r="E13723" s="211"/>
      <c r="U13723" s="222"/>
    </row>
    <row r="13724" spans="2:21" x14ac:dyDescent="0.2">
      <c r="B13724" s="207"/>
      <c r="C13724" s="210"/>
      <c r="D13724" s="211"/>
      <c r="E13724" s="211"/>
      <c r="U13724" s="222"/>
    </row>
    <row r="13725" spans="2:21" x14ac:dyDescent="0.2">
      <c r="B13725" s="207"/>
      <c r="C13725" s="210"/>
      <c r="D13725" s="211"/>
      <c r="E13725" s="211"/>
      <c r="U13725" s="222"/>
    </row>
    <row r="13726" spans="2:21" x14ac:dyDescent="0.2">
      <c r="B13726" s="207"/>
      <c r="C13726" s="210"/>
      <c r="D13726" s="211"/>
      <c r="E13726" s="211"/>
      <c r="U13726" s="222"/>
    </row>
    <row r="13727" spans="2:21" x14ac:dyDescent="0.2">
      <c r="B13727" s="207"/>
      <c r="C13727" s="210"/>
      <c r="D13727" s="211"/>
      <c r="E13727" s="211"/>
      <c r="U13727" s="222"/>
    </row>
    <row r="13728" spans="2:21" x14ac:dyDescent="0.2">
      <c r="B13728" s="207"/>
      <c r="C13728" s="210"/>
      <c r="D13728" s="211"/>
      <c r="E13728" s="211"/>
      <c r="U13728" s="222"/>
    </row>
    <row r="13729" spans="2:21" x14ac:dyDescent="0.2">
      <c r="B13729" s="207"/>
      <c r="C13729" s="210"/>
      <c r="D13729" s="211"/>
      <c r="E13729" s="211"/>
      <c r="U13729" s="222"/>
    </row>
    <row r="13730" spans="2:21" x14ac:dyDescent="0.2">
      <c r="B13730" s="207"/>
      <c r="C13730" s="210"/>
      <c r="D13730" s="211"/>
      <c r="E13730" s="211"/>
      <c r="U13730" s="222"/>
    </row>
    <row r="13731" spans="2:21" x14ac:dyDescent="0.2">
      <c r="B13731" s="207"/>
      <c r="C13731" s="210"/>
      <c r="D13731" s="211"/>
      <c r="E13731" s="211"/>
      <c r="U13731" s="222"/>
    </row>
    <row r="13732" spans="2:21" x14ac:dyDescent="0.2">
      <c r="B13732" s="207"/>
      <c r="C13732" s="210"/>
      <c r="D13732" s="211"/>
      <c r="E13732" s="211"/>
      <c r="U13732" s="222"/>
    </row>
    <row r="13733" spans="2:21" x14ac:dyDescent="0.2">
      <c r="B13733" s="207"/>
      <c r="C13733" s="210"/>
      <c r="D13733" s="211"/>
      <c r="E13733" s="211"/>
      <c r="U13733" s="222"/>
    </row>
    <row r="13734" spans="2:21" x14ac:dyDescent="0.2">
      <c r="B13734" s="207"/>
      <c r="C13734" s="210"/>
      <c r="D13734" s="211"/>
      <c r="E13734" s="211"/>
      <c r="U13734" s="222"/>
    </row>
    <row r="13735" spans="2:21" x14ac:dyDescent="0.2">
      <c r="B13735" s="207"/>
      <c r="C13735" s="210"/>
      <c r="D13735" s="211"/>
      <c r="E13735" s="211"/>
      <c r="U13735" s="222"/>
    </row>
    <row r="13736" spans="2:21" x14ac:dyDescent="0.2">
      <c r="B13736" s="207"/>
      <c r="C13736" s="210"/>
      <c r="D13736" s="211"/>
      <c r="E13736" s="211"/>
      <c r="U13736" s="222"/>
    </row>
    <row r="13737" spans="2:21" x14ac:dyDescent="0.2">
      <c r="B13737" s="207"/>
      <c r="C13737" s="210"/>
      <c r="D13737" s="211"/>
      <c r="E13737" s="211"/>
      <c r="U13737" s="222"/>
    </row>
    <row r="13738" spans="2:21" x14ac:dyDescent="0.2">
      <c r="B13738" s="207"/>
      <c r="C13738" s="210"/>
      <c r="D13738" s="211"/>
      <c r="E13738" s="211"/>
      <c r="U13738" s="222"/>
    </row>
    <row r="13739" spans="2:21" x14ac:dyDescent="0.2">
      <c r="B13739" s="207"/>
      <c r="C13739" s="210"/>
      <c r="D13739" s="211"/>
      <c r="E13739" s="211"/>
      <c r="U13739" s="222"/>
    </row>
    <row r="13740" spans="2:21" x14ac:dyDescent="0.2">
      <c r="B13740" s="207"/>
      <c r="C13740" s="210"/>
      <c r="D13740" s="211"/>
      <c r="E13740" s="211"/>
      <c r="U13740" s="222"/>
    </row>
    <row r="13741" spans="2:21" x14ac:dyDescent="0.2">
      <c r="B13741" s="207"/>
      <c r="C13741" s="210"/>
      <c r="D13741" s="211"/>
      <c r="E13741" s="211"/>
      <c r="U13741" s="222"/>
    </row>
    <row r="13742" spans="2:21" x14ac:dyDescent="0.2">
      <c r="B13742" s="207"/>
      <c r="C13742" s="210"/>
      <c r="D13742" s="211"/>
      <c r="E13742" s="211"/>
      <c r="U13742" s="222"/>
    </row>
    <row r="13743" spans="2:21" x14ac:dyDescent="0.2">
      <c r="B13743" s="207"/>
      <c r="C13743" s="210"/>
      <c r="D13743" s="211"/>
      <c r="E13743" s="211"/>
      <c r="U13743" s="222"/>
    </row>
    <row r="13744" spans="2:21" x14ac:dyDescent="0.2">
      <c r="B13744" s="207"/>
      <c r="C13744" s="210"/>
      <c r="D13744" s="211"/>
      <c r="E13744" s="211"/>
      <c r="U13744" s="222"/>
    </row>
    <row r="13745" spans="2:21" x14ac:dyDescent="0.2">
      <c r="B13745" s="207"/>
      <c r="C13745" s="210"/>
      <c r="D13745" s="211"/>
      <c r="E13745" s="211"/>
      <c r="U13745" s="222"/>
    </row>
    <row r="13746" spans="2:21" x14ac:dyDescent="0.2">
      <c r="B13746" s="207"/>
      <c r="C13746" s="210"/>
      <c r="D13746" s="211"/>
      <c r="E13746" s="211"/>
      <c r="U13746" s="222"/>
    </row>
    <row r="13747" spans="2:21" x14ac:dyDescent="0.2">
      <c r="B13747" s="207"/>
      <c r="C13747" s="210"/>
      <c r="D13747" s="211"/>
      <c r="E13747" s="211"/>
      <c r="U13747" s="222"/>
    </row>
    <row r="13748" spans="2:21" x14ac:dyDescent="0.2">
      <c r="B13748" s="207"/>
      <c r="C13748" s="210"/>
      <c r="D13748" s="211"/>
      <c r="E13748" s="211"/>
      <c r="U13748" s="222"/>
    </row>
    <row r="13749" spans="2:21" x14ac:dyDescent="0.2">
      <c r="B13749" s="207"/>
      <c r="C13749" s="210"/>
      <c r="D13749" s="211"/>
      <c r="E13749" s="211"/>
      <c r="U13749" s="222"/>
    </row>
    <row r="13750" spans="2:21" x14ac:dyDescent="0.2">
      <c r="B13750" s="207"/>
      <c r="C13750" s="210"/>
      <c r="D13750" s="211"/>
      <c r="E13750" s="211"/>
      <c r="U13750" s="222"/>
    </row>
    <row r="13751" spans="2:21" x14ac:dyDescent="0.2">
      <c r="B13751" s="207"/>
      <c r="C13751" s="210"/>
      <c r="D13751" s="211"/>
      <c r="E13751" s="211"/>
      <c r="U13751" s="222"/>
    </row>
    <row r="13752" spans="2:21" x14ac:dyDescent="0.2">
      <c r="B13752" s="207"/>
      <c r="C13752" s="210"/>
      <c r="D13752" s="211"/>
      <c r="E13752" s="211"/>
      <c r="U13752" s="222"/>
    </row>
    <row r="13753" spans="2:21" x14ac:dyDescent="0.2">
      <c r="B13753" s="207"/>
      <c r="C13753" s="210"/>
      <c r="D13753" s="211"/>
      <c r="E13753" s="211"/>
      <c r="U13753" s="222"/>
    </row>
    <row r="13754" spans="2:21" x14ac:dyDescent="0.2">
      <c r="B13754" s="207"/>
      <c r="C13754" s="210"/>
      <c r="D13754" s="211"/>
      <c r="E13754" s="211"/>
      <c r="U13754" s="222"/>
    </row>
    <row r="13755" spans="2:21" x14ac:dyDescent="0.2">
      <c r="B13755" s="207"/>
      <c r="C13755" s="210"/>
      <c r="D13755" s="211"/>
      <c r="E13755" s="211"/>
      <c r="U13755" s="222"/>
    </row>
    <row r="13756" spans="2:21" x14ac:dyDescent="0.2">
      <c r="B13756" s="207"/>
      <c r="C13756" s="210"/>
      <c r="D13756" s="211"/>
      <c r="E13756" s="211"/>
      <c r="U13756" s="222"/>
    </row>
    <row r="13757" spans="2:21" x14ac:dyDescent="0.2">
      <c r="B13757" s="207"/>
      <c r="C13757" s="210"/>
      <c r="D13757" s="211"/>
      <c r="E13757" s="211"/>
      <c r="U13757" s="222"/>
    </row>
    <row r="13758" spans="2:21" x14ac:dyDescent="0.2">
      <c r="B13758" s="207"/>
      <c r="C13758" s="210"/>
      <c r="D13758" s="211"/>
      <c r="E13758" s="211"/>
      <c r="U13758" s="222"/>
    </row>
    <row r="13759" spans="2:21" x14ac:dyDescent="0.2">
      <c r="B13759" s="207"/>
      <c r="C13759" s="210"/>
      <c r="D13759" s="211"/>
      <c r="E13759" s="211"/>
      <c r="U13759" s="222"/>
    </row>
    <row r="13760" spans="2:21" x14ac:dyDescent="0.2">
      <c r="B13760" s="207"/>
      <c r="C13760" s="210"/>
      <c r="D13760" s="211"/>
      <c r="E13760" s="211"/>
      <c r="U13760" s="222"/>
    </row>
    <row r="13761" spans="2:21" x14ac:dyDescent="0.2">
      <c r="B13761" s="207"/>
      <c r="C13761" s="210"/>
      <c r="D13761" s="211"/>
      <c r="E13761" s="211"/>
      <c r="U13761" s="222"/>
    </row>
    <row r="13762" spans="2:21" x14ac:dyDescent="0.2">
      <c r="B13762" s="207"/>
      <c r="C13762" s="210"/>
      <c r="D13762" s="211"/>
      <c r="E13762" s="211"/>
      <c r="U13762" s="222"/>
    </row>
    <row r="13763" spans="2:21" x14ac:dyDescent="0.2">
      <c r="B13763" s="207"/>
      <c r="C13763" s="210"/>
      <c r="D13763" s="211"/>
      <c r="E13763" s="211"/>
      <c r="U13763" s="222"/>
    </row>
    <row r="13764" spans="2:21" x14ac:dyDescent="0.2">
      <c r="B13764" s="207"/>
      <c r="C13764" s="210"/>
      <c r="D13764" s="211"/>
      <c r="E13764" s="211"/>
      <c r="U13764" s="222"/>
    </row>
    <row r="13765" spans="2:21" x14ac:dyDescent="0.2">
      <c r="B13765" s="207"/>
      <c r="C13765" s="210"/>
      <c r="D13765" s="211"/>
      <c r="E13765" s="211"/>
      <c r="U13765" s="222"/>
    </row>
    <row r="13766" spans="2:21" x14ac:dyDescent="0.2">
      <c r="B13766" s="207"/>
      <c r="C13766" s="210"/>
      <c r="D13766" s="211"/>
      <c r="E13766" s="211"/>
      <c r="U13766" s="222"/>
    </row>
    <row r="13767" spans="2:21" x14ac:dyDescent="0.2">
      <c r="B13767" s="207"/>
      <c r="C13767" s="210"/>
      <c r="D13767" s="211"/>
      <c r="E13767" s="211"/>
      <c r="U13767" s="222"/>
    </row>
    <row r="13768" spans="2:21" x14ac:dyDescent="0.2">
      <c r="B13768" s="207"/>
      <c r="C13768" s="210"/>
      <c r="D13768" s="211"/>
      <c r="E13768" s="211"/>
      <c r="U13768" s="222"/>
    </row>
    <row r="13769" spans="2:21" x14ac:dyDescent="0.2">
      <c r="B13769" s="207"/>
      <c r="C13769" s="210"/>
      <c r="D13769" s="211"/>
      <c r="E13769" s="211"/>
      <c r="U13769" s="222"/>
    </row>
    <row r="13770" spans="2:21" x14ac:dyDescent="0.2">
      <c r="B13770" s="207"/>
      <c r="C13770" s="210"/>
      <c r="D13770" s="211"/>
      <c r="E13770" s="211"/>
      <c r="U13770" s="222"/>
    </row>
    <row r="13771" spans="2:21" x14ac:dyDescent="0.2">
      <c r="B13771" s="207"/>
      <c r="C13771" s="210"/>
      <c r="D13771" s="211"/>
      <c r="E13771" s="211"/>
      <c r="U13771" s="222"/>
    </row>
    <row r="13772" spans="2:21" x14ac:dyDescent="0.2">
      <c r="B13772" s="207"/>
      <c r="C13772" s="210"/>
      <c r="D13772" s="211"/>
      <c r="E13772" s="211"/>
      <c r="U13772" s="222"/>
    </row>
    <row r="13773" spans="2:21" x14ac:dyDescent="0.2">
      <c r="B13773" s="207"/>
      <c r="C13773" s="210"/>
      <c r="D13773" s="211"/>
      <c r="E13773" s="211"/>
      <c r="U13773" s="222"/>
    </row>
    <row r="13774" spans="2:21" x14ac:dyDescent="0.2">
      <c r="B13774" s="207"/>
      <c r="C13774" s="210"/>
      <c r="D13774" s="211"/>
      <c r="E13774" s="211"/>
      <c r="U13774" s="222"/>
    </row>
    <row r="13775" spans="2:21" x14ac:dyDescent="0.2">
      <c r="B13775" s="207"/>
      <c r="C13775" s="210"/>
      <c r="D13775" s="211"/>
      <c r="E13775" s="211"/>
      <c r="U13775" s="222"/>
    </row>
    <row r="13776" spans="2:21" x14ac:dyDescent="0.2">
      <c r="B13776" s="207"/>
      <c r="C13776" s="210"/>
      <c r="D13776" s="211"/>
      <c r="E13776" s="211"/>
      <c r="U13776" s="222"/>
    </row>
    <row r="13777" spans="2:21" x14ac:dyDescent="0.2">
      <c r="B13777" s="207"/>
      <c r="C13777" s="210"/>
      <c r="D13777" s="211"/>
      <c r="E13777" s="211"/>
      <c r="U13777" s="222"/>
    </row>
    <row r="13778" spans="2:21" x14ac:dyDescent="0.2">
      <c r="B13778" s="207"/>
      <c r="C13778" s="210"/>
      <c r="D13778" s="211"/>
      <c r="E13778" s="211"/>
      <c r="U13778" s="222"/>
    </row>
    <row r="13779" spans="2:21" x14ac:dyDescent="0.2">
      <c r="B13779" s="207"/>
      <c r="C13779" s="210"/>
      <c r="D13779" s="211"/>
      <c r="E13779" s="211"/>
      <c r="U13779" s="222"/>
    </row>
    <row r="13780" spans="2:21" x14ac:dyDescent="0.2">
      <c r="B13780" s="207"/>
      <c r="C13780" s="210"/>
      <c r="D13780" s="211"/>
      <c r="E13780" s="211"/>
      <c r="U13780" s="222"/>
    </row>
    <row r="13781" spans="2:21" x14ac:dyDescent="0.2">
      <c r="B13781" s="207"/>
      <c r="C13781" s="210"/>
      <c r="D13781" s="211"/>
      <c r="E13781" s="211"/>
      <c r="U13781" s="222"/>
    </row>
    <row r="13782" spans="2:21" x14ac:dyDescent="0.2">
      <c r="B13782" s="207"/>
      <c r="C13782" s="210"/>
      <c r="D13782" s="211"/>
      <c r="E13782" s="211"/>
      <c r="U13782" s="222"/>
    </row>
    <row r="13783" spans="2:21" x14ac:dyDescent="0.2">
      <c r="B13783" s="207"/>
      <c r="C13783" s="210"/>
      <c r="D13783" s="211"/>
      <c r="E13783" s="211"/>
      <c r="U13783" s="222"/>
    </row>
    <row r="13784" spans="2:21" x14ac:dyDescent="0.2">
      <c r="B13784" s="207"/>
      <c r="C13784" s="210"/>
      <c r="D13784" s="211"/>
      <c r="E13784" s="211"/>
      <c r="U13784" s="222"/>
    </row>
    <row r="13785" spans="2:21" x14ac:dyDescent="0.2">
      <c r="B13785" s="207"/>
      <c r="C13785" s="210"/>
      <c r="D13785" s="211"/>
      <c r="E13785" s="211"/>
      <c r="U13785" s="222"/>
    </row>
    <row r="13786" spans="2:21" x14ac:dyDescent="0.2">
      <c r="B13786" s="207"/>
      <c r="C13786" s="210"/>
      <c r="D13786" s="211"/>
      <c r="E13786" s="211"/>
      <c r="U13786" s="222"/>
    </row>
    <row r="13787" spans="2:21" x14ac:dyDescent="0.2">
      <c r="B13787" s="207"/>
      <c r="C13787" s="210"/>
      <c r="D13787" s="211"/>
      <c r="E13787" s="211"/>
      <c r="U13787" s="222"/>
    </row>
    <row r="13788" spans="2:21" x14ac:dyDescent="0.2">
      <c r="B13788" s="207"/>
      <c r="C13788" s="210"/>
      <c r="D13788" s="211"/>
      <c r="E13788" s="211"/>
      <c r="U13788" s="222"/>
    </row>
    <row r="13789" spans="2:21" x14ac:dyDescent="0.2">
      <c r="B13789" s="207"/>
      <c r="C13789" s="210"/>
      <c r="D13789" s="211"/>
      <c r="E13789" s="211"/>
      <c r="U13789" s="222"/>
    </row>
    <row r="13790" spans="2:21" x14ac:dyDescent="0.2">
      <c r="B13790" s="207"/>
      <c r="C13790" s="210"/>
      <c r="D13790" s="211"/>
      <c r="E13790" s="211"/>
      <c r="U13790" s="222"/>
    </row>
    <row r="13791" spans="2:21" x14ac:dyDescent="0.2">
      <c r="B13791" s="207"/>
      <c r="C13791" s="210"/>
      <c r="D13791" s="211"/>
      <c r="E13791" s="211"/>
      <c r="U13791" s="222"/>
    </row>
    <row r="13792" spans="2:21" x14ac:dyDescent="0.2">
      <c r="B13792" s="207"/>
      <c r="C13792" s="210"/>
      <c r="D13792" s="211"/>
      <c r="E13792" s="211"/>
      <c r="U13792" s="222"/>
    </row>
    <row r="13793" spans="2:21" x14ac:dyDescent="0.2">
      <c r="B13793" s="207"/>
      <c r="C13793" s="210"/>
      <c r="D13793" s="211"/>
      <c r="E13793" s="211"/>
      <c r="U13793" s="222"/>
    </row>
    <row r="13794" spans="2:21" x14ac:dyDescent="0.2">
      <c r="B13794" s="207"/>
      <c r="C13794" s="210"/>
      <c r="D13794" s="211"/>
      <c r="E13794" s="211"/>
      <c r="U13794" s="222"/>
    </row>
    <row r="13795" spans="2:21" x14ac:dyDescent="0.2">
      <c r="B13795" s="207"/>
      <c r="C13795" s="210"/>
      <c r="D13795" s="211"/>
      <c r="E13795" s="211"/>
      <c r="U13795" s="222"/>
    </row>
    <row r="13796" spans="2:21" x14ac:dyDescent="0.2">
      <c r="B13796" s="207"/>
      <c r="C13796" s="210"/>
      <c r="D13796" s="211"/>
      <c r="E13796" s="211"/>
      <c r="U13796" s="222"/>
    </row>
    <row r="13797" spans="2:21" x14ac:dyDescent="0.2">
      <c r="B13797" s="207"/>
      <c r="C13797" s="210"/>
      <c r="D13797" s="211"/>
      <c r="E13797" s="211"/>
      <c r="U13797" s="222"/>
    </row>
    <row r="13798" spans="2:21" x14ac:dyDescent="0.2">
      <c r="B13798" s="207"/>
      <c r="C13798" s="210"/>
      <c r="D13798" s="211"/>
      <c r="E13798" s="211"/>
      <c r="U13798" s="222"/>
    </row>
    <row r="13799" spans="2:21" x14ac:dyDescent="0.2">
      <c r="B13799" s="207"/>
      <c r="C13799" s="210"/>
      <c r="D13799" s="211"/>
      <c r="E13799" s="211"/>
      <c r="U13799" s="222"/>
    </row>
    <row r="13800" spans="2:21" x14ac:dyDescent="0.2">
      <c r="B13800" s="207"/>
      <c r="C13800" s="210"/>
      <c r="D13800" s="211"/>
      <c r="E13800" s="211"/>
      <c r="U13800" s="222"/>
    </row>
    <row r="13801" spans="2:21" x14ac:dyDescent="0.2">
      <c r="B13801" s="207"/>
      <c r="C13801" s="210"/>
      <c r="D13801" s="211"/>
      <c r="E13801" s="211"/>
      <c r="U13801" s="222"/>
    </row>
    <row r="13802" spans="2:21" x14ac:dyDescent="0.2">
      <c r="B13802" s="207"/>
      <c r="C13802" s="210"/>
      <c r="D13802" s="211"/>
      <c r="E13802" s="211"/>
      <c r="U13802" s="222"/>
    </row>
    <row r="13803" spans="2:21" x14ac:dyDescent="0.2">
      <c r="B13803" s="207"/>
      <c r="C13803" s="210"/>
      <c r="D13803" s="211"/>
      <c r="E13803" s="211"/>
      <c r="U13803" s="222"/>
    </row>
    <row r="13804" spans="2:21" x14ac:dyDescent="0.2">
      <c r="B13804" s="207"/>
      <c r="C13804" s="210"/>
      <c r="D13804" s="211"/>
      <c r="E13804" s="211"/>
      <c r="U13804" s="222"/>
    </row>
    <row r="13805" spans="2:21" x14ac:dyDescent="0.2">
      <c r="B13805" s="207"/>
      <c r="C13805" s="210"/>
      <c r="D13805" s="211"/>
      <c r="E13805" s="211"/>
      <c r="U13805" s="222"/>
    </row>
    <row r="13806" spans="2:21" x14ac:dyDescent="0.2">
      <c r="B13806" s="207"/>
      <c r="C13806" s="210"/>
      <c r="D13806" s="211"/>
      <c r="E13806" s="211"/>
      <c r="U13806" s="222"/>
    </row>
    <row r="13807" spans="2:21" x14ac:dyDescent="0.2">
      <c r="B13807" s="207"/>
      <c r="C13807" s="210"/>
      <c r="D13807" s="211"/>
      <c r="E13807" s="211"/>
      <c r="U13807" s="222"/>
    </row>
    <row r="13808" spans="2:21" x14ac:dyDescent="0.2">
      <c r="B13808" s="207"/>
      <c r="C13808" s="210"/>
      <c r="D13808" s="211"/>
      <c r="E13808" s="211"/>
      <c r="U13808" s="222"/>
    </row>
    <row r="13809" spans="2:21" x14ac:dyDescent="0.2">
      <c r="B13809" s="207"/>
      <c r="C13809" s="210"/>
      <c r="D13809" s="211"/>
      <c r="E13809" s="211"/>
      <c r="U13809" s="222"/>
    </row>
    <row r="13810" spans="2:21" x14ac:dyDescent="0.2">
      <c r="B13810" s="207"/>
      <c r="C13810" s="210"/>
      <c r="D13810" s="211"/>
      <c r="E13810" s="211"/>
      <c r="U13810" s="222"/>
    </row>
    <row r="13811" spans="2:21" x14ac:dyDescent="0.2">
      <c r="B13811" s="207"/>
      <c r="C13811" s="210"/>
      <c r="D13811" s="211"/>
      <c r="E13811" s="211"/>
      <c r="U13811" s="222"/>
    </row>
    <row r="13812" spans="2:21" x14ac:dyDescent="0.2">
      <c r="B13812" s="207"/>
      <c r="C13812" s="210"/>
      <c r="D13812" s="211"/>
      <c r="E13812" s="211"/>
      <c r="U13812" s="222"/>
    </row>
    <row r="13813" spans="2:21" x14ac:dyDescent="0.2">
      <c r="B13813" s="207"/>
      <c r="C13813" s="210"/>
      <c r="D13813" s="211"/>
      <c r="E13813" s="211"/>
      <c r="U13813" s="222"/>
    </row>
    <row r="13814" spans="2:21" x14ac:dyDescent="0.2">
      <c r="B13814" s="207"/>
      <c r="C13814" s="210"/>
      <c r="D13814" s="211"/>
      <c r="E13814" s="211"/>
      <c r="U13814" s="222"/>
    </row>
    <row r="13815" spans="2:21" x14ac:dyDescent="0.2">
      <c r="B13815" s="207"/>
      <c r="C13815" s="210"/>
      <c r="D13815" s="211"/>
      <c r="E13815" s="211"/>
      <c r="U13815" s="222"/>
    </row>
    <row r="13816" spans="2:21" x14ac:dyDescent="0.2">
      <c r="B13816" s="207"/>
      <c r="C13816" s="210"/>
      <c r="D13816" s="211"/>
      <c r="E13816" s="211"/>
      <c r="U13816" s="222"/>
    </row>
    <row r="13817" spans="2:21" x14ac:dyDescent="0.2">
      <c r="B13817" s="207"/>
      <c r="C13817" s="210"/>
      <c r="D13817" s="211"/>
      <c r="E13817" s="211"/>
      <c r="U13817" s="222"/>
    </row>
    <row r="13818" spans="2:21" x14ac:dyDescent="0.2">
      <c r="B13818" s="207"/>
      <c r="C13818" s="210"/>
      <c r="D13818" s="211"/>
      <c r="E13818" s="211"/>
      <c r="U13818" s="222"/>
    </row>
    <row r="13819" spans="2:21" x14ac:dyDescent="0.2">
      <c r="B13819" s="207"/>
      <c r="C13819" s="210"/>
      <c r="D13819" s="211"/>
      <c r="E13819" s="211"/>
      <c r="U13819" s="222"/>
    </row>
    <row r="13820" spans="2:21" x14ac:dyDescent="0.2">
      <c r="B13820" s="207"/>
      <c r="C13820" s="210"/>
      <c r="D13820" s="211"/>
      <c r="E13820" s="211"/>
      <c r="U13820" s="222"/>
    </row>
    <row r="13821" spans="2:21" x14ac:dyDescent="0.2">
      <c r="B13821" s="207"/>
      <c r="C13821" s="210"/>
      <c r="D13821" s="211"/>
      <c r="E13821" s="211"/>
      <c r="U13821" s="222"/>
    </row>
    <row r="13822" spans="2:21" x14ac:dyDescent="0.2">
      <c r="B13822" s="207"/>
      <c r="C13822" s="210"/>
      <c r="D13822" s="211"/>
      <c r="E13822" s="211"/>
      <c r="U13822" s="222"/>
    </row>
    <row r="13823" spans="2:21" x14ac:dyDescent="0.2">
      <c r="B13823" s="207"/>
      <c r="C13823" s="210"/>
      <c r="D13823" s="211"/>
      <c r="E13823" s="211"/>
      <c r="U13823" s="222"/>
    </row>
    <row r="13824" spans="2:21" x14ac:dyDescent="0.2">
      <c r="B13824" s="207"/>
      <c r="C13824" s="210"/>
      <c r="D13824" s="211"/>
      <c r="E13824" s="211"/>
      <c r="U13824" s="222"/>
    </row>
    <row r="13825" spans="2:21" x14ac:dyDescent="0.2">
      <c r="B13825" s="207"/>
      <c r="C13825" s="210"/>
      <c r="D13825" s="211"/>
      <c r="E13825" s="211"/>
      <c r="U13825" s="222"/>
    </row>
    <row r="13826" spans="2:21" x14ac:dyDescent="0.2">
      <c r="B13826" s="207"/>
      <c r="C13826" s="210"/>
      <c r="D13826" s="211"/>
      <c r="E13826" s="211"/>
      <c r="U13826" s="222"/>
    </row>
    <row r="13827" spans="2:21" x14ac:dyDescent="0.2">
      <c r="B13827" s="207"/>
      <c r="C13827" s="210"/>
      <c r="D13827" s="211"/>
      <c r="E13827" s="211"/>
      <c r="U13827" s="222"/>
    </row>
    <row r="13828" spans="2:21" x14ac:dyDescent="0.2">
      <c r="B13828" s="207"/>
      <c r="C13828" s="210"/>
      <c r="D13828" s="211"/>
      <c r="E13828" s="211"/>
      <c r="U13828" s="222"/>
    </row>
    <row r="13829" spans="2:21" x14ac:dyDescent="0.2">
      <c r="B13829" s="207"/>
      <c r="C13829" s="210"/>
      <c r="D13829" s="211"/>
      <c r="E13829" s="211"/>
      <c r="U13829" s="222"/>
    </row>
    <row r="13830" spans="2:21" x14ac:dyDescent="0.2">
      <c r="B13830" s="207"/>
      <c r="C13830" s="210"/>
      <c r="D13830" s="211"/>
      <c r="E13830" s="211"/>
      <c r="U13830" s="222"/>
    </row>
    <row r="13831" spans="2:21" x14ac:dyDescent="0.2">
      <c r="B13831" s="207"/>
      <c r="C13831" s="210"/>
      <c r="D13831" s="211"/>
      <c r="E13831" s="211"/>
      <c r="U13831" s="222"/>
    </row>
    <row r="13832" spans="2:21" x14ac:dyDescent="0.2">
      <c r="B13832" s="207"/>
      <c r="C13832" s="210"/>
      <c r="D13832" s="211"/>
      <c r="E13832" s="211"/>
      <c r="U13832" s="222"/>
    </row>
    <row r="13833" spans="2:21" x14ac:dyDescent="0.2">
      <c r="B13833" s="207"/>
      <c r="C13833" s="210"/>
      <c r="D13833" s="211"/>
      <c r="E13833" s="211"/>
      <c r="U13833" s="222"/>
    </row>
    <row r="13834" spans="2:21" x14ac:dyDescent="0.2">
      <c r="B13834" s="207"/>
      <c r="C13834" s="210"/>
      <c r="D13834" s="211"/>
      <c r="E13834" s="211"/>
      <c r="U13834" s="222"/>
    </row>
    <row r="13835" spans="2:21" x14ac:dyDescent="0.2">
      <c r="B13835" s="207"/>
      <c r="C13835" s="210"/>
      <c r="D13835" s="211"/>
      <c r="E13835" s="211"/>
      <c r="U13835" s="222"/>
    </row>
    <row r="13836" spans="2:21" x14ac:dyDescent="0.2">
      <c r="B13836" s="207"/>
      <c r="C13836" s="210"/>
      <c r="D13836" s="211"/>
      <c r="E13836" s="211"/>
      <c r="U13836" s="222"/>
    </row>
    <row r="13837" spans="2:21" x14ac:dyDescent="0.2">
      <c r="B13837" s="207"/>
      <c r="C13837" s="210"/>
      <c r="D13837" s="211"/>
      <c r="E13837" s="211"/>
      <c r="U13837" s="222"/>
    </row>
    <row r="13838" spans="2:21" x14ac:dyDescent="0.2">
      <c r="B13838" s="207"/>
      <c r="C13838" s="210"/>
      <c r="D13838" s="211"/>
      <c r="E13838" s="211"/>
      <c r="U13838" s="222"/>
    </row>
    <row r="13839" spans="2:21" x14ac:dyDescent="0.2">
      <c r="B13839" s="207"/>
      <c r="C13839" s="210"/>
      <c r="D13839" s="211"/>
      <c r="E13839" s="211"/>
      <c r="U13839" s="222"/>
    </row>
    <row r="13840" spans="2:21" x14ac:dyDescent="0.2">
      <c r="B13840" s="207"/>
      <c r="C13840" s="210"/>
      <c r="D13840" s="211"/>
      <c r="E13840" s="211"/>
      <c r="U13840" s="222"/>
    </row>
    <row r="13841" spans="2:21" x14ac:dyDescent="0.2">
      <c r="B13841" s="207"/>
      <c r="C13841" s="210"/>
      <c r="D13841" s="211"/>
      <c r="E13841" s="211"/>
      <c r="U13841" s="222"/>
    </row>
    <row r="13842" spans="2:21" x14ac:dyDescent="0.2">
      <c r="B13842" s="207"/>
      <c r="C13842" s="210"/>
      <c r="D13842" s="211"/>
      <c r="E13842" s="211"/>
      <c r="U13842" s="222"/>
    </row>
    <row r="13843" spans="2:21" x14ac:dyDescent="0.2">
      <c r="B13843" s="207"/>
      <c r="C13843" s="210"/>
      <c r="D13843" s="211"/>
      <c r="E13843" s="211"/>
      <c r="U13843" s="222"/>
    </row>
    <row r="13844" spans="2:21" x14ac:dyDescent="0.2">
      <c r="B13844" s="207"/>
      <c r="C13844" s="210"/>
      <c r="D13844" s="211"/>
      <c r="E13844" s="211"/>
      <c r="U13844" s="222"/>
    </row>
    <row r="13845" spans="2:21" x14ac:dyDescent="0.2">
      <c r="B13845" s="207"/>
      <c r="C13845" s="210"/>
      <c r="D13845" s="211"/>
      <c r="E13845" s="211"/>
      <c r="U13845" s="222"/>
    </row>
    <row r="13846" spans="2:21" x14ac:dyDescent="0.2">
      <c r="B13846" s="207"/>
      <c r="C13846" s="210"/>
      <c r="D13846" s="211"/>
      <c r="E13846" s="211"/>
      <c r="U13846" s="222"/>
    </row>
    <row r="13847" spans="2:21" x14ac:dyDescent="0.2">
      <c r="B13847" s="207"/>
      <c r="C13847" s="210"/>
      <c r="D13847" s="211"/>
      <c r="E13847" s="211"/>
      <c r="U13847" s="222"/>
    </row>
    <row r="13848" spans="2:21" x14ac:dyDescent="0.2">
      <c r="B13848" s="207"/>
      <c r="C13848" s="210"/>
      <c r="D13848" s="211"/>
      <c r="E13848" s="211"/>
      <c r="U13848" s="222"/>
    </row>
    <row r="13849" spans="2:21" x14ac:dyDescent="0.2">
      <c r="B13849" s="207"/>
      <c r="C13849" s="210"/>
      <c r="D13849" s="211"/>
      <c r="E13849" s="211"/>
      <c r="U13849" s="222"/>
    </row>
    <row r="13850" spans="2:21" x14ac:dyDescent="0.2">
      <c r="B13850" s="207"/>
      <c r="C13850" s="210"/>
      <c r="D13850" s="211"/>
      <c r="E13850" s="211"/>
      <c r="U13850" s="222"/>
    </row>
    <row r="13851" spans="2:21" x14ac:dyDescent="0.2">
      <c r="B13851" s="207"/>
      <c r="C13851" s="210"/>
      <c r="D13851" s="211"/>
      <c r="E13851" s="211"/>
      <c r="U13851" s="222"/>
    </row>
    <row r="13852" spans="2:21" x14ac:dyDescent="0.2">
      <c r="B13852" s="207"/>
      <c r="C13852" s="210"/>
      <c r="D13852" s="211"/>
      <c r="E13852" s="211"/>
      <c r="U13852" s="222"/>
    </row>
    <row r="13853" spans="2:21" x14ac:dyDescent="0.2">
      <c r="B13853" s="207"/>
      <c r="C13853" s="210"/>
      <c r="D13853" s="211"/>
      <c r="E13853" s="211"/>
      <c r="U13853" s="222"/>
    </row>
    <row r="13854" spans="2:21" x14ac:dyDescent="0.2">
      <c r="B13854" s="207"/>
      <c r="C13854" s="210"/>
      <c r="D13854" s="211"/>
      <c r="E13854" s="211"/>
      <c r="U13854" s="222"/>
    </row>
    <row r="13855" spans="2:21" x14ac:dyDescent="0.2">
      <c r="B13855" s="207"/>
      <c r="C13855" s="210"/>
      <c r="D13855" s="211"/>
      <c r="E13855" s="211"/>
      <c r="U13855" s="222"/>
    </row>
    <row r="13856" spans="2:21" x14ac:dyDescent="0.2">
      <c r="B13856" s="207"/>
      <c r="C13856" s="210"/>
      <c r="D13856" s="211"/>
      <c r="E13856" s="211"/>
      <c r="U13856" s="222"/>
    </row>
    <row r="13857" spans="2:21" x14ac:dyDescent="0.2">
      <c r="B13857" s="207"/>
      <c r="C13857" s="210"/>
      <c r="D13857" s="211"/>
      <c r="E13857" s="211"/>
      <c r="U13857" s="222"/>
    </row>
    <row r="13858" spans="2:21" x14ac:dyDescent="0.2">
      <c r="B13858" s="207"/>
      <c r="C13858" s="210"/>
      <c r="D13858" s="211"/>
      <c r="E13858" s="211"/>
      <c r="U13858" s="222"/>
    </row>
    <row r="13859" spans="2:21" x14ac:dyDescent="0.2">
      <c r="B13859" s="207"/>
      <c r="C13859" s="210"/>
      <c r="D13859" s="211"/>
      <c r="E13859" s="211"/>
      <c r="U13859" s="222"/>
    </row>
    <row r="13860" spans="2:21" x14ac:dyDescent="0.2">
      <c r="B13860" s="207"/>
      <c r="C13860" s="210"/>
      <c r="D13860" s="211"/>
      <c r="E13860" s="211"/>
      <c r="U13860" s="222"/>
    </row>
    <row r="13861" spans="2:21" x14ac:dyDescent="0.2">
      <c r="B13861" s="207"/>
      <c r="C13861" s="210"/>
      <c r="D13861" s="211"/>
      <c r="E13861" s="211"/>
      <c r="U13861" s="222"/>
    </row>
    <row r="13862" spans="2:21" x14ac:dyDescent="0.2">
      <c r="B13862" s="207"/>
      <c r="C13862" s="210"/>
      <c r="D13862" s="211"/>
      <c r="E13862" s="211"/>
      <c r="U13862" s="222"/>
    </row>
    <row r="13863" spans="2:21" x14ac:dyDescent="0.2">
      <c r="B13863" s="207"/>
      <c r="C13863" s="210"/>
      <c r="D13863" s="211"/>
      <c r="E13863" s="211"/>
      <c r="U13863" s="222"/>
    </row>
    <row r="13864" spans="2:21" x14ac:dyDescent="0.2">
      <c r="B13864" s="207"/>
      <c r="C13864" s="210"/>
      <c r="D13864" s="211"/>
      <c r="E13864" s="211"/>
      <c r="U13864" s="222"/>
    </row>
    <row r="13865" spans="2:21" x14ac:dyDescent="0.2">
      <c r="B13865" s="207"/>
      <c r="C13865" s="210"/>
      <c r="D13865" s="211"/>
      <c r="E13865" s="211"/>
      <c r="U13865" s="222"/>
    </row>
    <row r="13866" spans="2:21" x14ac:dyDescent="0.2">
      <c r="B13866" s="207"/>
      <c r="C13866" s="210"/>
      <c r="D13866" s="211"/>
      <c r="E13866" s="211"/>
      <c r="U13866" s="222"/>
    </row>
    <row r="13867" spans="2:21" x14ac:dyDescent="0.2">
      <c r="B13867" s="207"/>
      <c r="C13867" s="210"/>
      <c r="D13867" s="211"/>
      <c r="E13867" s="211"/>
      <c r="U13867" s="222"/>
    </row>
    <row r="13868" spans="2:21" x14ac:dyDescent="0.2">
      <c r="B13868" s="207"/>
      <c r="C13868" s="210"/>
      <c r="D13868" s="211"/>
      <c r="E13868" s="211"/>
      <c r="U13868" s="222"/>
    </row>
    <row r="13869" spans="2:21" x14ac:dyDescent="0.2">
      <c r="B13869" s="207"/>
      <c r="C13869" s="210"/>
      <c r="D13869" s="211"/>
      <c r="E13869" s="211"/>
      <c r="U13869" s="222"/>
    </row>
    <row r="13870" spans="2:21" x14ac:dyDescent="0.2">
      <c r="B13870" s="207"/>
      <c r="C13870" s="210"/>
      <c r="D13870" s="211"/>
      <c r="E13870" s="211"/>
      <c r="U13870" s="222"/>
    </row>
    <row r="13871" spans="2:21" x14ac:dyDescent="0.2">
      <c r="B13871" s="207"/>
      <c r="C13871" s="210"/>
      <c r="D13871" s="211"/>
      <c r="E13871" s="211"/>
      <c r="U13871" s="222"/>
    </row>
    <row r="13872" spans="2:21" x14ac:dyDescent="0.2">
      <c r="B13872" s="207"/>
      <c r="C13872" s="210"/>
      <c r="D13872" s="211"/>
      <c r="E13872" s="211"/>
      <c r="U13872" s="222"/>
    </row>
    <row r="13873" spans="2:21" x14ac:dyDescent="0.2">
      <c r="B13873" s="207"/>
      <c r="C13873" s="210"/>
      <c r="D13873" s="211"/>
      <c r="E13873" s="211"/>
      <c r="U13873" s="222"/>
    </row>
    <row r="13874" spans="2:21" x14ac:dyDescent="0.2">
      <c r="B13874" s="207"/>
      <c r="C13874" s="210"/>
      <c r="D13874" s="211"/>
      <c r="E13874" s="211"/>
      <c r="U13874" s="222"/>
    </row>
    <row r="13875" spans="2:21" x14ac:dyDescent="0.2">
      <c r="B13875" s="207"/>
      <c r="C13875" s="210"/>
      <c r="D13875" s="211"/>
      <c r="E13875" s="211"/>
      <c r="U13875" s="222"/>
    </row>
    <row r="13876" spans="2:21" x14ac:dyDescent="0.2">
      <c r="B13876" s="207"/>
      <c r="C13876" s="210"/>
      <c r="D13876" s="211"/>
      <c r="E13876" s="211"/>
      <c r="U13876" s="222"/>
    </row>
    <row r="13877" spans="2:21" x14ac:dyDescent="0.2">
      <c r="B13877" s="207"/>
      <c r="C13877" s="210"/>
      <c r="D13877" s="211"/>
      <c r="E13877" s="211"/>
      <c r="U13877" s="222"/>
    </row>
    <row r="13878" spans="2:21" x14ac:dyDescent="0.2">
      <c r="B13878" s="207"/>
      <c r="C13878" s="210"/>
      <c r="D13878" s="211"/>
      <c r="E13878" s="211"/>
      <c r="U13878" s="222"/>
    </row>
    <row r="13879" spans="2:21" x14ac:dyDescent="0.2">
      <c r="B13879" s="207"/>
      <c r="C13879" s="210"/>
      <c r="D13879" s="211"/>
      <c r="E13879" s="211"/>
      <c r="U13879" s="222"/>
    </row>
    <row r="13880" spans="2:21" x14ac:dyDescent="0.2">
      <c r="B13880" s="207"/>
      <c r="C13880" s="210"/>
      <c r="D13880" s="211"/>
      <c r="E13880" s="211"/>
      <c r="U13880" s="222"/>
    </row>
    <row r="13881" spans="2:21" x14ac:dyDescent="0.2">
      <c r="B13881" s="207"/>
      <c r="C13881" s="210"/>
      <c r="D13881" s="211"/>
      <c r="E13881" s="211"/>
      <c r="U13881" s="222"/>
    </row>
    <row r="13882" spans="2:21" x14ac:dyDescent="0.2">
      <c r="B13882" s="207"/>
      <c r="C13882" s="210"/>
      <c r="D13882" s="211"/>
      <c r="E13882" s="211"/>
      <c r="U13882" s="222"/>
    </row>
    <row r="13883" spans="2:21" x14ac:dyDescent="0.2">
      <c r="B13883" s="207"/>
      <c r="C13883" s="210"/>
      <c r="D13883" s="211"/>
      <c r="E13883" s="211"/>
      <c r="U13883" s="222"/>
    </row>
    <row r="13884" spans="2:21" x14ac:dyDescent="0.2">
      <c r="B13884" s="207"/>
      <c r="C13884" s="210"/>
      <c r="D13884" s="211"/>
      <c r="E13884" s="211"/>
      <c r="U13884" s="222"/>
    </row>
    <row r="13885" spans="2:21" x14ac:dyDescent="0.2">
      <c r="B13885" s="207"/>
      <c r="C13885" s="210"/>
      <c r="D13885" s="211"/>
      <c r="E13885" s="211"/>
      <c r="U13885" s="222"/>
    </row>
    <row r="13886" spans="2:21" x14ac:dyDescent="0.2">
      <c r="B13886" s="207"/>
      <c r="C13886" s="210"/>
      <c r="D13886" s="211"/>
      <c r="E13886" s="211"/>
      <c r="U13886" s="222"/>
    </row>
    <row r="13887" spans="2:21" x14ac:dyDescent="0.2">
      <c r="B13887" s="207"/>
      <c r="C13887" s="210"/>
      <c r="D13887" s="211"/>
      <c r="E13887" s="211"/>
      <c r="U13887" s="222"/>
    </row>
    <row r="13888" spans="2:21" x14ac:dyDescent="0.2">
      <c r="B13888" s="207"/>
      <c r="C13888" s="210"/>
      <c r="D13888" s="211"/>
      <c r="E13888" s="211"/>
      <c r="U13888" s="222"/>
    </row>
    <row r="13889" spans="2:21" x14ac:dyDescent="0.2">
      <c r="B13889" s="207"/>
      <c r="C13889" s="210"/>
      <c r="D13889" s="211"/>
      <c r="E13889" s="211"/>
      <c r="U13889" s="222"/>
    </row>
    <row r="13890" spans="2:21" x14ac:dyDescent="0.2">
      <c r="B13890" s="207"/>
      <c r="C13890" s="210"/>
      <c r="D13890" s="211"/>
      <c r="E13890" s="211"/>
      <c r="U13890" s="222"/>
    </row>
    <row r="13891" spans="2:21" x14ac:dyDescent="0.2">
      <c r="B13891" s="207"/>
      <c r="C13891" s="210"/>
      <c r="D13891" s="211"/>
      <c r="E13891" s="211"/>
      <c r="U13891" s="222"/>
    </row>
    <row r="13892" spans="2:21" x14ac:dyDescent="0.2">
      <c r="B13892" s="207"/>
      <c r="C13892" s="210"/>
      <c r="D13892" s="211"/>
      <c r="E13892" s="211"/>
      <c r="U13892" s="222"/>
    </row>
    <row r="13893" spans="2:21" x14ac:dyDescent="0.2">
      <c r="B13893" s="207"/>
      <c r="C13893" s="210"/>
      <c r="D13893" s="211"/>
      <c r="E13893" s="211"/>
      <c r="U13893" s="222"/>
    </row>
    <row r="13894" spans="2:21" x14ac:dyDescent="0.2">
      <c r="B13894" s="207"/>
      <c r="C13894" s="210"/>
      <c r="D13894" s="211"/>
      <c r="E13894" s="211"/>
      <c r="U13894" s="222"/>
    </row>
    <row r="13895" spans="2:21" x14ac:dyDescent="0.2">
      <c r="B13895" s="207"/>
      <c r="C13895" s="210"/>
      <c r="D13895" s="211"/>
      <c r="E13895" s="211"/>
      <c r="U13895" s="222"/>
    </row>
    <row r="13896" spans="2:21" x14ac:dyDescent="0.2">
      <c r="B13896" s="207"/>
      <c r="C13896" s="210"/>
      <c r="D13896" s="211"/>
      <c r="E13896" s="211"/>
      <c r="U13896" s="222"/>
    </row>
    <row r="13897" spans="2:21" x14ac:dyDescent="0.2">
      <c r="B13897" s="207"/>
      <c r="C13897" s="210"/>
      <c r="D13897" s="211"/>
      <c r="E13897" s="211"/>
      <c r="U13897" s="222"/>
    </row>
    <row r="13898" spans="2:21" x14ac:dyDescent="0.2">
      <c r="B13898" s="207"/>
      <c r="C13898" s="210"/>
      <c r="D13898" s="211"/>
      <c r="E13898" s="211"/>
      <c r="U13898" s="222"/>
    </row>
    <row r="13899" spans="2:21" x14ac:dyDescent="0.2">
      <c r="B13899" s="207"/>
      <c r="C13899" s="210"/>
      <c r="D13899" s="211"/>
      <c r="E13899" s="211"/>
      <c r="U13899" s="222"/>
    </row>
    <row r="13900" spans="2:21" x14ac:dyDescent="0.2">
      <c r="B13900" s="207"/>
      <c r="C13900" s="210"/>
      <c r="D13900" s="211"/>
      <c r="E13900" s="211"/>
      <c r="U13900" s="222"/>
    </row>
    <row r="13901" spans="2:21" x14ac:dyDescent="0.2">
      <c r="B13901" s="207"/>
      <c r="C13901" s="210"/>
      <c r="D13901" s="211"/>
      <c r="E13901" s="211"/>
      <c r="U13901" s="222"/>
    </row>
    <row r="13902" spans="2:21" x14ac:dyDescent="0.2">
      <c r="B13902" s="207"/>
      <c r="C13902" s="210"/>
      <c r="D13902" s="211"/>
      <c r="E13902" s="211"/>
      <c r="U13902" s="222"/>
    </row>
    <row r="13903" spans="2:21" x14ac:dyDescent="0.2">
      <c r="B13903" s="207"/>
      <c r="C13903" s="210"/>
      <c r="D13903" s="211"/>
      <c r="E13903" s="211"/>
      <c r="U13903" s="222"/>
    </row>
    <row r="13904" spans="2:21" x14ac:dyDescent="0.2">
      <c r="B13904" s="207"/>
      <c r="C13904" s="210"/>
      <c r="D13904" s="211"/>
      <c r="E13904" s="211"/>
      <c r="U13904" s="222"/>
    </row>
    <row r="13905" spans="2:21" x14ac:dyDescent="0.2">
      <c r="B13905" s="207"/>
      <c r="C13905" s="210"/>
      <c r="D13905" s="211"/>
      <c r="E13905" s="211"/>
      <c r="U13905" s="222"/>
    </row>
    <row r="13906" spans="2:21" x14ac:dyDescent="0.2">
      <c r="B13906" s="207"/>
      <c r="C13906" s="210"/>
      <c r="D13906" s="211"/>
      <c r="E13906" s="211"/>
      <c r="U13906" s="222"/>
    </row>
    <row r="13907" spans="2:21" x14ac:dyDescent="0.2">
      <c r="B13907" s="207"/>
      <c r="C13907" s="210"/>
      <c r="D13907" s="211"/>
      <c r="E13907" s="211"/>
      <c r="U13907" s="222"/>
    </row>
    <row r="13908" spans="2:21" x14ac:dyDescent="0.2">
      <c r="B13908" s="207"/>
      <c r="C13908" s="210"/>
      <c r="D13908" s="211"/>
      <c r="E13908" s="211"/>
      <c r="U13908" s="222"/>
    </row>
    <row r="13909" spans="2:21" x14ac:dyDescent="0.2">
      <c r="B13909" s="207"/>
      <c r="C13909" s="210"/>
      <c r="D13909" s="211"/>
      <c r="E13909" s="211"/>
      <c r="U13909" s="222"/>
    </row>
    <row r="13910" spans="2:21" x14ac:dyDescent="0.2">
      <c r="B13910" s="207"/>
      <c r="C13910" s="210"/>
      <c r="D13910" s="211"/>
      <c r="E13910" s="211"/>
      <c r="U13910" s="222"/>
    </row>
    <row r="13911" spans="2:21" x14ac:dyDescent="0.2">
      <c r="B13911" s="207"/>
      <c r="C13911" s="210"/>
      <c r="D13911" s="211"/>
      <c r="E13911" s="211"/>
      <c r="U13911" s="222"/>
    </row>
    <row r="13912" spans="2:21" x14ac:dyDescent="0.2">
      <c r="B13912" s="207"/>
      <c r="C13912" s="210"/>
      <c r="D13912" s="211"/>
      <c r="E13912" s="211"/>
      <c r="U13912" s="222"/>
    </row>
    <row r="13913" spans="2:21" x14ac:dyDescent="0.2">
      <c r="B13913" s="207"/>
      <c r="C13913" s="210"/>
      <c r="D13913" s="211"/>
      <c r="E13913" s="211"/>
      <c r="U13913" s="222"/>
    </row>
    <row r="13914" spans="2:21" x14ac:dyDescent="0.2">
      <c r="B13914" s="207"/>
      <c r="C13914" s="210"/>
      <c r="D13914" s="211"/>
      <c r="E13914" s="211"/>
      <c r="U13914" s="222"/>
    </row>
    <row r="13915" spans="2:21" x14ac:dyDescent="0.2">
      <c r="B13915" s="207"/>
      <c r="C13915" s="210"/>
      <c r="D13915" s="211"/>
      <c r="E13915" s="211"/>
      <c r="U13915" s="222"/>
    </row>
    <row r="13916" spans="2:21" x14ac:dyDescent="0.2">
      <c r="B13916" s="207"/>
      <c r="C13916" s="210"/>
      <c r="D13916" s="211"/>
      <c r="E13916" s="211"/>
      <c r="U13916" s="222"/>
    </row>
    <row r="13917" spans="2:21" x14ac:dyDescent="0.2">
      <c r="B13917" s="207"/>
      <c r="C13917" s="210"/>
      <c r="D13917" s="211"/>
      <c r="E13917" s="211"/>
      <c r="U13917" s="222"/>
    </row>
    <row r="13918" spans="2:21" x14ac:dyDescent="0.2">
      <c r="B13918" s="207"/>
      <c r="C13918" s="210"/>
      <c r="D13918" s="211"/>
      <c r="E13918" s="211"/>
      <c r="U13918" s="222"/>
    </row>
    <row r="13919" spans="2:21" x14ac:dyDescent="0.2">
      <c r="B13919" s="207"/>
      <c r="C13919" s="210"/>
      <c r="D13919" s="211"/>
      <c r="E13919" s="211"/>
      <c r="U13919" s="222"/>
    </row>
    <row r="13920" spans="2:21" x14ac:dyDescent="0.2">
      <c r="B13920" s="207"/>
      <c r="C13920" s="210"/>
      <c r="D13920" s="211"/>
      <c r="E13920" s="211"/>
      <c r="U13920" s="222"/>
    </row>
    <row r="13921" spans="2:21" x14ac:dyDescent="0.2">
      <c r="B13921" s="207"/>
      <c r="C13921" s="210"/>
      <c r="D13921" s="211"/>
      <c r="E13921" s="211"/>
      <c r="U13921" s="222"/>
    </row>
    <row r="13922" spans="2:21" x14ac:dyDescent="0.2">
      <c r="B13922" s="207"/>
      <c r="C13922" s="210"/>
      <c r="D13922" s="211"/>
      <c r="E13922" s="211"/>
      <c r="U13922" s="222"/>
    </row>
    <row r="13923" spans="2:21" x14ac:dyDescent="0.2">
      <c r="B13923" s="207"/>
      <c r="C13923" s="210"/>
      <c r="D13923" s="211"/>
      <c r="E13923" s="211"/>
      <c r="U13923" s="222"/>
    </row>
    <row r="13924" spans="2:21" x14ac:dyDescent="0.2">
      <c r="B13924" s="207"/>
      <c r="C13924" s="210"/>
      <c r="D13924" s="211"/>
      <c r="E13924" s="211"/>
      <c r="U13924" s="222"/>
    </row>
    <row r="13925" spans="2:21" x14ac:dyDescent="0.2">
      <c r="B13925" s="207"/>
      <c r="C13925" s="210"/>
      <c r="D13925" s="211"/>
      <c r="E13925" s="211"/>
      <c r="U13925" s="222"/>
    </row>
    <row r="13926" spans="2:21" x14ac:dyDescent="0.2">
      <c r="B13926" s="207"/>
      <c r="C13926" s="210"/>
      <c r="D13926" s="211"/>
      <c r="E13926" s="211"/>
      <c r="U13926" s="222"/>
    </row>
    <row r="13927" spans="2:21" x14ac:dyDescent="0.2">
      <c r="B13927" s="207"/>
      <c r="C13927" s="210"/>
      <c r="D13927" s="211"/>
      <c r="E13927" s="211"/>
      <c r="U13927" s="222"/>
    </row>
    <row r="13928" spans="2:21" x14ac:dyDescent="0.2">
      <c r="B13928" s="207"/>
      <c r="C13928" s="210"/>
      <c r="D13928" s="211"/>
      <c r="E13928" s="211"/>
      <c r="U13928" s="222"/>
    </row>
    <row r="13929" spans="2:21" x14ac:dyDescent="0.2">
      <c r="B13929" s="207"/>
      <c r="C13929" s="210"/>
      <c r="D13929" s="211"/>
      <c r="E13929" s="211"/>
      <c r="U13929" s="222"/>
    </row>
    <row r="13930" spans="2:21" x14ac:dyDescent="0.2">
      <c r="B13930" s="207"/>
      <c r="C13930" s="210"/>
      <c r="D13930" s="211"/>
      <c r="E13930" s="211"/>
      <c r="U13930" s="222"/>
    </row>
    <row r="13931" spans="2:21" x14ac:dyDescent="0.2">
      <c r="B13931" s="207"/>
      <c r="C13931" s="210"/>
      <c r="D13931" s="211"/>
      <c r="E13931" s="211"/>
      <c r="U13931" s="222"/>
    </row>
    <row r="13932" spans="2:21" x14ac:dyDescent="0.2">
      <c r="B13932" s="207"/>
      <c r="C13932" s="210"/>
      <c r="D13932" s="211"/>
      <c r="E13932" s="211"/>
      <c r="U13932" s="222"/>
    </row>
    <row r="13933" spans="2:21" x14ac:dyDescent="0.2">
      <c r="B13933" s="207"/>
      <c r="C13933" s="210"/>
      <c r="D13933" s="211"/>
      <c r="E13933" s="211"/>
      <c r="U13933" s="222"/>
    </row>
    <row r="13934" spans="2:21" x14ac:dyDescent="0.2">
      <c r="B13934" s="207"/>
      <c r="C13934" s="210"/>
      <c r="D13934" s="211"/>
      <c r="E13934" s="211"/>
      <c r="U13934" s="222"/>
    </row>
    <row r="13935" spans="2:21" x14ac:dyDescent="0.2">
      <c r="B13935" s="207"/>
      <c r="C13935" s="210"/>
      <c r="D13935" s="211"/>
      <c r="E13935" s="211"/>
      <c r="U13935" s="222"/>
    </row>
    <row r="13936" spans="2:21" x14ac:dyDescent="0.2">
      <c r="B13936" s="207"/>
      <c r="C13936" s="210"/>
      <c r="D13936" s="211"/>
      <c r="E13936" s="211"/>
      <c r="U13936" s="222"/>
    </row>
    <row r="13937" spans="2:21" x14ac:dyDescent="0.2">
      <c r="B13937" s="207"/>
      <c r="C13937" s="210"/>
      <c r="D13937" s="211"/>
      <c r="E13937" s="211"/>
      <c r="U13937" s="222"/>
    </row>
    <row r="13938" spans="2:21" x14ac:dyDescent="0.2">
      <c r="B13938" s="207"/>
      <c r="C13938" s="210"/>
      <c r="D13938" s="211"/>
      <c r="E13938" s="211"/>
      <c r="U13938" s="222"/>
    </row>
    <row r="13939" spans="2:21" x14ac:dyDescent="0.2">
      <c r="B13939" s="207"/>
      <c r="C13939" s="210"/>
      <c r="D13939" s="211"/>
      <c r="E13939" s="211"/>
      <c r="U13939" s="222"/>
    </row>
    <row r="13940" spans="2:21" x14ac:dyDescent="0.2">
      <c r="B13940" s="207"/>
      <c r="C13940" s="210"/>
      <c r="D13940" s="211"/>
      <c r="E13940" s="211"/>
      <c r="U13940" s="222"/>
    </row>
    <row r="13941" spans="2:21" x14ac:dyDescent="0.2">
      <c r="B13941" s="207"/>
      <c r="C13941" s="210"/>
      <c r="D13941" s="211"/>
      <c r="E13941" s="211"/>
      <c r="U13941" s="222"/>
    </row>
    <row r="13942" spans="2:21" x14ac:dyDescent="0.2">
      <c r="B13942" s="207"/>
      <c r="C13942" s="210"/>
      <c r="D13942" s="211"/>
      <c r="E13942" s="211"/>
      <c r="U13942" s="222"/>
    </row>
    <row r="13943" spans="2:21" x14ac:dyDescent="0.2">
      <c r="B13943" s="207"/>
      <c r="C13943" s="210"/>
      <c r="D13943" s="211"/>
      <c r="E13943" s="211"/>
      <c r="U13943" s="222"/>
    </row>
    <row r="13944" spans="2:21" x14ac:dyDescent="0.2">
      <c r="B13944" s="207"/>
      <c r="C13944" s="210"/>
      <c r="D13944" s="211"/>
      <c r="E13944" s="211"/>
      <c r="U13944" s="222"/>
    </row>
    <row r="13945" spans="2:21" x14ac:dyDescent="0.2">
      <c r="B13945" s="207"/>
      <c r="C13945" s="210"/>
      <c r="D13945" s="211"/>
      <c r="E13945" s="211"/>
      <c r="U13945" s="222"/>
    </row>
    <row r="13946" spans="2:21" x14ac:dyDescent="0.2">
      <c r="B13946" s="207"/>
      <c r="C13946" s="210"/>
      <c r="D13946" s="211"/>
      <c r="E13946" s="211"/>
      <c r="U13946" s="222"/>
    </row>
    <row r="13947" spans="2:21" x14ac:dyDescent="0.2">
      <c r="B13947" s="207"/>
      <c r="C13947" s="210"/>
      <c r="D13947" s="211"/>
      <c r="E13947" s="211"/>
      <c r="U13947" s="222"/>
    </row>
    <row r="13948" spans="2:21" x14ac:dyDescent="0.2">
      <c r="B13948" s="207"/>
      <c r="C13948" s="210"/>
      <c r="D13948" s="211"/>
      <c r="E13948" s="211"/>
      <c r="U13948" s="222"/>
    </row>
    <row r="13949" spans="2:21" x14ac:dyDescent="0.2">
      <c r="B13949" s="207"/>
      <c r="C13949" s="210"/>
      <c r="D13949" s="211"/>
      <c r="E13949" s="211"/>
      <c r="U13949" s="222"/>
    </row>
    <row r="13950" spans="2:21" x14ac:dyDescent="0.2">
      <c r="B13950" s="207"/>
      <c r="C13950" s="210"/>
      <c r="D13950" s="211"/>
      <c r="E13950" s="211"/>
      <c r="U13950" s="222"/>
    </row>
    <row r="13951" spans="2:21" x14ac:dyDescent="0.2">
      <c r="B13951" s="207"/>
      <c r="C13951" s="210"/>
      <c r="D13951" s="211"/>
      <c r="E13951" s="211"/>
      <c r="U13951" s="222"/>
    </row>
    <row r="13952" spans="2:21" x14ac:dyDescent="0.2">
      <c r="B13952" s="207"/>
      <c r="C13952" s="210"/>
      <c r="D13952" s="211"/>
      <c r="E13952" s="211"/>
      <c r="U13952" s="222"/>
    </row>
    <row r="13953" spans="2:21" x14ac:dyDescent="0.2">
      <c r="B13953" s="207"/>
      <c r="C13953" s="210"/>
      <c r="D13953" s="211"/>
      <c r="E13953" s="211"/>
      <c r="U13953" s="222"/>
    </row>
    <row r="13954" spans="2:21" x14ac:dyDescent="0.2">
      <c r="B13954" s="207"/>
      <c r="C13954" s="210"/>
      <c r="D13954" s="211"/>
      <c r="E13954" s="211"/>
      <c r="U13954" s="222"/>
    </row>
    <row r="13955" spans="2:21" x14ac:dyDescent="0.2">
      <c r="B13955" s="207"/>
      <c r="C13955" s="210"/>
      <c r="D13955" s="211"/>
      <c r="E13955" s="211"/>
      <c r="U13955" s="222"/>
    </row>
    <row r="13956" spans="2:21" x14ac:dyDescent="0.2">
      <c r="B13956" s="207"/>
      <c r="C13956" s="210"/>
      <c r="D13956" s="211"/>
      <c r="E13956" s="211"/>
      <c r="U13956" s="222"/>
    </row>
    <row r="13957" spans="2:21" x14ac:dyDescent="0.2">
      <c r="B13957" s="207"/>
      <c r="C13957" s="210"/>
      <c r="D13957" s="211"/>
      <c r="E13957" s="211"/>
      <c r="U13957" s="222"/>
    </row>
    <row r="13958" spans="2:21" x14ac:dyDescent="0.2">
      <c r="B13958" s="207"/>
      <c r="C13958" s="210"/>
      <c r="D13958" s="211"/>
      <c r="E13958" s="211"/>
      <c r="U13958" s="222"/>
    </row>
    <row r="13959" spans="2:21" x14ac:dyDescent="0.2">
      <c r="B13959" s="207"/>
      <c r="C13959" s="210"/>
      <c r="D13959" s="211"/>
      <c r="E13959" s="211"/>
      <c r="U13959" s="222"/>
    </row>
    <row r="13960" spans="2:21" x14ac:dyDescent="0.2">
      <c r="B13960" s="207"/>
      <c r="C13960" s="210"/>
      <c r="D13960" s="211"/>
      <c r="E13960" s="211"/>
      <c r="U13960" s="222"/>
    </row>
    <row r="13961" spans="2:21" x14ac:dyDescent="0.2">
      <c r="B13961" s="207"/>
      <c r="C13961" s="210"/>
      <c r="D13961" s="211"/>
      <c r="E13961" s="211"/>
      <c r="U13961" s="222"/>
    </row>
    <row r="13962" spans="2:21" x14ac:dyDescent="0.2">
      <c r="B13962" s="207"/>
      <c r="C13962" s="210"/>
      <c r="D13962" s="211"/>
      <c r="E13962" s="211"/>
      <c r="U13962" s="222"/>
    </row>
    <row r="13963" spans="2:21" x14ac:dyDescent="0.2">
      <c r="B13963" s="207"/>
      <c r="C13963" s="210"/>
      <c r="D13963" s="211"/>
      <c r="E13963" s="211"/>
      <c r="U13963" s="222"/>
    </row>
    <row r="13964" spans="2:21" x14ac:dyDescent="0.2">
      <c r="B13964" s="207"/>
      <c r="C13964" s="210"/>
      <c r="D13964" s="211"/>
      <c r="E13964" s="211"/>
      <c r="U13964" s="222"/>
    </row>
    <row r="13965" spans="2:21" x14ac:dyDescent="0.2">
      <c r="B13965" s="207"/>
      <c r="C13965" s="210"/>
      <c r="D13965" s="211"/>
      <c r="E13965" s="211"/>
      <c r="U13965" s="222"/>
    </row>
    <row r="13966" spans="2:21" x14ac:dyDescent="0.2">
      <c r="B13966" s="207"/>
      <c r="C13966" s="210"/>
      <c r="D13966" s="211"/>
      <c r="E13966" s="211"/>
      <c r="U13966" s="222"/>
    </row>
    <row r="13967" spans="2:21" x14ac:dyDescent="0.2">
      <c r="B13967" s="207"/>
      <c r="C13967" s="210"/>
      <c r="D13967" s="211"/>
      <c r="E13967" s="211"/>
      <c r="U13967" s="222"/>
    </row>
    <row r="13968" spans="2:21" x14ac:dyDescent="0.2">
      <c r="B13968" s="207"/>
      <c r="C13968" s="210"/>
      <c r="D13968" s="211"/>
      <c r="E13968" s="211"/>
      <c r="U13968" s="222"/>
    </row>
    <row r="13969" spans="2:21" x14ac:dyDescent="0.2">
      <c r="B13969" s="207"/>
      <c r="C13969" s="210"/>
      <c r="D13969" s="211"/>
      <c r="E13969" s="211"/>
      <c r="U13969" s="222"/>
    </row>
    <row r="13970" spans="2:21" x14ac:dyDescent="0.2">
      <c r="B13970" s="207"/>
      <c r="C13970" s="210"/>
      <c r="D13970" s="211"/>
      <c r="E13970" s="211"/>
      <c r="U13970" s="222"/>
    </row>
    <row r="13971" spans="2:21" x14ac:dyDescent="0.2">
      <c r="B13971" s="207"/>
      <c r="C13971" s="210"/>
      <c r="D13971" s="211"/>
      <c r="E13971" s="211"/>
      <c r="U13971" s="222"/>
    </row>
    <row r="13972" spans="2:21" x14ac:dyDescent="0.2">
      <c r="B13972" s="207"/>
      <c r="C13972" s="210"/>
      <c r="D13972" s="211"/>
      <c r="E13972" s="211"/>
      <c r="U13972" s="222"/>
    </row>
    <row r="13973" spans="2:21" x14ac:dyDescent="0.2">
      <c r="B13973" s="207"/>
      <c r="C13973" s="210"/>
      <c r="D13973" s="211"/>
      <c r="E13973" s="211"/>
      <c r="U13973" s="222"/>
    </row>
    <row r="13974" spans="2:21" x14ac:dyDescent="0.2">
      <c r="B13974" s="207"/>
      <c r="C13974" s="210"/>
      <c r="D13974" s="211"/>
      <c r="E13974" s="211"/>
      <c r="U13974" s="222"/>
    </row>
    <row r="13975" spans="2:21" x14ac:dyDescent="0.2">
      <c r="B13975" s="207"/>
      <c r="C13975" s="210"/>
      <c r="D13975" s="211"/>
      <c r="E13975" s="211"/>
      <c r="U13975" s="222"/>
    </row>
    <row r="13976" spans="2:21" x14ac:dyDescent="0.2">
      <c r="B13976" s="207"/>
      <c r="C13976" s="210"/>
      <c r="D13976" s="211"/>
      <c r="E13976" s="211"/>
      <c r="U13976" s="222"/>
    </row>
    <row r="13977" spans="2:21" x14ac:dyDescent="0.2">
      <c r="B13977" s="207"/>
      <c r="C13977" s="210"/>
      <c r="D13977" s="211"/>
      <c r="E13977" s="211"/>
      <c r="U13977" s="222"/>
    </row>
    <row r="13978" spans="2:21" x14ac:dyDescent="0.2">
      <c r="B13978" s="207"/>
      <c r="C13978" s="210"/>
      <c r="D13978" s="211"/>
      <c r="E13978" s="211"/>
      <c r="U13978" s="222"/>
    </row>
    <row r="13979" spans="2:21" x14ac:dyDescent="0.2">
      <c r="B13979" s="207"/>
      <c r="C13979" s="210"/>
      <c r="D13979" s="211"/>
      <c r="E13979" s="211"/>
      <c r="U13979" s="222"/>
    </row>
    <row r="13980" spans="2:21" x14ac:dyDescent="0.2">
      <c r="B13980" s="207"/>
      <c r="C13980" s="210"/>
      <c r="D13980" s="211"/>
      <c r="E13980" s="211"/>
      <c r="U13980" s="222"/>
    </row>
    <row r="13981" spans="2:21" x14ac:dyDescent="0.2">
      <c r="B13981" s="207"/>
      <c r="C13981" s="210"/>
      <c r="D13981" s="211"/>
      <c r="E13981" s="211"/>
      <c r="U13981" s="222"/>
    </row>
    <row r="13982" spans="2:21" x14ac:dyDescent="0.2">
      <c r="B13982" s="207"/>
      <c r="C13982" s="210"/>
      <c r="D13982" s="211"/>
      <c r="E13982" s="211"/>
      <c r="U13982" s="222"/>
    </row>
    <row r="13983" spans="2:21" x14ac:dyDescent="0.2">
      <c r="B13983" s="207"/>
      <c r="C13983" s="210"/>
      <c r="D13983" s="211"/>
      <c r="E13983" s="211"/>
      <c r="U13983" s="222"/>
    </row>
    <row r="13984" spans="2:21" x14ac:dyDescent="0.2">
      <c r="B13984" s="207"/>
      <c r="C13984" s="210"/>
      <c r="D13984" s="211"/>
      <c r="E13984" s="211"/>
      <c r="U13984" s="222"/>
    </row>
    <row r="13985" spans="2:21" x14ac:dyDescent="0.2">
      <c r="B13985" s="207"/>
      <c r="C13985" s="210"/>
      <c r="D13985" s="211"/>
      <c r="E13985" s="211"/>
      <c r="U13985" s="222"/>
    </row>
    <row r="13986" spans="2:21" x14ac:dyDescent="0.2">
      <c r="B13986" s="207"/>
      <c r="C13986" s="210"/>
      <c r="D13986" s="211"/>
      <c r="E13986" s="211"/>
      <c r="U13986" s="222"/>
    </row>
    <row r="13987" spans="2:21" x14ac:dyDescent="0.2">
      <c r="B13987" s="207"/>
      <c r="C13987" s="210"/>
      <c r="D13987" s="211"/>
      <c r="E13987" s="211"/>
      <c r="U13987" s="222"/>
    </row>
    <row r="13988" spans="2:21" x14ac:dyDescent="0.2">
      <c r="B13988" s="207"/>
      <c r="C13988" s="210"/>
      <c r="D13988" s="211"/>
      <c r="E13988" s="211"/>
      <c r="U13988" s="222"/>
    </row>
    <row r="13989" spans="2:21" x14ac:dyDescent="0.2">
      <c r="B13989" s="207"/>
      <c r="C13989" s="210"/>
      <c r="D13989" s="211"/>
      <c r="E13989" s="211"/>
      <c r="U13989" s="222"/>
    </row>
    <row r="13990" spans="2:21" x14ac:dyDescent="0.2">
      <c r="B13990" s="207"/>
      <c r="C13990" s="210"/>
      <c r="D13990" s="211"/>
      <c r="E13990" s="211"/>
      <c r="U13990" s="222"/>
    </row>
    <row r="13991" spans="2:21" x14ac:dyDescent="0.2">
      <c r="B13991" s="207"/>
      <c r="C13991" s="210"/>
      <c r="D13991" s="211"/>
      <c r="E13991" s="211"/>
      <c r="U13991" s="222"/>
    </row>
    <row r="13992" spans="2:21" x14ac:dyDescent="0.2">
      <c r="B13992" s="207"/>
      <c r="C13992" s="210"/>
      <c r="D13992" s="211"/>
      <c r="E13992" s="211"/>
      <c r="U13992" s="222"/>
    </row>
    <row r="13993" spans="2:21" x14ac:dyDescent="0.2">
      <c r="B13993" s="207"/>
      <c r="C13993" s="210"/>
      <c r="D13993" s="211"/>
      <c r="E13993" s="211"/>
      <c r="U13993" s="222"/>
    </row>
    <row r="13994" spans="2:21" x14ac:dyDescent="0.2">
      <c r="B13994" s="207"/>
      <c r="C13994" s="210"/>
      <c r="D13994" s="211"/>
      <c r="E13994" s="211"/>
      <c r="U13994" s="222"/>
    </row>
    <row r="13995" spans="2:21" x14ac:dyDescent="0.2">
      <c r="B13995" s="207"/>
      <c r="C13995" s="210"/>
      <c r="D13995" s="211"/>
      <c r="E13995" s="211"/>
      <c r="U13995" s="222"/>
    </row>
    <row r="13996" spans="2:21" x14ac:dyDescent="0.2">
      <c r="B13996" s="207"/>
      <c r="C13996" s="210"/>
      <c r="D13996" s="211"/>
      <c r="E13996" s="211"/>
      <c r="U13996" s="222"/>
    </row>
    <row r="13997" spans="2:21" x14ac:dyDescent="0.2">
      <c r="B13997" s="207"/>
      <c r="C13997" s="210"/>
      <c r="D13997" s="211"/>
      <c r="E13997" s="211"/>
      <c r="U13997" s="222"/>
    </row>
    <row r="13998" spans="2:21" x14ac:dyDescent="0.2">
      <c r="B13998" s="207"/>
      <c r="C13998" s="210"/>
      <c r="D13998" s="211"/>
      <c r="E13998" s="211"/>
      <c r="U13998" s="222"/>
    </row>
    <row r="13999" spans="2:21" x14ac:dyDescent="0.2">
      <c r="B13999" s="207"/>
      <c r="C13999" s="210"/>
      <c r="D13999" s="211"/>
      <c r="E13999" s="211"/>
      <c r="U13999" s="222"/>
    </row>
    <row r="14000" spans="2:21" x14ac:dyDescent="0.2">
      <c r="B14000" s="207"/>
      <c r="C14000" s="210"/>
      <c r="D14000" s="211"/>
      <c r="E14000" s="211"/>
      <c r="U14000" s="222"/>
    </row>
    <row r="14001" spans="2:21" x14ac:dyDescent="0.2">
      <c r="B14001" s="207"/>
      <c r="C14001" s="210"/>
      <c r="D14001" s="211"/>
      <c r="E14001" s="211"/>
      <c r="U14001" s="222"/>
    </row>
    <row r="14002" spans="2:21" x14ac:dyDescent="0.2">
      <c r="B14002" s="207"/>
      <c r="C14002" s="210"/>
      <c r="D14002" s="211"/>
      <c r="E14002" s="211"/>
      <c r="U14002" s="222"/>
    </row>
    <row r="14003" spans="2:21" x14ac:dyDescent="0.2">
      <c r="B14003" s="207"/>
      <c r="C14003" s="210"/>
      <c r="D14003" s="211"/>
      <c r="E14003" s="211"/>
      <c r="U14003" s="222"/>
    </row>
    <row r="14004" spans="2:21" x14ac:dyDescent="0.2">
      <c r="B14004" s="207"/>
      <c r="C14004" s="210"/>
      <c r="D14004" s="211"/>
      <c r="E14004" s="211"/>
      <c r="U14004" s="222"/>
    </row>
    <row r="14005" spans="2:21" x14ac:dyDescent="0.2">
      <c r="B14005" s="207"/>
      <c r="C14005" s="210"/>
      <c r="D14005" s="211"/>
      <c r="E14005" s="211"/>
      <c r="U14005" s="222"/>
    </row>
    <row r="14006" spans="2:21" x14ac:dyDescent="0.2">
      <c r="B14006" s="207"/>
      <c r="C14006" s="210"/>
      <c r="D14006" s="211"/>
      <c r="E14006" s="211"/>
      <c r="U14006" s="222"/>
    </row>
    <row r="14007" spans="2:21" x14ac:dyDescent="0.2">
      <c r="B14007" s="207"/>
      <c r="C14007" s="210"/>
      <c r="D14007" s="211"/>
      <c r="E14007" s="211"/>
      <c r="U14007" s="222"/>
    </row>
    <row r="14008" spans="2:21" x14ac:dyDescent="0.2">
      <c r="B14008" s="207"/>
      <c r="C14008" s="210"/>
      <c r="D14008" s="211"/>
      <c r="E14008" s="211"/>
      <c r="U14008" s="222"/>
    </row>
    <row r="14009" spans="2:21" x14ac:dyDescent="0.2">
      <c r="B14009" s="207"/>
      <c r="C14009" s="210"/>
      <c r="D14009" s="211"/>
      <c r="E14009" s="211"/>
      <c r="U14009" s="222"/>
    </row>
    <row r="14010" spans="2:21" x14ac:dyDescent="0.2">
      <c r="B14010" s="207"/>
      <c r="C14010" s="210"/>
      <c r="D14010" s="211"/>
      <c r="E14010" s="211"/>
      <c r="U14010" s="222"/>
    </row>
    <row r="14011" spans="2:21" x14ac:dyDescent="0.2">
      <c r="B14011" s="207"/>
      <c r="C14011" s="210"/>
      <c r="D14011" s="211"/>
      <c r="E14011" s="211"/>
      <c r="U14011" s="222"/>
    </row>
    <row r="14012" spans="2:21" x14ac:dyDescent="0.2">
      <c r="B14012" s="207"/>
      <c r="C14012" s="210"/>
      <c r="D14012" s="211"/>
      <c r="E14012" s="211"/>
      <c r="U14012" s="222"/>
    </row>
    <row r="14013" spans="2:21" x14ac:dyDescent="0.2">
      <c r="B14013" s="207"/>
      <c r="C14013" s="210"/>
      <c r="D14013" s="211"/>
      <c r="E14013" s="211"/>
      <c r="U14013" s="222"/>
    </row>
    <row r="14014" spans="2:21" x14ac:dyDescent="0.2">
      <c r="B14014" s="207"/>
      <c r="C14014" s="210"/>
      <c r="D14014" s="211"/>
      <c r="E14014" s="211"/>
      <c r="U14014" s="222"/>
    </row>
    <row r="14015" spans="2:21" x14ac:dyDescent="0.2">
      <c r="B14015" s="207"/>
      <c r="C14015" s="210"/>
      <c r="D14015" s="211"/>
      <c r="E14015" s="211"/>
      <c r="U14015" s="222"/>
    </row>
    <row r="14016" spans="2:21" x14ac:dyDescent="0.2">
      <c r="B14016" s="207"/>
      <c r="C14016" s="210"/>
      <c r="D14016" s="211"/>
      <c r="E14016" s="211"/>
      <c r="U14016" s="222"/>
    </row>
    <row r="14017" spans="2:21" x14ac:dyDescent="0.2">
      <c r="B14017" s="207"/>
      <c r="C14017" s="210"/>
      <c r="D14017" s="211"/>
      <c r="E14017" s="211"/>
      <c r="U14017" s="222"/>
    </row>
    <row r="14018" spans="2:21" x14ac:dyDescent="0.2">
      <c r="B14018" s="207"/>
      <c r="C14018" s="210"/>
      <c r="D14018" s="211"/>
      <c r="E14018" s="211"/>
      <c r="U14018" s="222"/>
    </row>
    <row r="14019" spans="2:21" x14ac:dyDescent="0.2">
      <c r="B14019" s="207"/>
      <c r="C14019" s="210"/>
      <c r="D14019" s="211"/>
      <c r="E14019" s="211"/>
      <c r="U14019" s="222"/>
    </row>
    <row r="14020" spans="2:21" x14ac:dyDescent="0.2">
      <c r="B14020" s="207"/>
      <c r="C14020" s="210"/>
      <c r="D14020" s="211"/>
      <c r="E14020" s="211"/>
      <c r="U14020" s="222"/>
    </row>
    <row r="14021" spans="2:21" x14ac:dyDescent="0.2">
      <c r="B14021" s="207"/>
      <c r="C14021" s="210"/>
      <c r="D14021" s="211"/>
      <c r="E14021" s="211"/>
      <c r="U14021" s="222"/>
    </row>
    <row r="14022" spans="2:21" x14ac:dyDescent="0.2">
      <c r="B14022" s="207"/>
      <c r="C14022" s="210"/>
      <c r="D14022" s="211"/>
      <c r="E14022" s="211"/>
      <c r="U14022" s="222"/>
    </row>
    <row r="14023" spans="2:21" x14ac:dyDescent="0.2">
      <c r="B14023" s="207"/>
      <c r="C14023" s="210"/>
      <c r="D14023" s="211"/>
      <c r="E14023" s="211"/>
      <c r="U14023" s="222"/>
    </row>
    <row r="14024" spans="2:21" x14ac:dyDescent="0.2">
      <c r="B14024" s="207"/>
      <c r="C14024" s="210"/>
      <c r="D14024" s="211"/>
      <c r="E14024" s="211"/>
      <c r="U14024" s="222"/>
    </row>
    <row r="14025" spans="2:21" x14ac:dyDescent="0.2">
      <c r="B14025" s="207"/>
      <c r="C14025" s="210"/>
      <c r="D14025" s="211"/>
      <c r="E14025" s="211"/>
      <c r="U14025" s="222"/>
    </row>
    <row r="14026" spans="2:21" x14ac:dyDescent="0.2">
      <c r="B14026" s="207"/>
      <c r="C14026" s="210"/>
      <c r="D14026" s="211"/>
      <c r="E14026" s="211"/>
      <c r="U14026" s="222"/>
    </row>
    <row r="14027" spans="2:21" x14ac:dyDescent="0.2">
      <c r="B14027" s="207"/>
      <c r="C14027" s="210"/>
      <c r="D14027" s="211"/>
      <c r="E14027" s="211"/>
      <c r="U14027" s="222"/>
    </row>
    <row r="14028" spans="2:21" x14ac:dyDescent="0.2">
      <c r="B14028" s="207"/>
      <c r="C14028" s="210"/>
      <c r="D14028" s="211"/>
      <c r="E14028" s="211"/>
      <c r="U14028" s="222"/>
    </row>
    <row r="14029" spans="2:21" x14ac:dyDescent="0.2">
      <c r="B14029" s="207"/>
      <c r="C14029" s="210"/>
      <c r="D14029" s="211"/>
      <c r="E14029" s="211"/>
      <c r="U14029" s="222"/>
    </row>
    <row r="14030" spans="2:21" x14ac:dyDescent="0.2">
      <c r="B14030" s="207"/>
      <c r="C14030" s="210"/>
      <c r="D14030" s="211"/>
      <c r="E14030" s="211"/>
      <c r="U14030" s="222"/>
    </row>
    <row r="14031" spans="2:21" x14ac:dyDescent="0.2">
      <c r="B14031" s="207"/>
      <c r="C14031" s="210"/>
      <c r="D14031" s="211"/>
      <c r="E14031" s="211"/>
      <c r="U14031" s="222"/>
    </row>
    <row r="14032" spans="2:21" x14ac:dyDescent="0.2">
      <c r="B14032" s="207"/>
      <c r="C14032" s="210"/>
      <c r="D14032" s="211"/>
      <c r="E14032" s="211"/>
      <c r="U14032" s="222"/>
    </row>
    <row r="14033" spans="2:21" x14ac:dyDescent="0.2">
      <c r="B14033" s="207"/>
      <c r="C14033" s="210"/>
      <c r="D14033" s="211"/>
      <c r="E14033" s="211"/>
      <c r="U14033" s="222"/>
    </row>
    <row r="14034" spans="2:21" x14ac:dyDescent="0.2">
      <c r="B14034" s="207"/>
      <c r="C14034" s="210"/>
      <c r="D14034" s="211"/>
      <c r="E14034" s="211"/>
      <c r="U14034" s="222"/>
    </row>
    <row r="14035" spans="2:21" x14ac:dyDescent="0.2">
      <c r="B14035" s="207"/>
      <c r="C14035" s="210"/>
      <c r="D14035" s="211"/>
      <c r="E14035" s="211"/>
      <c r="U14035" s="222"/>
    </row>
    <row r="14036" spans="2:21" x14ac:dyDescent="0.2">
      <c r="B14036" s="207"/>
      <c r="C14036" s="210"/>
      <c r="D14036" s="211"/>
      <c r="E14036" s="211"/>
      <c r="U14036" s="222"/>
    </row>
    <row r="14037" spans="2:21" x14ac:dyDescent="0.2">
      <c r="B14037" s="207"/>
      <c r="C14037" s="210"/>
      <c r="D14037" s="211"/>
      <c r="E14037" s="211"/>
      <c r="U14037" s="222"/>
    </row>
    <row r="14038" spans="2:21" x14ac:dyDescent="0.2">
      <c r="B14038" s="207"/>
      <c r="C14038" s="210"/>
      <c r="D14038" s="211"/>
      <c r="E14038" s="211"/>
      <c r="U14038" s="222"/>
    </row>
    <row r="14039" spans="2:21" x14ac:dyDescent="0.2">
      <c r="B14039" s="207"/>
      <c r="C14039" s="210"/>
      <c r="D14039" s="211"/>
      <c r="E14039" s="211"/>
      <c r="U14039" s="222"/>
    </row>
    <row r="14040" spans="2:21" x14ac:dyDescent="0.2">
      <c r="B14040" s="207"/>
      <c r="C14040" s="210"/>
      <c r="D14040" s="211"/>
      <c r="E14040" s="211"/>
      <c r="U14040" s="222"/>
    </row>
    <row r="14041" spans="2:21" x14ac:dyDescent="0.2">
      <c r="B14041" s="207"/>
      <c r="C14041" s="210"/>
      <c r="D14041" s="211"/>
      <c r="E14041" s="211"/>
      <c r="U14041" s="222"/>
    </row>
    <row r="14042" spans="2:21" x14ac:dyDescent="0.2">
      <c r="B14042" s="207"/>
      <c r="C14042" s="210"/>
      <c r="D14042" s="211"/>
      <c r="E14042" s="211"/>
      <c r="U14042" s="222"/>
    </row>
    <row r="14043" spans="2:21" x14ac:dyDescent="0.2">
      <c r="B14043" s="207"/>
      <c r="C14043" s="210"/>
      <c r="D14043" s="211"/>
      <c r="E14043" s="211"/>
      <c r="U14043" s="222"/>
    </row>
    <row r="14044" spans="2:21" x14ac:dyDescent="0.2">
      <c r="B14044" s="207"/>
      <c r="C14044" s="210"/>
      <c r="D14044" s="211"/>
      <c r="E14044" s="211"/>
      <c r="U14044" s="222"/>
    </row>
    <row r="14045" spans="2:21" x14ac:dyDescent="0.2">
      <c r="B14045" s="207"/>
      <c r="C14045" s="210"/>
      <c r="D14045" s="211"/>
      <c r="E14045" s="211"/>
      <c r="U14045" s="222"/>
    </row>
    <row r="14046" spans="2:21" x14ac:dyDescent="0.2">
      <c r="B14046" s="207"/>
      <c r="C14046" s="210"/>
      <c r="D14046" s="211"/>
      <c r="E14046" s="211"/>
      <c r="U14046" s="222"/>
    </row>
    <row r="14047" spans="2:21" x14ac:dyDescent="0.2">
      <c r="B14047" s="207"/>
      <c r="C14047" s="210"/>
      <c r="D14047" s="211"/>
      <c r="E14047" s="211"/>
      <c r="U14047" s="222"/>
    </row>
    <row r="14048" spans="2:21" x14ac:dyDescent="0.2">
      <c r="B14048" s="207"/>
      <c r="C14048" s="210"/>
      <c r="D14048" s="211"/>
      <c r="E14048" s="211"/>
      <c r="U14048" s="222"/>
    </row>
    <row r="14049" spans="2:21" x14ac:dyDescent="0.2">
      <c r="B14049" s="207"/>
      <c r="C14049" s="210"/>
      <c r="D14049" s="211"/>
      <c r="E14049" s="211"/>
      <c r="U14049" s="222"/>
    </row>
    <row r="14050" spans="2:21" x14ac:dyDescent="0.2">
      <c r="B14050" s="207"/>
      <c r="C14050" s="210"/>
      <c r="D14050" s="211"/>
      <c r="E14050" s="211"/>
      <c r="U14050" s="222"/>
    </row>
    <row r="14051" spans="2:21" x14ac:dyDescent="0.2">
      <c r="B14051" s="207"/>
      <c r="C14051" s="210"/>
      <c r="D14051" s="211"/>
      <c r="E14051" s="211"/>
      <c r="U14051" s="222"/>
    </row>
    <row r="14052" spans="2:21" x14ac:dyDescent="0.2">
      <c r="B14052" s="207"/>
      <c r="C14052" s="210"/>
      <c r="D14052" s="211"/>
      <c r="E14052" s="211"/>
      <c r="U14052" s="222"/>
    </row>
    <row r="14053" spans="2:21" x14ac:dyDescent="0.2">
      <c r="B14053" s="207"/>
      <c r="C14053" s="210"/>
      <c r="D14053" s="211"/>
      <c r="E14053" s="211"/>
      <c r="U14053" s="222"/>
    </row>
    <row r="14054" spans="2:21" x14ac:dyDescent="0.2">
      <c r="B14054" s="207"/>
      <c r="C14054" s="210"/>
      <c r="D14054" s="211"/>
      <c r="E14054" s="211"/>
      <c r="U14054" s="222"/>
    </row>
    <row r="14055" spans="2:21" x14ac:dyDescent="0.2">
      <c r="B14055" s="207"/>
      <c r="C14055" s="210"/>
      <c r="D14055" s="211"/>
      <c r="E14055" s="211"/>
      <c r="U14055" s="222"/>
    </row>
    <row r="14056" spans="2:21" x14ac:dyDescent="0.2">
      <c r="B14056" s="207"/>
      <c r="C14056" s="210"/>
      <c r="D14056" s="211"/>
      <c r="E14056" s="211"/>
      <c r="U14056" s="222"/>
    </row>
    <row r="14057" spans="2:21" x14ac:dyDescent="0.2">
      <c r="B14057" s="207"/>
      <c r="C14057" s="210"/>
      <c r="D14057" s="211"/>
      <c r="E14057" s="211"/>
      <c r="U14057" s="222"/>
    </row>
    <row r="14058" spans="2:21" x14ac:dyDescent="0.2">
      <c r="B14058" s="207"/>
      <c r="C14058" s="210"/>
      <c r="D14058" s="211"/>
      <c r="E14058" s="211"/>
      <c r="U14058" s="222"/>
    </row>
    <row r="14059" spans="2:21" x14ac:dyDescent="0.2">
      <c r="B14059" s="207"/>
      <c r="C14059" s="210"/>
      <c r="D14059" s="211"/>
      <c r="E14059" s="211"/>
      <c r="U14059" s="222"/>
    </row>
    <row r="14060" spans="2:21" x14ac:dyDescent="0.2">
      <c r="B14060" s="207"/>
      <c r="C14060" s="210"/>
      <c r="D14060" s="211"/>
      <c r="E14060" s="211"/>
      <c r="U14060" s="222"/>
    </row>
    <row r="14061" spans="2:21" x14ac:dyDescent="0.2">
      <c r="B14061" s="207"/>
      <c r="C14061" s="210"/>
      <c r="D14061" s="211"/>
      <c r="E14061" s="211"/>
      <c r="U14061" s="222"/>
    </row>
    <row r="14062" spans="2:21" x14ac:dyDescent="0.2">
      <c r="B14062" s="207"/>
      <c r="C14062" s="210"/>
      <c r="D14062" s="211"/>
      <c r="E14062" s="211"/>
      <c r="U14062" s="222"/>
    </row>
    <row r="14063" spans="2:21" x14ac:dyDescent="0.2">
      <c r="B14063" s="207"/>
      <c r="C14063" s="210"/>
      <c r="D14063" s="211"/>
      <c r="E14063" s="211"/>
      <c r="U14063" s="222"/>
    </row>
    <row r="14064" spans="2:21" x14ac:dyDescent="0.2">
      <c r="B14064" s="207"/>
      <c r="C14064" s="210"/>
      <c r="D14064" s="211"/>
      <c r="E14064" s="211"/>
      <c r="U14064" s="222"/>
    </row>
    <row r="14065" spans="2:21" x14ac:dyDescent="0.2">
      <c r="B14065" s="207"/>
      <c r="C14065" s="210"/>
      <c r="D14065" s="211"/>
      <c r="E14065" s="211"/>
      <c r="U14065" s="222"/>
    </row>
    <row r="14066" spans="2:21" x14ac:dyDescent="0.2">
      <c r="B14066" s="207"/>
      <c r="C14066" s="210"/>
      <c r="D14066" s="211"/>
      <c r="E14066" s="211"/>
      <c r="U14066" s="222"/>
    </row>
    <row r="14067" spans="2:21" x14ac:dyDescent="0.2">
      <c r="B14067" s="207"/>
      <c r="C14067" s="210"/>
      <c r="D14067" s="211"/>
      <c r="E14067" s="211"/>
      <c r="U14067" s="222"/>
    </row>
    <row r="14068" spans="2:21" x14ac:dyDescent="0.2">
      <c r="B14068" s="207"/>
      <c r="C14068" s="210"/>
      <c r="D14068" s="211"/>
      <c r="E14068" s="211"/>
      <c r="U14068" s="222"/>
    </row>
    <row r="14069" spans="2:21" x14ac:dyDescent="0.2">
      <c r="B14069" s="207"/>
      <c r="C14069" s="210"/>
      <c r="D14069" s="211"/>
      <c r="E14069" s="211"/>
      <c r="U14069" s="222"/>
    </row>
    <row r="14070" spans="2:21" x14ac:dyDescent="0.2">
      <c r="B14070" s="207"/>
      <c r="C14070" s="210"/>
      <c r="D14070" s="211"/>
      <c r="E14070" s="211"/>
      <c r="U14070" s="222"/>
    </row>
    <row r="14071" spans="2:21" x14ac:dyDescent="0.2">
      <c r="B14071" s="207"/>
      <c r="C14071" s="210"/>
      <c r="D14071" s="211"/>
      <c r="E14071" s="211"/>
      <c r="U14071" s="222"/>
    </row>
    <row r="14072" spans="2:21" x14ac:dyDescent="0.2">
      <c r="B14072" s="207"/>
      <c r="C14072" s="210"/>
      <c r="D14072" s="211"/>
      <c r="E14072" s="211"/>
      <c r="U14072" s="222"/>
    </row>
    <row r="14073" spans="2:21" x14ac:dyDescent="0.2">
      <c r="B14073" s="207"/>
      <c r="C14073" s="210"/>
      <c r="D14073" s="211"/>
      <c r="E14073" s="211"/>
      <c r="U14073" s="222"/>
    </row>
    <row r="14074" spans="2:21" x14ac:dyDescent="0.2">
      <c r="B14074" s="207"/>
      <c r="C14074" s="210"/>
      <c r="D14074" s="211"/>
      <c r="E14074" s="211"/>
      <c r="U14074" s="222"/>
    </row>
    <row r="14075" spans="2:21" x14ac:dyDescent="0.2">
      <c r="B14075" s="207"/>
      <c r="C14075" s="210"/>
      <c r="D14075" s="211"/>
      <c r="E14075" s="211"/>
      <c r="U14075" s="222"/>
    </row>
    <row r="14076" spans="2:21" x14ac:dyDescent="0.2">
      <c r="B14076" s="207"/>
      <c r="C14076" s="210"/>
      <c r="D14076" s="211"/>
      <c r="E14076" s="211"/>
      <c r="U14076" s="222"/>
    </row>
    <row r="14077" spans="2:21" x14ac:dyDescent="0.2">
      <c r="B14077" s="207"/>
      <c r="C14077" s="210"/>
      <c r="D14077" s="211"/>
      <c r="E14077" s="211"/>
      <c r="U14077" s="222"/>
    </row>
    <row r="14078" spans="2:21" x14ac:dyDescent="0.2">
      <c r="B14078" s="207"/>
      <c r="C14078" s="210"/>
      <c r="D14078" s="211"/>
      <c r="E14078" s="211"/>
      <c r="U14078" s="222"/>
    </row>
    <row r="14079" spans="2:21" x14ac:dyDescent="0.2">
      <c r="B14079" s="207"/>
      <c r="C14079" s="210"/>
      <c r="D14079" s="211"/>
      <c r="E14079" s="211"/>
      <c r="U14079" s="222"/>
    </row>
    <row r="14080" spans="2:21" x14ac:dyDescent="0.2">
      <c r="B14080" s="207"/>
      <c r="C14080" s="210"/>
      <c r="D14080" s="211"/>
      <c r="E14080" s="211"/>
      <c r="U14080" s="222"/>
    </row>
    <row r="14081" spans="2:21" x14ac:dyDescent="0.2">
      <c r="B14081" s="207"/>
      <c r="C14081" s="210"/>
      <c r="D14081" s="211"/>
      <c r="E14081" s="211"/>
      <c r="U14081" s="222"/>
    </row>
    <row r="14082" spans="2:21" x14ac:dyDescent="0.2">
      <c r="B14082" s="207"/>
      <c r="C14082" s="210"/>
      <c r="D14082" s="211"/>
      <c r="E14082" s="211"/>
      <c r="U14082" s="222"/>
    </row>
    <row r="14083" spans="2:21" x14ac:dyDescent="0.2">
      <c r="B14083" s="207"/>
      <c r="C14083" s="210"/>
      <c r="D14083" s="211"/>
      <c r="E14083" s="211"/>
      <c r="U14083" s="222"/>
    </row>
    <row r="14084" spans="2:21" x14ac:dyDescent="0.2">
      <c r="B14084" s="207"/>
      <c r="C14084" s="210"/>
      <c r="D14084" s="211"/>
      <c r="E14084" s="211"/>
      <c r="U14084" s="222"/>
    </row>
    <row r="14085" spans="2:21" x14ac:dyDescent="0.2">
      <c r="B14085" s="207"/>
      <c r="C14085" s="210"/>
      <c r="D14085" s="211"/>
      <c r="E14085" s="211"/>
      <c r="U14085" s="222"/>
    </row>
    <row r="14086" spans="2:21" x14ac:dyDescent="0.2">
      <c r="B14086" s="207"/>
      <c r="C14086" s="210"/>
      <c r="D14086" s="211"/>
      <c r="E14086" s="211"/>
      <c r="U14086" s="222"/>
    </row>
    <row r="14087" spans="2:21" x14ac:dyDescent="0.2">
      <c r="B14087" s="207"/>
      <c r="C14087" s="210"/>
      <c r="D14087" s="211"/>
      <c r="E14087" s="211"/>
      <c r="U14087" s="222"/>
    </row>
    <row r="14088" spans="2:21" x14ac:dyDescent="0.2">
      <c r="B14088" s="207"/>
      <c r="C14088" s="210"/>
      <c r="D14088" s="211"/>
      <c r="E14088" s="211"/>
      <c r="U14088" s="222"/>
    </row>
    <row r="14089" spans="2:21" x14ac:dyDescent="0.2">
      <c r="B14089" s="207"/>
      <c r="C14089" s="210"/>
      <c r="D14089" s="211"/>
      <c r="E14089" s="211"/>
      <c r="U14089" s="222"/>
    </row>
    <row r="14090" spans="2:21" x14ac:dyDescent="0.2">
      <c r="B14090" s="207"/>
      <c r="C14090" s="210"/>
      <c r="D14090" s="211"/>
      <c r="E14090" s="211"/>
      <c r="U14090" s="222"/>
    </row>
    <row r="14091" spans="2:21" x14ac:dyDescent="0.2">
      <c r="B14091" s="207"/>
      <c r="C14091" s="210"/>
      <c r="D14091" s="211"/>
      <c r="E14091" s="211"/>
      <c r="U14091" s="222"/>
    </row>
    <row r="14092" spans="2:21" x14ac:dyDescent="0.2">
      <c r="B14092" s="207"/>
      <c r="C14092" s="210"/>
      <c r="D14092" s="211"/>
      <c r="E14092" s="211"/>
      <c r="U14092" s="222"/>
    </row>
    <row r="14093" spans="2:21" x14ac:dyDescent="0.2">
      <c r="B14093" s="207"/>
      <c r="C14093" s="210"/>
      <c r="D14093" s="211"/>
      <c r="E14093" s="211"/>
      <c r="U14093" s="222"/>
    </row>
    <row r="14094" spans="2:21" x14ac:dyDescent="0.2">
      <c r="B14094" s="207"/>
      <c r="C14094" s="210"/>
      <c r="D14094" s="211"/>
      <c r="E14094" s="211"/>
      <c r="U14094" s="222"/>
    </row>
    <row r="14095" spans="2:21" x14ac:dyDescent="0.2">
      <c r="B14095" s="207"/>
      <c r="C14095" s="210"/>
      <c r="D14095" s="211"/>
      <c r="E14095" s="211"/>
      <c r="U14095" s="222"/>
    </row>
    <row r="14096" spans="2:21" x14ac:dyDescent="0.2">
      <c r="B14096" s="207"/>
      <c r="C14096" s="210"/>
      <c r="D14096" s="211"/>
      <c r="E14096" s="211"/>
      <c r="U14096" s="222"/>
    </row>
    <row r="14097" spans="2:21" x14ac:dyDescent="0.2">
      <c r="B14097" s="207"/>
      <c r="C14097" s="210"/>
      <c r="D14097" s="211"/>
      <c r="E14097" s="211"/>
      <c r="U14097" s="222"/>
    </row>
    <row r="14098" spans="2:21" x14ac:dyDescent="0.2">
      <c r="B14098" s="207"/>
      <c r="C14098" s="210"/>
      <c r="D14098" s="211"/>
      <c r="E14098" s="211"/>
      <c r="U14098" s="222"/>
    </row>
    <row r="14099" spans="2:21" x14ac:dyDescent="0.2">
      <c r="B14099" s="207"/>
      <c r="C14099" s="210"/>
      <c r="D14099" s="211"/>
      <c r="E14099" s="211"/>
      <c r="U14099" s="222"/>
    </row>
    <row r="14100" spans="2:21" x14ac:dyDescent="0.2">
      <c r="B14100" s="207"/>
      <c r="C14100" s="210"/>
      <c r="D14100" s="211"/>
      <c r="E14100" s="211"/>
      <c r="U14100" s="222"/>
    </row>
    <row r="14101" spans="2:21" x14ac:dyDescent="0.2">
      <c r="B14101" s="207"/>
      <c r="C14101" s="210"/>
      <c r="D14101" s="211"/>
      <c r="E14101" s="211"/>
      <c r="U14101" s="222"/>
    </row>
    <row r="14102" spans="2:21" x14ac:dyDescent="0.2">
      <c r="B14102" s="207"/>
      <c r="C14102" s="210"/>
      <c r="D14102" s="211"/>
      <c r="E14102" s="211"/>
      <c r="U14102" s="222"/>
    </row>
    <row r="14103" spans="2:21" x14ac:dyDescent="0.2">
      <c r="B14103" s="207"/>
      <c r="C14103" s="210"/>
      <c r="D14103" s="211"/>
      <c r="E14103" s="211"/>
      <c r="U14103" s="222"/>
    </row>
    <row r="14104" spans="2:21" x14ac:dyDescent="0.2">
      <c r="B14104" s="207"/>
      <c r="C14104" s="210"/>
      <c r="D14104" s="211"/>
      <c r="E14104" s="211"/>
      <c r="U14104" s="222"/>
    </row>
    <row r="14105" spans="2:21" x14ac:dyDescent="0.2">
      <c r="B14105" s="207"/>
      <c r="C14105" s="210"/>
      <c r="D14105" s="211"/>
      <c r="E14105" s="211"/>
      <c r="U14105" s="222"/>
    </row>
    <row r="14106" spans="2:21" x14ac:dyDescent="0.2">
      <c r="B14106" s="207"/>
      <c r="C14106" s="210"/>
      <c r="D14106" s="211"/>
      <c r="E14106" s="211"/>
      <c r="U14106" s="222"/>
    </row>
    <row r="14107" spans="2:21" x14ac:dyDescent="0.2">
      <c r="B14107" s="207"/>
      <c r="C14107" s="210"/>
      <c r="D14107" s="211"/>
      <c r="E14107" s="211"/>
      <c r="U14107" s="222"/>
    </row>
    <row r="14108" spans="2:21" x14ac:dyDescent="0.2">
      <c r="B14108" s="207"/>
      <c r="C14108" s="210"/>
      <c r="D14108" s="211"/>
      <c r="E14108" s="211"/>
      <c r="U14108" s="222"/>
    </row>
    <row r="14109" spans="2:21" x14ac:dyDescent="0.2">
      <c r="B14109" s="207"/>
      <c r="C14109" s="210"/>
      <c r="D14109" s="211"/>
      <c r="E14109" s="211"/>
      <c r="U14109" s="222"/>
    </row>
    <row r="14110" spans="2:21" x14ac:dyDescent="0.2">
      <c r="B14110" s="207"/>
      <c r="C14110" s="210"/>
      <c r="D14110" s="211"/>
      <c r="E14110" s="211"/>
      <c r="U14110" s="222"/>
    </row>
    <row r="14111" spans="2:21" x14ac:dyDescent="0.2">
      <c r="B14111" s="207"/>
      <c r="C14111" s="210"/>
      <c r="D14111" s="211"/>
      <c r="E14111" s="211"/>
      <c r="U14111" s="222"/>
    </row>
    <row r="14112" spans="2:21" x14ac:dyDescent="0.2">
      <c r="B14112" s="207"/>
      <c r="C14112" s="210"/>
      <c r="D14112" s="211"/>
      <c r="E14112" s="211"/>
      <c r="U14112" s="222"/>
    </row>
    <row r="14113" spans="2:21" x14ac:dyDescent="0.2">
      <c r="B14113" s="207"/>
      <c r="C14113" s="210"/>
      <c r="D14113" s="211"/>
      <c r="E14113" s="211"/>
      <c r="U14113" s="222"/>
    </row>
    <row r="14114" spans="2:21" x14ac:dyDescent="0.2">
      <c r="B14114" s="207"/>
      <c r="C14114" s="210"/>
      <c r="D14114" s="211"/>
      <c r="E14114" s="211"/>
      <c r="U14114" s="222"/>
    </row>
    <row r="14115" spans="2:21" x14ac:dyDescent="0.2">
      <c r="B14115" s="207"/>
      <c r="C14115" s="210"/>
      <c r="D14115" s="211"/>
      <c r="E14115" s="211"/>
      <c r="U14115" s="222"/>
    </row>
    <row r="14116" spans="2:21" x14ac:dyDescent="0.2">
      <c r="B14116" s="207"/>
      <c r="C14116" s="210"/>
      <c r="D14116" s="211"/>
      <c r="E14116" s="211"/>
      <c r="U14116" s="222"/>
    </row>
    <row r="14117" spans="2:21" x14ac:dyDescent="0.2">
      <c r="B14117" s="207"/>
      <c r="C14117" s="210"/>
      <c r="D14117" s="211"/>
      <c r="E14117" s="211"/>
      <c r="U14117" s="222"/>
    </row>
    <row r="14118" spans="2:21" x14ac:dyDescent="0.2">
      <c r="B14118" s="207"/>
      <c r="C14118" s="210"/>
      <c r="D14118" s="211"/>
      <c r="E14118" s="211"/>
      <c r="U14118" s="222"/>
    </row>
    <row r="14119" spans="2:21" x14ac:dyDescent="0.2">
      <c r="B14119" s="207"/>
      <c r="C14119" s="210"/>
      <c r="D14119" s="211"/>
      <c r="E14119" s="211"/>
      <c r="U14119" s="222"/>
    </row>
    <row r="14120" spans="2:21" x14ac:dyDescent="0.2">
      <c r="B14120" s="207"/>
      <c r="C14120" s="210"/>
      <c r="D14120" s="211"/>
      <c r="E14120" s="211"/>
      <c r="U14120" s="222"/>
    </row>
    <row r="14121" spans="2:21" x14ac:dyDescent="0.2">
      <c r="B14121" s="207"/>
      <c r="C14121" s="210"/>
      <c r="D14121" s="211"/>
      <c r="E14121" s="211"/>
      <c r="U14121" s="222"/>
    </row>
    <row r="14122" spans="2:21" x14ac:dyDescent="0.2">
      <c r="B14122" s="207"/>
      <c r="C14122" s="210"/>
      <c r="D14122" s="211"/>
      <c r="E14122" s="211"/>
      <c r="U14122" s="222"/>
    </row>
    <row r="14123" spans="2:21" x14ac:dyDescent="0.2">
      <c r="B14123" s="207"/>
      <c r="C14123" s="210"/>
      <c r="D14123" s="211"/>
      <c r="E14123" s="211"/>
      <c r="U14123" s="222"/>
    </row>
    <row r="14124" spans="2:21" x14ac:dyDescent="0.2">
      <c r="B14124" s="207"/>
      <c r="C14124" s="210"/>
      <c r="D14124" s="211"/>
      <c r="E14124" s="211"/>
      <c r="U14124" s="222"/>
    </row>
    <row r="14125" spans="2:21" x14ac:dyDescent="0.2">
      <c r="B14125" s="207"/>
      <c r="C14125" s="210"/>
      <c r="D14125" s="211"/>
      <c r="E14125" s="211"/>
      <c r="U14125" s="222"/>
    </row>
    <row r="14126" spans="2:21" x14ac:dyDescent="0.2">
      <c r="B14126" s="207"/>
      <c r="C14126" s="210"/>
      <c r="D14126" s="211"/>
      <c r="E14126" s="211"/>
      <c r="U14126" s="222"/>
    </row>
    <row r="14127" spans="2:21" x14ac:dyDescent="0.2">
      <c r="B14127" s="207"/>
      <c r="C14127" s="210"/>
      <c r="D14127" s="211"/>
      <c r="E14127" s="211"/>
      <c r="U14127" s="222"/>
    </row>
    <row r="14128" spans="2:21" x14ac:dyDescent="0.2">
      <c r="B14128" s="207"/>
      <c r="C14128" s="210"/>
      <c r="D14128" s="211"/>
      <c r="E14128" s="211"/>
      <c r="U14128" s="222"/>
    </row>
    <row r="14129" spans="2:21" x14ac:dyDescent="0.2">
      <c r="B14129" s="207"/>
      <c r="C14129" s="210"/>
      <c r="D14129" s="211"/>
      <c r="E14129" s="211"/>
      <c r="U14129" s="222"/>
    </row>
    <row r="14130" spans="2:21" x14ac:dyDescent="0.2">
      <c r="B14130" s="207"/>
      <c r="C14130" s="210"/>
      <c r="D14130" s="211"/>
      <c r="E14130" s="211"/>
      <c r="U14130" s="222"/>
    </row>
    <row r="14131" spans="2:21" x14ac:dyDescent="0.2">
      <c r="B14131" s="207"/>
      <c r="C14131" s="210"/>
      <c r="D14131" s="211"/>
      <c r="E14131" s="211"/>
      <c r="U14131" s="222"/>
    </row>
    <row r="14132" spans="2:21" x14ac:dyDescent="0.2">
      <c r="B14132" s="207"/>
      <c r="C14132" s="210"/>
      <c r="D14132" s="211"/>
      <c r="E14132" s="211"/>
      <c r="U14132" s="222"/>
    </row>
    <row r="14133" spans="2:21" x14ac:dyDescent="0.2">
      <c r="B14133" s="207"/>
      <c r="C14133" s="210"/>
      <c r="D14133" s="211"/>
      <c r="E14133" s="211"/>
      <c r="U14133" s="222"/>
    </row>
    <row r="14134" spans="2:21" x14ac:dyDescent="0.2">
      <c r="B14134" s="207"/>
      <c r="C14134" s="210"/>
      <c r="D14134" s="211"/>
      <c r="E14134" s="211"/>
      <c r="U14134" s="222"/>
    </row>
    <row r="14135" spans="2:21" x14ac:dyDescent="0.2">
      <c r="B14135" s="207"/>
      <c r="C14135" s="210"/>
      <c r="D14135" s="211"/>
      <c r="E14135" s="211"/>
      <c r="U14135" s="222"/>
    </row>
    <row r="14136" spans="2:21" x14ac:dyDescent="0.2">
      <c r="B14136" s="207"/>
      <c r="C14136" s="210"/>
      <c r="D14136" s="211"/>
      <c r="E14136" s="211"/>
      <c r="U14136" s="222"/>
    </row>
    <row r="14137" spans="2:21" x14ac:dyDescent="0.2">
      <c r="B14137" s="207"/>
      <c r="C14137" s="210"/>
      <c r="D14137" s="211"/>
      <c r="E14137" s="211"/>
      <c r="U14137" s="222"/>
    </row>
    <row r="14138" spans="2:21" x14ac:dyDescent="0.2">
      <c r="B14138" s="207"/>
      <c r="C14138" s="210"/>
      <c r="D14138" s="211"/>
      <c r="E14138" s="211"/>
      <c r="U14138" s="222"/>
    </row>
    <row r="14139" spans="2:21" x14ac:dyDescent="0.2">
      <c r="B14139" s="207"/>
      <c r="C14139" s="210"/>
      <c r="D14139" s="211"/>
      <c r="E14139" s="211"/>
      <c r="U14139" s="222"/>
    </row>
    <row r="14140" spans="2:21" x14ac:dyDescent="0.2">
      <c r="B14140" s="207"/>
      <c r="C14140" s="210"/>
      <c r="D14140" s="211"/>
      <c r="E14140" s="211"/>
      <c r="U14140" s="222"/>
    </row>
    <row r="14141" spans="2:21" x14ac:dyDescent="0.2">
      <c r="B14141" s="207"/>
      <c r="C14141" s="210"/>
      <c r="D14141" s="211"/>
      <c r="E14141" s="211"/>
      <c r="U14141" s="222"/>
    </row>
    <row r="14142" spans="2:21" x14ac:dyDescent="0.2">
      <c r="B14142" s="207"/>
      <c r="C14142" s="210"/>
      <c r="D14142" s="211"/>
      <c r="E14142" s="211"/>
      <c r="U14142" s="222"/>
    </row>
    <row r="14143" spans="2:21" x14ac:dyDescent="0.2">
      <c r="B14143" s="207"/>
      <c r="C14143" s="210"/>
      <c r="D14143" s="211"/>
      <c r="E14143" s="211"/>
      <c r="U14143" s="222"/>
    </row>
    <row r="14144" spans="2:21" x14ac:dyDescent="0.2">
      <c r="B14144" s="207"/>
      <c r="C14144" s="210"/>
      <c r="D14144" s="211"/>
      <c r="E14144" s="211"/>
      <c r="U14144" s="222"/>
    </row>
    <row r="14145" spans="2:21" x14ac:dyDescent="0.2">
      <c r="B14145" s="207"/>
      <c r="C14145" s="210"/>
      <c r="D14145" s="211"/>
      <c r="E14145" s="211"/>
      <c r="U14145" s="222"/>
    </row>
    <row r="14146" spans="2:21" x14ac:dyDescent="0.2">
      <c r="B14146" s="207"/>
      <c r="C14146" s="210"/>
      <c r="D14146" s="211"/>
      <c r="E14146" s="211"/>
      <c r="U14146" s="222"/>
    </row>
    <row r="14147" spans="2:21" x14ac:dyDescent="0.2">
      <c r="B14147" s="207"/>
      <c r="C14147" s="210"/>
      <c r="D14147" s="211"/>
      <c r="E14147" s="211"/>
      <c r="U14147" s="222"/>
    </row>
    <row r="14148" spans="2:21" x14ac:dyDescent="0.2">
      <c r="B14148" s="207"/>
      <c r="C14148" s="210"/>
      <c r="D14148" s="211"/>
      <c r="E14148" s="211"/>
      <c r="U14148" s="222"/>
    </row>
    <row r="14149" spans="2:21" x14ac:dyDescent="0.2">
      <c r="B14149" s="207"/>
      <c r="C14149" s="210"/>
      <c r="D14149" s="211"/>
      <c r="E14149" s="211"/>
      <c r="U14149" s="222"/>
    </row>
    <row r="14150" spans="2:21" x14ac:dyDescent="0.2">
      <c r="B14150" s="207"/>
      <c r="C14150" s="210"/>
      <c r="D14150" s="211"/>
      <c r="E14150" s="211"/>
      <c r="U14150" s="222"/>
    </row>
    <row r="14151" spans="2:21" x14ac:dyDescent="0.2">
      <c r="B14151" s="207"/>
      <c r="C14151" s="210"/>
      <c r="D14151" s="211"/>
      <c r="E14151" s="211"/>
      <c r="U14151" s="222"/>
    </row>
    <row r="14152" spans="2:21" x14ac:dyDescent="0.2">
      <c r="B14152" s="207"/>
      <c r="C14152" s="210"/>
      <c r="D14152" s="211"/>
      <c r="E14152" s="211"/>
      <c r="U14152" s="222"/>
    </row>
    <row r="14153" spans="2:21" x14ac:dyDescent="0.2">
      <c r="B14153" s="207"/>
      <c r="C14153" s="210"/>
      <c r="D14153" s="211"/>
      <c r="E14153" s="211"/>
      <c r="U14153" s="222"/>
    </row>
    <row r="14154" spans="2:21" x14ac:dyDescent="0.2">
      <c r="B14154" s="207"/>
      <c r="C14154" s="210"/>
      <c r="D14154" s="211"/>
      <c r="E14154" s="211"/>
      <c r="U14154" s="222"/>
    </row>
    <row r="14155" spans="2:21" x14ac:dyDescent="0.2">
      <c r="B14155" s="207"/>
      <c r="C14155" s="210"/>
      <c r="D14155" s="211"/>
      <c r="E14155" s="211"/>
      <c r="U14155" s="222"/>
    </row>
    <row r="14156" spans="2:21" x14ac:dyDescent="0.2">
      <c r="B14156" s="207"/>
      <c r="C14156" s="210"/>
      <c r="D14156" s="211"/>
      <c r="E14156" s="211"/>
      <c r="U14156" s="222"/>
    </row>
    <row r="14157" spans="2:21" x14ac:dyDescent="0.2">
      <c r="B14157" s="207"/>
      <c r="C14157" s="210"/>
      <c r="D14157" s="211"/>
      <c r="E14157" s="211"/>
      <c r="U14157" s="222"/>
    </row>
    <row r="14158" spans="2:21" x14ac:dyDescent="0.2">
      <c r="B14158" s="207"/>
      <c r="C14158" s="210"/>
      <c r="D14158" s="211"/>
      <c r="E14158" s="211"/>
      <c r="U14158" s="222"/>
    </row>
    <row r="14159" spans="2:21" x14ac:dyDescent="0.2">
      <c r="B14159" s="207"/>
      <c r="C14159" s="210"/>
      <c r="D14159" s="211"/>
      <c r="E14159" s="211"/>
      <c r="U14159" s="222"/>
    </row>
    <row r="14160" spans="2:21" x14ac:dyDescent="0.2">
      <c r="B14160" s="207"/>
      <c r="C14160" s="210"/>
      <c r="D14160" s="211"/>
      <c r="E14160" s="211"/>
      <c r="U14160" s="222"/>
    </row>
    <row r="14161" spans="2:21" x14ac:dyDescent="0.2">
      <c r="B14161" s="207"/>
      <c r="C14161" s="210"/>
      <c r="D14161" s="211"/>
      <c r="E14161" s="211"/>
      <c r="U14161" s="222"/>
    </row>
    <row r="14162" spans="2:21" x14ac:dyDescent="0.2">
      <c r="B14162" s="207"/>
      <c r="C14162" s="210"/>
      <c r="D14162" s="211"/>
      <c r="E14162" s="211"/>
      <c r="U14162" s="222"/>
    </row>
    <row r="14163" spans="2:21" x14ac:dyDescent="0.2">
      <c r="B14163" s="207"/>
      <c r="C14163" s="210"/>
      <c r="D14163" s="211"/>
      <c r="E14163" s="211"/>
      <c r="U14163" s="222"/>
    </row>
    <row r="14164" spans="2:21" x14ac:dyDescent="0.2">
      <c r="B14164" s="207"/>
      <c r="C14164" s="210"/>
      <c r="D14164" s="211"/>
      <c r="E14164" s="211"/>
      <c r="U14164" s="222"/>
    </row>
    <row r="14165" spans="2:21" x14ac:dyDescent="0.2">
      <c r="B14165" s="207"/>
      <c r="C14165" s="210"/>
      <c r="D14165" s="211"/>
      <c r="E14165" s="211"/>
      <c r="U14165" s="222"/>
    </row>
    <row r="14166" spans="2:21" x14ac:dyDescent="0.2">
      <c r="B14166" s="207"/>
      <c r="C14166" s="210"/>
      <c r="D14166" s="211"/>
      <c r="E14166" s="211"/>
      <c r="U14166" s="222"/>
    </row>
    <row r="14167" spans="2:21" x14ac:dyDescent="0.2">
      <c r="B14167" s="207"/>
      <c r="C14167" s="210"/>
      <c r="D14167" s="211"/>
      <c r="E14167" s="211"/>
      <c r="U14167" s="222"/>
    </row>
    <row r="14168" spans="2:21" x14ac:dyDescent="0.2">
      <c r="B14168" s="207"/>
      <c r="C14168" s="210"/>
      <c r="D14168" s="211"/>
      <c r="E14168" s="211"/>
      <c r="U14168" s="222"/>
    </row>
    <row r="14169" spans="2:21" x14ac:dyDescent="0.2">
      <c r="B14169" s="207"/>
      <c r="C14169" s="210"/>
      <c r="D14169" s="211"/>
      <c r="E14169" s="211"/>
      <c r="U14169" s="222"/>
    </row>
    <row r="14170" spans="2:21" x14ac:dyDescent="0.2">
      <c r="B14170" s="207"/>
      <c r="C14170" s="210"/>
      <c r="D14170" s="211"/>
      <c r="E14170" s="211"/>
      <c r="U14170" s="222"/>
    </row>
    <row r="14171" spans="2:21" x14ac:dyDescent="0.2">
      <c r="B14171" s="207"/>
      <c r="C14171" s="210"/>
      <c r="D14171" s="211"/>
      <c r="E14171" s="211"/>
      <c r="U14171" s="222"/>
    </row>
    <row r="14172" spans="2:21" x14ac:dyDescent="0.2">
      <c r="B14172" s="207"/>
      <c r="C14172" s="210"/>
      <c r="D14172" s="211"/>
      <c r="E14172" s="211"/>
      <c r="U14172" s="222"/>
    </row>
    <row r="14173" spans="2:21" x14ac:dyDescent="0.2">
      <c r="B14173" s="207"/>
      <c r="C14173" s="210"/>
      <c r="D14173" s="211"/>
      <c r="E14173" s="211"/>
      <c r="U14173" s="222"/>
    </row>
    <row r="14174" spans="2:21" x14ac:dyDescent="0.2">
      <c r="B14174" s="207"/>
      <c r="C14174" s="210"/>
      <c r="D14174" s="211"/>
      <c r="E14174" s="211"/>
      <c r="U14174" s="222"/>
    </row>
    <row r="14175" spans="2:21" x14ac:dyDescent="0.2">
      <c r="B14175" s="207"/>
      <c r="C14175" s="210"/>
      <c r="D14175" s="211"/>
      <c r="E14175" s="211"/>
      <c r="U14175" s="222"/>
    </row>
    <row r="14176" spans="2:21" x14ac:dyDescent="0.2">
      <c r="B14176" s="207"/>
      <c r="C14176" s="210"/>
      <c r="D14176" s="211"/>
      <c r="E14176" s="211"/>
      <c r="U14176" s="222"/>
    </row>
    <row r="14177" spans="2:21" x14ac:dyDescent="0.2">
      <c r="B14177" s="207"/>
      <c r="C14177" s="210"/>
      <c r="D14177" s="211"/>
      <c r="E14177" s="211"/>
      <c r="U14177" s="222"/>
    </row>
    <row r="14178" spans="2:21" x14ac:dyDescent="0.2">
      <c r="B14178" s="207"/>
      <c r="C14178" s="210"/>
      <c r="D14178" s="211"/>
      <c r="E14178" s="211"/>
      <c r="U14178" s="222"/>
    </row>
    <row r="14179" spans="2:21" x14ac:dyDescent="0.2">
      <c r="B14179" s="207"/>
      <c r="C14179" s="210"/>
      <c r="D14179" s="211"/>
      <c r="E14179" s="211"/>
      <c r="U14179" s="222"/>
    </row>
    <row r="14180" spans="2:21" x14ac:dyDescent="0.2">
      <c r="B14180" s="207"/>
      <c r="C14180" s="210"/>
      <c r="D14180" s="211"/>
      <c r="E14180" s="211"/>
      <c r="U14180" s="222"/>
    </row>
    <row r="14181" spans="2:21" x14ac:dyDescent="0.2">
      <c r="B14181" s="207"/>
      <c r="C14181" s="210"/>
      <c r="D14181" s="211"/>
      <c r="E14181" s="211"/>
      <c r="U14181" s="222"/>
    </row>
    <row r="14182" spans="2:21" x14ac:dyDescent="0.2">
      <c r="B14182" s="207"/>
      <c r="C14182" s="210"/>
      <c r="D14182" s="211"/>
      <c r="E14182" s="211"/>
      <c r="U14182" s="222"/>
    </row>
    <row r="14183" spans="2:21" x14ac:dyDescent="0.2">
      <c r="B14183" s="207"/>
      <c r="C14183" s="210"/>
      <c r="D14183" s="211"/>
      <c r="E14183" s="211"/>
      <c r="U14183" s="222"/>
    </row>
    <row r="14184" spans="2:21" x14ac:dyDescent="0.2">
      <c r="B14184" s="207"/>
      <c r="C14184" s="210"/>
      <c r="D14184" s="211"/>
      <c r="E14184" s="211"/>
      <c r="U14184" s="222"/>
    </row>
    <row r="14185" spans="2:21" x14ac:dyDescent="0.2">
      <c r="B14185" s="207"/>
      <c r="C14185" s="210"/>
      <c r="D14185" s="211"/>
      <c r="E14185" s="211"/>
      <c r="U14185" s="222"/>
    </row>
    <row r="14186" spans="2:21" x14ac:dyDescent="0.2">
      <c r="B14186" s="207"/>
      <c r="C14186" s="210"/>
      <c r="D14186" s="211"/>
      <c r="E14186" s="211"/>
      <c r="U14186" s="222"/>
    </row>
    <row r="14187" spans="2:21" x14ac:dyDescent="0.2">
      <c r="B14187" s="207"/>
      <c r="C14187" s="210"/>
      <c r="D14187" s="211"/>
      <c r="E14187" s="211"/>
      <c r="U14187" s="222"/>
    </row>
    <row r="14188" spans="2:21" x14ac:dyDescent="0.2">
      <c r="B14188" s="207"/>
      <c r="C14188" s="210"/>
      <c r="D14188" s="211"/>
      <c r="E14188" s="211"/>
      <c r="U14188" s="222"/>
    </row>
    <row r="14189" spans="2:21" x14ac:dyDescent="0.2">
      <c r="B14189" s="207"/>
      <c r="C14189" s="210"/>
      <c r="D14189" s="211"/>
      <c r="E14189" s="211"/>
      <c r="U14189" s="222"/>
    </row>
    <row r="14190" spans="2:21" x14ac:dyDescent="0.2">
      <c r="B14190" s="207"/>
      <c r="C14190" s="210"/>
      <c r="D14190" s="211"/>
      <c r="E14190" s="211"/>
      <c r="U14190" s="222"/>
    </row>
    <row r="14191" spans="2:21" x14ac:dyDescent="0.2">
      <c r="B14191" s="207"/>
      <c r="C14191" s="210"/>
      <c r="D14191" s="211"/>
      <c r="E14191" s="211"/>
      <c r="U14191" s="222"/>
    </row>
    <row r="14192" spans="2:21" x14ac:dyDescent="0.2">
      <c r="B14192" s="207"/>
      <c r="C14192" s="210"/>
      <c r="D14192" s="211"/>
      <c r="E14192" s="211"/>
      <c r="U14192" s="222"/>
    </row>
    <row r="14193" spans="2:21" x14ac:dyDescent="0.2">
      <c r="B14193" s="207"/>
      <c r="C14193" s="210"/>
      <c r="D14193" s="211"/>
      <c r="E14193" s="211"/>
      <c r="U14193" s="222"/>
    </row>
    <row r="14194" spans="2:21" x14ac:dyDescent="0.2">
      <c r="B14194" s="207"/>
      <c r="C14194" s="210"/>
      <c r="D14194" s="211"/>
      <c r="E14194" s="211"/>
      <c r="U14194" s="222"/>
    </row>
    <row r="14195" spans="2:21" x14ac:dyDescent="0.2">
      <c r="B14195" s="207"/>
      <c r="C14195" s="210"/>
      <c r="D14195" s="211"/>
      <c r="E14195" s="211"/>
      <c r="U14195" s="222"/>
    </row>
    <row r="14196" spans="2:21" x14ac:dyDescent="0.2">
      <c r="B14196" s="207"/>
      <c r="C14196" s="210"/>
      <c r="D14196" s="211"/>
      <c r="E14196" s="211"/>
      <c r="U14196" s="222"/>
    </row>
    <row r="14197" spans="2:21" x14ac:dyDescent="0.2">
      <c r="B14197" s="207"/>
      <c r="C14197" s="210"/>
      <c r="D14197" s="211"/>
      <c r="E14197" s="211"/>
      <c r="U14197" s="222"/>
    </row>
    <row r="14198" spans="2:21" x14ac:dyDescent="0.2">
      <c r="B14198" s="207"/>
      <c r="C14198" s="210"/>
      <c r="D14198" s="211"/>
      <c r="E14198" s="211"/>
      <c r="U14198" s="222"/>
    </row>
    <row r="14199" spans="2:21" x14ac:dyDescent="0.2">
      <c r="B14199" s="207"/>
      <c r="C14199" s="210"/>
      <c r="D14199" s="211"/>
      <c r="E14199" s="211"/>
      <c r="U14199" s="222"/>
    </row>
    <row r="14200" spans="2:21" x14ac:dyDescent="0.2">
      <c r="B14200" s="207"/>
      <c r="C14200" s="210"/>
      <c r="D14200" s="211"/>
      <c r="E14200" s="211"/>
      <c r="U14200" s="222"/>
    </row>
    <row r="14201" spans="2:21" x14ac:dyDescent="0.2">
      <c r="B14201" s="207"/>
      <c r="C14201" s="210"/>
      <c r="D14201" s="211"/>
      <c r="E14201" s="211"/>
      <c r="U14201" s="222"/>
    </row>
    <row r="14202" spans="2:21" x14ac:dyDescent="0.2">
      <c r="B14202" s="207"/>
      <c r="C14202" s="210"/>
      <c r="D14202" s="211"/>
      <c r="E14202" s="211"/>
      <c r="U14202" s="222"/>
    </row>
    <row r="14203" spans="2:21" x14ac:dyDescent="0.2">
      <c r="B14203" s="207"/>
      <c r="C14203" s="210"/>
      <c r="D14203" s="211"/>
      <c r="E14203" s="211"/>
      <c r="U14203" s="222"/>
    </row>
    <row r="14204" spans="2:21" x14ac:dyDescent="0.2">
      <c r="B14204" s="207"/>
      <c r="C14204" s="210"/>
      <c r="D14204" s="211"/>
      <c r="E14204" s="211"/>
      <c r="U14204" s="222"/>
    </row>
    <row r="14205" spans="2:21" x14ac:dyDescent="0.2">
      <c r="B14205" s="207"/>
      <c r="C14205" s="210"/>
      <c r="D14205" s="211"/>
      <c r="E14205" s="211"/>
      <c r="U14205" s="222"/>
    </row>
    <row r="14206" spans="2:21" x14ac:dyDescent="0.2">
      <c r="B14206" s="207"/>
      <c r="C14206" s="210"/>
      <c r="D14206" s="211"/>
      <c r="E14206" s="211"/>
      <c r="U14206" s="222"/>
    </row>
    <row r="14207" spans="2:21" x14ac:dyDescent="0.2">
      <c r="B14207" s="207"/>
      <c r="C14207" s="210"/>
      <c r="D14207" s="211"/>
      <c r="E14207" s="211"/>
      <c r="U14207" s="222"/>
    </row>
    <row r="14208" spans="2:21" x14ac:dyDescent="0.2">
      <c r="B14208" s="207"/>
      <c r="C14208" s="210"/>
      <c r="D14208" s="211"/>
      <c r="E14208" s="211"/>
      <c r="U14208" s="222"/>
    </row>
    <row r="14209" spans="2:21" x14ac:dyDescent="0.2">
      <c r="B14209" s="207"/>
      <c r="C14209" s="210"/>
      <c r="D14209" s="211"/>
      <c r="E14209" s="211"/>
      <c r="U14209" s="222"/>
    </row>
    <row r="14210" spans="2:21" x14ac:dyDescent="0.2">
      <c r="B14210" s="207"/>
      <c r="C14210" s="210"/>
      <c r="D14210" s="211"/>
      <c r="E14210" s="211"/>
      <c r="U14210" s="222"/>
    </row>
    <row r="14211" spans="2:21" x14ac:dyDescent="0.2">
      <c r="B14211" s="207"/>
      <c r="C14211" s="210"/>
      <c r="D14211" s="211"/>
      <c r="E14211" s="211"/>
      <c r="U14211" s="222"/>
    </row>
    <row r="14212" spans="2:21" x14ac:dyDescent="0.2">
      <c r="B14212" s="207"/>
      <c r="C14212" s="210"/>
      <c r="D14212" s="211"/>
      <c r="E14212" s="211"/>
      <c r="U14212" s="222"/>
    </row>
    <row r="14213" spans="2:21" x14ac:dyDescent="0.2">
      <c r="B14213" s="207"/>
      <c r="C14213" s="210"/>
      <c r="D14213" s="211"/>
      <c r="E14213" s="211"/>
      <c r="U14213" s="222"/>
    </row>
    <row r="14214" spans="2:21" x14ac:dyDescent="0.2">
      <c r="B14214" s="207"/>
      <c r="C14214" s="210"/>
      <c r="D14214" s="211"/>
      <c r="E14214" s="211"/>
      <c r="U14214" s="222"/>
    </row>
    <row r="14215" spans="2:21" x14ac:dyDescent="0.2">
      <c r="B14215" s="207"/>
      <c r="C14215" s="210"/>
      <c r="D14215" s="211"/>
      <c r="E14215" s="211"/>
      <c r="U14215" s="222"/>
    </row>
    <row r="14216" spans="2:21" x14ac:dyDescent="0.2">
      <c r="B14216" s="207"/>
      <c r="C14216" s="210"/>
      <c r="D14216" s="211"/>
      <c r="E14216" s="211"/>
      <c r="U14216" s="222"/>
    </row>
    <row r="14217" spans="2:21" x14ac:dyDescent="0.2">
      <c r="B14217" s="207"/>
      <c r="C14217" s="210"/>
      <c r="D14217" s="211"/>
      <c r="E14217" s="211"/>
      <c r="U14217" s="222"/>
    </row>
    <row r="14218" spans="2:21" x14ac:dyDescent="0.2">
      <c r="B14218" s="207"/>
      <c r="C14218" s="210"/>
      <c r="D14218" s="211"/>
      <c r="E14218" s="211"/>
      <c r="U14218" s="222"/>
    </row>
    <row r="14219" spans="2:21" x14ac:dyDescent="0.2">
      <c r="B14219" s="207"/>
      <c r="C14219" s="210"/>
      <c r="D14219" s="211"/>
      <c r="E14219" s="211"/>
      <c r="U14219" s="222"/>
    </row>
    <row r="14220" spans="2:21" x14ac:dyDescent="0.2">
      <c r="B14220" s="207"/>
      <c r="C14220" s="210"/>
      <c r="D14220" s="211"/>
      <c r="E14220" s="211"/>
      <c r="U14220" s="222"/>
    </row>
    <row r="14221" spans="2:21" x14ac:dyDescent="0.2">
      <c r="B14221" s="207"/>
      <c r="C14221" s="210"/>
      <c r="D14221" s="211"/>
      <c r="E14221" s="211"/>
      <c r="U14221" s="222"/>
    </row>
    <row r="14222" spans="2:21" x14ac:dyDescent="0.2">
      <c r="B14222" s="207"/>
      <c r="C14222" s="210"/>
      <c r="D14222" s="211"/>
      <c r="E14222" s="211"/>
      <c r="U14222" s="222"/>
    </row>
    <row r="14223" spans="2:21" x14ac:dyDescent="0.2">
      <c r="B14223" s="207"/>
      <c r="C14223" s="210"/>
      <c r="D14223" s="211"/>
      <c r="E14223" s="211"/>
      <c r="U14223" s="222"/>
    </row>
    <row r="14224" spans="2:21" x14ac:dyDescent="0.2">
      <c r="B14224" s="207"/>
      <c r="C14224" s="210"/>
      <c r="D14224" s="211"/>
      <c r="E14224" s="211"/>
      <c r="U14224" s="222"/>
    </row>
    <row r="14225" spans="2:21" x14ac:dyDescent="0.2">
      <c r="B14225" s="207"/>
      <c r="C14225" s="210"/>
      <c r="D14225" s="211"/>
      <c r="E14225" s="211"/>
      <c r="U14225" s="222"/>
    </row>
    <row r="14226" spans="2:21" x14ac:dyDescent="0.2">
      <c r="B14226" s="207"/>
      <c r="C14226" s="210"/>
      <c r="D14226" s="211"/>
      <c r="E14226" s="211"/>
      <c r="U14226" s="222"/>
    </row>
    <row r="14227" spans="2:21" x14ac:dyDescent="0.2">
      <c r="B14227" s="207"/>
      <c r="C14227" s="210"/>
      <c r="D14227" s="211"/>
      <c r="E14227" s="211"/>
      <c r="U14227" s="222"/>
    </row>
    <row r="14228" spans="2:21" x14ac:dyDescent="0.2">
      <c r="B14228" s="207"/>
      <c r="C14228" s="210"/>
      <c r="D14228" s="211"/>
      <c r="E14228" s="211"/>
      <c r="U14228" s="222"/>
    </row>
    <row r="14229" spans="2:21" x14ac:dyDescent="0.2">
      <c r="B14229" s="207"/>
      <c r="C14229" s="210"/>
      <c r="D14229" s="211"/>
      <c r="E14229" s="211"/>
      <c r="U14229" s="222"/>
    </row>
    <row r="14230" spans="2:21" x14ac:dyDescent="0.2">
      <c r="B14230" s="207"/>
      <c r="C14230" s="210"/>
      <c r="D14230" s="211"/>
      <c r="E14230" s="211"/>
      <c r="U14230" s="222"/>
    </row>
    <row r="14231" spans="2:21" x14ac:dyDescent="0.2">
      <c r="B14231" s="207"/>
      <c r="C14231" s="210"/>
      <c r="D14231" s="211"/>
      <c r="E14231" s="211"/>
      <c r="U14231" s="222"/>
    </row>
    <row r="14232" spans="2:21" x14ac:dyDescent="0.2">
      <c r="B14232" s="207"/>
      <c r="C14232" s="210"/>
      <c r="D14232" s="211"/>
      <c r="E14232" s="211"/>
      <c r="U14232" s="222"/>
    </row>
    <row r="14233" spans="2:21" x14ac:dyDescent="0.2">
      <c r="B14233" s="207"/>
      <c r="C14233" s="210"/>
      <c r="D14233" s="211"/>
      <c r="E14233" s="211"/>
      <c r="U14233" s="222"/>
    </row>
    <row r="14234" spans="2:21" x14ac:dyDescent="0.2">
      <c r="B14234" s="207"/>
      <c r="C14234" s="210"/>
      <c r="D14234" s="211"/>
      <c r="E14234" s="211"/>
      <c r="U14234" s="222"/>
    </row>
    <row r="14235" spans="2:21" x14ac:dyDescent="0.2">
      <c r="B14235" s="207"/>
      <c r="C14235" s="210"/>
      <c r="D14235" s="211"/>
      <c r="E14235" s="211"/>
      <c r="U14235" s="222"/>
    </row>
    <row r="14236" spans="2:21" x14ac:dyDescent="0.2">
      <c r="B14236" s="207"/>
      <c r="C14236" s="210"/>
      <c r="D14236" s="211"/>
      <c r="E14236" s="211"/>
      <c r="U14236" s="222"/>
    </row>
    <row r="14237" spans="2:21" x14ac:dyDescent="0.2">
      <c r="B14237" s="207"/>
      <c r="C14237" s="210"/>
      <c r="D14237" s="211"/>
      <c r="E14237" s="211"/>
      <c r="U14237" s="222"/>
    </row>
    <row r="14238" spans="2:21" x14ac:dyDescent="0.2">
      <c r="B14238" s="207"/>
      <c r="C14238" s="210"/>
      <c r="D14238" s="211"/>
      <c r="E14238" s="211"/>
      <c r="U14238" s="222"/>
    </row>
    <row r="14239" spans="2:21" x14ac:dyDescent="0.2">
      <c r="B14239" s="207"/>
      <c r="C14239" s="210"/>
      <c r="D14239" s="211"/>
      <c r="E14239" s="211"/>
      <c r="U14239" s="222"/>
    </row>
    <row r="14240" spans="2:21" x14ac:dyDescent="0.2">
      <c r="B14240" s="207"/>
      <c r="C14240" s="210"/>
      <c r="D14240" s="211"/>
      <c r="E14240" s="211"/>
      <c r="U14240" s="222"/>
    </row>
    <row r="14241" spans="2:21" x14ac:dyDescent="0.2">
      <c r="B14241" s="207"/>
      <c r="C14241" s="210"/>
      <c r="D14241" s="211"/>
      <c r="E14241" s="211"/>
      <c r="U14241" s="222"/>
    </row>
    <row r="14242" spans="2:21" x14ac:dyDescent="0.2">
      <c r="B14242" s="207"/>
      <c r="C14242" s="210"/>
      <c r="D14242" s="211"/>
      <c r="E14242" s="211"/>
      <c r="U14242" s="222"/>
    </row>
    <row r="14243" spans="2:21" x14ac:dyDescent="0.2">
      <c r="B14243" s="207"/>
      <c r="C14243" s="210"/>
      <c r="D14243" s="211"/>
      <c r="E14243" s="211"/>
      <c r="U14243" s="222"/>
    </row>
    <row r="14244" spans="2:21" x14ac:dyDescent="0.2">
      <c r="B14244" s="207"/>
      <c r="C14244" s="210"/>
      <c r="D14244" s="211"/>
      <c r="E14244" s="211"/>
      <c r="U14244" s="222"/>
    </row>
    <row r="14245" spans="2:21" x14ac:dyDescent="0.2">
      <c r="B14245" s="207"/>
      <c r="C14245" s="210"/>
      <c r="D14245" s="211"/>
      <c r="E14245" s="211"/>
      <c r="U14245" s="222"/>
    </row>
    <row r="14246" spans="2:21" x14ac:dyDescent="0.2">
      <c r="B14246" s="207"/>
      <c r="C14246" s="210"/>
      <c r="D14246" s="211"/>
      <c r="E14246" s="211"/>
      <c r="U14246" s="222"/>
    </row>
    <row r="14247" spans="2:21" x14ac:dyDescent="0.2">
      <c r="B14247" s="207"/>
      <c r="C14247" s="210"/>
      <c r="D14247" s="211"/>
      <c r="E14247" s="211"/>
      <c r="U14247" s="222"/>
    </row>
    <row r="14248" spans="2:21" x14ac:dyDescent="0.2">
      <c r="B14248" s="207"/>
      <c r="C14248" s="210"/>
      <c r="D14248" s="211"/>
      <c r="E14248" s="211"/>
      <c r="U14248" s="222"/>
    </row>
    <row r="14249" spans="2:21" x14ac:dyDescent="0.2">
      <c r="B14249" s="207"/>
      <c r="C14249" s="210"/>
      <c r="D14249" s="211"/>
      <c r="E14249" s="211"/>
      <c r="U14249" s="222"/>
    </row>
    <row r="14250" spans="2:21" x14ac:dyDescent="0.2">
      <c r="B14250" s="207"/>
      <c r="C14250" s="210"/>
      <c r="D14250" s="211"/>
      <c r="E14250" s="211"/>
      <c r="U14250" s="222"/>
    </row>
    <row r="14251" spans="2:21" x14ac:dyDescent="0.2">
      <c r="B14251" s="207"/>
      <c r="C14251" s="210"/>
      <c r="D14251" s="211"/>
      <c r="E14251" s="211"/>
      <c r="U14251" s="222"/>
    </row>
    <row r="14252" spans="2:21" x14ac:dyDescent="0.2">
      <c r="B14252" s="207"/>
      <c r="C14252" s="210"/>
      <c r="D14252" s="211"/>
      <c r="E14252" s="211"/>
      <c r="U14252" s="222"/>
    </row>
    <row r="14253" spans="2:21" x14ac:dyDescent="0.2">
      <c r="B14253" s="207"/>
      <c r="C14253" s="210"/>
      <c r="D14253" s="211"/>
      <c r="E14253" s="211"/>
      <c r="U14253" s="222"/>
    </row>
    <row r="14254" spans="2:21" x14ac:dyDescent="0.2">
      <c r="B14254" s="207"/>
      <c r="C14254" s="210"/>
      <c r="D14254" s="211"/>
      <c r="E14254" s="211"/>
      <c r="U14254" s="222"/>
    </row>
    <row r="14255" spans="2:21" x14ac:dyDescent="0.2">
      <c r="B14255" s="207"/>
      <c r="C14255" s="210"/>
      <c r="D14255" s="211"/>
      <c r="E14255" s="211"/>
      <c r="U14255" s="222"/>
    </row>
    <row r="14256" spans="2:21" x14ac:dyDescent="0.2">
      <c r="B14256" s="207"/>
      <c r="C14256" s="210"/>
      <c r="D14256" s="211"/>
      <c r="E14256" s="211"/>
      <c r="U14256" s="222"/>
    </row>
    <row r="14257" spans="2:21" x14ac:dyDescent="0.2">
      <c r="B14257" s="207"/>
      <c r="C14257" s="210"/>
      <c r="D14257" s="211"/>
      <c r="E14257" s="211"/>
      <c r="U14257" s="222"/>
    </row>
    <row r="14258" spans="2:21" x14ac:dyDescent="0.2">
      <c r="B14258" s="207"/>
      <c r="C14258" s="210"/>
      <c r="D14258" s="211"/>
      <c r="E14258" s="211"/>
      <c r="U14258" s="222"/>
    </row>
    <row r="14259" spans="2:21" x14ac:dyDescent="0.2">
      <c r="B14259" s="207"/>
      <c r="C14259" s="210"/>
      <c r="D14259" s="211"/>
      <c r="E14259" s="211"/>
      <c r="U14259" s="222"/>
    </row>
    <row r="14260" spans="2:21" x14ac:dyDescent="0.2">
      <c r="B14260" s="207"/>
      <c r="C14260" s="210"/>
      <c r="D14260" s="211"/>
      <c r="E14260" s="211"/>
      <c r="U14260" s="222"/>
    </row>
    <row r="14261" spans="2:21" x14ac:dyDescent="0.2">
      <c r="B14261" s="207"/>
      <c r="C14261" s="210"/>
      <c r="D14261" s="211"/>
      <c r="E14261" s="211"/>
      <c r="U14261" s="222"/>
    </row>
    <row r="14262" spans="2:21" x14ac:dyDescent="0.2">
      <c r="B14262" s="207"/>
      <c r="C14262" s="210"/>
      <c r="D14262" s="211"/>
      <c r="E14262" s="211"/>
      <c r="U14262" s="222"/>
    </row>
    <row r="14263" spans="2:21" x14ac:dyDescent="0.2">
      <c r="B14263" s="207"/>
      <c r="C14263" s="210"/>
      <c r="D14263" s="211"/>
      <c r="E14263" s="211"/>
      <c r="U14263" s="222"/>
    </row>
    <row r="14264" spans="2:21" x14ac:dyDescent="0.2">
      <c r="B14264" s="207"/>
      <c r="C14264" s="210"/>
      <c r="D14264" s="211"/>
      <c r="E14264" s="211"/>
      <c r="U14264" s="222"/>
    </row>
    <row r="14265" spans="2:21" x14ac:dyDescent="0.2">
      <c r="B14265" s="207"/>
      <c r="C14265" s="210"/>
      <c r="D14265" s="211"/>
      <c r="E14265" s="211"/>
      <c r="U14265" s="222"/>
    </row>
    <row r="14266" spans="2:21" x14ac:dyDescent="0.2">
      <c r="B14266" s="207"/>
      <c r="C14266" s="210"/>
      <c r="D14266" s="211"/>
      <c r="E14266" s="211"/>
      <c r="U14266" s="222"/>
    </row>
    <row r="14267" spans="2:21" x14ac:dyDescent="0.2">
      <c r="B14267" s="207"/>
      <c r="C14267" s="210"/>
      <c r="D14267" s="211"/>
      <c r="E14267" s="211"/>
      <c r="U14267" s="222"/>
    </row>
    <row r="14268" spans="2:21" x14ac:dyDescent="0.2">
      <c r="B14268" s="207"/>
      <c r="C14268" s="210"/>
      <c r="D14268" s="211"/>
      <c r="E14268" s="211"/>
      <c r="U14268" s="222"/>
    </row>
    <row r="14269" spans="2:21" x14ac:dyDescent="0.2">
      <c r="B14269" s="207"/>
      <c r="C14269" s="210"/>
      <c r="D14269" s="211"/>
      <c r="E14269" s="211"/>
      <c r="U14269" s="222"/>
    </row>
    <row r="14270" spans="2:21" x14ac:dyDescent="0.2">
      <c r="B14270" s="207"/>
      <c r="C14270" s="210"/>
      <c r="D14270" s="211"/>
      <c r="E14270" s="211"/>
      <c r="U14270" s="222"/>
    </row>
    <row r="14271" spans="2:21" x14ac:dyDescent="0.2">
      <c r="B14271" s="207"/>
      <c r="C14271" s="210"/>
      <c r="D14271" s="211"/>
      <c r="E14271" s="211"/>
      <c r="U14271" s="222"/>
    </row>
    <row r="14272" spans="2:21" x14ac:dyDescent="0.2">
      <c r="B14272" s="207"/>
      <c r="C14272" s="210"/>
      <c r="D14272" s="211"/>
      <c r="E14272" s="211"/>
      <c r="U14272" s="222"/>
    </row>
    <row r="14273" spans="2:21" x14ac:dyDescent="0.2">
      <c r="B14273" s="207"/>
      <c r="C14273" s="210"/>
      <c r="D14273" s="211"/>
      <c r="E14273" s="211"/>
      <c r="U14273" s="222"/>
    </row>
    <row r="14274" spans="2:21" x14ac:dyDescent="0.2">
      <c r="B14274" s="207"/>
      <c r="C14274" s="210"/>
      <c r="D14274" s="211"/>
      <c r="E14274" s="211"/>
      <c r="U14274" s="222"/>
    </row>
    <row r="14275" spans="2:21" x14ac:dyDescent="0.2">
      <c r="B14275" s="207"/>
      <c r="C14275" s="210"/>
      <c r="D14275" s="211"/>
      <c r="E14275" s="211"/>
      <c r="U14275" s="222"/>
    </row>
    <row r="14276" spans="2:21" x14ac:dyDescent="0.2">
      <c r="B14276" s="207"/>
      <c r="C14276" s="210"/>
      <c r="D14276" s="211"/>
      <c r="E14276" s="211"/>
      <c r="U14276" s="222"/>
    </row>
    <row r="14277" spans="2:21" x14ac:dyDescent="0.2">
      <c r="B14277" s="207"/>
      <c r="C14277" s="210"/>
      <c r="D14277" s="211"/>
      <c r="E14277" s="211"/>
      <c r="U14277" s="222"/>
    </row>
    <row r="14278" spans="2:21" x14ac:dyDescent="0.2">
      <c r="B14278" s="207"/>
      <c r="C14278" s="210"/>
      <c r="D14278" s="211"/>
      <c r="E14278" s="211"/>
      <c r="U14278" s="222"/>
    </row>
    <row r="14279" spans="2:21" x14ac:dyDescent="0.2">
      <c r="B14279" s="207"/>
      <c r="C14279" s="210"/>
      <c r="D14279" s="211"/>
      <c r="E14279" s="211"/>
      <c r="U14279" s="222"/>
    </row>
    <row r="14280" spans="2:21" x14ac:dyDescent="0.2">
      <c r="B14280" s="207"/>
      <c r="C14280" s="210"/>
      <c r="D14280" s="211"/>
      <c r="E14280" s="211"/>
      <c r="U14280" s="222"/>
    </row>
    <row r="14281" spans="2:21" x14ac:dyDescent="0.2">
      <c r="B14281" s="207"/>
      <c r="C14281" s="210"/>
      <c r="D14281" s="211"/>
      <c r="E14281" s="211"/>
      <c r="U14281" s="222"/>
    </row>
    <row r="14282" spans="2:21" x14ac:dyDescent="0.2">
      <c r="B14282" s="207"/>
      <c r="C14282" s="210"/>
      <c r="D14282" s="211"/>
      <c r="E14282" s="211"/>
      <c r="U14282" s="222"/>
    </row>
    <row r="14283" spans="2:21" x14ac:dyDescent="0.2">
      <c r="B14283" s="207"/>
      <c r="C14283" s="210"/>
      <c r="D14283" s="211"/>
      <c r="E14283" s="211"/>
      <c r="U14283" s="222"/>
    </row>
    <row r="14284" spans="2:21" x14ac:dyDescent="0.2">
      <c r="B14284" s="207"/>
      <c r="C14284" s="210"/>
      <c r="D14284" s="211"/>
      <c r="E14284" s="211"/>
      <c r="U14284" s="222"/>
    </row>
    <row r="14285" spans="2:21" x14ac:dyDescent="0.2">
      <c r="B14285" s="207"/>
      <c r="C14285" s="210"/>
      <c r="D14285" s="211"/>
      <c r="E14285" s="211"/>
      <c r="U14285" s="222"/>
    </row>
    <row r="14286" spans="2:21" x14ac:dyDescent="0.2">
      <c r="B14286" s="207"/>
      <c r="C14286" s="210"/>
      <c r="D14286" s="211"/>
      <c r="E14286" s="211"/>
      <c r="U14286" s="222"/>
    </row>
    <row r="14287" spans="2:21" x14ac:dyDescent="0.2">
      <c r="B14287" s="207"/>
      <c r="C14287" s="210"/>
      <c r="D14287" s="211"/>
      <c r="E14287" s="211"/>
      <c r="U14287" s="222"/>
    </row>
    <row r="14288" spans="2:21" x14ac:dyDescent="0.2">
      <c r="B14288" s="207"/>
      <c r="C14288" s="210"/>
      <c r="D14288" s="211"/>
      <c r="E14288" s="211"/>
      <c r="U14288" s="222"/>
    </row>
    <row r="14289" spans="2:21" x14ac:dyDescent="0.2">
      <c r="B14289" s="207"/>
      <c r="C14289" s="210"/>
      <c r="D14289" s="211"/>
      <c r="E14289" s="211"/>
      <c r="U14289" s="222"/>
    </row>
    <row r="14290" spans="2:21" x14ac:dyDescent="0.2">
      <c r="B14290" s="207"/>
      <c r="C14290" s="210"/>
      <c r="D14290" s="211"/>
      <c r="E14290" s="211"/>
      <c r="U14290" s="222"/>
    </row>
    <row r="14291" spans="2:21" x14ac:dyDescent="0.2">
      <c r="B14291" s="207"/>
      <c r="C14291" s="210"/>
      <c r="D14291" s="211"/>
      <c r="E14291" s="211"/>
      <c r="U14291" s="222"/>
    </row>
    <row r="14292" spans="2:21" x14ac:dyDescent="0.2">
      <c r="B14292" s="207"/>
      <c r="C14292" s="210"/>
      <c r="D14292" s="211"/>
      <c r="E14292" s="211"/>
      <c r="U14292" s="222"/>
    </row>
    <row r="14293" spans="2:21" x14ac:dyDescent="0.2">
      <c r="B14293" s="207"/>
      <c r="C14293" s="210"/>
      <c r="D14293" s="211"/>
      <c r="E14293" s="211"/>
      <c r="U14293" s="222"/>
    </row>
    <row r="14294" spans="2:21" x14ac:dyDescent="0.2">
      <c r="B14294" s="207"/>
      <c r="C14294" s="210"/>
      <c r="D14294" s="211"/>
      <c r="E14294" s="211"/>
      <c r="U14294" s="222"/>
    </row>
    <row r="14295" spans="2:21" x14ac:dyDescent="0.2">
      <c r="B14295" s="207"/>
      <c r="C14295" s="210"/>
      <c r="D14295" s="211"/>
      <c r="E14295" s="211"/>
      <c r="U14295" s="222"/>
    </row>
    <row r="14296" spans="2:21" x14ac:dyDescent="0.2">
      <c r="B14296" s="207"/>
      <c r="C14296" s="210"/>
      <c r="D14296" s="211"/>
      <c r="E14296" s="211"/>
      <c r="U14296" s="222"/>
    </row>
    <row r="14297" spans="2:21" x14ac:dyDescent="0.2">
      <c r="B14297" s="207"/>
      <c r="C14297" s="210"/>
      <c r="D14297" s="211"/>
      <c r="E14297" s="211"/>
      <c r="U14297" s="222"/>
    </row>
    <row r="14298" spans="2:21" x14ac:dyDescent="0.2">
      <c r="B14298" s="207"/>
      <c r="C14298" s="210"/>
      <c r="D14298" s="211"/>
      <c r="E14298" s="211"/>
      <c r="U14298" s="222"/>
    </row>
    <row r="14299" spans="2:21" x14ac:dyDescent="0.2">
      <c r="B14299" s="207"/>
      <c r="C14299" s="210"/>
      <c r="D14299" s="211"/>
      <c r="E14299" s="211"/>
      <c r="U14299" s="222"/>
    </row>
    <row r="14300" spans="2:21" x14ac:dyDescent="0.2">
      <c r="B14300" s="207"/>
      <c r="C14300" s="210"/>
      <c r="D14300" s="211"/>
      <c r="E14300" s="211"/>
      <c r="U14300" s="222"/>
    </row>
    <row r="14301" spans="2:21" x14ac:dyDescent="0.2">
      <c r="B14301" s="207"/>
      <c r="C14301" s="210"/>
      <c r="D14301" s="211"/>
      <c r="E14301" s="211"/>
      <c r="U14301" s="222"/>
    </row>
    <row r="14302" spans="2:21" x14ac:dyDescent="0.2">
      <c r="B14302" s="207"/>
      <c r="C14302" s="210"/>
      <c r="D14302" s="211"/>
      <c r="E14302" s="211"/>
      <c r="U14302" s="222"/>
    </row>
    <row r="14303" spans="2:21" x14ac:dyDescent="0.2">
      <c r="B14303" s="207"/>
      <c r="C14303" s="210"/>
      <c r="D14303" s="211"/>
      <c r="E14303" s="211"/>
      <c r="U14303" s="222"/>
    </row>
    <row r="14304" spans="2:21" x14ac:dyDescent="0.2">
      <c r="B14304" s="207"/>
      <c r="C14304" s="210"/>
      <c r="D14304" s="211"/>
      <c r="E14304" s="211"/>
      <c r="U14304" s="222"/>
    </row>
    <row r="14305" spans="2:21" x14ac:dyDescent="0.2">
      <c r="B14305" s="207"/>
      <c r="C14305" s="210"/>
      <c r="D14305" s="211"/>
      <c r="E14305" s="211"/>
      <c r="U14305" s="222"/>
    </row>
    <row r="14306" spans="2:21" x14ac:dyDescent="0.2">
      <c r="B14306" s="207"/>
      <c r="C14306" s="210"/>
      <c r="D14306" s="211"/>
      <c r="E14306" s="211"/>
      <c r="U14306" s="222"/>
    </row>
    <row r="14307" spans="2:21" x14ac:dyDescent="0.2">
      <c r="B14307" s="207"/>
      <c r="C14307" s="210"/>
      <c r="D14307" s="211"/>
      <c r="E14307" s="211"/>
      <c r="U14307" s="222"/>
    </row>
    <row r="14308" spans="2:21" x14ac:dyDescent="0.2">
      <c r="B14308" s="207"/>
      <c r="C14308" s="210"/>
      <c r="D14308" s="211"/>
      <c r="E14308" s="211"/>
      <c r="U14308" s="222"/>
    </row>
    <row r="14309" spans="2:21" x14ac:dyDescent="0.2">
      <c r="B14309" s="207"/>
      <c r="C14309" s="210"/>
      <c r="D14309" s="211"/>
      <c r="E14309" s="211"/>
      <c r="U14309" s="222"/>
    </row>
    <row r="14310" spans="2:21" x14ac:dyDescent="0.2">
      <c r="B14310" s="207"/>
      <c r="C14310" s="210"/>
      <c r="D14310" s="211"/>
      <c r="E14310" s="211"/>
      <c r="U14310" s="222"/>
    </row>
    <row r="14311" spans="2:21" x14ac:dyDescent="0.2">
      <c r="B14311" s="207"/>
      <c r="C14311" s="210"/>
      <c r="D14311" s="211"/>
      <c r="E14311" s="211"/>
      <c r="U14311" s="222"/>
    </row>
    <row r="14312" spans="2:21" x14ac:dyDescent="0.2">
      <c r="B14312" s="207"/>
      <c r="C14312" s="210"/>
      <c r="D14312" s="211"/>
      <c r="E14312" s="211"/>
      <c r="U14312" s="222"/>
    </row>
    <row r="14313" spans="2:21" x14ac:dyDescent="0.2">
      <c r="B14313" s="207"/>
      <c r="C14313" s="210"/>
      <c r="D14313" s="211"/>
      <c r="E14313" s="211"/>
      <c r="U14313" s="222"/>
    </row>
    <row r="14314" spans="2:21" x14ac:dyDescent="0.2">
      <c r="B14314" s="207"/>
      <c r="C14314" s="210"/>
      <c r="D14314" s="211"/>
      <c r="E14314" s="211"/>
      <c r="U14314" s="222"/>
    </row>
    <row r="14315" spans="2:21" x14ac:dyDescent="0.2">
      <c r="B14315" s="207"/>
      <c r="C14315" s="210"/>
      <c r="D14315" s="211"/>
      <c r="E14315" s="211"/>
      <c r="U14315" s="222"/>
    </row>
    <row r="14316" spans="2:21" x14ac:dyDescent="0.2">
      <c r="B14316" s="207"/>
      <c r="C14316" s="210"/>
      <c r="D14316" s="211"/>
      <c r="E14316" s="211"/>
      <c r="U14316" s="222"/>
    </row>
    <row r="14317" spans="2:21" x14ac:dyDescent="0.2">
      <c r="B14317" s="207"/>
      <c r="C14317" s="210"/>
      <c r="D14317" s="211"/>
      <c r="E14317" s="211"/>
      <c r="U14317" s="222"/>
    </row>
    <row r="14318" spans="2:21" x14ac:dyDescent="0.2">
      <c r="B14318" s="207"/>
      <c r="C14318" s="210"/>
      <c r="D14318" s="211"/>
      <c r="E14318" s="211"/>
      <c r="U14318" s="222"/>
    </row>
    <row r="14319" spans="2:21" x14ac:dyDescent="0.2">
      <c r="B14319" s="207"/>
      <c r="C14319" s="210"/>
      <c r="D14319" s="211"/>
      <c r="E14319" s="211"/>
      <c r="U14319" s="222"/>
    </row>
    <row r="14320" spans="2:21" x14ac:dyDescent="0.2">
      <c r="B14320" s="207"/>
      <c r="C14320" s="210"/>
      <c r="D14320" s="211"/>
      <c r="E14320" s="211"/>
      <c r="U14320" s="222"/>
    </row>
    <row r="14321" spans="2:21" x14ac:dyDescent="0.2">
      <c r="B14321" s="207"/>
      <c r="C14321" s="210"/>
      <c r="D14321" s="211"/>
      <c r="E14321" s="211"/>
      <c r="U14321" s="222"/>
    </row>
    <row r="14322" spans="2:21" x14ac:dyDescent="0.2">
      <c r="B14322" s="207"/>
      <c r="C14322" s="210"/>
      <c r="D14322" s="211"/>
      <c r="E14322" s="211"/>
      <c r="U14322" s="222"/>
    </row>
    <row r="14323" spans="2:21" x14ac:dyDescent="0.2">
      <c r="B14323" s="207"/>
      <c r="C14323" s="210"/>
      <c r="D14323" s="211"/>
      <c r="E14323" s="211"/>
      <c r="U14323" s="222"/>
    </row>
    <row r="14324" spans="2:21" x14ac:dyDescent="0.2">
      <c r="B14324" s="207"/>
      <c r="C14324" s="210"/>
      <c r="D14324" s="211"/>
      <c r="E14324" s="211"/>
      <c r="U14324" s="222"/>
    </row>
    <row r="14325" spans="2:21" x14ac:dyDescent="0.2">
      <c r="B14325" s="207"/>
      <c r="C14325" s="210"/>
      <c r="D14325" s="211"/>
      <c r="E14325" s="211"/>
      <c r="U14325" s="222"/>
    </row>
    <row r="14326" spans="2:21" x14ac:dyDescent="0.2">
      <c r="B14326" s="207"/>
      <c r="C14326" s="210"/>
      <c r="D14326" s="211"/>
      <c r="E14326" s="211"/>
      <c r="U14326" s="222"/>
    </row>
    <row r="14327" spans="2:21" x14ac:dyDescent="0.2">
      <c r="B14327" s="207"/>
      <c r="C14327" s="210"/>
      <c r="D14327" s="211"/>
      <c r="E14327" s="211"/>
      <c r="U14327" s="222"/>
    </row>
    <row r="14328" spans="2:21" x14ac:dyDescent="0.2">
      <c r="B14328" s="207"/>
      <c r="C14328" s="210"/>
      <c r="D14328" s="211"/>
      <c r="E14328" s="211"/>
      <c r="U14328" s="222"/>
    </row>
    <row r="14329" spans="2:21" x14ac:dyDescent="0.2">
      <c r="B14329" s="207"/>
      <c r="C14329" s="210"/>
      <c r="D14329" s="211"/>
      <c r="E14329" s="211"/>
      <c r="U14329" s="222"/>
    </row>
    <row r="14330" spans="2:21" x14ac:dyDescent="0.2">
      <c r="B14330" s="207"/>
      <c r="C14330" s="210"/>
      <c r="D14330" s="211"/>
      <c r="E14330" s="211"/>
      <c r="U14330" s="222"/>
    </row>
    <row r="14331" spans="2:21" x14ac:dyDescent="0.2">
      <c r="B14331" s="207"/>
      <c r="C14331" s="210"/>
      <c r="D14331" s="211"/>
      <c r="E14331" s="211"/>
      <c r="U14331" s="222"/>
    </row>
    <row r="14332" spans="2:21" x14ac:dyDescent="0.2">
      <c r="B14332" s="207"/>
      <c r="C14332" s="210"/>
      <c r="D14332" s="211"/>
      <c r="E14332" s="211"/>
      <c r="U14332" s="222"/>
    </row>
    <row r="14333" spans="2:21" x14ac:dyDescent="0.2">
      <c r="B14333" s="207"/>
      <c r="C14333" s="210"/>
      <c r="D14333" s="211"/>
      <c r="E14333" s="211"/>
      <c r="U14333" s="222"/>
    </row>
    <row r="14334" spans="2:21" x14ac:dyDescent="0.2">
      <c r="B14334" s="207"/>
      <c r="C14334" s="210"/>
      <c r="D14334" s="211"/>
      <c r="E14334" s="211"/>
      <c r="U14334" s="222"/>
    </row>
    <row r="14335" spans="2:21" x14ac:dyDescent="0.2">
      <c r="B14335" s="207"/>
      <c r="C14335" s="210"/>
      <c r="D14335" s="211"/>
      <c r="E14335" s="211"/>
      <c r="U14335" s="222"/>
    </row>
    <row r="14336" spans="2:21" x14ac:dyDescent="0.2">
      <c r="B14336" s="207"/>
      <c r="C14336" s="210"/>
      <c r="D14336" s="211"/>
      <c r="E14336" s="211"/>
      <c r="U14336" s="222"/>
    </row>
    <row r="14337" spans="2:21" x14ac:dyDescent="0.2">
      <c r="B14337" s="207"/>
      <c r="C14337" s="210"/>
      <c r="D14337" s="211"/>
      <c r="E14337" s="211"/>
      <c r="U14337" s="222"/>
    </row>
    <row r="14338" spans="2:21" x14ac:dyDescent="0.2">
      <c r="B14338" s="207"/>
      <c r="C14338" s="210"/>
      <c r="D14338" s="211"/>
      <c r="E14338" s="211"/>
      <c r="U14338" s="222"/>
    </row>
    <row r="14339" spans="2:21" x14ac:dyDescent="0.2">
      <c r="B14339" s="207"/>
      <c r="C14339" s="210"/>
      <c r="D14339" s="211"/>
      <c r="E14339" s="211"/>
      <c r="U14339" s="222"/>
    </row>
    <row r="14340" spans="2:21" x14ac:dyDescent="0.2">
      <c r="B14340" s="207"/>
      <c r="C14340" s="210"/>
      <c r="D14340" s="211"/>
      <c r="E14340" s="211"/>
      <c r="U14340" s="222"/>
    </row>
    <row r="14341" spans="2:21" x14ac:dyDescent="0.2">
      <c r="B14341" s="207"/>
      <c r="C14341" s="210"/>
      <c r="D14341" s="211"/>
      <c r="E14341" s="211"/>
      <c r="U14341" s="222"/>
    </row>
    <row r="14342" spans="2:21" x14ac:dyDescent="0.2">
      <c r="B14342" s="207"/>
      <c r="C14342" s="210"/>
      <c r="D14342" s="211"/>
      <c r="E14342" s="211"/>
      <c r="U14342" s="222"/>
    </row>
    <row r="14343" spans="2:21" x14ac:dyDescent="0.2">
      <c r="B14343" s="207"/>
      <c r="C14343" s="210"/>
      <c r="D14343" s="211"/>
      <c r="E14343" s="211"/>
      <c r="U14343" s="222"/>
    </row>
    <row r="14344" spans="2:21" x14ac:dyDescent="0.2">
      <c r="B14344" s="207"/>
      <c r="C14344" s="210"/>
      <c r="D14344" s="211"/>
      <c r="E14344" s="211"/>
      <c r="U14344" s="222"/>
    </row>
    <row r="14345" spans="2:21" x14ac:dyDescent="0.2">
      <c r="B14345" s="207"/>
      <c r="C14345" s="210"/>
      <c r="D14345" s="211"/>
      <c r="E14345" s="211"/>
      <c r="U14345" s="222"/>
    </row>
    <row r="14346" spans="2:21" x14ac:dyDescent="0.2">
      <c r="B14346" s="207"/>
      <c r="C14346" s="210"/>
      <c r="D14346" s="211"/>
      <c r="E14346" s="211"/>
      <c r="U14346" s="222"/>
    </row>
    <row r="14347" spans="2:21" x14ac:dyDescent="0.2">
      <c r="B14347" s="207"/>
      <c r="C14347" s="210"/>
      <c r="D14347" s="211"/>
      <c r="E14347" s="211"/>
      <c r="U14347" s="222"/>
    </row>
    <row r="14348" spans="2:21" x14ac:dyDescent="0.2">
      <c r="B14348" s="207"/>
      <c r="C14348" s="210"/>
      <c r="D14348" s="211"/>
      <c r="E14348" s="211"/>
      <c r="U14348" s="222"/>
    </row>
    <row r="14349" spans="2:21" x14ac:dyDescent="0.2">
      <c r="B14349" s="207"/>
      <c r="C14349" s="210"/>
      <c r="D14349" s="211"/>
      <c r="E14349" s="211"/>
      <c r="U14349" s="222"/>
    </row>
    <row r="14350" spans="2:21" x14ac:dyDescent="0.2">
      <c r="B14350" s="207"/>
      <c r="C14350" s="210"/>
      <c r="D14350" s="211"/>
      <c r="E14350" s="211"/>
      <c r="U14350" s="222"/>
    </row>
    <row r="14351" spans="2:21" x14ac:dyDescent="0.2">
      <c r="B14351" s="207"/>
      <c r="C14351" s="210"/>
      <c r="D14351" s="211"/>
      <c r="E14351" s="211"/>
      <c r="U14351" s="222"/>
    </row>
    <row r="14352" spans="2:21" x14ac:dyDescent="0.2">
      <c r="B14352" s="207"/>
      <c r="C14352" s="210"/>
      <c r="D14352" s="211"/>
      <c r="E14352" s="211"/>
      <c r="U14352" s="222"/>
    </row>
    <row r="14353" spans="2:21" x14ac:dyDescent="0.2">
      <c r="B14353" s="207"/>
      <c r="C14353" s="210"/>
      <c r="D14353" s="211"/>
      <c r="E14353" s="211"/>
      <c r="U14353" s="222"/>
    </row>
    <row r="14354" spans="2:21" x14ac:dyDescent="0.2">
      <c r="B14354" s="207"/>
      <c r="C14354" s="210"/>
      <c r="D14354" s="211"/>
      <c r="E14354" s="211"/>
      <c r="U14354" s="222"/>
    </row>
    <row r="14355" spans="2:21" x14ac:dyDescent="0.2">
      <c r="B14355" s="207"/>
      <c r="C14355" s="210"/>
      <c r="D14355" s="211"/>
      <c r="E14355" s="211"/>
      <c r="U14355" s="222"/>
    </row>
    <row r="14356" spans="2:21" x14ac:dyDescent="0.2">
      <c r="B14356" s="207"/>
      <c r="C14356" s="210"/>
      <c r="D14356" s="211"/>
      <c r="E14356" s="211"/>
      <c r="U14356" s="222"/>
    </row>
    <row r="14357" spans="2:21" x14ac:dyDescent="0.2">
      <c r="B14357" s="207"/>
      <c r="C14357" s="210"/>
      <c r="D14357" s="211"/>
      <c r="E14357" s="211"/>
      <c r="U14357" s="222"/>
    </row>
    <row r="14358" spans="2:21" x14ac:dyDescent="0.2">
      <c r="B14358" s="207"/>
      <c r="C14358" s="210"/>
      <c r="D14358" s="211"/>
      <c r="E14358" s="211"/>
      <c r="U14358" s="222"/>
    </row>
    <row r="14359" spans="2:21" x14ac:dyDescent="0.2">
      <c r="B14359" s="207"/>
      <c r="C14359" s="210"/>
      <c r="D14359" s="211"/>
      <c r="E14359" s="211"/>
      <c r="U14359" s="222"/>
    </row>
    <row r="14360" spans="2:21" x14ac:dyDescent="0.2">
      <c r="B14360" s="207"/>
      <c r="C14360" s="210"/>
      <c r="D14360" s="211"/>
      <c r="E14360" s="211"/>
      <c r="U14360" s="222"/>
    </row>
    <row r="14361" spans="2:21" x14ac:dyDescent="0.2">
      <c r="B14361" s="207"/>
      <c r="C14361" s="210"/>
      <c r="D14361" s="211"/>
      <c r="E14361" s="211"/>
      <c r="U14361" s="222"/>
    </row>
    <row r="14362" spans="2:21" x14ac:dyDescent="0.2">
      <c r="B14362" s="207"/>
      <c r="C14362" s="210"/>
      <c r="D14362" s="211"/>
      <c r="E14362" s="211"/>
      <c r="U14362" s="222"/>
    </row>
    <row r="14363" spans="2:21" x14ac:dyDescent="0.2">
      <c r="B14363" s="207"/>
      <c r="C14363" s="210"/>
      <c r="D14363" s="211"/>
      <c r="E14363" s="211"/>
      <c r="U14363" s="222"/>
    </row>
    <row r="14364" spans="2:21" x14ac:dyDescent="0.2">
      <c r="B14364" s="207"/>
      <c r="C14364" s="210"/>
      <c r="D14364" s="211"/>
      <c r="E14364" s="211"/>
      <c r="U14364" s="222"/>
    </row>
    <row r="14365" spans="2:21" x14ac:dyDescent="0.2">
      <c r="B14365" s="207"/>
      <c r="C14365" s="210"/>
      <c r="D14365" s="211"/>
      <c r="E14365" s="211"/>
      <c r="U14365" s="222"/>
    </row>
    <row r="14366" spans="2:21" x14ac:dyDescent="0.2">
      <c r="B14366" s="207"/>
      <c r="C14366" s="210"/>
      <c r="D14366" s="211"/>
      <c r="E14366" s="211"/>
      <c r="U14366" s="222"/>
    </row>
    <row r="14367" spans="2:21" x14ac:dyDescent="0.2">
      <c r="B14367" s="207"/>
      <c r="C14367" s="210"/>
      <c r="D14367" s="211"/>
      <c r="E14367" s="211"/>
      <c r="U14367" s="222"/>
    </row>
    <row r="14368" spans="2:21" x14ac:dyDescent="0.2">
      <c r="B14368" s="207"/>
      <c r="C14368" s="210"/>
      <c r="D14368" s="211"/>
      <c r="E14368" s="211"/>
      <c r="U14368" s="222"/>
    </row>
    <row r="14369" spans="2:21" x14ac:dyDescent="0.2">
      <c r="B14369" s="207"/>
      <c r="C14369" s="210"/>
      <c r="D14369" s="211"/>
      <c r="E14369" s="211"/>
      <c r="U14369" s="222"/>
    </row>
    <row r="14370" spans="2:21" x14ac:dyDescent="0.2">
      <c r="B14370" s="207"/>
      <c r="C14370" s="210"/>
      <c r="D14370" s="211"/>
      <c r="E14370" s="211"/>
      <c r="U14370" s="222"/>
    </row>
    <row r="14371" spans="2:21" x14ac:dyDescent="0.2">
      <c r="B14371" s="207"/>
      <c r="C14371" s="210"/>
      <c r="D14371" s="211"/>
      <c r="E14371" s="211"/>
      <c r="U14371" s="222"/>
    </row>
    <row r="14372" spans="2:21" x14ac:dyDescent="0.2">
      <c r="B14372" s="207"/>
      <c r="C14372" s="210"/>
      <c r="D14372" s="211"/>
      <c r="E14372" s="211"/>
      <c r="U14372" s="222"/>
    </row>
    <row r="14373" spans="2:21" x14ac:dyDescent="0.2">
      <c r="B14373" s="207"/>
      <c r="C14373" s="210"/>
      <c r="D14373" s="211"/>
      <c r="E14373" s="211"/>
      <c r="U14373" s="222"/>
    </row>
    <row r="14374" spans="2:21" x14ac:dyDescent="0.2">
      <c r="B14374" s="207"/>
      <c r="C14374" s="210"/>
      <c r="D14374" s="211"/>
      <c r="E14374" s="211"/>
      <c r="U14374" s="222"/>
    </row>
    <row r="14375" spans="2:21" x14ac:dyDescent="0.2">
      <c r="B14375" s="207"/>
      <c r="C14375" s="210"/>
      <c r="D14375" s="211"/>
      <c r="E14375" s="211"/>
      <c r="U14375" s="222"/>
    </row>
    <row r="14376" spans="2:21" x14ac:dyDescent="0.2">
      <c r="B14376" s="207"/>
      <c r="C14376" s="210"/>
      <c r="D14376" s="211"/>
      <c r="E14376" s="211"/>
      <c r="U14376" s="222"/>
    </row>
    <row r="14377" spans="2:21" x14ac:dyDescent="0.2">
      <c r="B14377" s="207"/>
      <c r="C14377" s="210"/>
      <c r="D14377" s="211"/>
      <c r="E14377" s="211"/>
      <c r="U14377" s="222"/>
    </row>
    <row r="14378" spans="2:21" x14ac:dyDescent="0.2">
      <c r="B14378" s="207"/>
      <c r="C14378" s="210"/>
      <c r="D14378" s="211"/>
      <c r="E14378" s="211"/>
      <c r="U14378" s="222"/>
    </row>
    <row r="14379" spans="2:21" x14ac:dyDescent="0.2">
      <c r="B14379" s="207"/>
      <c r="C14379" s="210"/>
      <c r="D14379" s="211"/>
      <c r="E14379" s="211"/>
      <c r="U14379" s="222"/>
    </row>
    <row r="14380" spans="2:21" x14ac:dyDescent="0.2">
      <c r="B14380" s="207"/>
      <c r="C14380" s="210"/>
      <c r="D14380" s="211"/>
      <c r="E14380" s="211"/>
      <c r="U14380" s="222"/>
    </row>
    <row r="14381" spans="2:21" x14ac:dyDescent="0.2">
      <c r="B14381" s="207"/>
      <c r="C14381" s="210"/>
      <c r="D14381" s="211"/>
      <c r="E14381" s="211"/>
      <c r="U14381" s="222"/>
    </row>
    <row r="14382" spans="2:21" x14ac:dyDescent="0.2">
      <c r="B14382" s="207"/>
      <c r="C14382" s="210"/>
      <c r="D14382" s="211"/>
      <c r="E14382" s="211"/>
      <c r="U14382" s="222"/>
    </row>
    <row r="14383" spans="2:21" x14ac:dyDescent="0.2">
      <c r="B14383" s="207"/>
      <c r="C14383" s="210"/>
      <c r="D14383" s="211"/>
      <c r="E14383" s="211"/>
      <c r="U14383" s="222"/>
    </row>
    <row r="14384" spans="2:21" x14ac:dyDescent="0.2">
      <c r="B14384" s="207"/>
      <c r="C14384" s="210"/>
      <c r="D14384" s="211"/>
      <c r="E14384" s="211"/>
      <c r="U14384" s="222"/>
    </row>
    <row r="14385" spans="2:21" x14ac:dyDescent="0.2">
      <c r="B14385" s="207"/>
      <c r="C14385" s="210"/>
      <c r="D14385" s="211"/>
      <c r="E14385" s="211"/>
      <c r="U14385" s="222"/>
    </row>
    <row r="14386" spans="2:21" x14ac:dyDescent="0.2">
      <c r="B14386" s="207"/>
      <c r="C14386" s="210"/>
      <c r="D14386" s="211"/>
      <c r="E14386" s="211"/>
      <c r="U14386" s="222"/>
    </row>
    <row r="14387" spans="2:21" x14ac:dyDescent="0.2">
      <c r="B14387" s="207"/>
      <c r="C14387" s="210"/>
      <c r="D14387" s="211"/>
      <c r="E14387" s="211"/>
      <c r="U14387" s="222"/>
    </row>
    <row r="14388" spans="2:21" x14ac:dyDescent="0.2">
      <c r="B14388" s="207"/>
      <c r="C14388" s="210"/>
      <c r="D14388" s="211"/>
      <c r="E14388" s="211"/>
      <c r="U14388" s="222"/>
    </row>
    <row r="14389" spans="2:21" x14ac:dyDescent="0.2">
      <c r="B14389" s="207"/>
      <c r="C14389" s="210"/>
      <c r="D14389" s="211"/>
      <c r="E14389" s="211"/>
      <c r="U14389" s="222"/>
    </row>
    <row r="14390" spans="2:21" x14ac:dyDescent="0.2">
      <c r="B14390" s="207"/>
      <c r="C14390" s="210"/>
      <c r="D14390" s="211"/>
      <c r="E14390" s="211"/>
      <c r="U14390" s="222"/>
    </row>
    <row r="14391" spans="2:21" x14ac:dyDescent="0.2">
      <c r="B14391" s="207"/>
      <c r="C14391" s="210"/>
      <c r="D14391" s="211"/>
      <c r="E14391" s="211"/>
      <c r="U14391" s="222"/>
    </row>
    <row r="14392" spans="2:21" x14ac:dyDescent="0.2">
      <c r="B14392" s="207"/>
      <c r="C14392" s="210"/>
      <c r="D14392" s="211"/>
      <c r="E14392" s="211"/>
      <c r="U14392" s="222"/>
    </row>
    <row r="14393" spans="2:21" x14ac:dyDescent="0.2">
      <c r="B14393" s="207"/>
      <c r="C14393" s="210"/>
      <c r="D14393" s="211"/>
      <c r="E14393" s="211"/>
      <c r="U14393" s="222"/>
    </row>
    <row r="14394" spans="2:21" x14ac:dyDescent="0.2">
      <c r="B14394" s="207"/>
      <c r="C14394" s="210"/>
      <c r="D14394" s="211"/>
      <c r="E14394" s="211"/>
      <c r="U14394" s="222"/>
    </row>
    <row r="14395" spans="2:21" x14ac:dyDescent="0.2">
      <c r="B14395" s="207"/>
      <c r="C14395" s="210"/>
      <c r="D14395" s="211"/>
      <c r="E14395" s="211"/>
      <c r="U14395" s="222"/>
    </row>
    <row r="14396" spans="2:21" x14ac:dyDescent="0.2">
      <c r="B14396" s="207"/>
      <c r="C14396" s="210"/>
      <c r="D14396" s="211"/>
      <c r="E14396" s="211"/>
      <c r="U14396" s="222"/>
    </row>
    <row r="14397" spans="2:21" x14ac:dyDescent="0.2">
      <c r="B14397" s="207"/>
      <c r="C14397" s="210"/>
      <c r="D14397" s="211"/>
      <c r="E14397" s="211"/>
      <c r="U14397" s="222"/>
    </row>
    <row r="14398" spans="2:21" x14ac:dyDescent="0.2">
      <c r="B14398" s="207"/>
      <c r="C14398" s="210"/>
      <c r="D14398" s="211"/>
      <c r="E14398" s="211"/>
      <c r="U14398" s="222"/>
    </row>
    <row r="14399" spans="2:21" x14ac:dyDescent="0.2">
      <c r="B14399" s="207"/>
      <c r="C14399" s="210"/>
      <c r="D14399" s="211"/>
      <c r="E14399" s="211"/>
      <c r="U14399" s="222"/>
    </row>
    <row r="14400" spans="2:21" x14ac:dyDescent="0.2">
      <c r="B14400" s="207"/>
      <c r="C14400" s="210"/>
      <c r="D14400" s="211"/>
      <c r="E14400" s="211"/>
      <c r="U14400" s="222"/>
    </row>
    <row r="14401" spans="2:21" x14ac:dyDescent="0.2">
      <c r="B14401" s="207"/>
      <c r="C14401" s="210"/>
      <c r="D14401" s="211"/>
      <c r="E14401" s="211"/>
      <c r="U14401" s="222"/>
    </row>
    <row r="14402" spans="2:21" x14ac:dyDescent="0.2">
      <c r="B14402" s="207"/>
      <c r="C14402" s="210"/>
      <c r="D14402" s="211"/>
      <c r="E14402" s="211"/>
      <c r="U14402" s="222"/>
    </row>
    <row r="14403" spans="2:21" x14ac:dyDescent="0.2">
      <c r="B14403" s="207"/>
      <c r="C14403" s="210"/>
      <c r="D14403" s="211"/>
      <c r="E14403" s="211"/>
      <c r="U14403" s="222"/>
    </row>
    <row r="14404" spans="2:21" x14ac:dyDescent="0.2">
      <c r="B14404" s="207"/>
      <c r="C14404" s="210"/>
      <c r="D14404" s="211"/>
      <c r="E14404" s="211"/>
      <c r="U14404" s="222"/>
    </row>
    <row r="14405" spans="2:21" x14ac:dyDescent="0.2">
      <c r="B14405" s="207"/>
      <c r="C14405" s="210"/>
      <c r="D14405" s="211"/>
      <c r="E14405" s="211"/>
      <c r="U14405" s="222"/>
    </row>
    <row r="14406" spans="2:21" x14ac:dyDescent="0.2">
      <c r="B14406" s="207"/>
      <c r="C14406" s="210"/>
      <c r="D14406" s="211"/>
      <c r="E14406" s="211"/>
      <c r="U14406" s="222"/>
    </row>
    <row r="14407" spans="2:21" x14ac:dyDescent="0.2">
      <c r="B14407" s="207"/>
      <c r="C14407" s="210"/>
      <c r="D14407" s="211"/>
      <c r="E14407" s="211"/>
      <c r="U14407" s="222"/>
    </row>
    <row r="14408" spans="2:21" x14ac:dyDescent="0.2">
      <c r="B14408" s="207"/>
      <c r="C14408" s="210"/>
      <c r="D14408" s="211"/>
      <c r="E14408" s="211"/>
      <c r="U14408" s="222"/>
    </row>
    <row r="14409" spans="2:21" x14ac:dyDescent="0.2">
      <c r="B14409" s="207"/>
      <c r="C14409" s="210"/>
      <c r="D14409" s="211"/>
      <c r="E14409" s="211"/>
      <c r="U14409" s="222"/>
    </row>
    <row r="14410" spans="2:21" x14ac:dyDescent="0.2">
      <c r="B14410" s="207"/>
      <c r="C14410" s="210"/>
      <c r="D14410" s="211"/>
      <c r="E14410" s="211"/>
      <c r="U14410" s="222"/>
    </row>
    <row r="14411" spans="2:21" x14ac:dyDescent="0.2">
      <c r="B14411" s="207"/>
      <c r="C14411" s="210"/>
      <c r="D14411" s="211"/>
      <c r="E14411" s="211"/>
      <c r="U14411" s="222"/>
    </row>
    <row r="14412" spans="2:21" x14ac:dyDescent="0.2">
      <c r="B14412" s="207"/>
      <c r="C14412" s="210"/>
      <c r="D14412" s="211"/>
      <c r="E14412" s="211"/>
      <c r="U14412" s="222"/>
    </row>
    <row r="14413" spans="2:21" x14ac:dyDescent="0.2">
      <c r="B14413" s="207"/>
      <c r="C14413" s="210"/>
      <c r="D14413" s="211"/>
      <c r="E14413" s="211"/>
      <c r="U14413" s="222"/>
    </row>
    <row r="14414" spans="2:21" x14ac:dyDescent="0.2">
      <c r="B14414" s="207"/>
      <c r="C14414" s="210"/>
      <c r="D14414" s="211"/>
      <c r="E14414" s="211"/>
      <c r="U14414" s="222"/>
    </row>
    <row r="14415" spans="2:21" x14ac:dyDescent="0.2">
      <c r="B14415" s="207"/>
      <c r="C14415" s="210"/>
      <c r="D14415" s="211"/>
      <c r="E14415" s="211"/>
      <c r="U14415" s="222"/>
    </row>
    <row r="14416" spans="2:21" x14ac:dyDescent="0.2">
      <c r="B14416" s="207"/>
      <c r="C14416" s="210"/>
      <c r="D14416" s="211"/>
      <c r="E14416" s="211"/>
      <c r="U14416" s="222"/>
    </row>
    <row r="14417" spans="2:21" x14ac:dyDescent="0.2">
      <c r="B14417" s="207"/>
      <c r="C14417" s="210"/>
      <c r="D14417" s="211"/>
      <c r="E14417" s="211"/>
      <c r="U14417" s="222"/>
    </row>
    <row r="14418" spans="2:21" x14ac:dyDescent="0.2">
      <c r="B14418" s="207"/>
      <c r="C14418" s="210"/>
      <c r="D14418" s="211"/>
      <c r="E14418" s="211"/>
      <c r="U14418" s="222"/>
    </row>
    <row r="14419" spans="2:21" x14ac:dyDescent="0.2">
      <c r="B14419" s="207"/>
      <c r="C14419" s="210"/>
      <c r="D14419" s="211"/>
      <c r="E14419" s="211"/>
      <c r="U14419" s="222"/>
    </row>
    <row r="14420" spans="2:21" x14ac:dyDescent="0.2">
      <c r="B14420" s="207"/>
      <c r="C14420" s="210"/>
      <c r="D14420" s="211"/>
      <c r="E14420" s="211"/>
      <c r="U14420" s="222"/>
    </row>
    <row r="14421" spans="2:21" x14ac:dyDescent="0.2">
      <c r="B14421" s="207"/>
      <c r="C14421" s="210"/>
      <c r="D14421" s="211"/>
      <c r="E14421" s="211"/>
      <c r="U14421" s="222"/>
    </row>
    <row r="14422" spans="2:21" x14ac:dyDescent="0.2">
      <c r="B14422" s="207"/>
      <c r="C14422" s="210"/>
      <c r="D14422" s="211"/>
      <c r="E14422" s="211"/>
      <c r="U14422" s="222"/>
    </row>
    <row r="14423" spans="2:21" x14ac:dyDescent="0.2">
      <c r="B14423" s="207"/>
      <c r="C14423" s="210"/>
      <c r="D14423" s="211"/>
      <c r="E14423" s="211"/>
      <c r="U14423" s="222"/>
    </row>
    <row r="14424" spans="2:21" x14ac:dyDescent="0.2">
      <c r="B14424" s="207"/>
      <c r="C14424" s="210"/>
      <c r="D14424" s="211"/>
      <c r="E14424" s="211"/>
      <c r="U14424" s="222"/>
    </row>
    <row r="14425" spans="2:21" x14ac:dyDescent="0.2">
      <c r="B14425" s="207"/>
      <c r="C14425" s="210"/>
      <c r="D14425" s="211"/>
      <c r="E14425" s="211"/>
      <c r="U14425" s="222"/>
    </row>
    <row r="14426" spans="2:21" x14ac:dyDescent="0.2">
      <c r="B14426" s="207"/>
      <c r="C14426" s="210"/>
      <c r="D14426" s="211"/>
      <c r="E14426" s="211"/>
      <c r="U14426" s="222"/>
    </row>
    <row r="14427" spans="2:21" x14ac:dyDescent="0.2">
      <c r="B14427" s="207"/>
      <c r="C14427" s="210"/>
      <c r="D14427" s="211"/>
      <c r="E14427" s="211"/>
      <c r="U14427" s="222"/>
    </row>
    <row r="14428" spans="2:21" x14ac:dyDescent="0.2">
      <c r="B14428" s="207"/>
      <c r="C14428" s="210"/>
      <c r="D14428" s="211"/>
      <c r="E14428" s="211"/>
      <c r="U14428" s="222"/>
    </row>
    <row r="14429" spans="2:21" x14ac:dyDescent="0.2">
      <c r="B14429" s="207"/>
      <c r="C14429" s="210"/>
      <c r="D14429" s="211"/>
      <c r="E14429" s="211"/>
      <c r="U14429" s="222"/>
    </row>
    <row r="14430" spans="2:21" x14ac:dyDescent="0.2">
      <c r="B14430" s="207"/>
      <c r="C14430" s="210"/>
      <c r="D14430" s="211"/>
      <c r="E14430" s="211"/>
      <c r="U14430" s="222"/>
    </row>
    <row r="14431" spans="2:21" x14ac:dyDescent="0.2">
      <c r="B14431" s="207"/>
      <c r="C14431" s="210"/>
      <c r="D14431" s="211"/>
      <c r="E14431" s="211"/>
      <c r="U14431" s="222"/>
    </row>
    <row r="14432" spans="2:21" x14ac:dyDescent="0.2">
      <c r="B14432" s="207"/>
      <c r="C14432" s="210"/>
      <c r="D14432" s="211"/>
      <c r="E14432" s="211"/>
      <c r="U14432" s="222"/>
    </row>
    <row r="14433" spans="2:21" x14ac:dyDescent="0.2">
      <c r="B14433" s="207"/>
      <c r="C14433" s="210"/>
      <c r="D14433" s="211"/>
      <c r="E14433" s="211"/>
      <c r="U14433" s="222"/>
    </row>
    <row r="14434" spans="2:21" x14ac:dyDescent="0.2">
      <c r="B14434" s="207"/>
      <c r="C14434" s="210"/>
      <c r="D14434" s="211"/>
      <c r="E14434" s="211"/>
      <c r="U14434" s="222"/>
    </row>
    <row r="14435" spans="2:21" x14ac:dyDescent="0.2">
      <c r="B14435" s="207"/>
      <c r="C14435" s="210"/>
      <c r="D14435" s="211"/>
      <c r="E14435" s="211"/>
      <c r="U14435" s="222"/>
    </row>
    <row r="14436" spans="2:21" x14ac:dyDescent="0.2">
      <c r="B14436" s="207"/>
      <c r="C14436" s="210"/>
      <c r="D14436" s="211"/>
      <c r="E14436" s="211"/>
      <c r="U14436" s="222"/>
    </row>
    <row r="14437" spans="2:21" x14ac:dyDescent="0.2">
      <c r="B14437" s="207"/>
      <c r="C14437" s="210"/>
      <c r="D14437" s="211"/>
      <c r="E14437" s="211"/>
      <c r="U14437" s="222"/>
    </row>
    <row r="14438" spans="2:21" x14ac:dyDescent="0.2">
      <c r="B14438" s="207"/>
      <c r="C14438" s="210"/>
      <c r="D14438" s="211"/>
      <c r="E14438" s="211"/>
      <c r="U14438" s="222"/>
    </row>
    <row r="14439" spans="2:21" x14ac:dyDescent="0.2">
      <c r="B14439" s="207"/>
      <c r="C14439" s="210"/>
      <c r="D14439" s="211"/>
      <c r="E14439" s="211"/>
      <c r="U14439" s="222"/>
    </row>
    <row r="14440" spans="2:21" x14ac:dyDescent="0.2">
      <c r="B14440" s="207"/>
      <c r="C14440" s="210"/>
      <c r="D14440" s="211"/>
      <c r="E14440" s="211"/>
      <c r="U14440" s="222"/>
    </row>
    <row r="14441" spans="2:21" x14ac:dyDescent="0.2">
      <c r="B14441" s="207"/>
      <c r="C14441" s="210"/>
      <c r="D14441" s="211"/>
      <c r="E14441" s="211"/>
      <c r="U14441" s="222"/>
    </row>
    <row r="14442" spans="2:21" x14ac:dyDescent="0.2">
      <c r="B14442" s="207"/>
      <c r="C14442" s="210"/>
      <c r="D14442" s="211"/>
      <c r="E14442" s="211"/>
      <c r="U14442" s="222"/>
    </row>
    <row r="14443" spans="2:21" x14ac:dyDescent="0.2">
      <c r="B14443" s="207"/>
      <c r="C14443" s="210"/>
      <c r="D14443" s="211"/>
      <c r="E14443" s="211"/>
      <c r="U14443" s="222"/>
    </row>
    <row r="14444" spans="2:21" x14ac:dyDescent="0.2">
      <c r="B14444" s="207"/>
      <c r="C14444" s="210"/>
      <c r="D14444" s="211"/>
      <c r="E14444" s="211"/>
      <c r="U14444" s="222"/>
    </row>
    <row r="14445" spans="2:21" x14ac:dyDescent="0.2">
      <c r="B14445" s="207"/>
      <c r="C14445" s="210"/>
      <c r="D14445" s="211"/>
      <c r="E14445" s="211"/>
      <c r="U14445" s="222"/>
    </row>
    <row r="14446" spans="2:21" x14ac:dyDescent="0.2">
      <c r="B14446" s="207"/>
      <c r="C14446" s="210"/>
      <c r="D14446" s="211"/>
      <c r="E14446" s="211"/>
      <c r="U14446" s="222"/>
    </row>
    <row r="14447" spans="2:21" x14ac:dyDescent="0.2">
      <c r="B14447" s="207"/>
      <c r="C14447" s="210"/>
      <c r="D14447" s="211"/>
      <c r="E14447" s="211"/>
      <c r="U14447" s="222"/>
    </row>
    <row r="14448" spans="2:21" x14ac:dyDescent="0.2">
      <c r="B14448" s="207"/>
      <c r="C14448" s="210"/>
      <c r="D14448" s="211"/>
      <c r="E14448" s="211"/>
      <c r="U14448" s="222"/>
    </row>
    <row r="14449" spans="2:21" x14ac:dyDescent="0.2">
      <c r="B14449" s="207"/>
      <c r="C14449" s="210"/>
      <c r="D14449" s="211"/>
      <c r="E14449" s="211"/>
      <c r="U14449" s="222"/>
    </row>
    <row r="14450" spans="2:21" x14ac:dyDescent="0.2">
      <c r="B14450" s="207"/>
      <c r="C14450" s="210"/>
      <c r="D14450" s="211"/>
      <c r="E14450" s="211"/>
      <c r="U14450" s="222"/>
    </row>
    <row r="14451" spans="2:21" x14ac:dyDescent="0.2">
      <c r="B14451" s="207"/>
      <c r="C14451" s="210"/>
      <c r="D14451" s="211"/>
      <c r="E14451" s="211"/>
      <c r="U14451" s="222"/>
    </row>
    <row r="14452" spans="2:21" x14ac:dyDescent="0.2">
      <c r="B14452" s="207"/>
      <c r="C14452" s="210"/>
      <c r="D14452" s="211"/>
      <c r="E14452" s="211"/>
      <c r="U14452" s="222"/>
    </row>
    <row r="14453" spans="2:21" x14ac:dyDescent="0.2">
      <c r="B14453" s="207"/>
      <c r="C14453" s="210"/>
      <c r="D14453" s="211"/>
      <c r="E14453" s="211"/>
      <c r="U14453" s="222"/>
    </row>
    <row r="14454" spans="2:21" x14ac:dyDescent="0.2">
      <c r="B14454" s="207"/>
      <c r="C14454" s="210"/>
      <c r="D14454" s="211"/>
      <c r="E14454" s="211"/>
      <c r="U14454" s="222"/>
    </row>
    <row r="14455" spans="2:21" x14ac:dyDescent="0.2">
      <c r="B14455" s="207"/>
      <c r="C14455" s="210"/>
      <c r="D14455" s="211"/>
      <c r="E14455" s="211"/>
      <c r="U14455" s="222"/>
    </row>
    <row r="14456" spans="2:21" x14ac:dyDescent="0.2">
      <c r="B14456" s="207"/>
      <c r="C14456" s="210"/>
      <c r="D14456" s="211"/>
      <c r="E14456" s="211"/>
      <c r="U14456" s="222"/>
    </row>
    <row r="14457" spans="2:21" x14ac:dyDescent="0.2">
      <c r="B14457" s="207"/>
      <c r="C14457" s="210"/>
      <c r="D14457" s="211"/>
      <c r="E14457" s="211"/>
      <c r="U14457" s="222"/>
    </row>
    <row r="14458" spans="2:21" x14ac:dyDescent="0.2">
      <c r="B14458" s="207"/>
      <c r="C14458" s="210"/>
      <c r="D14458" s="211"/>
      <c r="E14458" s="211"/>
      <c r="U14458" s="222"/>
    </row>
    <row r="14459" spans="2:21" x14ac:dyDescent="0.2">
      <c r="B14459" s="207"/>
      <c r="C14459" s="210"/>
      <c r="D14459" s="211"/>
      <c r="E14459" s="211"/>
      <c r="U14459" s="222"/>
    </row>
    <row r="14460" spans="2:21" x14ac:dyDescent="0.2">
      <c r="B14460" s="207"/>
      <c r="C14460" s="210"/>
      <c r="D14460" s="211"/>
      <c r="E14460" s="211"/>
      <c r="U14460" s="222"/>
    </row>
    <row r="14461" spans="2:21" x14ac:dyDescent="0.2">
      <c r="B14461" s="207"/>
      <c r="C14461" s="210"/>
      <c r="D14461" s="211"/>
      <c r="E14461" s="211"/>
      <c r="U14461" s="222"/>
    </row>
    <row r="14462" spans="2:21" x14ac:dyDescent="0.2">
      <c r="B14462" s="207"/>
      <c r="C14462" s="210"/>
      <c r="D14462" s="211"/>
      <c r="E14462" s="211"/>
      <c r="U14462" s="222"/>
    </row>
    <row r="14463" spans="2:21" x14ac:dyDescent="0.2">
      <c r="B14463" s="207"/>
      <c r="C14463" s="210"/>
      <c r="D14463" s="211"/>
      <c r="E14463" s="211"/>
      <c r="U14463" s="222"/>
    </row>
    <row r="14464" spans="2:21" x14ac:dyDescent="0.2">
      <c r="B14464" s="207"/>
      <c r="C14464" s="210"/>
      <c r="D14464" s="211"/>
      <c r="E14464" s="211"/>
      <c r="U14464" s="222"/>
    </row>
    <row r="14465" spans="2:21" x14ac:dyDescent="0.2">
      <c r="B14465" s="207"/>
      <c r="C14465" s="210"/>
      <c r="D14465" s="211"/>
      <c r="E14465" s="211"/>
      <c r="U14465" s="222"/>
    </row>
    <row r="14466" spans="2:21" x14ac:dyDescent="0.2">
      <c r="B14466" s="207"/>
      <c r="C14466" s="210"/>
      <c r="D14466" s="211"/>
      <c r="E14466" s="211"/>
      <c r="U14466" s="222"/>
    </row>
    <row r="14467" spans="2:21" x14ac:dyDescent="0.2">
      <c r="B14467" s="207"/>
      <c r="C14467" s="210"/>
      <c r="D14467" s="211"/>
      <c r="E14467" s="211"/>
      <c r="U14467" s="222"/>
    </row>
    <row r="14468" spans="2:21" x14ac:dyDescent="0.2">
      <c r="B14468" s="207"/>
      <c r="C14468" s="210"/>
      <c r="D14468" s="211"/>
      <c r="E14468" s="211"/>
      <c r="U14468" s="222"/>
    </row>
    <row r="14469" spans="2:21" x14ac:dyDescent="0.2">
      <c r="B14469" s="207"/>
      <c r="C14469" s="210"/>
      <c r="D14469" s="211"/>
      <c r="E14469" s="211"/>
      <c r="U14469" s="222"/>
    </row>
    <row r="14470" spans="2:21" x14ac:dyDescent="0.2">
      <c r="B14470" s="207"/>
      <c r="C14470" s="210"/>
      <c r="D14470" s="211"/>
      <c r="E14470" s="211"/>
      <c r="U14470" s="222"/>
    </row>
    <row r="14471" spans="2:21" x14ac:dyDescent="0.2">
      <c r="B14471" s="207"/>
      <c r="C14471" s="210"/>
      <c r="D14471" s="211"/>
      <c r="E14471" s="211"/>
      <c r="U14471" s="222"/>
    </row>
    <row r="14472" spans="2:21" x14ac:dyDescent="0.2">
      <c r="B14472" s="207"/>
      <c r="C14472" s="210"/>
      <c r="D14472" s="211"/>
      <c r="E14472" s="211"/>
      <c r="U14472" s="222"/>
    </row>
    <row r="14473" spans="2:21" x14ac:dyDescent="0.2">
      <c r="B14473" s="207"/>
      <c r="C14473" s="210"/>
      <c r="D14473" s="211"/>
      <c r="E14473" s="211"/>
      <c r="U14473" s="222"/>
    </row>
    <row r="14474" spans="2:21" x14ac:dyDescent="0.2">
      <c r="B14474" s="207"/>
      <c r="C14474" s="210"/>
      <c r="D14474" s="211"/>
      <c r="E14474" s="211"/>
      <c r="U14474" s="222"/>
    </row>
    <row r="14475" spans="2:21" x14ac:dyDescent="0.2">
      <c r="B14475" s="207"/>
      <c r="C14475" s="210"/>
      <c r="D14475" s="211"/>
      <c r="E14475" s="211"/>
      <c r="U14475" s="222"/>
    </row>
    <row r="14476" spans="2:21" x14ac:dyDescent="0.2">
      <c r="B14476" s="207"/>
      <c r="C14476" s="210"/>
      <c r="D14476" s="211"/>
      <c r="E14476" s="211"/>
      <c r="U14476" s="222"/>
    </row>
    <row r="14477" spans="2:21" x14ac:dyDescent="0.2">
      <c r="B14477" s="207"/>
      <c r="C14477" s="210"/>
      <c r="D14477" s="211"/>
      <c r="E14477" s="211"/>
      <c r="U14477" s="222"/>
    </row>
    <row r="14478" spans="2:21" x14ac:dyDescent="0.2">
      <c r="B14478" s="207"/>
      <c r="C14478" s="210"/>
      <c r="D14478" s="211"/>
      <c r="E14478" s="211"/>
      <c r="U14478" s="222"/>
    </row>
    <row r="14479" spans="2:21" x14ac:dyDescent="0.2">
      <c r="B14479" s="207"/>
      <c r="C14479" s="210"/>
      <c r="D14479" s="211"/>
      <c r="E14479" s="211"/>
      <c r="U14479" s="222"/>
    </row>
    <row r="14480" spans="2:21" x14ac:dyDescent="0.2">
      <c r="B14480" s="207"/>
      <c r="C14480" s="210"/>
      <c r="D14480" s="211"/>
      <c r="E14480" s="211"/>
      <c r="U14480" s="222"/>
    </row>
    <row r="14481" spans="2:21" x14ac:dyDescent="0.2">
      <c r="B14481" s="207"/>
      <c r="C14481" s="210"/>
      <c r="D14481" s="211"/>
      <c r="E14481" s="211"/>
      <c r="U14481" s="222"/>
    </row>
    <row r="14482" spans="2:21" x14ac:dyDescent="0.2">
      <c r="B14482" s="207"/>
      <c r="C14482" s="210"/>
      <c r="D14482" s="211"/>
      <c r="E14482" s="211"/>
      <c r="U14482" s="222"/>
    </row>
    <row r="14483" spans="2:21" x14ac:dyDescent="0.2">
      <c r="B14483" s="207"/>
      <c r="C14483" s="210"/>
      <c r="D14483" s="211"/>
      <c r="E14483" s="211"/>
      <c r="U14483" s="222"/>
    </row>
    <row r="14484" spans="2:21" x14ac:dyDescent="0.2">
      <c r="B14484" s="207"/>
      <c r="C14484" s="210"/>
      <c r="D14484" s="211"/>
      <c r="E14484" s="211"/>
      <c r="U14484" s="222"/>
    </row>
    <row r="14485" spans="2:21" x14ac:dyDescent="0.2">
      <c r="B14485" s="207"/>
      <c r="C14485" s="210"/>
      <c r="D14485" s="211"/>
      <c r="E14485" s="211"/>
      <c r="U14485" s="222"/>
    </row>
    <row r="14486" spans="2:21" x14ac:dyDescent="0.2">
      <c r="B14486" s="207"/>
      <c r="C14486" s="210"/>
      <c r="D14486" s="211"/>
      <c r="E14486" s="211"/>
      <c r="U14486" s="222"/>
    </row>
    <row r="14487" spans="2:21" x14ac:dyDescent="0.2">
      <c r="B14487" s="207"/>
      <c r="C14487" s="210"/>
      <c r="D14487" s="211"/>
      <c r="E14487" s="211"/>
      <c r="U14487" s="222"/>
    </row>
    <row r="14488" spans="2:21" x14ac:dyDescent="0.2">
      <c r="B14488" s="207"/>
      <c r="C14488" s="210"/>
      <c r="D14488" s="211"/>
      <c r="E14488" s="211"/>
      <c r="U14488" s="222"/>
    </row>
    <row r="14489" spans="2:21" x14ac:dyDescent="0.2">
      <c r="B14489" s="207"/>
      <c r="C14489" s="210"/>
      <c r="D14489" s="211"/>
      <c r="E14489" s="211"/>
      <c r="U14489" s="222"/>
    </row>
    <row r="14490" spans="2:21" x14ac:dyDescent="0.2">
      <c r="B14490" s="207"/>
      <c r="C14490" s="210"/>
      <c r="D14490" s="211"/>
      <c r="E14490" s="211"/>
      <c r="U14490" s="222"/>
    </row>
    <row r="14491" spans="2:21" x14ac:dyDescent="0.2">
      <c r="B14491" s="207"/>
      <c r="C14491" s="210"/>
      <c r="D14491" s="211"/>
      <c r="E14491" s="211"/>
      <c r="U14491" s="222"/>
    </row>
    <row r="14492" spans="2:21" x14ac:dyDescent="0.2">
      <c r="B14492" s="207"/>
      <c r="C14492" s="210"/>
      <c r="D14492" s="211"/>
      <c r="E14492" s="211"/>
      <c r="U14492" s="222"/>
    </row>
    <row r="14493" spans="2:21" x14ac:dyDescent="0.2">
      <c r="B14493" s="207"/>
      <c r="C14493" s="210"/>
      <c r="D14493" s="211"/>
      <c r="E14493" s="211"/>
      <c r="U14493" s="222"/>
    </row>
    <row r="14494" spans="2:21" x14ac:dyDescent="0.2">
      <c r="B14494" s="207"/>
      <c r="C14494" s="210"/>
      <c r="D14494" s="211"/>
      <c r="E14494" s="211"/>
      <c r="U14494" s="222"/>
    </row>
    <row r="14495" spans="2:21" x14ac:dyDescent="0.2">
      <c r="B14495" s="207"/>
      <c r="C14495" s="210"/>
      <c r="D14495" s="211"/>
      <c r="E14495" s="211"/>
      <c r="U14495" s="222"/>
    </row>
    <row r="14496" spans="2:21" x14ac:dyDescent="0.2">
      <c r="B14496" s="207"/>
      <c r="C14496" s="210"/>
      <c r="D14496" s="211"/>
      <c r="E14496" s="211"/>
      <c r="U14496" s="222"/>
    </row>
    <row r="14497" spans="2:21" x14ac:dyDescent="0.2">
      <c r="B14497" s="207"/>
      <c r="C14497" s="210"/>
      <c r="D14497" s="211"/>
      <c r="E14497" s="211"/>
      <c r="U14497" s="222"/>
    </row>
    <row r="14498" spans="2:21" x14ac:dyDescent="0.2">
      <c r="B14498" s="207"/>
      <c r="C14498" s="210"/>
      <c r="D14498" s="211"/>
      <c r="E14498" s="211"/>
      <c r="U14498" s="222"/>
    </row>
    <row r="14499" spans="2:21" x14ac:dyDescent="0.2">
      <c r="B14499" s="207"/>
      <c r="C14499" s="210"/>
      <c r="D14499" s="211"/>
      <c r="E14499" s="211"/>
      <c r="U14499" s="222"/>
    </row>
    <row r="14500" spans="2:21" x14ac:dyDescent="0.2">
      <c r="B14500" s="207"/>
      <c r="C14500" s="210"/>
      <c r="D14500" s="211"/>
      <c r="E14500" s="211"/>
      <c r="U14500" s="222"/>
    </row>
    <row r="14501" spans="2:21" x14ac:dyDescent="0.2">
      <c r="B14501" s="207"/>
      <c r="C14501" s="210"/>
      <c r="D14501" s="211"/>
      <c r="E14501" s="211"/>
      <c r="U14501" s="222"/>
    </row>
    <row r="14502" spans="2:21" x14ac:dyDescent="0.2">
      <c r="B14502" s="207"/>
      <c r="C14502" s="210"/>
      <c r="D14502" s="211"/>
      <c r="E14502" s="211"/>
      <c r="U14502" s="222"/>
    </row>
    <row r="14503" spans="2:21" x14ac:dyDescent="0.2">
      <c r="B14503" s="207"/>
      <c r="C14503" s="210"/>
      <c r="D14503" s="211"/>
      <c r="E14503" s="211"/>
      <c r="U14503" s="222"/>
    </row>
    <row r="14504" spans="2:21" x14ac:dyDescent="0.2">
      <c r="B14504" s="207"/>
      <c r="C14504" s="210"/>
      <c r="D14504" s="211"/>
      <c r="E14504" s="211"/>
      <c r="U14504" s="222"/>
    </row>
    <row r="14505" spans="2:21" x14ac:dyDescent="0.2">
      <c r="B14505" s="207"/>
      <c r="C14505" s="210"/>
      <c r="D14505" s="211"/>
      <c r="E14505" s="211"/>
      <c r="U14505" s="222"/>
    </row>
    <row r="14506" spans="2:21" x14ac:dyDescent="0.2">
      <c r="B14506" s="207"/>
      <c r="C14506" s="210"/>
      <c r="D14506" s="211"/>
      <c r="E14506" s="211"/>
      <c r="U14506" s="222"/>
    </row>
    <row r="14507" spans="2:21" x14ac:dyDescent="0.2">
      <c r="B14507" s="207"/>
      <c r="C14507" s="210"/>
      <c r="D14507" s="211"/>
      <c r="E14507" s="211"/>
      <c r="U14507" s="222"/>
    </row>
    <row r="14508" spans="2:21" x14ac:dyDescent="0.2">
      <c r="B14508" s="207"/>
      <c r="C14508" s="210"/>
      <c r="D14508" s="211"/>
      <c r="E14508" s="211"/>
      <c r="U14508" s="222"/>
    </row>
    <row r="14509" spans="2:21" x14ac:dyDescent="0.2">
      <c r="B14509" s="207"/>
      <c r="C14509" s="210"/>
      <c r="D14509" s="211"/>
      <c r="E14509" s="211"/>
      <c r="U14509" s="222"/>
    </row>
    <row r="14510" spans="2:21" x14ac:dyDescent="0.2">
      <c r="B14510" s="207"/>
      <c r="C14510" s="210"/>
      <c r="D14510" s="211"/>
      <c r="E14510" s="211"/>
      <c r="U14510" s="222"/>
    </row>
    <row r="14511" spans="2:21" x14ac:dyDescent="0.2">
      <c r="B14511" s="207"/>
      <c r="C14511" s="210"/>
      <c r="D14511" s="211"/>
      <c r="E14511" s="211"/>
      <c r="U14511" s="222"/>
    </row>
    <row r="14512" spans="2:21" x14ac:dyDescent="0.2">
      <c r="B14512" s="207"/>
      <c r="C14512" s="210"/>
      <c r="D14512" s="211"/>
      <c r="E14512" s="211"/>
      <c r="U14512" s="222"/>
    </row>
    <row r="14513" spans="2:21" x14ac:dyDescent="0.2">
      <c r="B14513" s="207"/>
      <c r="C14513" s="210"/>
      <c r="D14513" s="211"/>
      <c r="E14513" s="211"/>
      <c r="U14513" s="222"/>
    </row>
    <row r="14514" spans="2:21" x14ac:dyDescent="0.2">
      <c r="B14514" s="207"/>
      <c r="C14514" s="210"/>
      <c r="D14514" s="211"/>
      <c r="E14514" s="211"/>
      <c r="U14514" s="222"/>
    </row>
    <row r="14515" spans="2:21" x14ac:dyDescent="0.2">
      <c r="B14515" s="207"/>
      <c r="C14515" s="210"/>
      <c r="D14515" s="211"/>
      <c r="E14515" s="211"/>
      <c r="U14515" s="222"/>
    </row>
    <row r="14516" spans="2:21" x14ac:dyDescent="0.2">
      <c r="B14516" s="207"/>
      <c r="C14516" s="210"/>
      <c r="D14516" s="211"/>
      <c r="E14516" s="211"/>
      <c r="U14516" s="222"/>
    </row>
    <row r="14517" spans="2:21" x14ac:dyDescent="0.2">
      <c r="B14517" s="207"/>
      <c r="C14517" s="210"/>
      <c r="D14517" s="211"/>
      <c r="E14517" s="211"/>
      <c r="U14517" s="222"/>
    </row>
    <row r="14518" spans="2:21" x14ac:dyDescent="0.2">
      <c r="B14518" s="207"/>
      <c r="C14518" s="210"/>
      <c r="D14518" s="211"/>
      <c r="E14518" s="211"/>
      <c r="U14518" s="222"/>
    </row>
    <row r="14519" spans="2:21" x14ac:dyDescent="0.2">
      <c r="B14519" s="207"/>
      <c r="C14519" s="210"/>
      <c r="D14519" s="211"/>
      <c r="E14519" s="211"/>
      <c r="U14519" s="222"/>
    </row>
    <row r="14520" spans="2:21" x14ac:dyDescent="0.2">
      <c r="B14520" s="207"/>
      <c r="C14520" s="210"/>
      <c r="D14520" s="211"/>
      <c r="E14520" s="211"/>
      <c r="U14520" s="222"/>
    </row>
    <row r="14521" spans="2:21" x14ac:dyDescent="0.2">
      <c r="B14521" s="207"/>
      <c r="C14521" s="210"/>
      <c r="D14521" s="211"/>
      <c r="E14521" s="211"/>
      <c r="U14521" s="222"/>
    </row>
    <row r="14522" spans="2:21" x14ac:dyDescent="0.2">
      <c r="B14522" s="207"/>
      <c r="C14522" s="210"/>
      <c r="D14522" s="211"/>
      <c r="E14522" s="211"/>
      <c r="U14522" s="222"/>
    </row>
    <row r="14523" spans="2:21" x14ac:dyDescent="0.2">
      <c r="B14523" s="207"/>
      <c r="C14523" s="210"/>
      <c r="D14523" s="211"/>
      <c r="E14523" s="211"/>
      <c r="U14523" s="222"/>
    </row>
    <row r="14524" spans="2:21" x14ac:dyDescent="0.2">
      <c r="B14524" s="207"/>
      <c r="C14524" s="210"/>
      <c r="D14524" s="211"/>
      <c r="E14524" s="211"/>
      <c r="U14524" s="222"/>
    </row>
    <row r="14525" spans="2:21" x14ac:dyDescent="0.2">
      <c r="B14525" s="207"/>
      <c r="C14525" s="210"/>
      <c r="D14525" s="211"/>
      <c r="E14525" s="211"/>
      <c r="U14525" s="222"/>
    </row>
    <row r="14526" spans="2:21" x14ac:dyDescent="0.2">
      <c r="B14526" s="207"/>
      <c r="C14526" s="210"/>
      <c r="D14526" s="211"/>
      <c r="E14526" s="211"/>
      <c r="U14526" s="222"/>
    </row>
    <row r="14527" spans="2:21" x14ac:dyDescent="0.2">
      <c r="B14527" s="207"/>
      <c r="C14527" s="210"/>
      <c r="D14527" s="211"/>
      <c r="E14527" s="211"/>
      <c r="U14527" s="222"/>
    </row>
    <row r="14528" spans="2:21" x14ac:dyDescent="0.2">
      <c r="B14528" s="207"/>
      <c r="C14528" s="210"/>
      <c r="D14528" s="211"/>
      <c r="E14528" s="211"/>
      <c r="U14528" s="222"/>
    </row>
    <row r="14529" spans="2:21" x14ac:dyDescent="0.2">
      <c r="B14529" s="207"/>
      <c r="C14529" s="210"/>
      <c r="D14529" s="211"/>
      <c r="E14529" s="211"/>
      <c r="U14529" s="222"/>
    </row>
    <row r="14530" spans="2:21" x14ac:dyDescent="0.2">
      <c r="B14530" s="207"/>
      <c r="C14530" s="210"/>
      <c r="D14530" s="211"/>
      <c r="E14530" s="211"/>
      <c r="U14530" s="222"/>
    </row>
    <row r="14531" spans="2:21" x14ac:dyDescent="0.2">
      <c r="B14531" s="207"/>
      <c r="C14531" s="210"/>
      <c r="D14531" s="211"/>
      <c r="E14531" s="211"/>
      <c r="U14531" s="222"/>
    </row>
    <row r="14532" spans="2:21" x14ac:dyDescent="0.2">
      <c r="B14532" s="207"/>
      <c r="C14532" s="210"/>
      <c r="D14532" s="211"/>
      <c r="E14532" s="211"/>
      <c r="U14532" s="222"/>
    </row>
    <row r="14533" spans="2:21" x14ac:dyDescent="0.2">
      <c r="B14533" s="207"/>
      <c r="C14533" s="210"/>
      <c r="D14533" s="211"/>
      <c r="E14533" s="211"/>
      <c r="U14533" s="222"/>
    </row>
    <row r="14534" spans="2:21" x14ac:dyDescent="0.2">
      <c r="B14534" s="207"/>
      <c r="C14534" s="210"/>
      <c r="D14534" s="211"/>
      <c r="E14534" s="211"/>
      <c r="U14534" s="222"/>
    </row>
    <row r="14535" spans="2:21" x14ac:dyDescent="0.2">
      <c r="B14535" s="207"/>
      <c r="C14535" s="210"/>
      <c r="D14535" s="211"/>
      <c r="E14535" s="211"/>
      <c r="U14535" s="222"/>
    </row>
    <row r="14536" spans="2:21" x14ac:dyDescent="0.2">
      <c r="B14536" s="207"/>
      <c r="C14536" s="210"/>
      <c r="D14536" s="211"/>
      <c r="E14536" s="211"/>
      <c r="U14536" s="222"/>
    </row>
    <row r="14537" spans="2:21" x14ac:dyDescent="0.2">
      <c r="B14537" s="207"/>
      <c r="C14537" s="210"/>
      <c r="D14537" s="211"/>
      <c r="E14537" s="211"/>
      <c r="U14537" s="222"/>
    </row>
    <row r="14538" spans="2:21" x14ac:dyDescent="0.2">
      <c r="B14538" s="207"/>
      <c r="C14538" s="210"/>
      <c r="D14538" s="211"/>
      <c r="E14538" s="211"/>
      <c r="U14538" s="222"/>
    </row>
    <row r="14539" spans="2:21" x14ac:dyDescent="0.2">
      <c r="B14539" s="207"/>
      <c r="C14539" s="210"/>
      <c r="D14539" s="211"/>
      <c r="E14539" s="211"/>
      <c r="U14539" s="222"/>
    </row>
    <row r="14540" spans="2:21" x14ac:dyDescent="0.2">
      <c r="B14540" s="207"/>
      <c r="C14540" s="210"/>
      <c r="D14540" s="211"/>
      <c r="E14540" s="211"/>
      <c r="U14540" s="222"/>
    </row>
    <row r="14541" spans="2:21" x14ac:dyDescent="0.2">
      <c r="B14541" s="207"/>
      <c r="C14541" s="210"/>
      <c r="D14541" s="211"/>
      <c r="E14541" s="211"/>
      <c r="U14541" s="222"/>
    </row>
    <row r="14542" spans="2:21" x14ac:dyDescent="0.2">
      <c r="B14542" s="207"/>
      <c r="C14542" s="210"/>
      <c r="D14542" s="211"/>
      <c r="E14542" s="211"/>
      <c r="U14542" s="222"/>
    </row>
    <row r="14543" spans="2:21" x14ac:dyDescent="0.2">
      <c r="B14543" s="207"/>
      <c r="C14543" s="210"/>
      <c r="D14543" s="211"/>
      <c r="E14543" s="211"/>
      <c r="U14543" s="222"/>
    </row>
    <row r="14544" spans="2:21" x14ac:dyDescent="0.2">
      <c r="B14544" s="207"/>
      <c r="C14544" s="210"/>
      <c r="D14544" s="211"/>
      <c r="E14544" s="211"/>
      <c r="U14544" s="222"/>
    </row>
    <row r="14545" spans="2:21" x14ac:dyDescent="0.2">
      <c r="B14545" s="207"/>
      <c r="C14545" s="210"/>
      <c r="D14545" s="211"/>
      <c r="E14545" s="211"/>
      <c r="U14545" s="222"/>
    </row>
    <row r="14546" spans="2:21" x14ac:dyDescent="0.2">
      <c r="B14546" s="207"/>
      <c r="C14546" s="210"/>
      <c r="D14546" s="211"/>
      <c r="E14546" s="211"/>
      <c r="U14546" s="222"/>
    </row>
    <row r="14547" spans="2:21" x14ac:dyDescent="0.2">
      <c r="B14547" s="207"/>
      <c r="C14547" s="210"/>
      <c r="D14547" s="211"/>
      <c r="E14547" s="211"/>
      <c r="U14547" s="222"/>
    </row>
    <row r="14548" spans="2:21" x14ac:dyDescent="0.2">
      <c r="B14548" s="207"/>
      <c r="C14548" s="210"/>
      <c r="D14548" s="211"/>
      <c r="E14548" s="211"/>
      <c r="U14548" s="222"/>
    </row>
    <row r="14549" spans="2:21" x14ac:dyDescent="0.2">
      <c r="B14549" s="207"/>
      <c r="C14549" s="210"/>
      <c r="D14549" s="211"/>
      <c r="E14549" s="211"/>
      <c r="U14549" s="222"/>
    </row>
    <row r="14550" spans="2:21" x14ac:dyDescent="0.2">
      <c r="B14550" s="207"/>
      <c r="C14550" s="210"/>
      <c r="D14550" s="211"/>
      <c r="E14550" s="211"/>
      <c r="U14550" s="222"/>
    </row>
    <row r="14551" spans="2:21" x14ac:dyDescent="0.2">
      <c r="B14551" s="207"/>
      <c r="C14551" s="210"/>
      <c r="D14551" s="211"/>
      <c r="E14551" s="211"/>
      <c r="U14551" s="222"/>
    </row>
    <row r="14552" spans="2:21" x14ac:dyDescent="0.2">
      <c r="B14552" s="207"/>
      <c r="C14552" s="210"/>
      <c r="D14552" s="211"/>
      <c r="E14552" s="211"/>
      <c r="U14552" s="222"/>
    </row>
    <row r="14553" spans="2:21" x14ac:dyDescent="0.2">
      <c r="B14553" s="207"/>
      <c r="C14553" s="210"/>
      <c r="D14553" s="211"/>
      <c r="E14553" s="211"/>
      <c r="U14553" s="222"/>
    </row>
    <row r="14554" spans="2:21" x14ac:dyDescent="0.2">
      <c r="B14554" s="207"/>
      <c r="C14554" s="210"/>
      <c r="D14554" s="211"/>
      <c r="E14554" s="211"/>
      <c r="U14554" s="222"/>
    </row>
    <row r="14555" spans="2:21" x14ac:dyDescent="0.2">
      <c r="B14555" s="207"/>
      <c r="C14555" s="210"/>
      <c r="D14555" s="211"/>
      <c r="E14555" s="211"/>
      <c r="U14555" s="222"/>
    </row>
    <row r="14556" spans="2:21" x14ac:dyDescent="0.2">
      <c r="B14556" s="207"/>
      <c r="C14556" s="210"/>
      <c r="D14556" s="211"/>
      <c r="E14556" s="211"/>
      <c r="U14556" s="222"/>
    </row>
    <row r="14557" spans="2:21" x14ac:dyDescent="0.2">
      <c r="B14557" s="207"/>
      <c r="C14557" s="210"/>
      <c r="D14557" s="211"/>
      <c r="E14557" s="211"/>
      <c r="U14557" s="222"/>
    </row>
    <row r="14558" spans="2:21" x14ac:dyDescent="0.2">
      <c r="B14558" s="207"/>
      <c r="C14558" s="210"/>
      <c r="D14558" s="211"/>
      <c r="E14558" s="211"/>
      <c r="U14558" s="222"/>
    </row>
    <row r="14559" spans="2:21" x14ac:dyDescent="0.2">
      <c r="B14559" s="207"/>
      <c r="C14559" s="210"/>
      <c r="D14559" s="211"/>
      <c r="E14559" s="211"/>
      <c r="U14559" s="222"/>
    </row>
    <row r="14560" spans="2:21" x14ac:dyDescent="0.2">
      <c r="B14560" s="207"/>
      <c r="C14560" s="210"/>
      <c r="D14560" s="211"/>
      <c r="E14560" s="211"/>
      <c r="U14560" s="222"/>
    </row>
    <row r="14561" spans="2:21" x14ac:dyDescent="0.2">
      <c r="B14561" s="207"/>
      <c r="C14561" s="210"/>
      <c r="D14561" s="211"/>
      <c r="E14561" s="211"/>
      <c r="U14561" s="222"/>
    </row>
    <row r="14562" spans="2:21" x14ac:dyDescent="0.2">
      <c r="B14562" s="207"/>
      <c r="C14562" s="210"/>
      <c r="D14562" s="211"/>
      <c r="E14562" s="211"/>
      <c r="U14562" s="222"/>
    </row>
    <row r="14563" spans="2:21" x14ac:dyDescent="0.2">
      <c r="B14563" s="207"/>
      <c r="C14563" s="210"/>
      <c r="D14563" s="211"/>
      <c r="E14563" s="211"/>
      <c r="U14563" s="222"/>
    </row>
    <row r="14564" spans="2:21" x14ac:dyDescent="0.2">
      <c r="B14564" s="207"/>
      <c r="C14564" s="210"/>
      <c r="D14564" s="211"/>
      <c r="E14564" s="211"/>
      <c r="U14564" s="222"/>
    </row>
    <row r="14565" spans="2:21" x14ac:dyDescent="0.2">
      <c r="B14565" s="207"/>
      <c r="C14565" s="210"/>
      <c r="D14565" s="211"/>
      <c r="E14565" s="211"/>
      <c r="U14565" s="222"/>
    </row>
    <row r="14566" spans="2:21" x14ac:dyDescent="0.2">
      <c r="B14566" s="207"/>
      <c r="C14566" s="210"/>
      <c r="D14566" s="211"/>
      <c r="E14566" s="211"/>
      <c r="U14566" s="222"/>
    </row>
    <row r="14567" spans="2:21" x14ac:dyDescent="0.2">
      <c r="B14567" s="207"/>
      <c r="C14567" s="210"/>
      <c r="D14567" s="211"/>
      <c r="E14567" s="211"/>
      <c r="U14567" s="222"/>
    </row>
    <row r="14568" spans="2:21" x14ac:dyDescent="0.2">
      <c r="B14568" s="207"/>
      <c r="C14568" s="210"/>
      <c r="D14568" s="211"/>
      <c r="E14568" s="211"/>
      <c r="U14568" s="222"/>
    </row>
    <row r="14569" spans="2:21" x14ac:dyDescent="0.2">
      <c r="B14569" s="207"/>
      <c r="C14569" s="210"/>
      <c r="D14569" s="211"/>
      <c r="E14569" s="211"/>
      <c r="U14569" s="222"/>
    </row>
    <row r="14570" spans="2:21" x14ac:dyDescent="0.2">
      <c r="B14570" s="207"/>
      <c r="C14570" s="210"/>
      <c r="D14570" s="211"/>
      <c r="E14570" s="211"/>
      <c r="U14570" s="222"/>
    </row>
    <row r="14571" spans="2:21" x14ac:dyDescent="0.2">
      <c r="B14571" s="207"/>
      <c r="C14571" s="210"/>
      <c r="D14571" s="211"/>
      <c r="E14571" s="211"/>
      <c r="U14571" s="222"/>
    </row>
    <row r="14572" spans="2:21" x14ac:dyDescent="0.2">
      <c r="B14572" s="207"/>
      <c r="C14572" s="210"/>
      <c r="D14572" s="211"/>
      <c r="E14572" s="211"/>
      <c r="U14572" s="222"/>
    </row>
    <row r="14573" spans="2:21" x14ac:dyDescent="0.2">
      <c r="B14573" s="207"/>
      <c r="C14573" s="210"/>
      <c r="D14573" s="211"/>
      <c r="E14573" s="211"/>
      <c r="U14573" s="222"/>
    </row>
    <row r="14574" spans="2:21" x14ac:dyDescent="0.2">
      <c r="B14574" s="207"/>
      <c r="C14574" s="210"/>
      <c r="D14574" s="211"/>
      <c r="E14574" s="211"/>
      <c r="U14574" s="222"/>
    </row>
    <row r="14575" spans="2:21" x14ac:dyDescent="0.2">
      <c r="B14575" s="207"/>
      <c r="C14575" s="210"/>
      <c r="D14575" s="211"/>
      <c r="E14575" s="211"/>
      <c r="U14575" s="222"/>
    </row>
    <row r="14576" spans="2:21" x14ac:dyDescent="0.2">
      <c r="B14576" s="207"/>
      <c r="C14576" s="210"/>
      <c r="D14576" s="211"/>
      <c r="E14576" s="211"/>
      <c r="U14576" s="222"/>
    </row>
    <row r="14577" spans="2:21" x14ac:dyDescent="0.2">
      <c r="B14577" s="207"/>
      <c r="C14577" s="210"/>
      <c r="D14577" s="211"/>
      <c r="E14577" s="211"/>
      <c r="U14577" s="222"/>
    </row>
    <row r="14578" spans="2:21" x14ac:dyDescent="0.2">
      <c r="B14578" s="207"/>
      <c r="C14578" s="210"/>
      <c r="D14578" s="211"/>
      <c r="E14578" s="211"/>
      <c r="U14578" s="222"/>
    </row>
    <row r="14579" spans="2:21" x14ac:dyDescent="0.2">
      <c r="B14579" s="207"/>
      <c r="C14579" s="210"/>
      <c r="D14579" s="211"/>
      <c r="E14579" s="211"/>
      <c r="U14579" s="222"/>
    </row>
    <row r="14580" spans="2:21" x14ac:dyDescent="0.2">
      <c r="B14580" s="207"/>
      <c r="C14580" s="210"/>
      <c r="D14580" s="211"/>
      <c r="E14580" s="211"/>
      <c r="U14580" s="222"/>
    </row>
    <row r="14581" spans="2:21" x14ac:dyDescent="0.2">
      <c r="B14581" s="207"/>
      <c r="C14581" s="210"/>
      <c r="D14581" s="211"/>
      <c r="E14581" s="211"/>
      <c r="U14581" s="222"/>
    </row>
    <row r="14582" spans="2:21" x14ac:dyDescent="0.2">
      <c r="B14582" s="207"/>
      <c r="C14582" s="210"/>
      <c r="D14582" s="211"/>
      <c r="E14582" s="211"/>
      <c r="U14582" s="222"/>
    </row>
    <row r="14583" spans="2:21" x14ac:dyDescent="0.2">
      <c r="B14583" s="207"/>
      <c r="C14583" s="210"/>
      <c r="D14583" s="211"/>
      <c r="E14583" s="211"/>
      <c r="U14583" s="222"/>
    </row>
    <row r="14584" spans="2:21" x14ac:dyDescent="0.2">
      <c r="B14584" s="207"/>
      <c r="C14584" s="210"/>
      <c r="D14584" s="211"/>
      <c r="E14584" s="211"/>
      <c r="U14584" s="222"/>
    </row>
    <row r="14585" spans="2:21" x14ac:dyDescent="0.2">
      <c r="B14585" s="207"/>
      <c r="C14585" s="210"/>
      <c r="D14585" s="211"/>
      <c r="E14585" s="211"/>
      <c r="U14585" s="222"/>
    </row>
    <row r="14586" spans="2:21" x14ac:dyDescent="0.2">
      <c r="B14586" s="207"/>
      <c r="C14586" s="210"/>
      <c r="D14586" s="211"/>
      <c r="E14586" s="211"/>
      <c r="U14586" s="222"/>
    </row>
    <row r="14587" spans="2:21" x14ac:dyDescent="0.2">
      <c r="B14587" s="207"/>
      <c r="C14587" s="210"/>
      <c r="D14587" s="211"/>
      <c r="E14587" s="211"/>
      <c r="U14587" s="222"/>
    </row>
    <row r="14588" spans="2:21" x14ac:dyDescent="0.2">
      <c r="B14588" s="207"/>
      <c r="C14588" s="210"/>
      <c r="D14588" s="211"/>
      <c r="E14588" s="211"/>
      <c r="U14588" s="222"/>
    </row>
    <row r="14589" spans="2:21" x14ac:dyDescent="0.2">
      <c r="B14589" s="207"/>
      <c r="C14589" s="210"/>
      <c r="D14589" s="211"/>
      <c r="E14589" s="211"/>
      <c r="U14589" s="222"/>
    </row>
    <row r="14590" spans="2:21" x14ac:dyDescent="0.2">
      <c r="B14590" s="207"/>
      <c r="C14590" s="210"/>
      <c r="D14590" s="211"/>
      <c r="E14590" s="211"/>
      <c r="U14590" s="222"/>
    </row>
    <row r="14591" spans="2:21" x14ac:dyDescent="0.2">
      <c r="B14591" s="207"/>
      <c r="C14591" s="210"/>
      <c r="D14591" s="211"/>
      <c r="E14591" s="211"/>
      <c r="U14591" s="222"/>
    </row>
    <row r="14592" spans="2:21" x14ac:dyDescent="0.2">
      <c r="B14592" s="207"/>
      <c r="C14592" s="210"/>
      <c r="D14592" s="211"/>
      <c r="E14592" s="211"/>
      <c r="U14592" s="222"/>
    </row>
    <row r="14593" spans="2:21" x14ac:dyDescent="0.2">
      <c r="B14593" s="207"/>
      <c r="C14593" s="210"/>
      <c r="D14593" s="211"/>
      <c r="E14593" s="211"/>
      <c r="U14593" s="222"/>
    </row>
    <row r="14594" spans="2:21" x14ac:dyDescent="0.2">
      <c r="B14594" s="207"/>
      <c r="C14594" s="210"/>
      <c r="D14594" s="211"/>
      <c r="E14594" s="211"/>
      <c r="U14594" s="222"/>
    </row>
    <row r="14595" spans="2:21" x14ac:dyDescent="0.2">
      <c r="B14595" s="207"/>
      <c r="C14595" s="210"/>
      <c r="D14595" s="211"/>
      <c r="E14595" s="211"/>
      <c r="U14595" s="222"/>
    </row>
    <row r="14596" spans="2:21" x14ac:dyDescent="0.2">
      <c r="B14596" s="207"/>
      <c r="C14596" s="210"/>
      <c r="D14596" s="211"/>
      <c r="E14596" s="211"/>
      <c r="U14596" s="222"/>
    </row>
    <row r="14597" spans="2:21" x14ac:dyDescent="0.2">
      <c r="B14597" s="207"/>
      <c r="C14597" s="210"/>
      <c r="D14597" s="211"/>
      <c r="E14597" s="211"/>
      <c r="U14597" s="222"/>
    </row>
    <row r="14598" spans="2:21" x14ac:dyDescent="0.2">
      <c r="B14598" s="207"/>
      <c r="C14598" s="210"/>
      <c r="D14598" s="211"/>
      <c r="E14598" s="211"/>
      <c r="U14598" s="222"/>
    </row>
    <row r="14599" spans="2:21" x14ac:dyDescent="0.2">
      <c r="B14599" s="207"/>
      <c r="C14599" s="210"/>
      <c r="D14599" s="211"/>
      <c r="E14599" s="211"/>
      <c r="U14599" s="222"/>
    </row>
    <row r="14600" spans="2:21" x14ac:dyDescent="0.2">
      <c r="B14600" s="207"/>
      <c r="C14600" s="210"/>
      <c r="D14600" s="211"/>
      <c r="E14600" s="211"/>
      <c r="U14600" s="222"/>
    </row>
    <row r="14601" spans="2:21" x14ac:dyDescent="0.2">
      <c r="B14601" s="207"/>
      <c r="C14601" s="210"/>
      <c r="D14601" s="211"/>
      <c r="E14601" s="211"/>
      <c r="U14601" s="222"/>
    </row>
    <row r="14602" spans="2:21" x14ac:dyDescent="0.2">
      <c r="B14602" s="207"/>
      <c r="C14602" s="210"/>
      <c r="D14602" s="211"/>
      <c r="E14602" s="211"/>
      <c r="U14602" s="222"/>
    </row>
    <row r="14603" spans="2:21" x14ac:dyDescent="0.2">
      <c r="B14603" s="207"/>
      <c r="C14603" s="210"/>
      <c r="D14603" s="211"/>
      <c r="E14603" s="211"/>
      <c r="U14603" s="222"/>
    </row>
    <row r="14604" spans="2:21" x14ac:dyDescent="0.2">
      <c r="B14604" s="207"/>
      <c r="C14604" s="210"/>
      <c r="D14604" s="211"/>
      <c r="E14604" s="211"/>
      <c r="U14604" s="222"/>
    </row>
    <row r="14605" spans="2:21" x14ac:dyDescent="0.2">
      <c r="B14605" s="207"/>
      <c r="C14605" s="210"/>
      <c r="D14605" s="211"/>
      <c r="E14605" s="211"/>
      <c r="U14605" s="222"/>
    </row>
    <row r="14606" spans="2:21" x14ac:dyDescent="0.2">
      <c r="B14606" s="207"/>
      <c r="C14606" s="210"/>
      <c r="D14606" s="211"/>
      <c r="E14606" s="211"/>
      <c r="U14606" s="222"/>
    </row>
    <row r="14607" spans="2:21" x14ac:dyDescent="0.2">
      <c r="B14607" s="207"/>
      <c r="C14607" s="210"/>
      <c r="D14607" s="211"/>
      <c r="E14607" s="211"/>
      <c r="U14607" s="222"/>
    </row>
    <row r="14608" spans="2:21" x14ac:dyDescent="0.2">
      <c r="B14608" s="207"/>
      <c r="C14608" s="210"/>
      <c r="D14608" s="211"/>
      <c r="E14608" s="211"/>
      <c r="U14608" s="222"/>
    </row>
    <row r="14609" spans="2:21" x14ac:dyDescent="0.2">
      <c r="B14609" s="207"/>
      <c r="C14609" s="210"/>
      <c r="D14609" s="211"/>
      <c r="E14609" s="211"/>
      <c r="U14609" s="222"/>
    </row>
    <row r="14610" spans="2:21" x14ac:dyDescent="0.2">
      <c r="B14610" s="207"/>
      <c r="C14610" s="210"/>
      <c r="D14610" s="211"/>
      <c r="E14610" s="211"/>
      <c r="U14610" s="222"/>
    </row>
    <row r="14611" spans="2:21" x14ac:dyDescent="0.2">
      <c r="B14611" s="207"/>
      <c r="C14611" s="210"/>
      <c r="D14611" s="211"/>
      <c r="E14611" s="211"/>
      <c r="U14611" s="222"/>
    </row>
    <row r="14612" spans="2:21" x14ac:dyDescent="0.2">
      <c r="B14612" s="207"/>
      <c r="C14612" s="210"/>
      <c r="D14612" s="211"/>
      <c r="E14612" s="211"/>
      <c r="U14612" s="222"/>
    </row>
    <row r="14613" spans="2:21" x14ac:dyDescent="0.2">
      <c r="B14613" s="207"/>
      <c r="C14613" s="210"/>
      <c r="D14613" s="211"/>
      <c r="E14613" s="211"/>
      <c r="U14613" s="222"/>
    </row>
    <row r="14614" spans="2:21" x14ac:dyDescent="0.2">
      <c r="B14614" s="207"/>
      <c r="C14614" s="210"/>
      <c r="D14614" s="211"/>
      <c r="E14614" s="211"/>
      <c r="U14614" s="222"/>
    </row>
    <row r="14615" spans="2:21" x14ac:dyDescent="0.2">
      <c r="B14615" s="207"/>
      <c r="C14615" s="210"/>
      <c r="D14615" s="211"/>
      <c r="E14615" s="211"/>
      <c r="U14615" s="222"/>
    </row>
    <row r="14616" spans="2:21" x14ac:dyDescent="0.2">
      <c r="B14616" s="207"/>
      <c r="C14616" s="210"/>
      <c r="D14616" s="211"/>
      <c r="E14616" s="211"/>
      <c r="U14616" s="222"/>
    </row>
    <row r="14617" spans="2:21" x14ac:dyDescent="0.2">
      <c r="B14617" s="207"/>
      <c r="C14617" s="210"/>
      <c r="D14617" s="211"/>
      <c r="E14617" s="211"/>
      <c r="U14617" s="222"/>
    </row>
    <row r="14618" spans="2:21" x14ac:dyDescent="0.2">
      <c r="B14618" s="207"/>
      <c r="C14618" s="210"/>
      <c r="D14618" s="211"/>
      <c r="E14618" s="211"/>
      <c r="U14618" s="222"/>
    </row>
    <row r="14619" spans="2:21" x14ac:dyDescent="0.2">
      <c r="B14619" s="207"/>
      <c r="C14619" s="210"/>
      <c r="D14619" s="211"/>
      <c r="E14619" s="211"/>
      <c r="U14619" s="222"/>
    </row>
    <row r="14620" spans="2:21" x14ac:dyDescent="0.2">
      <c r="B14620" s="207"/>
      <c r="C14620" s="210"/>
      <c r="D14620" s="211"/>
      <c r="E14620" s="211"/>
      <c r="U14620" s="222"/>
    </row>
    <row r="14621" spans="2:21" x14ac:dyDescent="0.2">
      <c r="B14621" s="207"/>
      <c r="C14621" s="210"/>
      <c r="D14621" s="211"/>
      <c r="E14621" s="211"/>
      <c r="U14621" s="222"/>
    </row>
    <row r="14622" spans="2:21" x14ac:dyDescent="0.2">
      <c r="B14622" s="207"/>
      <c r="C14622" s="210"/>
      <c r="D14622" s="211"/>
      <c r="E14622" s="211"/>
      <c r="U14622" s="222"/>
    </row>
    <row r="14623" spans="2:21" x14ac:dyDescent="0.2">
      <c r="B14623" s="207"/>
      <c r="C14623" s="210"/>
      <c r="D14623" s="211"/>
      <c r="E14623" s="211"/>
      <c r="U14623" s="222"/>
    </row>
    <row r="14624" spans="2:21" x14ac:dyDescent="0.2">
      <c r="B14624" s="207"/>
      <c r="C14624" s="210"/>
      <c r="D14624" s="211"/>
      <c r="E14624" s="211"/>
      <c r="U14624" s="222"/>
    </row>
    <row r="14625" spans="2:21" x14ac:dyDescent="0.2">
      <c r="B14625" s="207"/>
      <c r="C14625" s="210"/>
      <c r="D14625" s="211"/>
      <c r="E14625" s="211"/>
      <c r="U14625" s="222"/>
    </row>
    <row r="14626" spans="2:21" x14ac:dyDescent="0.2">
      <c r="B14626" s="207"/>
      <c r="C14626" s="210"/>
      <c r="D14626" s="211"/>
      <c r="E14626" s="211"/>
      <c r="U14626" s="222"/>
    </row>
    <row r="14627" spans="2:21" x14ac:dyDescent="0.2">
      <c r="B14627" s="207"/>
      <c r="C14627" s="210"/>
      <c r="D14627" s="211"/>
      <c r="E14627" s="211"/>
      <c r="U14627" s="222"/>
    </row>
    <row r="14628" spans="2:21" x14ac:dyDescent="0.2">
      <c r="B14628" s="207"/>
      <c r="C14628" s="210"/>
      <c r="D14628" s="211"/>
      <c r="E14628" s="211"/>
      <c r="U14628" s="222"/>
    </row>
    <row r="14629" spans="2:21" x14ac:dyDescent="0.2">
      <c r="B14629" s="207"/>
      <c r="C14629" s="210"/>
      <c r="D14629" s="211"/>
      <c r="E14629" s="211"/>
      <c r="U14629" s="222"/>
    </row>
    <row r="14630" spans="2:21" x14ac:dyDescent="0.2">
      <c r="B14630" s="207"/>
      <c r="C14630" s="210"/>
      <c r="D14630" s="211"/>
      <c r="E14630" s="211"/>
      <c r="U14630" s="222"/>
    </row>
    <row r="14631" spans="2:21" x14ac:dyDescent="0.2">
      <c r="B14631" s="207"/>
      <c r="C14631" s="210"/>
      <c r="D14631" s="211"/>
      <c r="E14631" s="211"/>
      <c r="U14631" s="222"/>
    </row>
    <row r="14632" spans="2:21" x14ac:dyDescent="0.2">
      <c r="B14632" s="207"/>
      <c r="C14632" s="210"/>
      <c r="D14632" s="211"/>
      <c r="E14632" s="211"/>
      <c r="U14632" s="222"/>
    </row>
    <row r="14633" spans="2:21" x14ac:dyDescent="0.2">
      <c r="B14633" s="207"/>
      <c r="C14633" s="210"/>
      <c r="D14633" s="211"/>
      <c r="E14633" s="211"/>
      <c r="U14633" s="222"/>
    </row>
    <row r="14634" spans="2:21" x14ac:dyDescent="0.2">
      <c r="B14634" s="207"/>
      <c r="C14634" s="210"/>
      <c r="D14634" s="211"/>
      <c r="E14634" s="211"/>
      <c r="U14634" s="222"/>
    </row>
    <row r="14635" spans="2:21" x14ac:dyDescent="0.2">
      <c r="B14635" s="207"/>
      <c r="C14635" s="210"/>
      <c r="D14635" s="211"/>
      <c r="E14635" s="211"/>
      <c r="U14635" s="222"/>
    </row>
    <row r="14636" spans="2:21" x14ac:dyDescent="0.2">
      <c r="B14636" s="207"/>
      <c r="C14636" s="210"/>
      <c r="D14636" s="211"/>
      <c r="E14636" s="211"/>
      <c r="U14636" s="222"/>
    </row>
    <row r="14637" spans="2:21" x14ac:dyDescent="0.2">
      <c r="B14637" s="207"/>
      <c r="C14637" s="210"/>
      <c r="D14637" s="211"/>
      <c r="E14637" s="211"/>
      <c r="U14637" s="222"/>
    </row>
    <row r="14638" spans="2:21" x14ac:dyDescent="0.2">
      <c r="B14638" s="207"/>
      <c r="C14638" s="210"/>
      <c r="D14638" s="211"/>
      <c r="E14638" s="211"/>
      <c r="U14638" s="222"/>
    </row>
    <row r="14639" spans="2:21" x14ac:dyDescent="0.2">
      <c r="B14639" s="207"/>
      <c r="C14639" s="210"/>
      <c r="D14639" s="211"/>
      <c r="E14639" s="211"/>
      <c r="U14639" s="222"/>
    </row>
    <row r="14640" spans="2:21" x14ac:dyDescent="0.2">
      <c r="B14640" s="207"/>
      <c r="C14640" s="210"/>
      <c r="D14640" s="211"/>
      <c r="E14640" s="211"/>
      <c r="U14640" s="222"/>
    </row>
    <row r="14641" spans="2:21" x14ac:dyDescent="0.2">
      <c r="B14641" s="207"/>
      <c r="C14641" s="210"/>
      <c r="D14641" s="211"/>
      <c r="E14641" s="211"/>
      <c r="U14641" s="222"/>
    </row>
    <row r="14642" spans="2:21" x14ac:dyDescent="0.2">
      <c r="B14642" s="207"/>
      <c r="C14642" s="210"/>
      <c r="D14642" s="211"/>
      <c r="E14642" s="211"/>
      <c r="U14642" s="222"/>
    </row>
    <row r="14643" spans="2:21" x14ac:dyDescent="0.2">
      <c r="B14643" s="207"/>
      <c r="C14643" s="210"/>
      <c r="D14643" s="211"/>
      <c r="E14643" s="211"/>
      <c r="U14643" s="222"/>
    </row>
    <row r="14644" spans="2:21" x14ac:dyDescent="0.2">
      <c r="B14644" s="207"/>
      <c r="C14644" s="210"/>
      <c r="D14644" s="211"/>
      <c r="E14644" s="211"/>
      <c r="U14644" s="222"/>
    </row>
    <row r="14645" spans="2:21" x14ac:dyDescent="0.2">
      <c r="B14645" s="207"/>
      <c r="C14645" s="210"/>
      <c r="D14645" s="211"/>
      <c r="E14645" s="211"/>
      <c r="U14645" s="222"/>
    </row>
    <row r="14646" spans="2:21" x14ac:dyDescent="0.2">
      <c r="B14646" s="207"/>
      <c r="C14646" s="210"/>
      <c r="D14646" s="211"/>
      <c r="E14646" s="211"/>
      <c r="U14646" s="222"/>
    </row>
    <row r="14647" spans="2:21" x14ac:dyDescent="0.2">
      <c r="B14647" s="207"/>
      <c r="C14647" s="210"/>
      <c r="D14647" s="211"/>
      <c r="E14647" s="211"/>
      <c r="U14647" s="222"/>
    </row>
    <row r="14648" spans="2:21" x14ac:dyDescent="0.2">
      <c r="B14648" s="207"/>
      <c r="C14648" s="210"/>
      <c r="D14648" s="211"/>
      <c r="E14648" s="211"/>
      <c r="U14648" s="222"/>
    </row>
    <row r="14649" spans="2:21" x14ac:dyDescent="0.2">
      <c r="B14649" s="207"/>
      <c r="C14649" s="210"/>
      <c r="D14649" s="211"/>
      <c r="E14649" s="211"/>
      <c r="U14649" s="222"/>
    </row>
    <row r="14650" spans="2:21" x14ac:dyDescent="0.2">
      <c r="B14650" s="207"/>
      <c r="C14650" s="210"/>
      <c r="D14650" s="211"/>
      <c r="E14650" s="211"/>
      <c r="U14650" s="222"/>
    </row>
    <row r="14651" spans="2:21" x14ac:dyDescent="0.2">
      <c r="B14651" s="207"/>
      <c r="C14651" s="210"/>
      <c r="D14651" s="211"/>
      <c r="E14651" s="211"/>
      <c r="U14651" s="222"/>
    </row>
    <row r="14652" spans="2:21" x14ac:dyDescent="0.2">
      <c r="B14652" s="207"/>
      <c r="C14652" s="210"/>
      <c r="D14652" s="211"/>
      <c r="E14652" s="211"/>
      <c r="U14652" s="222"/>
    </row>
    <row r="14653" spans="2:21" x14ac:dyDescent="0.2">
      <c r="B14653" s="207"/>
      <c r="C14653" s="210"/>
      <c r="D14653" s="211"/>
      <c r="E14653" s="211"/>
      <c r="U14653" s="222"/>
    </row>
    <row r="14654" spans="2:21" x14ac:dyDescent="0.2">
      <c r="B14654" s="207"/>
      <c r="C14654" s="210"/>
      <c r="D14654" s="211"/>
      <c r="E14654" s="211"/>
      <c r="U14654" s="222"/>
    </row>
    <row r="14655" spans="2:21" x14ac:dyDescent="0.2">
      <c r="B14655" s="207"/>
      <c r="C14655" s="210"/>
      <c r="D14655" s="211"/>
      <c r="E14655" s="211"/>
      <c r="U14655" s="222"/>
    </row>
    <row r="14656" spans="2:21" x14ac:dyDescent="0.2">
      <c r="B14656" s="207"/>
      <c r="C14656" s="210"/>
      <c r="D14656" s="211"/>
      <c r="E14656" s="211"/>
      <c r="U14656" s="222"/>
    </row>
    <row r="14657" spans="2:21" x14ac:dyDescent="0.2">
      <c r="B14657" s="207"/>
      <c r="C14657" s="210"/>
      <c r="D14657" s="211"/>
      <c r="E14657" s="211"/>
      <c r="U14657" s="222"/>
    </row>
    <row r="14658" spans="2:21" x14ac:dyDescent="0.2">
      <c r="B14658" s="207"/>
      <c r="C14658" s="210"/>
      <c r="D14658" s="211"/>
      <c r="E14658" s="211"/>
      <c r="U14658" s="222"/>
    </row>
    <row r="14659" spans="2:21" x14ac:dyDescent="0.2">
      <c r="B14659" s="207"/>
      <c r="C14659" s="210"/>
      <c r="D14659" s="211"/>
      <c r="E14659" s="211"/>
      <c r="U14659" s="222"/>
    </row>
    <row r="14660" spans="2:21" x14ac:dyDescent="0.2">
      <c r="B14660" s="207"/>
      <c r="C14660" s="210"/>
      <c r="D14660" s="211"/>
      <c r="E14660" s="211"/>
      <c r="U14660" s="222"/>
    </row>
    <row r="14661" spans="2:21" x14ac:dyDescent="0.2">
      <c r="B14661" s="207"/>
      <c r="C14661" s="210"/>
      <c r="D14661" s="211"/>
      <c r="E14661" s="211"/>
      <c r="U14661" s="222"/>
    </row>
    <row r="14662" spans="2:21" x14ac:dyDescent="0.2">
      <c r="B14662" s="207"/>
      <c r="C14662" s="210"/>
      <c r="D14662" s="211"/>
      <c r="E14662" s="211"/>
      <c r="U14662" s="222"/>
    </row>
    <row r="14663" spans="2:21" x14ac:dyDescent="0.2">
      <c r="B14663" s="207"/>
      <c r="C14663" s="210"/>
      <c r="D14663" s="211"/>
      <c r="E14663" s="211"/>
      <c r="U14663" s="222"/>
    </row>
    <row r="14664" spans="2:21" x14ac:dyDescent="0.2">
      <c r="B14664" s="207"/>
      <c r="C14664" s="210"/>
      <c r="D14664" s="211"/>
      <c r="E14664" s="211"/>
      <c r="U14664" s="222"/>
    </row>
    <row r="14665" spans="2:21" x14ac:dyDescent="0.2">
      <c r="B14665" s="207"/>
      <c r="C14665" s="210"/>
      <c r="D14665" s="211"/>
      <c r="E14665" s="211"/>
      <c r="U14665" s="222"/>
    </row>
    <row r="14666" spans="2:21" x14ac:dyDescent="0.2">
      <c r="B14666" s="207"/>
      <c r="C14666" s="210"/>
      <c r="D14666" s="211"/>
      <c r="E14666" s="211"/>
      <c r="U14666" s="222"/>
    </row>
    <row r="14667" spans="2:21" x14ac:dyDescent="0.2">
      <c r="B14667" s="207"/>
      <c r="C14667" s="210"/>
      <c r="D14667" s="211"/>
      <c r="E14667" s="211"/>
      <c r="U14667" s="222"/>
    </row>
    <row r="14668" spans="2:21" x14ac:dyDescent="0.2">
      <c r="B14668" s="207"/>
      <c r="C14668" s="210"/>
      <c r="D14668" s="211"/>
      <c r="E14668" s="211"/>
      <c r="U14668" s="222"/>
    </row>
    <row r="14669" spans="2:21" x14ac:dyDescent="0.2">
      <c r="B14669" s="207"/>
      <c r="C14669" s="210"/>
      <c r="D14669" s="211"/>
      <c r="E14669" s="211"/>
      <c r="U14669" s="222"/>
    </row>
    <row r="14670" spans="2:21" x14ac:dyDescent="0.2">
      <c r="B14670" s="207"/>
      <c r="C14670" s="210"/>
      <c r="D14670" s="211"/>
      <c r="E14670" s="211"/>
      <c r="U14670" s="222"/>
    </row>
    <row r="14671" spans="2:21" x14ac:dyDescent="0.2">
      <c r="B14671" s="207"/>
      <c r="C14671" s="210"/>
      <c r="D14671" s="211"/>
      <c r="E14671" s="211"/>
      <c r="U14671" s="222"/>
    </row>
    <row r="14672" spans="2:21" x14ac:dyDescent="0.2">
      <c r="B14672" s="207"/>
      <c r="C14672" s="210"/>
      <c r="D14672" s="211"/>
      <c r="E14672" s="211"/>
      <c r="U14672" s="222"/>
    </row>
    <row r="14673" spans="2:21" x14ac:dyDescent="0.2">
      <c r="B14673" s="207"/>
      <c r="C14673" s="210"/>
      <c r="D14673" s="211"/>
      <c r="E14673" s="211"/>
      <c r="U14673" s="222"/>
    </row>
    <row r="14674" spans="2:21" x14ac:dyDescent="0.2">
      <c r="B14674" s="207"/>
      <c r="C14674" s="210"/>
      <c r="D14674" s="211"/>
      <c r="E14674" s="211"/>
      <c r="U14674" s="222"/>
    </row>
    <row r="14675" spans="2:21" x14ac:dyDescent="0.2">
      <c r="B14675" s="207"/>
      <c r="C14675" s="210"/>
      <c r="D14675" s="211"/>
      <c r="E14675" s="211"/>
      <c r="U14675" s="222"/>
    </row>
    <row r="14676" spans="2:21" x14ac:dyDescent="0.2">
      <c r="B14676" s="207"/>
      <c r="C14676" s="210"/>
      <c r="D14676" s="211"/>
      <c r="E14676" s="211"/>
      <c r="U14676" s="222"/>
    </row>
    <row r="14677" spans="2:21" x14ac:dyDescent="0.2">
      <c r="B14677" s="207"/>
      <c r="C14677" s="210"/>
      <c r="D14677" s="211"/>
      <c r="E14677" s="211"/>
      <c r="U14677" s="222"/>
    </row>
    <row r="14678" spans="2:21" x14ac:dyDescent="0.2">
      <c r="B14678" s="207"/>
      <c r="C14678" s="210"/>
      <c r="D14678" s="211"/>
      <c r="E14678" s="211"/>
      <c r="U14678" s="222"/>
    </row>
    <row r="14679" spans="2:21" x14ac:dyDescent="0.2">
      <c r="B14679" s="207"/>
      <c r="C14679" s="210"/>
      <c r="D14679" s="211"/>
      <c r="E14679" s="211"/>
      <c r="U14679" s="222"/>
    </row>
    <row r="14680" spans="2:21" x14ac:dyDescent="0.2">
      <c r="B14680" s="207"/>
      <c r="C14680" s="210"/>
      <c r="D14680" s="211"/>
      <c r="E14680" s="211"/>
      <c r="U14680" s="222"/>
    </row>
    <row r="14681" spans="2:21" x14ac:dyDescent="0.2">
      <c r="B14681" s="207"/>
      <c r="C14681" s="210"/>
      <c r="D14681" s="211"/>
      <c r="E14681" s="211"/>
      <c r="U14681" s="222"/>
    </row>
    <row r="14682" spans="2:21" x14ac:dyDescent="0.2">
      <c r="B14682" s="207"/>
      <c r="C14682" s="210"/>
      <c r="D14682" s="211"/>
      <c r="E14682" s="211"/>
      <c r="U14682" s="222"/>
    </row>
    <row r="14683" spans="2:21" x14ac:dyDescent="0.2">
      <c r="B14683" s="207"/>
      <c r="C14683" s="210"/>
      <c r="D14683" s="211"/>
      <c r="E14683" s="211"/>
      <c r="U14683" s="222"/>
    </row>
    <row r="14684" spans="2:21" x14ac:dyDescent="0.2">
      <c r="B14684" s="207"/>
      <c r="C14684" s="210"/>
      <c r="D14684" s="211"/>
      <c r="E14684" s="211"/>
      <c r="U14684" s="222"/>
    </row>
    <row r="14685" spans="2:21" x14ac:dyDescent="0.2">
      <c r="B14685" s="207"/>
      <c r="C14685" s="210"/>
      <c r="D14685" s="211"/>
      <c r="E14685" s="211"/>
      <c r="U14685" s="222"/>
    </row>
    <row r="14686" spans="2:21" x14ac:dyDescent="0.2">
      <c r="B14686" s="207"/>
      <c r="C14686" s="210"/>
      <c r="D14686" s="211"/>
      <c r="E14686" s="211"/>
      <c r="U14686" s="222"/>
    </row>
    <row r="14687" spans="2:21" x14ac:dyDescent="0.2">
      <c r="B14687" s="207"/>
      <c r="C14687" s="210"/>
      <c r="D14687" s="211"/>
      <c r="E14687" s="211"/>
      <c r="U14687" s="222"/>
    </row>
    <row r="14688" spans="2:21" x14ac:dyDescent="0.2">
      <c r="B14688" s="207"/>
      <c r="C14688" s="210"/>
      <c r="D14688" s="211"/>
      <c r="E14688" s="211"/>
      <c r="U14688" s="222"/>
    </row>
    <row r="14689" spans="2:21" x14ac:dyDescent="0.2">
      <c r="B14689" s="207"/>
      <c r="C14689" s="210"/>
      <c r="D14689" s="211"/>
      <c r="E14689" s="211"/>
      <c r="U14689" s="222"/>
    </row>
    <row r="14690" spans="2:21" x14ac:dyDescent="0.2">
      <c r="B14690" s="207"/>
      <c r="C14690" s="210"/>
      <c r="D14690" s="211"/>
      <c r="E14690" s="211"/>
      <c r="U14690" s="222"/>
    </row>
    <row r="14691" spans="2:21" x14ac:dyDescent="0.2">
      <c r="B14691" s="207"/>
      <c r="C14691" s="210"/>
      <c r="D14691" s="211"/>
      <c r="E14691" s="211"/>
      <c r="U14691" s="222"/>
    </row>
    <row r="14692" spans="2:21" x14ac:dyDescent="0.2">
      <c r="B14692" s="207"/>
      <c r="C14692" s="210"/>
      <c r="D14692" s="211"/>
      <c r="E14692" s="211"/>
      <c r="U14692" s="222"/>
    </row>
    <row r="14693" spans="2:21" x14ac:dyDescent="0.2">
      <c r="B14693" s="207"/>
      <c r="C14693" s="210"/>
      <c r="D14693" s="211"/>
      <c r="E14693" s="211"/>
      <c r="U14693" s="222"/>
    </row>
    <row r="14694" spans="2:21" x14ac:dyDescent="0.2">
      <c r="B14694" s="207"/>
      <c r="C14694" s="210"/>
      <c r="D14694" s="211"/>
      <c r="E14694" s="211"/>
      <c r="U14694" s="222"/>
    </row>
    <row r="14695" spans="2:21" x14ac:dyDescent="0.2">
      <c r="B14695" s="207"/>
      <c r="C14695" s="210"/>
      <c r="D14695" s="211"/>
      <c r="E14695" s="211"/>
      <c r="U14695" s="222"/>
    </row>
    <row r="14696" spans="2:21" x14ac:dyDescent="0.2">
      <c r="B14696" s="207"/>
      <c r="C14696" s="210"/>
      <c r="D14696" s="211"/>
      <c r="E14696" s="211"/>
      <c r="U14696" s="222"/>
    </row>
    <row r="14697" spans="2:21" x14ac:dyDescent="0.2">
      <c r="B14697" s="207"/>
      <c r="C14697" s="210"/>
      <c r="D14697" s="211"/>
      <c r="E14697" s="211"/>
      <c r="U14697" s="222"/>
    </row>
    <row r="14698" spans="2:21" x14ac:dyDescent="0.2">
      <c r="B14698" s="207"/>
      <c r="C14698" s="210"/>
      <c r="D14698" s="211"/>
      <c r="E14698" s="211"/>
      <c r="U14698" s="222"/>
    </row>
    <row r="14699" spans="2:21" x14ac:dyDescent="0.2">
      <c r="B14699" s="207"/>
      <c r="C14699" s="210"/>
      <c r="D14699" s="211"/>
      <c r="E14699" s="211"/>
      <c r="U14699" s="222"/>
    </row>
    <row r="14700" spans="2:21" x14ac:dyDescent="0.2">
      <c r="B14700" s="207"/>
      <c r="C14700" s="210"/>
      <c r="D14700" s="211"/>
      <c r="E14700" s="211"/>
      <c r="U14700" s="222"/>
    </row>
    <row r="14701" spans="2:21" x14ac:dyDescent="0.2">
      <c r="B14701" s="207"/>
      <c r="C14701" s="210"/>
      <c r="D14701" s="211"/>
      <c r="E14701" s="211"/>
      <c r="U14701" s="222"/>
    </row>
    <row r="14702" spans="2:21" x14ac:dyDescent="0.2">
      <c r="B14702" s="207"/>
      <c r="C14702" s="210"/>
      <c r="D14702" s="211"/>
      <c r="E14702" s="211"/>
      <c r="U14702" s="222"/>
    </row>
    <row r="14703" spans="2:21" x14ac:dyDescent="0.2">
      <c r="B14703" s="207"/>
      <c r="C14703" s="210"/>
      <c r="D14703" s="211"/>
      <c r="E14703" s="211"/>
      <c r="U14703" s="222"/>
    </row>
    <row r="14704" spans="2:21" x14ac:dyDescent="0.2">
      <c r="B14704" s="207"/>
      <c r="C14704" s="210"/>
      <c r="D14704" s="211"/>
      <c r="E14704" s="211"/>
      <c r="U14704" s="222"/>
    </row>
    <row r="14705" spans="2:21" x14ac:dyDescent="0.2">
      <c r="B14705" s="207"/>
      <c r="C14705" s="210"/>
      <c r="D14705" s="211"/>
      <c r="E14705" s="211"/>
      <c r="U14705" s="222"/>
    </row>
    <row r="14706" spans="2:21" x14ac:dyDescent="0.2">
      <c r="B14706" s="207"/>
      <c r="C14706" s="210"/>
      <c r="D14706" s="211"/>
      <c r="E14706" s="211"/>
      <c r="U14706" s="222"/>
    </row>
    <row r="14707" spans="2:21" x14ac:dyDescent="0.2">
      <c r="B14707" s="207"/>
      <c r="C14707" s="210"/>
      <c r="D14707" s="211"/>
      <c r="E14707" s="211"/>
      <c r="U14707" s="222"/>
    </row>
    <row r="14708" spans="2:21" x14ac:dyDescent="0.2">
      <c r="B14708" s="207"/>
      <c r="C14708" s="210"/>
      <c r="D14708" s="211"/>
      <c r="E14708" s="211"/>
      <c r="U14708" s="222"/>
    </row>
    <row r="14709" spans="2:21" x14ac:dyDescent="0.2">
      <c r="B14709" s="207"/>
      <c r="C14709" s="210"/>
      <c r="D14709" s="211"/>
      <c r="E14709" s="211"/>
      <c r="U14709" s="222"/>
    </row>
    <row r="14710" spans="2:21" x14ac:dyDescent="0.2">
      <c r="B14710" s="207"/>
      <c r="C14710" s="210"/>
      <c r="D14710" s="211"/>
      <c r="E14710" s="211"/>
      <c r="U14710" s="222"/>
    </row>
    <row r="14711" spans="2:21" x14ac:dyDescent="0.2">
      <c r="B14711" s="207"/>
      <c r="C14711" s="210"/>
      <c r="D14711" s="211"/>
      <c r="E14711" s="211"/>
      <c r="U14711" s="222"/>
    </row>
    <row r="14712" spans="2:21" x14ac:dyDescent="0.2">
      <c r="B14712" s="207"/>
      <c r="C14712" s="210"/>
      <c r="D14712" s="211"/>
      <c r="E14712" s="211"/>
      <c r="U14712" s="222"/>
    </row>
    <row r="14713" spans="2:21" x14ac:dyDescent="0.2">
      <c r="B14713" s="207"/>
      <c r="C14713" s="210"/>
      <c r="D14713" s="211"/>
      <c r="E14713" s="211"/>
      <c r="U14713" s="222"/>
    </row>
    <row r="14714" spans="2:21" x14ac:dyDescent="0.2">
      <c r="B14714" s="207"/>
      <c r="C14714" s="210"/>
      <c r="D14714" s="211"/>
      <c r="E14714" s="211"/>
      <c r="U14714" s="222"/>
    </row>
    <row r="14715" spans="2:21" x14ac:dyDescent="0.2">
      <c r="B14715" s="207"/>
      <c r="C14715" s="210"/>
      <c r="D14715" s="211"/>
      <c r="E14715" s="211"/>
      <c r="U14715" s="222"/>
    </row>
    <row r="14716" spans="2:21" x14ac:dyDescent="0.2">
      <c r="B14716" s="207"/>
      <c r="C14716" s="210"/>
      <c r="D14716" s="211"/>
      <c r="E14716" s="211"/>
      <c r="U14716" s="222"/>
    </row>
    <row r="14717" spans="2:21" x14ac:dyDescent="0.2">
      <c r="B14717" s="207"/>
      <c r="C14717" s="210"/>
      <c r="D14717" s="211"/>
      <c r="E14717" s="211"/>
      <c r="U14717" s="222"/>
    </row>
    <row r="14718" spans="2:21" x14ac:dyDescent="0.2">
      <c r="B14718" s="207"/>
      <c r="C14718" s="210"/>
      <c r="D14718" s="211"/>
      <c r="E14718" s="211"/>
      <c r="U14718" s="222"/>
    </row>
    <row r="14719" spans="2:21" x14ac:dyDescent="0.2">
      <c r="B14719" s="207"/>
      <c r="C14719" s="210"/>
      <c r="D14719" s="211"/>
      <c r="E14719" s="211"/>
      <c r="U14719" s="222"/>
    </row>
    <row r="14720" spans="2:21" x14ac:dyDescent="0.2">
      <c r="B14720" s="207"/>
      <c r="C14720" s="210"/>
      <c r="D14720" s="211"/>
      <c r="E14720" s="211"/>
      <c r="U14720" s="222"/>
    </row>
    <row r="14721" spans="2:21" x14ac:dyDescent="0.2">
      <c r="B14721" s="207"/>
      <c r="C14721" s="210"/>
      <c r="D14721" s="211"/>
      <c r="E14721" s="211"/>
      <c r="U14721" s="222"/>
    </row>
    <row r="14722" spans="2:21" x14ac:dyDescent="0.2">
      <c r="B14722" s="207"/>
      <c r="C14722" s="210"/>
      <c r="D14722" s="211"/>
      <c r="E14722" s="211"/>
      <c r="U14722" s="222"/>
    </row>
    <row r="14723" spans="2:21" x14ac:dyDescent="0.2">
      <c r="B14723" s="207"/>
      <c r="C14723" s="210"/>
      <c r="D14723" s="211"/>
      <c r="E14723" s="211"/>
      <c r="U14723" s="222"/>
    </row>
    <row r="14724" spans="2:21" x14ac:dyDescent="0.2">
      <c r="B14724" s="207"/>
      <c r="C14724" s="210"/>
      <c r="D14724" s="211"/>
      <c r="E14724" s="211"/>
      <c r="U14724" s="222"/>
    </row>
    <row r="14725" spans="2:21" x14ac:dyDescent="0.2">
      <c r="B14725" s="207"/>
      <c r="C14725" s="210"/>
      <c r="D14725" s="211"/>
      <c r="E14725" s="211"/>
      <c r="U14725" s="222"/>
    </row>
    <row r="14726" spans="2:21" x14ac:dyDescent="0.2">
      <c r="B14726" s="207"/>
      <c r="C14726" s="210"/>
      <c r="D14726" s="211"/>
      <c r="E14726" s="211"/>
      <c r="U14726" s="222"/>
    </row>
    <row r="14727" spans="2:21" x14ac:dyDescent="0.2">
      <c r="B14727" s="207"/>
      <c r="C14727" s="210"/>
      <c r="D14727" s="211"/>
      <c r="E14727" s="211"/>
      <c r="U14727" s="222"/>
    </row>
    <row r="14728" spans="2:21" x14ac:dyDescent="0.2">
      <c r="B14728" s="207"/>
      <c r="C14728" s="210"/>
      <c r="D14728" s="211"/>
      <c r="E14728" s="211"/>
      <c r="U14728" s="222"/>
    </row>
    <row r="14729" spans="2:21" x14ac:dyDescent="0.2">
      <c r="B14729" s="207"/>
      <c r="C14729" s="210"/>
      <c r="D14729" s="211"/>
      <c r="E14729" s="211"/>
      <c r="U14729" s="222"/>
    </row>
    <row r="14730" spans="2:21" x14ac:dyDescent="0.2">
      <c r="B14730" s="207"/>
      <c r="C14730" s="210"/>
      <c r="D14730" s="211"/>
      <c r="E14730" s="211"/>
      <c r="U14730" s="222"/>
    </row>
    <row r="14731" spans="2:21" x14ac:dyDescent="0.2">
      <c r="B14731" s="207"/>
      <c r="C14731" s="210"/>
      <c r="D14731" s="211"/>
      <c r="E14731" s="211"/>
      <c r="U14731" s="222"/>
    </row>
    <row r="14732" spans="2:21" x14ac:dyDescent="0.2">
      <c r="B14732" s="207"/>
      <c r="C14732" s="210"/>
      <c r="D14732" s="211"/>
      <c r="E14732" s="211"/>
      <c r="U14732" s="222"/>
    </row>
    <row r="14733" spans="2:21" x14ac:dyDescent="0.2">
      <c r="B14733" s="207"/>
      <c r="C14733" s="210"/>
      <c r="D14733" s="211"/>
      <c r="E14733" s="211"/>
      <c r="U14733" s="222"/>
    </row>
    <row r="14734" spans="2:21" x14ac:dyDescent="0.2">
      <c r="B14734" s="207"/>
      <c r="C14734" s="210"/>
      <c r="D14734" s="211"/>
      <c r="E14734" s="211"/>
      <c r="U14734" s="222"/>
    </row>
    <row r="14735" spans="2:21" x14ac:dyDescent="0.2">
      <c r="B14735" s="207"/>
      <c r="C14735" s="210"/>
      <c r="D14735" s="211"/>
      <c r="E14735" s="211"/>
      <c r="U14735" s="222"/>
    </row>
    <row r="14736" spans="2:21" x14ac:dyDescent="0.2">
      <c r="B14736" s="207"/>
      <c r="C14736" s="210"/>
      <c r="D14736" s="211"/>
      <c r="E14736" s="211"/>
      <c r="U14736" s="222"/>
    </row>
    <row r="14737" spans="2:21" x14ac:dyDescent="0.2">
      <c r="B14737" s="207"/>
      <c r="C14737" s="210"/>
      <c r="D14737" s="211"/>
      <c r="E14737" s="211"/>
      <c r="U14737" s="222"/>
    </row>
    <row r="14738" spans="2:21" x14ac:dyDescent="0.2">
      <c r="B14738" s="207"/>
      <c r="C14738" s="210"/>
      <c r="D14738" s="211"/>
      <c r="E14738" s="211"/>
      <c r="U14738" s="222"/>
    </row>
    <row r="14739" spans="2:21" x14ac:dyDescent="0.2">
      <c r="B14739" s="207"/>
      <c r="C14739" s="210"/>
      <c r="D14739" s="211"/>
      <c r="E14739" s="211"/>
      <c r="U14739" s="222"/>
    </row>
    <row r="14740" spans="2:21" x14ac:dyDescent="0.2">
      <c r="B14740" s="207"/>
      <c r="C14740" s="210"/>
      <c r="D14740" s="211"/>
      <c r="E14740" s="211"/>
      <c r="U14740" s="222"/>
    </row>
    <row r="14741" spans="2:21" x14ac:dyDescent="0.2">
      <c r="B14741" s="207"/>
      <c r="C14741" s="210"/>
      <c r="D14741" s="211"/>
      <c r="E14741" s="211"/>
      <c r="U14741" s="222"/>
    </row>
    <row r="14742" spans="2:21" x14ac:dyDescent="0.2">
      <c r="B14742" s="207"/>
      <c r="C14742" s="210"/>
      <c r="D14742" s="211"/>
      <c r="E14742" s="211"/>
      <c r="U14742" s="222"/>
    </row>
    <row r="14743" spans="2:21" x14ac:dyDescent="0.2">
      <c r="B14743" s="207"/>
      <c r="C14743" s="210"/>
      <c r="D14743" s="211"/>
      <c r="E14743" s="211"/>
      <c r="U14743" s="222"/>
    </row>
    <row r="14744" spans="2:21" x14ac:dyDescent="0.2">
      <c r="B14744" s="207"/>
      <c r="C14744" s="210"/>
      <c r="D14744" s="211"/>
      <c r="E14744" s="211"/>
      <c r="U14744" s="222"/>
    </row>
    <row r="14745" spans="2:21" x14ac:dyDescent="0.2">
      <c r="B14745" s="207"/>
      <c r="C14745" s="210"/>
      <c r="D14745" s="211"/>
      <c r="E14745" s="211"/>
      <c r="U14745" s="222"/>
    </row>
    <row r="14746" spans="2:21" x14ac:dyDescent="0.2">
      <c r="B14746" s="207"/>
      <c r="C14746" s="210"/>
      <c r="D14746" s="211"/>
      <c r="E14746" s="211"/>
      <c r="U14746" s="222"/>
    </row>
    <row r="14747" spans="2:21" x14ac:dyDescent="0.2">
      <c r="B14747" s="207"/>
      <c r="C14747" s="210"/>
      <c r="D14747" s="211"/>
      <c r="E14747" s="211"/>
      <c r="U14747" s="222"/>
    </row>
    <row r="14748" spans="2:21" x14ac:dyDescent="0.2">
      <c r="B14748" s="207"/>
      <c r="C14748" s="210"/>
      <c r="D14748" s="211"/>
      <c r="E14748" s="211"/>
      <c r="U14748" s="222"/>
    </row>
    <row r="14749" spans="2:21" x14ac:dyDescent="0.2">
      <c r="B14749" s="207"/>
      <c r="C14749" s="210"/>
      <c r="D14749" s="211"/>
      <c r="E14749" s="211"/>
      <c r="U14749" s="222"/>
    </row>
    <row r="14750" spans="2:21" x14ac:dyDescent="0.2">
      <c r="B14750" s="207"/>
      <c r="C14750" s="210"/>
      <c r="D14750" s="211"/>
      <c r="E14750" s="211"/>
      <c r="U14750" s="222"/>
    </row>
    <row r="14751" spans="2:21" x14ac:dyDescent="0.2">
      <c r="B14751" s="207"/>
      <c r="C14751" s="210"/>
      <c r="D14751" s="211"/>
      <c r="E14751" s="211"/>
      <c r="U14751" s="222"/>
    </row>
    <row r="14752" spans="2:21" x14ac:dyDescent="0.2">
      <c r="B14752" s="207"/>
      <c r="C14752" s="210"/>
      <c r="D14752" s="211"/>
      <c r="E14752" s="211"/>
      <c r="U14752" s="222"/>
    </row>
    <row r="14753" spans="2:21" x14ac:dyDescent="0.2">
      <c r="B14753" s="207"/>
      <c r="C14753" s="210"/>
      <c r="D14753" s="211"/>
      <c r="E14753" s="211"/>
      <c r="U14753" s="222"/>
    </row>
    <row r="14754" spans="2:21" x14ac:dyDescent="0.2">
      <c r="B14754" s="207"/>
      <c r="C14754" s="210"/>
      <c r="D14754" s="211"/>
      <c r="E14754" s="211"/>
      <c r="U14754" s="222"/>
    </row>
    <row r="14755" spans="2:21" x14ac:dyDescent="0.2">
      <c r="B14755" s="207"/>
      <c r="C14755" s="210"/>
      <c r="D14755" s="211"/>
      <c r="E14755" s="211"/>
      <c r="U14755" s="222"/>
    </row>
    <row r="14756" spans="2:21" x14ac:dyDescent="0.2">
      <c r="B14756" s="207"/>
      <c r="C14756" s="210"/>
      <c r="D14756" s="211"/>
      <c r="E14756" s="211"/>
      <c r="U14756" s="222"/>
    </row>
    <row r="14757" spans="2:21" x14ac:dyDescent="0.2">
      <c r="B14757" s="207"/>
      <c r="C14757" s="210"/>
      <c r="D14757" s="211"/>
      <c r="E14757" s="211"/>
      <c r="U14757" s="222"/>
    </row>
    <row r="14758" spans="2:21" x14ac:dyDescent="0.2">
      <c r="B14758" s="207"/>
      <c r="C14758" s="210"/>
      <c r="D14758" s="211"/>
      <c r="E14758" s="211"/>
      <c r="U14758" s="222"/>
    </row>
    <row r="14759" spans="2:21" x14ac:dyDescent="0.2">
      <c r="B14759" s="207"/>
      <c r="C14759" s="210"/>
      <c r="D14759" s="211"/>
      <c r="E14759" s="211"/>
      <c r="U14759" s="222"/>
    </row>
    <row r="14760" spans="2:21" x14ac:dyDescent="0.2">
      <c r="B14760" s="207"/>
      <c r="C14760" s="210"/>
      <c r="D14760" s="211"/>
      <c r="E14760" s="211"/>
      <c r="U14760" s="222"/>
    </row>
    <row r="14761" spans="2:21" x14ac:dyDescent="0.2">
      <c r="B14761" s="207"/>
      <c r="C14761" s="210"/>
      <c r="D14761" s="211"/>
      <c r="E14761" s="211"/>
      <c r="U14761" s="222"/>
    </row>
    <row r="14762" spans="2:21" x14ac:dyDescent="0.2">
      <c r="B14762" s="207"/>
      <c r="C14762" s="210"/>
      <c r="D14762" s="211"/>
      <c r="E14762" s="211"/>
      <c r="U14762" s="222"/>
    </row>
    <row r="14763" spans="2:21" x14ac:dyDescent="0.2">
      <c r="B14763" s="207"/>
      <c r="C14763" s="210"/>
      <c r="D14763" s="211"/>
      <c r="E14763" s="211"/>
      <c r="U14763" s="222"/>
    </row>
    <row r="14764" spans="2:21" x14ac:dyDescent="0.2">
      <c r="B14764" s="207"/>
      <c r="C14764" s="210"/>
      <c r="D14764" s="211"/>
      <c r="E14764" s="211"/>
      <c r="U14764" s="222"/>
    </row>
    <row r="14765" spans="2:21" x14ac:dyDescent="0.2">
      <c r="B14765" s="207"/>
      <c r="C14765" s="210"/>
      <c r="D14765" s="211"/>
      <c r="E14765" s="211"/>
      <c r="U14765" s="222"/>
    </row>
    <row r="14766" spans="2:21" x14ac:dyDescent="0.2">
      <c r="B14766" s="207"/>
      <c r="C14766" s="210"/>
      <c r="D14766" s="211"/>
      <c r="E14766" s="211"/>
      <c r="U14766" s="222"/>
    </row>
    <row r="14767" spans="2:21" x14ac:dyDescent="0.2">
      <c r="B14767" s="207"/>
      <c r="C14767" s="210"/>
      <c r="D14767" s="211"/>
      <c r="E14767" s="211"/>
      <c r="U14767" s="222"/>
    </row>
    <row r="14768" spans="2:21" x14ac:dyDescent="0.2">
      <c r="B14768" s="207"/>
      <c r="C14768" s="210"/>
      <c r="D14768" s="211"/>
      <c r="E14768" s="211"/>
      <c r="U14768" s="222"/>
    </row>
    <row r="14769" spans="2:21" x14ac:dyDescent="0.2">
      <c r="B14769" s="207"/>
      <c r="C14769" s="210"/>
      <c r="D14769" s="211"/>
      <c r="E14769" s="211"/>
      <c r="U14769" s="222"/>
    </row>
    <row r="14770" spans="2:21" x14ac:dyDescent="0.2">
      <c r="B14770" s="207"/>
      <c r="C14770" s="210"/>
      <c r="D14770" s="211"/>
      <c r="E14770" s="211"/>
      <c r="U14770" s="222"/>
    </row>
    <row r="14771" spans="2:21" x14ac:dyDescent="0.2">
      <c r="B14771" s="207"/>
      <c r="C14771" s="210"/>
      <c r="D14771" s="211"/>
      <c r="E14771" s="211"/>
      <c r="U14771" s="222"/>
    </row>
    <row r="14772" spans="2:21" x14ac:dyDescent="0.2">
      <c r="B14772" s="207"/>
      <c r="C14772" s="210"/>
      <c r="D14772" s="211"/>
      <c r="E14772" s="211"/>
      <c r="U14772" s="222"/>
    </row>
    <row r="14773" spans="2:21" x14ac:dyDescent="0.2">
      <c r="B14773" s="207"/>
      <c r="C14773" s="210"/>
      <c r="D14773" s="211"/>
      <c r="E14773" s="211"/>
      <c r="U14773" s="222"/>
    </row>
    <row r="14774" spans="2:21" x14ac:dyDescent="0.2">
      <c r="B14774" s="207"/>
      <c r="C14774" s="210"/>
      <c r="D14774" s="211"/>
      <c r="E14774" s="211"/>
      <c r="U14774" s="222"/>
    </row>
    <row r="14775" spans="2:21" x14ac:dyDescent="0.2">
      <c r="B14775" s="207"/>
      <c r="C14775" s="210"/>
      <c r="D14775" s="211"/>
      <c r="E14775" s="211"/>
      <c r="U14775" s="222"/>
    </row>
    <row r="14776" spans="2:21" x14ac:dyDescent="0.2">
      <c r="B14776" s="207"/>
      <c r="C14776" s="210"/>
      <c r="D14776" s="211"/>
      <c r="E14776" s="211"/>
      <c r="U14776" s="222"/>
    </row>
    <row r="14777" spans="2:21" x14ac:dyDescent="0.2">
      <c r="B14777" s="207"/>
      <c r="C14777" s="210"/>
      <c r="D14777" s="211"/>
      <c r="E14777" s="211"/>
      <c r="U14777" s="222"/>
    </row>
    <row r="14778" spans="2:21" x14ac:dyDescent="0.2">
      <c r="B14778" s="207"/>
      <c r="C14778" s="210"/>
      <c r="D14778" s="211"/>
      <c r="E14778" s="211"/>
      <c r="U14778" s="222"/>
    </row>
    <row r="14779" spans="2:21" x14ac:dyDescent="0.2">
      <c r="B14779" s="207"/>
      <c r="C14779" s="210"/>
      <c r="D14779" s="211"/>
      <c r="E14779" s="211"/>
      <c r="U14779" s="222"/>
    </row>
    <row r="14780" spans="2:21" x14ac:dyDescent="0.2">
      <c r="B14780" s="207"/>
      <c r="C14780" s="210"/>
      <c r="D14780" s="211"/>
      <c r="E14780" s="211"/>
      <c r="U14780" s="222"/>
    </row>
    <row r="14781" spans="2:21" x14ac:dyDescent="0.2">
      <c r="B14781" s="207"/>
      <c r="C14781" s="210"/>
      <c r="D14781" s="211"/>
      <c r="E14781" s="211"/>
      <c r="U14781" s="222"/>
    </row>
    <row r="14782" spans="2:21" x14ac:dyDescent="0.2">
      <c r="B14782" s="207"/>
      <c r="C14782" s="210"/>
      <c r="D14782" s="211"/>
      <c r="E14782" s="211"/>
      <c r="U14782" s="222"/>
    </row>
    <row r="14783" spans="2:21" x14ac:dyDescent="0.2">
      <c r="B14783" s="207"/>
      <c r="C14783" s="210"/>
      <c r="D14783" s="211"/>
      <c r="E14783" s="211"/>
      <c r="U14783" s="222"/>
    </row>
    <row r="14784" spans="2:21" x14ac:dyDescent="0.2">
      <c r="B14784" s="207"/>
      <c r="C14784" s="210"/>
      <c r="D14784" s="211"/>
      <c r="E14784" s="211"/>
      <c r="U14784" s="222"/>
    </row>
    <row r="14785" spans="2:21" x14ac:dyDescent="0.2">
      <c r="B14785" s="207"/>
      <c r="C14785" s="210"/>
      <c r="D14785" s="211"/>
      <c r="E14785" s="211"/>
      <c r="U14785" s="222"/>
    </row>
    <row r="14786" spans="2:21" x14ac:dyDescent="0.2">
      <c r="B14786" s="207"/>
      <c r="C14786" s="210"/>
      <c r="D14786" s="211"/>
      <c r="E14786" s="211"/>
      <c r="U14786" s="222"/>
    </row>
    <row r="14787" spans="2:21" x14ac:dyDescent="0.2">
      <c r="B14787" s="207"/>
      <c r="C14787" s="210"/>
      <c r="D14787" s="211"/>
      <c r="E14787" s="211"/>
      <c r="U14787" s="222"/>
    </row>
    <row r="14788" spans="2:21" x14ac:dyDescent="0.2">
      <c r="B14788" s="207"/>
      <c r="C14788" s="210"/>
      <c r="D14788" s="211"/>
      <c r="E14788" s="211"/>
      <c r="U14788" s="222"/>
    </row>
    <row r="14789" spans="2:21" x14ac:dyDescent="0.2">
      <c r="B14789" s="207"/>
      <c r="C14789" s="210"/>
      <c r="D14789" s="211"/>
      <c r="E14789" s="211"/>
      <c r="U14789" s="222"/>
    </row>
    <row r="14790" spans="2:21" x14ac:dyDescent="0.2">
      <c r="B14790" s="207"/>
      <c r="C14790" s="210"/>
      <c r="D14790" s="211"/>
      <c r="E14790" s="211"/>
      <c r="U14790" s="222"/>
    </row>
    <row r="14791" spans="2:21" x14ac:dyDescent="0.2">
      <c r="B14791" s="207"/>
      <c r="C14791" s="210"/>
      <c r="D14791" s="211"/>
      <c r="E14791" s="211"/>
      <c r="U14791" s="222"/>
    </row>
    <row r="14792" spans="2:21" x14ac:dyDescent="0.2">
      <c r="B14792" s="207"/>
      <c r="C14792" s="210"/>
      <c r="D14792" s="211"/>
      <c r="E14792" s="211"/>
      <c r="U14792" s="222"/>
    </row>
    <row r="14793" spans="2:21" x14ac:dyDescent="0.2">
      <c r="B14793" s="207"/>
      <c r="C14793" s="210"/>
      <c r="D14793" s="211"/>
      <c r="E14793" s="211"/>
      <c r="U14793" s="222"/>
    </row>
    <row r="14794" spans="2:21" x14ac:dyDescent="0.2">
      <c r="B14794" s="207"/>
      <c r="C14794" s="210"/>
      <c r="D14794" s="211"/>
      <c r="E14794" s="211"/>
      <c r="U14794" s="222"/>
    </row>
    <row r="14795" spans="2:21" x14ac:dyDescent="0.2">
      <c r="B14795" s="207"/>
      <c r="C14795" s="210"/>
      <c r="D14795" s="211"/>
      <c r="E14795" s="211"/>
      <c r="U14795" s="222"/>
    </row>
    <row r="14796" spans="2:21" x14ac:dyDescent="0.2">
      <c r="B14796" s="207"/>
      <c r="C14796" s="210"/>
      <c r="D14796" s="211"/>
      <c r="E14796" s="211"/>
      <c r="U14796" s="222"/>
    </row>
    <row r="14797" spans="2:21" x14ac:dyDescent="0.2">
      <c r="B14797" s="207"/>
      <c r="C14797" s="210"/>
      <c r="D14797" s="211"/>
      <c r="E14797" s="211"/>
      <c r="U14797" s="222"/>
    </row>
    <row r="14798" spans="2:21" x14ac:dyDescent="0.2">
      <c r="B14798" s="207"/>
      <c r="C14798" s="210"/>
      <c r="D14798" s="211"/>
      <c r="E14798" s="211"/>
      <c r="U14798" s="222"/>
    </row>
    <row r="14799" spans="2:21" x14ac:dyDescent="0.2">
      <c r="B14799" s="207"/>
      <c r="C14799" s="210"/>
      <c r="D14799" s="211"/>
      <c r="E14799" s="211"/>
      <c r="U14799" s="222"/>
    </row>
    <row r="14800" spans="2:21" x14ac:dyDescent="0.2">
      <c r="B14800" s="207"/>
      <c r="C14800" s="210"/>
      <c r="D14800" s="211"/>
      <c r="E14800" s="211"/>
      <c r="U14800" s="222"/>
    </row>
    <row r="14801" spans="2:21" x14ac:dyDescent="0.2">
      <c r="B14801" s="207"/>
      <c r="C14801" s="210"/>
      <c r="D14801" s="211"/>
      <c r="E14801" s="211"/>
      <c r="U14801" s="222"/>
    </row>
    <row r="14802" spans="2:21" x14ac:dyDescent="0.2">
      <c r="B14802" s="207"/>
      <c r="C14802" s="210"/>
      <c r="D14802" s="211"/>
      <c r="E14802" s="211"/>
      <c r="U14802" s="222"/>
    </row>
    <row r="14803" spans="2:21" x14ac:dyDescent="0.2">
      <c r="B14803" s="207"/>
      <c r="C14803" s="210"/>
      <c r="D14803" s="211"/>
      <c r="E14803" s="211"/>
      <c r="U14803" s="222"/>
    </row>
    <row r="14804" spans="2:21" x14ac:dyDescent="0.2">
      <c r="B14804" s="207"/>
      <c r="C14804" s="210"/>
      <c r="D14804" s="211"/>
      <c r="E14804" s="211"/>
      <c r="U14804" s="222"/>
    </row>
    <row r="14805" spans="2:21" x14ac:dyDescent="0.2">
      <c r="B14805" s="207"/>
      <c r="C14805" s="210"/>
      <c r="D14805" s="211"/>
      <c r="E14805" s="211"/>
      <c r="U14805" s="222"/>
    </row>
    <row r="14806" spans="2:21" x14ac:dyDescent="0.2">
      <c r="B14806" s="207"/>
      <c r="C14806" s="210"/>
      <c r="D14806" s="211"/>
      <c r="E14806" s="211"/>
      <c r="U14806" s="222"/>
    </row>
    <row r="14807" spans="2:21" x14ac:dyDescent="0.2">
      <c r="B14807" s="207"/>
      <c r="C14807" s="210"/>
      <c r="D14807" s="211"/>
      <c r="E14807" s="211"/>
      <c r="U14807" s="222"/>
    </row>
    <row r="14808" spans="2:21" x14ac:dyDescent="0.2">
      <c r="B14808" s="207"/>
      <c r="C14808" s="210"/>
      <c r="D14808" s="211"/>
      <c r="E14808" s="211"/>
      <c r="U14808" s="222"/>
    </row>
    <row r="14809" spans="2:21" x14ac:dyDescent="0.2">
      <c r="B14809" s="207"/>
      <c r="C14809" s="210"/>
      <c r="D14809" s="211"/>
      <c r="E14809" s="211"/>
      <c r="U14809" s="222"/>
    </row>
    <row r="14810" spans="2:21" x14ac:dyDescent="0.2">
      <c r="B14810" s="207"/>
      <c r="C14810" s="210"/>
      <c r="D14810" s="211"/>
      <c r="E14810" s="211"/>
      <c r="U14810" s="222"/>
    </row>
    <row r="14811" spans="2:21" x14ac:dyDescent="0.2">
      <c r="B14811" s="207"/>
      <c r="C14811" s="210"/>
      <c r="D14811" s="211"/>
      <c r="E14811" s="211"/>
      <c r="U14811" s="222"/>
    </row>
    <row r="14812" spans="2:21" x14ac:dyDescent="0.2">
      <c r="B14812" s="207"/>
      <c r="C14812" s="210"/>
      <c r="D14812" s="211"/>
      <c r="E14812" s="211"/>
      <c r="U14812" s="222"/>
    </row>
    <row r="14813" spans="2:21" x14ac:dyDescent="0.2">
      <c r="B14813" s="207"/>
      <c r="C14813" s="210"/>
      <c r="D14813" s="211"/>
      <c r="E14813" s="211"/>
      <c r="U14813" s="222"/>
    </row>
    <row r="14814" spans="2:21" x14ac:dyDescent="0.2">
      <c r="B14814" s="207"/>
      <c r="C14814" s="210"/>
      <c r="D14814" s="211"/>
      <c r="E14814" s="211"/>
      <c r="U14814" s="222"/>
    </row>
    <row r="14815" spans="2:21" x14ac:dyDescent="0.2">
      <c r="B14815" s="207"/>
      <c r="C14815" s="210"/>
      <c r="D14815" s="211"/>
      <c r="E14815" s="211"/>
      <c r="U14815" s="222"/>
    </row>
    <row r="14816" spans="2:21" x14ac:dyDescent="0.2">
      <c r="B14816" s="207"/>
      <c r="C14816" s="210"/>
      <c r="D14816" s="211"/>
      <c r="E14816" s="211"/>
      <c r="U14816" s="222"/>
    </row>
    <row r="14817" spans="2:21" x14ac:dyDescent="0.2">
      <c r="B14817" s="207"/>
      <c r="C14817" s="210"/>
      <c r="D14817" s="211"/>
      <c r="E14817" s="211"/>
      <c r="U14817" s="222"/>
    </row>
    <row r="14818" spans="2:21" x14ac:dyDescent="0.2">
      <c r="B14818" s="207"/>
      <c r="C14818" s="210"/>
      <c r="D14818" s="211"/>
      <c r="E14818" s="211"/>
      <c r="U14818" s="222"/>
    </row>
    <row r="14819" spans="2:21" x14ac:dyDescent="0.2">
      <c r="B14819" s="207"/>
      <c r="C14819" s="210"/>
      <c r="D14819" s="211"/>
      <c r="E14819" s="211"/>
      <c r="U14819" s="222"/>
    </row>
    <row r="14820" spans="2:21" x14ac:dyDescent="0.2">
      <c r="B14820" s="207"/>
      <c r="C14820" s="210"/>
      <c r="D14820" s="211"/>
      <c r="E14820" s="211"/>
      <c r="U14820" s="222"/>
    </row>
    <row r="14821" spans="2:21" x14ac:dyDescent="0.2">
      <c r="B14821" s="207"/>
      <c r="C14821" s="210"/>
      <c r="D14821" s="211"/>
      <c r="E14821" s="211"/>
      <c r="U14821" s="222"/>
    </row>
    <row r="14822" spans="2:21" x14ac:dyDescent="0.2">
      <c r="B14822" s="207"/>
      <c r="C14822" s="210"/>
      <c r="D14822" s="211"/>
      <c r="E14822" s="211"/>
      <c r="U14822" s="222"/>
    </row>
    <row r="14823" spans="2:21" x14ac:dyDescent="0.2">
      <c r="B14823" s="207"/>
      <c r="C14823" s="210"/>
      <c r="D14823" s="211"/>
      <c r="E14823" s="211"/>
      <c r="U14823" s="222"/>
    </row>
    <row r="14824" spans="2:21" x14ac:dyDescent="0.2">
      <c r="B14824" s="207"/>
      <c r="C14824" s="210"/>
      <c r="D14824" s="211"/>
      <c r="E14824" s="211"/>
      <c r="U14824" s="222"/>
    </row>
    <row r="14825" spans="2:21" x14ac:dyDescent="0.2">
      <c r="B14825" s="207"/>
      <c r="C14825" s="210"/>
      <c r="D14825" s="211"/>
      <c r="E14825" s="211"/>
      <c r="U14825" s="222"/>
    </row>
    <row r="14826" spans="2:21" x14ac:dyDescent="0.2">
      <c r="B14826" s="207"/>
      <c r="C14826" s="210"/>
      <c r="D14826" s="211"/>
      <c r="E14826" s="211"/>
      <c r="U14826" s="222"/>
    </row>
    <row r="14827" spans="2:21" x14ac:dyDescent="0.2">
      <c r="B14827" s="207"/>
      <c r="C14827" s="210"/>
      <c r="D14827" s="211"/>
      <c r="E14827" s="211"/>
      <c r="U14827" s="222"/>
    </row>
    <row r="14828" spans="2:21" x14ac:dyDescent="0.2">
      <c r="B14828" s="207"/>
      <c r="C14828" s="210"/>
      <c r="D14828" s="211"/>
      <c r="E14828" s="211"/>
      <c r="U14828" s="222"/>
    </row>
    <row r="14829" spans="2:21" x14ac:dyDescent="0.2">
      <c r="B14829" s="207"/>
      <c r="C14829" s="210"/>
      <c r="D14829" s="211"/>
      <c r="E14829" s="211"/>
      <c r="U14829" s="222"/>
    </row>
    <row r="14830" spans="2:21" x14ac:dyDescent="0.2">
      <c r="B14830" s="207"/>
      <c r="C14830" s="210"/>
      <c r="D14830" s="211"/>
      <c r="E14830" s="211"/>
      <c r="U14830" s="222"/>
    </row>
    <row r="14831" spans="2:21" x14ac:dyDescent="0.2">
      <c r="B14831" s="207"/>
      <c r="C14831" s="210"/>
      <c r="D14831" s="211"/>
      <c r="E14831" s="211"/>
      <c r="U14831" s="222"/>
    </row>
    <row r="14832" spans="2:21" x14ac:dyDescent="0.2">
      <c r="B14832" s="207"/>
      <c r="C14832" s="210"/>
      <c r="D14832" s="211"/>
      <c r="E14832" s="211"/>
      <c r="U14832" s="222"/>
    </row>
    <row r="14833" spans="2:21" x14ac:dyDescent="0.2">
      <c r="B14833" s="207"/>
      <c r="C14833" s="210"/>
      <c r="D14833" s="211"/>
      <c r="E14833" s="211"/>
      <c r="U14833" s="222"/>
    </row>
    <row r="14834" spans="2:21" x14ac:dyDescent="0.2">
      <c r="B14834" s="207"/>
      <c r="C14834" s="210"/>
      <c r="D14834" s="211"/>
      <c r="E14834" s="211"/>
      <c r="U14834" s="222"/>
    </row>
    <row r="14835" spans="2:21" x14ac:dyDescent="0.2">
      <c r="B14835" s="207"/>
      <c r="C14835" s="210"/>
      <c r="D14835" s="211"/>
      <c r="E14835" s="211"/>
      <c r="U14835" s="222"/>
    </row>
    <row r="14836" spans="2:21" x14ac:dyDescent="0.2">
      <c r="B14836" s="207"/>
      <c r="C14836" s="210"/>
      <c r="D14836" s="211"/>
      <c r="E14836" s="211"/>
      <c r="U14836" s="222"/>
    </row>
    <row r="14837" spans="2:21" x14ac:dyDescent="0.2">
      <c r="B14837" s="207"/>
      <c r="C14837" s="210"/>
      <c r="D14837" s="211"/>
      <c r="E14837" s="211"/>
      <c r="U14837" s="222"/>
    </row>
    <row r="14838" spans="2:21" x14ac:dyDescent="0.2">
      <c r="B14838" s="207"/>
      <c r="C14838" s="210"/>
      <c r="D14838" s="211"/>
      <c r="E14838" s="211"/>
      <c r="U14838" s="222"/>
    </row>
    <row r="14839" spans="2:21" x14ac:dyDescent="0.2">
      <c r="B14839" s="207"/>
      <c r="C14839" s="210"/>
      <c r="D14839" s="211"/>
      <c r="E14839" s="211"/>
      <c r="U14839" s="222"/>
    </row>
    <row r="14840" spans="2:21" x14ac:dyDescent="0.2">
      <c r="B14840" s="207"/>
      <c r="C14840" s="210"/>
      <c r="D14840" s="211"/>
      <c r="E14840" s="211"/>
      <c r="U14840" s="222"/>
    </row>
    <row r="14841" spans="2:21" x14ac:dyDescent="0.2">
      <c r="B14841" s="207"/>
      <c r="C14841" s="210"/>
      <c r="D14841" s="211"/>
      <c r="E14841" s="211"/>
      <c r="U14841" s="222"/>
    </row>
    <row r="14842" spans="2:21" x14ac:dyDescent="0.2">
      <c r="B14842" s="207"/>
      <c r="C14842" s="210"/>
      <c r="D14842" s="211"/>
      <c r="E14842" s="211"/>
      <c r="U14842" s="222"/>
    </row>
    <row r="14843" spans="2:21" x14ac:dyDescent="0.2">
      <c r="B14843" s="207"/>
      <c r="C14843" s="210"/>
      <c r="D14843" s="211"/>
      <c r="E14843" s="211"/>
      <c r="U14843" s="222"/>
    </row>
    <row r="14844" spans="2:21" x14ac:dyDescent="0.2">
      <c r="B14844" s="207"/>
      <c r="C14844" s="210"/>
      <c r="D14844" s="211"/>
      <c r="E14844" s="211"/>
      <c r="U14844" s="222"/>
    </row>
    <row r="14845" spans="2:21" x14ac:dyDescent="0.2">
      <c r="B14845" s="207"/>
      <c r="C14845" s="210"/>
      <c r="D14845" s="211"/>
      <c r="E14845" s="211"/>
      <c r="U14845" s="222"/>
    </row>
    <row r="14846" spans="2:21" x14ac:dyDescent="0.2">
      <c r="B14846" s="207"/>
      <c r="C14846" s="210"/>
      <c r="D14846" s="211"/>
      <c r="E14846" s="211"/>
      <c r="U14846" s="222"/>
    </row>
    <row r="14847" spans="2:21" x14ac:dyDescent="0.2">
      <c r="B14847" s="207"/>
      <c r="C14847" s="210"/>
      <c r="D14847" s="211"/>
      <c r="E14847" s="211"/>
      <c r="U14847" s="222"/>
    </row>
    <row r="14848" spans="2:21" x14ac:dyDescent="0.2">
      <c r="B14848" s="207"/>
      <c r="C14848" s="210"/>
      <c r="D14848" s="211"/>
      <c r="E14848" s="211"/>
      <c r="U14848" s="222"/>
    </row>
    <row r="14849" spans="2:21" x14ac:dyDescent="0.2">
      <c r="B14849" s="207"/>
      <c r="C14849" s="210"/>
      <c r="D14849" s="211"/>
      <c r="E14849" s="211"/>
      <c r="U14849" s="222"/>
    </row>
    <row r="14850" spans="2:21" x14ac:dyDescent="0.2">
      <c r="B14850" s="207"/>
      <c r="C14850" s="210"/>
      <c r="D14850" s="211"/>
      <c r="E14850" s="211"/>
      <c r="U14850" s="222"/>
    </row>
    <row r="14851" spans="2:21" x14ac:dyDescent="0.2">
      <c r="B14851" s="207"/>
      <c r="C14851" s="210"/>
      <c r="D14851" s="211"/>
      <c r="E14851" s="211"/>
      <c r="U14851" s="222"/>
    </row>
    <row r="14852" spans="2:21" x14ac:dyDescent="0.2">
      <c r="B14852" s="207"/>
      <c r="C14852" s="210"/>
      <c r="D14852" s="211"/>
      <c r="E14852" s="211"/>
      <c r="U14852" s="222"/>
    </row>
    <row r="14853" spans="2:21" x14ac:dyDescent="0.2">
      <c r="B14853" s="207"/>
      <c r="C14853" s="210"/>
      <c r="D14853" s="211"/>
      <c r="E14853" s="211"/>
      <c r="U14853" s="222"/>
    </row>
    <row r="14854" spans="2:21" x14ac:dyDescent="0.2">
      <c r="B14854" s="207"/>
      <c r="C14854" s="210"/>
      <c r="D14854" s="211"/>
      <c r="E14854" s="211"/>
      <c r="U14854" s="222"/>
    </row>
    <row r="14855" spans="2:21" x14ac:dyDescent="0.2">
      <c r="B14855" s="207"/>
      <c r="C14855" s="210"/>
      <c r="D14855" s="211"/>
      <c r="E14855" s="211"/>
      <c r="U14855" s="222"/>
    </row>
    <row r="14856" spans="2:21" x14ac:dyDescent="0.2">
      <c r="B14856" s="207"/>
      <c r="C14856" s="210"/>
      <c r="D14856" s="211"/>
      <c r="E14856" s="211"/>
      <c r="U14856" s="222"/>
    </row>
    <row r="14857" spans="2:21" x14ac:dyDescent="0.2">
      <c r="B14857" s="207"/>
      <c r="C14857" s="210"/>
      <c r="D14857" s="211"/>
      <c r="E14857" s="211"/>
      <c r="U14857" s="222"/>
    </row>
    <row r="14858" spans="2:21" x14ac:dyDescent="0.2">
      <c r="B14858" s="207"/>
      <c r="C14858" s="210"/>
      <c r="D14858" s="211"/>
      <c r="E14858" s="211"/>
      <c r="U14858" s="222"/>
    </row>
    <row r="14859" spans="2:21" x14ac:dyDescent="0.2">
      <c r="B14859" s="207"/>
      <c r="C14859" s="210"/>
      <c r="D14859" s="211"/>
      <c r="E14859" s="211"/>
      <c r="U14859" s="222"/>
    </row>
    <row r="14860" spans="2:21" x14ac:dyDescent="0.2">
      <c r="B14860" s="207"/>
      <c r="C14860" s="210"/>
      <c r="D14860" s="211"/>
      <c r="E14860" s="211"/>
      <c r="U14860" s="222"/>
    </row>
    <row r="14861" spans="2:21" x14ac:dyDescent="0.2">
      <c r="B14861" s="207"/>
      <c r="C14861" s="210"/>
      <c r="D14861" s="211"/>
      <c r="E14861" s="211"/>
      <c r="U14861" s="222"/>
    </row>
    <row r="14862" spans="2:21" x14ac:dyDescent="0.2">
      <c r="B14862" s="207"/>
      <c r="C14862" s="210"/>
      <c r="D14862" s="211"/>
      <c r="E14862" s="211"/>
      <c r="U14862" s="222"/>
    </row>
    <row r="14863" spans="2:21" x14ac:dyDescent="0.2">
      <c r="B14863" s="207"/>
      <c r="C14863" s="210"/>
      <c r="D14863" s="211"/>
      <c r="E14863" s="211"/>
      <c r="U14863" s="222"/>
    </row>
    <row r="14864" spans="2:21" x14ac:dyDescent="0.2">
      <c r="B14864" s="207"/>
      <c r="C14864" s="210"/>
      <c r="D14864" s="211"/>
      <c r="E14864" s="211"/>
      <c r="U14864" s="222"/>
    </row>
    <row r="14865" spans="2:21" x14ac:dyDescent="0.2">
      <c r="B14865" s="207"/>
      <c r="C14865" s="210"/>
      <c r="D14865" s="211"/>
      <c r="E14865" s="211"/>
      <c r="U14865" s="222"/>
    </row>
    <row r="14866" spans="2:21" x14ac:dyDescent="0.2">
      <c r="B14866" s="207"/>
      <c r="C14866" s="210"/>
      <c r="D14866" s="211"/>
      <c r="E14866" s="211"/>
      <c r="U14866" s="222"/>
    </row>
    <row r="14867" spans="2:21" x14ac:dyDescent="0.2">
      <c r="B14867" s="207"/>
      <c r="C14867" s="210"/>
      <c r="D14867" s="211"/>
      <c r="E14867" s="211"/>
      <c r="U14867" s="222"/>
    </row>
    <row r="14868" spans="2:21" x14ac:dyDescent="0.2">
      <c r="B14868" s="207"/>
      <c r="C14868" s="210"/>
      <c r="D14868" s="211"/>
      <c r="E14868" s="211"/>
      <c r="U14868" s="222"/>
    </row>
    <row r="14869" spans="2:21" x14ac:dyDescent="0.2">
      <c r="B14869" s="207"/>
      <c r="C14869" s="210"/>
      <c r="D14869" s="211"/>
      <c r="E14869" s="211"/>
      <c r="U14869" s="222"/>
    </row>
    <row r="14870" spans="2:21" x14ac:dyDescent="0.2">
      <c r="B14870" s="207"/>
      <c r="C14870" s="210"/>
      <c r="D14870" s="211"/>
      <c r="E14870" s="211"/>
      <c r="U14870" s="222"/>
    </row>
    <row r="14871" spans="2:21" x14ac:dyDescent="0.2">
      <c r="B14871" s="207"/>
      <c r="C14871" s="210"/>
      <c r="D14871" s="211"/>
      <c r="E14871" s="211"/>
      <c r="U14871" s="222"/>
    </row>
    <row r="14872" spans="2:21" x14ac:dyDescent="0.2">
      <c r="B14872" s="207"/>
      <c r="C14872" s="210"/>
      <c r="D14872" s="211"/>
      <c r="E14872" s="211"/>
      <c r="U14872" s="222"/>
    </row>
    <row r="14873" spans="2:21" x14ac:dyDescent="0.2">
      <c r="B14873" s="207"/>
      <c r="C14873" s="210"/>
      <c r="D14873" s="211"/>
      <c r="E14873" s="211"/>
      <c r="U14873" s="222"/>
    </row>
    <row r="14874" spans="2:21" x14ac:dyDescent="0.2">
      <c r="B14874" s="207"/>
      <c r="C14874" s="210"/>
      <c r="D14874" s="211"/>
      <c r="E14874" s="211"/>
      <c r="U14874" s="222"/>
    </row>
    <row r="14875" spans="2:21" x14ac:dyDescent="0.2">
      <c r="B14875" s="207"/>
      <c r="C14875" s="210"/>
      <c r="D14875" s="211"/>
      <c r="E14875" s="211"/>
      <c r="U14875" s="222"/>
    </row>
    <row r="14876" spans="2:21" x14ac:dyDescent="0.2">
      <c r="B14876" s="207"/>
      <c r="C14876" s="210"/>
      <c r="D14876" s="211"/>
      <c r="E14876" s="211"/>
      <c r="U14876" s="222"/>
    </row>
    <row r="14877" spans="2:21" x14ac:dyDescent="0.2">
      <c r="B14877" s="207"/>
      <c r="C14877" s="210"/>
      <c r="D14877" s="211"/>
      <c r="E14877" s="211"/>
      <c r="U14877" s="222"/>
    </row>
    <row r="14878" spans="2:21" x14ac:dyDescent="0.2">
      <c r="B14878" s="207"/>
      <c r="C14878" s="210"/>
      <c r="D14878" s="211"/>
      <c r="E14878" s="211"/>
      <c r="U14878" s="222"/>
    </row>
    <row r="14879" spans="2:21" x14ac:dyDescent="0.2">
      <c r="B14879" s="207"/>
      <c r="C14879" s="210"/>
      <c r="D14879" s="211"/>
      <c r="E14879" s="211"/>
      <c r="U14879" s="222"/>
    </row>
    <row r="14880" spans="2:21" x14ac:dyDescent="0.2">
      <c r="B14880" s="207"/>
      <c r="C14880" s="210"/>
      <c r="D14880" s="211"/>
      <c r="E14880" s="211"/>
      <c r="U14880" s="222"/>
    </row>
    <row r="14881" spans="2:21" x14ac:dyDescent="0.2">
      <c r="B14881" s="207"/>
      <c r="C14881" s="210"/>
      <c r="D14881" s="211"/>
      <c r="E14881" s="211"/>
      <c r="U14881" s="222"/>
    </row>
    <row r="14882" spans="2:21" x14ac:dyDescent="0.2">
      <c r="B14882" s="207"/>
      <c r="C14882" s="210"/>
      <c r="D14882" s="211"/>
      <c r="E14882" s="211"/>
      <c r="U14882" s="222"/>
    </row>
    <row r="14883" spans="2:21" x14ac:dyDescent="0.2">
      <c r="B14883" s="207"/>
      <c r="C14883" s="210"/>
      <c r="D14883" s="211"/>
      <c r="E14883" s="211"/>
      <c r="U14883" s="222"/>
    </row>
    <row r="14884" spans="2:21" x14ac:dyDescent="0.2">
      <c r="B14884" s="207"/>
      <c r="C14884" s="210"/>
      <c r="D14884" s="211"/>
      <c r="E14884" s="211"/>
      <c r="U14884" s="222"/>
    </row>
    <row r="14885" spans="2:21" x14ac:dyDescent="0.2">
      <c r="B14885" s="207"/>
      <c r="C14885" s="210"/>
      <c r="D14885" s="211"/>
      <c r="E14885" s="211"/>
      <c r="U14885" s="222"/>
    </row>
    <row r="14886" spans="2:21" x14ac:dyDescent="0.2">
      <c r="B14886" s="207"/>
      <c r="C14886" s="210"/>
      <c r="D14886" s="211"/>
      <c r="E14886" s="211"/>
      <c r="U14886" s="222"/>
    </row>
    <row r="14887" spans="2:21" x14ac:dyDescent="0.2">
      <c r="B14887" s="207"/>
      <c r="C14887" s="210"/>
      <c r="D14887" s="211"/>
      <c r="E14887" s="211"/>
      <c r="U14887" s="222"/>
    </row>
    <row r="14888" spans="2:21" x14ac:dyDescent="0.2">
      <c r="B14888" s="207"/>
      <c r="C14888" s="210"/>
      <c r="D14888" s="211"/>
      <c r="E14888" s="211"/>
      <c r="U14888" s="222"/>
    </row>
    <row r="14889" spans="2:21" x14ac:dyDescent="0.2">
      <c r="B14889" s="207"/>
      <c r="C14889" s="210"/>
      <c r="D14889" s="211"/>
      <c r="E14889" s="211"/>
      <c r="U14889" s="222"/>
    </row>
    <row r="14890" spans="2:21" x14ac:dyDescent="0.2">
      <c r="B14890" s="207"/>
      <c r="C14890" s="210"/>
      <c r="D14890" s="211"/>
      <c r="E14890" s="211"/>
      <c r="U14890" s="222"/>
    </row>
    <row r="14891" spans="2:21" x14ac:dyDescent="0.2">
      <c r="B14891" s="207"/>
      <c r="C14891" s="210"/>
      <c r="D14891" s="211"/>
      <c r="E14891" s="211"/>
      <c r="U14891" s="222"/>
    </row>
    <row r="14892" spans="2:21" x14ac:dyDescent="0.2">
      <c r="B14892" s="207"/>
      <c r="C14892" s="210"/>
      <c r="D14892" s="211"/>
      <c r="E14892" s="211"/>
      <c r="U14892" s="222"/>
    </row>
    <row r="14893" spans="2:21" x14ac:dyDescent="0.2">
      <c r="B14893" s="207"/>
      <c r="C14893" s="210"/>
      <c r="D14893" s="211"/>
      <c r="E14893" s="211"/>
      <c r="U14893" s="222"/>
    </row>
    <row r="14894" spans="2:21" x14ac:dyDescent="0.2">
      <c r="B14894" s="207"/>
      <c r="C14894" s="210"/>
      <c r="D14894" s="211"/>
      <c r="E14894" s="211"/>
      <c r="U14894" s="222"/>
    </row>
    <row r="14895" spans="2:21" x14ac:dyDescent="0.2">
      <c r="B14895" s="207"/>
      <c r="C14895" s="210"/>
      <c r="D14895" s="211"/>
      <c r="E14895" s="211"/>
      <c r="U14895" s="222"/>
    </row>
    <row r="14896" spans="2:21" x14ac:dyDescent="0.2">
      <c r="B14896" s="207"/>
      <c r="C14896" s="210"/>
      <c r="D14896" s="211"/>
      <c r="E14896" s="211"/>
      <c r="U14896" s="222"/>
    </row>
    <row r="14897" spans="2:21" x14ac:dyDescent="0.2">
      <c r="B14897" s="207"/>
      <c r="C14897" s="210"/>
      <c r="D14897" s="211"/>
      <c r="E14897" s="211"/>
      <c r="U14897" s="222"/>
    </row>
    <row r="14898" spans="2:21" x14ac:dyDescent="0.2">
      <c r="B14898" s="207"/>
      <c r="C14898" s="210"/>
      <c r="D14898" s="211"/>
      <c r="E14898" s="211"/>
      <c r="U14898" s="222"/>
    </row>
    <row r="14899" spans="2:21" x14ac:dyDescent="0.2">
      <c r="B14899" s="207"/>
      <c r="C14899" s="210"/>
      <c r="D14899" s="211"/>
      <c r="E14899" s="211"/>
      <c r="U14899" s="222"/>
    </row>
    <row r="14900" spans="2:21" x14ac:dyDescent="0.2">
      <c r="B14900" s="207"/>
      <c r="C14900" s="210"/>
      <c r="D14900" s="211"/>
      <c r="E14900" s="211"/>
      <c r="U14900" s="222"/>
    </row>
    <row r="14901" spans="2:21" x14ac:dyDescent="0.2">
      <c r="B14901" s="207"/>
      <c r="C14901" s="210"/>
      <c r="D14901" s="211"/>
      <c r="E14901" s="211"/>
      <c r="U14901" s="222"/>
    </row>
    <row r="14902" spans="2:21" x14ac:dyDescent="0.2">
      <c r="B14902" s="207"/>
      <c r="C14902" s="210"/>
      <c r="D14902" s="211"/>
      <c r="E14902" s="211"/>
      <c r="U14902" s="222"/>
    </row>
    <row r="14903" spans="2:21" x14ac:dyDescent="0.2">
      <c r="B14903" s="207"/>
      <c r="C14903" s="210"/>
      <c r="D14903" s="211"/>
      <c r="E14903" s="211"/>
      <c r="U14903" s="222"/>
    </row>
    <row r="14904" spans="2:21" x14ac:dyDescent="0.2">
      <c r="B14904" s="207"/>
      <c r="C14904" s="210"/>
      <c r="D14904" s="211"/>
      <c r="E14904" s="211"/>
      <c r="U14904" s="222"/>
    </row>
    <row r="14905" spans="2:21" x14ac:dyDescent="0.2">
      <c r="B14905" s="207"/>
      <c r="C14905" s="210"/>
      <c r="D14905" s="211"/>
      <c r="E14905" s="211"/>
      <c r="U14905" s="222"/>
    </row>
    <row r="14906" spans="2:21" x14ac:dyDescent="0.2">
      <c r="B14906" s="207"/>
      <c r="C14906" s="210"/>
      <c r="D14906" s="211"/>
      <c r="E14906" s="211"/>
      <c r="U14906" s="222"/>
    </row>
    <row r="14907" spans="2:21" x14ac:dyDescent="0.2">
      <c r="B14907" s="207"/>
      <c r="C14907" s="210"/>
      <c r="D14907" s="211"/>
      <c r="E14907" s="211"/>
      <c r="U14907" s="222"/>
    </row>
    <row r="14908" spans="2:21" x14ac:dyDescent="0.2">
      <c r="B14908" s="207"/>
      <c r="C14908" s="210"/>
      <c r="D14908" s="211"/>
      <c r="E14908" s="211"/>
      <c r="U14908" s="222"/>
    </row>
    <row r="14909" spans="2:21" x14ac:dyDescent="0.2">
      <c r="B14909" s="207"/>
      <c r="C14909" s="210"/>
      <c r="D14909" s="211"/>
      <c r="E14909" s="211"/>
      <c r="U14909" s="222"/>
    </row>
    <row r="14910" spans="2:21" x14ac:dyDescent="0.2">
      <c r="B14910" s="207"/>
      <c r="C14910" s="210"/>
      <c r="D14910" s="211"/>
      <c r="E14910" s="211"/>
      <c r="U14910" s="222"/>
    </row>
    <row r="14911" spans="2:21" x14ac:dyDescent="0.2">
      <c r="B14911" s="207"/>
      <c r="C14911" s="210"/>
      <c r="D14911" s="211"/>
      <c r="E14911" s="211"/>
      <c r="U14911" s="222"/>
    </row>
    <row r="14912" spans="2:21" x14ac:dyDescent="0.2">
      <c r="B14912" s="207"/>
      <c r="C14912" s="210"/>
      <c r="D14912" s="211"/>
      <c r="E14912" s="211"/>
      <c r="U14912" s="222"/>
    </row>
    <row r="14913" spans="2:21" x14ac:dyDescent="0.2">
      <c r="B14913" s="207"/>
      <c r="C14913" s="210"/>
      <c r="D14913" s="211"/>
      <c r="E14913" s="211"/>
      <c r="U14913" s="222"/>
    </row>
    <row r="14914" spans="2:21" x14ac:dyDescent="0.2">
      <c r="B14914" s="207"/>
      <c r="C14914" s="210"/>
      <c r="D14914" s="211"/>
      <c r="E14914" s="211"/>
      <c r="U14914" s="222"/>
    </row>
    <row r="14915" spans="2:21" x14ac:dyDescent="0.2">
      <c r="B14915" s="207"/>
      <c r="C14915" s="210"/>
      <c r="D14915" s="211"/>
      <c r="E14915" s="211"/>
      <c r="U14915" s="222"/>
    </row>
    <row r="14916" spans="2:21" x14ac:dyDescent="0.2">
      <c r="B14916" s="207"/>
      <c r="C14916" s="210"/>
      <c r="D14916" s="211"/>
      <c r="E14916" s="211"/>
      <c r="U14916" s="222"/>
    </row>
    <row r="14917" spans="2:21" x14ac:dyDescent="0.2">
      <c r="B14917" s="207"/>
      <c r="C14917" s="210"/>
      <c r="D14917" s="211"/>
      <c r="E14917" s="211"/>
      <c r="U14917" s="222"/>
    </row>
    <row r="14918" spans="2:21" x14ac:dyDescent="0.2">
      <c r="B14918" s="207"/>
      <c r="C14918" s="210"/>
      <c r="D14918" s="211"/>
      <c r="E14918" s="211"/>
      <c r="U14918" s="222"/>
    </row>
    <row r="14919" spans="2:21" x14ac:dyDescent="0.2">
      <c r="B14919" s="207"/>
      <c r="C14919" s="210"/>
      <c r="D14919" s="211"/>
      <c r="E14919" s="211"/>
      <c r="U14919" s="222"/>
    </row>
    <row r="14920" spans="2:21" x14ac:dyDescent="0.2">
      <c r="B14920" s="207"/>
      <c r="C14920" s="210"/>
      <c r="D14920" s="211"/>
      <c r="E14920" s="211"/>
      <c r="U14920" s="222"/>
    </row>
    <row r="14921" spans="2:21" x14ac:dyDescent="0.2">
      <c r="B14921" s="207"/>
      <c r="C14921" s="210"/>
      <c r="D14921" s="211"/>
      <c r="E14921" s="211"/>
      <c r="U14921" s="222"/>
    </row>
    <row r="14922" spans="2:21" x14ac:dyDescent="0.2">
      <c r="B14922" s="207"/>
      <c r="C14922" s="210"/>
      <c r="D14922" s="211"/>
      <c r="E14922" s="211"/>
      <c r="U14922" s="222"/>
    </row>
    <row r="14923" spans="2:21" x14ac:dyDescent="0.2">
      <c r="B14923" s="207"/>
      <c r="C14923" s="210"/>
      <c r="D14923" s="211"/>
      <c r="E14923" s="211"/>
      <c r="U14923" s="222"/>
    </row>
    <row r="14924" spans="2:21" x14ac:dyDescent="0.2">
      <c r="B14924" s="207"/>
      <c r="C14924" s="210"/>
      <c r="D14924" s="211"/>
      <c r="E14924" s="211"/>
      <c r="U14924" s="222"/>
    </row>
    <row r="14925" spans="2:21" x14ac:dyDescent="0.2">
      <c r="B14925" s="207"/>
      <c r="C14925" s="210"/>
      <c r="D14925" s="211"/>
      <c r="E14925" s="211"/>
      <c r="U14925" s="222"/>
    </row>
    <row r="14926" spans="2:21" x14ac:dyDescent="0.2">
      <c r="B14926" s="207"/>
      <c r="C14926" s="210"/>
      <c r="D14926" s="211"/>
      <c r="E14926" s="211"/>
      <c r="U14926" s="222"/>
    </row>
    <row r="14927" spans="2:21" x14ac:dyDescent="0.2">
      <c r="B14927" s="207"/>
      <c r="C14927" s="210"/>
      <c r="D14927" s="211"/>
      <c r="E14927" s="211"/>
      <c r="U14927" s="222"/>
    </row>
    <row r="14928" spans="2:21" x14ac:dyDescent="0.2">
      <c r="B14928" s="207"/>
      <c r="C14928" s="210"/>
      <c r="D14928" s="211"/>
      <c r="E14928" s="211"/>
      <c r="U14928" s="222"/>
    </row>
    <row r="14929" spans="2:21" x14ac:dyDescent="0.2">
      <c r="B14929" s="207"/>
      <c r="C14929" s="210"/>
      <c r="D14929" s="211"/>
      <c r="E14929" s="211"/>
      <c r="U14929" s="222"/>
    </row>
    <row r="14930" spans="2:21" x14ac:dyDescent="0.2">
      <c r="B14930" s="207"/>
      <c r="C14930" s="210"/>
      <c r="D14930" s="211"/>
      <c r="E14930" s="211"/>
      <c r="U14930" s="222"/>
    </row>
    <row r="14931" spans="2:21" x14ac:dyDescent="0.2">
      <c r="B14931" s="207"/>
      <c r="C14931" s="210"/>
      <c r="D14931" s="211"/>
      <c r="E14931" s="211"/>
      <c r="U14931" s="222"/>
    </row>
    <row r="14932" spans="2:21" x14ac:dyDescent="0.2">
      <c r="B14932" s="207"/>
      <c r="C14932" s="210"/>
      <c r="D14932" s="211"/>
      <c r="E14932" s="211"/>
      <c r="U14932" s="222"/>
    </row>
    <row r="14933" spans="2:21" x14ac:dyDescent="0.2">
      <c r="B14933" s="207"/>
      <c r="C14933" s="210"/>
      <c r="D14933" s="211"/>
      <c r="E14933" s="211"/>
      <c r="U14933" s="222"/>
    </row>
    <row r="14934" spans="2:21" x14ac:dyDescent="0.2">
      <c r="B14934" s="207"/>
      <c r="C14934" s="210"/>
      <c r="D14934" s="211"/>
      <c r="E14934" s="211"/>
      <c r="U14934" s="222"/>
    </row>
    <row r="14935" spans="2:21" x14ac:dyDescent="0.2">
      <c r="B14935" s="207"/>
      <c r="C14935" s="210"/>
      <c r="D14935" s="211"/>
      <c r="E14935" s="211"/>
      <c r="U14935" s="222"/>
    </row>
    <row r="14936" spans="2:21" x14ac:dyDescent="0.2">
      <c r="B14936" s="207"/>
      <c r="C14936" s="210"/>
      <c r="D14936" s="211"/>
      <c r="E14936" s="211"/>
      <c r="U14936" s="222"/>
    </row>
    <row r="14937" spans="2:21" x14ac:dyDescent="0.2">
      <c r="B14937" s="207"/>
      <c r="C14937" s="210"/>
      <c r="D14937" s="211"/>
      <c r="E14937" s="211"/>
      <c r="U14937" s="222"/>
    </row>
    <row r="14938" spans="2:21" x14ac:dyDescent="0.2">
      <c r="B14938" s="207"/>
      <c r="C14938" s="210"/>
      <c r="D14938" s="211"/>
      <c r="E14938" s="211"/>
      <c r="U14938" s="222"/>
    </row>
    <row r="14939" spans="2:21" x14ac:dyDescent="0.2">
      <c r="B14939" s="207"/>
      <c r="C14939" s="210"/>
      <c r="D14939" s="211"/>
      <c r="E14939" s="211"/>
      <c r="U14939" s="222"/>
    </row>
    <row r="14940" spans="2:21" x14ac:dyDescent="0.2">
      <c r="B14940" s="207"/>
      <c r="C14940" s="210"/>
      <c r="D14940" s="211"/>
      <c r="E14940" s="211"/>
      <c r="U14940" s="222"/>
    </row>
    <row r="14941" spans="2:21" x14ac:dyDescent="0.2">
      <c r="B14941" s="207"/>
      <c r="C14941" s="210"/>
      <c r="D14941" s="211"/>
      <c r="E14941" s="211"/>
      <c r="U14941" s="222"/>
    </row>
    <row r="14942" spans="2:21" x14ac:dyDescent="0.2">
      <c r="B14942" s="207"/>
      <c r="C14942" s="210"/>
      <c r="D14942" s="211"/>
      <c r="E14942" s="211"/>
      <c r="U14942" s="222"/>
    </row>
    <row r="14943" spans="2:21" x14ac:dyDescent="0.2">
      <c r="B14943" s="207"/>
      <c r="C14943" s="210"/>
      <c r="D14943" s="211"/>
      <c r="E14943" s="211"/>
      <c r="U14943" s="222"/>
    </row>
    <row r="14944" spans="2:21" x14ac:dyDescent="0.2">
      <c r="B14944" s="207"/>
      <c r="C14944" s="210"/>
      <c r="D14944" s="211"/>
      <c r="E14944" s="211"/>
      <c r="U14944" s="222"/>
    </row>
    <row r="14945" spans="2:21" x14ac:dyDescent="0.2">
      <c r="B14945" s="207"/>
      <c r="C14945" s="210"/>
      <c r="D14945" s="211"/>
      <c r="E14945" s="211"/>
      <c r="U14945" s="222"/>
    </row>
    <row r="14946" spans="2:21" x14ac:dyDescent="0.2">
      <c r="B14946" s="207"/>
      <c r="C14946" s="210"/>
      <c r="D14946" s="211"/>
      <c r="E14946" s="211"/>
      <c r="U14946" s="222"/>
    </row>
    <row r="14947" spans="2:21" x14ac:dyDescent="0.2">
      <c r="B14947" s="207"/>
      <c r="C14947" s="210"/>
      <c r="D14947" s="211"/>
      <c r="E14947" s="211"/>
      <c r="U14947" s="222"/>
    </row>
    <row r="14948" spans="2:21" x14ac:dyDescent="0.2">
      <c r="B14948" s="207"/>
      <c r="C14948" s="210"/>
      <c r="D14948" s="211"/>
      <c r="E14948" s="211"/>
      <c r="U14948" s="222"/>
    </row>
    <row r="14949" spans="2:21" x14ac:dyDescent="0.2">
      <c r="B14949" s="207"/>
      <c r="C14949" s="210"/>
      <c r="D14949" s="211"/>
      <c r="E14949" s="211"/>
      <c r="U14949" s="222"/>
    </row>
    <row r="14950" spans="2:21" x14ac:dyDescent="0.2">
      <c r="B14950" s="207"/>
      <c r="C14950" s="210"/>
      <c r="D14950" s="211"/>
      <c r="E14950" s="211"/>
      <c r="U14950" s="222"/>
    </row>
    <row r="14951" spans="2:21" x14ac:dyDescent="0.2">
      <c r="B14951" s="207"/>
      <c r="C14951" s="210"/>
      <c r="D14951" s="211"/>
      <c r="E14951" s="211"/>
      <c r="U14951" s="222"/>
    </row>
    <row r="14952" spans="2:21" x14ac:dyDescent="0.2">
      <c r="B14952" s="207"/>
      <c r="C14952" s="210"/>
      <c r="D14952" s="211"/>
      <c r="E14952" s="211"/>
      <c r="U14952" s="222"/>
    </row>
    <row r="14953" spans="2:21" x14ac:dyDescent="0.2">
      <c r="B14953" s="207"/>
      <c r="C14953" s="210"/>
      <c r="D14953" s="211"/>
      <c r="E14953" s="211"/>
      <c r="U14953" s="222"/>
    </row>
    <row r="14954" spans="2:21" x14ac:dyDescent="0.2">
      <c r="B14954" s="207"/>
      <c r="C14954" s="210"/>
      <c r="D14954" s="211"/>
      <c r="E14954" s="211"/>
      <c r="U14954" s="222"/>
    </row>
    <row r="14955" spans="2:21" x14ac:dyDescent="0.2">
      <c r="B14955" s="207"/>
      <c r="C14955" s="210"/>
      <c r="D14955" s="211"/>
      <c r="E14955" s="211"/>
      <c r="U14955" s="222"/>
    </row>
    <row r="14956" spans="2:21" x14ac:dyDescent="0.2">
      <c r="B14956" s="207"/>
      <c r="C14956" s="210"/>
      <c r="D14956" s="211"/>
      <c r="E14956" s="211"/>
      <c r="U14956" s="222"/>
    </row>
    <row r="14957" spans="2:21" x14ac:dyDescent="0.2">
      <c r="B14957" s="207"/>
      <c r="C14957" s="210"/>
      <c r="D14957" s="211"/>
      <c r="E14957" s="211"/>
      <c r="U14957" s="222"/>
    </row>
    <row r="14958" spans="2:21" x14ac:dyDescent="0.2">
      <c r="B14958" s="207"/>
      <c r="C14958" s="210"/>
      <c r="D14958" s="211"/>
      <c r="E14958" s="211"/>
      <c r="U14958" s="222"/>
    </row>
    <row r="14959" spans="2:21" x14ac:dyDescent="0.2">
      <c r="B14959" s="207"/>
      <c r="C14959" s="210"/>
      <c r="D14959" s="211"/>
      <c r="E14959" s="211"/>
      <c r="U14959" s="222"/>
    </row>
    <row r="14960" spans="2:21" x14ac:dyDescent="0.2">
      <c r="B14960" s="207"/>
      <c r="C14960" s="210"/>
      <c r="D14960" s="211"/>
      <c r="E14960" s="211"/>
      <c r="U14960" s="222"/>
    </row>
    <row r="14961" spans="2:21" x14ac:dyDescent="0.2">
      <c r="B14961" s="207"/>
      <c r="C14961" s="210"/>
      <c r="D14961" s="211"/>
      <c r="E14961" s="211"/>
      <c r="U14961" s="222"/>
    </row>
    <row r="14962" spans="2:21" x14ac:dyDescent="0.2">
      <c r="B14962" s="207"/>
      <c r="C14962" s="210"/>
      <c r="D14962" s="211"/>
      <c r="E14962" s="211"/>
      <c r="U14962" s="222"/>
    </row>
    <row r="14963" spans="2:21" x14ac:dyDescent="0.2">
      <c r="B14963" s="207"/>
      <c r="C14963" s="210"/>
      <c r="D14963" s="211"/>
      <c r="E14963" s="211"/>
      <c r="U14963" s="222"/>
    </row>
    <row r="14964" spans="2:21" x14ac:dyDescent="0.2">
      <c r="B14964" s="207"/>
      <c r="C14964" s="210"/>
      <c r="D14964" s="211"/>
      <c r="E14964" s="211"/>
      <c r="U14964" s="222"/>
    </row>
    <row r="14965" spans="2:21" x14ac:dyDescent="0.2">
      <c r="B14965" s="207"/>
      <c r="C14965" s="210"/>
      <c r="D14965" s="211"/>
      <c r="E14965" s="211"/>
      <c r="U14965" s="222"/>
    </row>
    <row r="14966" spans="2:21" x14ac:dyDescent="0.2">
      <c r="B14966" s="207"/>
      <c r="C14966" s="210"/>
      <c r="D14966" s="211"/>
      <c r="E14966" s="211"/>
      <c r="U14966" s="222"/>
    </row>
    <row r="14967" spans="2:21" x14ac:dyDescent="0.2">
      <c r="B14967" s="207"/>
      <c r="C14967" s="210"/>
      <c r="D14967" s="211"/>
      <c r="E14967" s="211"/>
      <c r="U14967" s="222"/>
    </row>
    <row r="14968" spans="2:21" x14ac:dyDescent="0.2">
      <c r="B14968" s="207"/>
      <c r="C14968" s="210"/>
      <c r="D14968" s="211"/>
      <c r="E14968" s="211"/>
      <c r="U14968" s="222"/>
    </row>
    <row r="14969" spans="2:21" x14ac:dyDescent="0.2">
      <c r="B14969" s="207"/>
      <c r="C14969" s="210"/>
      <c r="D14969" s="211"/>
      <c r="E14969" s="211"/>
      <c r="U14969" s="222"/>
    </row>
    <row r="14970" spans="2:21" x14ac:dyDescent="0.2">
      <c r="B14970" s="207"/>
      <c r="C14970" s="210"/>
      <c r="D14970" s="211"/>
      <c r="E14970" s="211"/>
      <c r="U14970" s="222"/>
    </row>
    <row r="14971" spans="2:21" x14ac:dyDescent="0.2">
      <c r="B14971" s="207"/>
      <c r="C14971" s="210"/>
      <c r="D14971" s="211"/>
      <c r="E14971" s="211"/>
      <c r="U14971" s="222"/>
    </row>
    <row r="14972" spans="2:21" x14ac:dyDescent="0.2">
      <c r="B14972" s="207"/>
      <c r="C14972" s="210"/>
      <c r="D14972" s="211"/>
      <c r="E14972" s="211"/>
      <c r="U14972" s="222"/>
    </row>
    <row r="14973" spans="2:21" x14ac:dyDescent="0.2">
      <c r="B14973" s="207"/>
      <c r="C14973" s="210"/>
      <c r="D14973" s="211"/>
      <c r="E14973" s="211"/>
      <c r="U14973" s="222"/>
    </row>
    <row r="14974" spans="2:21" x14ac:dyDescent="0.2">
      <c r="B14974" s="207"/>
      <c r="C14974" s="210"/>
      <c r="D14974" s="211"/>
      <c r="E14974" s="211"/>
      <c r="U14974" s="222"/>
    </row>
    <row r="14975" spans="2:21" x14ac:dyDescent="0.2">
      <c r="B14975" s="207"/>
      <c r="C14975" s="210"/>
      <c r="D14975" s="211"/>
      <c r="E14975" s="211"/>
      <c r="U14975" s="222"/>
    </row>
    <row r="14976" spans="2:21" x14ac:dyDescent="0.2">
      <c r="B14976" s="207"/>
      <c r="C14976" s="210"/>
      <c r="D14976" s="211"/>
      <c r="E14976" s="211"/>
      <c r="U14976" s="222"/>
    </row>
    <row r="14977" spans="2:21" x14ac:dyDescent="0.2">
      <c r="B14977" s="207"/>
      <c r="C14977" s="210"/>
      <c r="D14977" s="211"/>
      <c r="E14977" s="211"/>
      <c r="U14977" s="222"/>
    </row>
    <row r="14978" spans="2:21" x14ac:dyDescent="0.2">
      <c r="B14978" s="207"/>
      <c r="C14978" s="210"/>
      <c r="D14978" s="211"/>
      <c r="E14978" s="211"/>
      <c r="U14978" s="222"/>
    </row>
    <row r="14979" spans="2:21" x14ac:dyDescent="0.2">
      <c r="B14979" s="207"/>
      <c r="C14979" s="210"/>
      <c r="D14979" s="211"/>
      <c r="E14979" s="211"/>
      <c r="U14979" s="222"/>
    </row>
    <row r="14980" spans="2:21" x14ac:dyDescent="0.2">
      <c r="B14980" s="207"/>
      <c r="C14980" s="210"/>
      <c r="D14980" s="211"/>
      <c r="E14980" s="211"/>
      <c r="U14980" s="222"/>
    </row>
    <row r="14981" spans="2:21" x14ac:dyDescent="0.2">
      <c r="B14981" s="207"/>
      <c r="C14981" s="210"/>
      <c r="D14981" s="211"/>
      <c r="E14981" s="211"/>
      <c r="U14981" s="222"/>
    </row>
    <row r="14982" spans="2:21" x14ac:dyDescent="0.2">
      <c r="B14982" s="207"/>
      <c r="C14982" s="210"/>
      <c r="D14982" s="211"/>
      <c r="E14982" s="211"/>
      <c r="U14982" s="222"/>
    </row>
    <row r="14983" spans="2:21" x14ac:dyDescent="0.2">
      <c r="B14983" s="207"/>
      <c r="C14983" s="210"/>
      <c r="D14983" s="211"/>
      <c r="E14983" s="211"/>
      <c r="U14983" s="222"/>
    </row>
    <row r="14984" spans="2:21" x14ac:dyDescent="0.2">
      <c r="B14984" s="207"/>
      <c r="C14984" s="210"/>
      <c r="D14984" s="211"/>
      <c r="E14984" s="211"/>
      <c r="U14984" s="222"/>
    </row>
    <row r="14985" spans="2:21" x14ac:dyDescent="0.2">
      <c r="B14985" s="207"/>
      <c r="C14985" s="210"/>
      <c r="D14985" s="211"/>
      <c r="E14985" s="211"/>
      <c r="U14985" s="222"/>
    </row>
    <row r="14986" spans="2:21" x14ac:dyDescent="0.2">
      <c r="B14986" s="207"/>
      <c r="C14986" s="210"/>
      <c r="D14986" s="211"/>
      <c r="E14986" s="211"/>
      <c r="U14986" s="222"/>
    </row>
    <row r="14987" spans="2:21" x14ac:dyDescent="0.2">
      <c r="B14987" s="207"/>
      <c r="C14987" s="210"/>
      <c r="D14987" s="211"/>
      <c r="E14987" s="211"/>
      <c r="U14987" s="222"/>
    </row>
    <row r="14988" spans="2:21" x14ac:dyDescent="0.2">
      <c r="B14988" s="207"/>
      <c r="C14988" s="210"/>
      <c r="D14988" s="211"/>
      <c r="E14988" s="211"/>
      <c r="U14988" s="222"/>
    </row>
    <row r="14989" spans="2:21" x14ac:dyDescent="0.2">
      <c r="B14989" s="207"/>
      <c r="C14989" s="210"/>
      <c r="D14989" s="211"/>
      <c r="E14989" s="211"/>
      <c r="U14989" s="222"/>
    </row>
    <row r="14990" spans="2:21" x14ac:dyDescent="0.2">
      <c r="B14990" s="207"/>
      <c r="C14990" s="210"/>
      <c r="D14990" s="211"/>
      <c r="E14990" s="211"/>
      <c r="U14990" s="222"/>
    </row>
    <row r="14991" spans="2:21" x14ac:dyDescent="0.2">
      <c r="B14991" s="207"/>
      <c r="C14991" s="210"/>
      <c r="D14991" s="211"/>
      <c r="E14991" s="211"/>
      <c r="U14991" s="222"/>
    </row>
    <row r="14992" spans="2:21" x14ac:dyDescent="0.2">
      <c r="B14992" s="207"/>
      <c r="C14992" s="210"/>
      <c r="D14992" s="211"/>
      <c r="E14992" s="211"/>
      <c r="U14992" s="222"/>
    </row>
    <row r="14993" spans="2:21" x14ac:dyDescent="0.2">
      <c r="B14993" s="207"/>
      <c r="C14993" s="210"/>
      <c r="D14993" s="211"/>
      <c r="E14993" s="211"/>
      <c r="U14993" s="222"/>
    </row>
    <row r="14994" spans="2:21" x14ac:dyDescent="0.2">
      <c r="B14994" s="207"/>
      <c r="C14994" s="210"/>
      <c r="D14994" s="211"/>
      <c r="E14994" s="211"/>
      <c r="U14994" s="222"/>
    </row>
    <row r="14995" spans="2:21" x14ac:dyDescent="0.2">
      <c r="B14995" s="207"/>
      <c r="C14995" s="210"/>
      <c r="D14995" s="211"/>
      <c r="E14995" s="211"/>
      <c r="U14995" s="222"/>
    </row>
    <row r="14996" spans="2:21" x14ac:dyDescent="0.2">
      <c r="B14996" s="207"/>
      <c r="C14996" s="210"/>
      <c r="D14996" s="211"/>
      <c r="E14996" s="211"/>
      <c r="U14996" s="222"/>
    </row>
    <row r="14997" spans="2:21" x14ac:dyDescent="0.2">
      <c r="B14997" s="207"/>
      <c r="C14997" s="210"/>
      <c r="D14997" s="211"/>
      <c r="E14997" s="211"/>
      <c r="U14997" s="222"/>
    </row>
    <row r="14998" spans="2:21" x14ac:dyDescent="0.2">
      <c r="B14998" s="207"/>
      <c r="C14998" s="210"/>
      <c r="D14998" s="211"/>
      <c r="E14998" s="211"/>
      <c r="U14998" s="222"/>
    </row>
    <row r="14999" spans="2:21" x14ac:dyDescent="0.2">
      <c r="B14999" s="207"/>
      <c r="C14999" s="210"/>
      <c r="D14999" s="211"/>
      <c r="E14999" s="211"/>
      <c r="U14999" s="222"/>
    </row>
    <row r="15000" spans="2:21" x14ac:dyDescent="0.2">
      <c r="B15000" s="207"/>
      <c r="C15000" s="210"/>
      <c r="D15000" s="211"/>
      <c r="E15000" s="211"/>
      <c r="U15000" s="222"/>
    </row>
    <row r="15001" spans="2:21" x14ac:dyDescent="0.2">
      <c r="B15001" s="207"/>
      <c r="C15001" s="210"/>
      <c r="D15001" s="211"/>
      <c r="E15001" s="211"/>
      <c r="U15001" s="222"/>
    </row>
    <row r="15002" spans="2:21" x14ac:dyDescent="0.2">
      <c r="B15002" s="207"/>
      <c r="C15002" s="210"/>
      <c r="D15002" s="211"/>
      <c r="E15002" s="211"/>
      <c r="U15002" s="222"/>
    </row>
    <row r="15003" spans="2:21" x14ac:dyDescent="0.2">
      <c r="B15003" s="207"/>
      <c r="C15003" s="210"/>
      <c r="D15003" s="211"/>
      <c r="E15003" s="211"/>
      <c r="U15003" s="222"/>
    </row>
    <row r="15004" spans="2:21" x14ac:dyDescent="0.2">
      <c r="B15004" s="207"/>
      <c r="C15004" s="210"/>
      <c r="D15004" s="211"/>
      <c r="E15004" s="211"/>
      <c r="U15004" s="222"/>
    </row>
    <row r="15005" spans="2:21" x14ac:dyDescent="0.2">
      <c r="B15005" s="207"/>
      <c r="C15005" s="210"/>
      <c r="D15005" s="211"/>
      <c r="E15005" s="211"/>
      <c r="U15005" s="222"/>
    </row>
    <row r="15006" spans="2:21" x14ac:dyDescent="0.2">
      <c r="B15006" s="207"/>
      <c r="C15006" s="210"/>
      <c r="D15006" s="211"/>
      <c r="E15006" s="211"/>
      <c r="U15006" s="222"/>
    </row>
    <row r="15007" spans="2:21" x14ac:dyDescent="0.2">
      <c r="B15007" s="207"/>
      <c r="C15007" s="210"/>
      <c r="D15007" s="211"/>
      <c r="E15007" s="211"/>
      <c r="U15007" s="222"/>
    </row>
    <row r="15008" spans="2:21" x14ac:dyDescent="0.2">
      <c r="B15008" s="207"/>
      <c r="C15008" s="210"/>
      <c r="D15008" s="211"/>
      <c r="E15008" s="211"/>
      <c r="U15008" s="222"/>
    </row>
    <row r="15009" spans="2:21" x14ac:dyDescent="0.2">
      <c r="B15009" s="207"/>
      <c r="C15009" s="210"/>
      <c r="D15009" s="211"/>
      <c r="E15009" s="211"/>
      <c r="U15009" s="222"/>
    </row>
    <row r="15010" spans="2:21" x14ac:dyDescent="0.2">
      <c r="B15010" s="207"/>
      <c r="C15010" s="210"/>
      <c r="D15010" s="211"/>
      <c r="E15010" s="211"/>
      <c r="U15010" s="222"/>
    </row>
    <row r="15011" spans="2:21" x14ac:dyDescent="0.2">
      <c r="B15011" s="207"/>
      <c r="C15011" s="210"/>
      <c r="D15011" s="211"/>
      <c r="E15011" s="211"/>
      <c r="U15011" s="222"/>
    </row>
    <row r="15012" spans="2:21" x14ac:dyDescent="0.2">
      <c r="B15012" s="207"/>
      <c r="C15012" s="210"/>
      <c r="D15012" s="211"/>
      <c r="E15012" s="211"/>
      <c r="U15012" s="222"/>
    </row>
    <row r="15013" spans="2:21" x14ac:dyDescent="0.2">
      <c r="B15013" s="207"/>
      <c r="C15013" s="210"/>
      <c r="D15013" s="211"/>
      <c r="E15013" s="211"/>
      <c r="U15013" s="222"/>
    </row>
    <row r="15014" spans="2:21" x14ac:dyDescent="0.2">
      <c r="B15014" s="207"/>
      <c r="C15014" s="210"/>
      <c r="D15014" s="211"/>
      <c r="E15014" s="211"/>
      <c r="U15014" s="222"/>
    </row>
    <row r="15015" spans="2:21" x14ac:dyDescent="0.2">
      <c r="B15015" s="207"/>
      <c r="C15015" s="210"/>
      <c r="D15015" s="211"/>
      <c r="E15015" s="211"/>
      <c r="U15015" s="222"/>
    </row>
    <row r="15016" spans="2:21" x14ac:dyDescent="0.2">
      <c r="B15016" s="207"/>
      <c r="C15016" s="210"/>
      <c r="D15016" s="211"/>
      <c r="E15016" s="211"/>
      <c r="U15016" s="222"/>
    </row>
    <row r="15017" spans="2:21" x14ac:dyDescent="0.2">
      <c r="B15017" s="207"/>
      <c r="C15017" s="210"/>
      <c r="D15017" s="211"/>
      <c r="E15017" s="211"/>
      <c r="U15017" s="222"/>
    </row>
    <row r="15018" spans="2:21" x14ac:dyDescent="0.2">
      <c r="B15018" s="207"/>
      <c r="C15018" s="210"/>
      <c r="D15018" s="211"/>
      <c r="E15018" s="211"/>
      <c r="U15018" s="222"/>
    </row>
    <row r="15019" spans="2:21" x14ac:dyDescent="0.2">
      <c r="B15019" s="207"/>
      <c r="C15019" s="210"/>
      <c r="D15019" s="211"/>
      <c r="E15019" s="211"/>
      <c r="U15019" s="222"/>
    </row>
    <row r="15020" spans="2:21" x14ac:dyDescent="0.2">
      <c r="B15020" s="207"/>
      <c r="C15020" s="210"/>
      <c r="D15020" s="211"/>
      <c r="E15020" s="211"/>
      <c r="U15020" s="222"/>
    </row>
    <row r="15021" spans="2:21" x14ac:dyDescent="0.2">
      <c r="B15021" s="207"/>
      <c r="C15021" s="210"/>
      <c r="D15021" s="211"/>
      <c r="E15021" s="211"/>
      <c r="U15021" s="222"/>
    </row>
    <row r="15022" spans="2:21" x14ac:dyDescent="0.2">
      <c r="B15022" s="207"/>
      <c r="C15022" s="210"/>
      <c r="D15022" s="211"/>
      <c r="E15022" s="211"/>
      <c r="U15022" s="222"/>
    </row>
    <row r="15023" spans="2:21" x14ac:dyDescent="0.2">
      <c r="B15023" s="207"/>
      <c r="C15023" s="210"/>
      <c r="D15023" s="211"/>
      <c r="E15023" s="211"/>
      <c r="U15023" s="222"/>
    </row>
    <row r="15024" spans="2:21" x14ac:dyDescent="0.2">
      <c r="B15024" s="207"/>
      <c r="C15024" s="210"/>
      <c r="D15024" s="211"/>
      <c r="E15024" s="211"/>
      <c r="U15024" s="222"/>
    </row>
    <row r="15025" spans="2:21" x14ac:dyDescent="0.2">
      <c r="B15025" s="207"/>
      <c r="C15025" s="210"/>
      <c r="D15025" s="211"/>
      <c r="E15025" s="211"/>
      <c r="U15025" s="222"/>
    </row>
    <row r="15026" spans="2:21" x14ac:dyDescent="0.2">
      <c r="B15026" s="207"/>
      <c r="C15026" s="210"/>
      <c r="D15026" s="211"/>
      <c r="E15026" s="211"/>
      <c r="U15026" s="222"/>
    </row>
    <row r="15027" spans="2:21" x14ac:dyDescent="0.2">
      <c r="B15027" s="207"/>
      <c r="C15027" s="210"/>
      <c r="D15027" s="211"/>
      <c r="E15027" s="211"/>
      <c r="U15027" s="222"/>
    </row>
    <row r="15028" spans="2:21" x14ac:dyDescent="0.2">
      <c r="B15028" s="207"/>
      <c r="C15028" s="210"/>
      <c r="D15028" s="211"/>
      <c r="E15028" s="211"/>
      <c r="U15028" s="222"/>
    </row>
    <row r="15029" spans="2:21" x14ac:dyDescent="0.2">
      <c r="B15029" s="207"/>
      <c r="C15029" s="210"/>
      <c r="D15029" s="211"/>
      <c r="E15029" s="211"/>
      <c r="U15029" s="222"/>
    </row>
    <row r="15030" spans="2:21" x14ac:dyDescent="0.2">
      <c r="B15030" s="207"/>
      <c r="C15030" s="210"/>
      <c r="D15030" s="211"/>
      <c r="E15030" s="211"/>
      <c r="U15030" s="222"/>
    </row>
    <row r="15031" spans="2:21" x14ac:dyDescent="0.2">
      <c r="B15031" s="207"/>
      <c r="C15031" s="210"/>
      <c r="D15031" s="211"/>
      <c r="E15031" s="211"/>
      <c r="U15031" s="222"/>
    </row>
    <row r="15032" spans="2:21" x14ac:dyDescent="0.2">
      <c r="B15032" s="207"/>
      <c r="C15032" s="210"/>
      <c r="D15032" s="211"/>
      <c r="E15032" s="211"/>
      <c r="U15032" s="222"/>
    </row>
    <row r="15033" spans="2:21" x14ac:dyDescent="0.2">
      <c r="B15033" s="207"/>
      <c r="C15033" s="210"/>
      <c r="D15033" s="211"/>
      <c r="E15033" s="211"/>
      <c r="U15033" s="222"/>
    </row>
    <row r="15034" spans="2:21" x14ac:dyDescent="0.2">
      <c r="B15034" s="207"/>
      <c r="C15034" s="210"/>
      <c r="D15034" s="211"/>
      <c r="E15034" s="211"/>
      <c r="U15034" s="222"/>
    </row>
    <row r="15035" spans="2:21" x14ac:dyDescent="0.2">
      <c r="B15035" s="207"/>
      <c r="C15035" s="210"/>
      <c r="D15035" s="211"/>
      <c r="E15035" s="211"/>
      <c r="U15035" s="222"/>
    </row>
    <row r="15036" spans="2:21" x14ac:dyDescent="0.2">
      <c r="B15036" s="207"/>
      <c r="C15036" s="210"/>
      <c r="D15036" s="211"/>
      <c r="E15036" s="211"/>
      <c r="U15036" s="222"/>
    </row>
    <row r="15037" spans="2:21" x14ac:dyDescent="0.2">
      <c r="B15037" s="207"/>
      <c r="C15037" s="210"/>
      <c r="D15037" s="211"/>
      <c r="E15037" s="211"/>
      <c r="U15037" s="222"/>
    </row>
    <row r="15038" spans="2:21" x14ac:dyDescent="0.2">
      <c r="B15038" s="207"/>
      <c r="C15038" s="210"/>
      <c r="D15038" s="211"/>
      <c r="E15038" s="211"/>
      <c r="U15038" s="222"/>
    </row>
    <row r="15039" spans="2:21" x14ac:dyDescent="0.2">
      <c r="B15039" s="207"/>
      <c r="C15039" s="210"/>
      <c r="D15039" s="211"/>
      <c r="E15039" s="211"/>
      <c r="U15039" s="222"/>
    </row>
    <row r="15040" spans="2:21" x14ac:dyDescent="0.2">
      <c r="B15040" s="207"/>
      <c r="C15040" s="210"/>
      <c r="D15040" s="211"/>
      <c r="E15040" s="211"/>
      <c r="U15040" s="222"/>
    </row>
    <row r="15041" spans="2:21" x14ac:dyDescent="0.2">
      <c r="B15041" s="207"/>
      <c r="C15041" s="210"/>
      <c r="D15041" s="211"/>
      <c r="E15041" s="211"/>
      <c r="U15041" s="222"/>
    </row>
    <row r="15042" spans="2:21" x14ac:dyDescent="0.2">
      <c r="B15042" s="207"/>
      <c r="C15042" s="210"/>
      <c r="D15042" s="211"/>
      <c r="E15042" s="211"/>
      <c r="U15042" s="222"/>
    </row>
    <row r="15043" spans="2:21" x14ac:dyDescent="0.2">
      <c r="B15043" s="207"/>
      <c r="C15043" s="210"/>
      <c r="D15043" s="211"/>
      <c r="E15043" s="211"/>
      <c r="U15043" s="222"/>
    </row>
    <row r="15044" spans="2:21" x14ac:dyDescent="0.2">
      <c r="B15044" s="207"/>
      <c r="C15044" s="210"/>
      <c r="D15044" s="211"/>
      <c r="E15044" s="211"/>
      <c r="U15044" s="222"/>
    </row>
    <row r="15045" spans="2:21" x14ac:dyDescent="0.2">
      <c r="B15045" s="207"/>
      <c r="C15045" s="210"/>
      <c r="D15045" s="211"/>
      <c r="E15045" s="211"/>
      <c r="U15045" s="222"/>
    </row>
    <row r="15046" spans="2:21" x14ac:dyDescent="0.2">
      <c r="B15046" s="207"/>
      <c r="C15046" s="210"/>
      <c r="D15046" s="211"/>
      <c r="E15046" s="211"/>
      <c r="U15046" s="222"/>
    </row>
    <row r="15047" spans="2:21" x14ac:dyDescent="0.2">
      <c r="B15047" s="207"/>
      <c r="C15047" s="210"/>
      <c r="D15047" s="211"/>
      <c r="E15047" s="211"/>
      <c r="U15047" s="222"/>
    </row>
    <row r="15048" spans="2:21" x14ac:dyDescent="0.2">
      <c r="B15048" s="207"/>
      <c r="C15048" s="210"/>
      <c r="D15048" s="211"/>
      <c r="E15048" s="211"/>
      <c r="U15048" s="222"/>
    </row>
    <row r="15049" spans="2:21" x14ac:dyDescent="0.2">
      <c r="B15049" s="207"/>
      <c r="C15049" s="210"/>
      <c r="D15049" s="211"/>
      <c r="E15049" s="211"/>
      <c r="U15049" s="222"/>
    </row>
    <row r="15050" spans="2:21" x14ac:dyDescent="0.2">
      <c r="B15050" s="207"/>
      <c r="C15050" s="210"/>
      <c r="D15050" s="211"/>
      <c r="E15050" s="211"/>
      <c r="U15050" s="222"/>
    </row>
    <row r="15051" spans="2:21" x14ac:dyDescent="0.2">
      <c r="B15051" s="207"/>
      <c r="C15051" s="210"/>
      <c r="D15051" s="211"/>
      <c r="E15051" s="211"/>
      <c r="U15051" s="222"/>
    </row>
    <row r="15052" spans="2:21" x14ac:dyDescent="0.2">
      <c r="B15052" s="207"/>
      <c r="C15052" s="210"/>
      <c r="D15052" s="211"/>
      <c r="E15052" s="211"/>
      <c r="U15052" s="222"/>
    </row>
    <row r="15053" spans="2:21" x14ac:dyDescent="0.2">
      <c r="B15053" s="207"/>
      <c r="C15053" s="210"/>
      <c r="D15053" s="211"/>
      <c r="E15053" s="211"/>
      <c r="U15053" s="222"/>
    </row>
    <row r="15054" spans="2:21" x14ac:dyDescent="0.2">
      <c r="B15054" s="207"/>
      <c r="C15054" s="210"/>
      <c r="D15054" s="211"/>
      <c r="E15054" s="211"/>
      <c r="U15054" s="222"/>
    </row>
    <row r="15055" spans="2:21" x14ac:dyDescent="0.2">
      <c r="B15055" s="207"/>
      <c r="C15055" s="210"/>
      <c r="D15055" s="211"/>
      <c r="E15055" s="211"/>
      <c r="U15055" s="222"/>
    </row>
    <row r="15056" spans="2:21" x14ac:dyDescent="0.2">
      <c r="B15056" s="207"/>
      <c r="C15056" s="210"/>
      <c r="D15056" s="211"/>
      <c r="E15056" s="211"/>
      <c r="U15056" s="222"/>
    </row>
    <row r="15057" spans="2:21" x14ac:dyDescent="0.2">
      <c r="B15057" s="207"/>
      <c r="C15057" s="210"/>
      <c r="D15057" s="211"/>
      <c r="E15057" s="211"/>
      <c r="U15057" s="222"/>
    </row>
    <row r="15058" spans="2:21" x14ac:dyDescent="0.2">
      <c r="B15058" s="207"/>
      <c r="C15058" s="210"/>
      <c r="D15058" s="211"/>
      <c r="E15058" s="211"/>
      <c r="U15058" s="222"/>
    </row>
    <row r="15059" spans="2:21" x14ac:dyDescent="0.2">
      <c r="B15059" s="207"/>
      <c r="C15059" s="210"/>
      <c r="D15059" s="211"/>
      <c r="E15059" s="211"/>
      <c r="U15059" s="222"/>
    </row>
    <row r="15060" spans="2:21" x14ac:dyDescent="0.2">
      <c r="B15060" s="207"/>
      <c r="C15060" s="210"/>
      <c r="D15060" s="211"/>
      <c r="E15060" s="211"/>
      <c r="U15060" s="222"/>
    </row>
    <row r="15061" spans="2:21" x14ac:dyDescent="0.2">
      <c r="B15061" s="207"/>
      <c r="C15061" s="210"/>
      <c r="D15061" s="211"/>
      <c r="E15061" s="211"/>
      <c r="U15061" s="222"/>
    </row>
    <row r="15062" spans="2:21" x14ac:dyDescent="0.2">
      <c r="B15062" s="207"/>
      <c r="C15062" s="210"/>
      <c r="D15062" s="211"/>
      <c r="E15062" s="211"/>
      <c r="U15062" s="222"/>
    </row>
    <row r="15063" spans="2:21" x14ac:dyDescent="0.2">
      <c r="B15063" s="207"/>
      <c r="C15063" s="210"/>
      <c r="D15063" s="211"/>
      <c r="E15063" s="211"/>
      <c r="U15063" s="222"/>
    </row>
    <row r="15064" spans="2:21" x14ac:dyDescent="0.2">
      <c r="B15064" s="207"/>
      <c r="C15064" s="210"/>
      <c r="D15064" s="211"/>
      <c r="E15064" s="211"/>
      <c r="U15064" s="222"/>
    </row>
    <row r="15065" spans="2:21" x14ac:dyDescent="0.2">
      <c r="B15065" s="207"/>
      <c r="C15065" s="210"/>
      <c r="D15065" s="211"/>
      <c r="E15065" s="211"/>
      <c r="U15065" s="222"/>
    </row>
    <row r="15066" spans="2:21" x14ac:dyDescent="0.2">
      <c r="B15066" s="207"/>
      <c r="C15066" s="210"/>
      <c r="D15066" s="211"/>
      <c r="E15066" s="211"/>
      <c r="U15066" s="222"/>
    </row>
    <row r="15067" spans="2:21" x14ac:dyDescent="0.2">
      <c r="B15067" s="207"/>
      <c r="C15067" s="210"/>
      <c r="D15067" s="211"/>
      <c r="E15067" s="211"/>
      <c r="U15067" s="222"/>
    </row>
    <row r="15068" spans="2:21" x14ac:dyDescent="0.2">
      <c r="B15068" s="207"/>
      <c r="C15068" s="210"/>
      <c r="D15068" s="211"/>
      <c r="E15068" s="211"/>
      <c r="U15068" s="222"/>
    </row>
    <row r="15069" spans="2:21" x14ac:dyDescent="0.2">
      <c r="B15069" s="207"/>
      <c r="C15069" s="210"/>
      <c r="D15069" s="211"/>
      <c r="E15069" s="211"/>
      <c r="U15069" s="222"/>
    </row>
    <row r="15070" spans="2:21" x14ac:dyDescent="0.2">
      <c r="B15070" s="207"/>
      <c r="C15070" s="210"/>
      <c r="D15070" s="211"/>
      <c r="E15070" s="211"/>
      <c r="U15070" s="222"/>
    </row>
    <row r="15071" spans="2:21" x14ac:dyDescent="0.2">
      <c r="B15071" s="207"/>
      <c r="C15071" s="210"/>
      <c r="D15071" s="211"/>
      <c r="E15071" s="211"/>
      <c r="U15071" s="222"/>
    </row>
    <row r="15072" spans="2:21" x14ac:dyDescent="0.2">
      <c r="B15072" s="207"/>
      <c r="C15072" s="210"/>
      <c r="D15072" s="211"/>
      <c r="E15072" s="211"/>
      <c r="U15072" s="222"/>
    </row>
    <row r="15073" spans="2:21" x14ac:dyDescent="0.2">
      <c r="B15073" s="207"/>
      <c r="C15073" s="210"/>
      <c r="D15073" s="211"/>
      <c r="E15073" s="211"/>
      <c r="U15073" s="222"/>
    </row>
    <row r="15074" spans="2:21" x14ac:dyDescent="0.2">
      <c r="B15074" s="207"/>
      <c r="C15074" s="210"/>
      <c r="D15074" s="211"/>
      <c r="E15074" s="211"/>
      <c r="U15074" s="222"/>
    </row>
    <row r="15075" spans="2:21" x14ac:dyDescent="0.2">
      <c r="B15075" s="207"/>
      <c r="C15075" s="210"/>
      <c r="D15075" s="211"/>
      <c r="E15075" s="211"/>
      <c r="U15075" s="222"/>
    </row>
    <row r="15076" spans="2:21" x14ac:dyDescent="0.2">
      <c r="B15076" s="207"/>
      <c r="C15076" s="210"/>
      <c r="D15076" s="211"/>
      <c r="E15076" s="211"/>
      <c r="U15076" s="222"/>
    </row>
    <row r="15077" spans="2:21" x14ac:dyDescent="0.2">
      <c r="B15077" s="207"/>
      <c r="C15077" s="210"/>
      <c r="D15077" s="211"/>
      <c r="E15077" s="211"/>
      <c r="U15077" s="222"/>
    </row>
    <row r="15078" spans="2:21" x14ac:dyDescent="0.2">
      <c r="B15078" s="207"/>
      <c r="C15078" s="210"/>
      <c r="D15078" s="211"/>
      <c r="E15078" s="211"/>
      <c r="U15078" s="222"/>
    </row>
    <row r="15079" spans="2:21" x14ac:dyDescent="0.2">
      <c r="B15079" s="207"/>
      <c r="C15079" s="210"/>
      <c r="D15079" s="211"/>
      <c r="E15079" s="211"/>
      <c r="U15079" s="222"/>
    </row>
    <row r="15080" spans="2:21" x14ac:dyDescent="0.2">
      <c r="B15080" s="207"/>
      <c r="C15080" s="210"/>
      <c r="D15080" s="211"/>
      <c r="E15080" s="211"/>
      <c r="U15080" s="222"/>
    </row>
    <row r="15081" spans="2:21" x14ac:dyDescent="0.2">
      <c r="B15081" s="207"/>
      <c r="C15081" s="210"/>
      <c r="D15081" s="211"/>
      <c r="E15081" s="211"/>
      <c r="U15081" s="222"/>
    </row>
    <row r="15082" spans="2:21" x14ac:dyDescent="0.2">
      <c r="B15082" s="207"/>
      <c r="C15082" s="210"/>
      <c r="D15082" s="211"/>
      <c r="E15082" s="211"/>
      <c r="U15082" s="222"/>
    </row>
    <row r="15083" spans="2:21" x14ac:dyDescent="0.2">
      <c r="B15083" s="207"/>
      <c r="C15083" s="210"/>
      <c r="D15083" s="211"/>
      <c r="E15083" s="211"/>
      <c r="U15083" s="222"/>
    </row>
    <row r="15084" spans="2:21" x14ac:dyDescent="0.2">
      <c r="B15084" s="207"/>
      <c r="C15084" s="210"/>
      <c r="D15084" s="211"/>
      <c r="E15084" s="211"/>
      <c r="U15084" s="222"/>
    </row>
    <row r="15085" spans="2:21" x14ac:dyDescent="0.2">
      <c r="B15085" s="207"/>
      <c r="C15085" s="210"/>
      <c r="D15085" s="211"/>
      <c r="E15085" s="211"/>
      <c r="U15085" s="222"/>
    </row>
    <row r="15086" spans="2:21" x14ac:dyDescent="0.2">
      <c r="B15086" s="207"/>
      <c r="C15086" s="210"/>
      <c r="D15086" s="211"/>
      <c r="E15086" s="211"/>
      <c r="U15086" s="222"/>
    </row>
    <row r="15087" spans="2:21" x14ac:dyDescent="0.2">
      <c r="B15087" s="207"/>
      <c r="C15087" s="210"/>
      <c r="D15087" s="211"/>
      <c r="E15087" s="211"/>
      <c r="U15087" s="222"/>
    </row>
    <row r="15088" spans="2:21" x14ac:dyDescent="0.2">
      <c r="B15088" s="207"/>
      <c r="C15088" s="210"/>
      <c r="D15088" s="211"/>
      <c r="E15088" s="211"/>
      <c r="U15088" s="222"/>
    </row>
    <row r="15089" spans="2:21" x14ac:dyDescent="0.2">
      <c r="B15089" s="207"/>
      <c r="C15089" s="210"/>
      <c r="D15089" s="211"/>
      <c r="E15089" s="211"/>
      <c r="U15089" s="222"/>
    </row>
    <row r="15090" spans="2:21" x14ac:dyDescent="0.2">
      <c r="B15090" s="207"/>
      <c r="C15090" s="210"/>
      <c r="D15090" s="211"/>
      <c r="E15090" s="211"/>
      <c r="U15090" s="222"/>
    </row>
    <row r="15091" spans="2:21" x14ac:dyDescent="0.2">
      <c r="B15091" s="207"/>
      <c r="C15091" s="210"/>
      <c r="D15091" s="211"/>
      <c r="E15091" s="211"/>
      <c r="U15091" s="222"/>
    </row>
    <row r="15092" spans="2:21" x14ac:dyDescent="0.2">
      <c r="B15092" s="207"/>
      <c r="C15092" s="210"/>
      <c r="D15092" s="211"/>
      <c r="E15092" s="211"/>
      <c r="U15092" s="222"/>
    </row>
    <row r="15093" spans="2:21" x14ac:dyDescent="0.2">
      <c r="B15093" s="207"/>
      <c r="C15093" s="210"/>
      <c r="D15093" s="211"/>
      <c r="E15093" s="211"/>
      <c r="U15093" s="222"/>
    </row>
    <row r="15094" spans="2:21" x14ac:dyDescent="0.2">
      <c r="B15094" s="207"/>
      <c r="C15094" s="210"/>
      <c r="D15094" s="211"/>
      <c r="E15094" s="211"/>
      <c r="U15094" s="222"/>
    </row>
    <row r="15095" spans="2:21" x14ac:dyDescent="0.2">
      <c r="B15095" s="207"/>
      <c r="C15095" s="210"/>
      <c r="D15095" s="211"/>
      <c r="E15095" s="211"/>
      <c r="U15095" s="222"/>
    </row>
    <row r="15096" spans="2:21" x14ac:dyDescent="0.2">
      <c r="B15096" s="207"/>
      <c r="C15096" s="210"/>
      <c r="D15096" s="211"/>
      <c r="E15096" s="211"/>
      <c r="U15096" s="222"/>
    </row>
    <row r="15097" spans="2:21" x14ac:dyDescent="0.2">
      <c r="B15097" s="207"/>
      <c r="C15097" s="210"/>
      <c r="D15097" s="211"/>
      <c r="E15097" s="211"/>
      <c r="U15097" s="222"/>
    </row>
    <row r="15098" spans="2:21" x14ac:dyDescent="0.2">
      <c r="B15098" s="207"/>
      <c r="C15098" s="210"/>
      <c r="D15098" s="211"/>
      <c r="E15098" s="211"/>
      <c r="U15098" s="222"/>
    </row>
    <row r="15099" spans="2:21" x14ac:dyDescent="0.2">
      <c r="B15099" s="207"/>
      <c r="C15099" s="210"/>
      <c r="D15099" s="211"/>
      <c r="E15099" s="211"/>
      <c r="U15099" s="222"/>
    </row>
    <row r="15100" spans="2:21" x14ac:dyDescent="0.2">
      <c r="B15100" s="207"/>
      <c r="C15100" s="210"/>
      <c r="D15100" s="211"/>
      <c r="E15100" s="211"/>
      <c r="U15100" s="222"/>
    </row>
    <row r="15101" spans="2:21" x14ac:dyDescent="0.2">
      <c r="B15101" s="207"/>
      <c r="C15101" s="210"/>
      <c r="D15101" s="211"/>
      <c r="E15101" s="211"/>
      <c r="U15101" s="222"/>
    </row>
    <row r="15102" spans="2:21" x14ac:dyDescent="0.2">
      <c r="B15102" s="207"/>
      <c r="C15102" s="210"/>
      <c r="D15102" s="211"/>
      <c r="E15102" s="211"/>
      <c r="U15102" s="222"/>
    </row>
    <row r="15103" spans="2:21" x14ac:dyDescent="0.2">
      <c r="B15103" s="207"/>
      <c r="C15103" s="210"/>
      <c r="D15103" s="211"/>
      <c r="E15103" s="211"/>
      <c r="U15103" s="222"/>
    </row>
    <row r="15104" spans="2:21" x14ac:dyDescent="0.2">
      <c r="B15104" s="207"/>
      <c r="C15104" s="210"/>
      <c r="D15104" s="211"/>
      <c r="E15104" s="211"/>
      <c r="U15104" s="222"/>
    </row>
    <row r="15105" spans="2:21" x14ac:dyDescent="0.2">
      <c r="B15105" s="207"/>
      <c r="C15105" s="210"/>
      <c r="D15105" s="211"/>
      <c r="E15105" s="211"/>
      <c r="U15105" s="222"/>
    </row>
    <row r="15106" spans="2:21" x14ac:dyDescent="0.2">
      <c r="B15106" s="207"/>
      <c r="C15106" s="210"/>
      <c r="D15106" s="211"/>
      <c r="E15106" s="211"/>
      <c r="U15106" s="222"/>
    </row>
    <row r="15107" spans="2:21" x14ac:dyDescent="0.2">
      <c r="B15107" s="207"/>
      <c r="C15107" s="210"/>
      <c r="D15107" s="211"/>
      <c r="E15107" s="211"/>
      <c r="U15107" s="222"/>
    </row>
    <row r="15108" spans="2:21" x14ac:dyDescent="0.2">
      <c r="B15108" s="207"/>
      <c r="C15108" s="210"/>
      <c r="D15108" s="211"/>
      <c r="E15108" s="211"/>
      <c r="U15108" s="222"/>
    </row>
    <row r="15109" spans="2:21" x14ac:dyDescent="0.2">
      <c r="B15109" s="207"/>
      <c r="C15109" s="210"/>
      <c r="D15109" s="211"/>
      <c r="E15109" s="211"/>
      <c r="U15109" s="222"/>
    </row>
    <row r="15110" spans="2:21" x14ac:dyDescent="0.2">
      <c r="B15110" s="207"/>
      <c r="C15110" s="210"/>
      <c r="D15110" s="211"/>
      <c r="E15110" s="211"/>
      <c r="U15110" s="222"/>
    </row>
    <row r="15111" spans="2:21" x14ac:dyDescent="0.2">
      <c r="B15111" s="207"/>
      <c r="C15111" s="210"/>
      <c r="D15111" s="211"/>
      <c r="E15111" s="211"/>
      <c r="U15111" s="222"/>
    </row>
    <row r="15112" spans="2:21" x14ac:dyDescent="0.2">
      <c r="B15112" s="207"/>
      <c r="C15112" s="210"/>
      <c r="D15112" s="211"/>
      <c r="E15112" s="211"/>
      <c r="U15112" s="222"/>
    </row>
    <row r="15113" spans="2:21" x14ac:dyDescent="0.2">
      <c r="B15113" s="207"/>
      <c r="C15113" s="210"/>
      <c r="D15113" s="211"/>
      <c r="E15113" s="211"/>
      <c r="U15113" s="222"/>
    </row>
    <row r="15114" spans="2:21" x14ac:dyDescent="0.2">
      <c r="B15114" s="207"/>
      <c r="C15114" s="210"/>
      <c r="D15114" s="211"/>
      <c r="E15114" s="211"/>
      <c r="U15114" s="222"/>
    </row>
    <row r="15115" spans="2:21" x14ac:dyDescent="0.2">
      <c r="B15115" s="207"/>
      <c r="C15115" s="210"/>
      <c r="D15115" s="211"/>
      <c r="E15115" s="211"/>
      <c r="U15115" s="222"/>
    </row>
    <row r="15116" spans="2:21" x14ac:dyDescent="0.2">
      <c r="B15116" s="207"/>
      <c r="C15116" s="210"/>
      <c r="D15116" s="211"/>
      <c r="E15116" s="211"/>
      <c r="U15116" s="222"/>
    </row>
    <row r="15117" spans="2:21" x14ac:dyDescent="0.2">
      <c r="B15117" s="207"/>
      <c r="C15117" s="210"/>
      <c r="D15117" s="211"/>
      <c r="E15117" s="211"/>
      <c r="U15117" s="222"/>
    </row>
    <row r="15118" spans="2:21" x14ac:dyDescent="0.2">
      <c r="B15118" s="207"/>
      <c r="C15118" s="210"/>
      <c r="D15118" s="211"/>
      <c r="E15118" s="211"/>
      <c r="U15118" s="222"/>
    </row>
    <row r="15119" spans="2:21" x14ac:dyDescent="0.2">
      <c r="B15119" s="207"/>
      <c r="C15119" s="210"/>
      <c r="D15119" s="211"/>
      <c r="E15119" s="211"/>
      <c r="U15119" s="222"/>
    </row>
    <row r="15120" spans="2:21" x14ac:dyDescent="0.2">
      <c r="B15120" s="207"/>
      <c r="C15120" s="210"/>
      <c r="D15120" s="211"/>
      <c r="E15120" s="211"/>
      <c r="U15120" s="222"/>
    </row>
    <row r="15121" spans="2:21" x14ac:dyDescent="0.2">
      <c r="B15121" s="207"/>
      <c r="C15121" s="210"/>
      <c r="D15121" s="211"/>
      <c r="E15121" s="211"/>
      <c r="U15121" s="222"/>
    </row>
    <row r="15122" spans="2:21" x14ac:dyDescent="0.2">
      <c r="B15122" s="207"/>
      <c r="C15122" s="210"/>
      <c r="D15122" s="211"/>
      <c r="E15122" s="211"/>
      <c r="U15122" s="222"/>
    </row>
    <row r="15123" spans="2:21" x14ac:dyDescent="0.2">
      <c r="B15123" s="207"/>
      <c r="C15123" s="210"/>
      <c r="D15123" s="211"/>
      <c r="E15123" s="211"/>
      <c r="U15123" s="222"/>
    </row>
    <row r="15124" spans="2:21" x14ac:dyDescent="0.2">
      <c r="B15124" s="207"/>
      <c r="C15124" s="210"/>
      <c r="D15124" s="211"/>
      <c r="E15124" s="211"/>
      <c r="U15124" s="222"/>
    </row>
    <row r="15125" spans="2:21" x14ac:dyDescent="0.2">
      <c r="B15125" s="207"/>
      <c r="C15125" s="210"/>
      <c r="D15125" s="211"/>
      <c r="E15125" s="211"/>
      <c r="U15125" s="222"/>
    </row>
    <row r="15126" spans="2:21" x14ac:dyDescent="0.2">
      <c r="B15126" s="207"/>
      <c r="C15126" s="210"/>
      <c r="D15126" s="211"/>
      <c r="E15126" s="211"/>
      <c r="U15126" s="222"/>
    </row>
    <row r="15127" spans="2:21" x14ac:dyDescent="0.2">
      <c r="B15127" s="207"/>
      <c r="C15127" s="210"/>
      <c r="D15127" s="211"/>
      <c r="E15127" s="211"/>
      <c r="U15127" s="222"/>
    </row>
    <row r="15128" spans="2:21" x14ac:dyDescent="0.2">
      <c r="B15128" s="207"/>
      <c r="C15128" s="210"/>
      <c r="D15128" s="211"/>
      <c r="E15128" s="211"/>
      <c r="U15128" s="222"/>
    </row>
    <row r="15129" spans="2:21" x14ac:dyDescent="0.2">
      <c r="B15129" s="207"/>
      <c r="C15129" s="210"/>
      <c r="D15129" s="211"/>
      <c r="E15129" s="211"/>
      <c r="U15129" s="222"/>
    </row>
    <row r="15130" spans="2:21" x14ac:dyDescent="0.2">
      <c r="B15130" s="207"/>
      <c r="C15130" s="210"/>
      <c r="D15130" s="211"/>
      <c r="E15130" s="211"/>
      <c r="U15130" s="222"/>
    </row>
    <row r="15131" spans="2:21" x14ac:dyDescent="0.2">
      <c r="B15131" s="207"/>
      <c r="C15131" s="210"/>
      <c r="D15131" s="211"/>
      <c r="E15131" s="211"/>
      <c r="U15131" s="222"/>
    </row>
    <row r="15132" spans="2:21" x14ac:dyDescent="0.2">
      <c r="B15132" s="207"/>
      <c r="C15132" s="210"/>
      <c r="D15132" s="211"/>
      <c r="E15132" s="211"/>
      <c r="U15132" s="222"/>
    </row>
    <row r="15133" spans="2:21" x14ac:dyDescent="0.2">
      <c r="B15133" s="207"/>
      <c r="C15133" s="210"/>
      <c r="D15133" s="211"/>
      <c r="E15133" s="211"/>
      <c r="U15133" s="222"/>
    </row>
    <row r="15134" spans="2:21" x14ac:dyDescent="0.2">
      <c r="B15134" s="207"/>
      <c r="C15134" s="210"/>
      <c r="D15134" s="211"/>
      <c r="E15134" s="211"/>
      <c r="U15134" s="222"/>
    </row>
    <row r="15135" spans="2:21" x14ac:dyDescent="0.2">
      <c r="B15135" s="207"/>
      <c r="C15135" s="210"/>
      <c r="D15135" s="211"/>
      <c r="E15135" s="211"/>
      <c r="U15135" s="222"/>
    </row>
    <row r="15136" spans="2:21" x14ac:dyDescent="0.2">
      <c r="B15136" s="207"/>
      <c r="C15136" s="210"/>
      <c r="D15136" s="211"/>
      <c r="E15136" s="211"/>
      <c r="U15136" s="222"/>
    </row>
    <row r="15137" spans="2:21" x14ac:dyDescent="0.2">
      <c r="B15137" s="207"/>
      <c r="C15137" s="210"/>
      <c r="D15137" s="211"/>
      <c r="E15137" s="211"/>
      <c r="U15137" s="222"/>
    </row>
    <row r="15138" spans="2:21" x14ac:dyDescent="0.2">
      <c r="B15138" s="207"/>
      <c r="C15138" s="210"/>
      <c r="D15138" s="211"/>
      <c r="E15138" s="211"/>
      <c r="U15138" s="222"/>
    </row>
    <row r="15139" spans="2:21" x14ac:dyDescent="0.2">
      <c r="B15139" s="207"/>
      <c r="C15139" s="210"/>
      <c r="D15139" s="211"/>
      <c r="E15139" s="211"/>
      <c r="U15139" s="222"/>
    </row>
    <row r="15140" spans="2:21" x14ac:dyDescent="0.2">
      <c r="B15140" s="207"/>
      <c r="C15140" s="210"/>
      <c r="D15140" s="211"/>
      <c r="E15140" s="211"/>
      <c r="U15140" s="222"/>
    </row>
    <row r="15141" spans="2:21" x14ac:dyDescent="0.2">
      <c r="B15141" s="207"/>
      <c r="C15141" s="210"/>
      <c r="D15141" s="211"/>
      <c r="E15141" s="211"/>
      <c r="U15141" s="222"/>
    </row>
    <row r="15142" spans="2:21" x14ac:dyDescent="0.2">
      <c r="B15142" s="207"/>
      <c r="C15142" s="210"/>
      <c r="D15142" s="211"/>
      <c r="E15142" s="211"/>
      <c r="U15142" s="222"/>
    </row>
    <row r="15143" spans="2:21" x14ac:dyDescent="0.2">
      <c r="B15143" s="207"/>
      <c r="C15143" s="210"/>
      <c r="D15143" s="211"/>
      <c r="E15143" s="211"/>
      <c r="U15143" s="222"/>
    </row>
    <row r="15144" spans="2:21" x14ac:dyDescent="0.2">
      <c r="B15144" s="207"/>
      <c r="C15144" s="210"/>
      <c r="D15144" s="211"/>
      <c r="E15144" s="211"/>
      <c r="U15144" s="222"/>
    </row>
    <row r="15145" spans="2:21" x14ac:dyDescent="0.2">
      <c r="B15145" s="207"/>
      <c r="C15145" s="210"/>
      <c r="D15145" s="211"/>
      <c r="E15145" s="211"/>
      <c r="U15145" s="222"/>
    </row>
    <row r="15146" spans="2:21" x14ac:dyDescent="0.2">
      <c r="B15146" s="207"/>
      <c r="C15146" s="210"/>
      <c r="D15146" s="211"/>
      <c r="E15146" s="211"/>
      <c r="U15146" s="222"/>
    </row>
    <row r="15147" spans="2:21" x14ac:dyDescent="0.2">
      <c r="B15147" s="207"/>
      <c r="C15147" s="210"/>
      <c r="D15147" s="211"/>
      <c r="E15147" s="211"/>
      <c r="U15147" s="222"/>
    </row>
    <row r="15148" spans="2:21" x14ac:dyDescent="0.2">
      <c r="B15148" s="207"/>
      <c r="C15148" s="210"/>
      <c r="D15148" s="211"/>
      <c r="E15148" s="211"/>
      <c r="U15148" s="222"/>
    </row>
    <row r="15149" spans="2:21" x14ac:dyDescent="0.2">
      <c r="B15149" s="207"/>
      <c r="C15149" s="210"/>
      <c r="D15149" s="211"/>
      <c r="E15149" s="211"/>
      <c r="U15149" s="222"/>
    </row>
    <row r="15150" spans="2:21" x14ac:dyDescent="0.2">
      <c r="B15150" s="207"/>
      <c r="C15150" s="210"/>
      <c r="D15150" s="211"/>
      <c r="E15150" s="211"/>
      <c r="U15150" s="222"/>
    </row>
    <row r="15151" spans="2:21" x14ac:dyDescent="0.2">
      <c r="B15151" s="207"/>
      <c r="C15151" s="210"/>
      <c r="D15151" s="211"/>
      <c r="E15151" s="211"/>
      <c r="U15151" s="222"/>
    </row>
    <row r="15152" spans="2:21" x14ac:dyDescent="0.2">
      <c r="B15152" s="207"/>
      <c r="C15152" s="210"/>
      <c r="D15152" s="211"/>
      <c r="E15152" s="211"/>
      <c r="U15152" s="222"/>
    </row>
    <row r="15153" spans="2:21" x14ac:dyDescent="0.2">
      <c r="B15153" s="207"/>
      <c r="C15153" s="210"/>
      <c r="D15153" s="211"/>
      <c r="E15153" s="211"/>
      <c r="U15153" s="222"/>
    </row>
    <row r="15154" spans="2:21" x14ac:dyDescent="0.2">
      <c r="B15154" s="207"/>
      <c r="C15154" s="210"/>
      <c r="D15154" s="211"/>
      <c r="E15154" s="211"/>
      <c r="U15154" s="222"/>
    </row>
    <row r="15155" spans="2:21" x14ac:dyDescent="0.2">
      <c r="B15155" s="207"/>
      <c r="C15155" s="210"/>
      <c r="D15155" s="211"/>
      <c r="E15155" s="211"/>
      <c r="U15155" s="222"/>
    </row>
    <row r="15156" spans="2:21" x14ac:dyDescent="0.2">
      <c r="B15156" s="207"/>
      <c r="C15156" s="210"/>
      <c r="D15156" s="211"/>
      <c r="E15156" s="211"/>
      <c r="U15156" s="222"/>
    </row>
    <row r="15157" spans="2:21" x14ac:dyDescent="0.2">
      <c r="B15157" s="207"/>
      <c r="C15157" s="210"/>
      <c r="D15157" s="211"/>
      <c r="E15157" s="211"/>
      <c r="U15157" s="222"/>
    </row>
    <row r="15158" spans="2:21" x14ac:dyDescent="0.2">
      <c r="B15158" s="207"/>
      <c r="C15158" s="210"/>
      <c r="D15158" s="211"/>
      <c r="E15158" s="211"/>
      <c r="U15158" s="222"/>
    </row>
    <row r="15159" spans="2:21" x14ac:dyDescent="0.2">
      <c r="B15159" s="207"/>
      <c r="C15159" s="210"/>
      <c r="D15159" s="211"/>
      <c r="E15159" s="211"/>
      <c r="U15159" s="222"/>
    </row>
    <row r="15160" spans="2:21" x14ac:dyDescent="0.2">
      <c r="B15160" s="207"/>
      <c r="C15160" s="210"/>
      <c r="D15160" s="211"/>
      <c r="E15160" s="211"/>
      <c r="U15160" s="222"/>
    </row>
    <row r="15161" spans="2:21" x14ac:dyDescent="0.2">
      <c r="B15161" s="207"/>
      <c r="C15161" s="210"/>
      <c r="D15161" s="211"/>
      <c r="E15161" s="211"/>
      <c r="U15161" s="222"/>
    </row>
    <row r="15162" spans="2:21" x14ac:dyDescent="0.2">
      <c r="B15162" s="207"/>
      <c r="C15162" s="210"/>
      <c r="D15162" s="211"/>
      <c r="E15162" s="211"/>
      <c r="U15162" s="222"/>
    </row>
    <row r="15163" spans="2:21" x14ac:dyDescent="0.2">
      <c r="B15163" s="207"/>
      <c r="C15163" s="210"/>
      <c r="D15163" s="211"/>
      <c r="E15163" s="211"/>
      <c r="U15163" s="222"/>
    </row>
    <row r="15164" spans="2:21" x14ac:dyDescent="0.2">
      <c r="B15164" s="207"/>
      <c r="C15164" s="210"/>
      <c r="D15164" s="211"/>
      <c r="E15164" s="211"/>
      <c r="U15164" s="222"/>
    </row>
    <row r="15165" spans="2:21" x14ac:dyDescent="0.2">
      <c r="B15165" s="207"/>
      <c r="C15165" s="210"/>
      <c r="D15165" s="211"/>
      <c r="E15165" s="211"/>
      <c r="U15165" s="222"/>
    </row>
    <row r="15166" spans="2:21" x14ac:dyDescent="0.2">
      <c r="B15166" s="207"/>
      <c r="C15166" s="210"/>
      <c r="D15166" s="211"/>
      <c r="E15166" s="211"/>
      <c r="U15166" s="222"/>
    </row>
    <row r="15167" spans="2:21" x14ac:dyDescent="0.2">
      <c r="B15167" s="207"/>
      <c r="C15167" s="210"/>
      <c r="D15167" s="211"/>
      <c r="E15167" s="211"/>
      <c r="U15167" s="222"/>
    </row>
    <row r="15168" spans="2:21" x14ac:dyDescent="0.2">
      <c r="B15168" s="207"/>
      <c r="C15168" s="210"/>
      <c r="D15168" s="211"/>
      <c r="E15168" s="211"/>
      <c r="U15168" s="222"/>
    </row>
    <row r="15169" spans="2:21" x14ac:dyDescent="0.2">
      <c r="B15169" s="207"/>
      <c r="C15169" s="210"/>
      <c r="D15169" s="211"/>
      <c r="E15169" s="211"/>
      <c r="U15169" s="222"/>
    </row>
    <row r="15170" spans="2:21" x14ac:dyDescent="0.2">
      <c r="B15170" s="207"/>
      <c r="C15170" s="210"/>
      <c r="D15170" s="211"/>
      <c r="E15170" s="211"/>
      <c r="U15170" s="222"/>
    </row>
    <row r="15171" spans="2:21" x14ac:dyDescent="0.2">
      <c r="B15171" s="207"/>
      <c r="C15171" s="210"/>
      <c r="D15171" s="211"/>
      <c r="E15171" s="211"/>
      <c r="U15171" s="222"/>
    </row>
    <row r="15172" spans="2:21" x14ac:dyDescent="0.2">
      <c r="B15172" s="207"/>
      <c r="C15172" s="210"/>
      <c r="D15172" s="211"/>
      <c r="E15172" s="211"/>
      <c r="U15172" s="222"/>
    </row>
    <row r="15173" spans="2:21" x14ac:dyDescent="0.2">
      <c r="B15173" s="207"/>
      <c r="C15173" s="210"/>
      <c r="D15173" s="211"/>
      <c r="E15173" s="211"/>
      <c r="U15173" s="222"/>
    </row>
    <row r="15174" spans="2:21" x14ac:dyDescent="0.2">
      <c r="B15174" s="207"/>
      <c r="C15174" s="210"/>
      <c r="D15174" s="211"/>
      <c r="E15174" s="211"/>
      <c r="U15174" s="222"/>
    </row>
    <row r="15175" spans="2:21" x14ac:dyDescent="0.2">
      <c r="B15175" s="207"/>
      <c r="C15175" s="210"/>
      <c r="D15175" s="211"/>
      <c r="E15175" s="211"/>
      <c r="U15175" s="222"/>
    </row>
    <row r="15176" spans="2:21" x14ac:dyDescent="0.2">
      <c r="B15176" s="207"/>
      <c r="C15176" s="210"/>
      <c r="D15176" s="211"/>
      <c r="E15176" s="211"/>
      <c r="U15176" s="222"/>
    </row>
    <row r="15177" spans="2:21" x14ac:dyDescent="0.2">
      <c r="B15177" s="207"/>
      <c r="C15177" s="210"/>
      <c r="D15177" s="211"/>
      <c r="E15177" s="211"/>
      <c r="U15177" s="222"/>
    </row>
    <row r="15178" spans="2:21" x14ac:dyDescent="0.2">
      <c r="B15178" s="207"/>
      <c r="C15178" s="210"/>
      <c r="D15178" s="211"/>
      <c r="E15178" s="211"/>
      <c r="U15178" s="222"/>
    </row>
    <row r="15179" spans="2:21" x14ac:dyDescent="0.2">
      <c r="B15179" s="207"/>
      <c r="C15179" s="210"/>
      <c r="D15179" s="211"/>
      <c r="E15179" s="211"/>
      <c r="U15179" s="222"/>
    </row>
    <row r="15180" spans="2:21" x14ac:dyDescent="0.2">
      <c r="B15180" s="207"/>
      <c r="C15180" s="210"/>
      <c r="D15180" s="211"/>
      <c r="E15180" s="211"/>
      <c r="U15180" s="222"/>
    </row>
    <row r="15181" spans="2:21" x14ac:dyDescent="0.2">
      <c r="B15181" s="207"/>
      <c r="C15181" s="210"/>
      <c r="D15181" s="211"/>
      <c r="E15181" s="211"/>
      <c r="U15181" s="222"/>
    </row>
    <row r="15182" spans="2:21" x14ac:dyDescent="0.2">
      <c r="B15182" s="207"/>
      <c r="C15182" s="210"/>
      <c r="D15182" s="211"/>
      <c r="E15182" s="211"/>
      <c r="U15182" s="222"/>
    </row>
    <row r="15183" spans="2:21" x14ac:dyDescent="0.2">
      <c r="B15183" s="207"/>
      <c r="C15183" s="210"/>
      <c r="D15183" s="211"/>
      <c r="E15183" s="211"/>
      <c r="U15183" s="222"/>
    </row>
    <row r="15184" spans="2:21" x14ac:dyDescent="0.2">
      <c r="B15184" s="207"/>
      <c r="C15184" s="210"/>
      <c r="D15184" s="211"/>
      <c r="E15184" s="211"/>
      <c r="U15184" s="222"/>
    </row>
    <row r="15185" spans="2:21" x14ac:dyDescent="0.2">
      <c r="B15185" s="207"/>
      <c r="C15185" s="210"/>
      <c r="D15185" s="211"/>
      <c r="E15185" s="211"/>
      <c r="U15185" s="222"/>
    </row>
    <row r="15186" spans="2:21" x14ac:dyDescent="0.2">
      <c r="B15186" s="207"/>
      <c r="C15186" s="210"/>
      <c r="D15186" s="211"/>
      <c r="E15186" s="211"/>
      <c r="U15186" s="222"/>
    </row>
    <row r="15187" spans="2:21" x14ac:dyDescent="0.2">
      <c r="B15187" s="207"/>
      <c r="C15187" s="210"/>
      <c r="D15187" s="211"/>
      <c r="E15187" s="211"/>
      <c r="U15187" s="222"/>
    </row>
    <row r="15188" spans="2:21" x14ac:dyDescent="0.2">
      <c r="B15188" s="207"/>
      <c r="C15188" s="210"/>
      <c r="D15188" s="211"/>
      <c r="E15188" s="211"/>
      <c r="U15188" s="222"/>
    </row>
    <row r="15189" spans="2:21" x14ac:dyDescent="0.2">
      <c r="B15189" s="207"/>
      <c r="C15189" s="210"/>
      <c r="D15189" s="211"/>
      <c r="E15189" s="211"/>
      <c r="U15189" s="222"/>
    </row>
    <row r="15190" spans="2:21" x14ac:dyDescent="0.2">
      <c r="B15190" s="207"/>
      <c r="C15190" s="210"/>
      <c r="D15190" s="211"/>
      <c r="E15190" s="211"/>
      <c r="U15190" s="222"/>
    </row>
    <row r="15191" spans="2:21" x14ac:dyDescent="0.2">
      <c r="B15191" s="207"/>
      <c r="C15191" s="210"/>
      <c r="D15191" s="211"/>
      <c r="E15191" s="211"/>
      <c r="U15191" s="222"/>
    </row>
    <row r="15192" spans="2:21" x14ac:dyDescent="0.2">
      <c r="B15192" s="207"/>
      <c r="C15192" s="210"/>
      <c r="D15192" s="211"/>
      <c r="E15192" s="211"/>
      <c r="U15192" s="222"/>
    </row>
    <row r="15193" spans="2:21" x14ac:dyDescent="0.2">
      <c r="B15193" s="207"/>
      <c r="C15193" s="210"/>
      <c r="D15193" s="211"/>
      <c r="E15193" s="211"/>
      <c r="U15193" s="222"/>
    </row>
    <row r="15194" spans="2:21" x14ac:dyDescent="0.2">
      <c r="B15194" s="207"/>
      <c r="C15194" s="210"/>
      <c r="D15194" s="211"/>
      <c r="E15194" s="211"/>
      <c r="U15194" s="222"/>
    </row>
    <row r="15195" spans="2:21" x14ac:dyDescent="0.2">
      <c r="B15195" s="207"/>
      <c r="C15195" s="210"/>
      <c r="D15195" s="211"/>
      <c r="E15195" s="211"/>
      <c r="U15195" s="222"/>
    </row>
    <row r="15196" spans="2:21" x14ac:dyDescent="0.2">
      <c r="B15196" s="207"/>
      <c r="C15196" s="210"/>
      <c r="D15196" s="211"/>
      <c r="E15196" s="211"/>
      <c r="U15196" s="222"/>
    </row>
    <row r="15197" spans="2:21" x14ac:dyDescent="0.2">
      <c r="B15197" s="207"/>
      <c r="C15197" s="210"/>
      <c r="D15197" s="211"/>
      <c r="E15197" s="211"/>
      <c r="U15197" s="222"/>
    </row>
    <row r="15198" spans="2:21" x14ac:dyDescent="0.2">
      <c r="B15198" s="207"/>
      <c r="C15198" s="210"/>
      <c r="D15198" s="211"/>
      <c r="E15198" s="211"/>
      <c r="U15198" s="222"/>
    </row>
    <row r="15199" spans="2:21" x14ac:dyDescent="0.2">
      <c r="B15199" s="207"/>
      <c r="C15199" s="210"/>
      <c r="D15199" s="211"/>
      <c r="E15199" s="211"/>
      <c r="U15199" s="222"/>
    </row>
    <row r="15200" spans="2:21" x14ac:dyDescent="0.2">
      <c r="B15200" s="207"/>
      <c r="C15200" s="210"/>
      <c r="D15200" s="211"/>
      <c r="E15200" s="211"/>
      <c r="U15200" s="222"/>
    </row>
    <row r="15201" spans="2:21" x14ac:dyDescent="0.2">
      <c r="B15201" s="207"/>
      <c r="C15201" s="210"/>
      <c r="D15201" s="211"/>
      <c r="E15201" s="211"/>
      <c r="U15201" s="222"/>
    </row>
    <row r="15202" spans="2:21" x14ac:dyDescent="0.2">
      <c r="B15202" s="207"/>
      <c r="C15202" s="210"/>
      <c r="D15202" s="211"/>
      <c r="E15202" s="211"/>
      <c r="U15202" s="222"/>
    </row>
    <row r="15203" spans="2:21" x14ac:dyDescent="0.2">
      <c r="B15203" s="207"/>
      <c r="C15203" s="210"/>
      <c r="D15203" s="211"/>
      <c r="E15203" s="211"/>
      <c r="U15203" s="222"/>
    </row>
    <row r="15204" spans="2:21" x14ac:dyDescent="0.2">
      <c r="B15204" s="207"/>
      <c r="C15204" s="210"/>
      <c r="D15204" s="211"/>
      <c r="E15204" s="211"/>
      <c r="U15204" s="222"/>
    </row>
    <row r="15205" spans="2:21" x14ac:dyDescent="0.2">
      <c r="B15205" s="207"/>
      <c r="C15205" s="210"/>
      <c r="D15205" s="211"/>
      <c r="E15205" s="211"/>
      <c r="U15205" s="222"/>
    </row>
    <row r="15206" spans="2:21" x14ac:dyDescent="0.2">
      <c r="B15206" s="207"/>
      <c r="C15206" s="210"/>
      <c r="D15206" s="211"/>
      <c r="E15206" s="211"/>
      <c r="U15206" s="222"/>
    </row>
    <row r="15207" spans="2:21" x14ac:dyDescent="0.2">
      <c r="B15207" s="207"/>
      <c r="C15207" s="210"/>
      <c r="D15207" s="211"/>
      <c r="E15207" s="211"/>
      <c r="U15207" s="222"/>
    </row>
    <row r="15208" spans="2:21" x14ac:dyDescent="0.2">
      <c r="B15208" s="207"/>
      <c r="C15208" s="210"/>
      <c r="D15208" s="211"/>
      <c r="E15208" s="211"/>
      <c r="U15208" s="222"/>
    </row>
    <row r="15209" spans="2:21" x14ac:dyDescent="0.2">
      <c r="B15209" s="207"/>
      <c r="C15209" s="210"/>
      <c r="D15209" s="211"/>
      <c r="E15209" s="211"/>
      <c r="U15209" s="222"/>
    </row>
    <row r="15210" spans="2:21" x14ac:dyDescent="0.2">
      <c r="B15210" s="207"/>
      <c r="C15210" s="210"/>
      <c r="D15210" s="211"/>
      <c r="E15210" s="211"/>
      <c r="U15210" s="222"/>
    </row>
    <row r="15211" spans="2:21" x14ac:dyDescent="0.2">
      <c r="B15211" s="207"/>
      <c r="C15211" s="210"/>
      <c r="D15211" s="211"/>
      <c r="E15211" s="211"/>
      <c r="U15211" s="222"/>
    </row>
    <row r="15212" spans="2:21" x14ac:dyDescent="0.2">
      <c r="B15212" s="207"/>
      <c r="C15212" s="210"/>
      <c r="D15212" s="211"/>
      <c r="E15212" s="211"/>
      <c r="U15212" s="222"/>
    </row>
    <row r="15213" spans="2:21" x14ac:dyDescent="0.2">
      <c r="B15213" s="207"/>
      <c r="C15213" s="210"/>
      <c r="D15213" s="211"/>
      <c r="E15213" s="211"/>
      <c r="U15213" s="222"/>
    </row>
    <row r="15214" spans="2:21" x14ac:dyDescent="0.2">
      <c r="B15214" s="207"/>
      <c r="C15214" s="210"/>
      <c r="D15214" s="211"/>
      <c r="E15214" s="211"/>
      <c r="U15214" s="222"/>
    </row>
    <row r="15215" spans="2:21" x14ac:dyDescent="0.2">
      <c r="B15215" s="207"/>
      <c r="C15215" s="210"/>
      <c r="D15215" s="211"/>
      <c r="E15215" s="211"/>
      <c r="U15215" s="222"/>
    </row>
    <row r="15216" spans="2:21" x14ac:dyDescent="0.2">
      <c r="B15216" s="207"/>
      <c r="C15216" s="210"/>
      <c r="D15216" s="211"/>
      <c r="E15216" s="211"/>
      <c r="U15216" s="222"/>
    </row>
    <row r="15217" spans="2:21" x14ac:dyDescent="0.2">
      <c r="B15217" s="207"/>
      <c r="C15217" s="210"/>
      <c r="D15217" s="211"/>
      <c r="E15217" s="211"/>
      <c r="U15217" s="222"/>
    </row>
    <row r="15218" spans="2:21" x14ac:dyDescent="0.2">
      <c r="B15218" s="207"/>
      <c r="C15218" s="210"/>
      <c r="D15218" s="211"/>
      <c r="E15218" s="211"/>
      <c r="U15218" s="222"/>
    </row>
    <row r="15219" spans="2:21" x14ac:dyDescent="0.2">
      <c r="B15219" s="207"/>
      <c r="C15219" s="210"/>
      <c r="D15219" s="211"/>
      <c r="E15219" s="211"/>
      <c r="U15219" s="222"/>
    </row>
    <row r="15220" spans="2:21" x14ac:dyDescent="0.2">
      <c r="B15220" s="207"/>
      <c r="C15220" s="210"/>
      <c r="D15220" s="211"/>
      <c r="E15220" s="211"/>
      <c r="U15220" s="222"/>
    </row>
    <row r="15221" spans="2:21" x14ac:dyDescent="0.2">
      <c r="B15221" s="207"/>
      <c r="C15221" s="210"/>
      <c r="D15221" s="211"/>
      <c r="E15221" s="211"/>
      <c r="U15221" s="222"/>
    </row>
    <row r="15222" spans="2:21" x14ac:dyDescent="0.2">
      <c r="B15222" s="207"/>
      <c r="C15222" s="210"/>
      <c r="D15222" s="211"/>
      <c r="E15222" s="211"/>
      <c r="U15222" s="222"/>
    </row>
    <row r="15223" spans="2:21" x14ac:dyDescent="0.2">
      <c r="B15223" s="207"/>
      <c r="C15223" s="210"/>
      <c r="D15223" s="211"/>
      <c r="E15223" s="211"/>
      <c r="U15223" s="222"/>
    </row>
    <row r="15224" spans="2:21" x14ac:dyDescent="0.2">
      <c r="B15224" s="207"/>
      <c r="C15224" s="210"/>
      <c r="D15224" s="211"/>
      <c r="E15224" s="211"/>
      <c r="U15224" s="222"/>
    </row>
    <row r="15225" spans="2:21" x14ac:dyDescent="0.2">
      <c r="B15225" s="207"/>
      <c r="C15225" s="210"/>
      <c r="D15225" s="211"/>
      <c r="E15225" s="211"/>
      <c r="U15225" s="222"/>
    </row>
    <row r="15226" spans="2:21" x14ac:dyDescent="0.2">
      <c r="B15226" s="207"/>
      <c r="C15226" s="210"/>
      <c r="D15226" s="211"/>
      <c r="E15226" s="211"/>
      <c r="U15226" s="222"/>
    </row>
    <row r="15227" spans="2:21" x14ac:dyDescent="0.2">
      <c r="B15227" s="207"/>
      <c r="C15227" s="210"/>
      <c r="D15227" s="211"/>
      <c r="E15227" s="211"/>
      <c r="U15227" s="222"/>
    </row>
    <row r="15228" spans="2:21" x14ac:dyDescent="0.2">
      <c r="B15228" s="207"/>
      <c r="C15228" s="210"/>
      <c r="D15228" s="211"/>
      <c r="E15228" s="211"/>
      <c r="U15228" s="222"/>
    </row>
    <row r="15229" spans="2:21" x14ac:dyDescent="0.2">
      <c r="B15229" s="207"/>
      <c r="C15229" s="210"/>
      <c r="D15229" s="211"/>
      <c r="E15229" s="211"/>
      <c r="U15229" s="222"/>
    </row>
    <row r="15230" spans="2:21" x14ac:dyDescent="0.2">
      <c r="B15230" s="207"/>
      <c r="C15230" s="210"/>
      <c r="D15230" s="211"/>
      <c r="E15230" s="211"/>
      <c r="U15230" s="222"/>
    </row>
    <row r="15231" spans="2:21" x14ac:dyDescent="0.2">
      <c r="B15231" s="207"/>
      <c r="C15231" s="210"/>
      <c r="D15231" s="211"/>
      <c r="E15231" s="211"/>
      <c r="U15231" s="222"/>
    </row>
    <row r="15232" spans="2:21" x14ac:dyDescent="0.2">
      <c r="B15232" s="207"/>
      <c r="C15232" s="210"/>
      <c r="D15232" s="211"/>
      <c r="E15232" s="211"/>
      <c r="U15232" s="222"/>
    </row>
    <row r="15233" spans="2:21" x14ac:dyDescent="0.2">
      <c r="B15233" s="207"/>
      <c r="C15233" s="210"/>
      <c r="D15233" s="211"/>
      <c r="E15233" s="211"/>
      <c r="U15233" s="222"/>
    </row>
    <row r="15234" spans="2:21" x14ac:dyDescent="0.2">
      <c r="B15234" s="207"/>
      <c r="C15234" s="210"/>
      <c r="D15234" s="211"/>
      <c r="E15234" s="211"/>
      <c r="U15234" s="222"/>
    </row>
    <row r="15235" spans="2:21" x14ac:dyDescent="0.2">
      <c r="B15235" s="207"/>
      <c r="C15235" s="210"/>
      <c r="D15235" s="211"/>
      <c r="E15235" s="211"/>
      <c r="U15235" s="222"/>
    </row>
    <row r="15236" spans="2:21" x14ac:dyDescent="0.2">
      <c r="B15236" s="207"/>
      <c r="C15236" s="210"/>
      <c r="D15236" s="211"/>
      <c r="E15236" s="211"/>
      <c r="U15236" s="222"/>
    </row>
    <row r="15237" spans="2:21" x14ac:dyDescent="0.2">
      <c r="B15237" s="207"/>
      <c r="C15237" s="210"/>
      <c r="D15237" s="211"/>
      <c r="E15237" s="211"/>
      <c r="U15237" s="222"/>
    </row>
    <row r="15238" spans="2:21" x14ac:dyDescent="0.2">
      <c r="B15238" s="207"/>
      <c r="C15238" s="210"/>
      <c r="D15238" s="211"/>
      <c r="E15238" s="211"/>
      <c r="U15238" s="222"/>
    </row>
    <row r="15239" spans="2:21" x14ac:dyDescent="0.2">
      <c r="B15239" s="207"/>
      <c r="C15239" s="210"/>
      <c r="D15239" s="211"/>
      <c r="E15239" s="211"/>
      <c r="U15239" s="222"/>
    </row>
    <row r="15240" spans="2:21" x14ac:dyDescent="0.2">
      <c r="B15240" s="207"/>
      <c r="C15240" s="210"/>
      <c r="D15240" s="211"/>
      <c r="E15240" s="211"/>
      <c r="U15240" s="222"/>
    </row>
    <row r="15241" spans="2:21" x14ac:dyDescent="0.2">
      <c r="B15241" s="207"/>
      <c r="C15241" s="210"/>
      <c r="D15241" s="211"/>
      <c r="E15241" s="211"/>
      <c r="U15241" s="222"/>
    </row>
    <row r="15242" spans="2:21" x14ac:dyDescent="0.2">
      <c r="B15242" s="207"/>
      <c r="C15242" s="210"/>
      <c r="D15242" s="211"/>
      <c r="E15242" s="211"/>
      <c r="U15242" s="222"/>
    </row>
    <row r="15243" spans="2:21" x14ac:dyDescent="0.2">
      <c r="B15243" s="207"/>
      <c r="C15243" s="210"/>
      <c r="D15243" s="211"/>
      <c r="E15243" s="211"/>
      <c r="U15243" s="222"/>
    </row>
    <row r="15244" spans="2:21" x14ac:dyDescent="0.2">
      <c r="B15244" s="207"/>
      <c r="C15244" s="210"/>
      <c r="D15244" s="211"/>
      <c r="E15244" s="211"/>
      <c r="U15244" s="222"/>
    </row>
    <row r="15245" spans="2:21" x14ac:dyDescent="0.2">
      <c r="B15245" s="207"/>
      <c r="C15245" s="210"/>
      <c r="D15245" s="211"/>
      <c r="E15245" s="211"/>
      <c r="U15245" s="222"/>
    </row>
    <row r="15246" spans="2:21" x14ac:dyDescent="0.2">
      <c r="B15246" s="207"/>
      <c r="C15246" s="210"/>
      <c r="D15246" s="211"/>
      <c r="E15246" s="211"/>
      <c r="U15246" s="222"/>
    </row>
    <row r="15247" spans="2:21" x14ac:dyDescent="0.2">
      <c r="B15247" s="207"/>
      <c r="C15247" s="210"/>
      <c r="D15247" s="211"/>
      <c r="E15247" s="211"/>
      <c r="U15247" s="222"/>
    </row>
    <row r="15248" spans="2:21" x14ac:dyDescent="0.2">
      <c r="B15248" s="207"/>
      <c r="C15248" s="210"/>
      <c r="D15248" s="211"/>
      <c r="E15248" s="211"/>
      <c r="U15248" s="222"/>
    </row>
    <row r="15249" spans="2:21" x14ac:dyDescent="0.2">
      <c r="B15249" s="207"/>
      <c r="C15249" s="210"/>
      <c r="D15249" s="211"/>
      <c r="E15249" s="211"/>
      <c r="U15249" s="222"/>
    </row>
    <row r="15250" spans="2:21" x14ac:dyDescent="0.2">
      <c r="B15250" s="207"/>
      <c r="C15250" s="210"/>
      <c r="D15250" s="211"/>
      <c r="E15250" s="211"/>
      <c r="U15250" s="222"/>
    </row>
    <row r="15251" spans="2:21" x14ac:dyDescent="0.2">
      <c r="B15251" s="207"/>
      <c r="C15251" s="210"/>
      <c r="D15251" s="211"/>
      <c r="E15251" s="211"/>
      <c r="U15251" s="222"/>
    </row>
    <row r="15252" spans="2:21" x14ac:dyDescent="0.2">
      <c r="B15252" s="207"/>
      <c r="C15252" s="210"/>
      <c r="D15252" s="211"/>
      <c r="E15252" s="211"/>
      <c r="U15252" s="222"/>
    </row>
    <row r="15253" spans="2:21" x14ac:dyDescent="0.2">
      <c r="B15253" s="207"/>
      <c r="C15253" s="210"/>
      <c r="D15253" s="211"/>
      <c r="E15253" s="211"/>
      <c r="U15253" s="222"/>
    </row>
    <row r="15254" spans="2:21" x14ac:dyDescent="0.2">
      <c r="B15254" s="207"/>
      <c r="C15254" s="210"/>
      <c r="D15254" s="211"/>
      <c r="E15254" s="211"/>
      <c r="U15254" s="222"/>
    </row>
    <row r="15255" spans="2:21" x14ac:dyDescent="0.2">
      <c r="B15255" s="207"/>
      <c r="C15255" s="210"/>
      <c r="D15255" s="211"/>
      <c r="E15255" s="211"/>
      <c r="U15255" s="222"/>
    </row>
    <row r="15256" spans="2:21" x14ac:dyDescent="0.2">
      <c r="B15256" s="207"/>
      <c r="C15256" s="210"/>
      <c r="D15256" s="211"/>
      <c r="E15256" s="211"/>
      <c r="U15256" s="222"/>
    </row>
    <row r="15257" spans="2:21" x14ac:dyDescent="0.2">
      <c r="B15257" s="207"/>
      <c r="C15257" s="210"/>
      <c r="D15257" s="211"/>
      <c r="E15257" s="211"/>
      <c r="U15257" s="222"/>
    </row>
    <row r="15258" spans="2:21" x14ac:dyDescent="0.2">
      <c r="B15258" s="207"/>
      <c r="C15258" s="210"/>
      <c r="D15258" s="211"/>
      <c r="E15258" s="211"/>
      <c r="U15258" s="222"/>
    </row>
    <row r="15259" spans="2:21" x14ac:dyDescent="0.2">
      <c r="B15259" s="207"/>
      <c r="C15259" s="210"/>
      <c r="D15259" s="211"/>
      <c r="E15259" s="211"/>
      <c r="U15259" s="222"/>
    </row>
    <row r="15260" spans="2:21" x14ac:dyDescent="0.2">
      <c r="B15260" s="207"/>
      <c r="C15260" s="210"/>
      <c r="D15260" s="211"/>
      <c r="E15260" s="211"/>
      <c r="U15260" s="222"/>
    </row>
    <row r="15261" spans="2:21" x14ac:dyDescent="0.2">
      <c r="B15261" s="207"/>
      <c r="C15261" s="210"/>
      <c r="D15261" s="211"/>
      <c r="E15261" s="211"/>
      <c r="U15261" s="222"/>
    </row>
    <row r="15262" spans="2:21" x14ac:dyDescent="0.2">
      <c r="B15262" s="207"/>
      <c r="C15262" s="210"/>
      <c r="D15262" s="211"/>
      <c r="E15262" s="211"/>
      <c r="U15262" s="222"/>
    </row>
    <row r="15263" spans="2:21" x14ac:dyDescent="0.2">
      <c r="B15263" s="207"/>
      <c r="C15263" s="210"/>
      <c r="D15263" s="211"/>
      <c r="E15263" s="211"/>
      <c r="U15263" s="222"/>
    </row>
    <row r="15264" spans="2:21" x14ac:dyDescent="0.2">
      <c r="B15264" s="207"/>
      <c r="C15264" s="210"/>
      <c r="D15264" s="211"/>
      <c r="E15264" s="211"/>
      <c r="U15264" s="222"/>
    </row>
    <row r="15265" spans="2:21" x14ac:dyDescent="0.2">
      <c r="B15265" s="207"/>
      <c r="C15265" s="210"/>
      <c r="D15265" s="211"/>
      <c r="E15265" s="211"/>
      <c r="U15265" s="222"/>
    </row>
    <row r="15266" spans="2:21" x14ac:dyDescent="0.2">
      <c r="B15266" s="207"/>
      <c r="C15266" s="210"/>
      <c r="D15266" s="211"/>
      <c r="E15266" s="211"/>
      <c r="U15266" s="222"/>
    </row>
    <row r="15267" spans="2:21" x14ac:dyDescent="0.2">
      <c r="B15267" s="207"/>
      <c r="C15267" s="210"/>
      <c r="D15267" s="211"/>
      <c r="E15267" s="211"/>
      <c r="U15267" s="222"/>
    </row>
    <row r="15268" spans="2:21" x14ac:dyDescent="0.2">
      <c r="B15268" s="207"/>
      <c r="C15268" s="210"/>
      <c r="D15268" s="211"/>
      <c r="E15268" s="211"/>
      <c r="U15268" s="222"/>
    </row>
    <row r="15269" spans="2:21" x14ac:dyDescent="0.2">
      <c r="B15269" s="207"/>
      <c r="C15269" s="210"/>
      <c r="D15269" s="211"/>
      <c r="E15269" s="211"/>
      <c r="U15269" s="222"/>
    </row>
    <row r="15270" spans="2:21" x14ac:dyDescent="0.2">
      <c r="B15270" s="207"/>
      <c r="C15270" s="210"/>
      <c r="D15270" s="211"/>
      <c r="E15270" s="211"/>
      <c r="U15270" s="222"/>
    </row>
    <row r="15271" spans="2:21" x14ac:dyDescent="0.2">
      <c r="B15271" s="207"/>
      <c r="C15271" s="210"/>
      <c r="D15271" s="211"/>
      <c r="E15271" s="211"/>
      <c r="U15271" s="222"/>
    </row>
    <row r="15272" spans="2:21" x14ac:dyDescent="0.2">
      <c r="B15272" s="207"/>
      <c r="C15272" s="210"/>
      <c r="D15272" s="211"/>
      <c r="E15272" s="211"/>
      <c r="U15272" s="222"/>
    </row>
    <row r="15273" spans="2:21" x14ac:dyDescent="0.2">
      <c r="B15273" s="207"/>
      <c r="C15273" s="210"/>
      <c r="D15273" s="211"/>
      <c r="E15273" s="211"/>
      <c r="U15273" s="222"/>
    </row>
    <row r="15274" spans="2:21" x14ac:dyDescent="0.2">
      <c r="B15274" s="207"/>
      <c r="C15274" s="210"/>
      <c r="D15274" s="211"/>
      <c r="E15274" s="211"/>
      <c r="U15274" s="222"/>
    </row>
    <row r="15275" spans="2:21" x14ac:dyDescent="0.2">
      <c r="B15275" s="207"/>
      <c r="C15275" s="210"/>
      <c r="D15275" s="211"/>
      <c r="E15275" s="211"/>
      <c r="U15275" s="222"/>
    </row>
    <row r="15276" spans="2:21" x14ac:dyDescent="0.2">
      <c r="B15276" s="207"/>
      <c r="C15276" s="210"/>
      <c r="D15276" s="211"/>
      <c r="E15276" s="211"/>
      <c r="U15276" s="222"/>
    </row>
    <row r="15277" spans="2:21" x14ac:dyDescent="0.2">
      <c r="B15277" s="207"/>
      <c r="C15277" s="210"/>
      <c r="D15277" s="211"/>
      <c r="E15277" s="211"/>
      <c r="U15277" s="222"/>
    </row>
    <row r="15278" spans="2:21" x14ac:dyDescent="0.2">
      <c r="B15278" s="207"/>
      <c r="C15278" s="210"/>
      <c r="D15278" s="211"/>
      <c r="E15278" s="211"/>
      <c r="U15278" s="222"/>
    </row>
    <row r="15279" spans="2:21" x14ac:dyDescent="0.2">
      <c r="B15279" s="207"/>
      <c r="C15279" s="210"/>
      <c r="D15279" s="211"/>
      <c r="E15279" s="211"/>
      <c r="U15279" s="222"/>
    </row>
    <row r="15280" spans="2:21" x14ac:dyDescent="0.2">
      <c r="B15280" s="207"/>
      <c r="C15280" s="210"/>
      <c r="D15280" s="211"/>
      <c r="E15280" s="211"/>
      <c r="U15280" s="222"/>
    </row>
    <row r="15281" spans="2:21" x14ac:dyDescent="0.2">
      <c r="B15281" s="207"/>
      <c r="C15281" s="210"/>
      <c r="D15281" s="211"/>
      <c r="E15281" s="211"/>
      <c r="U15281" s="222"/>
    </row>
    <row r="15282" spans="2:21" x14ac:dyDescent="0.2">
      <c r="B15282" s="207"/>
      <c r="C15282" s="210"/>
      <c r="D15282" s="211"/>
      <c r="E15282" s="211"/>
      <c r="U15282" s="222"/>
    </row>
    <row r="15283" spans="2:21" x14ac:dyDescent="0.2">
      <c r="B15283" s="207"/>
      <c r="C15283" s="210"/>
      <c r="D15283" s="211"/>
      <c r="E15283" s="211"/>
      <c r="U15283" s="222"/>
    </row>
    <row r="15284" spans="2:21" x14ac:dyDescent="0.2">
      <c r="B15284" s="207"/>
      <c r="C15284" s="210"/>
      <c r="D15284" s="211"/>
      <c r="E15284" s="211"/>
      <c r="U15284" s="222"/>
    </row>
    <row r="15285" spans="2:21" x14ac:dyDescent="0.2">
      <c r="B15285" s="207"/>
      <c r="C15285" s="210"/>
      <c r="D15285" s="211"/>
      <c r="E15285" s="211"/>
      <c r="U15285" s="222"/>
    </row>
    <row r="15286" spans="2:21" x14ac:dyDescent="0.2">
      <c r="B15286" s="207"/>
      <c r="C15286" s="210"/>
      <c r="D15286" s="211"/>
      <c r="E15286" s="211"/>
      <c r="U15286" s="222"/>
    </row>
    <row r="15287" spans="2:21" x14ac:dyDescent="0.2">
      <c r="B15287" s="207"/>
      <c r="C15287" s="210"/>
      <c r="D15287" s="211"/>
      <c r="E15287" s="211"/>
      <c r="U15287" s="222"/>
    </row>
    <row r="15288" spans="2:21" x14ac:dyDescent="0.2">
      <c r="B15288" s="207"/>
      <c r="C15288" s="210"/>
      <c r="D15288" s="211"/>
      <c r="E15288" s="211"/>
      <c r="U15288" s="222"/>
    </row>
    <row r="15289" spans="2:21" x14ac:dyDescent="0.2">
      <c r="B15289" s="207"/>
      <c r="C15289" s="210"/>
      <c r="D15289" s="211"/>
      <c r="E15289" s="211"/>
      <c r="U15289" s="222"/>
    </row>
    <row r="15290" spans="2:21" x14ac:dyDescent="0.2">
      <c r="B15290" s="207"/>
      <c r="C15290" s="210"/>
      <c r="D15290" s="211"/>
      <c r="E15290" s="211"/>
      <c r="U15290" s="222"/>
    </row>
    <row r="15291" spans="2:21" x14ac:dyDescent="0.2">
      <c r="B15291" s="207"/>
      <c r="C15291" s="210"/>
      <c r="D15291" s="211"/>
      <c r="E15291" s="211"/>
      <c r="U15291" s="222"/>
    </row>
    <row r="15292" spans="2:21" x14ac:dyDescent="0.2">
      <c r="B15292" s="207"/>
      <c r="C15292" s="210"/>
      <c r="D15292" s="211"/>
      <c r="E15292" s="211"/>
      <c r="U15292" s="222"/>
    </row>
    <row r="15293" spans="2:21" x14ac:dyDescent="0.2">
      <c r="B15293" s="207"/>
      <c r="C15293" s="210"/>
      <c r="D15293" s="211"/>
      <c r="E15293" s="211"/>
      <c r="U15293" s="222"/>
    </row>
    <row r="15294" spans="2:21" x14ac:dyDescent="0.2">
      <c r="B15294" s="207"/>
      <c r="C15294" s="210"/>
      <c r="D15294" s="211"/>
      <c r="E15294" s="211"/>
      <c r="U15294" s="222"/>
    </row>
    <row r="15295" spans="2:21" x14ac:dyDescent="0.2">
      <c r="B15295" s="207"/>
      <c r="C15295" s="210"/>
      <c r="D15295" s="211"/>
      <c r="E15295" s="211"/>
      <c r="U15295" s="222"/>
    </row>
    <row r="15296" spans="2:21" x14ac:dyDescent="0.2">
      <c r="B15296" s="207"/>
      <c r="C15296" s="210"/>
      <c r="D15296" s="211"/>
      <c r="E15296" s="211"/>
      <c r="U15296" s="222"/>
    </row>
    <row r="15297" spans="2:21" x14ac:dyDescent="0.2">
      <c r="B15297" s="207"/>
      <c r="C15297" s="210"/>
      <c r="D15297" s="211"/>
      <c r="E15297" s="211"/>
      <c r="U15297" s="222"/>
    </row>
    <row r="15298" spans="2:21" x14ac:dyDescent="0.2">
      <c r="B15298" s="207"/>
      <c r="C15298" s="210"/>
      <c r="D15298" s="211"/>
      <c r="E15298" s="211"/>
      <c r="U15298" s="222"/>
    </row>
    <row r="15299" spans="2:21" x14ac:dyDescent="0.2">
      <c r="B15299" s="207"/>
      <c r="C15299" s="210"/>
      <c r="D15299" s="211"/>
      <c r="E15299" s="211"/>
      <c r="U15299" s="222"/>
    </row>
    <row r="15300" spans="2:21" x14ac:dyDescent="0.2">
      <c r="B15300" s="207"/>
      <c r="C15300" s="210"/>
      <c r="D15300" s="211"/>
      <c r="E15300" s="211"/>
      <c r="U15300" s="222"/>
    </row>
    <row r="15301" spans="2:21" x14ac:dyDescent="0.2">
      <c r="B15301" s="207"/>
      <c r="C15301" s="210"/>
      <c r="D15301" s="211"/>
      <c r="E15301" s="211"/>
      <c r="U15301" s="222"/>
    </row>
    <row r="15302" spans="2:21" x14ac:dyDescent="0.2">
      <c r="B15302" s="207"/>
      <c r="C15302" s="210"/>
      <c r="D15302" s="211"/>
      <c r="E15302" s="211"/>
      <c r="U15302" s="222"/>
    </row>
    <row r="15303" spans="2:21" x14ac:dyDescent="0.2">
      <c r="B15303" s="207"/>
      <c r="C15303" s="210"/>
      <c r="D15303" s="211"/>
      <c r="E15303" s="211"/>
      <c r="U15303" s="222"/>
    </row>
    <row r="15304" spans="2:21" x14ac:dyDescent="0.2">
      <c r="B15304" s="207"/>
      <c r="C15304" s="210"/>
      <c r="D15304" s="211"/>
      <c r="E15304" s="211"/>
      <c r="U15304" s="222"/>
    </row>
    <row r="15305" spans="2:21" x14ac:dyDescent="0.2">
      <c r="B15305" s="207"/>
      <c r="C15305" s="210"/>
      <c r="D15305" s="211"/>
      <c r="E15305" s="211"/>
      <c r="U15305" s="222"/>
    </row>
    <row r="15306" spans="2:21" x14ac:dyDescent="0.2">
      <c r="B15306" s="207"/>
      <c r="C15306" s="210"/>
      <c r="D15306" s="211"/>
      <c r="E15306" s="211"/>
      <c r="U15306" s="222"/>
    </row>
    <row r="15307" spans="2:21" x14ac:dyDescent="0.2">
      <c r="B15307" s="207"/>
      <c r="C15307" s="210"/>
      <c r="D15307" s="211"/>
      <c r="E15307" s="211"/>
      <c r="U15307" s="222"/>
    </row>
    <row r="15308" spans="2:21" x14ac:dyDescent="0.2">
      <c r="B15308" s="207"/>
      <c r="C15308" s="210"/>
      <c r="D15308" s="211"/>
      <c r="E15308" s="211"/>
      <c r="U15308" s="222"/>
    </row>
    <row r="15309" spans="2:21" x14ac:dyDescent="0.2">
      <c r="B15309" s="207"/>
      <c r="C15309" s="210"/>
      <c r="D15309" s="211"/>
      <c r="E15309" s="211"/>
      <c r="U15309" s="222"/>
    </row>
    <row r="15310" spans="2:21" x14ac:dyDescent="0.2">
      <c r="B15310" s="207"/>
      <c r="C15310" s="210"/>
      <c r="D15310" s="211"/>
      <c r="E15310" s="211"/>
      <c r="U15310" s="222"/>
    </row>
    <row r="15311" spans="2:21" x14ac:dyDescent="0.2">
      <c r="B15311" s="207"/>
      <c r="C15311" s="210"/>
      <c r="D15311" s="211"/>
      <c r="E15311" s="211"/>
      <c r="U15311" s="222"/>
    </row>
    <row r="15312" spans="2:21" x14ac:dyDescent="0.2">
      <c r="B15312" s="207"/>
      <c r="C15312" s="210"/>
      <c r="D15312" s="211"/>
      <c r="E15312" s="211"/>
      <c r="U15312" s="222"/>
    </row>
    <row r="15313" spans="2:21" x14ac:dyDescent="0.2">
      <c r="B15313" s="207"/>
      <c r="C15313" s="210"/>
      <c r="D15313" s="211"/>
      <c r="E15313" s="211"/>
      <c r="U15313" s="222"/>
    </row>
    <row r="15314" spans="2:21" x14ac:dyDescent="0.2">
      <c r="B15314" s="207"/>
      <c r="C15314" s="210"/>
      <c r="D15314" s="211"/>
      <c r="E15314" s="211"/>
      <c r="U15314" s="222"/>
    </row>
    <row r="15315" spans="2:21" x14ac:dyDescent="0.2">
      <c r="B15315" s="207"/>
      <c r="C15315" s="210"/>
      <c r="D15315" s="211"/>
      <c r="E15315" s="211"/>
      <c r="U15315" s="222"/>
    </row>
    <row r="15316" spans="2:21" x14ac:dyDescent="0.2">
      <c r="B15316" s="207"/>
      <c r="C15316" s="210"/>
      <c r="D15316" s="211"/>
      <c r="E15316" s="211"/>
      <c r="U15316" s="222"/>
    </row>
    <row r="15317" spans="2:21" x14ac:dyDescent="0.2">
      <c r="B15317" s="207"/>
      <c r="C15317" s="210"/>
      <c r="D15317" s="211"/>
      <c r="E15317" s="211"/>
      <c r="U15317" s="222"/>
    </row>
    <row r="15318" spans="2:21" x14ac:dyDescent="0.2">
      <c r="B15318" s="207"/>
      <c r="C15318" s="210"/>
      <c r="D15318" s="211"/>
      <c r="E15318" s="211"/>
      <c r="U15318" s="222"/>
    </row>
    <row r="15319" spans="2:21" x14ac:dyDescent="0.2">
      <c r="B15319" s="207"/>
      <c r="C15319" s="210"/>
      <c r="D15319" s="211"/>
      <c r="E15319" s="211"/>
      <c r="U15319" s="222"/>
    </row>
    <row r="15320" spans="2:21" x14ac:dyDescent="0.2">
      <c r="B15320" s="207"/>
      <c r="C15320" s="210"/>
      <c r="D15320" s="211"/>
      <c r="E15320" s="211"/>
      <c r="U15320" s="222"/>
    </row>
    <row r="15321" spans="2:21" x14ac:dyDescent="0.2">
      <c r="B15321" s="207"/>
      <c r="C15321" s="210"/>
      <c r="D15321" s="211"/>
      <c r="E15321" s="211"/>
      <c r="U15321" s="222"/>
    </row>
    <row r="15322" spans="2:21" x14ac:dyDescent="0.2">
      <c r="B15322" s="207"/>
      <c r="C15322" s="210"/>
      <c r="D15322" s="211"/>
      <c r="E15322" s="211"/>
      <c r="U15322" s="222"/>
    </row>
    <row r="15323" spans="2:21" x14ac:dyDescent="0.2">
      <c r="B15323" s="207"/>
      <c r="C15323" s="210"/>
      <c r="D15323" s="211"/>
      <c r="E15323" s="211"/>
      <c r="U15323" s="222"/>
    </row>
    <row r="15324" spans="2:21" x14ac:dyDescent="0.2">
      <c r="B15324" s="207"/>
      <c r="C15324" s="210"/>
      <c r="D15324" s="211"/>
      <c r="E15324" s="211"/>
      <c r="U15324" s="222"/>
    </row>
    <row r="15325" spans="2:21" x14ac:dyDescent="0.2">
      <c r="B15325" s="207"/>
      <c r="C15325" s="210"/>
      <c r="D15325" s="211"/>
      <c r="E15325" s="211"/>
      <c r="U15325" s="222"/>
    </row>
    <row r="15326" spans="2:21" x14ac:dyDescent="0.2">
      <c r="B15326" s="207"/>
      <c r="C15326" s="210"/>
      <c r="D15326" s="211"/>
      <c r="E15326" s="211"/>
      <c r="U15326" s="222"/>
    </row>
    <row r="15327" spans="2:21" x14ac:dyDescent="0.2">
      <c r="B15327" s="207"/>
      <c r="C15327" s="210"/>
      <c r="D15327" s="211"/>
      <c r="E15327" s="211"/>
      <c r="U15327" s="222"/>
    </row>
    <row r="15328" spans="2:21" x14ac:dyDescent="0.2">
      <c r="B15328" s="207"/>
      <c r="C15328" s="210"/>
      <c r="D15328" s="211"/>
      <c r="E15328" s="211"/>
      <c r="U15328" s="222"/>
    </row>
    <row r="15329" spans="2:21" x14ac:dyDescent="0.2">
      <c r="B15329" s="207"/>
      <c r="C15329" s="210"/>
      <c r="D15329" s="211"/>
      <c r="E15329" s="211"/>
      <c r="U15329" s="222"/>
    </row>
    <row r="15330" spans="2:21" x14ac:dyDescent="0.2">
      <c r="B15330" s="207"/>
      <c r="C15330" s="210"/>
      <c r="D15330" s="211"/>
      <c r="E15330" s="211"/>
      <c r="U15330" s="222"/>
    </row>
    <row r="15331" spans="2:21" x14ac:dyDescent="0.2">
      <c r="B15331" s="207"/>
      <c r="C15331" s="210"/>
      <c r="D15331" s="211"/>
      <c r="E15331" s="211"/>
      <c r="U15331" s="222"/>
    </row>
    <row r="15332" spans="2:21" x14ac:dyDescent="0.2">
      <c r="B15332" s="207"/>
      <c r="C15332" s="210"/>
      <c r="D15332" s="211"/>
      <c r="E15332" s="211"/>
      <c r="U15332" s="222"/>
    </row>
    <row r="15333" spans="2:21" x14ac:dyDescent="0.2">
      <c r="B15333" s="207"/>
      <c r="C15333" s="210"/>
      <c r="D15333" s="211"/>
      <c r="E15333" s="211"/>
      <c r="U15333" s="222"/>
    </row>
    <row r="15334" spans="2:21" x14ac:dyDescent="0.2">
      <c r="B15334" s="207"/>
      <c r="C15334" s="210"/>
      <c r="D15334" s="211"/>
      <c r="E15334" s="211"/>
      <c r="U15334" s="222"/>
    </row>
    <row r="15335" spans="2:21" x14ac:dyDescent="0.2">
      <c r="B15335" s="207"/>
      <c r="C15335" s="210"/>
      <c r="D15335" s="211"/>
      <c r="E15335" s="211"/>
      <c r="U15335" s="222"/>
    </row>
    <row r="15336" spans="2:21" x14ac:dyDescent="0.2">
      <c r="B15336" s="207"/>
      <c r="C15336" s="210"/>
      <c r="D15336" s="211"/>
      <c r="E15336" s="211"/>
      <c r="U15336" s="222"/>
    </row>
    <row r="15337" spans="2:21" x14ac:dyDescent="0.2">
      <c r="B15337" s="207"/>
      <c r="C15337" s="210"/>
      <c r="D15337" s="211"/>
      <c r="E15337" s="211"/>
      <c r="U15337" s="222"/>
    </row>
    <row r="15338" spans="2:21" x14ac:dyDescent="0.2">
      <c r="B15338" s="207"/>
      <c r="C15338" s="210"/>
      <c r="D15338" s="211"/>
      <c r="E15338" s="211"/>
      <c r="U15338" s="222"/>
    </row>
    <row r="15339" spans="2:21" x14ac:dyDescent="0.2">
      <c r="B15339" s="207"/>
      <c r="C15339" s="210"/>
      <c r="D15339" s="211"/>
      <c r="E15339" s="211"/>
      <c r="U15339" s="222"/>
    </row>
    <row r="15340" spans="2:21" x14ac:dyDescent="0.2">
      <c r="B15340" s="207"/>
      <c r="C15340" s="210"/>
      <c r="D15340" s="211"/>
      <c r="E15340" s="211"/>
      <c r="U15340" s="222"/>
    </row>
    <row r="15341" spans="2:21" x14ac:dyDescent="0.2">
      <c r="B15341" s="207"/>
      <c r="C15341" s="210"/>
      <c r="D15341" s="211"/>
      <c r="E15341" s="211"/>
      <c r="U15341" s="222"/>
    </row>
    <row r="15342" spans="2:21" x14ac:dyDescent="0.2">
      <c r="B15342" s="207"/>
      <c r="C15342" s="210"/>
      <c r="D15342" s="211"/>
      <c r="E15342" s="211"/>
      <c r="U15342" s="222"/>
    </row>
    <row r="15343" spans="2:21" x14ac:dyDescent="0.2">
      <c r="B15343" s="207"/>
      <c r="C15343" s="210"/>
      <c r="D15343" s="211"/>
      <c r="E15343" s="211"/>
      <c r="U15343" s="222"/>
    </row>
    <row r="15344" spans="2:21" x14ac:dyDescent="0.2">
      <c r="B15344" s="207"/>
      <c r="C15344" s="210"/>
      <c r="D15344" s="211"/>
      <c r="E15344" s="211"/>
      <c r="U15344" s="222"/>
    </row>
    <row r="15345" spans="2:21" x14ac:dyDescent="0.2">
      <c r="B15345" s="207"/>
      <c r="C15345" s="210"/>
      <c r="D15345" s="211"/>
      <c r="E15345" s="211"/>
      <c r="U15345" s="222"/>
    </row>
    <row r="15346" spans="2:21" x14ac:dyDescent="0.2">
      <c r="B15346" s="207"/>
      <c r="C15346" s="210"/>
      <c r="D15346" s="211"/>
      <c r="E15346" s="211"/>
      <c r="U15346" s="222"/>
    </row>
    <row r="15347" spans="2:21" x14ac:dyDescent="0.2">
      <c r="B15347" s="207"/>
      <c r="C15347" s="210"/>
      <c r="D15347" s="211"/>
      <c r="E15347" s="211"/>
      <c r="U15347" s="222"/>
    </row>
    <row r="15348" spans="2:21" x14ac:dyDescent="0.2">
      <c r="B15348" s="207"/>
      <c r="C15348" s="210"/>
      <c r="D15348" s="211"/>
      <c r="E15348" s="211"/>
      <c r="U15348" s="222"/>
    </row>
    <row r="15349" spans="2:21" x14ac:dyDescent="0.2">
      <c r="B15349" s="207"/>
      <c r="C15349" s="210"/>
      <c r="D15349" s="211"/>
      <c r="E15349" s="211"/>
      <c r="U15349" s="222"/>
    </row>
    <row r="15350" spans="2:21" x14ac:dyDescent="0.2">
      <c r="B15350" s="207"/>
      <c r="C15350" s="210"/>
      <c r="D15350" s="211"/>
      <c r="E15350" s="211"/>
      <c r="U15350" s="222"/>
    </row>
    <row r="15351" spans="2:21" x14ac:dyDescent="0.2">
      <c r="B15351" s="207"/>
      <c r="C15351" s="210"/>
      <c r="D15351" s="211"/>
      <c r="E15351" s="211"/>
      <c r="U15351" s="222"/>
    </row>
    <row r="15352" spans="2:21" x14ac:dyDescent="0.2">
      <c r="B15352" s="207"/>
      <c r="C15352" s="210"/>
      <c r="D15352" s="211"/>
      <c r="E15352" s="211"/>
      <c r="U15352" s="222"/>
    </row>
    <row r="15353" spans="2:21" x14ac:dyDescent="0.2">
      <c r="B15353" s="207"/>
      <c r="C15353" s="210"/>
      <c r="D15353" s="211"/>
      <c r="E15353" s="211"/>
      <c r="U15353" s="222"/>
    </row>
    <row r="15354" spans="2:21" x14ac:dyDescent="0.2">
      <c r="B15354" s="207"/>
      <c r="C15354" s="210"/>
      <c r="D15354" s="211"/>
      <c r="E15354" s="211"/>
      <c r="U15354" s="222"/>
    </row>
    <row r="15355" spans="2:21" x14ac:dyDescent="0.2">
      <c r="B15355" s="207"/>
      <c r="C15355" s="210"/>
      <c r="D15355" s="211"/>
      <c r="E15355" s="211"/>
      <c r="U15355" s="222"/>
    </row>
    <row r="15356" spans="2:21" x14ac:dyDescent="0.2">
      <c r="B15356" s="207"/>
      <c r="C15356" s="210"/>
      <c r="D15356" s="211"/>
      <c r="E15356" s="211"/>
      <c r="U15356" s="222"/>
    </row>
    <row r="15357" spans="2:21" x14ac:dyDescent="0.2">
      <c r="B15357" s="207"/>
      <c r="C15357" s="210"/>
      <c r="D15357" s="211"/>
      <c r="E15357" s="211"/>
      <c r="U15357" s="222"/>
    </row>
    <row r="15358" spans="2:21" x14ac:dyDescent="0.2">
      <c r="B15358" s="207"/>
      <c r="C15358" s="210"/>
      <c r="D15358" s="211"/>
      <c r="E15358" s="211"/>
      <c r="U15358" s="222"/>
    </row>
    <row r="15359" spans="2:21" x14ac:dyDescent="0.2">
      <c r="B15359" s="207"/>
      <c r="C15359" s="210"/>
      <c r="D15359" s="211"/>
      <c r="E15359" s="211"/>
      <c r="U15359" s="222"/>
    </row>
    <row r="15360" spans="2:21" x14ac:dyDescent="0.2">
      <c r="B15360" s="207"/>
      <c r="C15360" s="210"/>
      <c r="D15360" s="211"/>
      <c r="E15360" s="211"/>
      <c r="U15360" s="222"/>
    </row>
    <row r="15361" spans="2:21" x14ac:dyDescent="0.2">
      <c r="B15361" s="207"/>
      <c r="C15361" s="210"/>
      <c r="D15361" s="211"/>
      <c r="E15361" s="211"/>
      <c r="U15361" s="222"/>
    </row>
    <row r="15362" spans="2:21" x14ac:dyDescent="0.2">
      <c r="B15362" s="207"/>
      <c r="C15362" s="210"/>
      <c r="D15362" s="211"/>
      <c r="E15362" s="211"/>
      <c r="U15362" s="222"/>
    </row>
    <row r="15363" spans="2:21" x14ac:dyDescent="0.2">
      <c r="B15363" s="207"/>
      <c r="C15363" s="210"/>
      <c r="D15363" s="211"/>
      <c r="E15363" s="211"/>
      <c r="U15363" s="222"/>
    </row>
    <row r="15364" spans="2:21" x14ac:dyDescent="0.2">
      <c r="B15364" s="207"/>
      <c r="C15364" s="210"/>
      <c r="D15364" s="211"/>
      <c r="E15364" s="211"/>
      <c r="U15364" s="222"/>
    </row>
    <row r="15365" spans="2:21" x14ac:dyDescent="0.2">
      <c r="B15365" s="207"/>
      <c r="C15365" s="210"/>
      <c r="D15365" s="211"/>
      <c r="E15365" s="211"/>
      <c r="U15365" s="222"/>
    </row>
    <row r="15366" spans="2:21" x14ac:dyDescent="0.2">
      <c r="B15366" s="207"/>
      <c r="C15366" s="210"/>
      <c r="D15366" s="211"/>
      <c r="E15366" s="211"/>
      <c r="U15366" s="222"/>
    </row>
    <row r="15367" spans="2:21" x14ac:dyDescent="0.2">
      <c r="B15367" s="207"/>
      <c r="C15367" s="210"/>
      <c r="D15367" s="211"/>
      <c r="E15367" s="211"/>
      <c r="U15367" s="222"/>
    </row>
    <row r="15368" spans="2:21" x14ac:dyDescent="0.2">
      <c r="B15368" s="207"/>
      <c r="C15368" s="210"/>
      <c r="D15368" s="211"/>
      <c r="E15368" s="211"/>
      <c r="U15368" s="222"/>
    </row>
    <row r="15369" spans="2:21" x14ac:dyDescent="0.2">
      <c r="B15369" s="207"/>
      <c r="C15369" s="210"/>
      <c r="D15369" s="211"/>
      <c r="E15369" s="211"/>
      <c r="U15369" s="222"/>
    </row>
    <row r="15370" spans="2:21" x14ac:dyDescent="0.2">
      <c r="B15370" s="207"/>
      <c r="C15370" s="210"/>
      <c r="D15370" s="211"/>
      <c r="E15370" s="211"/>
      <c r="U15370" s="222"/>
    </row>
    <row r="15371" spans="2:21" x14ac:dyDescent="0.2">
      <c r="B15371" s="207"/>
      <c r="C15371" s="210"/>
      <c r="D15371" s="211"/>
      <c r="E15371" s="211"/>
      <c r="U15371" s="222"/>
    </row>
    <row r="15372" spans="2:21" x14ac:dyDescent="0.2">
      <c r="B15372" s="207"/>
      <c r="C15372" s="210"/>
      <c r="D15372" s="211"/>
      <c r="E15372" s="211"/>
      <c r="U15372" s="222"/>
    </row>
    <row r="15373" spans="2:21" x14ac:dyDescent="0.2">
      <c r="B15373" s="207"/>
      <c r="C15373" s="210"/>
      <c r="D15373" s="211"/>
      <c r="E15373" s="211"/>
      <c r="U15373" s="222"/>
    </row>
    <row r="15374" spans="2:21" x14ac:dyDescent="0.2">
      <c r="B15374" s="207"/>
      <c r="C15374" s="210"/>
      <c r="D15374" s="211"/>
      <c r="E15374" s="211"/>
      <c r="U15374" s="222"/>
    </row>
    <row r="15375" spans="2:21" x14ac:dyDescent="0.2">
      <c r="B15375" s="207"/>
      <c r="C15375" s="210"/>
      <c r="D15375" s="211"/>
      <c r="E15375" s="211"/>
    </row>
    <row r="15376" spans="2:21" x14ac:dyDescent="0.2">
      <c r="B15376" s="207"/>
      <c r="C15376" s="210"/>
      <c r="D15376" s="211"/>
      <c r="E15376" s="211"/>
    </row>
    <row r="15377" spans="2:5" x14ac:dyDescent="0.2">
      <c r="B15377" s="207"/>
      <c r="C15377" s="210"/>
      <c r="D15377" s="211"/>
      <c r="E15377" s="211"/>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Refresh">
              <controlPr defaultSize="0" print="0" autoFill="0" autoPict="0" macro="[0]!refresh">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ON_Deposits</vt:lpstr>
      <vt:lpstr>ON_FRAs</vt:lpstr>
      <vt:lpstr>ON_Swaps</vt:lpstr>
      <vt:lpstr>Monitor</vt:lpstr>
      <vt:lpstr>Accuracy</vt:lpstr>
      <vt:lpstr>Calendar</vt:lpstr>
      <vt:lpstr>Currency</vt:lpstr>
      <vt:lpstr>DataTable</vt:lpstr>
      <vt:lpstr>DayCounter</vt:lpstr>
      <vt:lpstr>DepoInclusionCriteria</vt:lpstr>
      <vt:lpstr>Discounting</vt:lpstr>
      <vt:lpstr>Discounting2</vt:lpstr>
      <vt:lpstr>ON_Swaps!DiscountingCurve</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TimeAxisMajorUnit</vt:lpstr>
      <vt:lpstr>TimeAxisMaximum</vt:lpstr>
      <vt:lpstr>TimeAxisMinimum</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2014-05-29T14:10:47Z</dcterms:modified>
</cp:coreProperties>
</file>
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840" yWindow="-15" windowWidth="18885" windowHeight="1125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29" i="6" l="1"/>
  <c r="U40" i="12" l="1" a="1"/>
  <c r="M22" i="6"/>
  <c r="M23" i="6" l="1"/>
  <c r="U19" i="12"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C8" i="7"/>
  <c r="C4" i="7"/>
  <c r="C11" i="7"/>
  <c r="C10" i="7"/>
  <c r="C7" i="7"/>
  <c r="C12" i="7"/>
  <c r="C9" i="7"/>
  <c r="C3" i="7"/>
  <c r="C6" i="7"/>
  <c r="X19" i="12"/>
  <c r="C5" i="7"/>
  <c r="D4" i="7" l="1"/>
  <c r="D5" i="7"/>
  <c r="D6" i="7"/>
  <c r="D7" i="7"/>
  <c r="D8" i="7"/>
  <c r="D9" i="7"/>
  <c r="D10" i="7"/>
  <c r="D11" i="7"/>
  <c r="D12" i="7"/>
  <c r="D3" i="7"/>
  <c r="E10" i="7"/>
  <c r="E12" i="7"/>
  <c r="E3" i="7"/>
  <c r="E11" i="7"/>
  <c r="E8" i="7"/>
  <c r="E5" i="7"/>
  <c r="E6" i="7"/>
  <c r="E9" i="7"/>
  <c r="E7" i="7"/>
  <c r="E4" i="7"/>
  <c r="B1" i="7" l="1"/>
  <c r="F11" i="7"/>
  <c r="F4" i="7"/>
  <c r="F10" i="7"/>
  <c r="F7" i="7"/>
  <c r="F9" i="7"/>
  <c r="F8" i="7"/>
  <c r="F6" i="7"/>
  <c r="F3" i="7"/>
  <c r="F5" i="7"/>
  <c r="M15" i="6" l="1"/>
  <c r="E9" i="4" l="1"/>
  <c r="E2" i="4"/>
  <c r="E3" i="4"/>
  <c r="E6" i="4"/>
  <c r="E4" i="4"/>
  <c r="E5" i="4"/>
  <c r="E7" i="4"/>
  <c r="E10" i="4"/>
  <c r="E8" i="4"/>
  <c r="J1" i="11"/>
  <c r="K1" i="11" s="1"/>
  <c r="D5" i="11" a="1"/>
  <c r="D7" i="11" s="1"/>
  <c r="E5" i="11" a="1"/>
  <c r="E5" i="11" s="1"/>
  <c r="E1" i="9"/>
  <c r="L7" i="4"/>
  <c r="F4" i="4"/>
  <c r="C4" i="12"/>
  <c r="F5" i="4"/>
  <c r="G7" i="4"/>
  <c r="G5" i="4"/>
  <c r="M6" i="4"/>
  <c r="G10" i="4"/>
  <c r="L8" i="4"/>
  <c r="M9" i="4"/>
  <c r="M4" i="4"/>
  <c r="L10" i="4"/>
  <c r="M7" i="4"/>
  <c r="M5" i="4"/>
  <c r="F2" i="4"/>
  <c r="L9" i="4"/>
  <c r="C3" i="12"/>
  <c r="G6" i="4"/>
  <c r="F3" i="4"/>
  <c r="L5" i="4"/>
  <c r="M10" i="4"/>
  <c r="L3" i="4"/>
  <c r="G3" i="4"/>
  <c r="L6" i="4"/>
  <c r="F7" i="4"/>
  <c r="G9" i="4"/>
  <c r="M8" i="4"/>
  <c r="G4" i="4"/>
  <c r="C5" i="12"/>
  <c r="L2" i="4"/>
  <c r="G2" i="4"/>
  <c r="L4" i="4"/>
  <c r="G8" i="4"/>
  <c r="F9" i="4"/>
  <c r="F6" i="4"/>
  <c r="K3" i="11"/>
  <c r="F10" i="4"/>
  <c r="M2" i="4"/>
  <c r="M3" i="4"/>
  <c r="F8" i="4"/>
  <c r="C11" i="12" l="1"/>
  <c r="C6" i="12"/>
  <c r="C13" i="12" s="1"/>
  <c r="C12" i="12"/>
  <c r="C10" i="12"/>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X20" i="12"/>
  <c r="K7" i="11"/>
  <c r="E23" i="4" l="1"/>
  <c r="E1" i="7"/>
  <c r="J8" i="11"/>
  <c r="J30" i="11"/>
  <c r="J9" i="11"/>
  <c r="J14" i="11"/>
  <c r="J35" i="11"/>
  <c r="J13" i="11"/>
  <c r="J17" i="11"/>
  <c r="J11" i="11"/>
  <c r="J40" i="11"/>
  <c r="J33" i="11"/>
  <c r="J31" i="11"/>
  <c r="J12" i="11"/>
  <c r="J20" i="11"/>
  <c r="J34" i="11"/>
  <c r="J18" i="11"/>
  <c r="J27" i="11"/>
  <c r="J21" i="11"/>
  <c r="J15" i="11"/>
  <c r="J23" i="11"/>
  <c r="J41" i="11"/>
  <c r="J28" i="11"/>
  <c r="J10" i="11"/>
  <c r="J29" i="11"/>
  <c r="J16" i="11"/>
  <c r="J26" i="11"/>
  <c r="J38" i="11"/>
  <c r="J19" i="11"/>
  <c r="J36" i="11"/>
  <c r="J32" i="11"/>
  <c r="J39" i="11"/>
  <c r="J22" i="11"/>
  <c r="J25" i="11"/>
  <c r="J37" i="11"/>
  <c r="J24" i="11"/>
  <c r="J6" i="11"/>
  <c r="G19" i="9"/>
  <c r="E2" i="7"/>
  <c r="H2" i="9"/>
  <c r="X21" i="12"/>
  <c r="E11" i="4" l="1"/>
  <c r="K2" i="11"/>
  <c r="D7" i="6"/>
  <c r="C21" i="4" s="1"/>
  <c r="D8" i="6"/>
  <c r="B21" i="4" s="1"/>
  <c r="D22" i="6"/>
  <c r="D12" i="4"/>
  <c r="D13" i="4"/>
  <c r="D14" i="4"/>
  <c r="D15" i="4"/>
  <c r="D16" i="4"/>
  <c r="D17" i="4"/>
  <c r="D18" i="4"/>
  <c r="D19" i="4"/>
  <c r="D20" i="4"/>
  <c r="I19" i="9"/>
  <c r="I9" i="9"/>
  <c r="I13" i="9"/>
  <c r="I10" i="9"/>
  <c r="I17" i="9"/>
  <c r="I15" i="9"/>
  <c r="I12" i="9"/>
  <c r="I16" i="9"/>
  <c r="I18" i="9"/>
  <c r="D6" i="6"/>
  <c r="X22" i="12"/>
  <c r="K18" i="11"/>
  <c r="K35" i="11"/>
  <c r="L3" i="11"/>
  <c r="K24" i="11"/>
  <c r="L24" i="11"/>
  <c r="F23" i="4"/>
  <c r="L2" i="11"/>
  <c r="K34" i="11"/>
  <c r="H20" i="9"/>
  <c r="I2" i="9"/>
  <c r="K29" i="11"/>
  <c r="H4" i="9"/>
  <c r="F2" i="7"/>
  <c r="H14" i="9"/>
  <c r="K31" i="11"/>
  <c r="L31" i="11" s="1"/>
  <c r="L7" i="11"/>
  <c r="K20" i="11"/>
  <c r="K37" i="11"/>
  <c r="B1" i="6"/>
  <c r="L35" i="11"/>
  <c r="K5" i="11"/>
  <c r="K16" i="11"/>
  <c r="K39" i="11"/>
  <c r="H3" i="9"/>
  <c r="K40" i="11"/>
  <c r="K15" i="11"/>
  <c r="L15" i="11" s="1"/>
  <c r="C7" i="12"/>
  <c r="K30" i="11"/>
  <c r="L30" i="11" s="1"/>
  <c r="K27" i="11"/>
  <c r="K8" i="11"/>
  <c r="K22" i="11"/>
  <c r="K9" i="11"/>
  <c r="K26" i="11"/>
  <c r="I20" i="9"/>
  <c r="K6" i="11"/>
  <c r="L18" i="11"/>
  <c r="K36" i="11"/>
  <c r="K33" i="11"/>
  <c r="L33" i="11" s="1"/>
  <c r="K11" i="11"/>
  <c r="K13" i="11"/>
  <c r="K25" i="11"/>
  <c r="L25" i="11" s="1"/>
  <c r="K10" i="11"/>
  <c r="L10" i="11" s="1"/>
  <c r="I3" i="9"/>
  <c r="K19" i="11"/>
  <c r="L19" i="11" s="1"/>
  <c r="L5" i="11"/>
  <c r="K23" i="11"/>
  <c r="K14" i="11"/>
  <c r="L14" i="11" s="1"/>
  <c r="H11" i="9"/>
  <c r="H8" i="9"/>
  <c r="D20" i="6"/>
  <c r="F11" i="4"/>
  <c r="K32" i="11"/>
  <c r="K17" i="11"/>
  <c r="H5" i="9"/>
  <c r="K28" i="11"/>
  <c r="K41" i="11"/>
  <c r="L41" i="11" s="1"/>
  <c r="L36" i="11"/>
  <c r="F12" i="7"/>
  <c r="K38" i="11"/>
  <c r="H7" i="9"/>
  <c r="I7" i="9" s="1"/>
  <c r="K21" i="11"/>
  <c r="L21" i="11" s="1"/>
  <c r="K12" i="11"/>
  <c r="L32" i="11"/>
  <c r="H6" i="9"/>
  <c r="I11" i="9"/>
  <c r="L20" i="11"/>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L12" i="11"/>
  <c r="L29" i="11"/>
  <c r="F36" i="4"/>
  <c r="F22" i="4"/>
  <c r="F44" i="4"/>
  <c r="F41" i="4"/>
  <c r="F21" i="4"/>
  <c r="F24" i="4"/>
  <c r="L11" i="11"/>
  <c r="F13" i="4"/>
  <c r="I5" i="9"/>
  <c r="F18" i="4"/>
  <c r="F53" i="4"/>
  <c r="F40" i="4"/>
  <c r="F12" i="4"/>
  <c r="X23" i="12"/>
  <c r="L38" i="11"/>
  <c r="I6" i="9"/>
  <c r="L13" i="11"/>
  <c r="F20" i="4"/>
  <c r="F38" i="4"/>
  <c r="L34" i="11"/>
  <c r="L16" i="11"/>
  <c r="F50" i="4"/>
  <c r="F17" i="4"/>
  <c r="F29" i="4"/>
  <c r="M20" i="4"/>
  <c r="I14" i="9"/>
  <c r="F34" i="4"/>
  <c r="F49" i="4"/>
  <c r="F14" i="4"/>
  <c r="F27" i="4"/>
  <c r="F52" i="4"/>
  <c r="I4" i="9"/>
  <c r="F51" i="4"/>
  <c r="F35" i="4"/>
  <c r="F16" i="4"/>
  <c r="F46" i="4"/>
  <c r="F15" i="4"/>
  <c r="F19" i="4"/>
  <c r="I8" i="9"/>
  <c r="F37" i="4"/>
  <c r="F26" i="4"/>
  <c r="F54" i="4"/>
  <c r="L26" i="11"/>
  <c r="L8" i="11"/>
  <c r="L6" i="11"/>
  <c r="L17" i="11"/>
  <c r="L22" i="11"/>
  <c r="L9" i="11"/>
  <c r="L28" i="11"/>
  <c r="L23" i="11"/>
  <c r="L27" i="11"/>
  <c r="F42" i="4"/>
  <c r="L40" i="11"/>
  <c r="F56" i="4"/>
  <c r="F48" i="4"/>
  <c r="F45" i="4"/>
  <c r="F25" i="4"/>
  <c r="F30" i="4"/>
  <c r="F33" i="4"/>
  <c r="F43" i="4"/>
  <c r="L37" i="11"/>
  <c r="L39" i="11"/>
  <c r="F47" i="4"/>
  <c r="F32" i="4"/>
  <c r="F55" i="4"/>
  <c r="F31" i="4"/>
  <c r="G34" i="4"/>
  <c r="F57" i="4"/>
  <c r="G20" i="4"/>
  <c r="F28" i="4"/>
  <c r="L20" i="4"/>
  <c r="F39" i="4"/>
  <c r="I34" i="4" l="1"/>
  <c r="C15" i="12"/>
  <c r="C9" i="12"/>
  <c r="C16" i="12" s="1"/>
  <c r="B28" i="4"/>
  <c r="C28" i="4"/>
  <c r="B29" i="4"/>
  <c r="C29" i="4"/>
  <c r="B30" i="4"/>
  <c r="C30" i="4"/>
  <c r="B31" i="4"/>
  <c r="C31" i="4"/>
  <c r="B32" i="4"/>
  <c r="C32" i="4"/>
  <c r="M27" i="4"/>
  <c r="L15" i="4"/>
  <c r="G27" i="4"/>
  <c r="M15" i="4"/>
  <c r="X24" i="12"/>
  <c r="H23" i="4"/>
  <c r="G24" i="4"/>
  <c r="G11" i="4"/>
  <c r="G23" i="4"/>
  <c r="G18" i="4"/>
  <c r="G13" i="4"/>
  <c r="L26" i="4"/>
  <c r="G22" i="4"/>
  <c r="M26" i="4"/>
  <c r="L25" i="4"/>
  <c r="H21" i="4"/>
  <c r="M12" i="4"/>
  <c r="L12" i="4"/>
  <c r="G16" i="4"/>
  <c r="L23" i="4"/>
  <c r="H25" i="4"/>
  <c r="H26" i="4"/>
  <c r="M25" i="4"/>
  <c r="L19" i="4"/>
  <c r="G15" i="4"/>
  <c r="M22" i="4"/>
  <c r="G17" i="4"/>
  <c r="M23" i="4"/>
  <c r="L24" i="4"/>
  <c r="G21" i="4"/>
  <c r="G12" i="4"/>
  <c r="L14" i="4"/>
  <c r="L18" i="4"/>
  <c r="M24" i="4"/>
  <c r="M11" i="4"/>
  <c r="M14" i="4"/>
  <c r="G14" i="4"/>
  <c r="L27" i="4"/>
  <c r="G26" i="4"/>
  <c r="L11" i="4"/>
  <c r="M17" i="4"/>
  <c r="M18" i="4"/>
  <c r="G25" i="4"/>
  <c r="L16" i="4"/>
  <c r="H22" i="4"/>
  <c r="M21" i="4"/>
  <c r="H27" i="4"/>
  <c r="M16" i="4"/>
  <c r="L22" i="4"/>
  <c r="L21" i="4"/>
  <c r="M13" i="4"/>
  <c r="M19" i="4"/>
  <c r="H24" i="4"/>
  <c r="L17" i="4"/>
  <c r="L13" i="4"/>
  <c r="G19" i="4"/>
  <c r="I27" i="4" l="1"/>
  <c r="I26" i="4"/>
  <c r="B33" i="4"/>
  <c r="C33" i="4"/>
  <c r="B34" i="4"/>
  <c r="C34" i="4"/>
  <c r="M30" i="4"/>
  <c r="M31" i="4"/>
  <c r="H30" i="4"/>
  <c r="H29" i="4"/>
  <c r="G32" i="4"/>
  <c r="L28" i="4"/>
  <c r="L32" i="4"/>
  <c r="G29" i="4"/>
  <c r="L30" i="4"/>
  <c r="L29" i="4"/>
  <c r="L31" i="4"/>
  <c r="H28" i="4"/>
  <c r="M32" i="4"/>
  <c r="H31" i="4"/>
  <c r="M19" i="12" a="1"/>
  <c r="G30" i="4"/>
  <c r="M28" i="4"/>
  <c r="M29" i="4"/>
  <c r="X25" i="12"/>
  <c r="G31" i="4"/>
  <c r="H32" i="4"/>
  <c r="G28" i="4"/>
  <c r="I31" i="4" l="1"/>
  <c r="I29" i="4"/>
  <c r="I32" i="4"/>
  <c r="I28" i="4"/>
  <c r="I30" i="4"/>
  <c r="B35" i="4"/>
  <c r="C35" i="4"/>
  <c r="B36" i="4"/>
  <c r="C36" i="4"/>
  <c r="B37" i="4"/>
  <c r="C37" i="4"/>
  <c r="M22" i="12"/>
  <c r="M21" i="12"/>
  <c r="M35" i="12"/>
  <c r="M28" i="12"/>
  <c r="M34" i="12"/>
  <c r="M27" i="12"/>
  <c r="M23" i="12"/>
  <c r="M29" i="12"/>
  <c r="M19" i="12"/>
  <c r="M25" i="12"/>
  <c r="M36" i="12"/>
  <c r="M24" i="12"/>
  <c r="M32" i="12"/>
  <c r="M20" i="12"/>
  <c r="M33" i="12"/>
  <c r="M26" i="12"/>
  <c r="M30" i="12"/>
  <c r="M31" i="12"/>
  <c r="M33" i="4"/>
  <c r="O29" i="12"/>
  <c r="P31" i="12"/>
  <c r="N34" i="12"/>
  <c r="N31" i="12"/>
  <c r="N25" i="12"/>
  <c r="O35" i="12"/>
  <c r="O21" i="12"/>
  <c r="N28" i="12"/>
  <c r="P28" i="12"/>
  <c r="O31" i="12"/>
  <c r="O20" i="12"/>
  <c r="N23" i="12"/>
  <c r="P21" i="12"/>
  <c r="P20" i="12"/>
  <c r="O19" i="12"/>
  <c r="P19" i="12"/>
  <c r="L33" i="4"/>
  <c r="P34" i="12"/>
  <c r="N20" i="12"/>
  <c r="P32" i="12"/>
  <c r="P36" i="12"/>
  <c r="O30" i="12"/>
  <c r="O28" i="12"/>
  <c r="M34" i="4"/>
  <c r="N24" i="12"/>
  <c r="P22" i="12"/>
  <c r="N32" i="12"/>
  <c r="O27" i="12"/>
  <c r="G33" i="4"/>
  <c r="O32" i="12"/>
  <c r="N27" i="12"/>
  <c r="P35" i="12"/>
  <c r="O25" i="12"/>
  <c r="H34" i="4"/>
  <c r="P29" i="12"/>
  <c r="N30" i="12"/>
  <c r="N35" i="12"/>
  <c r="O26" i="12"/>
  <c r="P27" i="12"/>
  <c r="X26" i="12"/>
  <c r="P25" i="12"/>
  <c r="H33" i="4"/>
  <c r="L34" i="4"/>
  <c r="O33" i="12"/>
  <c r="P33" i="12"/>
  <c r="O22" i="12"/>
  <c r="N21" i="12"/>
  <c r="N36" i="12"/>
  <c r="O36" i="12"/>
  <c r="P23" i="12"/>
  <c r="N19" i="12"/>
  <c r="O24" i="12"/>
  <c r="P24" i="12"/>
  <c r="N26" i="12"/>
  <c r="P26" i="12"/>
  <c r="N33" i="12"/>
  <c r="O34" i="12"/>
  <c r="N22" i="12"/>
  <c r="N29" i="12"/>
  <c r="O23" i="12"/>
  <c r="P30" i="12"/>
  <c r="I33" i="4" l="1"/>
  <c r="B38" i="4"/>
  <c r="C38" i="4"/>
  <c r="H36" i="4"/>
  <c r="L37" i="4"/>
  <c r="M36" i="4"/>
  <c r="L35" i="4"/>
  <c r="L36" i="4"/>
  <c r="M37" i="4"/>
  <c r="H37" i="4"/>
  <c r="G37" i="4"/>
  <c r="M35" i="4"/>
  <c r="X27" i="12"/>
  <c r="G36" i="4"/>
  <c r="G35" i="4"/>
  <c r="H35" i="4"/>
  <c r="I35" i="4" l="1"/>
  <c r="I37" i="4"/>
  <c r="I36" i="4"/>
  <c r="B39" i="4"/>
  <c r="C39" i="4"/>
  <c r="G38" i="4"/>
  <c r="L38" i="4"/>
  <c r="M38" i="4"/>
  <c r="H38" i="4"/>
  <c r="X28" i="12"/>
  <c r="I38" i="4" l="1"/>
  <c r="B40" i="4"/>
  <c r="C40" i="4"/>
  <c r="M39" i="4"/>
  <c r="H39" i="4"/>
  <c r="G39" i="4"/>
  <c r="X29" i="12"/>
  <c r="L39" i="4"/>
  <c r="I39" i="4" l="1"/>
  <c r="B41" i="4"/>
  <c r="C41" i="4"/>
  <c r="X30" i="12"/>
  <c r="M40" i="4"/>
  <c r="H40" i="4"/>
  <c r="L40" i="4"/>
  <c r="G40" i="4"/>
  <c r="I40" i="4" l="1"/>
  <c r="B42" i="4"/>
  <c r="C42" i="4"/>
  <c r="X31" i="12"/>
  <c r="G41" i="4"/>
  <c r="L41" i="4"/>
  <c r="M41" i="4"/>
  <c r="H41" i="4"/>
  <c r="I41" i="4" l="1"/>
  <c r="B43" i="4"/>
  <c r="C43" i="4"/>
  <c r="B44" i="4"/>
  <c r="C44" i="4"/>
  <c r="M42" i="4"/>
  <c r="L42" i="4"/>
  <c r="G42" i="4"/>
  <c r="H42" i="4"/>
  <c r="X32" i="12"/>
  <c r="I42" i="4" l="1"/>
  <c r="B45" i="4"/>
  <c r="C45" i="4"/>
  <c r="G44" i="4"/>
  <c r="L44" i="4"/>
  <c r="H44" i="4"/>
  <c r="M44" i="4"/>
  <c r="L43" i="4"/>
  <c r="H43" i="4"/>
  <c r="G43" i="4"/>
  <c r="X33" i="12"/>
  <c r="M43" i="4"/>
  <c r="I44" i="4" l="1"/>
  <c r="I43" i="4"/>
  <c r="B46" i="4"/>
  <c r="C46" i="4"/>
  <c r="G45" i="4"/>
  <c r="X34" i="12"/>
  <c r="M45" i="4"/>
  <c r="H45" i="4"/>
  <c r="L45" i="4"/>
  <c r="I45" i="4" l="1"/>
  <c r="B47" i="4"/>
  <c r="C47" i="4"/>
  <c r="B48" i="4"/>
  <c r="C48" i="4"/>
  <c r="H46" i="4"/>
  <c r="L46" i="4"/>
  <c r="G46" i="4"/>
  <c r="M46" i="4"/>
  <c r="X35" i="12"/>
  <c r="I46" i="4" l="1"/>
  <c r="B49" i="4"/>
  <c r="C49" i="4"/>
  <c r="L47" i="4"/>
  <c r="G47" i="4"/>
  <c r="M47" i="4"/>
  <c r="M48" i="4"/>
  <c r="L48" i="4"/>
  <c r="X36" i="12"/>
  <c r="H47" i="4"/>
  <c r="H48" i="4"/>
  <c r="G48" i="4"/>
  <c r="I47" i="4" l="1"/>
  <c r="I48" i="4"/>
  <c r="B50" i="4"/>
  <c r="C50" i="4"/>
  <c r="M49" i="4"/>
  <c r="L49" i="4"/>
  <c r="X37" i="12"/>
  <c r="H49" i="4"/>
  <c r="G49" i="4"/>
  <c r="I49" i="4" l="1"/>
  <c r="B51" i="4"/>
  <c r="C51" i="4"/>
  <c r="B52" i="4"/>
  <c r="C52" i="4"/>
  <c r="H50" i="4"/>
  <c r="L50" i="4"/>
  <c r="M50" i="4"/>
  <c r="G50" i="4"/>
  <c r="X38" i="12"/>
  <c r="I50" i="4" l="1"/>
  <c r="B53" i="4"/>
  <c r="C53" i="4"/>
  <c r="M52" i="4"/>
  <c r="L52" i="4"/>
  <c r="M51" i="4"/>
  <c r="H52" i="4"/>
  <c r="G51" i="4"/>
  <c r="H51" i="4"/>
  <c r="L51" i="4"/>
  <c r="X39" i="12"/>
  <c r="G52" i="4"/>
  <c r="I52" i="4" l="1"/>
  <c r="I51" i="4"/>
  <c r="B54" i="4"/>
  <c r="C54" i="4"/>
  <c r="L53" i="4"/>
  <c r="X40" i="12"/>
  <c r="G53" i="4"/>
  <c r="M53" i="4"/>
  <c r="H53" i="4"/>
  <c r="I53" i="4" l="1"/>
  <c r="B55" i="4"/>
  <c r="C55" i="4"/>
  <c r="B56" i="4"/>
  <c r="C56" i="4"/>
  <c r="X41" i="12"/>
  <c r="G54" i="4"/>
  <c r="M54" i="4"/>
  <c r="L54" i="4"/>
  <c r="H54" i="4"/>
  <c r="I54" i="4" l="1"/>
  <c r="B57" i="4"/>
  <c r="C57" i="4"/>
  <c r="H56" i="4"/>
  <c r="M57" i="4"/>
  <c r="G57" i="4"/>
  <c r="L55" i="4"/>
  <c r="G56" i="4"/>
  <c r="H57" i="4"/>
  <c r="H55" i="4"/>
  <c r="M56" i="4"/>
  <c r="M55" i="4"/>
  <c r="X42" i="12"/>
  <c r="G55" i="4"/>
  <c r="L56" i="4"/>
  <c r="L57" i="4"/>
  <c r="I55" i="4" l="1"/>
  <c r="I56" i="4"/>
  <c r="I57" i="4"/>
  <c r="X43" i="12"/>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70" i="12"/>
  <c r="M65" i="12"/>
  <c r="M40" i="12"/>
  <c r="M71" i="12"/>
  <c r="M64" i="12"/>
  <c r="M75" i="12"/>
  <c r="M50" i="12"/>
  <c r="M62" i="12"/>
  <c r="M60" i="12"/>
  <c r="M54" i="12"/>
  <c r="M48" i="12"/>
  <c r="M44" i="12"/>
  <c r="M66" i="12"/>
  <c r="M68" i="12"/>
  <c r="M47" i="12"/>
  <c r="M72" i="12"/>
  <c r="M42" i="12"/>
  <c r="M61" i="12"/>
  <c r="M57" i="12"/>
  <c r="M55" i="12"/>
  <c r="M59" i="12"/>
  <c r="M39" i="12"/>
  <c r="M56" i="12"/>
  <c r="M45" i="12"/>
  <c r="M53" i="12"/>
  <c r="M58" i="12"/>
  <c r="M43" i="12"/>
  <c r="M74" i="12"/>
  <c r="M63" i="12"/>
  <c r="M52" i="12"/>
  <c r="M69" i="12"/>
  <c r="M73" i="12"/>
  <c r="M49" i="12"/>
  <c r="M46" i="12"/>
  <c r="M41" i="12"/>
  <c r="M51" i="12"/>
  <c r="M67" i="12"/>
  <c r="I73" i="5"/>
  <c r="F24" i="5"/>
  <c r="E119" i="5"/>
  <c r="H88" i="5"/>
  <c r="I67" i="5"/>
  <c r="F97" i="5"/>
  <c r="E95" i="5"/>
  <c r="G75" i="5"/>
  <c r="H89" i="5"/>
  <c r="H46" i="5"/>
  <c r="E120" i="5"/>
  <c r="I104" i="5"/>
  <c r="E73" i="5"/>
  <c r="F26" i="5"/>
  <c r="I30" i="5"/>
  <c r="H43" i="5"/>
  <c r="I70" i="5"/>
  <c r="E3" i="5"/>
  <c r="H31" i="5"/>
  <c r="G77" i="5"/>
  <c r="H49" i="5"/>
  <c r="G71" i="5"/>
  <c r="I125" i="5"/>
  <c r="H78" i="5"/>
  <c r="G63" i="5"/>
  <c r="G21" i="5"/>
  <c r="G49" i="5"/>
  <c r="G87" i="5"/>
  <c r="F29" i="5"/>
  <c r="F116" i="5"/>
  <c r="E99" i="5"/>
  <c r="E21" i="5"/>
  <c r="F123" i="5"/>
  <c r="I77" i="5"/>
  <c r="F25" i="5"/>
  <c r="I118" i="5"/>
  <c r="N70" i="12"/>
  <c r="H28" i="5"/>
  <c r="N48" i="12"/>
  <c r="N63" i="12"/>
  <c r="G30" i="5"/>
  <c r="G48" i="5"/>
  <c r="F34" i="5"/>
  <c r="E87" i="5"/>
  <c r="F105" i="5"/>
  <c r="N72" i="12"/>
  <c r="G40" i="5"/>
  <c r="G34" i="5"/>
  <c r="G68" i="5"/>
  <c r="F113" i="5"/>
  <c r="H75" i="5"/>
  <c r="G112" i="5"/>
  <c r="I25" i="5"/>
  <c r="H3" i="5"/>
  <c r="O55" i="12"/>
  <c r="F92" i="5"/>
  <c r="G113" i="5"/>
  <c r="F55" i="5"/>
  <c r="H68" i="5"/>
  <c r="I14" i="5"/>
  <c r="H111" i="5"/>
  <c r="O63" i="12"/>
  <c r="H115" i="5"/>
  <c r="O53" i="12"/>
  <c r="G81" i="5"/>
  <c r="E122" i="5"/>
  <c r="F94" i="5"/>
  <c r="F103" i="5"/>
  <c r="F2" i="5"/>
  <c r="E109" i="5"/>
  <c r="G13" i="5"/>
  <c r="F108" i="5"/>
  <c r="I45" i="5"/>
  <c r="F71" i="5"/>
  <c r="G106" i="5"/>
  <c r="G14" i="5"/>
  <c r="G78" i="5"/>
  <c r="I59" i="5"/>
  <c r="G126" i="5"/>
  <c r="I84" i="5"/>
  <c r="I33" i="5"/>
  <c r="I111" i="5"/>
  <c r="G80" i="5"/>
  <c r="I51" i="5"/>
  <c r="I92" i="5"/>
  <c r="I63" i="5"/>
  <c r="F79" i="5"/>
  <c r="I81" i="5"/>
  <c r="H108" i="5"/>
  <c r="F126" i="5"/>
  <c r="G85" i="5"/>
  <c r="E65" i="5"/>
  <c r="I71" i="5"/>
  <c r="G45" i="5"/>
  <c r="G52" i="5"/>
  <c r="N64" i="12"/>
  <c r="G8" i="5"/>
  <c r="E125" i="5"/>
  <c r="H69" i="5"/>
  <c r="H26" i="5"/>
  <c r="F102" i="5"/>
  <c r="I8" i="5"/>
  <c r="E8" i="5"/>
  <c r="G56" i="5"/>
  <c r="O69" i="12"/>
  <c r="O58" i="12"/>
  <c r="F111" i="5"/>
  <c r="E70" i="5"/>
  <c r="H47" i="5"/>
  <c r="E39" i="5"/>
  <c r="G82" i="5"/>
  <c r="I68" i="5"/>
  <c r="I43" i="5"/>
  <c r="F109" i="5"/>
  <c r="N74" i="12"/>
  <c r="H30" i="5"/>
  <c r="I105" i="5"/>
  <c r="F7" i="5"/>
  <c r="H54" i="5"/>
  <c r="F88" i="5"/>
  <c r="F63" i="5"/>
  <c r="E5" i="5"/>
  <c r="E4" i="5"/>
  <c r="E17" i="5"/>
  <c r="I99" i="5"/>
  <c r="E100" i="5"/>
  <c r="F99" i="5"/>
  <c r="F8" i="5"/>
  <c r="N51" i="12"/>
  <c r="E46" i="5"/>
  <c r="G70" i="5"/>
  <c r="F67" i="5"/>
  <c r="F50" i="5"/>
  <c r="N67" i="12"/>
  <c r="I29" i="5"/>
  <c r="G99" i="5"/>
  <c r="H123" i="5"/>
  <c r="G61" i="5"/>
  <c r="F13" i="5"/>
  <c r="N47" i="12"/>
  <c r="E90" i="5"/>
  <c r="O60" i="12"/>
  <c r="I47" i="5"/>
  <c r="G65" i="5"/>
  <c r="F73" i="5"/>
  <c r="H41" i="5"/>
  <c r="E56" i="5"/>
  <c r="G92" i="5"/>
  <c r="E108" i="5"/>
  <c r="H94" i="5"/>
  <c r="E61" i="5"/>
  <c r="H124" i="5"/>
  <c r="F52" i="5"/>
  <c r="G39" i="5"/>
  <c r="E111" i="5"/>
  <c r="G100" i="5"/>
  <c r="N49" i="12"/>
  <c r="I120" i="5"/>
  <c r="F20" i="5"/>
  <c r="G12" i="5"/>
  <c r="I80" i="5"/>
  <c r="H67" i="5"/>
  <c r="H42" i="5"/>
  <c r="I12" i="5"/>
  <c r="I87" i="5"/>
  <c r="H82" i="5"/>
  <c r="E110" i="5"/>
  <c r="G58" i="5"/>
  <c r="F114" i="5"/>
  <c r="F68" i="5"/>
  <c r="H86" i="5"/>
  <c r="G83" i="5"/>
  <c r="G22" i="5"/>
  <c r="G28" i="5"/>
  <c r="E7" i="5"/>
  <c r="F6" i="5"/>
  <c r="I96" i="5"/>
  <c r="E89" i="5"/>
  <c r="G17" i="5"/>
  <c r="O68" i="12"/>
  <c r="G42" i="5"/>
  <c r="G18" i="5"/>
  <c r="O66" i="12"/>
  <c r="H50" i="5"/>
  <c r="G108" i="5"/>
  <c r="F9" i="5"/>
  <c r="E54" i="5"/>
  <c r="G93" i="5"/>
  <c r="I36" i="5"/>
  <c r="I52" i="5"/>
  <c r="E98" i="5"/>
  <c r="G25" i="5"/>
  <c r="H39" i="5"/>
  <c r="F90" i="5"/>
  <c r="G123" i="5"/>
  <c r="H116" i="5"/>
  <c r="F104" i="5"/>
  <c r="F121" i="5"/>
  <c r="I27" i="5"/>
  <c r="E94" i="5"/>
  <c r="E82" i="5"/>
  <c r="H102" i="5"/>
  <c r="G72" i="5"/>
  <c r="I39" i="5"/>
  <c r="F96" i="5"/>
  <c r="G37" i="5"/>
  <c r="G35" i="5"/>
  <c r="E83" i="5"/>
  <c r="E59" i="5"/>
  <c r="H93" i="5"/>
  <c r="E104" i="5"/>
  <c r="G15" i="5"/>
  <c r="E106" i="5"/>
  <c r="O65" i="12"/>
  <c r="H20" i="5"/>
  <c r="E16" i="5"/>
  <c r="I109" i="5"/>
  <c r="F80" i="5"/>
  <c r="G43" i="5"/>
  <c r="H44" i="5"/>
  <c r="H60" i="5"/>
  <c r="H6" i="5"/>
  <c r="G54" i="5"/>
  <c r="N71" i="12"/>
  <c r="E115" i="5"/>
  <c r="F86" i="5"/>
  <c r="H33" i="5"/>
  <c r="G95" i="5"/>
  <c r="F118" i="5"/>
  <c r="N57" i="12"/>
  <c r="I15" i="5"/>
  <c r="F59" i="5"/>
  <c r="O56" i="12"/>
  <c r="F84" i="5"/>
  <c r="F72" i="5"/>
  <c r="E55" i="5"/>
  <c r="F47" i="5"/>
  <c r="I46" i="5"/>
  <c r="E24" i="5"/>
  <c r="H32" i="5"/>
  <c r="I107" i="5"/>
  <c r="I82" i="5"/>
  <c r="I37" i="5"/>
  <c r="I78" i="5"/>
  <c r="F11" i="5"/>
  <c r="G109" i="5"/>
  <c r="G116" i="5"/>
  <c r="H10" i="5"/>
  <c r="F83" i="5"/>
  <c r="O40" i="12"/>
  <c r="H45" i="5"/>
  <c r="H110" i="5"/>
  <c r="G66" i="5"/>
  <c r="G55" i="5"/>
  <c r="I75" i="5"/>
  <c r="I85" i="5"/>
  <c r="H107" i="5"/>
  <c r="G69" i="5"/>
  <c r="G105" i="5"/>
  <c r="G121" i="5"/>
  <c r="F78" i="5"/>
  <c r="F120" i="5"/>
  <c r="E91" i="5"/>
  <c r="E102" i="5"/>
  <c r="E19" i="5"/>
  <c r="F101" i="5"/>
  <c r="G19" i="5"/>
  <c r="H12" i="5"/>
  <c r="X44" i="12"/>
  <c r="E113" i="5"/>
  <c r="G120" i="5"/>
  <c r="G104" i="5"/>
  <c r="G102" i="5"/>
  <c r="F49" i="5"/>
  <c r="H36" i="5"/>
  <c r="N54" i="12"/>
  <c r="O46" i="12"/>
  <c r="H35" i="5"/>
  <c r="H73" i="5"/>
  <c r="F56" i="5"/>
  <c r="F12" i="5"/>
  <c r="I101" i="5"/>
  <c r="I40" i="5"/>
  <c r="E76" i="5"/>
  <c r="E51" i="5"/>
  <c r="G24" i="5"/>
  <c r="F69" i="5"/>
  <c r="E57" i="5"/>
  <c r="E35" i="5"/>
  <c r="F76" i="5"/>
  <c r="N42" i="12"/>
  <c r="E44" i="5"/>
  <c r="I4" i="5"/>
  <c r="E18" i="5"/>
  <c r="H92" i="5"/>
  <c r="H29" i="5"/>
  <c r="N55" i="12"/>
  <c r="E9" i="5"/>
  <c r="E124" i="5"/>
  <c r="N56" i="12"/>
  <c r="H51" i="5"/>
  <c r="F85" i="5"/>
  <c r="I10" i="5"/>
  <c r="E14" i="5"/>
  <c r="H59" i="5"/>
  <c r="E34" i="5"/>
  <c r="G57" i="5"/>
  <c r="G46" i="5"/>
  <c r="E52" i="5"/>
  <c r="E29" i="5"/>
  <c r="F41" i="5"/>
  <c r="G117" i="5"/>
  <c r="H87" i="5"/>
  <c r="E2" i="5"/>
  <c r="E117" i="5"/>
  <c r="G122" i="5"/>
  <c r="E69" i="5"/>
  <c r="H21" i="5"/>
  <c r="I61" i="5"/>
  <c r="F28" i="5"/>
  <c r="O72" i="12"/>
  <c r="I21" i="5"/>
  <c r="N59" i="12"/>
  <c r="H72" i="5"/>
  <c r="E6" i="5"/>
  <c r="F107" i="5"/>
  <c r="F110" i="5"/>
  <c r="N61" i="12"/>
  <c r="N68" i="12"/>
  <c r="I74" i="5"/>
  <c r="I115" i="5"/>
  <c r="E22" i="5"/>
  <c r="I102" i="5"/>
  <c r="G97" i="5"/>
  <c r="E74" i="5"/>
  <c r="F89" i="5"/>
  <c r="H61" i="5"/>
  <c r="E28" i="5"/>
  <c r="F39" i="5"/>
  <c r="E77" i="5"/>
  <c r="H77" i="5"/>
  <c r="H38" i="5"/>
  <c r="E118" i="5"/>
  <c r="G88" i="5"/>
  <c r="E20" i="5"/>
  <c r="H14" i="5"/>
  <c r="O61" i="12"/>
  <c r="F115" i="5"/>
  <c r="F65" i="5"/>
  <c r="E112" i="5"/>
  <c r="O50" i="12"/>
  <c r="E80" i="5"/>
  <c r="F77" i="5"/>
  <c r="I58" i="5"/>
  <c r="G111" i="5"/>
  <c r="H79" i="5"/>
  <c r="G76" i="5"/>
  <c r="F117" i="5"/>
  <c r="H71" i="5"/>
  <c r="N46" i="12"/>
  <c r="E114" i="5"/>
  <c r="H53" i="5"/>
  <c r="O73" i="12"/>
  <c r="I3" i="5"/>
  <c r="F19" i="5"/>
  <c r="F42" i="5"/>
  <c r="G10" i="5"/>
  <c r="H84" i="5"/>
  <c r="H76" i="5"/>
  <c r="G47" i="5"/>
  <c r="G119" i="5"/>
  <c r="G73" i="5"/>
  <c r="H114" i="5"/>
  <c r="H95" i="5"/>
  <c r="G91" i="5"/>
  <c r="I110" i="5"/>
  <c r="I62" i="5"/>
  <c r="I83" i="5"/>
  <c r="E84" i="5"/>
  <c r="I88" i="5"/>
  <c r="H2" i="5"/>
  <c r="E86" i="5"/>
  <c r="I6" i="5"/>
  <c r="I56" i="5"/>
  <c r="F70" i="5"/>
  <c r="O64" i="12"/>
  <c r="I57" i="5"/>
  <c r="H109" i="5"/>
  <c r="G4" i="5"/>
  <c r="H122" i="5"/>
  <c r="I100" i="5"/>
  <c r="I23" i="5"/>
  <c r="N66" i="12"/>
  <c r="H57" i="5"/>
  <c r="G16" i="5"/>
  <c r="H120" i="5"/>
  <c r="F31" i="5"/>
  <c r="F37" i="5"/>
  <c r="G33" i="5"/>
  <c r="E96" i="5"/>
  <c r="E31" i="5"/>
  <c r="I93" i="5"/>
  <c r="I95" i="5"/>
  <c r="H90" i="5"/>
  <c r="E25" i="5"/>
  <c r="E23" i="5"/>
  <c r="G124" i="5"/>
  <c r="I119" i="5"/>
  <c r="F48" i="5"/>
  <c r="H7" i="5"/>
  <c r="I98" i="5"/>
  <c r="E63" i="5"/>
  <c r="G20" i="5"/>
  <c r="O41" i="12"/>
  <c r="O42" i="12"/>
  <c r="F87" i="5"/>
  <c r="F60" i="5"/>
  <c r="F40" i="5"/>
  <c r="O39" i="12"/>
  <c r="F16" i="5"/>
  <c r="G79" i="5"/>
  <c r="I64" i="5"/>
  <c r="H121" i="5"/>
  <c r="I79" i="5"/>
  <c r="O47" i="12"/>
  <c r="G115" i="5"/>
  <c r="G101" i="5"/>
  <c r="E13" i="5"/>
  <c r="H70" i="5"/>
  <c r="H52" i="5"/>
  <c r="E92" i="5"/>
  <c r="G3" i="5"/>
  <c r="O67" i="12"/>
  <c r="I54" i="5"/>
  <c r="I76" i="5"/>
  <c r="F98" i="5"/>
  <c r="H113" i="5"/>
  <c r="F100" i="5"/>
  <c r="H117" i="5"/>
  <c r="F112" i="5"/>
  <c r="E48" i="5"/>
  <c r="H80" i="5"/>
  <c r="H27" i="5"/>
  <c r="N73" i="12"/>
  <c r="I97" i="5"/>
  <c r="O45" i="12"/>
  <c r="N65" i="12"/>
  <c r="H48" i="5"/>
  <c r="O59" i="12"/>
  <c r="I42" i="5"/>
  <c r="H125" i="5"/>
  <c r="I123" i="5"/>
  <c r="G5" i="5"/>
  <c r="E40" i="5"/>
  <c r="E41" i="5"/>
  <c r="E15" i="5"/>
  <c r="E123" i="5"/>
  <c r="E43" i="5"/>
  <c r="O62" i="12"/>
  <c r="E71" i="5"/>
  <c r="G103" i="5"/>
  <c r="I5" i="5"/>
  <c r="E53" i="5"/>
  <c r="O48" i="12"/>
  <c r="H11" i="5"/>
  <c r="F91" i="5"/>
  <c r="E37" i="5"/>
  <c r="N58" i="12"/>
  <c r="H17" i="5"/>
  <c r="N53" i="12"/>
  <c r="G110" i="5"/>
  <c r="I11" i="5"/>
  <c r="E26" i="5"/>
  <c r="G29" i="5"/>
  <c r="G11" i="5"/>
  <c r="I7" i="5"/>
  <c r="H19" i="5"/>
  <c r="H37" i="5"/>
  <c r="I66" i="5"/>
  <c r="F64" i="5"/>
  <c r="G60" i="5"/>
  <c r="H97" i="5"/>
  <c r="G36" i="5"/>
  <c r="E93" i="5"/>
  <c r="E81" i="5"/>
  <c r="I20" i="5"/>
  <c r="H25" i="5"/>
  <c r="G41" i="5"/>
  <c r="H4" i="5"/>
  <c r="F82" i="5"/>
  <c r="G62" i="5"/>
  <c r="F38" i="5"/>
  <c r="I49" i="5"/>
  <c r="E38" i="5"/>
  <c r="I121" i="5"/>
  <c r="N62" i="12"/>
  <c r="I44" i="5"/>
  <c r="I124" i="5"/>
  <c r="I19" i="5"/>
  <c r="O71" i="12"/>
  <c r="I24" i="5"/>
  <c r="E10" i="5"/>
  <c r="F122" i="5"/>
  <c r="I106" i="5"/>
  <c r="O54" i="12"/>
  <c r="O49" i="12"/>
  <c r="O70" i="12"/>
  <c r="E67" i="5"/>
  <c r="H16" i="5"/>
  <c r="I55" i="5"/>
  <c r="G6" i="5"/>
  <c r="I16" i="5"/>
  <c r="E79" i="5"/>
  <c r="F18" i="5"/>
  <c r="G23" i="5"/>
  <c r="I113" i="5"/>
  <c r="I50" i="5"/>
  <c r="O51" i="12"/>
  <c r="F57" i="5"/>
  <c r="H98" i="5"/>
  <c r="N69" i="12"/>
  <c r="E107" i="5"/>
  <c r="E50" i="5"/>
  <c r="G31" i="5"/>
  <c r="E97" i="5"/>
  <c r="F21" i="5"/>
  <c r="H5" i="5"/>
  <c r="G114" i="5"/>
  <c r="H105" i="5"/>
  <c r="E60" i="5"/>
  <c r="H85" i="5"/>
  <c r="H91" i="5"/>
  <c r="F119" i="5"/>
  <c r="O43" i="12"/>
  <c r="F3" i="5"/>
  <c r="F54" i="5"/>
  <c r="H62" i="5"/>
  <c r="E121" i="5"/>
  <c r="H104" i="5"/>
  <c r="I91" i="5"/>
  <c r="G125" i="5"/>
  <c r="I69" i="5"/>
  <c r="F35" i="5"/>
  <c r="F93" i="5"/>
  <c r="H9" i="5"/>
  <c r="I53" i="5"/>
  <c r="H58" i="5"/>
  <c r="E66" i="5"/>
  <c r="E105" i="5"/>
  <c r="I103" i="5"/>
  <c r="N45" i="12"/>
  <c r="F58" i="5"/>
  <c r="E30" i="5"/>
  <c r="I13" i="5"/>
  <c r="G90" i="5"/>
  <c r="G51" i="5"/>
  <c r="F66" i="5"/>
  <c r="E68" i="5"/>
  <c r="F45" i="5"/>
  <c r="E78" i="5"/>
  <c r="I65" i="5"/>
  <c r="G53" i="5"/>
  <c r="E75" i="5"/>
  <c r="E33" i="5"/>
  <c r="O74" i="12"/>
  <c r="F53" i="5"/>
  <c r="G89" i="5"/>
  <c r="H112" i="5"/>
  <c r="I90" i="5"/>
  <c r="I114" i="5"/>
  <c r="N52" i="12"/>
  <c r="I60" i="5"/>
  <c r="N44" i="12"/>
  <c r="E62" i="5"/>
  <c r="G96" i="5"/>
  <c r="F10" i="5"/>
  <c r="F44" i="5"/>
  <c r="I41" i="5"/>
  <c r="I17" i="5"/>
  <c r="I112" i="5"/>
  <c r="I28" i="5"/>
  <c r="E116" i="5"/>
  <c r="G27" i="5"/>
  <c r="O44" i="12"/>
  <c r="G86" i="5"/>
  <c r="E88" i="5"/>
  <c r="I117" i="5"/>
  <c r="F15" i="5"/>
  <c r="I34" i="5"/>
  <c r="E49" i="5"/>
  <c r="F4" i="5"/>
  <c r="F32" i="5"/>
  <c r="H13" i="5"/>
  <c r="F43" i="5"/>
  <c r="H15" i="5"/>
  <c r="G94" i="5"/>
  <c r="G2" i="5"/>
  <c r="H18" i="5"/>
  <c r="I26" i="5"/>
  <c r="I18" i="5"/>
  <c r="G44" i="5"/>
  <c r="O57" i="12"/>
  <c r="N41" i="12"/>
  <c r="E72" i="5"/>
  <c r="E47" i="5"/>
  <c r="E103" i="5"/>
  <c r="F125" i="5"/>
  <c r="N75" i="12"/>
  <c r="E64" i="5"/>
  <c r="F23" i="5"/>
  <c r="H40" i="5"/>
  <c r="H103" i="5"/>
  <c r="F124" i="5"/>
  <c r="H119" i="5"/>
  <c r="H101" i="5"/>
  <c r="H56" i="5"/>
  <c r="N43" i="12"/>
  <c r="I35" i="5"/>
  <c r="H22" i="5"/>
  <c r="H8" i="5"/>
  <c r="F95" i="5"/>
  <c r="G9" i="5"/>
  <c r="E58" i="5"/>
  <c r="I108" i="5"/>
  <c r="F14" i="5"/>
  <c r="E12" i="5"/>
  <c r="H118" i="5"/>
  <c r="F75" i="5"/>
  <c r="G38" i="5"/>
  <c r="H74" i="5"/>
  <c r="H34" i="5"/>
  <c r="H65" i="5"/>
  <c r="G107" i="5"/>
  <c r="E101" i="5"/>
  <c r="E27" i="5"/>
  <c r="I72" i="5"/>
  <c r="E45" i="5"/>
  <c r="E32" i="5"/>
  <c r="F74" i="5"/>
  <c r="G59" i="5"/>
  <c r="G98" i="5"/>
  <c r="I32" i="5"/>
  <c r="E126" i="5"/>
  <c r="E11" i="5"/>
  <c r="H81" i="5"/>
  <c r="I86" i="5"/>
  <c r="I2" i="5"/>
  <c r="N39" i="12"/>
  <c r="O75" i="12"/>
  <c r="G118" i="5"/>
  <c r="I89" i="5"/>
  <c r="I38" i="5"/>
  <c r="F51" i="5"/>
  <c r="F61" i="5"/>
  <c r="N60" i="12"/>
  <c r="H126" i="5"/>
  <c r="G26" i="5"/>
  <c r="H66" i="5"/>
  <c r="N50" i="12"/>
  <c r="E36" i="5"/>
  <c r="G50" i="5"/>
  <c r="I48" i="5"/>
  <c r="I22" i="5"/>
  <c r="I122" i="5"/>
  <c r="F81" i="5"/>
  <c r="H106" i="5"/>
  <c r="H83" i="5"/>
  <c r="G74" i="5"/>
  <c r="E42" i="5"/>
  <c r="G64" i="5"/>
  <c r="H100" i="5"/>
  <c r="G7" i="5"/>
  <c r="E85" i="5"/>
  <c r="G32" i="5"/>
  <c r="H23" i="5"/>
  <c r="F36" i="5"/>
  <c r="H96" i="5"/>
  <c r="I94" i="5"/>
  <c r="F22" i="5"/>
  <c r="F17" i="5"/>
  <c r="H99" i="5"/>
  <c r="F33" i="5"/>
  <c r="H55" i="5"/>
  <c r="F46" i="5"/>
  <c r="H63" i="5"/>
  <c r="I116" i="5"/>
  <c r="H24" i="5"/>
  <c r="N40" i="12"/>
  <c r="F62" i="5"/>
  <c r="G84" i="5"/>
  <c r="F106" i="5"/>
  <c r="I31" i="5"/>
  <c r="G67" i="5"/>
  <c r="F27" i="5"/>
  <c r="I9" i="5"/>
  <c r="O52" i="12"/>
  <c r="F30" i="5"/>
  <c r="F5" i="5"/>
  <c r="H64" i="5"/>
  <c r="I126"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R71" i="12"/>
  <c r="R63" i="12"/>
  <c r="R65" i="12"/>
  <c r="R56" i="12"/>
  <c r="R67" i="12"/>
  <c r="R64" i="12"/>
  <c r="S64" i="12" s="1"/>
  <c r="R61" i="12"/>
  <c r="R70" i="12"/>
  <c r="D14" i="6"/>
  <c r="R73" i="12"/>
  <c r="C26" i="6"/>
  <c r="R55" i="12"/>
  <c r="J1" i="5" a="1"/>
  <c r="P43" i="12"/>
  <c r="Z16" i="12"/>
  <c r="Y30" i="12"/>
  <c r="R32" i="12"/>
  <c r="R51" i="12"/>
  <c r="R39" i="12"/>
  <c r="P70" i="12"/>
  <c r="P47" i="12"/>
  <c r="P66" i="12"/>
  <c r="R59" i="12"/>
  <c r="S59" i="12" s="1"/>
  <c r="P39" i="12"/>
  <c r="Y28" i="12"/>
  <c r="R25" i="12"/>
  <c r="Y40" i="12"/>
  <c r="R74" i="12"/>
  <c r="P69" i="12"/>
  <c r="P53" i="12"/>
  <c r="Y43" i="12"/>
  <c r="Y33" i="12"/>
  <c r="R22" i="12"/>
  <c r="Y29" i="12"/>
  <c r="P51" i="12"/>
  <c r="R69" i="12"/>
  <c r="R41" i="12"/>
  <c r="R50" i="12"/>
  <c r="R58" i="12"/>
  <c r="R66" i="12"/>
  <c r="AA16" i="12"/>
  <c r="R34" i="12"/>
  <c r="R47" i="12"/>
  <c r="R23" i="12"/>
  <c r="R60" i="12"/>
  <c r="S56" i="12"/>
  <c r="P58" i="12"/>
  <c r="P50" i="12"/>
  <c r="R21" i="12"/>
  <c r="Y32" i="12"/>
  <c r="R46" i="12"/>
  <c r="R36" i="12"/>
  <c r="Y37" i="12"/>
  <c r="X45" i="12"/>
  <c r="P45" i="12"/>
  <c r="P73" i="12"/>
  <c r="P67" i="12"/>
  <c r="P44" i="12"/>
  <c r="P41" i="12"/>
  <c r="R53" i="12"/>
  <c r="Y41" i="12"/>
  <c r="Y27" i="12"/>
  <c r="P60" i="12"/>
  <c r="C27" i="6"/>
  <c r="P54" i="12"/>
  <c r="P65" i="12"/>
  <c r="P49" i="12"/>
  <c r="P57" i="12"/>
  <c r="Y42" i="12"/>
  <c r="R45" i="12"/>
  <c r="R57" i="12"/>
  <c r="R75" i="12"/>
  <c r="P71" i="12"/>
  <c r="Y20" i="12"/>
  <c r="R24" i="12"/>
  <c r="Y35" i="12"/>
  <c r="R62" i="12"/>
  <c r="S62" i="12" s="1"/>
  <c r="P62" i="12"/>
  <c r="R68" i="12"/>
  <c r="R33" i="12"/>
  <c r="S33" i="12" s="1"/>
  <c r="R27" i="12"/>
  <c r="R72" i="12"/>
  <c r="R49" i="12"/>
  <c r="S74" i="12"/>
  <c r="P40" i="12"/>
  <c r="P72" i="12"/>
  <c r="Y22" i="12"/>
  <c r="R42" i="12"/>
  <c r="P52" i="12"/>
  <c r="P75" i="12"/>
  <c r="P48" i="12"/>
  <c r="P55" i="12"/>
  <c r="D15" i="6"/>
  <c r="P42" i="12"/>
  <c r="P63" i="12"/>
  <c r="P68" i="12"/>
  <c r="P56" i="12"/>
  <c r="P74" i="12"/>
  <c r="D29" i="6"/>
  <c r="P59" i="12"/>
  <c r="P46" i="12"/>
  <c r="P61" i="12"/>
  <c r="J23" i="12"/>
  <c r="Y36" i="12"/>
  <c r="R29" i="12"/>
  <c r="Y26" i="12"/>
  <c r="R43" i="12"/>
  <c r="Y34" i="12"/>
  <c r="Y44" i="12"/>
  <c r="R54" i="12"/>
  <c r="R19" i="12"/>
  <c r="Y24" i="12"/>
  <c r="Y45" i="12"/>
  <c r="Y25" i="12"/>
  <c r="R35" i="12"/>
  <c r="R31" i="12"/>
  <c r="Y19" i="12"/>
  <c r="R52" i="12"/>
  <c r="R20" i="12"/>
  <c r="Y38" i="12"/>
  <c r="Y39" i="12"/>
  <c r="Y31" i="12"/>
  <c r="R28" i="12"/>
  <c r="Y23" i="12"/>
  <c r="R30" i="12"/>
  <c r="R44" i="12"/>
  <c r="Y21" i="12"/>
  <c r="R48" i="12"/>
  <c r="R40" i="12"/>
  <c r="R26" i="12"/>
  <c r="T33" i="12" l="1"/>
  <c r="J98" i="5"/>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T59" i="12"/>
  <c r="T74" i="12"/>
  <c r="T62" i="12"/>
  <c r="E14" i="12"/>
  <c r="E16" i="12"/>
  <c r="E5" i="12"/>
  <c r="E7" i="12"/>
  <c r="E10" i="12"/>
  <c r="E3" i="12"/>
  <c r="E12" i="12"/>
  <c r="E4" i="12"/>
  <c r="E11" i="12"/>
  <c r="E13" i="12"/>
  <c r="E15" i="12"/>
  <c r="E6" i="12"/>
  <c r="E9" i="12"/>
  <c r="E8" i="12"/>
  <c r="T56" i="12"/>
  <c r="S28" i="12"/>
  <c r="S60" i="12"/>
  <c r="S22" i="12"/>
  <c r="S21" i="12"/>
  <c r="S35" i="12"/>
  <c r="S66" i="12"/>
  <c r="S63" i="12"/>
  <c r="S25" i="12"/>
  <c r="S43" i="12"/>
  <c r="S48" i="12"/>
  <c r="S61" i="12"/>
  <c r="S52" i="12"/>
  <c r="S58" i="12"/>
  <c r="S36" i="12"/>
  <c r="S65" i="12"/>
  <c r="S69" i="12"/>
  <c r="S30" i="12"/>
  <c r="S42" i="12"/>
  <c r="S70" i="12"/>
  <c r="S27" i="12"/>
  <c r="S34" i="12"/>
  <c r="S51" i="12"/>
  <c r="S67" i="12"/>
  <c r="S53" i="12"/>
  <c r="P64" i="12"/>
  <c r="S24" i="12"/>
  <c r="S68" i="12"/>
  <c r="S57" i="12"/>
  <c r="S47" i="12"/>
  <c r="S50" i="12"/>
  <c r="S31" i="12"/>
  <c r="S55" i="12"/>
  <c r="S75" i="12"/>
  <c r="S49" i="12"/>
  <c r="S23" i="12"/>
  <c r="X46" i="12"/>
  <c r="Y46" i="12" s="1"/>
  <c r="S20" i="12"/>
  <c r="S32" i="12"/>
  <c r="S71" i="12"/>
  <c r="S19" i="12"/>
  <c r="S73" i="12"/>
  <c r="S44" i="12"/>
  <c r="S54" i="12"/>
  <c r="S39" i="12"/>
  <c r="S72" i="12"/>
  <c r="S46" i="12"/>
  <c r="D28" i="6"/>
  <c r="S41" i="12"/>
  <c r="S40" i="12"/>
  <c r="S26" i="12"/>
  <c r="S29" i="12"/>
  <c r="S45" i="12"/>
  <c r="T75" i="12" l="1"/>
  <c r="T68" i="12"/>
  <c r="T27" i="12"/>
  <c r="T61" i="12"/>
  <c r="T25" i="12"/>
  <c r="T28" i="12"/>
  <c r="T32" i="12"/>
  <c r="T63" i="12"/>
  <c r="T65" i="12"/>
  <c r="T44" i="12"/>
  <c r="T20" i="12"/>
  <c r="T69" i="12"/>
  <c r="T36" i="12"/>
  <c r="T21" i="12"/>
  <c r="T30" i="12"/>
  <c r="T47" i="12"/>
  <c r="T51" i="12"/>
  <c r="T43" i="12"/>
  <c r="T49" i="12"/>
  <c r="T46" i="12"/>
  <c r="T19" i="12"/>
  <c r="T71" i="12"/>
  <c r="T22" i="12"/>
  <c r="T57" i="12"/>
  <c r="T72" i="12"/>
  <c r="T66" i="12"/>
  <c r="T70" i="12"/>
  <c r="T53" i="12"/>
  <c r="T58" i="12"/>
  <c r="T40" i="12"/>
  <c r="T34" i="12"/>
  <c r="T54" i="12"/>
  <c r="T55" i="12"/>
  <c r="T73" i="12"/>
  <c r="T35" i="12"/>
  <c r="T50" i="12"/>
  <c r="T39" i="12"/>
  <c r="T29" i="12"/>
  <c r="T60" i="12"/>
  <c r="T31" i="12"/>
  <c r="T26" i="12"/>
  <c r="T48" i="12"/>
  <c r="T42" i="12"/>
  <c r="T67" i="12"/>
  <c r="T23" i="12"/>
  <c r="T52" i="12"/>
  <c r="T45" i="12"/>
  <c r="T64" i="12"/>
  <c r="T24" i="12"/>
  <c r="T41" i="12"/>
  <c r="X47" i="12"/>
  <c r="Y47" i="12"/>
  <c r="U19" i="12" l="1"/>
  <c r="U40" i="12"/>
  <c r="X48" i="12"/>
  <c r="Y48" i="12"/>
  <c r="D27" i="6"/>
  <c r="X49" i="12"/>
  <c r="Y49" i="12"/>
  <c r="X50" i="12"/>
  <c r="X51" i="12" s="1"/>
  <c r="Y50" i="12"/>
  <c r="D26" i="6"/>
  <c r="X52" i="12"/>
  <c r="X53" i="12"/>
  <c r="X54" i="12"/>
  <c r="Y53" i="12"/>
  <c r="Y54" i="12"/>
  <c r="X55" i="12"/>
  <c r="Y55" i="12"/>
  <c r="X56" i="12"/>
  <c r="X57" i="12"/>
  <c r="X58" i="12"/>
  <c r="X59" i="12"/>
  <c r="Y58" i="12"/>
  <c r="X60" i="12"/>
  <c r="Y59" i="12"/>
  <c r="Y60" i="12"/>
  <c r="X61" i="12"/>
  <c r="X62" i="12"/>
  <c r="Y61" i="12"/>
  <c r="Y62" i="12"/>
  <c r="X63" i="12"/>
  <c r="X64" i="12"/>
  <c r="Y63" i="12"/>
  <c r="Y64" i="12"/>
  <c r="X65" i="12"/>
  <c r="X66" i="12"/>
  <c r="Y65" i="12"/>
  <c r="X67" i="12"/>
  <c r="Y66" i="12"/>
  <c r="Y67" i="12"/>
  <c r="X68" i="12"/>
  <c r="Y57" i="12"/>
  <c r="Y56" i="12"/>
  <c r="Y52" i="12"/>
  <c r="Y51" i="12"/>
  <c r="Y68" i="12"/>
  <c r="X69" i="12"/>
  <c r="X70" i="12"/>
  <c r="Y69" i="12"/>
  <c r="Y70" i="12"/>
  <c r="X71" i="12"/>
  <c r="Y71" i="12"/>
  <c r="X72" i="12"/>
  <c r="Y72" i="12"/>
  <c r="X73" i="12"/>
  <c r="X74" i="12"/>
  <c r="Y73" i="12"/>
  <c r="Y74" i="12"/>
  <c r="X75" i="12"/>
  <c r="Y75" i="12"/>
  <c r="X76" i="12"/>
  <c r="Y76" i="12"/>
  <c r="X77" i="12"/>
  <c r="Y77" i="12"/>
  <c r="X78" i="12"/>
  <c r="Y78" i="12"/>
  <c r="X79" i="12"/>
  <c r="X80" i="12"/>
  <c r="Y79" i="12"/>
  <c r="Y80" i="12"/>
  <c r="X81" i="12"/>
  <c r="Y81" i="12"/>
  <c r="X82" i="12"/>
  <c r="Y82" i="12"/>
  <c r="X83" i="12"/>
  <c r="Y83" i="12"/>
  <c r="X84" i="12"/>
  <c r="Y84" i="12"/>
  <c r="X85" i="12"/>
  <c r="Y85" i="12"/>
  <c r="X86" i="12"/>
  <c r="Y86" i="12"/>
  <c r="X87" i="12"/>
  <c r="Y87" i="12"/>
  <c r="X88" i="12"/>
  <c r="Y88" i="12"/>
  <c r="X89" i="12"/>
  <c r="Y89" i="12"/>
  <c r="X90" i="12"/>
  <c r="Y90" i="12"/>
  <c r="X91" i="12"/>
  <c r="Y91" i="12"/>
  <c r="X92" i="12"/>
  <c r="Y92" i="12"/>
  <c r="X93" i="12"/>
  <c r="Y93" i="12"/>
  <c r="X94" i="12"/>
  <c r="Y94" i="12"/>
  <c r="X95" i="12"/>
  <c r="Y95" i="12"/>
  <c r="X96" i="12"/>
  <c r="Y96" i="12"/>
  <c r="X97" i="12"/>
  <c r="Y97" i="12"/>
  <c r="X98" i="12"/>
  <c r="Y98" i="12"/>
  <c r="X99" i="12"/>
  <c r="X100" i="12"/>
  <c r="Y99" i="12"/>
  <c r="Y100" i="12"/>
  <c r="X101" i="12"/>
  <c r="Y101" i="12"/>
  <c r="X102" i="12"/>
  <c r="Y102" i="12"/>
  <c r="X103" i="12"/>
  <c r="Y103" i="12"/>
  <c r="X104" i="12"/>
  <c r="Y104" i="12"/>
  <c r="X105" i="12"/>
  <c r="Y105" i="12"/>
  <c r="X106" i="12"/>
  <c r="X107" i="12"/>
  <c r="Y106" i="12"/>
  <c r="Y107" i="12"/>
  <c r="X108" i="12"/>
  <c r="Y108" i="12"/>
  <c r="X109" i="12"/>
  <c r="Y109" i="12"/>
  <c r="X110" i="12"/>
  <c r="Y110" i="12"/>
  <c r="X111" i="12"/>
  <c r="Y111" i="12"/>
  <c r="X112" i="12"/>
  <c r="Y112" i="12"/>
  <c r="X113" i="12"/>
  <c r="Y113" i="12"/>
  <c r="X114" i="12"/>
  <c r="Y114" i="12"/>
  <c r="X115" i="12"/>
  <c r="Y115" i="12"/>
  <c r="X116" i="12"/>
  <c r="Y116" i="12"/>
  <c r="X117" i="12"/>
  <c r="Y117" i="12"/>
  <c r="X118" i="12"/>
  <c r="X119" i="12"/>
  <c r="Y118" i="12"/>
  <c r="Y119" i="12"/>
  <c r="X120" i="12"/>
  <c r="Y120" i="12"/>
  <c r="X121" i="12"/>
  <c r="X122" i="12"/>
  <c r="Y121" i="12"/>
  <c r="Y122" i="12"/>
  <c r="X123" i="12"/>
  <c r="X124" i="12"/>
  <c r="Y123" i="12"/>
  <c r="Y124" i="12"/>
  <c r="X125" i="12"/>
  <c r="Y125" i="12"/>
  <c r="X126" i="12"/>
  <c r="Y126" i="12"/>
  <c r="X127" i="12"/>
  <c r="Y127" i="12"/>
  <c r="X128" i="12"/>
  <c r="Y128" i="12"/>
  <c r="X129" i="12"/>
  <c r="X130" i="12"/>
  <c r="Y129" i="12"/>
  <c r="Y130" i="12"/>
  <c r="X131" i="12"/>
  <c r="Y131" i="12"/>
  <c r="X132" i="12"/>
  <c r="Y132" i="12"/>
  <c r="X133" i="12"/>
  <c r="Y133" i="12"/>
  <c r="X134" i="12"/>
  <c r="X135" i="12"/>
  <c r="Y134" i="12"/>
  <c r="Y135" i="12"/>
  <c r="X136" i="12"/>
  <c r="Y136" i="12"/>
  <c r="X137" i="12"/>
  <c r="X138" i="12"/>
  <c r="Y137" i="12"/>
  <c r="Y138" i="12"/>
  <c r="X139" i="12"/>
  <c r="X140" i="12"/>
  <c r="Y139" i="12"/>
  <c r="Y140" i="12"/>
  <c r="X141" i="12"/>
  <c r="Y141" i="12"/>
  <c r="X142" i="12"/>
  <c r="Y142" i="12"/>
  <c r="X143" i="12"/>
  <c r="Y143" i="12"/>
  <c r="X144" i="12"/>
  <c r="Y144" i="12"/>
  <c r="X145" i="12"/>
  <c r="X146" i="12"/>
  <c r="Y145" i="12"/>
  <c r="Y146" i="12"/>
  <c r="X147" i="12"/>
  <c r="Y147" i="12"/>
  <c r="X148" i="12"/>
  <c r="Y148" i="12"/>
  <c r="X149" i="12"/>
  <c r="Y149" i="12"/>
  <c r="X150" i="12"/>
  <c r="X151" i="12"/>
  <c r="Y150" i="12"/>
  <c r="Y151" i="12"/>
  <c r="X152" i="12"/>
  <c r="Y152" i="12"/>
  <c r="X153" i="12"/>
  <c r="Y153" i="12"/>
  <c r="X154" i="12"/>
  <c r="X155" i="12"/>
  <c r="Y154" i="12"/>
  <c r="X156" i="12"/>
  <c r="Y155" i="12"/>
  <c r="Y156" i="12"/>
  <c r="X157" i="12"/>
  <c r="Y157" i="12"/>
  <c r="X158" i="12"/>
  <c r="Y158" i="12"/>
  <c r="X159" i="12"/>
  <c r="Y159" i="12"/>
  <c r="X160" i="12"/>
  <c r="Y160" i="12"/>
  <c r="X161" i="12"/>
  <c r="X162" i="12"/>
  <c r="Y161" i="12"/>
  <c r="Y162" i="12"/>
  <c r="X163" i="12"/>
  <c r="X164" i="12"/>
  <c r="Y163" i="12"/>
  <c r="Y164" i="12"/>
  <c r="X165" i="12"/>
  <c r="Y165" i="12"/>
  <c r="X166" i="12"/>
  <c r="X167" i="12"/>
  <c r="Y166" i="12"/>
  <c r="Y167" i="12"/>
  <c r="X168" i="12"/>
  <c r="Y168" i="12"/>
  <c r="X169" i="12"/>
  <c r="Y169" i="12"/>
  <c r="X170" i="12"/>
  <c r="X171" i="12"/>
  <c r="Y170" i="12"/>
  <c r="X172" i="12"/>
  <c r="Y171" i="12"/>
  <c r="Y172" i="12"/>
  <c r="X173" i="12"/>
  <c r="Y173" i="12"/>
  <c r="X174" i="12"/>
  <c r="Y174" i="12"/>
  <c r="X175" i="12"/>
  <c r="Y175" i="12"/>
  <c r="X176" i="12"/>
  <c r="Y176" i="12"/>
  <c r="X177" i="12"/>
  <c r="X178" i="12"/>
  <c r="Y177" i="12"/>
  <c r="Y178" i="12"/>
  <c r="X179" i="12"/>
  <c r="Y179" i="12"/>
  <c r="X180" i="12"/>
  <c r="Y180" i="12"/>
  <c r="X181" i="12"/>
  <c r="Y181" i="12"/>
  <c r="X182" i="12"/>
  <c r="X183" i="12"/>
  <c r="Y182" i="12"/>
  <c r="Y183" i="12"/>
  <c r="X184" i="12"/>
  <c r="Y184" i="12"/>
  <c r="X185" i="12"/>
  <c r="Y185" i="12"/>
  <c r="X186" i="12"/>
  <c r="Y186" i="12"/>
  <c r="X187" i="12"/>
  <c r="X188" i="12"/>
  <c r="Y187" i="12"/>
  <c r="Y188" i="12"/>
  <c r="X189" i="12"/>
  <c r="Y189" i="12"/>
  <c r="X190" i="12"/>
  <c r="Y190" i="12"/>
  <c r="X191" i="12"/>
  <c r="Y191" i="12"/>
  <c r="X192" i="12"/>
  <c r="Y192" i="12"/>
  <c r="X193" i="12"/>
  <c r="X194" i="12"/>
  <c r="Y193" i="12"/>
  <c r="Y194" i="12"/>
  <c r="X195" i="12"/>
  <c r="Y195" i="12"/>
  <c r="X196" i="12"/>
  <c r="Y196" i="12"/>
  <c r="X197" i="12"/>
  <c r="X198" i="12"/>
  <c r="Y197" i="12"/>
  <c r="X199" i="12"/>
  <c r="Y198" i="12"/>
  <c r="Y199" i="12"/>
  <c r="X200" i="12"/>
  <c r="Y200" i="12"/>
  <c r="X201" i="12"/>
  <c r="Y201" i="12"/>
  <c r="X202" i="12"/>
  <c r="Y202" i="12"/>
  <c r="X203" i="12"/>
  <c r="X204" i="12"/>
  <c r="Y203" i="12"/>
  <c r="Y204" i="12"/>
  <c r="X205" i="12"/>
  <c r="Y205" i="12"/>
  <c r="X206" i="12"/>
  <c r="X207" i="12"/>
  <c r="Y206" i="12"/>
  <c r="Y207" i="12"/>
  <c r="X208" i="12"/>
  <c r="Y208" i="12"/>
  <c r="X209" i="12"/>
  <c r="X210" i="12"/>
  <c r="Y209" i="12"/>
  <c r="Y210" i="12"/>
  <c r="X211" i="12"/>
  <c r="Y211" i="12"/>
  <c r="X212" i="12"/>
  <c r="Y212" i="12"/>
  <c r="X213" i="12"/>
  <c r="Y213" i="12"/>
  <c r="X214" i="12"/>
  <c r="X215" i="12"/>
  <c r="Y214" i="12"/>
  <c r="Y215" i="12"/>
  <c r="X216" i="12"/>
  <c r="Y216" i="12"/>
  <c r="X217" i="12"/>
  <c r="Y217" i="12"/>
  <c r="X218" i="12"/>
  <c r="Y218" i="12"/>
  <c r="X219" i="12"/>
  <c r="X220" i="12"/>
  <c r="Y219" i="12"/>
  <c r="Y220" i="12"/>
  <c r="X221" i="12"/>
  <c r="Y221" i="12"/>
  <c r="X222" i="12"/>
  <c r="X223" i="12"/>
  <c r="Y222" i="12"/>
  <c r="Y223" i="12"/>
  <c r="X224" i="12"/>
  <c r="Y224" i="12"/>
  <c r="X225" i="12"/>
  <c r="X226" i="12"/>
  <c r="Y225" i="12"/>
  <c r="Y226" i="12"/>
  <c r="X227" i="12"/>
  <c r="Y227" i="12"/>
  <c r="X228" i="12"/>
  <c r="Y228" i="12"/>
  <c r="X229" i="12"/>
  <c r="Y229" i="12"/>
  <c r="X230" i="12"/>
  <c r="X231" i="12"/>
  <c r="Y230" i="12"/>
  <c r="Y231" i="12"/>
  <c r="X232" i="12"/>
  <c r="Y232" i="12"/>
  <c r="X233" i="12"/>
  <c r="Y233" i="12"/>
  <c r="X234" i="12"/>
  <c r="Y234" i="12"/>
  <c r="X235" i="12"/>
  <c r="X236" i="12"/>
  <c r="Y235" i="12"/>
  <c r="Y236" i="12"/>
  <c r="X237" i="12"/>
  <c r="Y237" i="12"/>
  <c r="X238" i="12"/>
  <c r="Y238" i="12"/>
  <c r="X239" i="12"/>
  <c r="Y239" i="12"/>
  <c r="X240" i="12"/>
  <c r="Y240" i="12"/>
  <c r="X241" i="12"/>
  <c r="X242" i="12"/>
  <c r="Y241" i="12"/>
  <c r="Y242" i="12"/>
  <c r="X243" i="12"/>
  <c r="Y243" i="12"/>
  <c r="X244" i="12"/>
  <c r="Y244" i="12"/>
  <c r="X245" i="12"/>
  <c r="Y245" i="12"/>
  <c r="X246" i="12"/>
  <c r="X247" i="12"/>
  <c r="Y246" i="12"/>
  <c r="Y247" i="12"/>
  <c r="X248" i="12"/>
  <c r="Y248" i="12"/>
  <c r="X249" i="12"/>
  <c r="Y249" i="12"/>
  <c r="X250" i="12"/>
  <c r="X251" i="12"/>
  <c r="Y250" i="12"/>
  <c r="X252" i="12"/>
  <c r="Y251" i="12"/>
  <c r="Y252" i="12"/>
  <c r="X253" i="12"/>
  <c r="Y253" i="12"/>
  <c r="X254" i="12"/>
  <c r="Y254" i="12"/>
  <c r="X255" i="12"/>
  <c r="Y255" i="12"/>
  <c r="X256" i="12"/>
  <c r="Y256" i="12"/>
  <c r="X257" i="12"/>
  <c r="X258" i="12"/>
  <c r="Y257" i="12"/>
  <c r="Y258" i="12"/>
  <c r="X259" i="12"/>
  <c r="Y259" i="12"/>
  <c r="X260" i="12"/>
  <c r="Y260" i="12"/>
  <c r="X261" i="12"/>
  <c r="Y261" i="12"/>
  <c r="X262" i="12"/>
  <c r="X263" i="12"/>
  <c r="Y262" i="12"/>
  <c r="Y263" i="12"/>
  <c r="X264" i="12"/>
  <c r="Y264" i="12"/>
  <c r="X265" i="12"/>
  <c r="X266" i="12"/>
  <c r="Y265" i="12"/>
  <c r="Y266" i="12"/>
  <c r="X267" i="12"/>
  <c r="X268" i="12"/>
  <c r="Y267" i="12"/>
  <c r="Y268" i="12"/>
  <c r="X269" i="12"/>
  <c r="Y269" i="12"/>
  <c r="X270" i="12"/>
  <c r="Y270" i="12"/>
  <c r="X271" i="12"/>
  <c r="Y271" i="12"/>
  <c r="X272" i="12"/>
  <c r="Y272" i="12"/>
  <c r="X273" i="12"/>
  <c r="X274" i="12"/>
  <c r="Y273" i="12"/>
  <c r="Y274" i="12"/>
  <c r="X275" i="12"/>
  <c r="Y275" i="12"/>
  <c r="X276" i="12"/>
  <c r="Y276" i="12"/>
  <c r="X277" i="12"/>
  <c r="Y277" i="12"/>
  <c r="X278" i="12"/>
  <c r="X279" i="12"/>
  <c r="Y278" i="12"/>
  <c r="Y279" i="12"/>
  <c r="X280" i="12"/>
  <c r="Y280" i="12"/>
  <c r="X281" i="12"/>
  <c r="Y281" i="12"/>
  <c r="X282" i="12"/>
  <c r="Y282" i="12"/>
  <c r="X283" i="12"/>
  <c r="X284" i="12"/>
  <c r="Y283" i="12"/>
  <c r="Y284" i="12"/>
  <c r="X285" i="12"/>
  <c r="Y285" i="12"/>
  <c r="X286" i="12"/>
  <c r="Y286" i="12"/>
  <c r="X287" i="12"/>
  <c r="Y287" i="12"/>
  <c r="X288" i="12"/>
  <c r="Y288" i="12"/>
  <c r="X289" i="12"/>
  <c r="X290" i="12"/>
  <c r="Y289" i="12"/>
  <c r="Y290" i="12"/>
  <c r="X291" i="12"/>
  <c r="Y291" i="12"/>
  <c r="X292" i="12"/>
  <c r="Y292" i="12"/>
  <c r="X293" i="12"/>
  <c r="X294" i="12"/>
  <c r="Y293" i="12"/>
  <c r="X295" i="12"/>
  <c r="Y294" i="12"/>
  <c r="Y295" i="12"/>
  <c r="X296" i="12"/>
  <c r="Y296" i="12"/>
  <c r="X297" i="12"/>
  <c r="Y297" i="12"/>
  <c r="X298" i="12"/>
  <c r="Y298" i="12"/>
  <c r="X299" i="12"/>
  <c r="X300" i="12"/>
  <c r="Y299" i="12"/>
  <c r="Y300" i="12"/>
  <c r="X301" i="12"/>
  <c r="Y301" i="12"/>
  <c r="X302" i="12"/>
  <c r="Y302" i="12"/>
  <c r="X303" i="12"/>
  <c r="Y303" i="12"/>
  <c r="X304" i="12"/>
  <c r="Y304" i="12"/>
  <c r="X305" i="12"/>
  <c r="X306" i="12"/>
  <c r="Y305" i="12"/>
  <c r="Y306" i="12"/>
  <c r="X307" i="12"/>
  <c r="X308" i="12"/>
  <c r="Y307" i="12"/>
  <c r="Y308" i="12"/>
  <c r="X309" i="12"/>
  <c r="Y309" i="12"/>
  <c r="X310" i="12"/>
  <c r="X311" i="12"/>
  <c r="Y310" i="12"/>
  <c r="Y311" i="12"/>
  <c r="X312" i="12"/>
  <c r="Y312" i="12"/>
  <c r="X313" i="12"/>
  <c r="Y313" i="12"/>
  <c r="X314" i="12"/>
  <c r="Y314" i="12"/>
  <c r="X315" i="12"/>
  <c r="X316" i="12"/>
  <c r="Y315" i="12"/>
  <c r="Y316" i="12"/>
  <c r="X317" i="12"/>
  <c r="Y317" i="12"/>
  <c r="X318" i="12"/>
  <c r="Y318" i="12"/>
  <c r="X319" i="12"/>
  <c r="Y319" i="12"/>
  <c r="X320" i="12"/>
  <c r="Y320" i="12"/>
  <c r="X321" i="12"/>
  <c r="X322" i="12"/>
  <c r="Y321" i="12"/>
  <c r="Y322" i="12"/>
  <c r="X323" i="12"/>
  <c r="Y323" i="12"/>
  <c r="X324" i="12"/>
  <c r="Y324" i="12"/>
  <c r="X325" i="12"/>
  <c r="Y325" i="12"/>
  <c r="X326" i="12"/>
  <c r="X327" i="12"/>
  <c r="Y326" i="12"/>
  <c r="Y327" i="12"/>
  <c r="X328" i="12"/>
  <c r="Y328" i="12"/>
  <c r="X329" i="12"/>
  <c r="Y329" i="12"/>
  <c r="X330" i="12"/>
  <c r="Y330" i="12"/>
  <c r="X331" i="12"/>
  <c r="X332" i="12"/>
  <c r="Y331" i="12"/>
  <c r="Y332" i="12"/>
  <c r="X333" i="12"/>
  <c r="Y333" i="12"/>
  <c r="X334" i="12"/>
  <c r="Y334" i="12"/>
  <c r="X335" i="12"/>
  <c r="X336" i="12"/>
  <c r="Y335" i="12"/>
  <c r="Y336" i="12"/>
  <c r="X337" i="12"/>
  <c r="X338" i="12"/>
  <c r="Y337" i="12"/>
  <c r="Y338" i="12"/>
  <c r="X339" i="12"/>
  <c r="Y339" i="12"/>
  <c r="X340" i="12"/>
  <c r="Y340" i="12"/>
  <c r="X341" i="12"/>
  <c r="Y341" i="12"/>
  <c r="X342" i="12"/>
  <c r="X343" i="12"/>
  <c r="Y342" i="12"/>
  <c r="Y343" i="12"/>
  <c r="X344" i="12"/>
  <c r="Y344" i="12"/>
  <c r="X345" i="12"/>
  <c r="Y345" i="12"/>
  <c r="X346" i="12"/>
  <c r="Y346" i="12"/>
  <c r="X347" i="12"/>
  <c r="X348" i="12"/>
  <c r="Y347" i="12"/>
  <c r="Y348" i="12"/>
  <c r="X349" i="12"/>
  <c r="Y349" i="12"/>
  <c r="X350" i="12"/>
  <c r="X351" i="12"/>
  <c r="Y350" i="12"/>
  <c r="Y351" i="12"/>
  <c r="X352" i="12"/>
  <c r="Y352" i="12"/>
  <c r="X353" i="12"/>
  <c r="X354" i="12"/>
  <c r="Y353" i="12"/>
  <c r="Y354" i="12"/>
  <c r="X355" i="12"/>
  <c r="Y355" i="12"/>
  <c r="X356" i="12"/>
  <c r="Y356" i="12"/>
  <c r="X357" i="12"/>
  <c r="Y357" i="12"/>
  <c r="X358" i="12"/>
  <c r="X359" i="12"/>
  <c r="Y358" i="12"/>
  <c r="Y359" i="12"/>
  <c r="X360" i="12"/>
  <c r="Y360" i="12"/>
  <c r="X361" i="12"/>
  <c r="Y361" i="12"/>
  <c r="X362" i="12"/>
  <c r="Y362" i="12"/>
  <c r="X363" i="12"/>
  <c r="X364" i="12"/>
  <c r="Y363" i="12"/>
  <c r="Y364" i="12"/>
  <c r="X365" i="12"/>
  <c r="Y365" i="12"/>
  <c r="X366" i="12"/>
  <c r="Y366" i="12"/>
  <c r="X367" i="12"/>
  <c r="Y367" i="12"/>
  <c r="X368" i="12"/>
  <c r="Y368" i="12"/>
  <c r="X369" i="12"/>
  <c r="X370" i="12"/>
  <c r="Y369" i="12"/>
  <c r="Y370" i="12"/>
  <c r="X371" i="12"/>
  <c r="Y371" i="12"/>
  <c r="X372" i="12"/>
  <c r="Y372" i="12"/>
  <c r="X373" i="12"/>
  <c r="Y373" i="12"/>
  <c r="X374" i="12"/>
  <c r="X375" i="12"/>
  <c r="Y374" i="12"/>
  <c r="Y375" i="12"/>
  <c r="X376" i="12"/>
  <c r="Y376" i="12"/>
  <c r="X377" i="12"/>
  <c r="X378" i="12"/>
  <c r="Y377" i="12"/>
  <c r="Y378" i="12"/>
  <c r="X379" i="12"/>
  <c r="X380" i="12"/>
  <c r="Y379" i="12"/>
  <c r="Y380" i="12"/>
  <c r="X381" i="12"/>
  <c r="Y381" i="12"/>
  <c r="X382" i="12"/>
  <c r="Y382" i="12"/>
  <c r="X383" i="12"/>
  <c r="Y383" i="12"/>
  <c r="X384" i="12"/>
  <c r="Y384" i="12"/>
  <c r="X385" i="12"/>
  <c r="X386" i="12"/>
  <c r="Y385" i="12"/>
  <c r="Y386" i="12"/>
  <c r="X387" i="12"/>
  <c r="Y387" i="12"/>
  <c r="X388" i="12"/>
  <c r="Y388" i="12"/>
  <c r="X389" i="12"/>
  <c r="Y389" i="12"/>
  <c r="X390" i="12"/>
  <c r="X391" i="12"/>
  <c r="Y390" i="12"/>
  <c r="Y391" i="12"/>
  <c r="X392" i="12"/>
  <c r="Y392" i="12"/>
  <c r="X393" i="12"/>
  <c r="Y393" i="12"/>
  <c r="X394" i="12"/>
  <c r="Y394" i="12"/>
  <c r="X395" i="12"/>
  <c r="X396" i="12"/>
  <c r="Y395" i="12"/>
  <c r="Y396" i="12"/>
  <c r="X397" i="12"/>
  <c r="Y397" i="12"/>
  <c r="X398" i="12"/>
  <c r="X399" i="12"/>
  <c r="Y398" i="12"/>
  <c r="Y399" i="12"/>
  <c r="X400" i="12"/>
  <c r="Y400" i="12"/>
  <c r="X401" i="12"/>
  <c r="X402" i="12"/>
  <c r="Y401" i="12"/>
  <c r="Y402" i="12"/>
  <c r="X403" i="12"/>
  <c r="Y403" i="12"/>
  <c r="X404" i="12"/>
  <c r="Y404" i="12"/>
  <c r="X405" i="12"/>
  <c r="Y405" i="12"/>
  <c r="X406" i="12"/>
  <c r="X407" i="12"/>
  <c r="Y406" i="12"/>
  <c r="Y407" i="12"/>
  <c r="X408" i="12"/>
  <c r="Y408" i="12"/>
  <c r="X409" i="12"/>
  <c r="Y409" i="12"/>
  <c r="X410" i="12"/>
  <c r="Y410" i="12"/>
  <c r="X411" i="12"/>
  <c r="X412" i="12"/>
  <c r="Y411" i="12"/>
  <c r="Y412" i="12"/>
  <c r="X413" i="12"/>
  <c r="Y413" i="12"/>
  <c r="X414" i="12"/>
  <c r="Y414" i="12"/>
  <c r="X415" i="12"/>
  <c r="Y415" i="12"/>
  <c r="X416" i="12"/>
  <c r="Y416" i="12"/>
  <c r="X417" i="12"/>
  <c r="X418" i="12"/>
  <c r="Y417" i="12"/>
  <c r="Y418" i="12"/>
  <c r="X419" i="12"/>
  <c r="Y419" i="12"/>
  <c r="X420" i="12"/>
  <c r="Y420" i="12"/>
  <c r="X421" i="12"/>
  <c r="X422" i="12"/>
  <c r="Y421" i="12"/>
  <c r="X423" i="12"/>
  <c r="Y422" i="12"/>
  <c r="Y423" i="12"/>
  <c r="X424" i="12"/>
  <c r="Y424" i="12"/>
  <c r="X425" i="12"/>
  <c r="Y425" i="12"/>
  <c r="X426" i="12"/>
  <c r="Y426" i="12"/>
  <c r="X427" i="12"/>
  <c r="X428" i="12"/>
  <c r="Y427" i="12"/>
  <c r="Y428" i="12"/>
  <c r="X429" i="12"/>
  <c r="Y429" i="12"/>
  <c r="X430" i="12"/>
  <c r="Y430" i="12"/>
  <c r="X431" i="12"/>
  <c r="Y431" i="12"/>
  <c r="X432" i="12"/>
  <c r="Y432" i="12"/>
  <c r="X433" i="12"/>
  <c r="X434" i="12"/>
  <c r="Y433" i="12"/>
  <c r="Y434" i="12"/>
  <c r="X435" i="12"/>
  <c r="Y435" i="12"/>
  <c r="X436" i="12"/>
  <c r="Y436" i="12"/>
  <c r="X437" i="12"/>
  <c r="Y437" i="12"/>
  <c r="X438" i="12"/>
  <c r="X439" i="12"/>
  <c r="Y438" i="12"/>
  <c r="Y439" i="12"/>
  <c r="X440" i="12"/>
  <c r="Y440" i="12"/>
  <c r="X441" i="12"/>
  <c r="Y441" i="12"/>
  <c r="X442" i="12"/>
  <c r="X443" i="12"/>
  <c r="Y442" i="12"/>
  <c r="X444" i="12"/>
  <c r="Y443" i="12"/>
  <c r="Y444" i="12"/>
  <c r="X445" i="12"/>
  <c r="Y445" i="12"/>
  <c r="X446" i="12"/>
  <c r="Y446" i="12"/>
  <c r="X447" i="12"/>
  <c r="Y447" i="12"/>
  <c r="X448" i="12"/>
  <c r="Y448" i="12"/>
  <c r="X449" i="12"/>
  <c r="X450" i="12"/>
  <c r="Y449" i="12"/>
  <c r="Y450" i="12"/>
  <c r="X451" i="12"/>
  <c r="Y451" i="12"/>
  <c r="X452" i="12"/>
  <c r="Y452" i="12"/>
  <c r="X453" i="12"/>
  <c r="Y453" i="12"/>
  <c r="X454" i="12"/>
  <c r="X455" i="12"/>
  <c r="Y454" i="12"/>
  <c r="Y455" i="12"/>
  <c r="X456" i="12"/>
  <c r="Y456" i="12"/>
  <c r="X457" i="12"/>
  <c r="Y457" i="12"/>
  <c r="X458" i="12"/>
  <c r="Y458" i="12"/>
  <c r="X459" i="12"/>
  <c r="X460" i="12"/>
  <c r="Y459" i="12"/>
  <c r="Y460" i="12"/>
  <c r="X461" i="12"/>
  <c r="Y461" i="12"/>
  <c r="X462" i="12"/>
  <c r="Y462" i="12"/>
  <c r="X463" i="12"/>
  <c r="Y463" i="12"/>
  <c r="X464" i="12"/>
  <c r="Y464" i="12"/>
  <c r="X465" i="12"/>
  <c r="X466" i="12"/>
  <c r="Y465" i="12"/>
  <c r="Y466" i="12"/>
  <c r="X467" i="12"/>
  <c r="Y467" i="12"/>
  <c r="X468" i="12"/>
  <c r="Y468" i="12"/>
  <c r="X469" i="12"/>
  <c r="Y469" i="12"/>
  <c r="X470" i="12"/>
  <c r="X471" i="12"/>
  <c r="Y470" i="12"/>
  <c r="Y471" i="12"/>
  <c r="X472" i="12"/>
  <c r="Y472" i="12"/>
  <c r="X473" i="12"/>
  <c r="Y473" i="12"/>
  <c r="X474" i="12"/>
  <c r="Y474" i="12"/>
  <c r="X475" i="12"/>
  <c r="X476" i="12"/>
  <c r="Y475" i="12"/>
  <c r="Y476" i="12"/>
  <c r="X477" i="12"/>
  <c r="Y477" i="12"/>
  <c r="X478" i="12"/>
  <c r="X479" i="12"/>
  <c r="Y478" i="12"/>
  <c r="Y479" i="12"/>
  <c r="X480" i="12"/>
  <c r="Y480" i="12"/>
  <c r="X481" i="12"/>
  <c r="Y481" i="12"/>
  <c r="X482" i="12"/>
  <c r="Y482" i="12"/>
  <c r="X483" i="12"/>
  <c r="Y483" i="12"/>
  <c r="X484" i="12"/>
  <c r="Y484" i="12"/>
  <c r="X485" i="12"/>
  <c r="X486" i="12"/>
  <c r="Y485" i="12"/>
  <c r="X487" i="12"/>
  <c r="Y486" i="12"/>
  <c r="Y487" i="12"/>
  <c r="X488" i="12"/>
  <c r="Y488" i="12"/>
  <c r="X489" i="12"/>
  <c r="X490" i="12"/>
  <c r="Y489" i="12"/>
  <c r="X491" i="12"/>
  <c r="Y490" i="12"/>
  <c r="X492" i="12"/>
  <c r="Y491" i="12"/>
  <c r="Y492" i="12"/>
  <c r="X493" i="12"/>
  <c r="X494" i="12"/>
  <c r="Y493" i="12"/>
  <c r="Y494" i="12"/>
  <c r="X495" i="12"/>
  <c r="Y495" i="12"/>
  <c r="X496" i="12"/>
  <c r="Y496" i="12"/>
  <c r="X497" i="12"/>
  <c r="Y497" i="12"/>
  <c r="X498" i="12"/>
  <c r="Y498" i="12"/>
  <c r="X499" i="12"/>
  <c r="Y499" i="12"/>
  <c r="X500" i="12"/>
  <c r="Y500" i="12"/>
  <c r="X501" i="12"/>
  <c r="X502" i="12"/>
  <c r="Y501" i="12"/>
  <c r="X503" i="12"/>
  <c r="Y502" i="12"/>
  <c r="Y503" i="12"/>
  <c r="X504" i="12"/>
  <c r="Y504" i="12"/>
  <c r="X505" i="12"/>
  <c r="X506" i="12"/>
  <c r="Y505" i="12"/>
  <c r="Y506" i="12"/>
  <c r="X507" i="12"/>
  <c r="X508" i="12"/>
  <c r="Y507" i="12"/>
  <c r="Y508" i="12"/>
  <c r="X509" i="12"/>
  <c r="X510" i="12"/>
  <c r="Y509" i="12"/>
  <c r="Y510" i="12"/>
  <c r="X511" i="12"/>
  <c r="Y511" i="12"/>
  <c r="X512" i="12"/>
  <c r="Y512" i="12"/>
  <c r="X513" i="12"/>
  <c r="Y513" i="12"/>
  <c r="X514" i="12"/>
  <c r="Y514" i="12"/>
  <c r="X515" i="12"/>
  <c r="Y515" i="12"/>
  <c r="X516" i="12"/>
  <c r="Y516" i="12"/>
  <c r="X517" i="12"/>
  <c r="X518" i="12"/>
  <c r="Y517" i="12"/>
  <c r="X519" i="12"/>
  <c r="Y518" i="12"/>
  <c r="Y519" i="12"/>
  <c r="X520" i="12"/>
  <c r="Y520" i="12"/>
  <c r="X521" i="12"/>
  <c r="X522" i="12"/>
  <c r="Y521" i="12"/>
  <c r="Y522" i="12"/>
  <c r="X523" i="12"/>
  <c r="X524" i="12"/>
  <c r="Y523" i="12"/>
  <c r="Y524" i="12"/>
  <c r="X525" i="12"/>
  <c r="X526" i="12"/>
  <c r="Y525" i="12"/>
  <c r="Y526" i="12"/>
  <c r="X527" i="12"/>
  <c r="Y527" i="12"/>
  <c r="X528" i="12"/>
  <c r="Y528" i="12"/>
  <c r="X529" i="12"/>
  <c r="Y529" i="12"/>
  <c r="X530" i="12"/>
  <c r="Y530" i="12"/>
  <c r="X531" i="12"/>
  <c r="Y531" i="12"/>
  <c r="X532" i="12"/>
  <c r="Y532" i="12"/>
  <c r="X533" i="12"/>
  <c r="X534" i="12"/>
  <c r="Y533" i="12"/>
  <c r="X535" i="12"/>
  <c r="Y534" i="12"/>
  <c r="Y535" i="12"/>
  <c r="X536" i="12"/>
  <c r="Y536" i="12"/>
  <c r="X537" i="12"/>
  <c r="X538" i="12"/>
  <c r="Y537" i="12"/>
  <c r="Y538" i="12"/>
  <c r="X539" i="12"/>
  <c r="X540" i="12"/>
  <c r="Y539" i="12"/>
  <c r="Y540" i="12"/>
  <c r="X541" i="12"/>
  <c r="X542" i="12"/>
  <c r="Y541" i="12"/>
  <c r="Y542" i="12"/>
  <c r="X543" i="12"/>
  <c r="Y543" i="12"/>
  <c r="X544" i="12"/>
  <c r="Y544" i="12"/>
  <c r="X545" i="12"/>
  <c r="Y545" i="12"/>
  <c r="X546" i="12"/>
  <c r="Y546" i="12"/>
  <c r="X547" i="12"/>
  <c r="X548" i="12"/>
  <c r="Y547" i="12"/>
  <c r="Y548" i="12"/>
  <c r="X549" i="12"/>
  <c r="X550" i="12"/>
  <c r="Y549" i="12"/>
  <c r="X551" i="12"/>
  <c r="Y550" i="12"/>
  <c r="Y551" i="12"/>
  <c r="X552" i="12"/>
  <c r="Y552" i="12"/>
  <c r="X553" i="12"/>
  <c r="X554" i="12"/>
  <c r="Y553" i="12"/>
  <c r="Y554" i="12"/>
  <c r="X555" i="12"/>
  <c r="X556" i="12"/>
  <c r="Y555" i="12"/>
  <c r="Y556" i="12"/>
  <c r="X557" i="12"/>
  <c r="X558" i="12"/>
  <c r="Y557" i="12"/>
  <c r="Y558" i="12"/>
  <c r="X559" i="12"/>
  <c r="Y559" i="12"/>
  <c r="X560" i="12"/>
  <c r="Y560" i="12"/>
  <c r="X561" i="12"/>
  <c r="X562" i="12"/>
  <c r="Y561" i="12"/>
  <c r="Y562" i="12"/>
  <c r="X563" i="12"/>
  <c r="X564" i="12"/>
  <c r="Y563" i="12"/>
  <c r="Y564" i="12"/>
  <c r="X565" i="12"/>
  <c r="Y565" i="12"/>
  <c r="X566" i="12"/>
  <c r="Y566" i="12"/>
  <c r="X567" i="12"/>
  <c r="Y567" i="12"/>
  <c r="X568" i="12"/>
  <c r="Y568" i="12"/>
  <c r="X569" i="12"/>
  <c r="Y569" i="12"/>
  <c r="X570" i="12"/>
  <c r="Y570" i="12"/>
  <c r="X571" i="12"/>
  <c r="Y571" i="12"/>
  <c r="X572" i="12"/>
  <c r="Y572" i="12"/>
  <c r="X573" i="12"/>
  <c r="X574" i="12"/>
  <c r="Y573" i="12"/>
  <c r="X575" i="12"/>
  <c r="Y574" i="12"/>
  <c r="Y575" i="12"/>
  <c r="X576" i="12"/>
  <c r="Y576" i="12"/>
  <c r="X577" i="12"/>
  <c r="X578" i="12"/>
  <c r="Y577" i="12"/>
  <c r="X579" i="12"/>
  <c r="Y578" i="12"/>
  <c r="Y579" i="12"/>
  <c r="X580" i="12"/>
  <c r="Y580" i="12"/>
  <c r="X581" i="12"/>
  <c r="X582" i="12"/>
  <c r="Y581" i="12"/>
  <c r="Y582" i="12"/>
  <c r="X583" i="12"/>
  <c r="X584" i="12"/>
  <c r="Y583" i="12"/>
  <c r="Y584" i="12"/>
  <c r="X585" i="12"/>
  <c r="X586" i="12"/>
  <c r="Y585" i="12"/>
  <c r="Y586" i="12"/>
  <c r="X587" i="12"/>
  <c r="X588" i="12"/>
  <c r="Y587" i="12"/>
  <c r="Y588" i="12"/>
  <c r="X589" i="12"/>
  <c r="X590" i="12"/>
  <c r="Y589" i="12"/>
  <c r="Y590" i="12"/>
  <c r="X591" i="12"/>
  <c r="Y591" i="12"/>
  <c r="X592" i="12"/>
  <c r="Y592" i="12"/>
  <c r="X593" i="12"/>
  <c r="X594" i="12"/>
  <c r="Y593" i="12"/>
  <c r="X595" i="12"/>
  <c r="Y594" i="12"/>
  <c r="Y595" i="12"/>
  <c r="X596" i="12"/>
  <c r="Y596" i="12"/>
  <c r="X597" i="12"/>
  <c r="Y597" i="12"/>
  <c r="X598" i="12"/>
  <c r="Y598" i="12"/>
  <c r="X599" i="12"/>
  <c r="Y599" i="12"/>
  <c r="X600" i="12"/>
  <c r="Y600" i="12"/>
  <c r="X601" i="12"/>
  <c r="X602" i="12"/>
  <c r="Y601" i="12"/>
  <c r="Y602" i="12"/>
  <c r="X603" i="12"/>
  <c r="Y603" i="12"/>
  <c r="X604" i="12"/>
  <c r="Y604" i="12"/>
  <c r="X605" i="12"/>
  <c r="X606" i="12"/>
  <c r="Y605" i="12"/>
  <c r="X607" i="12"/>
  <c r="Y606" i="12"/>
  <c r="Y607" i="12"/>
  <c r="X608" i="12"/>
  <c r="Y608" i="12"/>
  <c r="X609" i="12"/>
  <c r="X610" i="12"/>
  <c r="Y609" i="12"/>
  <c r="Y610" i="12"/>
  <c r="X611" i="12"/>
  <c r="Y611" i="12"/>
  <c r="X612" i="12"/>
  <c r="Y612" i="12"/>
  <c r="X613" i="12"/>
  <c r="X614" i="12"/>
  <c r="Y613" i="12"/>
  <c r="Y614" i="12"/>
  <c r="X615" i="12"/>
  <c r="X616" i="12"/>
  <c r="Y615" i="12"/>
  <c r="Y616" i="12"/>
  <c r="X617" i="12"/>
  <c r="Y617" i="12"/>
  <c r="X618" i="12"/>
  <c r="X619" i="12"/>
  <c r="Y618" i="12"/>
  <c r="Y619" i="12"/>
  <c r="X620" i="12"/>
  <c r="Y620" i="12"/>
  <c r="X621" i="12"/>
  <c r="X622" i="12"/>
  <c r="Y621" i="12"/>
  <c r="Y622" i="12"/>
  <c r="X623" i="12"/>
  <c r="Y623" i="12"/>
  <c r="X624" i="12"/>
  <c r="Y624" i="12"/>
  <c r="X625" i="12"/>
  <c r="X626" i="12"/>
  <c r="Y625" i="12"/>
  <c r="Y626" i="12"/>
  <c r="X627" i="12"/>
  <c r="Y627" i="12"/>
  <c r="X628" i="12"/>
  <c r="Y628" i="12"/>
  <c r="X629" i="12"/>
  <c r="Y629" i="12"/>
  <c r="X630" i="12"/>
  <c r="Y630" i="12"/>
  <c r="X631" i="12"/>
  <c r="Y631" i="12"/>
  <c r="X632" i="12"/>
  <c r="Y632" i="12"/>
  <c r="X633" i="12"/>
  <c r="X634" i="12"/>
  <c r="Y633" i="12"/>
  <c r="Y634" i="12"/>
  <c r="X635" i="12"/>
  <c r="Y635" i="12"/>
  <c r="X636" i="12"/>
  <c r="Y636" i="12"/>
  <c r="X637" i="12"/>
  <c r="X638" i="12"/>
  <c r="Y637" i="12"/>
  <c r="X639" i="12"/>
  <c r="Y638" i="12"/>
  <c r="Y639" i="12"/>
  <c r="X640" i="12"/>
  <c r="Y640" i="12"/>
  <c r="X641" i="12"/>
  <c r="X642" i="12"/>
  <c r="Y641" i="12"/>
  <c r="Y642" i="12"/>
  <c r="X643" i="12"/>
  <c r="Y643" i="12"/>
  <c r="X644" i="12"/>
  <c r="Y644" i="12"/>
  <c r="X645" i="12"/>
  <c r="Y645" i="12"/>
  <c r="X646" i="12"/>
  <c r="Y646" i="12"/>
  <c r="X647" i="12"/>
  <c r="X648" i="12"/>
  <c r="Y647" i="12"/>
  <c r="Y648" i="12"/>
  <c r="X649" i="12"/>
  <c r="X650" i="12"/>
  <c r="Y649" i="12"/>
  <c r="X651" i="12"/>
  <c r="Y650" i="12"/>
  <c r="Y651" i="12"/>
  <c r="X652" i="12"/>
  <c r="Y652" i="12"/>
  <c r="X653" i="12"/>
  <c r="X654" i="12"/>
  <c r="Y653" i="12"/>
  <c r="Y654" i="12"/>
  <c r="X655" i="12"/>
  <c r="X656" i="12"/>
  <c r="Y655" i="12"/>
  <c r="Y656" i="12"/>
  <c r="X657" i="12"/>
  <c r="X658" i="12"/>
  <c r="Y657" i="12"/>
  <c r="Y658" i="12"/>
  <c r="X659" i="12"/>
  <c r="X660" i="12"/>
  <c r="Y659" i="12"/>
  <c r="Y660" i="12"/>
  <c r="X661" i="12"/>
  <c r="Y661" i="12"/>
  <c r="X662" i="12"/>
  <c r="Y662" i="12"/>
  <c r="X663" i="12"/>
  <c r="Y663" i="12"/>
  <c r="X664" i="12"/>
  <c r="Y664" i="12"/>
  <c r="X665" i="12"/>
  <c r="X666" i="12"/>
  <c r="Y665" i="12"/>
  <c r="Y666" i="12"/>
  <c r="X667" i="12"/>
  <c r="Y667" i="12"/>
  <c r="X668" i="12"/>
  <c r="Y668" i="12"/>
  <c r="X669" i="12"/>
  <c r="X670" i="12"/>
  <c r="Y669" i="12"/>
  <c r="X671" i="12"/>
  <c r="Y670" i="12"/>
  <c r="X672" i="12"/>
  <c r="Y671" i="12"/>
  <c r="Y672" i="12"/>
  <c r="X673" i="12"/>
  <c r="X674" i="12"/>
  <c r="Y673" i="12"/>
  <c r="Y674" i="12"/>
  <c r="X675" i="12"/>
  <c r="Y675" i="12"/>
  <c r="X676" i="12"/>
  <c r="Y676" i="12"/>
  <c r="X677" i="12"/>
  <c r="X678" i="12"/>
  <c r="Y677" i="12"/>
  <c r="Y678" i="12"/>
  <c r="X679" i="12"/>
  <c r="X680" i="12"/>
  <c r="Y679" i="12"/>
  <c r="Y680" i="12"/>
  <c r="X681" i="12"/>
  <c r="X682" i="12"/>
  <c r="Y681" i="12"/>
  <c r="Y682" i="12"/>
  <c r="X683" i="12"/>
  <c r="Y683" i="12"/>
  <c r="X684" i="12"/>
  <c r="Y684" i="12"/>
  <c r="X685" i="12"/>
  <c r="Y685" i="12"/>
  <c r="X686" i="12"/>
  <c r="Y686" i="12"/>
  <c r="X687" i="12"/>
  <c r="Y687" i="12"/>
  <c r="X688" i="12"/>
  <c r="Y688" i="12"/>
  <c r="X689" i="12"/>
  <c r="X690" i="12"/>
  <c r="Y689"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X703" i="12"/>
  <c r="Y702" i="12"/>
  <c r="Y703" i="12"/>
  <c r="X704" i="12"/>
  <c r="Y704" i="12"/>
  <c r="X705" i="12"/>
  <c r="X706" i="12"/>
  <c r="Y705" i="12"/>
  <c r="Y706" i="12"/>
  <c r="X707" i="12"/>
  <c r="Y707" i="12"/>
  <c r="X708" i="12"/>
  <c r="Y708" i="12"/>
  <c r="X709" i="12"/>
  <c r="X710" i="12"/>
  <c r="Y709" i="12"/>
  <c r="X711" i="12"/>
  <c r="Y710" i="12"/>
  <c r="X712" i="12"/>
  <c r="Y711" i="12"/>
  <c r="Y712" i="12"/>
  <c r="X713" i="12"/>
  <c r="Y713" i="12"/>
  <c r="X714" i="12"/>
  <c r="Y714" i="12"/>
  <c r="X715" i="12"/>
  <c r="Y715" i="12"/>
  <c r="X716" i="12"/>
  <c r="Y716" i="12"/>
  <c r="X717" i="12"/>
  <c r="Y717" i="12"/>
  <c r="X718" i="12"/>
  <c r="X719" i="12"/>
  <c r="Y718" i="12"/>
  <c r="Y719" i="12"/>
  <c r="X720" i="12"/>
  <c r="Y720" i="12"/>
  <c r="X721" i="12"/>
  <c r="X722" i="12"/>
  <c r="Y721" i="12"/>
  <c r="Y722" i="12"/>
  <c r="X723" i="12"/>
  <c r="X724" i="12"/>
  <c r="Y723" i="12"/>
  <c r="Y724" i="12"/>
  <c r="X725" i="12"/>
  <c r="Y725" i="12"/>
  <c r="X726" i="12"/>
  <c r="Y726" i="12"/>
  <c r="X727" i="12"/>
  <c r="Y727" i="12"/>
  <c r="X728" i="12"/>
  <c r="Y728" i="12"/>
  <c r="X729" i="12"/>
  <c r="X730" i="12"/>
  <c r="Y729" i="12"/>
  <c r="Y730" i="12"/>
  <c r="X731" i="12"/>
  <c r="Y731" i="12"/>
  <c r="X732" i="12"/>
  <c r="Y732" i="12"/>
  <c r="X733" i="12"/>
  <c r="X734" i="12"/>
  <c r="Y733" i="12"/>
  <c r="X735" i="12"/>
  <c r="Y734" i="12"/>
  <c r="Y735" i="12"/>
  <c r="X736" i="12"/>
  <c r="Y736" i="12"/>
  <c r="X737" i="12"/>
  <c r="X738" i="12"/>
  <c r="Y737" i="12"/>
  <c r="Y738" i="12"/>
  <c r="X739" i="12"/>
  <c r="Y739" i="12"/>
  <c r="X740" i="12"/>
  <c r="Y740" i="12"/>
  <c r="X741" i="12"/>
  <c r="X742" i="12"/>
  <c r="Y741" i="12"/>
  <c r="Y742" i="12"/>
  <c r="X743" i="12"/>
  <c r="X744" i="12"/>
  <c r="Y743" i="12"/>
  <c r="Y744" i="12"/>
  <c r="X745" i="12"/>
  <c r="X746" i="12"/>
  <c r="Y745" i="12"/>
  <c r="Y746" i="12"/>
  <c r="X747" i="12"/>
  <c r="Y747" i="12"/>
  <c r="X748" i="12"/>
  <c r="Y748" i="12"/>
  <c r="X749" i="12"/>
  <c r="X750" i="12"/>
  <c r="Y749" i="12"/>
  <c r="Y750" i="12"/>
  <c r="X751" i="12"/>
  <c r="Y751" i="12"/>
  <c r="X752" i="12"/>
  <c r="Y752" i="12"/>
  <c r="X753" i="12"/>
  <c r="X754" i="12"/>
  <c r="Y753" i="12"/>
  <c r="Y754" i="12"/>
  <c r="X755" i="12"/>
  <c r="Y755" i="12"/>
  <c r="X756" i="12"/>
  <c r="Y756" i="12"/>
  <c r="X757" i="12"/>
  <c r="Y757" i="12"/>
  <c r="X758" i="12"/>
  <c r="Y758" i="12"/>
  <c r="X759" i="12"/>
  <c r="X760" i="12"/>
  <c r="Y759" i="12"/>
  <c r="Y760" i="12"/>
  <c r="X761" i="12"/>
  <c r="X762" i="12"/>
  <c r="Y761" i="12"/>
  <c r="Y762" i="12"/>
  <c r="X763" i="12"/>
  <c r="Y763" i="12"/>
  <c r="X764" i="12"/>
  <c r="Y764" i="12"/>
  <c r="X765" i="12"/>
  <c r="Y765" i="12"/>
  <c r="X766" i="12"/>
  <c r="X767" i="12"/>
  <c r="Y766" i="12"/>
  <c r="Y767" i="12"/>
  <c r="X768" i="12"/>
  <c r="Y768" i="12"/>
  <c r="X769" i="12"/>
  <c r="X770" i="12"/>
  <c r="Y769" i="12"/>
  <c r="X771" i="12"/>
  <c r="Y770" i="12"/>
  <c r="Y771" i="12"/>
  <c r="X772" i="12"/>
  <c r="Y772" i="12"/>
  <c r="X773" i="12"/>
  <c r="X774" i="12"/>
  <c r="Y773" i="12"/>
  <c r="Y774" i="12"/>
  <c r="X775" i="12"/>
  <c r="X776" i="12"/>
  <c r="Y775" i="12"/>
  <c r="Y776" i="12"/>
  <c r="X777" i="12"/>
  <c r="X778" i="12"/>
  <c r="Y777" i="12"/>
  <c r="Y778" i="12"/>
  <c r="X779" i="12"/>
  <c r="Y779" i="12"/>
  <c r="X780" i="12"/>
  <c r="Y780" i="12"/>
  <c r="X781" i="12"/>
  <c r="Y781" i="12"/>
  <c r="X782" i="12"/>
  <c r="Y782" i="12"/>
  <c r="X783" i="12"/>
  <c r="Y783" i="12"/>
  <c r="X784" i="12"/>
  <c r="Y784" i="12"/>
  <c r="X785" i="12"/>
  <c r="X786" i="12"/>
  <c r="Y785" i="12"/>
  <c r="X787" i="12"/>
  <c r="Y786" i="12"/>
  <c r="Y787" i="12"/>
  <c r="X788" i="12"/>
  <c r="Y788" i="12"/>
  <c r="X789" i="12"/>
  <c r="Y789" i="12"/>
  <c r="X790" i="12"/>
  <c r="Y790" i="12"/>
  <c r="X791" i="12"/>
  <c r="X792" i="12"/>
  <c r="Y791" i="12"/>
  <c r="Y792" i="12"/>
  <c r="X793" i="12"/>
  <c r="X794" i="12"/>
  <c r="Y793" i="12"/>
  <c r="Y794" i="12"/>
  <c r="X795" i="12"/>
  <c r="Y795" i="12"/>
  <c r="X796" i="12"/>
  <c r="Y796" i="12"/>
  <c r="X797" i="12"/>
  <c r="X798" i="12"/>
  <c r="Y797" i="12"/>
  <c r="X799" i="12"/>
  <c r="Y798" i="12"/>
  <c r="Y799" i="12"/>
  <c r="X800" i="12"/>
  <c r="Y800" i="12"/>
  <c r="X801" i="12"/>
  <c r="Y801" i="12"/>
  <c r="X802" i="12"/>
  <c r="X803" i="12"/>
  <c r="Y802" i="12"/>
  <c r="Y803" i="12"/>
  <c r="X804" i="12"/>
  <c r="Y804" i="12"/>
  <c r="X805" i="12"/>
  <c r="X806" i="12"/>
  <c r="Y805" i="12"/>
  <c r="X807" i="12"/>
  <c r="Y806" i="12"/>
  <c r="Y807" i="12"/>
  <c r="X808" i="12"/>
  <c r="Y808" i="12"/>
  <c r="X809" i="12"/>
  <c r="X810" i="12"/>
  <c r="Y809" i="12"/>
  <c r="X811" i="12"/>
  <c r="Y810" i="12"/>
  <c r="Y811" i="12"/>
  <c r="X812" i="12"/>
  <c r="Y812" i="12"/>
  <c r="X813" i="12"/>
  <c r="X814" i="12"/>
  <c r="Y813" i="12"/>
  <c r="X815" i="12"/>
  <c r="Y814" i="12"/>
  <c r="X816" i="12"/>
  <c r="Y815" i="12"/>
  <c r="Y816" i="12"/>
  <c r="X817" i="12"/>
  <c r="X818" i="12"/>
  <c r="Y817" i="12"/>
  <c r="X819" i="12"/>
  <c r="Y818" i="12"/>
  <c r="Y819" i="12"/>
  <c r="X820" i="12"/>
  <c r="Y820" i="12"/>
  <c r="X821" i="12"/>
  <c r="X822" i="12"/>
  <c r="Y821" i="12"/>
  <c r="X823" i="12"/>
  <c r="Y822" i="12"/>
  <c r="X824" i="12"/>
  <c r="Y823" i="12"/>
  <c r="X825" i="12"/>
  <c r="Y824" i="12"/>
  <c r="X826" i="12"/>
  <c r="Y825" i="12"/>
  <c r="X827" i="12"/>
  <c r="Y826" i="12"/>
  <c r="Y827" i="12"/>
  <c r="X828" i="12"/>
  <c r="Y828" i="12"/>
  <c r="X829" i="12"/>
  <c r="X830" i="12"/>
  <c r="Y829" i="12"/>
  <c r="X831" i="12"/>
  <c r="Y830" i="12"/>
  <c r="X832" i="12"/>
  <c r="Y831" i="12"/>
  <c r="Y832" i="12"/>
  <c r="X833" i="12"/>
  <c r="Y833" i="12"/>
  <c r="X834" i="12"/>
  <c r="X835" i="12"/>
  <c r="Y834" i="12"/>
  <c r="Y835" i="12"/>
  <c r="X836" i="12"/>
  <c r="Y836" i="12"/>
  <c r="X837" i="12"/>
  <c r="Y837" i="12"/>
  <c r="X838" i="12"/>
  <c r="X839" i="12"/>
  <c r="Y838" i="12"/>
  <c r="Y839" i="12"/>
  <c r="X840" i="12"/>
  <c r="Y840" i="12"/>
  <c r="X841" i="12"/>
  <c r="X842" i="12"/>
  <c r="Y841" i="12"/>
  <c r="X843" i="12"/>
  <c r="Y842" i="12"/>
  <c r="Y843" i="12"/>
  <c r="X844" i="12"/>
  <c r="Y844" i="12"/>
  <c r="X845" i="12"/>
  <c r="Y845" i="12"/>
  <c r="X846" i="12"/>
  <c r="X847" i="12"/>
  <c r="Y846" i="12"/>
  <c r="X848" i="12"/>
  <c r="Y847" i="12"/>
  <c r="Y848" i="12"/>
  <c r="X849" i="12"/>
  <c r="X850" i="12"/>
  <c r="Y849" i="12"/>
  <c r="X851" i="12"/>
  <c r="Y850" i="12"/>
  <c r="Y851" i="12"/>
  <c r="X852" i="12"/>
  <c r="Y852" i="12"/>
  <c r="X853" i="12"/>
  <c r="X854" i="12"/>
  <c r="Y853" i="12"/>
  <c r="X855" i="12"/>
  <c r="Y854" i="12"/>
  <c r="Y855" i="12"/>
  <c r="X856" i="12"/>
  <c r="X857" i="12"/>
  <c r="Y856" i="12"/>
  <c r="X858" i="12"/>
  <c r="Y857" i="12"/>
  <c r="X859" i="12"/>
  <c r="Y858" i="12"/>
  <c r="Y859" i="12"/>
  <c r="X860" i="12"/>
  <c r="Y860" i="12"/>
  <c r="X861" i="12"/>
  <c r="X862" i="12"/>
  <c r="Y861" i="12"/>
  <c r="X863" i="12"/>
  <c r="Y862" i="12"/>
  <c r="Y863" i="12"/>
  <c r="X864" i="12"/>
  <c r="Y864" i="12"/>
  <c r="X865" i="12"/>
  <c r="Y865" i="12"/>
  <c r="X866" i="12"/>
  <c r="X867" i="12"/>
  <c r="Y866" i="12"/>
  <c r="Y867" i="12"/>
  <c r="X868" i="12"/>
  <c r="Y868" i="12"/>
  <c r="X869" i="12"/>
  <c r="X870" i="12"/>
  <c r="Y869" i="12"/>
  <c r="X871" i="12"/>
  <c r="Y870" i="12"/>
  <c r="Y871" i="12"/>
  <c r="X872" i="12"/>
  <c r="Y872" i="12"/>
  <c r="X873" i="12"/>
  <c r="X874" i="12"/>
  <c r="Y873" i="12"/>
  <c r="X875" i="12"/>
  <c r="Y874" i="12"/>
  <c r="Y875" i="12"/>
  <c r="X876" i="12"/>
  <c r="Y876" i="12"/>
  <c r="X877" i="12"/>
  <c r="X878" i="12"/>
  <c r="Y877" i="12"/>
  <c r="X879" i="12"/>
  <c r="Y878" i="12"/>
  <c r="X880" i="12"/>
  <c r="Y879" i="12"/>
  <c r="Y880" i="12"/>
  <c r="X881" i="12"/>
  <c r="X882" i="12"/>
  <c r="Y881" i="12"/>
  <c r="X883" i="12"/>
  <c r="Y882" i="12"/>
  <c r="Y883" i="12"/>
  <c r="X884" i="12"/>
  <c r="Y884" i="12"/>
  <c r="X885" i="12"/>
  <c r="X886" i="12"/>
  <c r="Y885" i="12"/>
  <c r="X887" i="12"/>
  <c r="Y886" i="12"/>
  <c r="Y887" i="12"/>
  <c r="X888" i="12"/>
  <c r="X889" i="12"/>
  <c r="Y888" i="12"/>
  <c r="X890" i="12"/>
  <c r="Y889" i="12"/>
  <c r="X891" i="12"/>
  <c r="Y890" i="12"/>
  <c r="Y891" i="12"/>
  <c r="X892" i="12"/>
  <c r="Y892" i="12"/>
  <c r="X893" i="12"/>
  <c r="X894" i="12"/>
  <c r="Y893" i="12"/>
  <c r="X895" i="12"/>
  <c r="Y894" i="12"/>
  <c r="Y895" i="12"/>
  <c r="X896" i="12"/>
  <c r="X897" i="12"/>
  <c r="Y896" i="12"/>
  <c r="Y897" i="12"/>
  <c r="X898" i="12"/>
  <c r="X899" i="12"/>
  <c r="Y898" i="12"/>
  <c r="Y899" i="12"/>
  <c r="X900" i="12"/>
  <c r="Y900" i="12"/>
  <c r="X901" i="12"/>
  <c r="X902" i="12"/>
  <c r="Y901" i="12"/>
  <c r="X903" i="12"/>
  <c r="Y902" i="12"/>
  <c r="X904" i="12"/>
  <c r="Y903" i="12"/>
  <c r="X905" i="12"/>
  <c r="Y904" i="12"/>
  <c r="X906" i="12"/>
  <c r="Y905" i="12"/>
  <c r="X907" i="12"/>
  <c r="Y906" i="12"/>
  <c r="Y907" i="12"/>
  <c r="X908" i="12"/>
  <c r="Y908" i="12"/>
  <c r="X909" i="12"/>
  <c r="Y909" i="12"/>
  <c r="X910" i="12"/>
  <c r="X911" i="12"/>
  <c r="Y910" i="12"/>
  <c r="X912" i="12"/>
  <c r="Y911" i="12"/>
  <c r="Y912" i="12"/>
  <c r="X913" i="12"/>
  <c r="X914" i="12"/>
  <c r="Y913" i="12"/>
  <c r="X915" i="12"/>
  <c r="Y914" i="12"/>
  <c r="Y915" i="12"/>
  <c r="X916" i="12"/>
  <c r="Y916" i="12"/>
  <c r="X917" i="12"/>
  <c r="X918" i="12"/>
  <c r="Y917" i="12"/>
  <c r="X919" i="12"/>
  <c r="Y918" i="12"/>
  <c r="Y919" i="12"/>
  <c r="X920" i="12"/>
  <c r="X921" i="12"/>
  <c r="Y920" i="12"/>
  <c r="X922" i="12"/>
  <c r="Y921" i="12"/>
  <c r="X923" i="12"/>
  <c r="Y922" i="12"/>
  <c r="Y923" i="12"/>
  <c r="X924" i="12"/>
  <c r="Y924" i="12"/>
  <c r="X925" i="12"/>
  <c r="X926" i="12"/>
  <c r="Y925" i="12"/>
  <c r="X927" i="12"/>
  <c r="Y926" i="12"/>
  <c r="Y927" i="12"/>
  <c r="X928" i="12"/>
  <c r="Y928" i="12"/>
  <c r="X929" i="12"/>
  <c r="Y929" i="12"/>
  <c r="X930" i="12"/>
  <c r="X931" i="12"/>
  <c r="Y930" i="12"/>
  <c r="Y931" i="12"/>
  <c r="X932" i="12"/>
  <c r="Y932" i="12"/>
  <c r="X933" i="12"/>
  <c r="X934" i="12"/>
  <c r="Y933" i="12"/>
  <c r="X935" i="12"/>
  <c r="Y934" i="12"/>
  <c r="Y935" i="12"/>
  <c r="X936" i="12"/>
  <c r="Y936" i="12"/>
  <c r="X937" i="12"/>
  <c r="X938" i="12"/>
  <c r="Y937" i="12"/>
  <c r="X939" i="12"/>
  <c r="Y938" i="12"/>
  <c r="Y939" i="12"/>
  <c r="X940" i="12"/>
  <c r="Y940" i="12"/>
  <c r="X941" i="12"/>
  <c r="X942" i="12"/>
  <c r="Y941" i="12"/>
  <c r="X943" i="12"/>
  <c r="Y942" i="12"/>
  <c r="X944" i="12"/>
  <c r="Y943" i="12"/>
  <c r="Y944" i="12"/>
  <c r="X945" i="12"/>
  <c r="X946" i="12"/>
  <c r="Y945" i="12"/>
  <c r="X947" i="12"/>
  <c r="Y946" i="12"/>
  <c r="X948" i="12"/>
  <c r="Y947" i="12"/>
  <c r="Y948" i="12"/>
  <c r="X949" i="12"/>
  <c r="X950" i="12"/>
  <c r="Y949" i="12"/>
  <c r="X951" i="12"/>
  <c r="Y950" i="12"/>
  <c r="Y951" i="12"/>
  <c r="X952" i="12"/>
  <c r="X953" i="12"/>
  <c r="Y952" i="12"/>
  <c r="X954" i="12"/>
  <c r="Y953" i="12"/>
  <c r="X955" i="12"/>
  <c r="Y954" i="12"/>
  <c r="X956" i="12"/>
  <c r="Y955" i="12"/>
  <c r="Y956" i="12"/>
  <c r="X957" i="12"/>
  <c r="X958" i="12"/>
  <c r="Y957" i="12"/>
  <c r="X959" i="12"/>
  <c r="Y958" i="12"/>
  <c r="Y959" i="12"/>
  <c r="X960" i="12"/>
  <c r="Y960" i="12"/>
  <c r="X961" i="12"/>
  <c r="Y961" i="12"/>
  <c r="X962" i="12"/>
  <c r="X963" i="12"/>
  <c r="Y962" i="12"/>
  <c r="Y963" i="12"/>
  <c r="X964" i="12"/>
  <c r="Y964" i="12"/>
  <c r="X965" i="12"/>
  <c r="X966" i="12"/>
  <c r="Y965" i="12"/>
  <c r="X967" i="12"/>
  <c r="Y966" i="12"/>
  <c r="Y967" i="12"/>
  <c r="X968" i="12"/>
  <c r="Y968" i="12"/>
  <c r="X969" i="12"/>
  <c r="Y969" i="12"/>
  <c r="X970" i="12"/>
  <c r="X971" i="12"/>
  <c r="Y970" i="12"/>
  <c r="Y971" i="12"/>
  <c r="X972" i="12"/>
  <c r="Y972" i="12"/>
  <c r="X973" i="12"/>
  <c r="X974" i="12"/>
  <c r="Y973" i="12"/>
  <c r="X975" i="12"/>
  <c r="Y974" i="12"/>
  <c r="X976" i="12"/>
  <c r="Y975" i="12"/>
  <c r="Y976" i="12"/>
  <c r="X977" i="12"/>
  <c r="Y977" i="12"/>
  <c r="X978" i="12"/>
  <c r="X979" i="12"/>
  <c r="Y978" i="12"/>
  <c r="Y979" i="12"/>
  <c r="X980" i="12"/>
  <c r="Y980" i="12"/>
  <c r="X981" i="12"/>
  <c r="X982" i="12"/>
  <c r="Y981" i="12"/>
  <c r="X983" i="12"/>
  <c r="Y982" i="12"/>
  <c r="Y983" i="12"/>
  <c r="X984" i="12"/>
  <c r="X985" i="12"/>
  <c r="Y984" i="12"/>
  <c r="X986" i="12"/>
  <c r="Y985" i="12"/>
  <c r="X987" i="12"/>
  <c r="Y986" i="12"/>
  <c r="Y987" i="12"/>
  <c r="X988" i="12"/>
  <c r="Y988" i="12"/>
  <c r="X989" i="12"/>
  <c r="X990" i="12"/>
  <c r="Y989" i="12"/>
  <c r="X991" i="12"/>
  <c r="Y990" i="12"/>
  <c r="Y991" i="12"/>
  <c r="X992" i="12"/>
  <c r="Y992" i="12"/>
  <c r="X993" i="12"/>
  <c r="Y993" i="12"/>
  <c r="X994" i="12"/>
  <c r="X995" i="12"/>
  <c r="Y994" i="12"/>
  <c r="Y995" i="12"/>
  <c r="X996" i="12"/>
  <c r="Y996" i="12"/>
  <c r="X997" i="12"/>
  <c r="X998" i="12"/>
  <c r="Y997" i="12"/>
  <c r="X999" i="12"/>
  <c r="Y998" i="12"/>
  <c r="Y999" i="12"/>
  <c r="X1000" i="12"/>
  <c r="Y1000" i="12"/>
  <c r="X1001" i="12"/>
  <c r="X1002" i="12"/>
  <c r="Y1001" i="12"/>
  <c r="X1003" i="12"/>
  <c r="Y1002" i="12"/>
  <c r="Y1003" i="12"/>
  <c r="X1004" i="12"/>
  <c r="Y1004" i="12"/>
  <c r="X1005" i="12"/>
  <c r="Y1005" i="12"/>
  <c r="X1006" i="12"/>
  <c r="X1007" i="12"/>
  <c r="Y1006" i="12"/>
  <c r="X1008" i="12"/>
  <c r="Y1007" i="12"/>
  <c r="Y1008" i="12"/>
  <c r="X1009" i="12"/>
  <c r="X1010" i="12"/>
  <c r="Y1009" i="12"/>
  <c r="X1011" i="12"/>
  <c r="Y1010" i="12"/>
  <c r="X1012" i="12"/>
  <c r="Y1011" i="12"/>
  <c r="Y1012" i="12"/>
  <c r="X1013" i="12"/>
  <c r="X1014" i="12"/>
  <c r="Y1013" i="12"/>
  <c r="X1015" i="12"/>
  <c r="Y1014" i="12"/>
  <c r="Y1015" i="12"/>
  <c r="X1016" i="12"/>
  <c r="X1017" i="12"/>
  <c r="Y1016" i="12"/>
  <c r="X1018" i="12"/>
  <c r="Y1017" i="12"/>
  <c r="X1019" i="12"/>
  <c r="Y1018" i="12"/>
  <c r="Y1019" i="12"/>
  <c r="X1020" i="12"/>
  <c r="X1021" i="12"/>
  <c r="Y1020" i="12"/>
  <c r="X1022" i="12"/>
  <c r="Y1021" i="12"/>
  <c r="X1023" i="12"/>
  <c r="Y1022" i="12"/>
  <c r="Y1023" i="12"/>
  <c r="X1024" i="12"/>
  <c r="Y1024" i="12"/>
  <c r="X1025" i="12"/>
  <c r="Y1025" i="12"/>
  <c r="X1026" i="12"/>
  <c r="X1027" i="12"/>
  <c r="Y1026" i="12"/>
  <c r="Y1027" i="12"/>
  <c r="X1028" i="12"/>
  <c r="X1029" i="12"/>
  <c r="Y1028" i="12"/>
  <c r="X1030" i="12"/>
  <c r="Y1029" i="12"/>
  <c r="X1031" i="12"/>
  <c r="Y1030" i="12"/>
  <c r="Y1031" i="12"/>
  <c r="X1032" i="12"/>
  <c r="Y1032" i="12"/>
  <c r="X1033" i="12"/>
  <c r="X1034" i="12"/>
  <c r="Y1033" i="12"/>
  <c r="X1035" i="12"/>
  <c r="Y1034" i="12"/>
  <c r="Y1035" i="12"/>
  <c r="X1036" i="12"/>
  <c r="Y1036" i="12"/>
  <c r="X1037" i="12"/>
  <c r="X1038" i="12"/>
  <c r="Y1037" i="12"/>
  <c r="X1039" i="12"/>
  <c r="Y1038" i="12"/>
  <c r="X1040" i="12"/>
  <c r="Y1039" i="12"/>
  <c r="Y1040" i="12"/>
  <c r="X1041" i="12"/>
  <c r="X1042" i="12"/>
  <c r="Y1041" i="12"/>
  <c r="X1043" i="12"/>
  <c r="Y1042" i="12"/>
  <c r="Y1043" i="12"/>
  <c r="X1044" i="12"/>
  <c r="Y1044" i="12"/>
  <c r="X1045" i="12"/>
  <c r="X1046" i="12"/>
  <c r="Y1045" i="12"/>
  <c r="X1047" i="12"/>
  <c r="Y1046" i="12"/>
  <c r="Y1047" i="12"/>
  <c r="X1048" i="12"/>
  <c r="Y1048" i="12"/>
  <c r="X1049" i="12"/>
  <c r="X1050" i="12"/>
  <c r="Y1049" i="12"/>
  <c r="X1051" i="12"/>
  <c r="Y1050" i="12"/>
  <c r="Y1051" i="12"/>
  <c r="X1052" i="12"/>
  <c r="Y1052" i="12"/>
  <c r="X1053" i="12"/>
  <c r="X1054" i="12"/>
  <c r="Y1053" i="12"/>
  <c r="X1055" i="12"/>
  <c r="Y1054" i="12"/>
  <c r="Y1055" i="12"/>
  <c r="X1056" i="12"/>
  <c r="Y1056" i="12"/>
  <c r="X1057" i="12"/>
  <c r="Y1057" i="12"/>
  <c r="X1058" i="12"/>
  <c r="X1059" i="12"/>
  <c r="Y1058" i="12"/>
  <c r="X1060" i="12"/>
  <c r="Y1059" i="12"/>
  <c r="Y1060" i="12"/>
  <c r="X1061" i="12"/>
  <c r="X1062" i="12"/>
  <c r="Y1061" i="12"/>
  <c r="X1063" i="12"/>
  <c r="Y1062" i="12"/>
  <c r="Y1063" i="12"/>
  <c r="X1064" i="12"/>
  <c r="Y1064" i="12"/>
  <c r="X1065" i="12"/>
  <c r="X1066" i="12"/>
  <c r="Y1065" i="12"/>
  <c r="X1067" i="12"/>
  <c r="Y1066" i="12"/>
  <c r="Y1067" i="12"/>
  <c r="X1068" i="12"/>
  <c r="Y1068" i="12"/>
  <c r="X1069" i="12"/>
  <c r="X1070" i="12"/>
  <c r="Y1069" i="12"/>
  <c r="X1071" i="12"/>
  <c r="Y1070" i="12"/>
  <c r="X1072" i="12"/>
  <c r="Y1071" i="12"/>
  <c r="Y1072" i="12"/>
  <c r="X1073" i="12"/>
  <c r="X1074" i="12"/>
  <c r="Y1073" i="12"/>
  <c r="X1075" i="12"/>
  <c r="Y1074" i="12"/>
  <c r="Y1075" i="12"/>
  <c r="X1076" i="12"/>
  <c r="Y1076" i="12"/>
  <c r="X1077" i="12"/>
  <c r="X1078" i="12"/>
  <c r="Y1077" i="12"/>
  <c r="X1079" i="12"/>
  <c r="Y1078" i="12"/>
  <c r="X1080" i="12"/>
  <c r="Y1079" i="12"/>
  <c r="Y1080" i="12"/>
  <c r="X1081" i="12"/>
  <c r="X1082" i="12"/>
  <c r="Y1081" i="12"/>
  <c r="X1083" i="12"/>
  <c r="Y1082" i="12"/>
  <c r="Y1083" i="12"/>
  <c r="X1084" i="12"/>
  <c r="Y1084" i="12"/>
  <c r="X1085" i="12"/>
  <c r="X1086" i="12"/>
  <c r="Y1085" i="12"/>
  <c r="X1087" i="12"/>
  <c r="Y1086" i="12"/>
  <c r="X1088" i="12"/>
  <c r="Y1087" i="12"/>
  <c r="Y1088" i="12"/>
  <c r="X1089" i="12"/>
  <c r="Y1089" i="12"/>
  <c r="X1090" i="12"/>
  <c r="X1091" i="12"/>
  <c r="Y1090" i="12"/>
  <c r="X1092" i="12"/>
  <c r="Y1091" i="12"/>
  <c r="Y1092" i="12"/>
  <c r="X1093" i="12"/>
  <c r="Y1093" i="12"/>
  <c r="X1094" i="12"/>
  <c r="X1095" i="12"/>
  <c r="Y1094" i="12"/>
  <c r="Y1095" i="12"/>
  <c r="X1096" i="12"/>
  <c r="Y1096" i="12"/>
  <c r="X1097" i="12"/>
  <c r="X1098" i="12"/>
  <c r="Y1097" i="12"/>
  <c r="X1099" i="12"/>
  <c r="Y1098" i="12"/>
  <c r="Y1099" i="12"/>
  <c r="X1100" i="12"/>
  <c r="Y1100" i="12"/>
  <c r="X1101" i="12"/>
  <c r="Y1101" i="12"/>
  <c r="X1102" i="12"/>
  <c r="X1103" i="12"/>
  <c r="Y1102" i="12"/>
  <c r="X1104" i="12"/>
  <c r="Y1103" i="12"/>
  <c r="Y1104" i="12"/>
  <c r="X1105" i="12"/>
  <c r="X1106" i="12"/>
  <c r="Y1105" i="12"/>
  <c r="X1107" i="12"/>
  <c r="Y1106" i="12"/>
  <c r="Y1107" i="12"/>
  <c r="X1108" i="12"/>
  <c r="Y1108" i="12"/>
  <c r="X1109" i="12"/>
  <c r="X1110" i="12"/>
  <c r="Y1109" i="12"/>
  <c r="X1111" i="12"/>
  <c r="Y1110" i="12"/>
  <c r="Y1111" i="12"/>
  <c r="X1112" i="12"/>
  <c r="Y1112" i="12"/>
  <c r="X1113" i="12"/>
  <c r="X1114" i="12"/>
  <c r="Y1113" i="12"/>
  <c r="X1115" i="12"/>
  <c r="Y1114" i="12"/>
  <c r="Y1115" i="12"/>
  <c r="X1116" i="12"/>
  <c r="Y1116" i="12"/>
  <c r="X1117" i="12"/>
  <c r="X1118" i="12"/>
  <c r="Y1117" i="12"/>
  <c r="X1119" i="12"/>
  <c r="Y1118" i="12"/>
  <c r="Y1119" i="12"/>
  <c r="X1120" i="12"/>
  <c r="Y1120" i="12"/>
  <c r="X1121" i="12"/>
  <c r="Y1121" i="12"/>
  <c r="X1122" i="12"/>
  <c r="X1123" i="12"/>
  <c r="Y1122" i="12"/>
  <c r="X1124" i="12"/>
  <c r="Y1123" i="12"/>
  <c r="Y1124" i="12"/>
  <c r="X1125" i="12"/>
  <c r="X1126" i="12"/>
  <c r="Y1125" i="12"/>
  <c r="X1127" i="12"/>
  <c r="Y1126" i="12"/>
  <c r="Y1127" i="12"/>
  <c r="X1128" i="12"/>
  <c r="Y1128" i="12"/>
  <c r="X1129" i="12"/>
  <c r="X1130" i="12"/>
  <c r="Y1129" i="12"/>
  <c r="X1131" i="12"/>
  <c r="Y1130" i="12"/>
  <c r="Y1131" i="12"/>
  <c r="X1132" i="12"/>
  <c r="Y1132" i="12"/>
  <c r="X1133" i="12"/>
  <c r="X1134" i="12"/>
  <c r="Y1133" i="12"/>
  <c r="X1135" i="12"/>
  <c r="Y1134" i="12"/>
  <c r="X1136" i="12"/>
  <c r="Y1135" i="12"/>
  <c r="Y1136" i="12"/>
  <c r="X1137" i="12"/>
  <c r="Y1137" i="12"/>
  <c r="X1138" i="12"/>
  <c r="X1139" i="12"/>
  <c r="Y1138" i="12"/>
  <c r="Y1139" i="12"/>
  <c r="X1140" i="12"/>
  <c r="Y1140" i="12"/>
  <c r="X1141" i="12"/>
  <c r="X1142" i="12"/>
  <c r="Y1141" i="12"/>
  <c r="X1143" i="12"/>
  <c r="Y1142" i="12"/>
  <c r="Y1143" i="12"/>
  <c r="X1144" i="12"/>
  <c r="Y1144" i="12"/>
  <c r="X1145" i="12"/>
  <c r="X1146" i="12"/>
  <c r="Y1145" i="12"/>
  <c r="X1147" i="12"/>
  <c r="Y1146" i="12"/>
  <c r="Y1147" i="12"/>
  <c r="X1148" i="12"/>
  <c r="Y1148" i="12"/>
  <c r="X1149" i="12"/>
  <c r="X1150" i="12"/>
  <c r="Y1149" i="12"/>
  <c r="X1151" i="12"/>
  <c r="Y1150" i="12"/>
  <c r="Y1151" i="12"/>
  <c r="X1152" i="12"/>
  <c r="X1153" i="12"/>
  <c r="Y1152" i="12"/>
  <c r="Y1153" i="12"/>
  <c r="X1154" i="12"/>
  <c r="X1155" i="12"/>
  <c r="Y1154" i="12"/>
  <c r="Y1155" i="12"/>
  <c r="X1156" i="12"/>
  <c r="Y1156" i="12"/>
  <c r="X1157" i="12"/>
  <c r="X1158" i="12"/>
  <c r="Y1157" i="12"/>
  <c r="X1159" i="12"/>
  <c r="Y1158" i="12"/>
  <c r="Y1159" i="12"/>
  <c r="X1160" i="12"/>
  <c r="X1161" i="12"/>
  <c r="Y1160" i="12"/>
  <c r="X1162" i="12"/>
  <c r="Y1161" i="12"/>
  <c r="X1163" i="12"/>
  <c r="Y1162" i="12"/>
  <c r="Y1163" i="12"/>
  <c r="X1164" i="12"/>
  <c r="Y1164" i="12"/>
  <c r="X1165" i="12"/>
  <c r="X1166" i="12"/>
  <c r="Y1165" i="12"/>
  <c r="X1167" i="12"/>
  <c r="Y1166" i="12"/>
  <c r="X1168" i="12"/>
  <c r="Y1167" i="12"/>
  <c r="Y1168" i="12"/>
  <c r="X1169" i="12"/>
  <c r="X1170" i="12"/>
  <c r="Y1169" i="12"/>
  <c r="X1171" i="12"/>
  <c r="Y1170" i="12"/>
  <c r="Y1171" i="12"/>
  <c r="X1172" i="12"/>
  <c r="Y1172" i="12"/>
  <c r="X1173" i="12"/>
  <c r="X1174" i="12"/>
  <c r="Y1173" i="12"/>
  <c r="X1175" i="12"/>
  <c r="Y1174" i="12"/>
  <c r="Y1175" i="12"/>
  <c r="X1176" i="12"/>
  <c r="Y1176" i="12"/>
  <c r="X1177" i="12"/>
  <c r="X1178" i="12"/>
  <c r="Y1177" i="12"/>
  <c r="X1179" i="12"/>
  <c r="Y1178" i="12"/>
  <c r="Y1179" i="12"/>
  <c r="X1180" i="12"/>
  <c r="Y1180" i="12"/>
  <c r="X1181" i="12"/>
  <c r="X1182" i="12"/>
  <c r="Y1181" i="12"/>
  <c r="X1183" i="12"/>
  <c r="Y1182" i="12"/>
  <c r="Y1183" i="12"/>
  <c r="X1184" i="12"/>
  <c r="Y1184" i="12"/>
  <c r="X1185" i="12"/>
  <c r="Y1185" i="12"/>
  <c r="X1186" i="12"/>
  <c r="X1187" i="12"/>
  <c r="Y1186" i="12"/>
  <c r="Y1187" i="12"/>
  <c r="X1188" i="12"/>
  <c r="Y1188" i="12"/>
  <c r="X1189" i="12"/>
  <c r="X1190" i="12"/>
  <c r="Y1189" i="12"/>
  <c r="X1191" i="12"/>
  <c r="Y1190" i="12"/>
  <c r="Y1191" i="12"/>
  <c r="X1192" i="12"/>
  <c r="Y1192" i="12"/>
  <c r="X1193" i="12"/>
  <c r="X1194" i="12"/>
  <c r="Y1193" i="12"/>
  <c r="X1195" i="12"/>
  <c r="Y1194" i="12"/>
  <c r="Y1195" i="12"/>
  <c r="X1196" i="12"/>
  <c r="Y1196" i="12"/>
  <c r="X1197" i="12"/>
  <c r="X1198" i="12"/>
  <c r="Y1197" i="12"/>
  <c r="X1199" i="12"/>
  <c r="Y1198" i="12"/>
  <c r="X1200" i="12"/>
  <c r="Y1199" i="12"/>
  <c r="Y1200" i="12"/>
  <c r="X1201" i="12"/>
  <c r="X1202" i="12"/>
  <c r="Y1201" i="12"/>
  <c r="X1203" i="12"/>
  <c r="Y1202" i="12"/>
  <c r="X1204" i="12"/>
  <c r="Y1203" i="12"/>
  <c r="Y1204" i="12"/>
  <c r="X1205" i="12"/>
  <c r="X1206" i="12"/>
  <c r="Y1205" i="12"/>
  <c r="X1207" i="12"/>
  <c r="Y1206" i="12"/>
  <c r="Y1207" i="12"/>
  <c r="X1208" i="12"/>
  <c r="X1209" i="12"/>
  <c r="Y1208" i="12"/>
  <c r="X1210" i="12"/>
  <c r="Y1209" i="12"/>
  <c r="X1211" i="12"/>
  <c r="Y1210" i="12"/>
  <c r="X1212" i="12"/>
  <c r="Y1211" i="12"/>
  <c r="Y1212" i="12"/>
  <c r="X1213" i="12"/>
  <c r="X1214" i="12"/>
  <c r="Y1213" i="12"/>
  <c r="X1215" i="12"/>
  <c r="Y1214" i="12"/>
  <c r="Y1215" i="12"/>
  <c r="X1216" i="12"/>
  <c r="X1217" i="12"/>
  <c r="Y1216" i="12"/>
  <c r="Y1217" i="12"/>
  <c r="X1218" i="12"/>
  <c r="X1219" i="12"/>
  <c r="Y1218" i="12"/>
  <c r="X1220" i="12"/>
  <c r="Y1219" i="12"/>
  <c r="Y1220" i="12"/>
  <c r="X1221" i="12"/>
  <c r="X1222" i="12"/>
  <c r="Y1221" i="12"/>
  <c r="X1223" i="12"/>
  <c r="Y1222" i="12"/>
  <c r="Y1223" i="12"/>
  <c r="X1224" i="12"/>
  <c r="Y1224" i="12"/>
  <c r="X1225" i="12"/>
  <c r="X1226" i="12"/>
  <c r="Y1225" i="12"/>
  <c r="X1227" i="12"/>
  <c r="Y1226" i="12"/>
  <c r="Y1227" i="12"/>
  <c r="X1228" i="12"/>
  <c r="Y1228" i="12"/>
  <c r="X1229" i="12"/>
  <c r="X1230" i="12"/>
  <c r="Y1229" i="12"/>
  <c r="X1231" i="12"/>
  <c r="Y1230" i="12"/>
  <c r="X1232" i="12"/>
  <c r="Y1231" i="12"/>
  <c r="Y1232" i="12"/>
  <c r="X1233" i="12"/>
  <c r="X1234" i="12"/>
  <c r="Y1233" i="12"/>
  <c r="Y1234" i="12"/>
  <c r="X1235" i="12"/>
  <c r="X1236" i="12"/>
  <c r="Y1235" i="12"/>
  <c r="Y1236" i="12"/>
  <c r="X1237" i="12"/>
  <c r="Y1237" i="12"/>
  <c r="X1238" i="12"/>
  <c r="Y1238" i="12"/>
  <c r="X1239" i="12"/>
  <c r="X1240" i="12"/>
  <c r="Y1239" i="12"/>
  <c r="Y1240" i="12"/>
  <c r="X1241" i="12"/>
  <c r="Y1241" i="12"/>
  <c r="X1242" i="12"/>
  <c r="X1243" i="12"/>
  <c r="Y1242" i="12"/>
  <c r="Y1243" i="12"/>
  <c r="X1244" i="12"/>
  <c r="Y1244" i="12"/>
  <c r="X1245" i="12"/>
  <c r="Y1245" i="12"/>
  <c r="X1246" i="12"/>
  <c r="Y1246" i="12"/>
  <c r="X1247" i="12"/>
  <c r="X1248" i="12"/>
  <c r="Y1247" i="12"/>
  <c r="Y1248" i="12"/>
  <c r="X1249" i="12"/>
  <c r="Y1249" i="12"/>
  <c r="X1250" i="12"/>
  <c r="Y1250" i="12"/>
  <c r="X1251" i="12"/>
  <c r="X1252" i="12"/>
  <c r="Y1251" i="12"/>
  <c r="X1253" i="12"/>
  <c r="Y1252" i="12"/>
  <c r="Y1253" i="12"/>
  <c r="X1254" i="12"/>
  <c r="Y1254" i="12"/>
  <c r="X1255" i="12"/>
  <c r="X1256" i="12"/>
  <c r="Y1255" i="12"/>
  <c r="X1257" i="12"/>
  <c r="Y1256" i="12"/>
  <c r="Y1257" i="12"/>
  <c r="X1258" i="12"/>
  <c r="X1259" i="12"/>
  <c r="Y1258" i="12"/>
  <c r="X1260" i="12"/>
  <c r="Y1259" i="12"/>
  <c r="Y1260" i="12"/>
  <c r="X1261" i="12"/>
  <c r="X1262" i="12"/>
  <c r="Y1261" i="12"/>
  <c r="X1263" i="12"/>
  <c r="Y1262" i="12"/>
  <c r="X1264" i="12"/>
  <c r="Y1263" i="12"/>
  <c r="X1265" i="12"/>
  <c r="Y1264" i="12"/>
  <c r="X1266" i="12"/>
  <c r="Y1265" i="12"/>
  <c r="Y1266" i="12"/>
  <c r="X1267" i="12"/>
  <c r="X1268" i="12"/>
  <c r="Y1267" i="12"/>
  <c r="Y1268" i="12"/>
  <c r="X1269" i="12"/>
  <c r="Y1269" i="12"/>
  <c r="X1270" i="12"/>
  <c r="X1271" i="12"/>
  <c r="Y1270" i="12"/>
  <c r="X1272" i="12"/>
  <c r="Y1271" i="12"/>
  <c r="Y1272" i="12"/>
  <c r="X1273" i="12"/>
  <c r="Y1273" i="12"/>
  <c r="X1274" i="12"/>
  <c r="Y1274" i="12"/>
  <c r="X1275" i="12"/>
  <c r="Y1275" i="12"/>
  <c r="X1276" i="12"/>
  <c r="Y1276" i="12"/>
  <c r="X1277" i="12"/>
  <c r="Y1277" i="12"/>
  <c r="X1278" i="12"/>
  <c r="Y1278" i="12"/>
  <c r="X1279" i="12"/>
  <c r="X1280" i="12"/>
  <c r="Y1279" i="12"/>
  <c r="Y1280" i="12"/>
  <c r="X1281" i="12"/>
  <c r="Y1281" i="12"/>
  <c r="X1282" i="12"/>
  <c r="X1283" i="12"/>
  <c r="Y1282" i="12"/>
  <c r="X1284" i="12"/>
  <c r="Y1283" i="12"/>
  <c r="X1285" i="12"/>
  <c r="Y1284" i="12"/>
  <c r="Y1285" i="12"/>
  <c r="X1286" i="12"/>
  <c r="Y1286" i="12"/>
  <c r="X1287" i="12"/>
  <c r="X1288" i="12"/>
  <c r="Y1287" i="12"/>
  <c r="Y1288" i="12"/>
  <c r="X1289" i="12"/>
  <c r="Y1289" i="12"/>
  <c r="X1290" i="12"/>
  <c r="X1291" i="12"/>
  <c r="Y1290" i="12"/>
  <c r="X1292" i="12"/>
  <c r="Y1291" i="12"/>
  <c r="Y1292" i="12"/>
  <c r="X1293" i="12"/>
  <c r="X1294" i="12"/>
  <c r="Y1293" i="12"/>
  <c r="Y1294" i="12"/>
  <c r="X1295" i="12"/>
  <c r="X1296" i="12"/>
  <c r="Y1295" i="12"/>
  <c r="Y1296" i="12"/>
  <c r="X1297" i="12"/>
  <c r="X1298" i="12"/>
  <c r="Y1297" i="12"/>
  <c r="Y1298" i="12"/>
  <c r="X1299" i="12"/>
  <c r="X1300" i="12"/>
  <c r="Y1299" i="12"/>
  <c r="Y1300" i="12"/>
  <c r="X1301" i="12"/>
  <c r="X1302" i="12"/>
  <c r="Y1301" i="12"/>
  <c r="X1303" i="12"/>
  <c r="Y1302" i="12"/>
  <c r="X1304" i="12"/>
  <c r="Y1303" i="12"/>
  <c r="Y1304" i="12"/>
  <c r="X1305" i="12"/>
  <c r="Y1305" i="12"/>
  <c r="X1306" i="12"/>
  <c r="Y1306" i="12"/>
  <c r="X1307" i="12"/>
  <c r="Y1307" i="12"/>
  <c r="X1308" i="12"/>
  <c r="Y1308" i="12"/>
  <c r="X1309" i="12"/>
  <c r="Y1309" i="12"/>
  <c r="X1310" i="12"/>
  <c r="Y1310" i="12"/>
  <c r="X1311" i="12"/>
  <c r="X1312" i="12"/>
  <c r="Y1311" i="12"/>
  <c r="Y1312" i="12"/>
  <c r="X1313" i="12"/>
  <c r="Y1313" i="12"/>
  <c r="X1314" i="12"/>
  <c r="Y1314" i="12"/>
  <c r="X1315" i="12"/>
  <c r="Y1315" i="12"/>
  <c r="X1316" i="12"/>
  <c r="X1317" i="12"/>
  <c r="Y1316" i="12"/>
  <c r="Y1317" i="12"/>
  <c r="X1318" i="12"/>
  <c r="Y1318" i="12"/>
  <c r="X1319" i="12"/>
  <c r="X1320" i="12"/>
  <c r="Y1319" i="12"/>
  <c r="Y1320" i="12"/>
  <c r="X1321" i="12"/>
  <c r="Y1321" i="12"/>
  <c r="X1322" i="12"/>
  <c r="X1323" i="12"/>
  <c r="Y1322" i="12"/>
  <c r="Y1323" i="12"/>
  <c r="X1324" i="12"/>
  <c r="Y1324" i="12"/>
  <c r="X1325" i="12"/>
  <c r="X1326" i="12"/>
  <c r="Y1325" i="12"/>
  <c r="Y1326" i="12"/>
  <c r="X1327" i="12"/>
  <c r="X1328" i="12"/>
  <c r="Y1327" i="12"/>
  <c r="Y1328" i="12"/>
  <c r="X1329" i="12"/>
  <c r="Y1329" i="12"/>
  <c r="X1330" i="12"/>
  <c r="Y1330" i="12"/>
  <c r="X1331" i="12"/>
  <c r="X1332" i="12"/>
  <c r="Y1331" i="12"/>
  <c r="Y1332" i="12"/>
  <c r="X1333" i="12"/>
  <c r="Y1333" i="12"/>
  <c r="X1334" i="12"/>
  <c r="Y1334" i="12"/>
  <c r="X1335" i="12"/>
  <c r="X1336" i="12"/>
  <c r="Y1335" i="12"/>
  <c r="Y1336" i="12"/>
  <c r="X1337" i="12"/>
  <c r="X1338" i="12"/>
  <c r="Y1337" i="12"/>
  <c r="Y1338" i="12"/>
  <c r="X1339" i="12"/>
  <c r="Y1339" i="12"/>
  <c r="X1340" i="12"/>
  <c r="Y1340" i="12"/>
  <c r="X1341" i="12"/>
  <c r="Y1341" i="12"/>
  <c r="X1342" i="12"/>
  <c r="Y1342" i="12"/>
  <c r="X1343" i="12"/>
  <c r="X1344" i="12"/>
  <c r="Y1343" i="12"/>
  <c r="Y1344" i="12"/>
  <c r="X1345" i="12"/>
  <c r="X1346" i="12"/>
  <c r="Y1345" i="12"/>
  <c r="Y1346" i="12"/>
  <c r="X1347" i="12"/>
  <c r="X1348" i="12"/>
  <c r="Y1347" i="12"/>
  <c r="X1349" i="12"/>
  <c r="Y1348" i="12"/>
  <c r="Y1349" i="12"/>
  <c r="X1350" i="12"/>
  <c r="Y1350" i="12"/>
  <c r="X1351" i="12"/>
  <c r="X1352" i="12"/>
  <c r="Y1351" i="12"/>
  <c r="Y1352" i="12"/>
  <c r="X1353" i="12"/>
  <c r="X1354" i="12"/>
  <c r="Y1353" i="12"/>
  <c r="X1355" i="12"/>
  <c r="Y1354" i="12"/>
  <c r="X1356" i="12"/>
  <c r="Y1355" i="12"/>
  <c r="Y1356" i="12"/>
  <c r="X1357" i="12"/>
  <c r="X1358" i="12"/>
  <c r="Y1357" i="12"/>
  <c r="Y1358" i="12"/>
  <c r="X1359" i="12"/>
  <c r="X1360" i="12"/>
  <c r="Y1359" i="12"/>
  <c r="Y1360" i="12"/>
  <c r="X1361" i="12"/>
  <c r="X1362" i="12"/>
  <c r="Y1361" i="12"/>
  <c r="Y1362" i="12"/>
  <c r="X1363" i="12"/>
  <c r="X1364" i="12"/>
  <c r="Y1363" i="12"/>
  <c r="Y1364" i="12"/>
  <c r="X1365" i="12"/>
  <c r="X1366" i="12"/>
  <c r="Y1365" i="12"/>
  <c r="Y1366" i="12"/>
  <c r="X1367" i="12"/>
  <c r="X1368" i="12"/>
  <c r="Y1367" i="12"/>
  <c r="Y1368" i="12"/>
  <c r="X1369" i="12"/>
  <c r="Y1369" i="12"/>
  <c r="X1370" i="12"/>
  <c r="Y1370" i="12"/>
  <c r="X1371" i="12"/>
  <c r="Y1371" i="12"/>
  <c r="X1372" i="12"/>
  <c r="Y1372" i="12"/>
  <c r="X1373" i="12"/>
  <c r="Y1373" i="12"/>
  <c r="X1374" i="12"/>
  <c r="Y1374" i="12"/>
  <c r="X1375" i="12"/>
  <c r="X1376" i="12"/>
  <c r="Y1375" i="12"/>
  <c r="Y1376" i="12"/>
  <c r="X1377" i="12"/>
  <c r="Y1377" i="12"/>
  <c r="X1378" i="12"/>
  <c r="Y1378" i="12"/>
  <c r="X1379" i="12"/>
  <c r="X1380" i="12"/>
  <c r="Y1379" i="12"/>
  <c r="X1381" i="12"/>
  <c r="Y1380" i="12"/>
  <c r="Y1381" i="12"/>
  <c r="X1382" i="12"/>
  <c r="Y1382" i="12"/>
  <c r="X1383" i="12"/>
  <c r="X1384" i="12"/>
  <c r="Y1383" i="12"/>
  <c r="Y1384" i="12"/>
  <c r="X1385" i="12"/>
  <c r="X1386" i="12"/>
  <c r="Y1385" i="12"/>
  <c r="X1387" i="12"/>
  <c r="Y1386" i="12"/>
  <c r="X1388" i="12"/>
  <c r="Y1387" i="12"/>
  <c r="X1389" i="12"/>
  <c r="Y1388" i="12"/>
  <c r="X1390" i="12"/>
  <c r="Y1389" i="12"/>
  <c r="Y1390" i="12"/>
  <c r="X1391" i="12"/>
  <c r="X1392" i="12"/>
  <c r="Y1391" i="12"/>
  <c r="Y1392" i="12"/>
  <c r="X1393" i="12"/>
  <c r="X1394" i="12"/>
  <c r="Y1393" i="12"/>
  <c r="Y1394" i="12"/>
  <c r="X1395" i="12"/>
  <c r="X1396" i="12"/>
  <c r="Y1395" i="12"/>
  <c r="X1397" i="12"/>
  <c r="Y1396" i="12"/>
  <c r="Y1397" i="12"/>
  <c r="X1398" i="12"/>
  <c r="Y1398" i="12"/>
  <c r="X1399" i="12"/>
  <c r="X1400" i="12"/>
  <c r="Y1399" i="12"/>
  <c r="Y1400" i="12"/>
  <c r="X1401" i="12"/>
  <c r="Y1401" i="12"/>
  <c r="X1402" i="12"/>
  <c r="X1403" i="12"/>
  <c r="Y1402" i="12"/>
  <c r="Y1403" i="12"/>
  <c r="X1404" i="12"/>
  <c r="Y1404" i="12"/>
  <c r="X1405" i="12"/>
  <c r="X1406" i="12"/>
  <c r="Y1405" i="12"/>
  <c r="Y1406" i="12"/>
  <c r="X1407" i="12"/>
  <c r="X1408" i="12"/>
  <c r="Y1407" i="12"/>
  <c r="Y1408" i="12"/>
  <c r="X1409" i="12"/>
  <c r="X1410" i="12"/>
  <c r="Y1409" i="12"/>
  <c r="Y1410" i="12"/>
  <c r="X1411" i="12"/>
  <c r="X1412" i="12"/>
  <c r="Y1411" i="12"/>
  <c r="X1413" i="12"/>
  <c r="Y1412" i="12"/>
  <c r="Y1413" i="12"/>
  <c r="X1414" i="12"/>
  <c r="X1415" i="12"/>
  <c r="Y1414" i="12"/>
  <c r="Y1415" i="12"/>
  <c r="X1416" i="12"/>
  <c r="Y1416" i="12"/>
  <c r="X1417" i="12"/>
  <c r="Y1417" i="12"/>
  <c r="X1418" i="12"/>
  <c r="Y1418" i="12"/>
  <c r="X1419" i="12"/>
  <c r="X1420" i="12"/>
  <c r="Y1419" i="12"/>
  <c r="Y1420" i="12"/>
  <c r="X1421" i="12"/>
  <c r="X1422" i="12"/>
  <c r="Y1421" i="12"/>
  <c r="Y1422" i="12"/>
  <c r="X1423" i="12"/>
  <c r="X1424" i="12"/>
  <c r="Y1423" i="12"/>
  <c r="Y1424" i="12"/>
  <c r="X1425" i="12"/>
  <c r="Y1425" i="12"/>
  <c r="X1426" i="12"/>
  <c r="Y1426" i="12"/>
  <c r="X1427" i="12"/>
  <c r="X1428" i="12"/>
  <c r="Y1427" i="12"/>
  <c r="Y1428" i="12"/>
  <c r="X1429" i="12"/>
  <c r="Y1429" i="12"/>
  <c r="X1430" i="12"/>
  <c r="Y1430" i="12"/>
  <c r="X1431" i="12"/>
  <c r="X1432" i="12"/>
  <c r="Y1431" i="12"/>
  <c r="X1433" i="12"/>
  <c r="Y1432" i="12"/>
  <c r="X1434" i="12"/>
  <c r="Y1433" i="12"/>
  <c r="Y1434" i="12"/>
  <c r="X1435" i="12"/>
  <c r="Y1435" i="12"/>
  <c r="X1436" i="12"/>
  <c r="Y1436" i="12"/>
  <c r="X1437" i="12"/>
  <c r="Y1437" i="12"/>
  <c r="X1438" i="12"/>
  <c r="Y1438" i="12"/>
  <c r="X1439" i="12"/>
  <c r="Y1439" i="12"/>
  <c r="X1440" i="12"/>
  <c r="Y1440" i="12"/>
  <c r="X1441" i="12"/>
  <c r="X1442" i="12"/>
  <c r="Y1441" i="12"/>
  <c r="Y1442" i="12"/>
  <c r="X1443" i="12"/>
  <c r="X1444" i="12"/>
  <c r="Y1443" i="12"/>
  <c r="X1445" i="12"/>
  <c r="Y1444" i="12"/>
  <c r="X1446" i="12"/>
  <c r="Y1445" i="12"/>
  <c r="Y1446" i="12"/>
  <c r="X1447" i="12"/>
  <c r="X1448" i="12"/>
  <c r="Y1447" i="12"/>
  <c r="Y1448" i="12"/>
  <c r="X1449" i="12"/>
  <c r="Y1449" i="12"/>
  <c r="X1450" i="12"/>
  <c r="X1451" i="12"/>
  <c r="Y1450" i="12"/>
  <c r="X1452" i="12"/>
  <c r="Y1451" i="12"/>
  <c r="Y1452" i="12"/>
  <c r="X1453" i="12"/>
  <c r="Y1453" i="12"/>
  <c r="X1454" i="12"/>
  <c r="Y1454" i="12"/>
  <c r="X1455" i="12"/>
  <c r="X1456" i="12"/>
  <c r="Y1455" i="12"/>
  <c r="Y1456" i="12"/>
  <c r="X1457" i="12"/>
  <c r="X1458" i="12"/>
  <c r="Y1457" i="12"/>
  <c r="Y1458" i="12"/>
  <c r="X1459" i="12"/>
  <c r="X1460" i="12"/>
  <c r="Y1459" i="12"/>
  <c r="Y1460" i="12"/>
  <c r="X1461" i="12"/>
  <c r="Y1461" i="12"/>
  <c r="X1462" i="12"/>
  <c r="Y1462" i="12"/>
  <c r="X1463" i="12"/>
  <c r="X1464" i="12"/>
  <c r="Y1463" i="12"/>
  <c r="Y1464" i="12"/>
  <c r="X1465" i="12"/>
  <c r="Y1465" i="12"/>
  <c r="X1466" i="12"/>
  <c r="Y1466" i="12"/>
  <c r="X1467" i="12"/>
  <c r="Y1467" i="12"/>
  <c r="X1468" i="12"/>
  <c r="Y1468" i="12"/>
  <c r="X1469" i="12"/>
  <c r="Y1469" i="12"/>
  <c r="X1470" i="12"/>
  <c r="Y1470" i="12"/>
  <c r="X1471" i="12"/>
  <c r="X1472" i="12"/>
  <c r="Y1471" i="12"/>
  <c r="Y1472" i="12"/>
  <c r="X1473" i="12"/>
  <c r="X1474" i="12"/>
  <c r="Y1473" i="12"/>
  <c r="Y1474" i="12"/>
  <c r="X1475" i="12"/>
  <c r="X1476" i="12"/>
  <c r="Y1475" i="12"/>
  <c r="X1477" i="12"/>
  <c r="Y1476" i="12"/>
  <c r="Y1477" i="12"/>
  <c r="X1478" i="12"/>
  <c r="Y1478" i="12"/>
  <c r="X1479" i="12"/>
  <c r="X1480" i="12"/>
  <c r="Y1479" i="12"/>
  <c r="X1481" i="12"/>
  <c r="Y1480" i="12"/>
  <c r="Y1481" i="12"/>
  <c r="X1482" i="12"/>
  <c r="X1483" i="12"/>
  <c r="Y1482" i="12"/>
  <c r="X1484" i="12"/>
  <c r="Y1483" i="12"/>
  <c r="Y1484" i="12"/>
  <c r="X1485" i="12"/>
  <c r="X1486" i="12"/>
  <c r="Y1485" i="12"/>
  <c r="Y1486" i="12"/>
  <c r="X1487" i="12"/>
  <c r="X1488" i="12"/>
  <c r="Y1487" i="12"/>
  <c r="X1489" i="12"/>
  <c r="Y1488" i="12"/>
  <c r="Y1489" i="12"/>
  <c r="X1490" i="12"/>
  <c r="Y1490" i="12"/>
  <c r="X1491" i="12"/>
  <c r="X1492" i="12"/>
  <c r="Y1491" i="12"/>
  <c r="Y1492" i="12"/>
  <c r="X1493" i="12"/>
  <c r="Y1493" i="12"/>
  <c r="X1494" i="12"/>
  <c r="X1495" i="12"/>
  <c r="Y1494" i="12"/>
  <c r="X1496" i="12"/>
  <c r="Y1495" i="12"/>
  <c r="X1497" i="12"/>
  <c r="Y1496" i="12"/>
  <c r="Y1497" i="12"/>
  <c r="X1498" i="12"/>
  <c r="Y1498" i="12"/>
  <c r="X1499" i="12"/>
  <c r="X1500" i="12"/>
  <c r="Y1499" i="12"/>
  <c r="X1501" i="12"/>
  <c r="Y1500" i="12"/>
  <c r="Y1501" i="12"/>
  <c r="X1502" i="12"/>
  <c r="Y1502" i="12"/>
  <c r="X1503" i="12"/>
  <c r="X1504" i="12"/>
  <c r="Y1503" i="12"/>
  <c r="X1505" i="12"/>
  <c r="Y1504" i="12"/>
  <c r="Y1505" i="12"/>
  <c r="X1506" i="12"/>
  <c r="Y1506" i="12"/>
  <c r="X1507" i="12"/>
  <c r="X1508" i="12"/>
  <c r="Y1507" i="12"/>
  <c r="Y1508" i="12"/>
  <c r="X1509" i="12"/>
  <c r="Y1509" i="12"/>
  <c r="X1510" i="12"/>
  <c r="X1511" i="12"/>
  <c r="Y1510" i="12"/>
  <c r="X1512" i="12"/>
  <c r="Y1511" i="12"/>
  <c r="X1513" i="12"/>
  <c r="Y1512" i="12"/>
  <c r="Y1513" i="12"/>
  <c r="X1514" i="12"/>
  <c r="X1515" i="12"/>
  <c r="Y1514" i="12"/>
  <c r="X1516" i="12"/>
  <c r="Y1515" i="12"/>
  <c r="X1517" i="12"/>
  <c r="Y1516" i="12"/>
  <c r="Y1517" i="12"/>
  <c r="X1518" i="12"/>
  <c r="X1519" i="12"/>
  <c r="Y1518" i="12"/>
  <c r="X1520" i="12"/>
  <c r="Y1519" i="12"/>
  <c r="Y1520" i="12"/>
  <c r="X1521" i="12"/>
  <c r="X1522" i="12"/>
  <c r="Y1521" i="12"/>
  <c r="Y1522" i="12"/>
  <c r="X1523" i="12"/>
  <c r="X1524" i="12"/>
  <c r="Y1523" i="12"/>
  <c r="Y1524" i="12"/>
  <c r="X1525" i="12"/>
  <c r="Y1525" i="12"/>
  <c r="X1526" i="12"/>
  <c r="Y1526" i="12"/>
  <c r="X1527" i="12"/>
  <c r="X1528" i="12"/>
  <c r="Y1527" i="12"/>
  <c r="X1529" i="12"/>
  <c r="Y1528" i="12"/>
  <c r="Y1529" i="12"/>
  <c r="X1530" i="12"/>
  <c r="Y1530" i="12"/>
  <c r="X1531" i="12"/>
  <c r="X1532" i="12"/>
  <c r="Y1531" i="12"/>
  <c r="X1533" i="12"/>
  <c r="Y1532" i="12"/>
  <c r="Y1533" i="12"/>
  <c r="X1534" i="12"/>
  <c r="Y1534" i="12"/>
  <c r="X1535" i="12"/>
  <c r="X1536" i="12"/>
  <c r="Y1535" i="12"/>
  <c r="Y1536" i="12"/>
  <c r="X1537" i="12"/>
  <c r="Y1537" i="12"/>
  <c r="X1538" i="12"/>
  <c r="Y1538" i="12"/>
  <c r="X1539" i="12"/>
  <c r="X1540" i="12"/>
  <c r="Y1539" i="12"/>
  <c r="Y1540" i="12"/>
  <c r="X1541" i="12"/>
  <c r="Y1541" i="12"/>
  <c r="X1542" i="12"/>
  <c r="X1543" i="12"/>
  <c r="Y1542" i="12"/>
  <c r="X1544" i="12"/>
  <c r="Y1543" i="12"/>
  <c r="Y1544" i="12"/>
  <c r="X1545" i="12"/>
  <c r="X1546" i="12"/>
  <c r="Y1545" i="12"/>
  <c r="X1547" i="12"/>
  <c r="Y1546" i="12"/>
  <c r="X1548" i="12"/>
  <c r="Y1547" i="12"/>
  <c r="Y1548" i="12"/>
  <c r="X1549" i="12"/>
  <c r="Y1549" i="12"/>
  <c r="X1550" i="12"/>
  <c r="Y1550" i="12"/>
  <c r="X1551" i="12"/>
  <c r="X1552" i="12"/>
  <c r="Y1551" i="12"/>
  <c r="Y1552" i="12"/>
  <c r="X1553" i="12"/>
  <c r="Y1553" i="12"/>
  <c r="X1554" i="12"/>
  <c r="Y1554" i="12"/>
  <c r="X1555" i="12"/>
  <c r="X1556" i="12"/>
  <c r="Y1555" i="12"/>
  <c r="X1557" i="12"/>
  <c r="Y1556" i="12"/>
  <c r="Y1557" i="12"/>
  <c r="X1558" i="12"/>
  <c r="Y1558" i="12"/>
  <c r="X1559" i="12"/>
  <c r="X1560" i="12"/>
  <c r="Y1559" i="12"/>
  <c r="Y1560" i="12"/>
  <c r="X1561" i="12"/>
  <c r="Y1561" i="12"/>
  <c r="X1562" i="12"/>
  <c r="Y1562" i="12"/>
  <c r="X1563" i="12"/>
  <c r="X1564" i="12"/>
  <c r="Y1563" i="12"/>
  <c r="X1565" i="12"/>
  <c r="Y1564" i="12"/>
  <c r="X1566" i="12"/>
  <c r="Y1565" i="12"/>
  <c r="Y1566" i="12"/>
  <c r="X1567" i="12"/>
  <c r="X1568" i="12"/>
  <c r="Y1567" i="12"/>
  <c r="X1569" i="12"/>
  <c r="Y1568" i="12"/>
  <c r="X1570" i="12"/>
  <c r="Y1569" i="12"/>
  <c r="Y1570" i="12"/>
  <c r="X1571" i="12"/>
  <c r="X1572" i="12"/>
  <c r="Y1571" i="12"/>
  <c r="Y1572" i="12"/>
  <c r="X1573" i="12"/>
  <c r="X1574" i="12"/>
  <c r="Y1573" i="12"/>
  <c r="X1575" i="12"/>
  <c r="Y1574" i="12"/>
  <c r="X1576" i="12"/>
  <c r="Y1575" i="12"/>
  <c r="Y1576" i="12"/>
  <c r="X1577" i="12"/>
  <c r="X1578" i="12"/>
  <c r="Y1577" i="12"/>
  <c r="X1579" i="12"/>
  <c r="Y1578" i="12"/>
  <c r="X1580" i="12"/>
  <c r="Y1579" i="12"/>
  <c r="Y1580" i="12"/>
  <c r="X1581" i="12"/>
  <c r="Y1581" i="12"/>
  <c r="X1582" i="12"/>
  <c r="Y1582" i="12"/>
  <c r="X1583" i="12"/>
  <c r="X1584" i="12"/>
  <c r="Y1583" i="12"/>
  <c r="Y1584" i="12"/>
  <c r="X1585" i="12"/>
  <c r="X1586" i="12"/>
  <c r="Y1585" i="12"/>
  <c r="Y1586" i="12"/>
  <c r="X1587" i="12"/>
  <c r="X1588" i="12"/>
  <c r="Y1587" i="12"/>
  <c r="X1589" i="12"/>
  <c r="Y1588" i="12"/>
  <c r="Y1589" i="12"/>
  <c r="X1590" i="12"/>
  <c r="X1591" i="12"/>
  <c r="Y1590" i="12"/>
  <c r="X1592" i="12"/>
  <c r="Y1591" i="12"/>
  <c r="X1593" i="12"/>
  <c r="Y1592" i="12"/>
  <c r="Y1593" i="12"/>
  <c r="X1594" i="12"/>
  <c r="Y1594" i="12"/>
  <c r="X1595" i="12"/>
  <c r="X1596" i="12"/>
  <c r="Y1595" i="12"/>
  <c r="X1597" i="12"/>
  <c r="Y1596" i="12"/>
  <c r="X1598" i="12"/>
  <c r="Y1597" i="12"/>
  <c r="Y1598" i="12"/>
  <c r="X1599" i="12"/>
  <c r="X1600" i="12"/>
  <c r="Y1599" i="12"/>
  <c r="Y1600" i="12"/>
  <c r="X1601" i="12"/>
  <c r="X1602" i="12"/>
  <c r="Y1601" i="12"/>
  <c r="Y1602" i="12"/>
  <c r="X1603" i="12"/>
  <c r="X1604" i="12"/>
  <c r="Y1603" i="12"/>
  <c r="Y1604" i="12"/>
  <c r="X1605" i="12"/>
  <c r="X1606" i="12"/>
  <c r="Y1605" i="12"/>
  <c r="X1607" i="12"/>
  <c r="Y1606" i="12"/>
  <c r="X1608" i="12"/>
  <c r="Y1607" i="12"/>
  <c r="Y1608" i="12"/>
  <c r="X1609" i="12"/>
  <c r="Y1609" i="12"/>
  <c r="X1610" i="12"/>
  <c r="X1611" i="12"/>
  <c r="Y1610" i="12"/>
  <c r="X1612" i="12"/>
  <c r="Y1611" i="12"/>
  <c r="Y1612" i="12"/>
  <c r="X1613" i="12"/>
  <c r="Y1613" i="12"/>
  <c r="X1614" i="12"/>
  <c r="Y1614" i="12"/>
  <c r="X1615" i="12"/>
  <c r="X1616" i="12"/>
  <c r="Y1615" i="12"/>
  <c r="Y1616" i="12"/>
  <c r="X1617" i="12"/>
  <c r="Y1617" i="12"/>
  <c r="X1618" i="12"/>
  <c r="X1619" i="12"/>
  <c r="Y1618" i="12"/>
  <c r="X1620" i="12"/>
  <c r="Y1619" i="12"/>
  <c r="X1621" i="12"/>
  <c r="Y1620" i="12"/>
  <c r="Y1621" i="12"/>
  <c r="X1622" i="12"/>
  <c r="Y1622" i="12"/>
  <c r="X1623" i="12"/>
  <c r="X1624" i="12"/>
  <c r="Y1623" i="12"/>
  <c r="X1625" i="12"/>
  <c r="Y1624" i="12"/>
  <c r="Y1625" i="12"/>
  <c r="X1626" i="12"/>
  <c r="Y1626" i="12"/>
  <c r="X1627" i="12"/>
  <c r="X1628" i="12"/>
  <c r="Y1627" i="12"/>
  <c r="X1629" i="12"/>
  <c r="Y1628" i="12"/>
  <c r="X1630" i="12"/>
  <c r="Y1629" i="12"/>
  <c r="Y1630" i="12"/>
  <c r="X1631" i="12"/>
  <c r="X1632" i="12"/>
  <c r="Y1631" i="12"/>
  <c r="X1633" i="12"/>
  <c r="Y1632" i="12"/>
  <c r="Y1633" i="12"/>
  <c r="X1634" i="12"/>
  <c r="Y1634" i="12"/>
  <c r="X1635" i="12"/>
  <c r="X1636" i="12"/>
  <c r="Y1635" i="12"/>
  <c r="X1637" i="12"/>
  <c r="Y1636" i="12"/>
  <c r="Y1637" i="12"/>
  <c r="X1638" i="12"/>
  <c r="X1639" i="12"/>
  <c r="Y1638" i="12"/>
  <c r="X1640" i="12"/>
  <c r="Y1639" i="12"/>
  <c r="Y1640" i="12"/>
  <c r="X1641" i="12"/>
  <c r="Y1641" i="12"/>
  <c r="X1642" i="12"/>
  <c r="X1643" i="12"/>
  <c r="Y1642" i="12"/>
  <c r="X1644" i="12"/>
  <c r="Y1643" i="12"/>
  <c r="Y1644" i="12"/>
  <c r="X1645" i="12"/>
  <c r="Y1645" i="12"/>
  <c r="X1646" i="12"/>
  <c r="X1647" i="12"/>
  <c r="Y1646" i="12"/>
  <c r="X1648" i="12"/>
  <c r="Y1647" i="12"/>
  <c r="Y1648" i="12"/>
  <c r="X1649" i="12"/>
  <c r="Y1649" i="12"/>
  <c r="X1650" i="12"/>
  <c r="X1651" i="12"/>
  <c r="Y1650" i="12"/>
  <c r="X1652" i="12"/>
  <c r="Y1651" i="12"/>
  <c r="Y1652" i="12"/>
  <c r="X1653" i="12"/>
  <c r="X1654" i="12"/>
  <c r="Y1653" i="12"/>
  <c r="X1655" i="12"/>
  <c r="Y1654" i="12"/>
  <c r="X1656" i="12"/>
  <c r="Y1655" i="12"/>
  <c r="X1657" i="12"/>
  <c r="Y1656" i="12"/>
  <c r="Y1657" i="12"/>
  <c r="X1658" i="12"/>
  <c r="X1659" i="12"/>
  <c r="Y1658" i="12"/>
  <c r="X1660" i="12"/>
  <c r="Y1659" i="12"/>
  <c r="Y1660" i="12"/>
  <c r="X1661" i="12"/>
  <c r="Y1661" i="12"/>
  <c r="X1662" i="12"/>
  <c r="Y1662" i="12"/>
  <c r="X1663" i="12"/>
  <c r="X1664" i="12"/>
  <c r="Y1663" i="12"/>
  <c r="X1665" i="12"/>
  <c r="Y1664" i="12"/>
  <c r="X1666" i="12"/>
  <c r="Y1665" i="12"/>
  <c r="X1667" i="12"/>
  <c r="Y1666" i="12"/>
  <c r="X1668" i="12"/>
  <c r="Y1667" i="12"/>
  <c r="Y1668" i="12"/>
  <c r="X1669" i="12"/>
  <c r="Y1669" i="12"/>
  <c r="X1670" i="12"/>
  <c r="Y1670" i="12"/>
  <c r="X1671" i="12"/>
  <c r="X1672" i="12"/>
  <c r="Y1671" i="12"/>
  <c r="Y1672" i="12"/>
  <c r="X1673" i="12"/>
  <c r="X1674" i="12"/>
  <c r="Y1673" i="12"/>
  <c r="X1675" i="12"/>
  <c r="Y1674" i="12"/>
  <c r="X1676" i="12"/>
  <c r="Y1675" i="12"/>
  <c r="Y1676" i="12"/>
  <c r="X1677" i="12"/>
  <c r="X1678" i="12"/>
  <c r="Y1677" i="12"/>
  <c r="X1679" i="12"/>
  <c r="Y1678" i="12"/>
  <c r="X1680" i="12"/>
  <c r="Y1679" i="12"/>
  <c r="Y1680" i="12"/>
  <c r="X1681" i="12"/>
  <c r="Y1681" i="12"/>
  <c r="X1682" i="12"/>
  <c r="Y1682" i="12"/>
  <c r="X1683" i="12"/>
  <c r="X1684" i="12"/>
  <c r="Y1683" i="12"/>
  <c r="Y1684" i="12"/>
  <c r="X1685" i="12"/>
  <c r="X1686" i="12"/>
  <c r="Y1685" i="12"/>
  <c r="Y1686" i="12"/>
  <c r="X1687" i="12"/>
  <c r="X1688" i="12"/>
  <c r="Y1687" i="12"/>
  <c r="X1689" i="12"/>
  <c r="Y1688" i="12"/>
  <c r="Y1689" i="12"/>
  <c r="X1690" i="12"/>
  <c r="Y1690" i="12"/>
  <c r="X1691" i="12"/>
  <c r="X1692" i="12"/>
  <c r="Y1691" i="12"/>
  <c r="Y1692" i="12"/>
  <c r="X1693" i="12"/>
  <c r="Y1693" i="12"/>
  <c r="X1694" i="12"/>
  <c r="Y1694" i="12"/>
  <c r="X1695" i="12"/>
  <c r="X1696" i="12"/>
  <c r="Y1695" i="12"/>
  <c r="Y1696" i="12"/>
  <c r="X1697" i="12"/>
  <c r="X1698" i="12"/>
  <c r="Y1697" i="12"/>
  <c r="X1699" i="12"/>
  <c r="Y1698" i="12"/>
  <c r="X1700" i="12"/>
  <c r="Y1699" i="12"/>
  <c r="X1701" i="12"/>
  <c r="Y1700" i="12"/>
  <c r="X1702" i="12"/>
  <c r="Y1701" i="12"/>
  <c r="Y1702" i="12"/>
  <c r="X1703" i="12"/>
  <c r="X1704" i="12"/>
  <c r="Y1703" i="12"/>
  <c r="Y1704" i="12"/>
  <c r="X1705" i="12"/>
  <c r="X1706" i="12"/>
  <c r="Y1705" i="12"/>
  <c r="X1707" i="12"/>
  <c r="Y1706" i="12"/>
  <c r="X1708" i="12"/>
  <c r="Y1707" i="12"/>
  <c r="Y1708" i="12"/>
  <c r="X1709" i="12"/>
  <c r="X1710" i="12"/>
  <c r="Y1709" i="12"/>
  <c r="X1711" i="12"/>
  <c r="Y1710" i="12"/>
  <c r="X1712" i="12"/>
  <c r="Y1711" i="12"/>
  <c r="Y1712" i="12"/>
  <c r="X1713" i="12"/>
  <c r="X1714" i="12"/>
  <c r="Y1713" i="12"/>
  <c r="Y1714" i="12"/>
  <c r="X1715" i="12"/>
  <c r="X1716" i="12"/>
  <c r="Y1715" i="12"/>
  <c r="Y1716" i="12"/>
  <c r="X1717" i="12"/>
  <c r="X1718" i="12"/>
  <c r="Y1717" i="12"/>
  <c r="Y1718" i="12"/>
  <c r="X1719" i="12"/>
  <c r="Y1719" i="12"/>
  <c r="X1720" i="12"/>
  <c r="Y1720" i="12"/>
  <c r="X1721" i="12"/>
  <c r="Y1721" i="12"/>
  <c r="X1722" i="12"/>
  <c r="X1723" i="12"/>
  <c r="Y1722" i="12"/>
  <c r="Y1723" i="12"/>
  <c r="X1724" i="12"/>
  <c r="Y1724" i="12"/>
  <c r="X1725" i="12"/>
  <c r="Y1725" i="12"/>
  <c r="X1726" i="12"/>
  <c r="Y1726" i="12"/>
  <c r="X1727" i="12"/>
  <c r="Y1727" i="12"/>
  <c r="X1728" i="12"/>
  <c r="Y1728" i="12"/>
  <c r="X1729" i="12"/>
  <c r="Y1729" i="12"/>
  <c r="X1730" i="12"/>
  <c r="X1731" i="12"/>
  <c r="Y1730" i="12"/>
  <c r="Y1731" i="12"/>
  <c r="X1732" i="12"/>
  <c r="Y1732" i="12"/>
  <c r="X1733" i="12"/>
  <c r="Y1733" i="12"/>
  <c r="X1734" i="12"/>
  <c r="X1735" i="12"/>
  <c r="Y1734" i="12"/>
  <c r="X1736" i="12"/>
  <c r="Y1735" i="12"/>
  <c r="Y1736" i="12"/>
  <c r="X1737" i="12"/>
  <c r="X1738" i="12"/>
  <c r="Y1737"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X1750" i="12"/>
  <c r="Y1749" i="12"/>
  <c r="Y1750" i="12"/>
  <c r="X1751" i="12"/>
  <c r="Y1751" i="12"/>
  <c r="X1752" i="12"/>
  <c r="Y1752" i="12"/>
  <c r="X1753" i="12"/>
  <c r="Y1753" i="12"/>
  <c r="X1754" i="12"/>
  <c r="X1755" i="12"/>
  <c r="Y1754" i="12"/>
  <c r="Y1755" i="12"/>
  <c r="X1756" i="12"/>
  <c r="Y1756" i="12"/>
  <c r="X1757" i="12"/>
  <c r="Y1757" i="12"/>
  <c r="X1758" i="12"/>
  <c r="Y1758" i="12"/>
  <c r="X1759" i="12"/>
  <c r="Y1759" i="12"/>
  <c r="X1760" i="12"/>
  <c r="Y1760" i="12"/>
  <c r="X1761" i="12"/>
  <c r="Y1761" i="12"/>
  <c r="X1762" i="12"/>
  <c r="X1763" i="12"/>
  <c r="Y1762" i="12"/>
  <c r="Y1763" i="12"/>
  <c r="X1764" i="12"/>
  <c r="Y1764" i="12"/>
  <c r="X1765" i="12"/>
  <c r="Y1765" i="12"/>
  <c r="X1766" i="12"/>
  <c r="Y1766" i="12"/>
  <c r="X1767" i="12"/>
  <c r="X1768" i="12"/>
  <c r="Y1767" i="12"/>
  <c r="Y1768" i="12"/>
  <c r="X1769" i="12"/>
  <c r="X1770" i="12"/>
  <c r="Y1769"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X1782" i="12"/>
  <c r="Y1781"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X1795" i="12"/>
  <c r="Y1794" i="12"/>
  <c r="Y1795" i="12"/>
  <c r="X1796" i="12"/>
  <c r="Y1796" i="12"/>
  <c r="X1797" i="12"/>
  <c r="Y1797" i="12"/>
  <c r="X1798" i="12"/>
  <c r="Y1798" i="12"/>
  <c r="X1799" i="12"/>
  <c r="X1800" i="12"/>
  <c r="Y1799" i="12"/>
  <c r="X1801" i="12"/>
  <c r="Y1800" i="12"/>
  <c r="Y1801" i="12"/>
  <c r="X1802" i="12"/>
  <c r="Y1802" i="12"/>
  <c r="X1803" i="12"/>
  <c r="Y1803" i="12"/>
  <c r="X1804" i="12"/>
  <c r="Y1804" i="12"/>
  <c r="X1805" i="12"/>
  <c r="X1806" i="12"/>
  <c r="Y1805" i="12"/>
  <c r="X1807" i="12"/>
  <c r="Y1806" i="12"/>
  <c r="Y1807" i="12"/>
  <c r="X1808" i="12"/>
  <c r="Y1808" i="12"/>
  <c r="X1809" i="12"/>
  <c r="Y1809" i="12"/>
  <c r="X1810" i="12"/>
  <c r="X1811" i="12"/>
  <c r="Y1810" i="12"/>
  <c r="Y1811" i="12"/>
  <c r="X1812" i="12"/>
  <c r="Y1812" i="12"/>
  <c r="X1813" i="12"/>
  <c r="Y1813" i="12"/>
  <c r="X1814" i="12"/>
  <c r="Y1814" i="12"/>
  <c r="X1815" i="12"/>
  <c r="Y1815" i="12"/>
  <c r="X1816" i="12"/>
  <c r="X1817" i="12"/>
  <c r="Y1816" i="12"/>
  <c r="Y1817" i="12"/>
  <c r="X1818" i="12"/>
  <c r="Y1818" i="12"/>
  <c r="X1819" i="12"/>
  <c r="Y1819" i="12"/>
  <c r="X1820" i="12"/>
  <c r="Y1820" i="12"/>
  <c r="X1821" i="12"/>
  <c r="X1822" i="12"/>
  <c r="Y1821" i="12"/>
  <c r="Y1822" i="12"/>
  <c r="X1823" i="12"/>
  <c r="Y1823" i="12"/>
  <c r="X1824" i="12"/>
  <c r="Y1824" i="12"/>
  <c r="X1825" i="12"/>
  <c r="Y1825" i="12"/>
  <c r="X1826" i="12"/>
  <c r="X1827" i="12"/>
  <c r="Y1826" i="12"/>
  <c r="Y1827" i="12"/>
  <c r="X1828" i="12"/>
  <c r="Y1828" i="12"/>
  <c r="X1829" i="12"/>
  <c r="Y1829" i="12"/>
  <c r="X1830" i="12"/>
  <c r="Y1830" i="12"/>
  <c r="X1831" i="12"/>
  <c r="X1832" i="12"/>
  <c r="Y1831" i="12"/>
  <c r="X1833" i="12"/>
  <c r="Y1832" i="12"/>
  <c r="Y1833" i="12"/>
  <c r="X1834" i="12"/>
  <c r="Y1834" i="12"/>
  <c r="X1835" i="12"/>
  <c r="Y1835" i="12"/>
  <c r="X1836" i="12"/>
  <c r="Y1836" i="12"/>
  <c r="X1837" i="12"/>
  <c r="X1838" i="12"/>
  <c r="Y1837" i="12"/>
  <c r="X1839" i="12"/>
  <c r="Y1838" i="12"/>
  <c r="Y1839" i="12"/>
  <c r="X1840" i="12"/>
  <c r="Y1840" i="12"/>
  <c r="X1841" i="12"/>
  <c r="Y1841" i="12"/>
  <c r="X1842" i="12"/>
  <c r="X1843" i="12"/>
  <c r="Y1842" i="12"/>
  <c r="Y1843" i="12"/>
  <c r="X1844" i="12"/>
  <c r="Y1844" i="12"/>
  <c r="X1845" i="12"/>
  <c r="Y1845" i="12"/>
  <c r="X1846" i="12"/>
  <c r="Y1846" i="12"/>
  <c r="X1847" i="12"/>
  <c r="X1848" i="12"/>
  <c r="Y1847" i="12"/>
  <c r="X1849" i="12"/>
  <c r="Y1848" i="12"/>
  <c r="Y1849" i="12"/>
  <c r="X1850" i="12"/>
  <c r="Y1850" i="12"/>
  <c r="X1851" i="12"/>
  <c r="Y1851" i="12"/>
  <c r="X1852" i="12"/>
  <c r="Y1852" i="12"/>
  <c r="X1853" i="12"/>
  <c r="X1854" i="12"/>
  <c r="Y1853" i="12"/>
  <c r="Y1854" i="12"/>
  <c r="X1855" i="12"/>
  <c r="Y1855" i="12"/>
  <c r="X1856" i="12"/>
  <c r="Y1856" i="12"/>
  <c r="X1857" i="12"/>
  <c r="Y1857" i="12"/>
  <c r="X1858" i="12"/>
  <c r="X1859" i="12"/>
  <c r="Y1858" i="12"/>
  <c r="Y1859" i="12"/>
  <c r="X1860" i="12"/>
  <c r="Y1860" i="12"/>
  <c r="X1861" i="12"/>
  <c r="Y1861" i="12"/>
  <c r="X1862" i="12"/>
  <c r="Y1862" i="12"/>
  <c r="X1863" i="12"/>
  <c r="X1864" i="12"/>
  <c r="Y1863" i="12"/>
  <c r="X1865" i="12"/>
  <c r="Y1864" i="12"/>
  <c r="Y1865" i="12"/>
  <c r="X1866" i="12"/>
  <c r="Y1866" i="12"/>
  <c r="X1867" i="12"/>
  <c r="X1868" i="12"/>
  <c r="Y1867" i="12"/>
  <c r="Y1868" i="12"/>
  <c r="X1869" i="12"/>
  <c r="X1870" i="12"/>
  <c r="Y1869" i="12"/>
  <c r="Y1870" i="12"/>
  <c r="X1871" i="12"/>
  <c r="Y1871" i="12"/>
  <c r="X1872" i="12"/>
  <c r="Y1872" i="12"/>
  <c r="X1873" i="12"/>
  <c r="Y1873" i="12"/>
  <c r="X1874" i="12"/>
  <c r="X1875" i="12"/>
  <c r="Y1874" i="12"/>
  <c r="Y1875" i="12"/>
  <c r="X1876" i="12"/>
  <c r="Y1876" i="12"/>
  <c r="X1877" i="12"/>
  <c r="Y1877" i="12"/>
  <c r="X1878" i="12"/>
  <c r="Y1878" i="12"/>
  <c r="X1879" i="12"/>
  <c r="Y1879" i="12"/>
  <c r="X1880" i="12"/>
  <c r="X1881" i="12"/>
  <c r="Y1880" i="12"/>
  <c r="Y1881" i="12"/>
  <c r="X1882" i="12"/>
  <c r="Y1882" i="12"/>
  <c r="X1883" i="12"/>
  <c r="Y1883" i="12"/>
  <c r="X1884" i="12"/>
  <c r="Y1884" i="12"/>
  <c r="X1885" i="12"/>
  <c r="X1886" i="12"/>
  <c r="Y1885" i="12"/>
  <c r="Y1886" i="12"/>
  <c r="X1887" i="12"/>
  <c r="Y1887" i="12"/>
  <c r="X1888" i="12"/>
  <c r="Y1888" i="12"/>
  <c r="X1889" i="12"/>
  <c r="Y1889" i="12"/>
  <c r="X1890" i="12"/>
  <c r="X1891" i="12"/>
  <c r="Y1890" i="12"/>
  <c r="Y1891" i="12"/>
  <c r="X1892" i="12"/>
  <c r="Y1892" i="12"/>
  <c r="X1893" i="12"/>
  <c r="Y1893" i="12"/>
  <c r="X1894" i="12"/>
  <c r="Y1894" i="12"/>
  <c r="X1895" i="12"/>
  <c r="Y1895" i="12"/>
  <c r="X1896" i="12"/>
  <c r="X1897" i="12"/>
  <c r="Y1896" i="12"/>
  <c r="Y1897" i="12"/>
  <c r="X1898" i="12"/>
  <c r="Y1898" i="12"/>
  <c r="X1899" i="12"/>
  <c r="Y1899" i="12"/>
  <c r="X1900" i="12"/>
  <c r="Y1900" i="12"/>
  <c r="X1901" i="12"/>
  <c r="Y1901" i="12"/>
  <c r="X1902" i="12"/>
  <c r="Y1902" i="12"/>
  <c r="X1903" i="12"/>
  <c r="Y1903" i="12"/>
  <c r="X1904" i="12"/>
  <c r="Y1904" i="12"/>
  <c r="X1905" i="12"/>
  <c r="Y1905" i="12"/>
  <c r="X1906" i="12"/>
  <c r="X1907" i="12"/>
  <c r="Y1906" i="12"/>
  <c r="Y1907" i="12"/>
  <c r="X1908" i="12"/>
  <c r="Y1908" i="12"/>
  <c r="X1909" i="12"/>
  <c r="Y1909" i="12"/>
  <c r="X1910" i="12"/>
  <c r="X1911" i="12"/>
  <c r="Y1910" i="12"/>
  <c r="Y1911" i="12"/>
  <c r="X1912" i="12"/>
  <c r="X1913" i="12"/>
  <c r="Y1912" i="12"/>
  <c r="Y1913" i="12"/>
  <c r="X1914" i="12"/>
  <c r="Y1914" i="12"/>
  <c r="X1915" i="12"/>
  <c r="Y1915" i="12"/>
  <c r="X1916" i="12"/>
  <c r="Y1916" i="12"/>
  <c r="X1917" i="12"/>
  <c r="X1918" i="12"/>
  <c r="Y1917" i="12"/>
  <c r="Y1918" i="12"/>
  <c r="X1919" i="12"/>
  <c r="Y1919" i="12"/>
  <c r="X1920" i="12"/>
  <c r="Y1920" i="12"/>
  <c r="X1921" i="12"/>
  <c r="Y1921" i="12"/>
  <c r="X1922" i="12"/>
  <c r="X1923" i="12"/>
  <c r="Y1922" i="12"/>
  <c r="Y1923" i="12"/>
  <c r="X1924" i="12"/>
  <c r="Y1924" i="12"/>
  <c r="X1925" i="12"/>
  <c r="Y1925" i="12"/>
  <c r="X1926" i="12"/>
  <c r="Y1926" i="12"/>
  <c r="X1927" i="12"/>
  <c r="Y1927" i="12"/>
  <c r="X1928" i="12"/>
  <c r="X1929" i="12"/>
  <c r="Y1928" i="12"/>
  <c r="Y1929" i="12"/>
  <c r="X1930" i="12"/>
  <c r="Y1930" i="12"/>
  <c r="X1931" i="12"/>
  <c r="Y1931" i="12"/>
  <c r="X1932" i="12"/>
  <c r="Y1932" i="12"/>
  <c r="X1933" i="12"/>
  <c r="X1934" i="12"/>
  <c r="Y1933" i="12"/>
  <c r="Y1934" i="12"/>
  <c r="X1935" i="12"/>
  <c r="Y1935" i="12"/>
  <c r="X1936" i="12"/>
  <c r="Y1936" i="12"/>
  <c r="X1937" i="12"/>
  <c r="Y1937" i="12"/>
  <c r="X1938" i="12"/>
  <c r="X1939" i="12"/>
  <c r="Y1938" i="12"/>
  <c r="Y1939" i="12"/>
  <c r="X1940" i="12"/>
  <c r="Y1940" i="12"/>
  <c r="X1941" i="12"/>
  <c r="Y1941" i="12"/>
  <c r="X1942" i="12"/>
  <c r="Y1942" i="12"/>
  <c r="X1943" i="12"/>
  <c r="Y1943" i="12"/>
  <c r="X1944" i="12"/>
  <c r="X1945" i="12"/>
  <c r="Y1944" i="12"/>
  <c r="Y1945" i="12"/>
  <c r="X1946" i="12"/>
  <c r="Y1946" i="12"/>
  <c r="X1947" i="12"/>
  <c r="Y1947" i="12"/>
  <c r="X1948" i="12"/>
  <c r="Y1948" i="12"/>
  <c r="X1949" i="12"/>
  <c r="X1950" i="12"/>
  <c r="Y1949" i="12"/>
  <c r="Y1950" i="12"/>
  <c r="X1951" i="12"/>
  <c r="Y1951" i="12"/>
  <c r="X1952" i="12"/>
  <c r="Y1952" i="12"/>
  <c r="X1953" i="12"/>
  <c r="Y1953" i="12"/>
  <c r="X1954" i="12"/>
  <c r="X1955" i="12"/>
  <c r="Y1954" i="12"/>
  <c r="Y1955" i="12"/>
  <c r="X1956" i="12"/>
  <c r="Y1956" i="12"/>
  <c r="X1957" i="12"/>
  <c r="Y1957" i="12"/>
  <c r="X1958" i="12"/>
  <c r="Y1958" i="12"/>
  <c r="X1959" i="12"/>
  <c r="Y1959" i="12"/>
  <c r="X1960" i="12"/>
  <c r="X1961" i="12"/>
  <c r="Y1960" i="12"/>
  <c r="Y1961" i="12"/>
  <c r="X1962" i="12"/>
  <c r="Y1962" i="12"/>
  <c r="X1963" i="12"/>
  <c r="X1964" i="12"/>
  <c r="Y1963" i="12"/>
  <c r="Y1964" i="12"/>
  <c r="X1965" i="12"/>
  <c r="X1966" i="12"/>
  <c r="Y1965" i="12"/>
  <c r="Y1966" i="12"/>
  <c r="X1967" i="12"/>
  <c r="Y1967" i="12"/>
  <c r="X1968" i="12"/>
  <c r="Y1968" i="12"/>
  <c r="X1969" i="12"/>
  <c r="Y1969" i="12"/>
  <c r="X1970" i="12"/>
  <c r="X1971" i="12"/>
  <c r="Y1970" i="12"/>
  <c r="Y1971" i="12"/>
  <c r="X1972" i="12"/>
  <c r="Y1972" i="12"/>
  <c r="X1973" i="12"/>
  <c r="Y1973" i="12"/>
  <c r="X1974" i="12"/>
  <c r="Y1974" i="12"/>
  <c r="X1975" i="12"/>
  <c r="Y1975" i="12"/>
  <c r="X1976" i="12"/>
  <c r="X1977" i="12"/>
  <c r="Y1976" i="12"/>
  <c r="Y1977" i="12"/>
  <c r="X1978" i="12"/>
  <c r="Y1978" i="12"/>
  <c r="X1979" i="12"/>
  <c r="Y1979" i="12"/>
  <c r="X1980" i="12"/>
  <c r="Y1980" i="12"/>
  <c r="X1981" i="12"/>
  <c r="X1982" i="12"/>
  <c r="Y1981" i="12"/>
  <c r="Y1982" i="12"/>
  <c r="X1983" i="12"/>
  <c r="Y1983" i="12"/>
  <c r="X1984" i="12"/>
  <c r="Y1984" i="12"/>
  <c r="X1985" i="12"/>
  <c r="Y1985" i="12"/>
  <c r="X1986" i="12"/>
  <c r="X1987" i="12"/>
  <c r="Y1986" i="12"/>
  <c r="Y1987" i="12"/>
  <c r="X1988" i="12"/>
  <c r="Y1988" i="12"/>
  <c r="X1989" i="12"/>
  <c r="Y1989" i="12"/>
  <c r="X1990" i="12"/>
  <c r="Y1990" i="12"/>
  <c r="X1991" i="12"/>
  <c r="X1992" i="12"/>
  <c r="Y1991" i="12"/>
  <c r="X1993" i="12"/>
  <c r="Y1992" i="12"/>
  <c r="Y1993" i="12"/>
  <c r="X1994" i="12"/>
  <c r="Y1994" i="12"/>
  <c r="X1995" i="12"/>
  <c r="Y1995" i="12"/>
  <c r="X1996" i="12"/>
  <c r="Y1996" i="12"/>
  <c r="X1997" i="12"/>
  <c r="X1998" i="12"/>
  <c r="Y1997" i="12"/>
  <c r="Y1998" i="12"/>
  <c r="X1999" i="12"/>
  <c r="Y1999" i="12"/>
  <c r="X2000" i="12"/>
  <c r="Y2000" i="12"/>
  <c r="X2001" i="12"/>
  <c r="Y2001" i="12"/>
  <c r="X2002" i="12"/>
  <c r="X2003" i="12"/>
  <c r="Y2002" i="12"/>
  <c r="Y2003" i="12"/>
  <c r="X2004" i="12"/>
  <c r="Y2004" i="12"/>
  <c r="X2005" i="12"/>
  <c r="Y2005" i="12"/>
  <c r="X2006" i="12"/>
  <c r="Y2006" i="12"/>
  <c r="X2007" i="12"/>
  <c r="Y2007" i="12"/>
  <c r="X2008" i="12"/>
  <c r="X2009" i="12"/>
  <c r="Y2008" i="12"/>
  <c r="Y2009" i="12"/>
  <c r="X2010" i="12"/>
  <c r="Y2010" i="12"/>
  <c r="X2011" i="12"/>
  <c r="Y2011" i="12"/>
  <c r="X2012" i="12"/>
  <c r="Y2012" i="12"/>
  <c r="X2013" i="12"/>
  <c r="X2014" i="12"/>
  <c r="Y2013" i="12"/>
  <c r="Y2014" i="12"/>
  <c r="X2015" i="12"/>
  <c r="Y2015" i="12"/>
  <c r="X2016" i="12"/>
  <c r="Y2016" i="12"/>
  <c r="X2017" i="12"/>
  <c r="Y2017" i="12"/>
  <c r="X2018" i="12"/>
  <c r="X2019" i="12"/>
  <c r="Y2018" i="12"/>
  <c r="Y2019" i="12"/>
  <c r="X2020" i="12"/>
  <c r="Y2020" i="12"/>
  <c r="X2021" i="12"/>
  <c r="X2022" i="12"/>
  <c r="Y2021" i="12"/>
  <c r="Y2022" i="12"/>
  <c r="X2023" i="12"/>
  <c r="Y2023" i="12"/>
  <c r="X2024" i="12"/>
  <c r="X2025" i="12"/>
  <c r="Y2024" i="12"/>
  <c r="Y2025" i="12"/>
  <c r="X2026" i="12"/>
  <c r="Y2026" i="12"/>
  <c r="X2027" i="12"/>
  <c r="Y2027" i="12"/>
  <c r="X2028" i="12"/>
  <c r="Y2028" i="12"/>
  <c r="X2029" i="12"/>
  <c r="X2030" i="12"/>
  <c r="Y2029" i="12"/>
  <c r="Y2030" i="12"/>
  <c r="X2031" i="12"/>
  <c r="Y2031" i="12"/>
  <c r="X2032" i="12"/>
  <c r="Y2032" i="12"/>
  <c r="X2033" i="12"/>
  <c r="Y2033" i="12"/>
  <c r="X2034" i="12"/>
  <c r="X2035" i="12"/>
  <c r="Y2034" i="12"/>
  <c r="Y2035" i="12"/>
  <c r="X2036" i="12"/>
  <c r="Y2036" i="12"/>
  <c r="X2037" i="12"/>
  <c r="Y2037" i="12"/>
  <c r="X2038" i="12"/>
  <c r="Y2038" i="12"/>
  <c r="X2039" i="12"/>
  <c r="Y2039" i="12"/>
  <c r="X2040" i="12"/>
  <c r="X2041" i="12"/>
  <c r="Y2040" i="12"/>
  <c r="Y2041" i="12"/>
  <c r="X2042" i="12"/>
  <c r="Y2042" i="12"/>
  <c r="X2043" i="12"/>
  <c r="Y2043" i="12"/>
  <c r="X2044" i="12"/>
  <c r="Y2044" i="12"/>
  <c r="X2045" i="12"/>
  <c r="X2046" i="12"/>
  <c r="Y2045" i="12"/>
  <c r="Y2046" i="12"/>
  <c r="X2047" i="12"/>
  <c r="Y2047" i="12"/>
  <c r="X2048" i="12"/>
  <c r="Y2048" i="12"/>
  <c r="X2049" i="12"/>
  <c r="X2050" i="12"/>
  <c r="Y2049" i="12"/>
  <c r="X2051" i="12"/>
  <c r="Y2050" i="12"/>
  <c r="Y2051" i="12"/>
  <c r="X2052" i="12"/>
  <c r="Y2052" i="12"/>
  <c r="X2053" i="12"/>
  <c r="Y2053" i="12"/>
  <c r="X2054" i="12"/>
  <c r="Y2054" i="12"/>
  <c r="X2055" i="12"/>
  <c r="Y2055" i="12"/>
  <c r="X2056" i="12"/>
  <c r="X2057" i="12"/>
  <c r="Y2056" i="12"/>
  <c r="Y2057" i="12"/>
  <c r="X2058" i="12"/>
  <c r="Y2058" i="12"/>
  <c r="X2059" i="12"/>
  <c r="Y2059" i="12"/>
  <c r="X2060" i="12"/>
  <c r="Y2060" i="12"/>
  <c r="X2061" i="12"/>
  <c r="X2062" i="12"/>
  <c r="Y2061" i="12"/>
  <c r="Y2062" i="12"/>
  <c r="X2063" i="12"/>
  <c r="Y2063" i="12"/>
  <c r="X2064" i="12"/>
  <c r="Y2064" i="12"/>
  <c r="X2065" i="12"/>
  <c r="Y2065" i="12"/>
  <c r="X2066" i="12"/>
  <c r="X2067" i="12"/>
  <c r="Y2066" i="12"/>
  <c r="Y2067" i="12"/>
  <c r="X2068" i="12"/>
  <c r="Y2068" i="12"/>
  <c r="X2069" i="12"/>
  <c r="Y2069" i="12"/>
  <c r="X2070" i="12"/>
  <c r="Y2070" i="12"/>
  <c r="X2071" i="12"/>
  <c r="Y2071" i="12"/>
  <c r="X2072" i="12"/>
  <c r="X2073" i="12"/>
  <c r="Y2072" i="12"/>
  <c r="Y2073" i="12"/>
  <c r="X2074" i="12"/>
  <c r="Y2074" i="12"/>
  <c r="X2075" i="12"/>
  <c r="Y2075" i="12"/>
  <c r="X2076" i="12"/>
  <c r="Y2076" i="12"/>
  <c r="X2077" i="12"/>
  <c r="Y2077" i="12"/>
  <c r="X2078" i="12"/>
  <c r="Y2078" i="12"/>
  <c r="X2079" i="12"/>
  <c r="Y2079" i="12"/>
  <c r="X2080" i="12"/>
  <c r="Y2080" i="12"/>
  <c r="X2081" i="12"/>
  <c r="Y2081" i="12"/>
  <c r="X2082" i="12"/>
  <c r="X2083" i="12"/>
  <c r="Y2082" i="12"/>
  <c r="Y2083" i="12"/>
  <c r="X2084" i="12"/>
  <c r="Y2084" i="12"/>
  <c r="X2085" i="12"/>
  <c r="Y2085" i="12"/>
  <c r="X2086" i="12"/>
  <c r="Y2086" i="12"/>
  <c r="X2087" i="12"/>
  <c r="Y2087" i="12"/>
  <c r="X2088" i="12"/>
  <c r="Y2088" i="12"/>
  <c r="X2089" i="12"/>
  <c r="Y2089" i="12"/>
  <c r="X2090" i="12"/>
  <c r="Y2090" i="12"/>
  <c r="X2091" i="12"/>
  <c r="X2092" i="12"/>
  <c r="Y2091" i="12"/>
  <c r="X2093" i="12"/>
  <c r="Y2092" i="12"/>
  <c r="Y2093" i="12"/>
  <c r="X2094" i="12"/>
  <c r="Y2094" i="12"/>
  <c r="X2095" i="12"/>
  <c r="Y2095" i="12"/>
  <c r="X2096" i="12"/>
  <c r="Y2096" i="12"/>
  <c r="X2097" i="12"/>
  <c r="Y2097" i="12"/>
  <c r="X2098" i="12"/>
  <c r="Y2098" i="12"/>
  <c r="X2099" i="12"/>
  <c r="Y2099" i="12"/>
  <c r="X2100" i="12"/>
  <c r="Y2100" i="12"/>
  <c r="X2101" i="12"/>
  <c r="X2102" i="12"/>
  <c r="Y2101" i="12"/>
  <c r="X2103" i="12"/>
  <c r="Y2102" i="12"/>
  <c r="Y2103" i="12"/>
  <c r="X2104" i="12"/>
  <c r="Y2104" i="12"/>
  <c r="X2105" i="12"/>
  <c r="Y2105" i="12"/>
  <c r="X2106" i="12"/>
  <c r="X2107" i="12"/>
  <c r="Y2106" i="12"/>
  <c r="Y2107" i="12"/>
  <c r="X2108" i="12"/>
  <c r="Y2108" i="12"/>
  <c r="X2109" i="12"/>
  <c r="Y2109" i="12"/>
  <c r="X2110" i="12"/>
  <c r="X2111" i="12"/>
  <c r="Y2110" i="12"/>
  <c r="Y2111" i="12"/>
  <c r="X2112" i="12"/>
  <c r="Y2112" i="12"/>
  <c r="X2113" i="12"/>
  <c r="Y2113" i="12"/>
  <c r="X2114" i="12"/>
  <c r="Y2114" i="12"/>
  <c r="X2115" i="12"/>
  <c r="Y2115" i="12"/>
  <c r="X2116" i="12"/>
  <c r="Y2116" i="12"/>
  <c r="X2117" i="12"/>
  <c r="X2118" i="12"/>
  <c r="Y2117" i="12"/>
  <c r="Y2118" i="12"/>
  <c r="X2119" i="12"/>
  <c r="Y2119" i="12"/>
  <c r="X2120" i="12"/>
  <c r="Y2120" i="12"/>
  <c r="X2121" i="12"/>
  <c r="Y2121" i="12"/>
  <c r="X2122" i="12"/>
  <c r="Y2122" i="12"/>
  <c r="X2123" i="12"/>
  <c r="Y2123" i="12"/>
  <c r="X2124" i="12"/>
  <c r="X2125" i="12"/>
  <c r="Y2124" i="12"/>
  <c r="Y2125" i="12"/>
  <c r="X2126" i="12"/>
  <c r="Y2126" i="12"/>
  <c r="X2127" i="12"/>
  <c r="Y2127" i="12"/>
  <c r="X2128" i="12"/>
  <c r="Y2128" i="12"/>
  <c r="X2129" i="12"/>
  <c r="Y2129" i="12"/>
  <c r="X2130" i="12"/>
  <c r="Y2130" i="12"/>
  <c r="X2131" i="12"/>
  <c r="Y2131" i="12"/>
  <c r="X2132" i="12"/>
  <c r="Y2132" i="12"/>
  <c r="X2133" i="12"/>
  <c r="X2134" i="12"/>
  <c r="Y2133" i="12"/>
  <c r="X2135" i="12"/>
  <c r="Y2134" i="12"/>
  <c r="Y2135" i="12"/>
  <c r="X2136" i="12"/>
  <c r="Y2136" i="12"/>
  <c r="X2137" i="12"/>
  <c r="Y2137" i="12"/>
  <c r="X2138" i="12"/>
  <c r="Y2138" i="12"/>
  <c r="X2139" i="12"/>
  <c r="Y2139" i="12"/>
  <c r="X2140" i="12"/>
  <c r="Y2140" i="12"/>
  <c r="X2141" i="12"/>
  <c r="Y2141" i="12"/>
  <c r="X2142" i="12"/>
  <c r="X2143" i="12"/>
  <c r="Y2142"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X2157" i="12"/>
  <c r="Y2156" i="12"/>
  <c r="Y2157" i="12"/>
  <c r="X2158" i="12"/>
  <c r="Y2158" i="12"/>
  <c r="X2159" i="12"/>
  <c r="Y2159" i="12"/>
  <c r="X2160" i="12"/>
  <c r="Y2160" i="12"/>
  <c r="X2161" i="12"/>
  <c r="Y2161" i="12"/>
  <c r="X2162" i="12"/>
  <c r="X2163" i="12"/>
  <c r="Y2162" i="12"/>
  <c r="Y2163" i="12"/>
  <c r="X2164" i="12"/>
  <c r="X2165" i="12"/>
  <c r="Y2164" i="12"/>
  <c r="X2166" i="12"/>
  <c r="Y2165" i="12"/>
  <c r="Y2166" i="12"/>
  <c r="X2167" i="12"/>
  <c r="Y2167" i="12"/>
  <c r="X2168" i="12"/>
  <c r="Y2168" i="12"/>
  <c r="X2169" i="12"/>
  <c r="Y2169" i="12"/>
  <c r="X2170" i="12"/>
  <c r="Y2170" i="12"/>
  <c r="X2171" i="12"/>
  <c r="Y2171" i="12"/>
  <c r="X2172" i="12"/>
  <c r="Y2172" i="12"/>
  <c r="X2173" i="12"/>
  <c r="X2174" i="12"/>
  <c r="Y2173" i="12"/>
  <c r="X2175" i="12"/>
  <c r="Y2174" i="12"/>
  <c r="Y2175" i="12"/>
  <c r="X2176" i="12"/>
  <c r="Y2176" i="12"/>
  <c r="X2177" i="12"/>
  <c r="X2178" i="12"/>
  <c r="Y2177" i="12"/>
  <c r="Y2178" i="12"/>
  <c r="X2179" i="12"/>
  <c r="Y2179" i="12"/>
  <c r="X2180" i="12"/>
  <c r="Y2180" i="12"/>
  <c r="X2181" i="12"/>
  <c r="X2182" i="12"/>
  <c r="Y2181" i="12"/>
  <c r="Y2182" i="12"/>
  <c r="X2183" i="12"/>
  <c r="Y2183" i="12"/>
  <c r="X2184" i="12"/>
  <c r="Y2184" i="12"/>
  <c r="X2185" i="12"/>
  <c r="Y2185" i="12"/>
  <c r="X2186" i="12"/>
  <c r="Y2186" i="12"/>
  <c r="X2187" i="12"/>
  <c r="Y2187" i="12"/>
  <c r="X2188" i="12"/>
  <c r="X2189" i="12"/>
  <c r="Y2188" i="12"/>
  <c r="Y2189" i="12"/>
  <c r="X2190" i="12"/>
  <c r="Y2190" i="12"/>
  <c r="X2191" i="12"/>
  <c r="X2192" i="12"/>
  <c r="Y2191" i="12"/>
  <c r="Y2192" i="12"/>
  <c r="X2193" i="12"/>
  <c r="Y2193" i="12"/>
  <c r="X2194" i="12"/>
  <c r="Y2194" i="12"/>
  <c r="X2195" i="12"/>
  <c r="Y2195" i="12"/>
  <c r="X2196" i="12"/>
  <c r="Y2196" i="12"/>
  <c r="X2197" i="12"/>
  <c r="X2198" i="12"/>
  <c r="Y2197" i="12"/>
  <c r="Y2198" i="12"/>
  <c r="X2199" i="12"/>
  <c r="Y2199" i="12"/>
  <c r="X2200" i="12"/>
  <c r="Y2200" i="12"/>
  <c r="X2201" i="12"/>
  <c r="Y2201" i="12"/>
  <c r="X2202" i="12"/>
  <c r="Y2202" i="12"/>
  <c r="X2203" i="12"/>
  <c r="Y2203" i="12"/>
  <c r="X2204" i="12"/>
  <c r="Y2204" i="12"/>
  <c r="X2205" i="12"/>
  <c r="Y2205" i="12"/>
  <c r="X2206" i="12"/>
  <c r="X2207" i="12"/>
  <c r="Y2206"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X2220" i="12"/>
  <c r="Y2219" i="12"/>
  <c r="X2221" i="12"/>
  <c r="Y2220" i="12"/>
  <c r="Y2221" i="12"/>
  <c r="X2222" i="12"/>
  <c r="Y2222" i="12"/>
  <c r="X2223" i="12"/>
  <c r="Y2223" i="12"/>
  <c r="X2224" i="12"/>
  <c r="X2225" i="12"/>
  <c r="Y2224" i="12"/>
  <c r="Y2225" i="12"/>
  <c r="X2226" i="12"/>
  <c r="X2227" i="12"/>
  <c r="Y2226" i="12"/>
  <c r="Y2227" i="12"/>
  <c r="X2228" i="12"/>
  <c r="Y2228" i="12"/>
  <c r="X2229" i="12"/>
  <c r="X2230" i="12"/>
  <c r="Y2229" i="12"/>
  <c r="X2231" i="12"/>
  <c r="Y2230" i="12"/>
  <c r="Y2231" i="12"/>
  <c r="X2232" i="12"/>
  <c r="X2233" i="12"/>
  <c r="Y2232" i="12"/>
  <c r="Y2233" i="12"/>
  <c r="X2234" i="12"/>
  <c r="Y2234" i="12"/>
  <c r="X2235" i="12"/>
  <c r="Y2235" i="12"/>
  <c r="X2236" i="12"/>
  <c r="Y2236" i="12"/>
  <c r="X2237" i="12"/>
  <c r="X2238" i="12"/>
  <c r="Y2237" i="12"/>
  <c r="X2239" i="12"/>
  <c r="Y2238" i="12"/>
  <c r="Y2239" i="12"/>
  <c r="X2240" i="12"/>
  <c r="Y2240" i="12"/>
  <c r="X2241" i="12"/>
  <c r="Y2241" i="12"/>
  <c r="X2242" i="12"/>
  <c r="X2243" i="12"/>
  <c r="Y2242" i="12"/>
  <c r="Y2243" i="12"/>
  <c r="X2244" i="12"/>
  <c r="Y2244" i="12"/>
  <c r="X2245" i="12"/>
  <c r="X2246" i="12"/>
  <c r="Y2245" i="12"/>
  <c r="X2247" i="12"/>
  <c r="Y2246" i="12"/>
  <c r="Y2247" i="12"/>
  <c r="X2248" i="12"/>
  <c r="Y2248" i="12"/>
  <c r="X2249" i="12"/>
  <c r="Y2249" i="12"/>
  <c r="X2250" i="12"/>
  <c r="X2251" i="12"/>
  <c r="Y2250" i="12"/>
  <c r="Y2251" i="12"/>
  <c r="X2252" i="12"/>
  <c r="X2253" i="12"/>
  <c r="Y2252" i="12"/>
  <c r="Y2253" i="12"/>
  <c r="X2254" i="12"/>
  <c r="X2255" i="12"/>
  <c r="Y2254" i="12"/>
  <c r="X2256" i="12"/>
  <c r="Y2255" i="12"/>
  <c r="Y2256" i="12"/>
  <c r="X2257" i="12"/>
  <c r="X2258" i="12"/>
  <c r="Y2257" i="12"/>
  <c r="Y2258" i="12"/>
  <c r="X2259" i="12"/>
  <c r="Y2259" i="12"/>
  <c r="X2260" i="12"/>
  <c r="Y2260" i="12"/>
  <c r="X2261" i="12"/>
  <c r="Y2261" i="12"/>
  <c r="X2262" i="12"/>
  <c r="X2263" i="12"/>
  <c r="Y2262" i="12"/>
  <c r="Y2263" i="12"/>
  <c r="X2264" i="12"/>
  <c r="X2265" i="12"/>
  <c r="Y2264" i="12"/>
  <c r="Y2265" i="12"/>
  <c r="X2266" i="12"/>
  <c r="Y2266" i="12"/>
  <c r="X2267" i="12"/>
  <c r="Y2267" i="12"/>
  <c r="X2268" i="12"/>
  <c r="Y2268" i="12"/>
  <c r="X2269" i="12"/>
  <c r="Y2269" i="12"/>
  <c r="X2270" i="12"/>
  <c r="X2271" i="12"/>
  <c r="Y2270" i="12"/>
  <c r="Y2271" i="12"/>
  <c r="X2272" i="12"/>
  <c r="Y2272" i="12"/>
  <c r="X2273" i="12"/>
  <c r="X2274" i="12"/>
  <c r="Y2273" i="12"/>
  <c r="X2275" i="12"/>
  <c r="Y2274" i="12"/>
  <c r="Y2275" i="12"/>
  <c r="X2276" i="12"/>
  <c r="Y2276" i="12"/>
  <c r="X2277" i="12"/>
  <c r="Y2277" i="12"/>
  <c r="X2278" i="12"/>
  <c r="X2279" i="12"/>
  <c r="Y2278" i="12"/>
  <c r="X2280" i="12"/>
  <c r="Y2279" i="12"/>
  <c r="Y2280" i="12"/>
  <c r="X2281" i="12"/>
  <c r="Y2281" i="12"/>
  <c r="X2282" i="12"/>
  <c r="X2283" i="12"/>
  <c r="Y2282" i="12"/>
  <c r="X2284" i="12"/>
  <c r="Y2283" i="12"/>
  <c r="X2285" i="12"/>
  <c r="Y2284" i="12"/>
  <c r="Y2285" i="12"/>
  <c r="X2286" i="12"/>
  <c r="X2287" i="12"/>
  <c r="Y2286" i="12"/>
  <c r="Y2287" i="12"/>
  <c r="X2288" i="12"/>
  <c r="Y2288" i="12"/>
  <c r="X2289" i="12"/>
  <c r="X2290" i="12"/>
  <c r="Y2289" i="12"/>
  <c r="X2291" i="12"/>
  <c r="Y2290" i="12"/>
  <c r="Y2291" i="12"/>
  <c r="X2292" i="12"/>
  <c r="Y2292" i="12"/>
  <c r="X2293" i="12"/>
  <c r="Y2293" i="12"/>
  <c r="X2294" i="12"/>
  <c r="X2295" i="12"/>
  <c r="Y2294" i="12"/>
  <c r="Y2295" i="12"/>
  <c r="X2296" i="12"/>
  <c r="X2297" i="12"/>
  <c r="Y2296" i="12"/>
  <c r="Y2297" i="12"/>
  <c r="X2298" i="12"/>
  <c r="X2299" i="12"/>
  <c r="Y2298" i="12"/>
  <c r="Y2299" i="12"/>
  <c r="X2300" i="12"/>
  <c r="Y2300" i="12"/>
  <c r="X2301" i="12"/>
  <c r="X2302" i="12"/>
  <c r="Y2301" i="12"/>
  <c r="X2303" i="12"/>
  <c r="Y2302" i="12"/>
  <c r="Y2303" i="12"/>
  <c r="X2304" i="12"/>
  <c r="Y2304" i="12"/>
  <c r="X2305" i="12"/>
  <c r="Y2305" i="12"/>
  <c r="X2306" i="12"/>
  <c r="X2307" i="12"/>
  <c r="Y2306" i="12"/>
  <c r="Y2307" i="12"/>
  <c r="X2308" i="12"/>
  <c r="Y2308" i="12"/>
  <c r="X2309" i="12"/>
  <c r="Y2309" i="12"/>
  <c r="X2310" i="12"/>
  <c r="X2311" i="12"/>
  <c r="Y2310" i="12"/>
  <c r="X2312" i="12"/>
  <c r="Y2311" i="12"/>
  <c r="Y2312" i="12"/>
  <c r="X2313" i="12"/>
  <c r="Y2313" i="12"/>
  <c r="X2314" i="12"/>
  <c r="X2315" i="12"/>
  <c r="Y2314" i="12"/>
  <c r="X2316" i="12"/>
  <c r="Y2315" i="12"/>
  <c r="X2317" i="12"/>
  <c r="Y2316" i="12"/>
  <c r="Y2317" i="12"/>
  <c r="X2318" i="12"/>
  <c r="X2319" i="12"/>
  <c r="Y2318" i="12"/>
  <c r="Y2319" i="12"/>
  <c r="X2320" i="12"/>
  <c r="Y2320" i="12"/>
  <c r="X2321" i="12"/>
  <c r="X2322" i="12"/>
  <c r="Y2321" i="12"/>
  <c r="Y2322" i="12"/>
  <c r="X2323" i="12"/>
  <c r="Y2323" i="12"/>
  <c r="X2324" i="12"/>
  <c r="Y2324" i="12"/>
  <c r="X2325" i="12"/>
  <c r="Y2325" i="12"/>
  <c r="X2326" i="12"/>
  <c r="X2327" i="12"/>
  <c r="Y2326" i="12"/>
  <c r="Y2327" i="12"/>
  <c r="X2328" i="12"/>
  <c r="X2329" i="12"/>
  <c r="Y2328" i="12"/>
  <c r="Y2329" i="12"/>
  <c r="X2330" i="12"/>
  <c r="Y2330" i="12"/>
  <c r="X2331" i="12"/>
  <c r="Y2331" i="12"/>
  <c r="X2332" i="12"/>
  <c r="Y2332" i="12"/>
  <c r="X2333" i="12"/>
  <c r="X2334" i="12"/>
  <c r="Y2333" i="12"/>
  <c r="X2335" i="12"/>
  <c r="Y2334" i="12"/>
  <c r="Y2335" i="12"/>
  <c r="X2336" i="12"/>
  <c r="Y2336" i="12"/>
  <c r="X2337" i="12"/>
  <c r="X2338" i="12"/>
  <c r="Y2337" i="12"/>
  <c r="X2339" i="12"/>
  <c r="Y2338" i="12"/>
  <c r="Y2339" i="12"/>
  <c r="X2340" i="12"/>
  <c r="Y2340" i="12"/>
  <c r="X2341" i="12"/>
  <c r="X2342" i="12"/>
  <c r="Y2341" i="12"/>
  <c r="X2343" i="12"/>
  <c r="Y2342" i="12"/>
  <c r="X2344" i="12"/>
  <c r="Y2343" i="12"/>
  <c r="Y2344" i="12"/>
  <c r="X2345" i="12"/>
  <c r="Y2345" i="12"/>
  <c r="X2346" i="12"/>
  <c r="X2347" i="12"/>
  <c r="Y2346" i="12"/>
  <c r="Y2347" i="12"/>
  <c r="X2348" i="12"/>
  <c r="X2349" i="12"/>
  <c r="Y2348" i="12"/>
  <c r="Y2349" i="12"/>
  <c r="X2350" i="12"/>
  <c r="X2351" i="12"/>
  <c r="Y2350" i="12"/>
  <c r="X2352" i="12"/>
  <c r="Y2351" i="12"/>
  <c r="Y2352" i="12"/>
  <c r="X2353" i="12"/>
  <c r="Y2353" i="12"/>
  <c r="X2354" i="12"/>
  <c r="X2355" i="12"/>
  <c r="Y2354" i="12"/>
  <c r="Y2355" i="12"/>
  <c r="X2356" i="12"/>
  <c r="Y2356" i="12"/>
  <c r="X2357" i="12"/>
  <c r="Y2357" i="12"/>
  <c r="X2358" i="12"/>
  <c r="Y2358" i="12"/>
  <c r="X2359" i="12"/>
  <c r="Y2359" i="12"/>
  <c r="X2360" i="12"/>
  <c r="X2361" i="12"/>
  <c r="Y2360" i="12"/>
  <c r="Y2361" i="12"/>
  <c r="X2362" i="12"/>
  <c r="X2363" i="12"/>
  <c r="Y2362" i="12"/>
  <c r="Y2363" i="12"/>
  <c r="X2364" i="12"/>
  <c r="Y2364" i="12"/>
  <c r="X2365" i="12"/>
  <c r="X2366" i="12"/>
  <c r="Y2365" i="12"/>
  <c r="X2367" i="12"/>
  <c r="Y2366" i="12"/>
  <c r="Y2367" i="12"/>
  <c r="X2368" i="12"/>
  <c r="Y2368" i="12"/>
  <c r="X2369" i="12"/>
  <c r="X2370" i="12"/>
  <c r="Y2369" i="12"/>
  <c r="X2371" i="12"/>
  <c r="Y2370" i="12"/>
  <c r="Y2371" i="12"/>
  <c r="X2372" i="12"/>
  <c r="Y2372" i="12"/>
  <c r="X2373" i="12"/>
  <c r="X2374" i="12"/>
  <c r="Y2373" i="12"/>
  <c r="X2375" i="12"/>
  <c r="Y2374" i="12"/>
  <c r="X2376" i="12"/>
  <c r="Y2375" i="12"/>
  <c r="X2377" i="12"/>
  <c r="Y2376" i="12"/>
  <c r="Y2377" i="12"/>
  <c r="X2378" i="12"/>
  <c r="X2379" i="12"/>
  <c r="Y2378" i="12"/>
  <c r="X2380" i="12"/>
  <c r="Y2379" i="12"/>
  <c r="Y2380" i="12"/>
  <c r="X2381" i="12"/>
  <c r="Y2381" i="12"/>
  <c r="X2382" i="12"/>
  <c r="X2383" i="12"/>
  <c r="Y2382" i="12"/>
  <c r="X2384" i="12"/>
  <c r="Y2383" i="12"/>
  <c r="Y2384" i="12"/>
  <c r="X2385" i="12"/>
  <c r="Y2385" i="12"/>
  <c r="X2386" i="12"/>
  <c r="Y2386" i="12"/>
  <c r="X2387" i="12"/>
  <c r="Y2387" i="12"/>
  <c r="X2388" i="12"/>
  <c r="Y2388" i="12"/>
  <c r="X2389" i="12"/>
  <c r="Y2389" i="12"/>
  <c r="X2390" i="12"/>
  <c r="Y2390" i="12"/>
  <c r="X2391" i="12"/>
  <c r="Y2391" i="12"/>
  <c r="X2392" i="12"/>
  <c r="X2393" i="12"/>
  <c r="Y2392" i="12"/>
  <c r="Y2393" i="12"/>
  <c r="X2394" i="12"/>
  <c r="Y2394" i="12"/>
  <c r="X2395" i="12"/>
  <c r="Y2395" i="12"/>
  <c r="X2396" i="12"/>
  <c r="Y2396" i="12"/>
  <c r="X2397" i="12"/>
  <c r="Y2397" i="12"/>
  <c r="X2398" i="12"/>
  <c r="X2399" i="12"/>
  <c r="Y2398" i="12"/>
  <c r="Y2399" i="12"/>
  <c r="X2400" i="12"/>
  <c r="Y2400" i="12"/>
  <c r="X2401" i="12"/>
  <c r="Y2401" i="12"/>
  <c r="X2402" i="12"/>
  <c r="X2403" i="12"/>
  <c r="Y2402" i="12"/>
  <c r="Y2403" i="12"/>
  <c r="X2404" i="12"/>
  <c r="Y2404" i="12"/>
  <c r="X2405" i="12"/>
  <c r="Y2405" i="12"/>
  <c r="X2406" i="12"/>
  <c r="X2407" i="12"/>
  <c r="Y2406" i="12"/>
  <c r="X2408" i="12"/>
  <c r="Y2407" i="12"/>
  <c r="X2409" i="12"/>
  <c r="Y2408" i="12"/>
  <c r="Y2409" i="12"/>
  <c r="X2410" i="12"/>
  <c r="X2411" i="12"/>
  <c r="Y2410" i="12"/>
  <c r="X2412" i="12"/>
  <c r="Y2411" i="12"/>
  <c r="Y2412" i="12"/>
  <c r="X2413" i="12"/>
  <c r="X2414" i="12"/>
  <c r="Y2413" i="12"/>
  <c r="X2415" i="12"/>
  <c r="Y2414" i="12"/>
  <c r="Y2415" i="12"/>
  <c r="X2416" i="12"/>
  <c r="Y2416" i="12"/>
  <c r="X2417" i="12"/>
  <c r="Y2417" i="12"/>
  <c r="X2418" i="12"/>
  <c r="Y2418" i="12"/>
  <c r="X2419" i="12"/>
  <c r="Y2419" i="12"/>
  <c r="X2420" i="12"/>
  <c r="Y2420" i="12"/>
  <c r="X2421" i="12"/>
  <c r="Y2421" i="12"/>
  <c r="X2422" i="12"/>
  <c r="Y2422" i="12"/>
  <c r="X2423" i="12"/>
  <c r="X2424" i="12"/>
  <c r="Y2423" i="12"/>
  <c r="X2425" i="12"/>
  <c r="Y2424" i="12"/>
  <c r="Y2425" i="12"/>
  <c r="X2426" i="12"/>
  <c r="Y2426" i="12"/>
  <c r="X2427" i="12"/>
  <c r="Y2427" i="12"/>
  <c r="X2428" i="12"/>
  <c r="Y2428" i="12"/>
  <c r="X2429" i="12"/>
  <c r="Y2429" i="12"/>
  <c r="X2430" i="12"/>
  <c r="X2431" i="12"/>
  <c r="Y2430" i="12"/>
  <c r="Y2431" i="12"/>
  <c r="X2432" i="12"/>
  <c r="Y2432" i="12"/>
  <c r="X2433" i="12"/>
  <c r="X2434" i="12"/>
  <c r="Y2433" i="12"/>
  <c r="X2435" i="12"/>
  <c r="Y2434" i="12"/>
  <c r="Y2435" i="12"/>
  <c r="X2436" i="12"/>
  <c r="Y2436" i="12"/>
  <c r="X2437" i="12"/>
  <c r="X2438" i="12"/>
  <c r="Y2437" i="12"/>
  <c r="X2439" i="12"/>
  <c r="Y2438" i="12"/>
  <c r="X2440" i="12"/>
  <c r="Y2439" i="12"/>
  <c r="X2441" i="12"/>
  <c r="Y2440" i="12"/>
  <c r="Y2441" i="12"/>
  <c r="X2442" i="12"/>
  <c r="X2443" i="12"/>
  <c r="Y2442" i="12"/>
  <c r="Y2443" i="12"/>
  <c r="X2444" i="12"/>
  <c r="Y2444" i="12"/>
  <c r="X2445" i="12"/>
  <c r="X2446" i="12"/>
  <c r="Y2445" i="12"/>
  <c r="X2447" i="12"/>
  <c r="Y2446" i="12"/>
  <c r="Y2447" i="12"/>
  <c r="X2448" i="12"/>
  <c r="Y2448" i="12"/>
  <c r="X2449" i="12"/>
  <c r="Y2449" i="12"/>
  <c r="X2450" i="12"/>
  <c r="Y2450" i="12"/>
  <c r="X2451" i="12"/>
  <c r="Y2451" i="12"/>
  <c r="X2452" i="12"/>
  <c r="Y2452" i="12"/>
  <c r="X2453" i="12"/>
  <c r="Y2453" i="12"/>
  <c r="X2454" i="12"/>
  <c r="Y2454" i="12"/>
  <c r="X2455" i="12"/>
  <c r="Y2455" i="12"/>
  <c r="X2456" i="12"/>
  <c r="X2457" i="12"/>
  <c r="Y2456" i="12"/>
  <c r="Y2457" i="12"/>
  <c r="X2458" i="12"/>
  <c r="Y2458" i="12"/>
  <c r="X2459" i="12"/>
  <c r="Y2459" i="12"/>
  <c r="X2460" i="12"/>
  <c r="Y2460" i="12"/>
  <c r="X2461" i="12"/>
  <c r="Y2461" i="12"/>
  <c r="X2462" i="12"/>
  <c r="X2463" i="12"/>
  <c r="Y2462" i="12"/>
  <c r="Y2463" i="12"/>
  <c r="X2464" i="12"/>
  <c r="Y2464" i="12"/>
  <c r="X2465" i="12"/>
  <c r="Y2465" i="12"/>
  <c r="X2466" i="12"/>
  <c r="X2467" i="12"/>
  <c r="Y2466" i="12"/>
  <c r="Y2467" i="12"/>
  <c r="X2468" i="12"/>
  <c r="Y2468" i="12"/>
  <c r="X2469" i="12"/>
  <c r="X2470" i="12"/>
  <c r="Y2469" i="12"/>
  <c r="X2471" i="12"/>
  <c r="Y2470" i="12"/>
  <c r="X2472" i="12"/>
  <c r="Y2471" i="12"/>
  <c r="X2473" i="12"/>
  <c r="Y2472" i="12"/>
  <c r="Y2473" i="12"/>
  <c r="X2474" i="12"/>
  <c r="X2475" i="12"/>
  <c r="Y2474" i="12"/>
  <c r="X2476" i="12"/>
  <c r="Y2475" i="12"/>
  <c r="Y2476" i="12"/>
  <c r="X2477" i="12"/>
  <c r="X2478" i="12"/>
  <c r="Y2477" i="12"/>
  <c r="X2479" i="12"/>
  <c r="Y2478" i="12"/>
  <c r="X2480" i="12"/>
  <c r="Y2479" i="12"/>
  <c r="Y2480" i="12"/>
  <c r="X2481" i="12"/>
  <c r="Y2481" i="12"/>
  <c r="X2482" i="12"/>
  <c r="Y2482" i="12"/>
  <c r="X2483" i="12"/>
  <c r="Y2483" i="12"/>
  <c r="X2484" i="12"/>
  <c r="Y2484" i="12"/>
  <c r="X2485" i="12"/>
  <c r="Y2485" i="12"/>
  <c r="X2486" i="12"/>
  <c r="X2487" i="12"/>
  <c r="Y2486" i="12"/>
  <c r="Y2487" i="12"/>
  <c r="X2488" i="12"/>
  <c r="X2489" i="12"/>
  <c r="Y2488" i="12"/>
  <c r="Y2489" i="12"/>
  <c r="X2490" i="12"/>
  <c r="X2491" i="12"/>
  <c r="Y2490" i="12"/>
  <c r="Y2491" i="12"/>
  <c r="X2492" i="12"/>
  <c r="Y2492" i="12"/>
  <c r="X2493" i="12"/>
  <c r="Y2493" i="12"/>
  <c r="X2494" i="12"/>
  <c r="X2495" i="12"/>
  <c r="Y2494" i="12"/>
  <c r="Y2495" i="12"/>
  <c r="X2496" i="12"/>
  <c r="Y2496" i="12"/>
  <c r="X2497" i="12"/>
  <c r="X2498" i="12"/>
  <c r="Y2497" i="12"/>
  <c r="X2499" i="12"/>
  <c r="Y2498" i="12"/>
  <c r="Y2499" i="12"/>
  <c r="X2500" i="12"/>
  <c r="Y2500" i="12"/>
  <c r="X2501" i="12"/>
  <c r="X2502" i="12"/>
  <c r="Y2501" i="12"/>
  <c r="X2503" i="12"/>
  <c r="Y2502" i="12"/>
  <c r="X2504" i="12"/>
  <c r="Y2503" i="12"/>
  <c r="X2505" i="12"/>
  <c r="Y2504" i="12"/>
  <c r="Y2505" i="12"/>
  <c r="X2506" i="12"/>
  <c r="X2507" i="12"/>
  <c r="Y2506" i="12"/>
  <c r="X2508" i="12"/>
  <c r="Y2507" i="12"/>
  <c r="Y2508" i="12"/>
  <c r="X2509" i="12"/>
  <c r="X2510" i="12"/>
  <c r="Y2509" i="12"/>
  <c r="X2511" i="12"/>
  <c r="Y2510" i="12"/>
  <c r="X2512" i="12"/>
  <c r="Y2511" i="12"/>
  <c r="Y2512" i="12"/>
  <c r="X2513" i="12"/>
  <c r="Y2513" i="12"/>
  <c r="X2514" i="12"/>
  <c r="Y2514" i="12"/>
  <c r="X2515" i="12"/>
  <c r="Y2515" i="12"/>
  <c r="X2516" i="12"/>
  <c r="Y2516" i="12"/>
  <c r="X2517" i="12"/>
  <c r="Y2517" i="12"/>
  <c r="X2518" i="12"/>
  <c r="Y2518" i="12"/>
  <c r="X2519" i="12"/>
  <c r="Y2519" i="12"/>
  <c r="X2520" i="12"/>
  <c r="X2521" i="12"/>
  <c r="Y2520" i="12"/>
  <c r="Y2521" i="12"/>
  <c r="X2522" i="12"/>
  <c r="X2523" i="12"/>
  <c r="Y2522" i="12"/>
  <c r="Y2523" i="12"/>
  <c r="X2524" i="12"/>
  <c r="Y2524" i="12"/>
  <c r="X2525" i="12"/>
  <c r="Y2525" i="12"/>
  <c r="X2526" i="12"/>
  <c r="X2527" i="12"/>
  <c r="Y2526" i="12"/>
  <c r="Y2527" i="12"/>
  <c r="X2528" i="12"/>
  <c r="Y2528" i="12"/>
  <c r="X2529" i="12"/>
  <c r="X2530" i="12"/>
  <c r="Y2529" i="12"/>
  <c r="X2531" i="12"/>
  <c r="Y2530" i="12"/>
  <c r="Y2531" i="12"/>
  <c r="X2532" i="12"/>
  <c r="Y2532" i="12"/>
  <c r="X2533" i="12"/>
  <c r="Y2533" i="12"/>
  <c r="X2534" i="12"/>
  <c r="X2535" i="12"/>
  <c r="Y2534" i="12"/>
  <c r="X2536" i="12"/>
  <c r="Y2535" i="12"/>
  <c r="X2537" i="12"/>
  <c r="Y2536" i="12"/>
  <c r="Y2537" i="12"/>
  <c r="X2538" i="12"/>
  <c r="X2539" i="12"/>
  <c r="Y2538" i="12"/>
  <c r="X2540" i="12"/>
  <c r="Y2539" i="12"/>
  <c r="Y2540" i="12"/>
  <c r="X2541" i="12"/>
  <c r="X2542" i="12"/>
  <c r="Y2541" i="12"/>
  <c r="X2543" i="12"/>
  <c r="Y2542" i="12"/>
  <c r="X2544" i="12"/>
  <c r="Y2543" i="12"/>
  <c r="Y2544" i="12"/>
  <c r="X2545" i="12"/>
  <c r="Y2545" i="12"/>
  <c r="X2546" i="12"/>
  <c r="Y2546" i="12"/>
  <c r="X2547" i="12"/>
  <c r="Y2547" i="12"/>
  <c r="X2548" i="12"/>
  <c r="Y2548" i="12"/>
  <c r="X2549" i="12"/>
  <c r="Y2549" i="12"/>
  <c r="X2550" i="12"/>
  <c r="X2551" i="12"/>
  <c r="Y2550" i="12"/>
  <c r="Y2551" i="12"/>
  <c r="X2552" i="12"/>
  <c r="X2553" i="12"/>
  <c r="Y2552" i="12"/>
  <c r="Y2553" i="12"/>
  <c r="X2554" i="12"/>
  <c r="Y2554" i="12"/>
  <c r="X2555" i="12"/>
  <c r="Y2555" i="12"/>
  <c r="X2556" i="12"/>
  <c r="Y2556" i="12"/>
  <c r="X2557" i="12"/>
  <c r="Y2557" i="12"/>
  <c r="X2558" i="12"/>
  <c r="X2559" i="12"/>
  <c r="Y2558" i="12"/>
  <c r="Y2559" i="12"/>
  <c r="X2560" i="12"/>
  <c r="Y2560" i="12"/>
  <c r="X2561" i="12"/>
  <c r="Y2561" i="12"/>
  <c r="X2562" i="12"/>
  <c r="X2563" i="12"/>
  <c r="Y2562" i="12"/>
  <c r="Y2563" i="12"/>
  <c r="X2564" i="12"/>
  <c r="Y2564" i="12"/>
  <c r="X2565" i="12"/>
  <c r="X2566" i="12"/>
  <c r="Y2565" i="12"/>
  <c r="X2567" i="12"/>
  <c r="Y2566" i="12"/>
  <c r="X2568" i="12"/>
  <c r="Y2567" i="12"/>
  <c r="X2569" i="12"/>
  <c r="Y2568" i="12"/>
  <c r="Y2569" i="12"/>
  <c r="X2570" i="12"/>
  <c r="X2571" i="12"/>
  <c r="Y2570" i="12"/>
  <c r="X2572" i="12"/>
  <c r="Y2571" i="12"/>
  <c r="Y2572" i="12"/>
  <c r="X2573" i="12"/>
  <c r="X2574" i="12"/>
  <c r="Y2573" i="12"/>
  <c r="X2575" i="12"/>
  <c r="Y2574" i="12"/>
  <c r="X2576" i="12"/>
  <c r="Y2575" i="12"/>
  <c r="Y2576" i="12"/>
  <c r="X2577" i="12"/>
  <c r="Y2577" i="12"/>
  <c r="X2578" i="12"/>
  <c r="Y2578" i="12"/>
  <c r="X2579" i="12"/>
  <c r="Y2579" i="12"/>
  <c r="X2580" i="12"/>
  <c r="Y2580" i="12"/>
  <c r="X2581" i="12"/>
  <c r="Y2581" i="12"/>
  <c r="X2582" i="12"/>
  <c r="Y2582" i="12"/>
  <c r="X2583" i="12"/>
  <c r="Y2583" i="12"/>
  <c r="X2584" i="12"/>
  <c r="X2585" i="12"/>
  <c r="Y2584" i="12"/>
  <c r="Y2585" i="12"/>
  <c r="X2586" i="12"/>
  <c r="X2587" i="12"/>
  <c r="Y2586" i="12"/>
  <c r="Y2587" i="12"/>
  <c r="X2588" i="12"/>
  <c r="Y2588" i="12"/>
  <c r="X2589" i="12"/>
  <c r="Y2589" i="12"/>
  <c r="X2590" i="12"/>
  <c r="X2591" i="12"/>
  <c r="Y2590" i="12"/>
  <c r="Y2591" i="12"/>
  <c r="X2592" i="12"/>
  <c r="Y2592" i="12"/>
  <c r="X2593" i="12"/>
  <c r="X2594" i="12"/>
  <c r="Y2593" i="12"/>
  <c r="X2595" i="12"/>
  <c r="Y2594" i="12"/>
  <c r="Y2595" i="12"/>
  <c r="X2596" i="12"/>
  <c r="Y2596" i="12"/>
  <c r="X2597" i="12"/>
  <c r="X2598" i="12"/>
  <c r="Y2597" i="12"/>
  <c r="X2599" i="12"/>
  <c r="Y2598" i="12"/>
  <c r="X2600" i="12"/>
  <c r="Y2599" i="12"/>
  <c r="X2601" i="12"/>
  <c r="Y2600" i="12"/>
  <c r="Y2601" i="12"/>
  <c r="X2602" i="12"/>
  <c r="X2603" i="12"/>
  <c r="Y2602" i="12"/>
  <c r="Y2603" i="12"/>
  <c r="X2604" i="12"/>
  <c r="Y2604" i="12"/>
  <c r="X2605" i="12"/>
  <c r="X2606" i="12"/>
  <c r="Y2605" i="12"/>
  <c r="X2607" i="12"/>
  <c r="Y2606" i="12"/>
  <c r="X2608" i="12"/>
  <c r="Y2607" i="12"/>
  <c r="Y2608" i="12"/>
  <c r="X2609" i="12"/>
  <c r="Y2609" i="12"/>
  <c r="X2610" i="12"/>
  <c r="Y2610" i="12"/>
  <c r="X2611" i="12"/>
  <c r="Y2611" i="12"/>
  <c r="X2612" i="12"/>
  <c r="Y2612" i="12"/>
  <c r="X2613" i="12"/>
  <c r="Y2613" i="12"/>
  <c r="X2614" i="12"/>
  <c r="Y2614" i="12"/>
  <c r="X2615" i="12"/>
  <c r="Y2615" i="12"/>
  <c r="X2616" i="12"/>
  <c r="X2617" i="12"/>
  <c r="Y2616" i="12"/>
  <c r="Y2617" i="12"/>
  <c r="X2618" i="12"/>
  <c r="Y2618" i="12"/>
  <c r="X2619" i="12"/>
  <c r="Y2619" i="12"/>
  <c r="X2620" i="12"/>
  <c r="Y2620" i="12"/>
  <c r="X2621" i="12"/>
  <c r="Y2621" i="12"/>
  <c r="X2622" i="12"/>
  <c r="X2623" i="12"/>
  <c r="Y2622" i="12"/>
  <c r="Y2623" i="12"/>
  <c r="X2624" i="12"/>
  <c r="Y2624" i="12"/>
  <c r="X2625" i="12"/>
  <c r="X2626" i="12"/>
  <c r="Y2625" i="12"/>
  <c r="X2627" i="12"/>
  <c r="Y2626" i="12"/>
  <c r="Y2627" i="12"/>
  <c r="X2628" i="12"/>
  <c r="Y2628" i="12"/>
  <c r="X2629" i="12"/>
  <c r="Y2629" i="12"/>
  <c r="X2630" i="12"/>
  <c r="X2631" i="12"/>
  <c r="Y2630" i="12"/>
  <c r="Y2631" i="12"/>
  <c r="X2632" i="12"/>
  <c r="X2633" i="12"/>
  <c r="Y2632" i="12"/>
  <c r="Y2633" i="12"/>
  <c r="X2634" i="12"/>
  <c r="X2635" i="12"/>
  <c r="Y2634" i="12"/>
  <c r="X2636" i="12"/>
  <c r="Y2635" i="12"/>
  <c r="Y2636" i="12"/>
  <c r="X2637" i="12"/>
  <c r="X2638" i="12"/>
  <c r="Y2637" i="12"/>
  <c r="X2639" i="12"/>
  <c r="Y2638" i="12"/>
  <c r="X2640" i="12"/>
  <c r="Y2639" i="12"/>
  <c r="Y2640" i="12"/>
  <c r="X2641" i="12"/>
  <c r="Y2641" i="12"/>
  <c r="X2642" i="12"/>
  <c r="Y2642" i="12"/>
  <c r="X2643" i="12"/>
  <c r="Y2643" i="12"/>
  <c r="X2644" i="12"/>
  <c r="Y2644" i="12"/>
  <c r="X2645" i="12"/>
  <c r="Y2645" i="12"/>
  <c r="X2646" i="12"/>
  <c r="Y2646" i="12"/>
  <c r="X2647" i="12"/>
  <c r="Y2647" i="12"/>
  <c r="X2648" i="12"/>
  <c r="X2649" i="12"/>
  <c r="Y2648" i="12"/>
  <c r="Y2649" i="12"/>
  <c r="X2650" i="12"/>
  <c r="X2651" i="12"/>
  <c r="Y2650" i="12"/>
  <c r="Y2651" i="12"/>
  <c r="X2652" i="12"/>
  <c r="Y2652" i="12"/>
  <c r="X2653" i="12"/>
  <c r="Y2653" i="12"/>
  <c r="X2654" i="12"/>
  <c r="X2655" i="12"/>
  <c r="Y2654" i="12"/>
  <c r="Y2655" i="12"/>
  <c r="X2656" i="12"/>
  <c r="Y2656" i="12"/>
  <c r="X2657" i="12"/>
  <c r="X2658" i="12"/>
  <c r="Y2657" i="12"/>
  <c r="X2659" i="12"/>
  <c r="Y2658" i="12"/>
  <c r="Y2659" i="12"/>
  <c r="X2660" i="12"/>
  <c r="Y2660" i="12"/>
  <c r="X2661" i="12"/>
  <c r="X2662" i="12"/>
  <c r="Y2661" i="12"/>
  <c r="X2663" i="12"/>
  <c r="Y2662" i="12"/>
  <c r="Y2663" i="12"/>
  <c r="X2664" i="12"/>
  <c r="X2665" i="12"/>
  <c r="Y2664" i="12"/>
  <c r="Y2665" i="12"/>
  <c r="X2666" i="12"/>
  <c r="X2667" i="12"/>
  <c r="Y2666" i="12"/>
  <c r="X2668" i="12"/>
  <c r="Y2667" i="12"/>
  <c r="Y2668" i="12"/>
  <c r="X2669" i="12"/>
  <c r="X2670" i="12"/>
  <c r="Y2669" i="12"/>
  <c r="X2671" i="12"/>
  <c r="Y2670" i="12"/>
  <c r="Y2671" i="12"/>
  <c r="X2672" i="12"/>
  <c r="Y2672" i="12"/>
  <c r="X2673" i="12"/>
  <c r="Y2673" i="12"/>
  <c r="X2674" i="12"/>
  <c r="X2675" i="12"/>
  <c r="Y2674" i="12"/>
  <c r="Y2675" i="12"/>
  <c r="X2676" i="12"/>
  <c r="Y2676" i="12"/>
  <c r="X2677" i="12"/>
  <c r="Y2677" i="12"/>
  <c r="X2678" i="12"/>
  <c r="Y2678" i="12"/>
  <c r="X2679" i="12"/>
  <c r="X2680" i="12"/>
  <c r="Y2679" i="12"/>
  <c r="X2681" i="12"/>
  <c r="Y2680" i="12"/>
  <c r="Y2681" i="12"/>
  <c r="X2682" i="12"/>
  <c r="Y2682" i="12"/>
  <c r="X2683" i="12"/>
  <c r="Y2683" i="12"/>
  <c r="X2684" i="12"/>
  <c r="Y2684" i="12"/>
  <c r="X2685" i="12"/>
  <c r="Y2685" i="12"/>
  <c r="X2686" i="12"/>
  <c r="X2687" i="12"/>
  <c r="Y2686" i="12"/>
  <c r="Y2687" i="12"/>
  <c r="X2688" i="12"/>
  <c r="Y2688" i="12"/>
  <c r="X2689" i="12"/>
  <c r="X2690" i="12"/>
  <c r="Y2689" i="12"/>
  <c r="X2691" i="12"/>
  <c r="Y2690" i="12"/>
  <c r="Y2691" i="12"/>
  <c r="X2692" i="12"/>
  <c r="Y2692" i="12"/>
  <c r="X2693" i="12"/>
  <c r="X2694" i="12"/>
  <c r="Y2693" i="12"/>
  <c r="Y2694" i="12"/>
  <c r="X2695" i="12"/>
  <c r="X2696" i="12"/>
  <c r="Y2695" i="12"/>
  <c r="X2697" i="12"/>
  <c r="Y2696" i="12"/>
  <c r="Y2697" i="12"/>
  <c r="X2698" i="12"/>
  <c r="X2699" i="12"/>
  <c r="Y2698" i="12"/>
  <c r="Y2699" i="12"/>
  <c r="X2700" i="12"/>
  <c r="Y2700" i="12"/>
  <c r="X2701" i="12"/>
  <c r="X2702" i="12"/>
  <c r="Y2701" i="12"/>
  <c r="X2703" i="12"/>
  <c r="Y2702" i="12"/>
  <c r="Y2703" i="12"/>
  <c r="X2704" i="12"/>
  <c r="Y2704" i="12"/>
  <c r="X2705" i="12"/>
  <c r="Y2705" i="12"/>
  <c r="X2706" i="12"/>
  <c r="Y2706" i="12"/>
  <c r="X2707" i="12"/>
  <c r="Y2707" i="12"/>
  <c r="X2708" i="12"/>
  <c r="Y2708" i="12"/>
  <c r="X2709" i="12"/>
  <c r="Y2709" i="12"/>
  <c r="X2710" i="12"/>
  <c r="Y2710" i="12"/>
  <c r="X2711" i="12"/>
  <c r="Y2711" i="12"/>
  <c r="X2712" i="12"/>
  <c r="X2713" i="12"/>
  <c r="Y2712" i="12"/>
  <c r="Y2713" i="12"/>
  <c r="X2714" i="12"/>
  <c r="X2715" i="12"/>
  <c r="Y2714" i="12"/>
  <c r="Y2715" i="12"/>
  <c r="X2716" i="12"/>
  <c r="Y2716" i="12"/>
  <c r="X2717" i="12"/>
  <c r="Y2717" i="12"/>
  <c r="X2718" i="12"/>
  <c r="X2719" i="12"/>
  <c r="Y2718" i="12"/>
  <c r="Y2719" i="12"/>
  <c r="X2720" i="12"/>
  <c r="Y2720" i="12"/>
  <c r="X2721" i="12"/>
  <c r="X2722" i="12"/>
  <c r="Y2721" i="12"/>
  <c r="X2723" i="12"/>
  <c r="Y2722" i="12"/>
  <c r="Y2723" i="12"/>
  <c r="X2724" i="12"/>
  <c r="Y2724" i="12"/>
  <c r="X2725" i="12"/>
  <c r="X2726" i="12"/>
  <c r="Y2725" i="12"/>
  <c r="X2727" i="12"/>
  <c r="Y2726" i="12"/>
  <c r="Y2727" i="12"/>
  <c r="X2728" i="12"/>
  <c r="X2729" i="12"/>
  <c r="Y2728" i="12"/>
  <c r="Y2729" i="12"/>
  <c r="X2730" i="12"/>
  <c r="X2731" i="12"/>
  <c r="Y2730" i="12"/>
  <c r="Y2731" i="12"/>
  <c r="X2732" i="12"/>
  <c r="Y2732" i="12"/>
  <c r="X2733" i="12"/>
  <c r="X2734" i="12"/>
  <c r="Y2733" i="12"/>
  <c r="X2735" i="12"/>
  <c r="Y2734" i="12"/>
  <c r="X2736" i="12"/>
  <c r="Y2735" i="12"/>
  <c r="Y2736" i="12"/>
  <c r="X2737" i="12"/>
  <c r="Y2737" i="12"/>
  <c r="X2738" i="12"/>
  <c r="Y2738" i="12"/>
  <c r="X2739" i="12"/>
  <c r="Y2739" i="12"/>
  <c r="X2740" i="12"/>
  <c r="Y2740" i="12"/>
  <c r="X2741" i="12"/>
  <c r="Y2741" i="12"/>
  <c r="X2742" i="12"/>
  <c r="Y2742" i="12"/>
  <c r="X2743" i="12"/>
  <c r="Y2743" i="12"/>
  <c r="X2744" i="12"/>
  <c r="X2745" i="12"/>
  <c r="Y2744" i="12"/>
  <c r="Y2745" i="12"/>
  <c r="X2746" i="12"/>
  <c r="Y2746" i="12"/>
  <c r="X2747" i="12"/>
  <c r="Y2747" i="12"/>
  <c r="X2748" i="12"/>
  <c r="Y2748" i="12"/>
  <c r="X2749" i="12"/>
  <c r="X2750" i="12"/>
  <c r="Y2749" i="12"/>
  <c r="X2751" i="12"/>
  <c r="Y2750" i="12"/>
  <c r="Y2751" i="12"/>
  <c r="X2752" i="12"/>
  <c r="Y2752" i="12"/>
  <c r="X2753" i="12"/>
  <c r="X2754" i="12"/>
  <c r="Y2753" i="12"/>
  <c r="X2755" i="12"/>
  <c r="Y2754" i="12"/>
  <c r="Y2755" i="12"/>
  <c r="X2756" i="12"/>
  <c r="Y2756" i="12"/>
  <c r="X2757" i="12"/>
  <c r="X2758" i="12"/>
  <c r="Y2757" i="12"/>
  <c r="Y2758" i="12"/>
  <c r="X2759" i="12"/>
  <c r="Y2759" i="12"/>
  <c r="X2760" i="12"/>
  <c r="X2761" i="12"/>
  <c r="Y2760" i="12"/>
  <c r="Y2761" i="12"/>
  <c r="X2762" i="12"/>
  <c r="X2763" i="12"/>
  <c r="Y2762" i="12"/>
  <c r="X2764" i="12"/>
  <c r="Y2763" i="12"/>
  <c r="Y2764" i="12"/>
  <c r="X2765" i="12"/>
  <c r="X2766" i="12"/>
  <c r="Y2765" i="12"/>
  <c r="X2767" i="12"/>
  <c r="Y2766" i="12"/>
  <c r="X2768" i="12"/>
  <c r="Y2767" i="12"/>
  <c r="Y2768" i="12"/>
  <c r="X2769" i="12"/>
  <c r="Y2769" i="12"/>
  <c r="X2770" i="12"/>
  <c r="Y2770" i="12"/>
  <c r="X2771" i="12"/>
  <c r="Y2771" i="12"/>
  <c r="X2772" i="12"/>
  <c r="Y2772" i="12"/>
  <c r="X2773" i="12"/>
  <c r="Y2773" i="12"/>
  <c r="X2774" i="12"/>
  <c r="X2775" i="12"/>
  <c r="Y2774" i="12"/>
  <c r="Y2775" i="12"/>
  <c r="X2776" i="12"/>
  <c r="X2777" i="12"/>
  <c r="Y2776" i="12"/>
  <c r="Y2777" i="12"/>
  <c r="X2778" i="12"/>
  <c r="X2779" i="12"/>
  <c r="Y2778" i="12"/>
  <c r="Y2779" i="12"/>
  <c r="X2780" i="12"/>
  <c r="Y2780" i="12"/>
  <c r="X2781" i="12"/>
  <c r="Y2781" i="12"/>
  <c r="X2782" i="12"/>
  <c r="X2783" i="12"/>
  <c r="Y2782" i="12"/>
  <c r="Y2783" i="12"/>
  <c r="X2784" i="12"/>
  <c r="Y2784" i="12"/>
  <c r="X2785" i="12"/>
  <c r="Y2785" i="12"/>
  <c r="X2786" i="12"/>
  <c r="X2787" i="12"/>
  <c r="Y2786" i="12"/>
  <c r="Y2787" i="12"/>
  <c r="X2788" i="12"/>
  <c r="Y2788" i="12"/>
  <c r="X2789" i="12"/>
  <c r="Y2789" i="12"/>
  <c r="X2790" i="12"/>
  <c r="X2791" i="12"/>
  <c r="Y2790" i="12"/>
  <c r="X2792" i="12"/>
  <c r="Y2791" i="12"/>
  <c r="X2793" i="12"/>
  <c r="Y2792" i="12"/>
  <c r="Y2793" i="12"/>
  <c r="X2794" i="12"/>
  <c r="X2795" i="12"/>
  <c r="Y2794" i="12"/>
  <c r="X2796" i="12"/>
  <c r="Y2795" i="12"/>
  <c r="Y2796" i="12"/>
  <c r="X2797" i="12"/>
  <c r="X2798" i="12"/>
  <c r="Y2797" i="12"/>
  <c r="X2799" i="12"/>
  <c r="Y2798" i="12"/>
  <c r="X2800" i="12"/>
  <c r="Y2799" i="12"/>
  <c r="Y2800" i="12"/>
  <c r="X2801" i="12"/>
  <c r="Y2801" i="12"/>
  <c r="X2802" i="12"/>
  <c r="Y2802" i="12"/>
  <c r="X2803" i="12"/>
  <c r="Y2803" i="12"/>
  <c r="X2804" i="12"/>
  <c r="Y2804" i="12"/>
  <c r="X2805" i="12"/>
  <c r="Y2805" i="12"/>
  <c r="X2806" i="12"/>
  <c r="Y2806" i="12"/>
  <c r="X2807" i="12"/>
  <c r="Y2807" i="12"/>
  <c r="X2808" i="12"/>
  <c r="X2809" i="12"/>
  <c r="Y2808" i="12"/>
  <c r="X2810" i="12"/>
  <c r="Y2809" i="12"/>
  <c r="X2811" i="12"/>
  <c r="Y2810" i="12"/>
  <c r="Y2811" i="12"/>
  <c r="X2812" i="12"/>
  <c r="Y2812" i="12"/>
  <c r="X2813" i="12"/>
  <c r="Y2813" i="12"/>
  <c r="X2814" i="12"/>
  <c r="X2815" i="12"/>
  <c r="Y2814" i="12"/>
  <c r="Y2815" i="12"/>
  <c r="X2816" i="12"/>
  <c r="Y2816" i="12"/>
  <c r="X2817" i="12"/>
  <c r="Y2817" i="12"/>
  <c r="X2818" i="12"/>
  <c r="X2819" i="12"/>
  <c r="Y2818" i="12"/>
  <c r="X2820" i="12"/>
  <c r="Y2819" i="12"/>
  <c r="Y2820" i="12"/>
  <c r="X2821" i="12"/>
  <c r="Y2821" i="12"/>
  <c r="X2822" i="12"/>
  <c r="Y2822" i="12"/>
  <c r="X2823" i="12"/>
  <c r="Y2823" i="12"/>
  <c r="X2824" i="12"/>
  <c r="X2825" i="12"/>
  <c r="Y2824" i="12"/>
  <c r="Y2825" i="12"/>
  <c r="X2826" i="12"/>
  <c r="X2827" i="12"/>
  <c r="Y2826" i="12"/>
  <c r="Y2827" i="12"/>
  <c r="X2828" i="12"/>
  <c r="X2829" i="12"/>
  <c r="Y2828" i="12"/>
  <c r="X2830" i="12"/>
  <c r="Y2829" i="12"/>
  <c r="Y2830" i="12"/>
  <c r="X2831" i="12"/>
  <c r="Y2831" i="12"/>
  <c r="X2832" i="12"/>
  <c r="Y2832" i="12"/>
  <c r="X2833" i="12"/>
  <c r="Y2833" i="12"/>
  <c r="X2834" i="12"/>
  <c r="X2835" i="12"/>
  <c r="Y2834" i="12"/>
  <c r="X2836" i="12"/>
  <c r="Y2835" i="12"/>
  <c r="Y2836" i="12"/>
  <c r="X2837" i="12"/>
  <c r="Y2837" i="12"/>
  <c r="X2838" i="12"/>
  <c r="X2839" i="12"/>
  <c r="Y2838" i="12"/>
  <c r="Y2839" i="12"/>
  <c r="X2840" i="12"/>
  <c r="Y2840" i="12"/>
  <c r="X2841" i="12"/>
  <c r="X2842" i="12"/>
  <c r="Y2841" i="12"/>
  <c r="X2843" i="12"/>
  <c r="Y2842" i="12"/>
  <c r="X2844" i="12"/>
  <c r="Y2843" i="12"/>
  <c r="Y2844" i="12"/>
  <c r="X2845" i="12"/>
  <c r="X2846" i="12"/>
  <c r="Y2845" i="12"/>
  <c r="Y2846" i="12"/>
  <c r="X2847" i="12"/>
  <c r="Y2847" i="12"/>
  <c r="X2848" i="12"/>
  <c r="X2849" i="12"/>
  <c r="Y2848" i="12"/>
  <c r="Y2849" i="12"/>
  <c r="X2850" i="12"/>
  <c r="X2851" i="12"/>
  <c r="Y2850" i="12"/>
  <c r="X2852" i="12"/>
  <c r="Y2851" i="12"/>
  <c r="Y2852" i="12"/>
  <c r="X2853" i="12"/>
  <c r="Y2853" i="12"/>
  <c r="X2854" i="12"/>
  <c r="Y2854" i="12"/>
  <c r="X2855" i="12"/>
  <c r="Y2855" i="12"/>
  <c r="X2856" i="12"/>
  <c r="X2857" i="12"/>
  <c r="Y2856" i="12"/>
  <c r="X2858" i="12"/>
  <c r="Y2857" i="12"/>
  <c r="Y2858" i="12"/>
  <c r="X2859" i="12"/>
  <c r="Y2859" i="12"/>
  <c r="X2860" i="12"/>
  <c r="Y2860" i="12"/>
  <c r="X2861" i="12"/>
  <c r="Y2861" i="12"/>
  <c r="X2862" i="12"/>
  <c r="X2863" i="12"/>
  <c r="Y2862" i="12"/>
  <c r="Y2863" i="12"/>
  <c r="X2864" i="12"/>
  <c r="X2865" i="12"/>
  <c r="Y2864" i="12"/>
  <c r="Y2865" i="12"/>
  <c r="X2866" i="12"/>
  <c r="X2867" i="12"/>
  <c r="Y2866" i="12"/>
  <c r="Y2867" i="12"/>
  <c r="X2868" i="12"/>
  <c r="Y2868" i="12"/>
  <c r="X2869" i="12"/>
  <c r="Y2869" i="12"/>
  <c r="X2870" i="12"/>
  <c r="Y2870" i="12"/>
  <c r="X2871" i="12"/>
  <c r="Y2871" i="12"/>
  <c r="X2872" i="12"/>
  <c r="Y2872" i="12"/>
  <c r="X2873" i="12"/>
  <c r="X2874" i="12"/>
  <c r="Y2873" i="12"/>
  <c r="Y2874" i="12"/>
  <c r="X2875" i="12"/>
  <c r="Y2875" i="12"/>
  <c r="X2876" i="12"/>
  <c r="Y2876" i="12"/>
  <c r="X2877" i="12"/>
  <c r="Y2877" i="12"/>
  <c r="X2878" i="12"/>
  <c r="X2879" i="12"/>
  <c r="Y2878" i="12"/>
  <c r="Y2879" i="12"/>
  <c r="X2880" i="12"/>
  <c r="X2881" i="12"/>
  <c r="Y2880" i="12"/>
  <c r="Y2881" i="12"/>
  <c r="X2882" i="12"/>
  <c r="Y2882" i="12"/>
  <c r="X2883" i="12"/>
  <c r="X2884" i="12"/>
  <c r="Y2883" i="12"/>
  <c r="Y2884" i="12"/>
  <c r="X2885" i="12"/>
  <c r="Y2885" i="12"/>
  <c r="X2886" i="12"/>
  <c r="Y2886" i="12"/>
  <c r="X2887" i="12"/>
  <c r="X2888" i="12"/>
  <c r="Y2887" i="12"/>
  <c r="Y2888" i="12"/>
  <c r="X2889" i="12"/>
  <c r="X2890" i="12"/>
  <c r="Y2889" i="12"/>
  <c r="Y2890" i="12"/>
  <c r="X2891" i="12"/>
  <c r="Y2891" i="12"/>
  <c r="X2892" i="12"/>
  <c r="X2893" i="12"/>
  <c r="Y2892" i="12"/>
  <c r="X2894" i="12"/>
  <c r="Y2893" i="12"/>
  <c r="Y2894" i="12"/>
  <c r="X2895" i="12"/>
  <c r="Y2895" i="12"/>
  <c r="X2896" i="12"/>
  <c r="Y2896" i="12"/>
  <c r="X2897" i="12"/>
  <c r="X2898" i="12"/>
  <c r="Y2897" i="12"/>
  <c r="X2899" i="12"/>
  <c r="Y2898" i="12"/>
  <c r="Y2899" i="12"/>
  <c r="X2900" i="12"/>
  <c r="Y2900" i="12"/>
  <c r="X2901" i="12"/>
  <c r="Y2901" i="12"/>
  <c r="X2902" i="12"/>
  <c r="Y2902" i="12"/>
  <c r="X2903" i="12"/>
  <c r="Y2903" i="12"/>
  <c r="X2904" i="12"/>
  <c r="Y2904" i="12"/>
  <c r="X2905" i="12"/>
  <c r="X2906" i="12"/>
  <c r="Y2905" i="12"/>
  <c r="Y2906" i="12"/>
  <c r="X2907" i="12"/>
  <c r="Y2907" i="12"/>
  <c r="X2908" i="12"/>
  <c r="Y2908" i="12"/>
  <c r="X2909" i="12"/>
  <c r="Y2909" i="12"/>
  <c r="X2910" i="12"/>
  <c r="Y2910" i="12"/>
  <c r="X2911" i="12"/>
  <c r="Y2911" i="12"/>
  <c r="X2912" i="12"/>
  <c r="X2913" i="12"/>
  <c r="Y2912" i="12"/>
  <c r="Y2913" i="12"/>
  <c r="X2914" i="12"/>
  <c r="Y2914" i="12"/>
  <c r="X2915" i="12"/>
  <c r="Y2915" i="12"/>
  <c r="X2916" i="12"/>
  <c r="X2917" i="12"/>
  <c r="Y2916" i="12"/>
  <c r="Y2917" i="12"/>
  <c r="X2918" i="12"/>
  <c r="Y2918" i="12"/>
  <c r="X2919" i="12"/>
  <c r="X2920" i="12"/>
  <c r="Y2919" i="12"/>
  <c r="Y2920" i="12"/>
  <c r="X2921" i="12"/>
  <c r="X2922" i="12"/>
  <c r="Y2921" i="12"/>
  <c r="Y2922" i="12"/>
  <c r="X2923" i="12"/>
  <c r="Y2923" i="12"/>
  <c r="X2924" i="12"/>
  <c r="Y2924" i="12"/>
  <c r="X2925" i="12"/>
  <c r="Y2925" i="12"/>
  <c r="X2926" i="12"/>
  <c r="X2927" i="12"/>
  <c r="Y2926" i="12"/>
  <c r="Y2927" i="12"/>
  <c r="X2928" i="12"/>
  <c r="X2929" i="12"/>
  <c r="Y2928" i="12"/>
  <c r="Y2929" i="12"/>
  <c r="X2930" i="12"/>
  <c r="Y2930" i="12"/>
  <c r="X2931" i="12"/>
  <c r="Y2931" i="12"/>
  <c r="X2932" i="12"/>
  <c r="Y2932" i="12"/>
  <c r="X2933" i="12"/>
  <c r="Y2933" i="12"/>
  <c r="X2934" i="12"/>
  <c r="X2935" i="12"/>
  <c r="Y2934" i="12"/>
  <c r="X2936" i="12"/>
  <c r="Y2935" i="12"/>
  <c r="Y2936" i="12"/>
  <c r="X2937" i="12"/>
  <c r="Y2937" i="12"/>
  <c r="X2938" i="12"/>
  <c r="Y2938" i="12"/>
  <c r="X2939" i="12"/>
  <c r="Y2939" i="12"/>
  <c r="X2940" i="12"/>
  <c r="Y2940" i="12"/>
  <c r="X2941" i="12"/>
  <c r="X2942" i="12"/>
  <c r="Y2941" i="12"/>
  <c r="Y2942" i="12"/>
  <c r="X2943" i="12"/>
  <c r="Y2943" i="12"/>
  <c r="X2944" i="12"/>
  <c r="X2945" i="12"/>
  <c r="Y2944" i="12"/>
  <c r="Y2945" i="12"/>
  <c r="X2946" i="12"/>
  <c r="X2947" i="12"/>
  <c r="Y2946"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X2966" i="12"/>
  <c r="Y2965" i="12"/>
  <c r="Y2966" i="12"/>
  <c r="X2967" i="12"/>
  <c r="Y2967" i="12"/>
  <c r="X2968" i="12"/>
  <c r="Y2968" i="12"/>
  <c r="X2969" i="12"/>
  <c r="X2970" i="12"/>
  <c r="Y2969" i="12"/>
  <c r="Y2970" i="12"/>
  <c r="X2971" i="12"/>
  <c r="Y2971" i="12"/>
  <c r="X2972" i="12"/>
  <c r="Y2972" i="12"/>
  <c r="X2973" i="12"/>
  <c r="Y2973" i="12"/>
  <c r="X2974" i="12"/>
  <c r="X2975" i="12"/>
  <c r="Y2974" i="12"/>
  <c r="Y2975" i="12"/>
  <c r="X2976" i="12"/>
  <c r="X2977" i="12"/>
  <c r="Y2976" i="12"/>
  <c r="Y2977" i="12"/>
  <c r="X2978" i="12"/>
  <c r="X2979" i="12"/>
  <c r="Y2978" i="12"/>
  <c r="Y2979" i="12"/>
  <c r="X2980" i="12"/>
  <c r="Y2980" i="12"/>
  <c r="X2981" i="12"/>
  <c r="Y2981" i="12"/>
  <c r="X2982" i="12"/>
  <c r="Y2982" i="12"/>
  <c r="X2983" i="12"/>
  <c r="Y2983" i="12"/>
  <c r="X2984" i="12"/>
  <c r="Y2984" i="12"/>
  <c r="X2985" i="12"/>
  <c r="X2986" i="12"/>
  <c r="Y2985" i="12"/>
  <c r="Y2986" i="12"/>
  <c r="X2987" i="12"/>
  <c r="Y2987" i="12"/>
  <c r="X2988" i="12"/>
  <c r="Y2988" i="12"/>
  <c r="X2989" i="12"/>
  <c r="X2990" i="12"/>
  <c r="Y2989" i="12"/>
  <c r="X2991" i="12"/>
  <c r="Y2990" i="12"/>
  <c r="Y2991" i="12"/>
  <c r="X2992" i="12"/>
  <c r="Y2992" i="12"/>
  <c r="X2993" i="12"/>
  <c r="Y2993" i="12"/>
  <c r="X2994" i="12"/>
  <c r="X2995" i="12"/>
  <c r="Y2994" i="12"/>
  <c r="X2996" i="12"/>
  <c r="Y2995" i="12"/>
  <c r="X2997" i="12"/>
  <c r="Y2996" i="12"/>
  <c r="Y2997" i="12"/>
  <c r="X2998" i="12"/>
  <c r="Y2998" i="12"/>
  <c r="X2999" i="12"/>
  <c r="Y2999" i="12"/>
  <c r="X3000" i="12"/>
  <c r="Y3000" i="12"/>
  <c r="X3001" i="12"/>
  <c r="Y3001" i="12"/>
  <c r="X3002" i="12"/>
  <c r="Y3002" i="12"/>
  <c r="X3003" i="12"/>
  <c r="Y3003" i="12"/>
  <c r="X3004" i="12"/>
  <c r="Y3004" i="12"/>
  <c r="X3005" i="12"/>
  <c r="X3006" i="12"/>
  <c r="Y3005" i="12"/>
  <c r="X3007" i="12"/>
  <c r="Y3006" i="12"/>
  <c r="Y3007" i="12"/>
  <c r="X3008" i="12"/>
  <c r="X3009" i="12"/>
  <c r="Y3008" i="12"/>
  <c r="Y3009" i="12"/>
  <c r="X3010" i="12"/>
  <c r="Y3010" i="12"/>
  <c r="X3011" i="12"/>
  <c r="X3012" i="12"/>
  <c r="Y3011" i="12"/>
  <c r="Y3012" i="12"/>
  <c r="X3013" i="12"/>
  <c r="Y3013" i="12"/>
  <c r="X3014" i="12"/>
  <c r="X3015" i="12"/>
  <c r="Y3014" i="12"/>
  <c r="Y3015" i="12"/>
  <c r="X3016" i="12"/>
  <c r="Y3016" i="12"/>
  <c r="X3017" i="12"/>
  <c r="Y3017" i="12"/>
  <c r="X3018" i="12"/>
  <c r="Y3018" i="12"/>
  <c r="X3019" i="12"/>
  <c r="Y3019" i="12"/>
  <c r="X3020" i="12"/>
  <c r="X3021" i="12"/>
  <c r="Y3020" i="12"/>
  <c r="X3022" i="12"/>
  <c r="Y3021" i="12"/>
  <c r="Y3022" i="12"/>
  <c r="X3023" i="12"/>
  <c r="Y3023" i="12"/>
  <c r="X3024" i="12"/>
  <c r="Y3024" i="12"/>
  <c r="X3025" i="12"/>
  <c r="Y3025" i="12"/>
  <c r="X3026" i="12"/>
  <c r="X3027" i="12"/>
  <c r="Y3026" i="12"/>
  <c r="Y3027" i="12"/>
  <c r="X3028" i="12"/>
  <c r="Y3028" i="12"/>
  <c r="X3029" i="12"/>
  <c r="Y3029" i="12"/>
  <c r="X3030" i="12"/>
  <c r="Y3030" i="12"/>
  <c r="X3031" i="12"/>
  <c r="Y3031" i="12"/>
  <c r="X3032" i="12"/>
  <c r="Y3032" i="12"/>
  <c r="X3033" i="12"/>
  <c r="X3034" i="12"/>
  <c r="Y3033" i="12"/>
  <c r="Y3034" i="12"/>
  <c r="X3035" i="12"/>
  <c r="Y3035" i="12"/>
  <c r="X3036" i="12"/>
  <c r="Y3036" i="12"/>
  <c r="X3037" i="12"/>
  <c r="Y3037" i="12"/>
  <c r="X3038" i="12"/>
  <c r="Y3038" i="12"/>
  <c r="X3039" i="12"/>
  <c r="Y3039" i="12"/>
  <c r="X3040" i="12"/>
  <c r="X3041" i="12"/>
  <c r="Y3040" i="12"/>
  <c r="Y3041" i="12"/>
  <c r="X3042" i="12"/>
  <c r="X3043" i="12"/>
  <c r="Y3042" i="12"/>
  <c r="Y3043" i="12"/>
  <c r="X3044" i="12"/>
  <c r="X3045" i="12"/>
  <c r="Y3044" i="12"/>
  <c r="Y3045" i="12"/>
  <c r="X3046" i="12"/>
  <c r="Y3046" i="12"/>
  <c r="X3047" i="12"/>
  <c r="X3048" i="12"/>
  <c r="Y3047" i="12"/>
  <c r="Y3048" i="12"/>
  <c r="X3049" i="12"/>
  <c r="Y3049" i="12"/>
  <c r="X3050" i="12"/>
  <c r="Y3050" i="12"/>
  <c r="X3051" i="12"/>
  <c r="Y3051" i="12"/>
  <c r="X3052" i="12"/>
  <c r="Y3052" i="12"/>
  <c r="X3053" i="12"/>
  <c r="X3054" i="12"/>
  <c r="Y3053" i="12"/>
  <c r="X3055" i="12"/>
  <c r="Y3054" i="12"/>
  <c r="Y3055" i="12"/>
  <c r="X3056" i="12"/>
  <c r="Y3056" i="12"/>
  <c r="X3057" i="12"/>
  <c r="Y3057" i="12"/>
  <c r="X3058" i="12"/>
  <c r="X3059" i="12"/>
  <c r="Y3058" i="12"/>
  <c r="Y3059" i="12"/>
  <c r="X3060" i="12"/>
  <c r="Y3060" i="12"/>
  <c r="X3061" i="12"/>
  <c r="Y3061" i="12"/>
  <c r="X3062" i="12"/>
  <c r="X3063" i="12"/>
  <c r="Y3062" i="12"/>
  <c r="X3064" i="12"/>
  <c r="Y3063" i="12"/>
  <c r="Y3064" i="12"/>
  <c r="X3065" i="12"/>
  <c r="Y3065" i="12"/>
  <c r="X3066" i="12"/>
  <c r="Y3066" i="12"/>
  <c r="X3067" i="12"/>
  <c r="Y3067" i="12"/>
  <c r="X3068" i="12"/>
  <c r="Y3068" i="12"/>
  <c r="X3069" i="12"/>
  <c r="X3070" i="12"/>
  <c r="Y3069" i="12"/>
  <c r="Y3070" i="12"/>
  <c r="X3071" i="12"/>
  <c r="Y3071" i="12"/>
  <c r="X3072" i="12"/>
  <c r="X3073" i="12"/>
  <c r="Y3072" i="12"/>
  <c r="Y3073" i="12"/>
  <c r="X3074" i="12"/>
  <c r="X3075" i="12"/>
  <c r="Y3074" i="12"/>
  <c r="Y3075" i="12"/>
  <c r="X3076" i="12"/>
  <c r="Y3076" i="12"/>
  <c r="X3077" i="12"/>
  <c r="Y3077" i="12"/>
  <c r="X3078" i="12"/>
  <c r="Y3078" i="12"/>
  <c r="X3079" i="12"/>
  <c r="Y3079" i="12"/>
  <c r="X3080" i="12"/>
  <c r="Y3080" i="12"/>
  <c r="X3081" i="12"/>
  <c r="Y3081" i="12"/>
  <c r="X3082" i="12"/>
  <c r="Y3082" i="12"/>
  <c r="X3083" i="12"/>
  <c r="Y3083" i="12"/>
  <c r="X3084" i="12"/>
  <c r="Y3084" i="12"/>
  <c r="X3085" i="12"/>
  <c r="X3086" i="12"/>
  <c r="Y3085" i="12"/>
  <c r="X3087" i="12"/>
  <c r="Y3086" i="12"/>
  <c r="Y3087" i="12"/>
  <c r="X3088" i="12"/>
  <c r="Y3088" i="12"/>
  <c r="X3089" i="12"/>
  <c r="Y3089" i="12"/>
  <c r="X3090" i="12"/>
  <c r="Y3090" i="12"/>
  <c r="X3091" i="12"/>
  <c r="Y3091" i="12"/>
  <c r="X3092" i="12"/>
  <c r="Y3092" i="12"/>
  <c r="X3093" i="12"/>
  <c r="X3094" i="12"/>
  <c r="Y3093" i="12"/>
  <c r="Y3094" i="12"/>
  <c r="X3095" i="12"/>
  <c r="Y3095" i="12"/>
  <c r="X3096" i="12"/>
  <c r="Y3096" i="12"/>
  <c r="X3097" i="12"/>
  <c r="X3098" i="12"/>
  <c r="Y3097" i="12"/>
  <c r="X3099" i="12"/>
  <c r="Y3098" i="12"/>
  <c r="Y3099" i="12"/>
  <c r="X3100" i="12"/>
  <c r="Y3100" i="12"/>
  <c r="X3101" i="12"/>
  <c r="X3102" i="12"/>
  <c r="Y3101" i="12"/>
  <c r="X3103" i="12"/>
  <c r="Y3102" i="12"/>
  <c r="Y3103" i="12"/>
  <c r="X3104" i="12"/>
  <c r="X3105" i="12"/>
  <c r="Y3104" i="12"/>
  <c r="Y3105" i="12"/>
  <c r="X3106" i="12"/>
  <c r="X3107" i="12"/>
  <c r="Y3106" i="12"/>
  <c r="Y3107" i="12"/>
  <c r="X3108" i="12"/>
  <c r="Y3108" i="12"/>
  <c r="X3109" i="12"/>
  <c r="Y3109" i="12"/>
  <c r="X3110" i="12"/>
  <c r="Y3110" i="12"/>
  <c r="X3111" i="12"/>
  <c r="Y3111" i="12"/>
  <c r="X3112" i="12"/>
  <c r="Y3112" i="12"/>
  <c r="X3113" i="12"/>
  <c r="X3114" i="12"/>
  <c r="Y3113" i="12"/>
  <c r="Y3114" i="12"/>
  <c r="X3115" i="12"/>
  <c r="Y3115" i="12"/>
  <c r="X3116" i="12"/>
  <c r="Y3116" i="12"/>
  <c r="X3117" i="12"/>
  <c r="X3118" i="12"/>
  <c r="Y3117" i="12"/>
  <c r="X3119" i="12"/>
  <c r="Y3118" i="12"/>
  <c r="Y3119" i="12"/>
  <c r="X3120" i="12"/>
  <c r="Y3120" i="12"/>
  <c r="X3121" i="12"/>
  <c r="Y3121" i="12"/>
  <c r="X3122" i="12"/>
  <c r="X3123" i="12"/>
  <c r="Y3122" i="12"/>
  <c r="X3124" i="12"/>
  <c r="Y3123" i="12"/>
  <c r="X3125" i="12"/>
  <c r="Y3124" i="12"/>
  <c r="Y3125" i="12"/>
  <c r="X3126" i="12"/>
  <c r="Y3126" i="12"/>
  <c r="X3127" i="12"/>
  <c r="Y3127" i="12"/>
  <c r="X3128" i="12"/>
  <c r="Y3128" i="12"/>
  <c r="X3129" i="12"/>
  <c r="Y3129" i="12"/>
  <c r="X3130" i="12"/>
  <c r="Y3130" i="12"/>
  <c r="X3131" i="12"/>
  <c r="Y3131" i="12"/>
  <c r="X3132" i="12"/>
  <c r="Y3132" i="12"/>
  <c r="X3133" i="12"/>
  <c r="X3134" i="12"/>
  <c r="Y3133" i="12"/>
  <c r="Y3134" i="12"/>
  <c r="X3135" i="12"/>
  <c r="Y3135" i="12"/>
  <c r="X3136" i="12"/>
  <c r="X3137" i="12"/>
  <c r="Y3136" i="12"/>
  <c r="Y3137" i="12"/>
  <c r="X3138" i="12"/>
  <c r="X3139" i="12"/>
  <c r="Y3138" i="12"/>
  <c r="X3140" i="12"/>
  <c r="Y3139" i="12"/>
  <c r="Y3140" i="12"/>
  <c r="X3141" i="12"/>
  <c r="Y3141" i="12"/>
  <c r="X3142" i="12"/>
  <c r="X3143" i="12"/>
  <c r="Y3142" i="12"/>
  <c r="Y3143" i="12"/>
  <c r="X3144" i="12"/>
  <c r="X3145" i="12"/>
  <c r="Y3144" i="12"/>
  <c r="X3146" i="12"/>
  <c r="Y3145" i="12"/>
  <c r="Y3146" i="12"/>
  <c r="X3147" i="12"/>
  <c r="Y3147" i="12"/>
  <c r="X3148" i="12"/>
  <c r="Y3148" i="12"/>
  <c r="X3149" i="12"/>
  <c r="Y3149" i="12"/>
  <c r="X3150" i="12"/>
  <c r="Y3150" i="12"/>
  <c r="X3151" i="12"/>
  <c r="Y3151" i="12"/>
  <c r="X3152" i="12"/>
  <c r="Y3152" i="12"/>
  <c r="X3153" i="12"/>
  <c r="X3154" i="12"/>
  <c r="Y3153" i="12"/>
  <c r="Y3154" i="12"/>
  <c r="X3155" i="12"/>
  <c r="X3156" i="12"/>
  <c r="Y3155" i="12"/>
  <c r="Y3156" i="12"/>
  <c r="X3157" i="12"/>
  <c r="X3158" i="12"/>
  <c r="Y3157" i="12"/>
  <c r="Y3158" i="12"/>
  <c r="X3159" i="12"/>
  <c r="Y3159" i="12"/>
  <c r="X3160" i="12"/>
  <c r="X3161" i="12"/>
  <c r="Y3160" i="12"/>
  <c r="X3162" i="12"/>
  <c r="Y3161" i="12"/>
  <c r="Y3162" i="12"/>
  <c r="X3163" i="12"/>
  <c r="X3164" i="12"/>
  <c r="Y3163" i="12"/>
  <c r="Y3164" i="12"/>
  <c r="X3165" i="12"/>
  <c r="X3166" i="12"/>
  <c r="Y3165" i="12"/>
  <c r="X3167" i="12"/>
  <c r="Y3166" i="12"/>
  <c r="Y3167" i="12"/>
  <c r="X3168" i="12"/>
  <c r="Y3168" i="12"/>
  <c r="X3169" i="12"/>
  <c r="X3170" i="12"/>
  <c r="Y3169" i="12"/>
  <c r="X3171" i="12"/>
  <c r="Y3170" i="12"/>
  <c r="X3172" i="12"/>
  <c r="Y3171" i="12"/>
  <c r="Y3172" i="12"/>
  <c r="X3173" i="12"/>
  <c r="X3174" i="12"/>
  <c r="Y3173" i="12"/>
  <c r="Y3174" i="12"/>
  <c r="X3175" i="12"/>
  <c r="X3176" i="12"/>
  <c r="Y3175" i="12"/>
  <c r="Y3176" i="12"/>
  <c r="X3177" i="12"/>
  <c r="X3178" i="12"/>
  <c r="Y3177" i="12"/>
  <c r="Y3178" i="12"/>
  <c r="X3179" i="12"/>
  <c r="Y3179" i="12"/>
  <c r="X3180" i="12"/>
  <c r="Y3180" i="12"/>
  <c r="X3181" i="12"/>
  <c r="Y3181" i="12"/>
  <c r="X3182" i="12"/>
  <c r="X3183" i="12"/>
  <c r="Y3182" i="12"/>
  <c r="Y3183" i="12"/>
  <c r="X3184" i="12"/>
  <c r="X3185" i="12"/>
  <c r="Y3184" i="12"/>
  <c r="X3186" i="12"/>
  <c r="Y3185" i="12"/>
  <c r="Y3186" i="12"/>
  <c r="X3187" i="12"/>
  <c r="X3188" i="12"/>
  <c r="Y3187" i="12"/>
  <c r="Y3188" i="12"/>
  <c r="X3189" i="12"/>
  <c r="X3190" i="12"/>
  <c r="Y3189" i="12"/>
  <c r="Y3190" i="12"/>
  <c r="X3191" i="12"/>
  <c r="X3192" i="12"/>
  <c r="Y3191" i="12"/>
  <c r="X3193" i="12"/>
  <c r="Y3192" i="12"/>
  <c r="X3194" i="12"/>
  <c r="Y3193" i="12"/>
  <c r="Y3194" i="12"/>
  <c r="X3195" i="12"/>
  <c r="Y3195" i="12"/>
  <c r="X3196" i="12"/>
  <c r="Y3196" i="12"/>
  <c r="X3197" i="12"/>
  <c r="X3198" i="12"/>
  <c r="Y3197" i="12"/>
  <c r="Y3198" i="12"/>
  <c r="X3199" i="12"/>
  <c r="Y3199" i="12"/>
  <c r="X3200" i="12"/>
  <c r="X3201" i="12"/>
  <c r="Y3200" i="12"/>
  <c r="X3202" i="12"/>
  <c r="Y3201" i="12"/>
  <c r="Y3202" i="12"/>
  <c r="X3203" i="12"/>
  <c r="X3204" i="12"/>
  <c r="Y3203" i="12"/>
  <c r="Y3204" i="12"/>
  <c r="X3205" i="12"/>
  <c r="X3206" i="12"/>
  <c r="Y3205" i="12"/>
  <c r="Y3206" i="12"/>
  <c r="X3207" i="12"/>
  <c r="Y3207" i="12"/>
  <c r="X3208" i="12"/>
  <c r="X3209" i="12"/>
  <c r="Y3208" i="12"/>
  <c r="Y3209" i="12"/>
  <c r="X3210" i="12"/>
  <c r="Y3210" i="12"/>
  <c r="X3211" i="12"/>
  <c r="X3212" i="12"/>
  <c r="Y3211" i="12"/>
  <c r="Y3212" i="12"/>
  <c r="X3213" i="12"/>
  <c r="X3214" i="12"/>
  <c r="Y3213" i="12"/>
  <c r="Y3214" i="12"/>
  <c r="X3215" i="12"/>
  <c r="Y3215" i="12"/>
  <c r="X3216" i="12"/>
  <c r="Y3216" i="12"/>
  <c r="X3217" i="12"/>
  <c r="X3218" i="12"/>
  <c r="Y3217" i="12"/>
  <c r="X3219" i="12"/>
  <c r="Y3218" i="12"/>
  <c r="X3220" i="12"/>
  <c r="Y3219" i="12"/>
  <c r="Y3220" i="12"/>
  <c r="X3221" i="12"/>
  <c r="X3222" i="12"/>
  <c r="Y3221" i="12"/>
  <c r="Y3222" i="12"/>
  <c r="X3223" i="12"/>
  <c r="X3224" i="12"/>
  <c r="Y3223" i="12"/>
  <c r="X3225" i="12"/>
  <c r="Y3224" i="12"/>
  <c r="Y3225" i="12"/>
  <c r="X3226" i="12"/>
  <c r="Y3226" i="12"/>
  <c r="X3227" i="12"/>
  <c r="X3228" i="12"/>
  <c r="Y3227" i="12"/>
  <c r="Y3228" i="12"/>
  <c r="X3229" i="12"/>
  <c r="X3230" i="12"/>
  <c r="Y3229" i="12"/>
  <c r="X3231" i="12"/>
  <c r="Y3230" i="12"/>
  <c r="Y3231" i="12"/>
  <c r="X3232" i="12"/>
  <c r="X3233" i="12"/>
  <c r="Y3232" i="12"/>
  <c r="X3234" i="12"/>
  <c r="Y3233" i="12"/>
  <c r="X3235" i="12"/>
  <c r="Y3234" i="12"/>
  <c r="X3236" i="12"/>
  <c r="Y3235" i="12"/>
  <c r="Y3236" i="12"/>
  <c r="X3237" i="12"/>
  <c r="X3238" i="12"/>
  <c r="Y3237" i="12"/>
  <c r="Y3238" i="12"/>
  <c r="X3239" i="12"/>
  <c r="Y3239" i="12"/>
  <c r="X3240" i="12"/>
  <c r="X3241" i="12"/>
  <c r="Y3240" i="12"/>
  <c r="X3242" i="12"/>
  <c r="Y3241" i="12"/>
  <c r="Y3242" i="12"/>
  <c r="X3243" i="12"/>
  <c r="Y3243" i="12"/>
  <c r="X3244" i="12"/>
  <c r="Y3244" i="12"/>
  <c r="X3245" i="12"/>
  <c r="X3246" i="12"/>
  <c r="Y3245" i="12"/>
  <c r="X3247" i="12"/>
  <c r="Y3246" i="12"/>
  <c r="Y3247" i="12"/>
  <c r="X3248" i="12"/>
  <c r="X3249" i="12"/>
  <c r="Y3248" i="12"/>
  <c r="X3250" i="12"/>
  <c r="Y3249" i="12"/>
  <c r="Y3250" i="12"/>
  <c r="X3251" i="12"/>
  <c r="Y3251" i="12"/>
  <c r="X3252" i="12"/>
  <c r="Y3252" i="12"/>
  <c r="X3253" i="12"/>
  <c r="X3254" i="12"/>
  <c r="Y3253" i="12"/>
  <c r="Y3254" i="12"/>
  <c r="X3255" i="12"/>
  <c r="Y3255" i="12"/>
  <c r="X3256" i="12"/>
  <c r="Y3256" i="12"/>
  <c r="X3257" i="12"/>
  <c r="X3258" i="12"/>
  <c r="Y3257" i="12"/>
  <c r="Y3258" i="12"/>
  <c r="X3259" i="12"/>
  <c r="Y3259" i="12"/>
  <c r="X3260" i="12"/>
  <c r="Y3260" i="12"/>
  <c r="X3261" i="12"/>
  <c r="Y3261" i="12"/>
  <c r="X3262" i="12"/>
  <c r="X3263" i="12"/>
  <c r="Y3262" i="12"/>
  <c r="Y3263" i="12"/>
  <c r="X3264" i="12"/>
  <c r="Y3264" i="12"/>
  <c r="X3265" i="12"/>
  <c r="X3266" i="12"/>
  <c r="Y3265" i="12"/>
  <c r="X3267" i="12"/>
  <c r="Y3266" i="12"/>
  <c r="Y3267" i="12"/>
  <c r="X3268" i="12"/>
  <c r="Y3268" i="12"/>
  <c r="X3269" i="12"/>
  <c r="X3270" i="12"/>
  <c r="Y3269" i="12"/>
  <c r="Y3270" i="12"/>
  <c r="X3271" i="12"/>
  <c r="Y3271" i="12"/>
  <c r="X3272" i="12"/>
  <c r="X3273" i="12"/>
  <c r="Y3272" i="12"/>
  <c r="X3274" i="12"/>
  <c r="Y3273" i="12"/>
  <c r="Y3274" i="12"/>
  <c r="X3275" i="12"/>
  <c r="Y3275" i="12"/>
  <c r="X3276" i="12"/>
  <c r="Y3276" i="12"/>
  <c r="X3277" i="12"/>
  <c r="Y3277" i="12"/>
  <c r="X3278" i="12"/>
  <c r="Y3278" i="12"/>
  <c r="X3279" i="12"/>
  <c r="Y3279" i="12"/>
  <c r="X3280" i="12"/>
  <c r="Y3280" i="12"/>
  <c r="X3281" i="12"/>
  <c r="X3282" i="12"/>
  <c r="Y3281" i="12"/>
  <c r="X3283" i="12"/>
  <c r="Y3282" i="12"/>
  <c r="X3284" i="12"/>
  <c r="Y3283" i="12"/>
  <c r="Y3284" i="12"/>
  <c r="X3285" i="12"/>
  <c r="X3286" i="12"/>
  <c r="Y3285" i="12"/>
  <c r="Y3286" i="12"/>
  <c r="X3287" i="12"/>
  <c r="Y3287" i="12"/>
  <c r="X3288" i="12"/>
  <c r="Y3288" i="12"/>
  <c r="X3289" i="12"/>
  <c r="X3290" i="12"/>
  <c r="Y3289" i="12"/>
  <c r="Y3290" i="12"/>
  <c r="X3291" i="12"/>
  <c r="X3292" i="12"/>
  <c r="Y3291" i="12"/>
  <c r="Y3292" i="12"/>
  <c r="X3293" i="12"/>
  <c r="X3294" i="12"/>
  <c r="Y3293" i="12"/>
  <c r="X3295" i="12"/>
  <c r="Y3294" i="12"/>
  <c r="Y3295" i="12"/>
  <c r="X3296" i="12"/>
  <c r="Y3296" i="12"/>
  <c r="X3297" i="12"/>
  <c r="X3298" i="12"/>
  <c r="Y3297" i="12"/>
  <c r="X3299" i="12"/>
  <c r="Y3298" i="12"/>
  <c r="X3300" i="12"/>
  <c r="Y3299" i="12"/>
  <c r="Y3300" i="12"/>
  <c r="X3301" i="12"/>
  <c r="X3302" i="12"/>
  <c r="Y3301" i="12"/>
  <c r="Y3302" i="12"/>
  <c r="X3303" i="12"/>
  <c r="X3304" i="12"/>
  <c r="Y3303" i="12"/>
  <c r="X3305" i="12"/>
  <c r="Y3304" i="12"/>
  <c r="X3306" i="12"/>
  <c r="Y3305" i="12"/>
  <c r="Y3306" i="12"/>
  <c r="X3307" i="12"/>
  <c r="Y3307" i="12"/>
  <c r="X3308" i="12"/>
  <c r="Y3308" i="12"/>
  <c r="X3309" i="12"/>
  <c r="Y3309" i="12"/>
  <c r="X3310" i="12"/>
  <c r="X3311" i="12"/>
  <c r="Y3310" i="12"/>
  <c r="Y3311" i="12"/>
  <c r="X3312" i="12"/>
  <c r="Y3312" i="12"/>
  <c r="X3313" i="12"/>
  <c r="X3314" i="12"/>
  <c r="Y3313" i="12"/>
  <c r="Y3314" i="12"/>
  <c r="X3315" i="12"/>
  <c r="Y3315" i="12"/>
  <c r="X3316" i="12"/>
  <c r="Y3316" i="12"/>
  <c r="X3317" i="12"/>
  <c r="X3318" i="12"/>
  <c r="Y3317" i="12"/>
  <c r="Y3318" i="12"/>
  <c r="X3319" i="12"/>
  <c r="X3320" i="12"/>
  <c r="Y3319" i="12"/>
  <c r="X3321" i="12"/>
  <c r="Y3320" i="12"/>
  <c r="X3322" i="12"/>
  <c r="Y3321" i="12"/>
  <c r="Y3322" i="12"/>
  <c r="X3323" i="12"/>
  <c r="Y3323" i="12"/>
  <c r="X3324" i="12"/>
  <c r="Y3324" i="12"/>
  <c r="X3325" i="12"/>
  <c r="X3326" i="12"/>
  <c r="Y3325" i="12"/>
  <c r="Y3326" i="12"/>
  <c r="X3327" i="12"/>
  <c r="Y3327" i="12"/>
  <c r="X3328" i="12"/>
  <c r="X3329" i="12"/>
  <c r="Y3328" i="12"/>
  <c r="X3330" i="12"/>
  <c r="Y3329" i="12"/>
  <c r="Y3330" i="12"/>
  <c r="X3331" i="12"/>
  <c r="Y3331" i="12"/>
  <c r="X3332" i="12"/>
  <c r="X3333" i="12"/>
  <c r="Y3332" i="12"/>
  <c r="X3334" i="12"/>
  <c r="Y3333" i="12"/>
  <c r="Y3334" i="12"/>
  <c r="X3335" i="12"/>
  <c r="Y3335" i="12"/>
  <c r="X3336" i="12"/>
  <c r="Y3336" i="12"/>
  <c r="X3337" i="12"/>
  <c r="Y3337" i="12"/>
  <c r="X3338" i="12"/>
  <c r="Y3338" i="12"/>
  <c r="X3339" i="12"/>
  <c r="X3340" i="12"/>
  <c r="Y3339" i="12"/>
  <c r="Y3340" i="12"/>
  <c r="X3341" i="12"/>
  <c r="Y3341" i="12"/>
  <c r="X3342" i="12"/>
  <c r="Y3342" i="12"/>
  <c r="X3343" i="12"/>
  <c r="X3344" i="12"/>
  <c r="Y3343" i="12"/>
  <c r="Y3344" i="12"/>
  <c r="X3345" i="12"/>
  <c r="X3346" i="12"/>
  <c r="Y3345" i="12"/>
  <c r="X3347" i="12"/>
  <c r="Y3346" i="12"/>
  <c r="X3348" i="12"/>
  <c r="Y3347" i="12"/>
  <c r="X3349" i="12"/>
  <c r="Y3348" i="12"/>
  <c r="X3350" i="12"/>
  <c r="Y3349" i="12"/>
  <c r="Y3350" i="12"/>
  <c r="X3351" i="12"/>
  <c r="Y3351" i="12"/>
  <c r="X3352" i="12"/>
  <c r="Y3352" i="12"/>
  <c r="X3353" i="12"/>
  <c r="Y3353" i="12"/>
  <c r="X3354" i="12"/>
  <c r="Y3354" i="12"/>
  <c r="X3355" i="12"/>
  <c r="X3356" i="12"/>
  <c r="Y3355" i="12"/>
  <c r="Y3356" i="12"/>
  <c r="X3357" i="12"/>
  <c r="X3358" i="12"/>
  <c r="Y3357" i="12"/>
  <c r="X3359" i="12"/>
  <c r="Y3358" i="12"/>
  <c r="Y3359" i="12"/>
  <c r="X3360" i="12"/>
  <c r="Y3360" i="12"/>
  <c r="X3361" i="12"/>
  <c r="X3362" i="12"/>
  <c r="Y3361" i="12"/>
  <c r="X3363" i="12"/>
  <c r="Y3362" i="12"/>
  <c r="Y3363" i="12"/>
  <c r="X3364" i="12"/>
  <c r="Y3364" i="12"/>
  <c r="X3365" i="12"/>
  <c r="X3366" i="12"/>
  <c r="Y3365" i="12"/>
  <c r="Y3366" i="12"/>
  <c r="X3367" i="12"/>
  <c r="Y3367" i="12"/>
  <c r="X3368" i="12"/>
  <c r="Y3368" i="12"/>
  <c r="X3369" i="12"/>
  <c r="X3370" i="12"/>
  <c r="Y3369" i="12"/>
  <c r="Y3370" i="12"/>
  <c r="X3371" i="12"/>
  <c r="Y3371" i="12"/>
  <c r="X3372" i="12"/>
  <c r="Y3372" i="12"/>
  <c r="X3373" i="12"/>
  <c r="X3374" i="12"/>
  <c r="Y3373" i="12"/>
  <c r="Y3374" i="12"/>
  <c r="X3375" i="12"/>
  <c r="Y3375" i="12"/>
  <c r="X3376" i="12"/>
  <c r="X3377" i="12"/>
  <c r="Y3376" i="12"/>
  <c r="X3378" i="12"/>
  <c r="Y3377" i="12"/>
  <c r="Y3378" i="12"/>
  <c r="X3379" i="12"/>
  <c r="X3380" i="12"/>
  <c r="Y3379" i="12"/>
  <c r="Y3380" i="12"/>
  <c r="X3381" i="12"/>
  <c r="Y3381" i="12"/>
  <c r="X3382" i="12"/>
  <c r="Y3382" i="12"/>
  <c r="X3383" i="12"/>
  <c r="X3384" i="12"/>
  <c r="Y3383" i="12"/>
  <c r="Y3384" i="12"/>
  <c r="X3385" i="12"/>
  <c r="Y3385" i="12"/>
  <c r="X3386" i="12"/>
  <c r="Y3386" i="12"/>
  <c r="X3387" i="12"/>
  <c r="X3388" i="12"/>
  <c r="Y3387" i="12"/>
  <c r="Y3388" i="12"/>
  <c r="X3389" i="12"/>
  <c r="X3390" i="12"/>
  <c r="Y3389" i="12"/>
  <c r="Y3390" i="12"/>
  <c r="X3391" i="12"/>
  <c r="Y3391" i="12"/>
  <c r="X3392" i="12"/>
  <c r="Y3392" i="12"/>
  <c r="X3393" i="12"/>
  <c r="X3394" i="12"/>
  <c r="Y3393" i="12"/>
  <c r="Y3394" i="12"/>
  <c r="X3395" i="12"/>
  <c r="X3396" i="12"/>
  <c r="Y3395" i="12"/>
  <c r="Y3396" i="12"/>
  <c r="X3397" i="12"/>
  <c r="Y3397" i="12"/>
  <c r="X3398" i="12"/>
  <c r="Y3398" i="12"/>
  <c r="X3399" i="12"/>
  <c r="X3400" i="12"/>
  <c r="Y3399" i="12"/>
  <c r="Y3400" i="12"/>
  <c r="X3401" i="12"/>
  <c r="X3402" i="12"/>
  <c r="Y3401" i="12"/>
  <c r="Y3402" i="12"/>
  <c r="X3403" i="12"/>
  <c r="Y3403" i="12"/>
  <c r="X3404" i="12"/>
  <c r="Y3404" i="12"/>
  <c r="X3405" i="12"/>
  <c r="X3406" i="12"/>
  <c r="Y3405" i="12"/>
  <c r="Y3406" i="12"/>
  <c r="X3407" i="12"/>
  <c r="Y3407" i="12"/>
  <c r="X3408" i="12"/>
  <c r="X3409" i="12"/>
  <c r="Y3408" i="12"/>
  <c r="Y3409" i="12"/>
  <c r="X3410" i="12"/>
  <c r="X3411" i="12"/>
  <c r="Y3410" i="12"/>
  <c r="Y3411" i="12"/>
  <c r="X3412" i="12"/>
  <c r="X3413" i="12"/>
  <c r="Y3412" i="12"/>
  <c r="Y3413" i="12"/>
  <c r="X3414" i="12"/>
  <c r="Y3414" i="12"/>
  <c r="X3415" i="12"/>
  <c r="Y3415" i="12"/>
  <c r="X3416" i="12"/>
  <c r="Y3416" i="12"/>
  <c r="X3417" i="12"/>
  <c r="Y3417" i="12"/>
  <c r="X3418" i="12"/>
  <c r="Y3418" i="12"/>
  <c r="X3419" i="12"/>
  <c r="Y3419" i="12"/>
  <c r="X3420" i="12"/>
  <c r="Y3420" i="12"/>
  <c r="X3421" i="12"/>
  <c r="Y3421" i="12"/>
  <c r="X3422" i="12"/>
  <c r="X3423" i="12"/>
  <c r="Y3422" i="12"/>
  <c r="Y3423" i="12"/>
  <c r="X3424" i="12"/>
  <c r="Y3424" i="12"/>
  <c r="X3425" i="12"/>
  <c r="X3426" i="12"/>
  <c r="Y3425" i="12"/>
  <c r="X3427" i="12"/>
  <c r="Y3426" i="12"/>
  <c r="X3428" i="12"/>
  <c r="Y3427" i="12"/>
  <c r="Y3428" i="12"/>
  <c r="X3429" i="12"/>
  <c r="Y3429" i="12"/>
  <c r="X3430" i="12"/>
  <c r="Y3430" i="12"/>
  <c r="X3431" i="12"/>
  <c r="Y3431" i="12"/>
  <c r="X3432" i="12"/>
  <c r="Y3432" i="12"/>
  <c r="X3433" i="12"/>
  <c r="X3434" i="12"/>
  <c r="Y3433" i="12"/>
  <c r="Y3434" i="12"/>
  <c r="X3435" i="12"/>
  <c r="X3436" i="12"/>
  <c r="Y3435" i="12"/>
  <c r="Y3436" i="12"/>
  <c r="X3437" i="12"/>
  <c r="X3438" i="12"/>
  <c r="Y3437" i="12"/>
  <c r="X3439" i="12"/>
  <c r="Y3438" i="12"/>
  <c r="Y3439" i="12"/>
  <c r="X3440" i="12"/>
  <c r="X3441" i="12"/>
  <c r="Y3440" i="12"/>
  <c r="Y3441" i="12"/>
  <c r="X3442" i="12"/>
  <c r="Y3442" i="12"/>
  <c r="X3443" i="12"/>
  <c r="Y3443" i="12"/>
  <c r="X3444" i="12"/>
  <c r="Y3444" i="12"/>
  <c r="X3445" i="12"/>
  <c r="Y3445" i="12"/>
  <c r="X3446" i="12"/>
  <c r="Y3446" i="12"/>
  <c r="X3447" i="12"/>
  <c r="Y3447" i="12"/>
  <c r="X3448" i="12"/>
  <c r="Y3448" i="12"/>
  <c r="X3449" i="12"/>
  <c r="X3450" i="12"/>
  <c r="Y3449" i="12"/>
  <c r="Y3450" i="12"/>
  <c r="X3451" i="12"/>
  <c r="Y3451" i="12"/>
  <c r="X3452" i="12"/>
  <c r="Y3452" i="12"/>
  <c r="X3453" i="12"/>
  <c r="Y3453" i="12"/>
  <c r="X3454" i="12"/>
  <c r="Y3454" i="12"/>
  <c r="X3455" i="12"/>
  <c r="Y3455" i="12"/>
  <c r="X3456" i="12"/>
  <c r="Y3456" i="12"/>
  <c r="X3457" i="12"/>
  <c r="X3458" i="12"/>
  <c r="Y3457" i="12"/>
  <c r="Y3458" i="12"/>
  <c r="X3459" i="12"/>
  <c r="X3460" i="12"/>
  <c r="Y3459" i="12"/>
  <c r="Y3460" i="12"/>
  <c r="X3461" i="12"/>
  <c r="Y3461" i="12"/>
  <c r="X3462" i="12"/>
  <c r="Y3462" i="12"/>
  <c r="X3463" i="12"/>
  <c r="X3464" i="12"/>
  <c r="Y3463" i="12"/>
  <c r="X3465" i="12"/>
  <c r="Y3464" i="12"/>
  <c r="X3466" i="12"/>
  <c r="Y3465" i="12"/>
  <c r="Y3466" i="12"/>
  <c r="X3467" i="12"/>
  <c r="X3468" i="12"/>
  <c r="Y3467" i="12"/>
  <c r="Y3468" i="12"/>
  <c r="X3469" i="12"/>
  <c r="Y3469" i="12"/>
  <c r="X3470" i="12"/>
  <c r="X3471" i="12"/>
  <c r="Y3470" i="12"/>
  <c r="X3472" i="12"/>
  <c r="Y3471" i="12"/>
  <c r="X3473" i="12"/>
  <c r="Y3472" i="12"/>
  <c r="Y3473" i="12"/>
  <c r="X3474" i="12"/>
  <c r="X3475" i="12"/>
  <c r="Y3474" i="12"/>
  <c r="Y3475" i="12"/>
  <c r="X3476" i="12"/>
  <c r="Y3476" i="12"/>
  <c r="X3477" i="12"/>
  <c r="Y3477" i="12"/>
  <c r="X3478" i="12"/>
  <c r="Y3478" i="12"/>
  <c r="X3479" i="12"/>
  <c r="X3480" i="12"/>
  <c r="Y3479" i="12"/>
  <c r="Y3480" i="12"/>
  <c r="X3481" i="12"/>
  <c r="Y3481" i="12"/>
  <c r="X3482" i="12"/>
  <c r="Y3482" i="12"/>
  <c r="X3483" i="12"/>
  <c r="Y3483" i="12"/>
  <c r="X3484" i="12"/>
  <c r="Y3484" i="12"/>
  <c r="X3485" i="12"/>
  <c r="X3486" i="12"/>
  <c r="Y3485" i="12"/>
  <c r="Y3486" i="12"/>
  <c r="X3487" i="12"/>
  <c r="Y3487" i="12"/>
  <c r="X3488" i="12"/>
  <c r="Y3488" i="12"/>
  <c r="X3489" i="12"/>
  <c r="X3490" i="12"/>
  <c r="Y3489" i="12"/>
  <c r="Y3490" i="12"/>
  <c r="X3491" i="12"/>
  <c r="Y3491" i="12"/>
  <c r="X3492" i="12"/>
  <c r="Y3492" i="12"/>
  <c r="X3493" i="12"/>
  <c r="Y3493" i="12"/>
  <c r="X3494" i="12"/>
  <c r="Y3494" i="12"/>
  <c r="X3495" i="12"/>
  <c r="X3496" i="12"/>
  <c r="Y3495" i="12"/>
  <c r="Y3496" i="12"/>
  <c r="X3497" i="12"/>
  <c r="Y3497" i="12"/>
  <c r="X3498" i="12"/>
  <c r="Y3498" i="12"/>
  <c r="X3499" i="12"/>
  <c r="Y3499" i="12"/>
  <c r="X3500" i="12"/>
  <c r="Y3500" i="12"/>
  <c r="X3501" i="12"/>
  <c r="Y3501" i="12"/>
  <c r="X3502" i="12"/>
  <c r="X3503" i="12"/>
  <c r="Y3502" i="12"/>
  <c r="X3504" i="12"/>
  <c r="Y3503" i="12"/>
  <c r="X3505" i="12"/>
  <c r="Y3504" i="12"/>
  <c r="X3506" i="12"/>
  <c r="Y3505" i="12"/>
  <c r="Y3506" i="12"/>
  <c r="X3507" i="12"/>
  <c r="X3508" i="12"/>
  <c r="Y3507" i="12"/>
  <c r="Y3508" i="12"/>
  <c r="X3509" i="12"/>
  <c r="Y3509" i="12"/>
  <c r="X3510" i="12"/>
  <c r="Y3510" i="12"/>
  <c r="X3511" i="12"/>
  <c r="X3512" i="12"/>
  <c r="Y3511" i="12"/>
  <c r="Y3512" i="12"/>
  <c r="X3513" i="12"/>
  <c r="X3514" i="12"/>
  <c r="Y3513" i="12"/>
  <c r="Y3514" i="12"/>
  <c r="X3515" i="12"/>
  <c r="Y3515" i="12"/>
  <c r="X3516" i="12"/>
  <c r="Y3516" i="12"/>
  <c r="X3517" i="12"/>
  <c r="X3518" i="12"/>
  <c r="Y3517" i="12"/>
  <c r="Y3518" i="12"/>
  <c r="X3519" i="12"/>
  <c r="Y3519" i="12"/>
  <c r="X3520" i="12"/>
  <c r="Y3520" i="12"/>
  <c r="X3521" i="12"/>
  <c r="X3522" i="12"/>
  <c r="Y3521" i="12"/>
  <c r="X3523" i="12"/>
  <c r="Y3522" i="12"/>
  <c r="Y3523" i="12"/>
  <c r="X3524" i="12"/>
  <c r="Y3524" i="12"/>
  <c r="X3525" i="12"/>
  <c r="Y3525" i="12"/>
  <c r="X3526" i="12"/>
  <c r="Y3526" i="12"/>
  <c r="X3527" i="12"/>
  <c r="X3528" i="12"/>
  <c r="Y3527" i="12"/>
  <c r="X3529" i="12"/>
  <c r="Y3528" i="12"/>
  <c r="X3530" i="12"/>
  <c r="Y3529" i="12"/>
  <c r="Y3530" i="12"/>
  <c r="X3531" i="12"/>
  <c r="Y3531" i="12"/>
  <c r="X3532" i="12"/>
  <c r="Y3532" i="12"/>
  <c r="X3533" i="12"/>
  <c r="Y3533" i="12"/>
  <c r="X3534" i="12"/>
  <c r="Y3534" i="12"/>
  <c r="X3535" i="12"/>
  <c r="X3536" i="12"/>
  <c r="Y3535" i="12"/>
  <c r="X3537" i="12"/>
  <c r="Y3536" i="12"/>
  <c r="X3538" i="12"/>
  <c r="Y3537" i="12"/>
  <c r="X3539" i="12"/>
  <c r="Y3538" i="12"/>
  <c r="Y3539" i="12"/>
  <c r="X3540" i="12"/>
  <c r="Y3540" i="12"/>
  <c r="X3541" i="12"/>
  <c r="Y3541" i="12"/>
  <c r="X3542" i="12"/>
  <c r="Y3542" i="12"/>
  <c r="X3543" i="12"/>
  <c r="X3544" i="12"/>
  <c r="Y3543" i="12"/>
  <c r="Y3544" i="12"/>
  <c r="X3545" i="12"/>
  <c r="Y3545" i="12"/>
  <c r="X3546" i="12"/>
  <c r="Y3546" i="12"/>
  <c r="X3547" i="12"/>
  <c r="X3548" i="12"/>
  <c r="Y3547" i="12"/>
  <c r="Y3548" i="12"/>
  <c r="X3549" i="12"/>
  <c r="Y3549" i="12"/>
  <c r="X3550" i="12"/>
  <c r="X3551" i="12"/>
  <c r="Y3550" i="12"/>
  <c r="Y3551" i="12"/>
  <c r="X3552" i="12"/>
  <c r="Z19" i="12" a="1"/>
  <c r="Y3552" i="12"/>
  <c r="AA19" i="12" s="1" a="1"/>
  <c r="AA715" i="12" l="1"/>
  <c r="AA3255" i="12"/>
  <c r="AA325" i="12"/>
  <c r="AA1237" i="12"/>
  <c r="AA449" i="12"/>
  <c r="AA3529" i="12"/>
  <c r="AA585" i="12"/>
  <c r="AA1231" i="12"/>
  <c r="AA1468" i="12"/>
  <c r="AA1331" i="12"/>
  <c r="AA572" i="12"/>
  <c r="AA3220" i="12"/>
  <c r="AA3340" i="12"/>
  <c r="AA1641" i="12"/>
  <c r="AA1504" i="12"/>
  <c r="AA337" i="12"/>
  <c r="AA3415" i="12"/>
  <c r="AA2332" i="12"/>
  <c r="AA837" i="12"/>
  <c r="AA447" i="12"/>
  <c r="AA336" i="12"/>
  <c r="AA1862" i="12"/>
  <c r="AA2939" i="12"/>
  <c r="AA1867" i="12"/>
  <c r="AA2927" i="12"/>
  <c r="AA937" i="12"/>
  <c r="AA2268" i="12"/>
  <c r="AA1152" i="12"/>
  <c r="AA3304" i="12"/>
  <c r="AA2238" i="12"/>
  <c r="AA3032" i="12"/>
  <c r="AA208" i="12"/>
  <c r="AA832" i="12"/>
  <c r="AA1674" i="12"/>
  <c r="AA398" i="12"/>
  <c r="AA1334" i="12"/>
  <c r="AA3291" i="12"/>
  <c r="AA878" i="12"/>
  <c r="AA2909" i="12"/>
  <c r="AA505" i="12"/>
  <c r="AA1665" i="12"/>
  <c r="AA984" i="12"/>
  <c r="AA1382" i="12"/>
  <c r="AA2603" i="12"/>
  <c r="AA688" i="12"/>
  <c r="AA903" i="12"/>
  <c r="AA2571" i="12"/>
  <c r="AA3212" i="12"/>
  <c r="AA1474" i="12"/>
  <c r="AA1044" i="12"/>
  <c r="AA1893" i="12"/>
  <c r="AA328" i="12"/>
  <c r="AA1393" i="12"/>
  <c r="AA1098" i="12"/>
  <c r="AA1125" i="12"/>
  <c r="AA2644" i="12"/>
  <c r="AA3186" i="12"/>
  <c r="AA2115" i="12"/>
  <c r="AA1724" i="12"/>
  <c r="AA1517" i="12"/>
  <c r="AA2940" i="12"/>
  <c r="AA2917" i="12"/>
  <c r="AA487" i="12"/>
  <c r="AA241" i="12"/>
  <c r="AA3064" i="12"/>
  <c r="AA3099" i="12"/>
  <c r="AA843" i="12"/>
  <c r="AA609" i="12"/>
  <c r="AA129" i="12"/>
  <c r="AA1392" i="12"/>
  <c r="AA1737" i="12"/>
  <c r="AA266" i="12"/>
  <c r="AA1882" i="12"/>
  <c r="AA1475" i="12"/>
  <c r="AA1452" i="12"/>
  <c r="AA1923" i="12"/>
  <c r="AA1092" i="12"/>
  <c r="AA969" i="12"/>
  <c r="AA3350" i="12"/>
  <c r="AA2781" i="12"/>
  <c r="AA2434" i="12"/>
  <c r="AA562" i="12"/>
  <c r="AA3037" i="12"/>
  <c r="AA1337" i="12"/>
  <c r="AA1300" i="12"/>
  <c r="AA3020" i="12"/>
  <c r="AA2487" i="12"/>
  <c r="AA2484" i="12"/>
  <c r="AA2503" i="12"/>
  <c r="AA1118" i="12"/>
  <c r="AA2176" i="12"/>
  <c r="AA1690" i="12"/>
  <c r="AA2321" i="12"/>
  <c r="AA293" i="12"/>
  <c r="AA2499" i="12"/>
  <c r="AA534" i="12"/>
  <c r="AA446" i="12"/>
  <c r="AA557" i="12"/>
  <c r="AA1035" i="12"/>
  <c r="AA1205" i="12"/>
  <c r="AA3545" i="12"/>
  <c r="AA3339" i="12"/>
  <c r="AA1160" i="12"/>
  <c r="AA2879" i="12"/>
  <c r="AA1134" i="12"/>
  <c r="AA1361" i="12"/>
  <c r="AA3082" i="12"/>
  <c r="AA791" i="12"/>
  <c r="AA747" i="12"/>
  <c r="AA2790" i="12"/>
  <c r="AA1511" i="12"/>
  <c r="AA1549" i="12"/>
  <c r="AA2235" i="12"/>
  <c r="AA2137" i="12"/>
  <c r="AA705" i="12"/>
  <c r="AA2805" i="12"/>
  <c r="AA2230" i="12"/>
  <c r="AA707" i="12"/>
  <c r="AA549" i="12"/>
  <c r="AA2710" i="12"/>
  <c r="AA2445" i="12"/>
  <c r="AA998" i="12"/>
  <c r="AA541" i="12"/>
  <c r="AA3270" i="12"/>
  <c r="AA2830" i="12"/>
  <c r="AA867" i="12"/>
  <c r="AA821" i="12"/>
  <c r="AA3465" i="12"/>
  <c r="AA206" i="12"/>
  <c r="AA2903" i="12"/>
  <c r="AA1451" i="12"/>
  <c r="AA2465" i="12"/>
  <c r="AA1363" i="12"/>
  <c r="AA1461" i="12"/>
  <c r="AA813" i="12"/>
  <c r="AA2417" i="12"/>
  <c r="AA2884" i="12"/>
  <c r="AA2163" i="12"/>
  <c r="AA2293" i="12"/>
  <c r="AA1515" i="12"/>
  <c r="AA551" i="12"/>
  <c r="AA287" i="12"/>
  <c r="AA635" i="12"/>
  <c r="AA936" i="12"/>
  <c r="AA2214" i="12"/>
  <c r="AA2272" i="12"/>
  <c r="AA2142" i="12"/>
  <c r="AA2414" i="12"/>
  <c r="AA1940" i="12"/>
  <c r="AA477" i="12"/>
  <c r="AA789" i="12"/>
  <c r="AA819" i="12"/>
  <c r="AA3007" i="12"/>
  <c r="AA2604" i="12"/>
  <c r="AA1096" i="12"/>
  <c r="AA2730" i="12"/>
  <c r="AA2493" i="12"/>
  <c r="AA2986" i="12"/>
  <c r="AA193" i="12"/>
  <c r="AA99" i="12"/>
  <c r="AA899" i="12"/>
  <c r="AA421" i="12"/>
  <c r="AA2949" i="12"/>
  <c r="AA1845" i="12"/>
  <c r="AA563" i="12"/>
  <c r="AA1593" i="12"/>
  <c r="AA3003" i="12"/>
  <c r="AA799" i="12"/>
  <c r="AA357" i="12"/>
  <c r="AA3258" i="12"/>
  <c r="AA2478" i="12"/>
  <c r="AA2463" i="12"/>
  <c r="AA29" i="12"/>
  <c r="AA2295" i="12"/>
  <c r="AA3368" i="12"/>
  <c r="AA579" i="12"/>
  <c r="AA3462" i="12"/>
  <c r="AA536" i="12"/>
  <c r="AA1759" i="12"/>
  <c r="AA3282" i="12"/>
  <c r="AA3280" i="12"/>
  <c r="AA1275" i="12"/>
  <c r="AA1872" i="12"/>
  <c r="AA3435" i="12"/>
  <c r="AA2199" i="12"/>
  <c r="AA2310" i="12"/>
  <c r="AA890" i="12"/>
  <c r="AA946" i="12"/>
  <c r="AA3365" i="12"/>
  <c r="AA2187" i="12"/>
  <c r="AA3133" i="12"/>
  <c r="AA785" i="12"/>
  <c r="AA1661" i="12"/>
  <c r="AA625" i="12"/>
  <c r="AA881" i="12"/>
  <c r="AA2874" i="12"/>
  <c r="AA3010" i="12"/>
  <c r="AA1327" i="12"/>
  <c r="AA1428" i="12"/>
  <c r="AA2698" i="12"/>
  <c r="AA1154" i="12"/>
  <c r="AA1506" i="12"/>
  <c r="AA3544" i="12"/>
  <c r="AA1716" i="12"/>
  <c r="AA2242" i="12"/>
  <c r="AA1691" i="12"/>
  <c r="AA1213" i="12"/>
  <c r="AA3214" i="12"/>
  <c r="AA1032" i="12"/>
  <c r="AA2588" i="12"/>
  <c r="AA1031" i="12"/>
  <c r="AA485" i="12"/>
  <c r="AA855" i="12"/>
  <c r="AA2105" i="12"/>
  <c r="AA1318" i="12"/>
  <c r="AA1531" i="12"/>
  <c r="AA2158" i="12"/>
  <c r="AA2901" i="12"/>
  <c r="AA1583" i="12"/>
  <c r="AA282" i="12"/>
  <c r="AA379" i="12"/>
  <c r="AA2205" i="12"/>
  <c r="AA771" i="12"/>
  <c r="AA2998" i="12"/>
  <c r="AA2885" i="12"/>
  <c r="AA3399" i="12"/>
  <c r="AA1656" i="12"/>
  <c r="AA1745" i="12"/>
  <c r="AA2364" i="12"/>
  <c r="AA1007" i="12"/>
  <c r="AA1384" i="12"/>
  <c r="AA492" i="12"/>
  <c r="AA731" i="12"/>
  <c r="AA2863" i="12"/>
  <c r="AA1767" i="12"/>
  <c r="AA2085" i="12"/>
  <c r="AA1442" i="12"/>
  <c r="AA2178" i="12"/>
  <c r="AA3392" i="12"/>
  <c r="AA1685" i="12"/>
  <c r="AA3444" i="12"/>
  <c r="AA2246" i="12"/>
  <c r="AA2215" i="12"/>
  <c r="AA1972" i="12"/>
  <c r="AA1022" i="12"/>
  <c r="AA3161" i="12"/>
  <c r="AA145" i="12"/>
  <c r="AA2307" i="12"/>
  <c r="AA1357" i="12"/>
  <c r="AA72" i="12"/>
  <c r="AA2328" i="12"/>
  <c r="AA748" i="12"/>
  <c r="AA3535" i="12"/>
  <c r="AA2452" i="12"/>
  <c r="AA1193" i="12"/>
  <c r="AA2308" i="12"/>
  <c r="AA1989" i="12"/>
  <c r="AA1650" i="12"/>
  <c r="AA2320" i="12"/>
  <c r="AA1643" i="12"/>
  <c r="AA1798" i="12"/>
  <c r="AA702" i="12"/>
  <c r="AA3536" i="12"/>
  <c r="AA1871" i="12"/>
  <c r="AA1943" i="12"/>
  <c r="AA2474" i="12"/>
  <c r="AA1323" i="12"/>
  <c r="AA2646" i="12"/>
  <c r="AA2106" i="12"/>
  <c r="AA1927" i="12"/>
  <c r="AA1692" i="12"/>
  <c r="AA1652" i="12"/>
  <c r="AA1822" i="12"/>
  <c r="AA1135" i="12"/>
  <c r="AA972" i="12"/>
  <c r="AA1929" i="12"/>
  <c r="AA2577" i="12"/>
  <c r="AA2031" i="12"/>
  <c r="AA423" i="12"/>
  <c r="AA521" i="12"/>
  <c r="AA2044" i="12"/>
  <c r="AA180" i="12"/>
  <c r="AA3095" i="12"/>
  <c r="AA2011" i="12"/>
  <c r="AA3499" i="12"/>
  <c r="AA1097" i="12"/>
  <c r="AA1277" i="12"/>
  <c r="AA2979" i="12"/>
  <c r="AA1210" i="12"/>
  <c r="AA1900" i="12"/>
  <c r="AA3128" i="12"/>
  <c r="AA3283" i="12"/>
  <c r="AA1394" i="12"/>
  <c r="AA2744" i="12"/>
  <c r="AA963" i="12"/>
  <c r="AA1963" i="12"/>
  <c r="AA633" i="12"/>
  <c r="AA3209" i="12"/>
  <c r="AA2638" i="12"/>
  <c r="AA957" i="12"/>
  <c r="AA1456" i="12"/>
  <c r="AA2624" i="12"/>
  <c r="AA2036" i="12"/>
  <c r="AA2397" i="12"/>
  <c r="AA2167" i="12"/>
  <c r="AA3440" i="12"/>
  <c r="AA3257" i="12"/>
  <c r="AA2348" i="12"/>
  <c r="AA2728" i="12"/>
  <c r="AA2862" i="12"/>
  <c r="AA473" i="12"/>
  <c r="AA822" i="12"/>
  <c r="AA1293" i="12"/>
  <c r="AA665" i="12"/>
  <c r="AA1512" i="12"/>
  <c r="AA598" i="12"/>
  <c r="AA784" i="12"/>
  <c r="AA1795" i="12"/>
  <c r="AA760" i="12"/>
  <c r="AA2498" i="12"/>
  <c r="AA1799" i="12"/>
  <c r="AA405" i="12"/>
  <c r="AA3006" i="12"/>
  <c r="AA2331" i="12"/>
  <c r="AA506" i="12"/>
  <c r="AA1317" i="12"/>
  <c r="AA187" i="12"/>
  <c r="AA1602" i="12"/>
  <c r="AA2280" i="12"/>
  <c r="AA674" i="12"/>
  <c r="AA976" i="12"/>
  <c r="AA2218" i="12"/>
  <c r="AA606" i="12"/>
  <c r="AA646" i="12"/>
  <c r="AA2148" i="12"/>
  <c r="AA3273" i="12"/>
  <c r="AA2946" i="12"/>
  <c r="AA132" i="12"/>
  <c r="AA3420" i="12"/>
  <c r="AA3404" i="12"/>
  <c r="AA150" i="12"/>
  <c r="AA1541" i="12"/>
  <c r="AA1993" i="12"/>
  <c r="AA841" i="12"/>
  <c r="AA1580" i="12"/>
  <c r="AA1760" i="12"/>
  <c r="AA540" i="12"/>
  <c r="AA1999" i="12"/>
  <c r="AA1802" i="12"/>
  <c r="AA2736" i="12"/>
  <c r="AA3224" i="12"/>
  <c r="AA698" i="12"/>
  <c r="AA1860" i="12"/>
  <c r="AA743" i="12"/>
  <c r="AA472" i="12"/>
  <c r="AA2838" i="12"/>
  <c r="AA2961" i="12"/>
  <c r="AA2304" i="12"/>
  <c r="AA2702" i="12"/>
  <c r="AA270" i="12"/>
  <c r="AA2362" i="12"/>
  <c r="AA1226" i="12"/>
  <c r="AA995" i="12"/>
  <c r="AA3395" i="12"/>
  <c r="AA1878" i="12"/>
  <c r="AA2186" i="12"/>
  <c r="AA1595" i="12"/>
  <c r="AA2769" i="12"/>
  <c r="AA385" i="12"/>
  <c r="AA2050" i="12"/>
  <c r="AA2546" i="12"/>
  <c r="AA3510" i="12"/>
  <c r="AA1704" i="12"/>
  <c r="AA1694" i="12"/>
  <c r="AA2262" i="12"/>
  <c r="AA401" i="12"/>
  <c r="AA1751" i="12"/>
  <c r="AA1499" i="12"/>
  <c r="AA2929" i="12"/>
  <c r="AA1818" i="12"/>
  <c r="AA1958" i="12"/>
  <c r="AA182" i="12"/>
  <c r="AA244" i="12"/>
  <c r="AA2677" i="12"/>
  <c r="AA2023" i="12"/>
  <c r="AA3276" i="12"/>
  <c r="AA669" i="12"/>
  <c r="AA315" i="12"/>
  <c r="AA1127" i="12"/>
  <c r="AA659" i="12"/>
  <c r="AA1188" i="12"/>
  <c r="AA215" i="12"/>
  <c r="AA334" i="12"/>
  <c r="AA2521" i="12"/>
  <c r="AA2726" i="12"/>
  <c r="AA1253" i="12"/>
  <c r="AA86" i="12"/>
  <c r="AA3140" i="12"/>
  <c r="AA3359" i="12"/>
  <c r="AA2579" i="12"/>
  <c r="AA147" i="12"/>
  <c r="AA2513" i="12"/>
  <c r="AA1629" i="12"/>
  <c r="AA735" i="12"/>
  <c r="AA943" i="12"/>
  <c r="AA672" i="12"/>
  <c r="AA2385" i="12"/>
  <c r="AA39" i="12"/>
  <c r="AA1307" i="12"/>
  <c r="AA2714" i="12"/>
  <c r="AA961" i="12"/>
  <c r="AA989" i="12"/>
  <c r="AA3057" i="12"/>
  <c r="AA3357" i="12"/>
  <c r="AA3274" i="12"/>
  <c r="AA3204" i="12"/>
  <c r="AA1919" i="12"/>
  <c r="AA1926" i="12"/>
  <c r="AA2177" i="12"/>
  <c r="AA1408" i="12"/>
  <c r="AA2311" i="12"/>
  <c r="AA3425" i="12"/>
  <c r="AA3551" i="12"/>
  <c r="AA3207" i="12"/>
  <c r="AA2469" i="12"/>
  <c r="AA3388" i="12"/>
  <c r="AA1419" i="12"/>
  <c r="AA1887" i="12"/>
  <c r="AA1003" i="12"/>
  <c r="AA1857" i="12"/>
  <c r="AA1527" i="12"/>
  <c r="AA1866" i="12"/>
  <c r="AA1970" i="12"/>
  <c r="AA2772" i="12"/>
  <c r="AA3045" i="12"/>
  <c r="AA3223" i="12"/>
  <c r="AA409" i="12"/>
  <c r="AA1405" i="12"/>
  <c r="AA1197" i="12"/>
  <c r="AA341" i="12"/>
  <c r="AA713" i="12"/>
  <c r="AA159" i="12"/>
  <c r="AA1075" i="12"/>
  <c r="AA2599" i="12"/>
  <c r="AA3377" i="12"/>
  <c r="AA2876" i="12"/>
  <c r="AA2509" i="12"/>
  <c r="AA2376" i="12"/>
  <c r="AA1651" i="12"/>
  <c r="AA2532" i="12"/>
  <c r="AA1525" i="12"/>
  <c r="AA2690" i="12"/>
  <c r="AA2958" i="12"/>
  <c r="AA3093" i="12"/>
  <c r="AA1296" i="12"/>
  <c r="AA296" i="12"/>
  <c r="AA3483" i="12"/>
  <c r="AA3474" i="12"/>
  <c r="AA1259" i="12"/>
  <c r="AA139" i="12"/>
  <c r="AA3323" i="12"/>
  <c r="AA3527" i="12"/>
  <c r="AA246" i="12"/>
  <c r="AA3071" i="12"/>
  <c r="AA56" i="12"/>
  <c r="AA338" i="12"/>
  <c r="AA1083" i="12"/>
  <c r="AA2514" i="12"/>
  <c r="AA3532" i="12"/>
  <c r="AA1934" i="12"/>
  <c r="AA346" i="12"/>
  <c r="AA1810" i="12"/>
  <c r="AA444" i="12"/>
  <c r="AA3423" i="12"/>
  <c r="AA2077" i="12"/>
  <c r="AA2840" i="12"/>
  <c r="AA3156" i="12"/>
  <c r="AA3246" i="12"/>
  <c r="AA2374" i="12"/>
  <c r="AA2719" i="12"/>
  <c r="AA1404" i="12"/>
  <c r="AA2121" i="12"/>
  <c r="AA2382" i="12"/>
  <c r="AA1956" i="12"/>
  <c r="AA3180" i="12"/>
  <c r="AA2458" i="12"/>
  <c r="AA2990" i="12"/>
  <c r="AA1533" i="12"/>
  <c r="AA2001" i="12"/>
  <c r="AA2773" i="12"/>
  <c r="AA3115" i="12"/>
  <c r="AA2567" i="12"/>
  <c r="AA851" i="12"/>
  <c r="AA900" i="12"/>
  <c r="AA3370" i="12"/>
  <c r="AA859" i="12"/>
  <c r="AA908" i="12"/>
  <c r="AA611" i="12"/>
  <c r="AA1829" i="12"/>
  <c r="AA661" i="12"/>
  <c r="AA1159" i="12"/>
  <c r="AA363" i="12"/>
  <c r="AA1568" i="12"/>
  <c r="AA3278" i="12"/>
  <c r="AA2617" i="12"/>
  <c r="AA430" i="12"/>
  <c r="AA2224" i="12"/>
  <c r="AA2029" i="12"/>
  <c r="AA1302" i="12"/>
  <c r="AA366" i="12"/>
  <c r="AA1459" i="12"/>
  <c r="AA2322" i="12"/>
  <c r="AA1400" i="12"/>
  <c r="AA3124" i="12"/>
  <c r="AA2365" i="12"/>
  <c r="AA2707" i="12"/>
  <c r="AA1060" i="12"/>
  <c r="AA3343" i="12"/>
  <c r="AA2318" i="12"/>
  <c r="AA481" i="12"/>
  <c r="AA2430" i="12"/>
  <c r="AA149" i="12"/>
  <c r="AA1067" i="12"/>
  <c r="AA581" i="12"/>
  <c r="AA1730" i="12"/>
  <c r="AA2114" i="12"/>
  <c r="AA1809" i="12"/>
  <c r="AA3243" i="12"/>
  <c r="AA988" i="12"/>
  <c r="AA560" i="12"/>
  <c r="AA617" i="12"/>
  <c r="AA1743" i="12"/>
  <c r="AA729" i="12"/>
  <c r="AA2889" i="12"/>
  <c r="AA1114" i="12"/>
  <c r="AA858" i="12"/>
  <c r="AA770" i="12"/>
  <c r="AA2568" i="12"/>
  <c r="AA539" i="12"/>
  <c r="AA2381" i="12"/>
  <c r="AA285" i="12"/>
  <c r="AA1715" i="12"/>
  <c r="AA2888" i="12"/>
  <c r="AA3226" i="12"/>
  <c r="AA2620" i="12"/>
  <c r="AA397" i="12"/>
  <c r="AA1676" i="12"/>
  <c r="AA163" i="12"/>
  <c r="AA2650" i="12"/>
  <c r="AA3079" i="12"/>
  <c r="AA286" i="12"/>
  <c r="AA3217" i="12"/>
  <c r="AA1768" i="12"/>
  <c r="AA3429" i="12"/>
  <c r="AA2754" i="12"/>
  <c r="AA745" i="12"/>
  <c r="AA588" i="12"/>
  <c r="AA862" i="12"/>
  <c r="AA3403" i="12"/>
  <c r="AA1418" i="12"/>
  <c r="AA1817" i="12"/>
  <c r="AA1814" i="12"/>
  <c r="AA493" i="12"/>
  <c r="AA3070" i="12"/>
  <c r="AA2857" i="12"/>
  <c r="AA3038" i="12"/>
  <c r="AA2325" i="12"/>
  <c r="AA89" i="12"/>
  <c r="AA1524" i="12"/>
  <c r="AA798" i="12"/>
  <c r="AA1322" i="12"/>
  <c r="AA1429" i="12"/>
  <c r="AA2887" i="12"/>
  <c r="AA1255" i="12"/>
  <c r="AA242" i="12"/>
  <c r="AA1431" i="12"/>
  <c r="AA3358" i="12"/>
  <c r="AA2126" i="12"/>
  <c r="AA1238" i="12"/>
  <c r="AA350" i="12"/>
  <c r="AA2180" i="12"/>
  <c r="AA1055" i="12"/>
  <c r="AA3445" i="12"/>
  <c r="AA2758" i="12"/>
  <c r="AA1693" i="12"/>
  <c r="AA1025" i="12"/>
  <c r="AA91" i="12"/>
  <c r="AA614" i="12"/>
  <c r="AA2403" i="12"/>
  <c r="AA1079" i="12"/>
  <c r="AA3309" i="12"/>
  <c r="AA3050" i="12"/>
  <c r="AA2660" i="12"/>
  <c r="AA2055" i="12"/>
  <c r="AA2971" i="12"/>
  <c r="AA1885" i="12"/>
  <c r="AA1847" i="12"/>
  <c r="AA696" i="12"/>
  <c r="AA1678" i="12"/>
  <c r="AA1603" i="12"/>
  <c r="AA1049" i="12"/>
  <c r="AA2545" i="12"/>
  <c r="AA1975" i="12"/>
  <c r="AA758" i="12"/>
  <c r="AA1246" i="12"/>
  <c r="AA564" i="12"/>
  <c r="AA1009" i="12"/>
  <c r="AA3345" i="12"/>
  <c r="AA833" i="12"/>
  <c r="AA1364" i="12"/>
  <c r="AA1621" i="12"/>
  <c r="AA2630" i="12"/>
  <c r="AA2731" i="12"/>
  <c r="AA1725" i="12"/>
  <c r="AA3468" i="12"/>
  <c r="AA3517" i="12"/>
  <c r="AA1591" i="12"/>
  <c r="AA3329" i="12"/>
  <c r="AA2005" i="12"/>
  <c r="AA2264" i="12"/>
  <c r="AA2335" i="12"/>
  <c r="AA1333" i="12"/>
  <c r="AA803" i="12"/>
  <c r="AA2851" i="12"/>
  <c r="AA3500" i="12"/>
  <c r="AA478" i="12"/>
  <c r="AA1128" i="12"/>
  <c r="AA2655" i="12"/>
  <c r="AA2637" i="12"/>
  <c r="AA1492" i="12"/>
  <c r="AA2951" i="12"/>
  <c r="AA3103" i="12"/>
  <c r="AA3187" i="12"/>
  <c r="AA1968" i="12"/>
  <c r="AA3269" i="12"/>
  <c r="AA2165" i="12"/>
  <c r="AA103" i="12"/>
  <c r="AA865" i="12"/>
  <c r="AA2899" i="12"/>
  <c r="AA1570" i="12"/>
  <c r="AA3356" i="12"/>
  <c r="AA718" i="12"/>
  <c r="AA1898" i="12"/>
  <c r="AA2113" i="12"/>
  <c r="AA1623" i="12"/>
  <c r="AA1194" i="12"/>
  <c r="AA3504" i="12"/>
  <c r="AA933" i="12"/>
  <c r="AA1104" i="12"/>
  <c r="AA3550" i="12"/>
  <c r="AA1088" i="12"/>
  <c r="AA232" i="12"/>
  <c r="AA1249" i="12"/>
  <c r="AA111" i="12"/>
  <c r="AA2706" i="12"/>
  <c r="AA2576" i="12"/>
  <c r="AA2156" i="12"/>
  <c r="AA2352" i="12"/>
  <c r="AA1904" i="12"/>
  <c r="AA3526" i="12"/>
  <c r="AA1062" i="12"/>
  <c r="AA80" i="12"/>
  <c r="AA553" i="12"/>
  <c r="AA2043" i="12"/>
  <c r="AA902" i="12"/>
  <c r="AA2747" i="12"/>
  <c r="AA2030" i="12"/>
  <c r="AA166" i="12"/>
  <c r="AA694" i="12"/>
  <c r="AA2356" i="12"/>
  <c r="AA1682" i="12"/>
  <c r="AA2248" i="12"/>
  <c r="AA602" i="12"/>
  <c r="AA2153" i="12"/>
  <c r="AA1828" i="12"/>
  <c r="AA2762" i="12"/>
  <c r="AA2346" i="12"/>
  <c r="AA2336" i="12"/>
  <c r="AA1877" i="12"/>
  <c r="AA1740" i="12"/>
  <c r="AA1559" i="12"/>
  <c r="AA1553" i="12"/>
  <c r="AA544" i="12"/>
  <c r="AA371" i="12"/>
  <c r="AA638" i="12"/>
  <c r="AA2206" i="12"/>
  <c r="AA51" i="12"/>
  <c r="AA2686" i="12"/>
  <c r="AA367" i="12"/>
  <c r="AA1551" i="12"/>
  <c r="AA1362" i="12"/>
  <c r="AA1765" i="12"/>
  <c r="AA200" i="12"/>
  <c r="AA1800" i="12"/>
  <c r="AA2225" i="12"/>
  <c r="AA2053" i="12"/>
  <c r="AA622" i="12"/>
  <c r="AA49" i="12"/>
  <c r="AA1064" i="12"/>
  <c r="AA1683" i="12"/>
  <c r="AA2974" i="12"/>
  <c r="AA1244" i="12"/>
  <c r="AA2614" i="12"/>
  <c r="AA1312" i="12"/>
  <c r="AA3042" i="12"/>
  <c r="AA651" i="12"/>
  <c r="AA1949" i="12"/>
  <c r="AA2601" i="12"/>
  <c r="AA2342" i="12"/>
  <c r="AA3104" i="12"/>
  <c r="AA3473" i="12"/>
  <c r="AA1498" i="12"/>
  <c r="AA1383" i="12"/>
  <c r="AA1522" i="12"/>
  <c r="AA66" i="12"/>
  <c r="AA2496" i="12"/>
  <c r="AA1037" i="12"/>
  <c r="AA1874" i="12"/>
  <c r="AA1796" i="12"/>
  <c r="AA2020" i="12"/>
  <c r="AA2523" i="12"/>
  <c r="AA1469" i="12"/>
  <c r="AA152" i="12"/>
  <c r="AA295" i="12"/>
  <c r="AA3072" i="12"/>
  <c r="AA925" i="12"/>
  <c r="AA1912" i="12"/>
  <c r="AA3493" i="12"/>
  <c r="AA486" i="12"/>
  <c r="AA2409" i="12"/>
  <c r="AA3355" i="12"/>
  <c r="AA419" i="12"/>
  <c r="AA952" i="12"/>
  <c r="AA2764" i="12"/>
  <c r="AA2273" i="12"/>
  <c r="AA281" i="12"/>
  <c r="AA699" i="12"/>
  <c r="AA2942" i="12"/>
  <c r="AA3424" i="12"/>
  <c r="AA1510" i="12"/>
  <c r="AA2197" i="12"/>
  <c r="AA923" i="12"/>
  <c r="AA32" i="12"/>
  <c r="AA263" i="12"/>
  <c r="AA807" i="12"/>
  <c r="AA962" i="12"/>
  <c r="AA733" i="12"/>
  <c r="AA782" i="12"/>
  <c r="AA2739" i="12"/>
  <c r="AA2211" i="12"/>
  <c r="AA2250" i="12"/>
  <c r="AA3481" i="12"/>
  <c r="AA1773" i="12"/>
  <c r="AA2556" i="12"/>
  <c r="AA1464" i="12"/>
  <c r="AA1227" i="12"/>
  <c r="AA3364" i="12"/>
  <c r="AA596" i="12"/>
  <c r="AA412" i="12"/>
  <c r="AA907" i="12"/>
  <c r="AA608" i="12"/>
  <c r="AA568" i="12"/>
  <c r="AA3521" i="12"/>
  <c r="AA2281" i="12"/>
  <c r="AA2112" i="12"/>
  <c r="AA1129" i="12"/>
  <c r="AA2068" i="12"/>
  <c r="AA917" i="12"/>
  <c r="AA756" i="12"/>
  <c r="AA3076" i="12"/>
  <c r="AA306" i="12"/>
  <c r="AA2066" i="12"/>
  <c r="AA100" i="12"/>
  <c r="AA1516" i="12"/>
  <c r="AA1449" i="12"/>
  <c r="AA1124" i="12"/>
  <c r="AA217" i="12"/>
  <c r="AA3125" i="12"/>
  <c r="AA1455" i="12"/>
  <c r="AA1905" i="12"/>
  <c r="AA3486" i="12"/>
  <c r="AA1126" i="12"/>
  <c r="AA3046" i="12"/>
  <c r="AA805" i="12"/>
  <c r="AA2995" i="12"/>
  <c r="AA898" i="12"/>
  <c r="AA2969" i="12"/>
  <c r="AA2631" i="12"/>
  <c r="AA1771" i="12"/>
  <c r="AA1485" i="12"/>
  <c r="AA1247" i="12"/>
  <c r="AA3453" i="12"/>
  <c r="AA2226" i="12"/>
  <c r="AA2705" i="12"/>
  <c r="AA2424" i="12"/>
  <c r="AA1108" i="12"/>
  <c r="AA2799" i="12"/>
  <c r="AA647" i="12"/>
  <c r="AA2190" i="12"/>
  <c r="AA3096" i="12"/>
  <c r="AA2560" i="12"/>
  <c r="AA1959" i="12"/>
  <c r="AA3149" i="12"/>
  <c r="AA993" i="12"/>
  <c r="AA2854" i="12"/>
  <c r="AA1803" i="12"/>
  <c r="AA3005" i="12"/>
  <c r="AA195" i="12"/>
  <c r="AA882" i="12"/>
  <c r="AA1600" i="12"/>
  <c r="AA3029" i="12"/>
  <c r="AA2535" i="12"/>
  <c r="AA2258" i="12"/>
  <c r="AA1574" i="12"/>
  <c r="AA95" i="12"/>
  <c r="AA1169" i="12"/>
  <c r="AA589" i="12"/>
  <c r="AA3441" i="12"/>
  <c r="AA1577" i="12"/>
  <c r="AA1375" i="12"/>
  <c r="AA2926" i="12"/>
  <c r="AA2117" i="12"/>
  <c r="AA3234" i="12"/>
  <c r="AA2081" i="12"/>
  <c r="AA2334" i="12"/>
  <c r="AA1483" i="12"/>
  <c r="AA22" i="12"/>
  <c r="AA1353" i="12"/>
  <c r="AA2976" i="12"/>
  <c r="AA797" i="12"/>
  <c r="AA1301" i="12"/>
  <c r="AA3202" i="12"/>
  <c r="AA2970" i="12"/>
  <c r="AA1209" i="12"/>
  <c r="AA395" i="12"/>
  <c r="AA1528" i="12"/>
  <c r="AA467" i="12"/>
  <c r="AA2251" i="12"/>
  <c r="AA3471" i="12"/>
  <c r="AA3047" i="12"/>
  <c r="AA755" i="12"/>
  <c r="AA231" i="12"/>
  <c r="AA427" i="12"/>
  <c r="AA260" i="12"/>
  <c r="AA3518" i="12"/>
  <c r="AA3138" i="12"/>
  <c r="AA1311" i="12"/>
  <c r="AA298" i="12"/>
  <c r="AA442" i="12"/>
  <c r="AA2912" i="12"/>
  <c r="AA1479" i="12"/>
  <c r="AA2954" i="12"/>
  <c r="AA528" i="12"/>
  <c r="AA1579" i="12"/>
  <c r="AA1069" i="12"/>
  <c r="AA2162" i="12"/>
  <c r="AA926" i="12"/>
  <c r="AA223" i="12"/>
  <c r="AA2948" i="12"/>
  <c r="AA3381" i="12"/>
  <c r="AA3193" i="12"/>
  <c r="AA1486" i="12"/>
  <c r="AA887" i="12"/>
  <c r="AA2610" i="12"/>
  <c r="AA1343" i="12"/>
  <c r="AA2819" i="12"/>
  <c r="AA1554" i="12"/>
  <c r="AA2792" i="12"/>
  <c r="AA3144" i="12"/>
  <c r="AA3190" i="12"/>
  <c r="AA1607" i="12"/>
  <c r="AA3491" i="12"/>
  <c r="AA627" i="12"/>
  <c r="AA1952" i="12"/>
  <c r="AA960" i="12"/>
  <c r="AA781" i="12"/>
  <c r="AA1164" i="12"/>
  <c r="AA1338" i="12"/>
  <c r="AA1546" i="12"/>
  <c r="AA2550" i="12"/>
  <c r="AA2748" i="12"/>
  <c r="AA514" i="12"/>
  <c r="AA2842" i="12"/>
  <c r="AA3024" i="12"/>
  <c r="AA2436" i="12"/>
  <c r="AA1592" i="12"/>
  <c r="AA1266" i="12"/>
  <c r="AA84" i="12"/>
  <c r="AA465" i="12"/>
  <c r="AA3148" i="12"/>
  <c r="AA3000" i="12"/>
  <c r="AA1631" i="12"/>
  <c r="AA934" i="12"/>
  <c r="AA1024" i="12"/>
  <c r="AA332" i="12"/>
  <c r="AA2058" i="12"/>
  <c r="AA761" i="12"/>
  <c r="AA1805" i="12"/>
  <c r="AA2597" i="12"/>
  <c r="AA2278" i="12"/>
  <c r="AA2500" i="12"/>
  <c r="AA850" i="12"/>
  <c r="AA2284" i="12"/>
  <c r="AA1158" i="12"/>
  <c r="AA2635" i="12"/>
  <c r="AA3382" i="12"/>
  <c r="AA556" i="12"/>
  <c r="AA2024" i="12"/>
  <c r="AA3530" i="12"/>
  <c r="AA2653" i="12"/>
  <c r="AA2902" i="12"/>
  <c r="AA1910" i="12"/>
  <c r="AA1436" i="12"/>
  <c r="AA2659" i="12"/>
  <c r="AA885" i="12"/>
  <c r="AA3507" i="12"/>
  <c r="AA2583" i="12"/>
  <c r="AA750" i="12"/>
  <c r="AA879" i="12"/>
  <c r="AA124" i="12"/>
  <c r="AA1006" i="12"/>
  <c r="AA482" i="12"/>
  <c r="AA495" i="12"/>
  <c r="AA1709" i="12"/>
  <c r="AA2812" i="12"/>
  <c r="AA911" i="12"/>
  <c r="AA2371" i="12"/>
  <c r="AA3538" i="12"/>
  <c r="AA3334" i="12"/>
  <c r="AA2021" i="12"/>
  <c r="AA168" i="12"/>
  <c r="AA2127" i="12"/>
  <c r="AA1987" i="12"/>
  <c r="AA1670" i="12"/>
  <c r="AA1598" i="12"/>
  <c r="AA1961" i="12"/>
  <c r="AA1235" i="12"/>
  <c r="AA2741" i="12"/>
  <c r="AA769" i="12"/>
  <c r="AA74" i="12"/>
  <c r="AA722" i="12"/>
  <c r="AA671" i="12"/>
  <c r="AA2016" i="12"/>
  <c r="AA2520" i="12"/>
  <c r="AA2522" i="12"/>
  <c r="AA1596" i="12"/>
  <c r="AA2454" i="12"/>
  <c r="AA2014" i="12"/>
  <c r="AA2955" i="12"/>
  <c r="AA766" i="12"/>
  <c r="AA2089" i="12"/>
  <c r="AA2559" i="12"/>
  <c r="AA2255" i="12"/>
  <c r="AA2775" i="12"/>
  <c r="AA53" i="12"/>
  <c r="AA2400" i="12"/>
  <c r="AA1774" i="12"/>
  <c r="AA2069" i="12"/>
  <c r="AA928" i="12"/>
  <c r="AA3533" i="12"/>
  <c r="AA571" i="12"/>
  <c r="AA942" i="12"/>
  <c r="AA912" i="12"/>
  <c r="AA836" i="12"/>
  <c r="AA85" i="12"/>
  <c r="AA256" i="12"/>
  <c r="AA1033" i="12"/>
  <c r="AA1842" i="12"/>
  <c r="AA3487" i="12"/>
  <c r="AA314" i="12"/>
  <c r="AA276" i="12"/>
  <c r="AA1552" i="12"/>
  <c r="AA271" i="12"/>
  <c r="AA1717" i="12"/>
  <c r="AA353" i="12"/>
  <c r="AA1493" i="12"/>
  <c r="AA3522" i="12"/>
  <c r="AA1441" i="12"/>
  <c r="AA673" i="12"/>
  <c r="AA81" i="12"/>
  <c r="AA2989" i="12"/>
  <c r="AA480" i="12"/>
  <c r="AA1282" i="12"/>
  <c r="AA369" i="12"/>
  <c r="AA3531" i="12"/>
  <c r="AA197" i="12"/>
  <c r="AA1875" i="12"/>
  <c r="AA2128" i="12"/>
  <c r="AA1406" i="12"/>
  <c r="AA1611" i="12"/>
  <c r="AA685" i="12"/>
  <c r="AA125" i="12"/>
  <c r="AA919" i="12"/>
  <c r="AA162" i="12"/>
  <c r="AA512" i="12"/>
  <c r="AA2439" i="12"/>
  <c r="AA3541" i="12"/>
  <c r="AA1304" i="12"/>
  <c r="AA2872" i="12"/>
  <c r="AA2964" i="12"/>
  <c r="AA2179" i="12"/>
  <c r="AA88" i="12"/>
  <c r="AA2143" i="12"/>
  <c r="AA1677" i="12"/>
  <c r="AA1488" i="12"/>
  <c r="AA2270" i="12"/>
  <c r="AA826" i="12"/>
  <c r="AA3085" i="12"/>
  <c r="AA958" i="12"/>
  <c r="AA1107" i="12"/>
  <c r="AA490" i="12"/>
  <c r="AA3181" i="12"/>
  <c r="AA658" i="12"/>
  <c r="AA2378" i="12"/>
  <c r="AA1513" i="12"/>
  <c r="AA922" i="12"/>
  <c r="AA3119" i="12"/>
  <c r="AA1540" i="12"/>
  <c r="AA1085" i="12"/>
  <c r="AA1219" i="12"/>
  <c r="AA1497" i="12"/>
  <c r="AA3281" i="12"/>
  <c r="AA3318" i="12"/>
  <c r="AA2795" i="12"/>
  <c r="AA3151" i="12"/>
  <c r="AA1883" i="12"/>
  <c r="AA1422" i="12"/>
  <c r="AA2329" i="12"/>
  <c r="AA2587" i="12"/>
  <c r="AA686" i="12"/>
  <c r="AA46" i="12"/>
  <c r="AA1748" i="12"/>
  <c r="AA2294" i="12"/>
  <c r="AA3349" i="12"/>
  <c r="AA3421" i="12"/>
  <c r="AA2283" i="12"/>
  <c r="AA3044" i="12"/>
  <c r="AA123" i="12"/>
  <c r="AA3242" i="12"/>
  <c r="AA1214" i="12"/>
  <c r="AA1545" i="12"/>
  <c r="AA2633" i="12"/>
  <c r="AA3015" i="12"/>
  <c r="AA1731" i="12"/>
  <c r="AA717" i="12"/>
  <c r="AA117" i="12"/>
  <c r="AA1487" i="12"/>
  <c r="AA530" i="12"/>
  <c r="AA308" i="12"/>
  <c r="AA2602" i="12"/>
  <c r="AA2209" i="12"/>
  <c r="AA1080" i="12"/>
  <c r="AA3118" i="12"/>
  <c r="AA1090" i="12"/>
  <c r="AA1672" i="12"/>
  <c r="AA1820" i="12"/>
  <c r="AA2897" i="12"/>
  <c r="AA3122" i="12"/>
  <c r="AA2665" i="12"/>
  <c r="AA2914" i="12"/>
  <c r="AA1320" i="12"/>
  <c r="AA3312" i="12"/>
  <c r="AA2370" i="12"/>
  <c r="AA228" i="12"/>
  <c r="AA734" i="12"/>
  <c r="AA1387" i="12"/>
  <c r="AA1330" i="12"/>
  <c r="AA1206" i="12"/>
  <c r="AA2977" i="12"/>
  <c r="AA3113" i="12"/>
  <c r="AA623" i="12"/>
  <c r="AA3098" i="12"/>
  <c r="AA272" i="12"/>
  <c r="AA347" i="12"/>
  <c r="AA550" i="12"/>
  <c r="AA1176" i="12"/>
  <c r="AA3549" i="12"/>
  <c r="AA3353" i="12"/>
  <c r="AA874" i="12"/>
  <c r="AA2882" i="12"/>
  <c r="AA2573" i="12"/>
  <c r="AA1755" i="12"/>
  <c r="AA1620" i="12"/>
  <c r="AA3094" i="12"/>
  <c r="AA2664" i="12"/>
  <c r="AA1437" i="12"/>
  <c r="AA953" i="12"/>
  <c r="AA2172" i="12"/>
  <c r="AA2261" i="12"/>
  <c r="AA2138" i="12"/>
  <c r="AA2972" i="12"/>
  <c r="AA2149" i="12"/>
  <c r="AA1578" i="12"/>
  <c r="AA1143" i="12"/>
  <c r="AA2742" i="12"/>
  <c r="AA1648" i="12"/>
  <c r="AA806" i="12"/>
  <c r="AA3478" i="12"/>
  <c r="AA1843" i="12"/>
  <c r="AA2682" i="12"/>
  <c r="AA3523" i="12"/>
  <c r="AA1980" i="12"/>
  <c r="AA1017" i="12"/>
  <c r="AA2561" i="12"/>
  <c r="AA2618" i="12"/>
  <c r="AA3305" i="12"/>
  <c r="AA1195" i="12"/>
  <c r="AA1953" i="12"/>
  <c r="AA1120" i="12"/>
  <c r="AA3514" i="12"/>
  <c r="AA61" i="12"/>
  <c r="AA2991" i="12"/>
  <c r="AA1257" i="12"/>
  <c r="AA2191" i="12"/>
  <c r="AA2771" i="12"/>
  <c r="AA431" i="12"/>
  <c r="AA47" i="12"/>
  <c r="AA1170" i="12"/>
  <c r="AA2680" i="12"/>
  <c r="AA235" i="12"/>
  <c r="AA2988" i="12"/>
  <c r="AA1991" i="12"/>
  <c r="AA2632" i="12"/>
  <c r="AA3324" i="12"/>
  <c r="AA3410" i="12"/>
  <c r="AA1368" i="12"/>
  <c r="AA804" i="12"/>
  <c r="AA3475" i="12"/>
  <c r="AA288" i="12"/>
  <c r="AA3153" i="12"/>
  <c r="AA645" i="12"/>
  <c r="AA2626" i="12"/>
  <c r="AA1191" i="12"/>
  <c r="AA1399" i="12"/>
  <c r="AA3426" i="12"/>
  <c r="AA1373" i="12"/>
  <c r="AA1342" i="12"/>
  <c r="AA3244" i="12"/>
  <c r="AA987" i="12"/>
  <c r="AA2623" i="12"/>
  <c r="AA1902" i="12"/>
  <c r="AA1073" i="12"/>
  <c r="AA3387" i="12"/>
  <c r="AA1736" i="12"/>
  <c r="AA2817" i="12"/>
  <c r="AA775" i="12"/>
  <c r="AA1928" i="12"/>
  <c r="AA1594" i="12"/>
  <c r="AA2316" i="12"/>
  <c r="AA317" i="12"/>
  <c r="AA491" i="12"/>
  <c r="AA985" i="12"/>
  <c r="AA1908" i="12"/>
  <c r="AA2628" i="12"/>
  <c r="AA2586" i="12"/>
  <c r="AA1151" i="12"/>
  <c r="AA247" i="12"/>
  <c r="AA48" i="12"/>
  <c r="AA1242" i="12"/>
  <c r="AA1105" i="12"/>
  <c r="AA1616" i="12"/>
  <c r="AA1427" i="12"/>
  <c r="AA248" i="12"/>
  <c r="AA3251" i="12"/>
  <c r="AA2975" i="12"/>
  <c r="AA2222" i="12"/>
  <c r="AA267" i="12"/>
  <c r="AA60" i="12"/>
  <c r="AA1180" i="12"/>
  <c r="AA250" i="12"/>
  <c r="AA365" i="12"/>
  <c r="AA2471" i="12"/>
  <c r="AA738" i="12"/>
  <c r="AA1749" i="12"/>
  <c r="AA3508" i="12"/>
  <c r="AA1572" i="12"/>
  <c r="AA691" i="12"/>
  <c r="AA3298" i="12"/>
  <c r="AA3253" i="12"/>
  <c r="AA1263" i="12"/>
  <c r="AA2042" i="12"/>
  <c r="AA1794" i="12"/>
  <c r="AA3097" i="12"/>
  <c r="AA779" i="12"/>
  <c r="AA1070" i="12"/>
  <c r="AA1571" i="12"/>
  <c r="AA1675" i="12"/>
  <c r="AA1892" i="12"/>
  <c r="AA3233" i="12"/>
  <c r="AA1720" i="12"/>
  <c r="AA639" i="12"/>
  <c r="AA2536" i="12"/>
  <c r="AA2208" i="12"/>
  <c r="AA2594" i="12"/>
  <c r="AA1224" i="12"/>
  <c r="AA406" i="12"/>
  <c r="AA2096" i="12"/>
  <c r="AA1815" i="12"/>
  <c r="AA483" i="12"/>
  <c r="AA1744" i="12"/>
  <c r="AA3386" i="12"/>
  <c r="AA2648" i="12"/>
  <c r="AA1563" i="12"/>
  <c r="AA1356" i="12"/>
  <c r="AA2987" i="12"/>
  <c r="AA1149" i="12"/>
  <c r="AA2734" i="12"/>
  <c r="AA262" i="12"/>
  <c r="AA1377" i="12"/>
  <c r="AA114" i="12"/>
  <c r="AA1091" i="12"/>
  <c r="AA2039" i="12"/>
  <c r="AA1981" i="12"/>
  <c r="AA2506" i="12"/>
  <c r="AA2957" i="12"/>
  <c r="AA3166" i="12"/>
  <c r="AA3106" i="12"/>
  <c r="AA3171" i="12"/>
  <c r="AA693" i="12"/>
  <c r="AA64" i="12"/>
  <c r="AA1561" i="12"/>
  <c r="AA500" i="12"/>
  <c r="AA165" i="12"/>
  <c r="AA2720" i="12"/>
  <c r="AA687" i="12"/>
  <c r="AA185" i="12"/>
  <c r="AA2784" i="12"/>
  <c r="AA146" i="12"/>
  <c r="AA1806" i="12"/>
  <c r="AA1826" i="12"/>
  <c r="AA79" i="12"/>
  <c r="AA2200" i="12"/>
  <c r="AA1207" i="12"/>
  <c r="AA2140" i="12"/>
  <c r="AA109" i="12"/>
  <c r="AA1291" i="12"/>
  <c r="AA461" i="12"/>
  <c r="AA2358" i="12"/>
  <c r="AA2004" i="12"/>
  <c r="AA2079" i="12"/>
  <c r="AA1489" i="12"/>
  <c r="AA1521" i="12"/>
  <c r="AA3348" i="12"/>
  <c r="AA3458" i="12"/>
  <c r="AA3322" i="12"/>
  <c r="AA2290" i="12"/>
  <c r="AA2898" i="12"/>
  <c r="AA2941" i="12"/>
  <c r="AA1848" i="12"/>
  <c r="AA1535" i="12"/>
  <c r="AA55" i="12"/>
  <c r="AA2357" i="12"/>
  <c r="AA2061" i="12"/>
  <c r="AA2243" i="12"/>
  <c r="AA2789" i="12"/>
  <c r="AA1786" i="12"/>
  <c r="AA2816" i="12"/>
  <c r="AA2095" i="12"/>
  <c r="AA2431" i="12"/>
  <c r="AA190" i="12"/>
  <c r="AA300" i="12"/>
  <c r="AA1619" i="12"/>
  <c r="AA909" i="12"/>
  <c r="AA3227" i="12"/>
  <c r="AA654" i="12"/>
  <c r="AA1268" i="12"/>
  <c r="AA538" i="12"/>
  <c r="AA1020" i="12"/>
  <c r="AA1472" i="12"/>
  <c r="AA1112" i="12"/>
  <c r="AA148" i="12"/>
  <c r="AA2592" i="12"/>
  <c r="AA3516" i="12"/>
  <c r="AA932" i="12"/>
  <c r="AA1588" i="12"/>
  <c r="AA2918" i="12"/>
  <c r="AA2551" i="12"/>
  <c r="AA1741" i="12"/>
  <c r="AA666" i="12"/>
  <c r="AA3068" i="12"/>
  <c r="AA2002" i="12"/>
  <c r="AA2271" i="12"/>
  <c r="AA3513" i="12"/>
  <c r="AA1864" i="12"/>
  <c r="AA362" i="12"/>
  <c r="AA1997" i="12"/>
  <c r="AA3009" i="12"/>
  <c r="AA1163" i="12"/>
  <c r="AA3075" i="12"/>
  <c r="AA2608" i="12"/>
  <c r="AA2616" i="12"/>
  <c r="AA904" i="12"/>
  <c r="AA2181" i="12"/>
  <c r="AA1718" i="12"/>
  <c r="AA2794" i="12"/>
  <c r="AA2078" i="12"/>
  <c r="AA3117" i="12"/>
  <c r="AA2367" i="12"/>
  <c r="AA1166" i="12"/>
  <c r="AA3428" i="12"/>
  <c r="AA2449" i="12"/>
  <c r="AA1998" i="12"/>
  <c r="AA831" i="12"/>
  <c r="AA1750" i="12"/>
  <c r="AA3247" i="12"/>
  <c r="AA2611" i="12"/>
  <c r="AA1649" i="12"/>
  <c r="AA522" i="12"/>
  <c r="AA2171" i="12"/>
  <c r="AA2689" i="12"/>
  <c r="AA1068" i="12"/>
  <c r="AA2073" i="12"/>
  <c r="AA33" i="12"/>
  <c r="AA2512" i="12"/>
  <c r="AA2292" i="12"/>
  <c r="AA2233" i="12"/>
  <c r="AA1832" i="12"/>
  <c r="AA2662" i="12"/>
  <c r="AA1729" i="12"/>
  <c r="AA586" i="12"/>
  <c r="AA788" i="12"/>
  <c r="AA839" i="12"/>
  <c r="AA2161" i="12"/>
  <c r="AA3494" i="12"/>
  <c r="AA3496" i="12"/>
  <c r="AA634" i="12"/>
  <c r="AA896" i="12"/>
  <c r="AA171" i="12"/>
  <c r="AA2183" i="12"/>
  <c r="AA1538" i="12"/>
  <c r="AA1849" i="12"/>
  <c r="AA1229" i="12"/>
  <c r="AA1606" i="12"/>
  <c r="AA2654" i="12"/>
  <c r="AA2811" i="12"/>
  <c r="AA2443" i="12"/>
  <c r="AA199" i="12"/>
  <c r="AA2670" i="12"/>
  <c r="AA3390" i="12"/>
  <c r="AA1457" i="12"/>
  <c r="AA1673" i="12"/>
  <c r="AA2968" i="12"/>
  <c r="AA3004" i="12"/>
  <c r="AA2210" i="12"/>
  <c r="AA3296" i="12"/>
  <c r="AA3506" i="12"/>
  <c r="AA3519" i="12"/>
  <c r="AA1140" i="12"/>
  <c r="AA532" i="12"/>
  <c r="AA2479" i="12"/>
  <c r="AA1410" i="12"/>
  <c r="AA2064" i="12"/>
  <c r="AA1713" i="12"/>
  <c r="AA1537" i="12"/>
  <c r="AA1211" i="12"/>
  <c r="AA2249" i="12"/>
  <c r="AA1262" i="12"/>
  <c r="AA333" i="12"/>
  <c r="AA496" i="12"/>
  <c r="AA981" i="12"/>
  <c r="AA2511" i="12"/>
  <c r="AA1039" i="12"/>
  <c r="AA2798" i="12"/>
  <c r="AA689" i="12"/>
  <c r="AA2834" i="12"/>
  <c r="AA3442" i="12"/>
  <c r="AA2090" i="12"/>
  <c r="AA1367" i="12"/>
  <c r="AA2425" i="12"/>
  <c r="AA1969" i="12"/>
  <c r="AA3383" i="12"/>
  <c r="AA204" i="12"/>
  <c r="AA637" i="12"/>
  <c r="AA1265" i="12"/>
  <c r="AA1208" i="12"/>
  <c r="AA2189" i="12"/>
  <c r="AA3073" i="12"/>
  <c r="AA268" i="12"/>
  <c r="AA1532" i="12"/>
  <c r="AA2259" i="12"/>
  <c r="AA877" i="12"/>
  <c r="AA2892" i="12"/>
  <c r="AA652" i="12"/>
  <c r="AA1783" i="12"/>
  <c r="AA484" i="12"/>
  <c r="AA3476" i="12"/>
  <c r="AA1236" i="12"/>
  <c r="AA1425" i="12"/>
  <c r="AA3501" i="12"/>
  <c r="AA835" i="12"/>
  <c r="AA1448" i="12"/>
  <c r="AA2692" i="12"/>
  <c r="AA537" i="12"/>
  <c r="AA542" i="12"/>
  <c r="AA2937" i="12"/>
  <c r="AA1281" i="12"/>
  <c r="AA2018" i="12"/>
  <c r="AA3121" i="12"/>
  <c r="AA120" i="12"/>
  <c r="AA3266" i="12"/>
  <c r="AA1261" i="12"/>
  <c r="AA531" i="12"/>
  <c r="AA884" i="12"/>
  <c r="AA2204" i="12"/>
  <c r="AA520" i="12"/>
  <c r="AA2387" i="12"/>
  <c r="AA368" i="12"/>
  <c r="AA2363" i="12"/>
  <c r="AA2317" i="12"/>
  <c r="AA1232" i="12"/>
  <c r="AA1780" i="12"/>
  <c r="AA1590" i="12"/>
  <c r="AA407" i="12"/>
  <c r="AA3018" i="12"/>
  <c r="AA455" i="12"/>
  <c r="AA2087" i="12"/>
  <c r="AA690" i="12"/>
  <c r="AA1957" i="12"/>
  <c r="AA809" i="12"/>
  <c r="AA1658" i="12"/>
  <c r="AA852" i="12"/>
  <c r="AA2915" i="12"/>
  <c r="AA2810" i="12"/>
  <c r="AA2657" i="12"/>
  <c r="AA3548" i="12"/>
  <c r="AA1585" i="12"/>
  <c r="AA2984" i="12"/>
  <c r="AA3031" i="12"/>
  <c r="AA2699" i="12"/>
  <c r="AA1217" i="12"/>
  <c r="AA3400" i="12"/>
  <c r="AA2767" i="12"/>
  <c r="AA2324" i="12"/>
  <c r="AA3488" i="12"/>
  <c r="AA3191" i="12"/>
  <c r="AA2725" i="12"/>
  <c r="AA1340" i="12"/>
  <c r="AA2558" i="12"/>
  <c r="AA1659" i="12"/>
  <c r="AA948" i="12"/>
  <c r="AA474" i="12"/>
  <c r="AA2219" i="12"/>
  <c r="AA460" i="12"/>
  <c r="AA3129" i="12"/>
  <c r="AA372" i="12"/>
  <c r="AA636" i="12"/>
  <c r="AA1856" i="12"/>
  <c r="AA3552" i="12"/>
  <c r="AA2613" i="12"/>
  <c r="AA1747" i="12"/>
  <c r="AA2569" i="12"/>
  <c r="AA1739" i="12"/>
  <c r="AA728" i="12"/>
  <c r="AA875" i="12"/>
  <c r="AA2477" i="12"/>
  <c r="AA488" i="12"/>
  <c r="AA866" i="12"/>
  <c r="AA2815" i="12"/>
  <c r="AA692" i="12"/>
  <c r="AA184" i="12"/>
  <c r="AA40" i="12"/>
  <c r="AA856" i="12"/>
  <c r="AA2168" i="12"/>
  <c r="AA2782" i="12"/>
  <c r="AA3019" i="12"/>
  <c r="AA2359" i="12"/>
  <c r="AA3384" i="12"/>
  <c r="AA1920" i="12"/>
  <c r="AA2697" i="12"/>
  <c r="AA515" i="12"/>
  <c r="AA441" i="12"/>
  <c r="AA1680" i="12"/>
  <c r="AA2793" i="12"/>
  <c r="AA795" i="12"/>
  <c r="AA259" i="12"/>
  <c r="AA400" i="12"/>
  <c r="AA151" i="12"/>
  <c r="AA3394" i="12"/>
  <c r="AA1184" i="12"/>
  <c r="AA1190" i="12"/>
  <c r="AA2866" i="12"/>
  <c r="AA1734" i="12"/>
  <c r="AA2992" i="12"/>
  <c r="AA704" i="12"/>
  <c r="AA790" i="12"/>
  <c r="AA1915" i="12"/>
  <c r="AA590" i="12"/>
  <c r="AA3182" i="12"/>
  <c r="AA65" i="12"/>
  <c r="AA1053" i="12"/>
  <c r="AA174" i="12"/>
  <c r="AA2607" i="12"/>
  <c r="AA2490" i="12"/>
  <c r="AA3232" i="12"/>
  <c r="AA1861" i="12"/>
  <c r="AA2008" i="12"/>
  <c r="AA3197" i="12"/>
  <c r="AA2155" i="12"/>
  <c r="AA391" i="12"/>
  <c r="AA630" i="12"/>
  <c r="AA238" i="12"/>
  <c r="AA274" i="12"/>
  <c r="AA319" i="12"/>
  <c r="AA133" i="12"/>
  <c r="AA1721" i="12"/>
  <c r="AA112" i="12"/>
  <c r="AA2913" i="12"/>
  <c r="AA3477" i="12"/>
  <c r="AA1627" i="12"/>
  <c r="AA1950" i="12"/>
  <c r="AA2010" i="12"/>
  <c r="AA1557" i="12"/>
  <c r="AA119" i="12"/>
  <c r="AA3239" i="12"/>
  <c r="AA2844" i="12"/>
  <c r="AA1575" i="12"/>
  <c r="AA1933" i="12"/>
  <c r="AA2813" i="12"/>
  <c r="AA2832" i="12"/>
  <c r="AA3062" i="12"/>
  <c r="AA2980" i="12"/>
  <c r="AA920" i="12"/>
  <c r="AA2930" i="12"/>
  <c r="AA196" i="12"/>
  <c r="AA2722" i="12"/>
  <c r="AA1529" i="12"/>
  <c r="AA280" i="12"/>
  <c r="AA1447" i="12"/>
  <c r="AA810" i="12"/>
  <c r="AA2056" i="12"/>
  <c r="AA2845" i="12"/>
  <c r="AA3017" i="12"/>
  <c r="AA3352" i="12"/>
  <c r="AA1792" i="12"/>
  <c r="AA2615" i="12"/>
  <c r="AA157" i="12"/>
  <c r="AA3459" i="12"/>
  <c r="AA1395" i="12"/>
  <c r="AA2848" i="12"/>
  <c r="AA2516" i="12"/>
  <c r="AA364" i="12"/>
  <c r="AA2491" i="12"/>
  <c r="AA3155" i="12"/>
  <c r="AA1398" i="12"/>
  <c r="AA3452" i="12"/>
  <c r="AA3376" i="12"/>
  <c r="AA2679" i="12"/>
  <c r="AA3446" i="12"/>
  <c r="AA3406" i="12"/>
  <c r="AA783" i="12"/>
  <c r="AA393" i="12"/>
  <c r="AA343" i="12"/>
  <c r="AA2395" i="12"/>
  <c r="AA815" i="12"/>
  <c r="AA1707" i="12"/>
  <c r="AA1853" i="12"/>
  <c r="AA857" i="12"/>
  <c r="AA2800" i="12"/>
  <c r="AA2598" i="12"/>
  <c r="AA2339" i="12"/>
  <c r="AA2881" i="12"/>
  <c r="AA3310" i="12"/>
  <c r="AA403" i="12"/>
  <c r="AA1719" i="12"/>
  <c r="AA2028" i="12"/>
  <c r="AA331" i="12"/>
  <c r="AA516" i="12"/>
  <c r="AA2428" i="12"/>
  <c r="AA1873" i="12"/>
  <c r="AA3317" i="12"/>
  <c r="AA303" i="12"/>
  <c r="AA517" i="12"/>
  <c r="AA2223" i="12"/>
  <c r="AA2416" i="12"/>
  <c r="AA535" i="12"/>
  <c r="AA3056" i="12"/>
  <c r="AA861" i="12"/>
  <c r="AA1100" i="12"/>
  <c r="AA2534" i="12"/>
  <c r="AA1666" i="12"/>
  <c r="AA1004" i="12"/>
  <c r="AA2319" i="12"/>
  <c r="AA1380" i="12"/>
  <c r="AA3040" i="12"/>
  <c r="AA1309" i="12"/>
  <c r="AA283" i="12"/>
  <c r="AA1366" i="12"/>
  <c r="AA1947" i="12"/>
  <c r="AA3393" i="12"/>
  <c r="AA1045" i="12"/>
  <c r="AA1099" i="12"/>
  <c r="AA3271" i="12"/>
  <c r="AA2220" i="12"/>
  <c r="AA1147" i="12"/>
  <c r="AA3208" i="12"/>
  <c r="AA3342" i="12"/>
  <c r="AA3331" i="12"/>
  <c r="AA3036" i="12"/>
  <c r="AA1239" i="12"/>
  <c r="AA25" i="12"/>
  <c r="AA1490" i="12"/>
  <c r="AA3540" i="12"/>
  <c r="AA2392" i="12"/>
  <c r="AA2062" i="12"/>
  <c r="AA1664" i="12"/>
  <c r="AA914" i="12"/>
  <c r="AA2147" i="12"/>
  <c r="AA1801" i="12"/>
  <c r="AA299" i="12"/>
  <c r="AA983" i="12"/>
  <c r="AA3363" i="12"/>
  <c r="AA2779" i="12"/>
  <c r="AA3083" i="12"/>
  <c r="AA2590" i="12"/>
  <c r="AA2978" i="12"/>
  <c r="AA3245" i="12"/>
  <c r="AA854" i="12"/>
  <c r="AA2552" i="12"/>
  <c r="AA1688" i="12"/>
  <c r="AA1791" i="12"/>
  <c r="AA915" i="12"/>
  <c r="AA1345" i="12"/>
  <c r="AA1684" i="12"/>
  <c r="AA2406" i="12"/>
  <c r="AA979" i="12"/>
  <c r="AA2160" i="12"/>
  <c r="AA383" i="12"/>
  <c r="AA349" i="12"/>
  <c r="AA2093" i="12"/>
  <c r="AA751" i="12"/>
  <c r="AA2198" i="12"/>
  <c r="AA2641" i="12"/>
  <c r="AA2924" i="12"/>
  <c r="AA1618" i="12"/>
  <c r="AA1424" i="12"/>
  <c r="AA1613" i="12"/>
  <c r="AA116" i="12"/>
  <c r="AA2386" i="12"/>
  <c r="AA3114" i="12"/>
  <c r="AA2911" i="12"/>
  <c r="AA1057" i="12"/>
  <c r="AA1932" i="12"/>
  <c r="AA2009" i="12"/>
  <c r="AA1165" i="12"/>
  <c r="AA1137" i="12"/>
  <c r="AA2323" i="12"/>
  <c r="AA1495" i="12"/>
  <c r="AA816" i="12"/>
  <c r="AA1225" i="12"/>
  <c r="AA2743" i="12"/>
  <c r="AA1837" i="12"/>
  <c r="AA316" i="12"/>
  <c r="AA378" i="12"/>
  <c r="AA719" i="12"/>
  <c r="AA219" i="12"/>
  <c r="AA1816" i="12"/>
  <c r="AA2565" i="12"/>
  <c r="AA2953" i="12"/>
  <c r="AA3528" i="12"/>
  <c r="AA628" i="12"/>
  <c r="AA829" i="12"/>
  <c r="AA2237" i="12"/>
  <c r="AA2533" i="12"/>
  <c r="AA2104" i="12"/>
  <c r="AA1204" i="12"/>
  <c r="AA97" i="12"/>
  <c r="AA1443" i="12"/>
  <c r="AA1349" i="12"/>
  <c r="AA1245" i="12"/>
  <c r="AA1109" i="12"/>
  <c r="AA144" i="12"/>
  <c r="AA2108" i="12"/>
  <c r="AA1445" i="12"/>
  <c r="AA3490" i="12"/>
  <c r="AA3143" i="12"/>
  <c r="AA725" i="12"/>
  <c r="AA2605" i="12"/>
  <c r="AA153" i="12"/>
  <c r="AA2489" i="12"/>
  <c r="AA305" i="12"/>
  <c r="AA3418" i="12"/>
  <c r="AA1868" i="12"/>
  <c r="AA1911" i="12"/>
  <c r="AA1869" i="12"/>
  <c r="AA2850" i="12"/>
  <c r="AA2582" i="12"/>
  <c r="AA202" i="12"/>
  <c r="AA291" i="12"/>
  <c r="AA1728" i="12"/>
  <c r="AA2349" i="12"/>
  <c r="AA2818" i="12"/>
  <c r="AA1587" i="12"/>
  <c r="AA1350" i="12"/>
  <c r="AA348" i="12"/>
  <c r="AA1250" i="12"/>
  <c r="AA1286" i="12"/>
  <c r="AA1772" i="12"/>
  <c r="AA1094" i="12"/>
  <c r="AA1251" i="12"/>
  <c r="AA2182" i="12"/>
  <c r="AA1732" i="12"/>
  <c r="AA1508" i="12"/>
  <c r="AA2236" i="12"/>
  <c r="AA433" i="12"/>
  <c r="AA1951" i="12"/>
  <c r="AA1048" i="12"/>
  <c r="AA464" i="12"/>
  <c r="AA1270" i="12"/>
  <c r="AA3314" i="12"/>
  <c r="AA1295" i="12"/>
  <c r="AA2497" i="12"/>
  <c r="AA2774" i="12"/>
  <c r="AA3497" i="12"/>
  <c r="AA2916" i="12"/>
  <c r="AA3241" i="12"/>
  <c r="AA428" i="12"/>
  <c r="AA2667" i="12"/>
  <c r="AA450" i="12"/>
  <c r="AA2404" i="12"/>
  <c r="AA1766" i="12"/>
  <c r="AA2389" i="12"/>
  <c r="AA2663" i="12"/>
  <c r="AA2380" i="12"/>
  <c r="AA3287" i="12"/>
  <c r="AA1955" i="12"/>
  <c r="AA2808" i="12"/>
  <c r="AA1976" i="12"/>
  <c r="AA1609" i="12"/>
  <c r="AA3196" i="12"/>
  <c r="AA118" i="12"/>
  <c r="AA156" i="12"/>
  <c r="AA3466" i="12"/>
  <c r="AA2944" i="12"/>
  <c r="AA1514" i="12"/>
  <c r="AA1638" i="12"/>
  <c r="AA3023" i="12"/>
  <c r="AA1983" i="12"/>
  <c r="AA226" i="12"/>
  <c r="AA2867" i="12"/>
  <c r="AA290" i="12"/>
  <c r="AA2749" i="12"/>
  <c r="AA2508" i="12"/>
  <c r="AA214" i="12"/>
  <c r="AA1142" i="12"/>
  <c r="AA273" i="12"/>
  <c r="AA3268" i="12"/>
  <c r="AA554" i="12"/>
  <c r="AA1995" i="12"/>
  <c r="AA3537" i="12"/>
  <c r="AA3112" i="12"/>
  <c r="AA3080" i="12"/>
  <c r="AA1412" i="12"/>
  <c r="AA3300" i="12"/>
  <c r="AA2166" i="12"/>
  <c r="AA2326" i="12"/>
  <c r="AA359" i="12"/>
  <c r="AA1308" i="12"/>
  <c r="AA227" i="12"/>
  <c r="AA2824" i="12"/>
  <c r="AA930" i="12"/>
  <c r="AA3515" i="12"/>
  <c r="AA1401" i="12"/>
  <c r="AA3461" i="12"/>
  <c r="AA2515" i="12"/>
  <c r="AA2528" i="12"/>
  <c r="AA1655" i="12"/>
  <c r="AA1657" i="12"/>
  <c r="AA216" i="12"/>
  <c r="AA3002" i="12"/>
  <c r="AA2585" i="12"/>
  <c r="AA3408" i="12"/>
  <c r="AA823" i="12"/>
  <c r="AA122" i="12"/>
  <c r="AA1132" i="12"/>
  <c r="AA1539" i="12"/>
  <c r="AA189" i="12"/>
  <c r="AA1645" i="12"/>
  <c r="AA1196" i="12"/>
  <c r="AA322" i="12"/>
  <c r="AA2666" i="12"/>
  <c r="AA42" i="12"/>
  <c r="AA2873" i="12"/>
  <c r="AA2904" i="12"/>
  <c r="AA601" i="12"/>
  <c r="AA2715" i="12"/>
  <c r="AA2802" i="12"/>
  <c r="AA2829" i="12"/>
  <c r="AA2022" i="12"/>
  <c r="AA358" i="12"/>
  <c r="AA1523" i="12"/>
  <c r="AA1417" i="12"/>
  <c r="AA1324" i="12"/>
  <c r="AA3427" i="12"/>
  <c r="AA1548" i="12"/>
  <c r="AA3464" i="12"/>
  <c r="AA135" i="12"/>
  <c r="AA1183" i="12"/>
  <c r="AA1139" i="12"/>
  <c r="AA3060" i="12"/>
  <c r="AA3467" i="12"/>
  <c r="AA1639" i="12"/>
  <c r="AA3498" i="12"/>
  <c r="AA2539" i="12"/>
  <c r="AA2578" i="12"/>
  <c r="AA399" i="12"/>
  <c r="AA2241" i="12"/>
  <c r="AA504" i="12"/>
  <c r="AA3308" i="12"/>
  <c r="AA1354" i="12"/>
  <c r="AA2291" i="12"/>
  <c r="AA90" i="12"/>
  <c r="AA3416" i="12"/>
  <c r="AA3090" i="12"/>
  <c r="AA1642" i="12"/>
  <c r="AA432" i="12"/>
  <c r="AA3110" i="12"/>
  <c r="AA3131" i="12"/>
  <c r="AA3369" i="12"/>
  <c r="AA1939" i="12"/>
  <c r="AA2960" i="12"/>
  <c r="AA3463" i="12"/>
  <c r="AA2338" i="12"/>
  <c r="AA1793" i="12"/>
  <c r="AA3460" i="12"/>
  <c r="AA2345" i="12"/>
  <c r="AA2859" i="12"/>
  <c r="AA30" i="12"/>
  <c r="AA3175" i="12"/>
  <c r="AA1851" i="12"/>
  <c r="AA1299" i="12"/>
  <c r="AA498" i="12"/>
  <c r="AA742" i="12"/>
  <c r="AA2269" i="12"/>
  <c r="AA2822" i="12"/>
  <c r="AA3231" i="12"/>
  <c r="AA2959" i="12"/>
  <c r="AA2333" i="12"/>
  <c r="AA2287" i="12"/>
  <c r="AA950" i="12"/>
  <c r="AA736" i="12"/>
  <c r="AA2751" i="12"/>
  <c r="AA777" i="12"/>
  <c r="AA2956" i="12"/>
  <c r="AA618" i="12"/>
  <c r="AA1835" i="12"/>
  <c r="AA1221" i="12"/>
  <c r="AA3284" i="12"/>
  <c r="AA583" i="12"/>
  <c r="AA471" i="12"/>
  <c r="AA203" i="12"/>
  <c r="AA2125" i="12"/>
  <c r="AA600" i="12"/>
  <c r="AA2193" i="12"/>
  <c r="AA3100" i="12"/>
  <c r="AA3077" i="12"/>
  <c r="AA2227" i="12"/>
  <c r="AA2413" i="12"/>
  <c r="AA1876" i="12"/>
  <c r="AA1370" i="12"/>
  <c r="AA309" i="12"/>
  <c r="AA1289" i="12"/>
  <c r="AA418" i="12"/>
  <c r="AA3043" i="12"/>
  <c r="AA1348" i="12"/>
  <c r="AA134" i="12"/>
  <c r="AA3059" i="12"/>
  <c r="AA610" i="12"/>
  <c r="AA2920" i="12"/>
  <c r="AA304" i="12"/>
  <c r="AA1076" i="12"/>
  <c r="AA387" i="12"/>
  <c r="AA720" i="12"/>
  <c r="AA2229" i="12"/>
  <c r="AA2993" i="12"/>
  <c r="AA1161" i="12"/>
  <c r="AA2517" i="12"/>
  <c r="AA2835" i="12"/>
  <c r="AA71" i="12"/>
  <c r="AA3192" i="12"/>
  <c r="AA2883" i="12"/>
  <c r="AA2619" i="12"/>
  <c r="AA2102" i="12"/>
  <c r="AA2232" i="12"/>
  <c r="AA3061" i="12"/>
  <c r="AA388" i="12"/>
  <c r="AA1519" i="12"/>
  <c r="AA3141" i="12"/>
  <c r="AA2245" i="12"/>
  <c r="AA3028" i="12"/>
  <c r="AA701" i="12"/>
  <c r="AA402" i="12"/>
  <c r="AA249" i="12"/>
  <c r="AA2861" i="12"/>
  <c r="AA104" i="12"/>
  <c r="AA2027" i="12"/>
  <c r="AA2221" i="12"/>
  <c r="AA629" i="12"/>
  <c r="AA225" i="12"/>
  <c r="AA2017" i="12"/>
  <c r="AA3411" i="12"/>
  <c r="AA2103" i="12"/>
  <c r="AA910" i="12"/>
  <c r="AA2688" i="12"/>
  <c r="AA1321" i="12"/>
  <c r="AA1116" i="12"/>
  <c r="AA222" i="12"/>
  <c r="AA576" i="12"/>
  <c r="AA2426" i="12"/>
  <c r="AA2591" i="12"/>
  <c r="AA2709" i="12"/>
  <c r="AA3134" i="12"/>
  <c r="AA2437" i="12"/>
  <c r="AA1576" i="12"/>
  <c r="AA2549" i="12"/>
  <c r="AA1897" i="12"/>
  <c r="AA2708" i="12"/>
  <c r="AA1560" i="12"/>
  <c r="AA2548" i="12"/>
  <c r="AA2107" i="12"/>
  <c r="AA1432" i="12"/>
  <c r="AA1686" i="12"/>
  <c r="AA2921" i="12"/>
  <c r="AA2966" i="12"/>
  <c r="AA1770" i="12"/>
  <c r="AA3260" i="12"/>
  <c r="AA1884" i="12"/>
  <c r="AA3078" i="12"/>
  <c r="AA2440" i="12"/>
  <c r="AA1287" i="12"/>
  <c r="AA77" i="12"/>
  <c r="AA1106" i="12"/>
  <c r="AA2505" i="12"/>
  <c r="AA1544" i="12"/>
  <c r="AA1723" i="12"/>
  <c r="AA2860" i="12"/>
  <c r="AA1271" i="12"/>
  <c r="AA212" i="12"/>
  <c r="AA2753" i="12"/>
  <c r="AA3361" i="12"/>
  <c r="AA759" i="12"/>
  <c r="AA2120" i="12"/>
  <c r="AA470" i="12"/>
  <c r="AA2354" i="12"/>
  <c r="AA1258" i="12"/>
  <c r="AA2965" i="12"/>
  <c r="AA3184" i="12"/>
  <c r="AA2807" i="12"/>
  <c r="AA1784" i="12"/>
  <c r="AA3484" i="12"/>
  <c r="AA2678" i="12"/>
  <c r="AA931" i="12"/>
  <c r="AA3379" i="12"/>
  <c r="AA2681" i="12"/>
  <c r="AA2750" i="12"/>
  <c r="AA939" i="12"/>
  <c r="AA2123" i="12"/>
  <c r="AA3286" i="12"/>
  <c r="AA469" i="12"/>
  <c r="AA2527" i="12"/>
  <c r="AA1663" i="12"/>
  <c r="AA2519" i="12"/>
  <c r="AA607" i="12"/>
  <c r="AA1918" i="12"/>
  <c r="AA27" i="12"/>
  <c r="AA1351" i="12"/>
  <c r="AA1640" i="12"/>
  <c r="AA2831" i="12"/>
  <c r="AA2260" i="12"/>
  <c r="AA2146" i="12"/>
  <c r="AA849" i="12"/>
  <c r="AA2361" i="12"/>
  <c r="AA158" i="12"/>
  <c r="AA3178" i="12"/>
  <c r="AA3074" i="12"/>
  <c r="AA2303" i="12"/>
  <c r="AA1453" i="12"/>
  <c r="AA2184" i="12"/>
  <c r="AA3366" i="12"/>
  <c r="AA2985" i="12"/>
  <c r="AA3432" i="12"/>
  <c r="AA2313" i="12"/>
  <c r="AA1136" i="12"/>
  <c r="AA818" i="12"/>
  <c r="AA2673" i="12"/>
  <c r="AA2908" i="12"/>
  <c r="AA1172" i="12"/>
  <c r="AA2423" i="12"/>
  <c r="AA1148" i="12"/>
  <c r="AA1021" i="12"/>
  <c r="AA502" i="12"/>
  <c r="AA1072" i="12"/>
  <c r="AA2566" i="12"/>
  <c r="AA3472" i="12"/>
  <c r="AA2820" i="12"/>
  <c r="AA2700" i="12"/>
  <c r="AA519" i="12"/>
  <c r="AA462" i="12"/>
  <c r="AA2847" i="12"/>
  <c r="AA2482" i="12"/>
  <c r="AA3401" i="12"/>
  <c r="AA2475" i="12"/>
  <c r="AA2694" i="12"/>
  <c r="AA176" i="12"/>
  <c r="AA2922" i="12"/>
  <c r="AA3126" i="12"/>
  <c r="AA1584" i="12"/>
  <c r="AA2634" i="12"/>
  <c r="AA3199" i="12"/>
  <c r="AA511" i="12"/>
  <c r="AA1278" i="12"/>
  <c r="AA499" i="12"/>
  <c r="AA1426" i="12"/>
  <c r="AA612" i="12"/>
  <c r="AA352" i="12"/>
  <c r="AA1764" i="12"/>
  <c r="AA233" i="12"/>
  <c r="AA3237" i="12"/>
  <c r="AA339" i="12"/>
  <c r="AA1058" i="12"/>
  <c r="AA3316" i="12"/>
  <c r="AA355" i="12"/>
  <c r="AA2837" i="12"/>
  <c r="AA3502" i="12"/>
  <c r="AA1397" i="12"/>
  <c r="AA2035" i="12"/>
  <c r="AA711" i="12"/>
  <c r="AA1790" i="12"/>
  <c r="AA2253" i="12"/>
  <c r="AA3254" i="12"/>
  <c r="AA2671" i="12"/>
  <c r="AA2152" i="12"/>
  <c r="AA452" i="12"/>
  <c r="AA1439" i="12"/>
  <c r="AA1626" i="12"/>
  <c r="AA1013" i="12"/>
  <c r="AA2877" i="12"/>
  <c r="AA1753" i="12"/>
  <c r="AA1241" i="12"/>
  <c r="AA1130" i="12"/>
  <c r="AA1679" i="12"/>
  <c r="AA1222" i="12"/>
  <c r="AA45" i="12"/>
  <c r="AA3391" i="12"/>
  <c r="AA986" i="12"/>
  <c r="AA945" i="12"/>
  <c r="AA311" i="12"/>
  <c r="AA52" i="12"/>
  <c r="AA3405" i="12"/>
  <c r="AA1297" i="12"/>
  <c r="AA3055" i="12"/>
  <c r="AA653" i="12"/>
  <c r="AA374" i="12"/>
  <c r="AA110" i="12"/>
  <c r="AA3547" i="12"/>
  <c r="AA3412" i="12"/>
  <c r="AA3344" i="12"/>
  <c r="AA2982" i="12"/>
  <c r="AA2063" i="12"/>
  <c r="AA3534" i="12"/>
  <c r="AA31" i="12"/>
  <c r="AA1973" i="12"/>
  <c r="AA2327" i="12"/>
  <c r="AA710" i="12"/>
  <c r="AA2234" i="12"/>
  <c r="AA155" i="12"/>
  <c r="AA801" i="12"/>
  <c r="AA3419" i="12"/>
  <c r="AA1865" i="12"/>
  <c r="AA853" i="12"/>
  <c r="AA1782" i="12"/>
  <c r="AA3250" i="12"/>
  <c r="AA2843" i="12"/>
  <c r="AA2100" i="12"/>
  <c r="AA113" i="12"/>
  <c r="AA35" i="12"/>
  <c r="AA1391" i="12"/>
  <c r="AA982" i="12"/>
  <c r="AA3524" i="12"/>
  <c r="AA827" i="12"/>
  <c r="AA2973" i="12"/>
  <c r="AA1906" i="12"/>
  <c r="AA386" i="12"/>
  <c r="AA2203" i="12"/>
  <c r="AA811" i="12"/>
  <c r="AA921" i="12"/>
  <c r="AA2301" i="12"/>
  <c r="AA2254" i="12"/>
  <c r="AA1462" i="12"/>
  <c r="AA234" i="12"/>
  <c r="AA1264" i="12"/>
  <c r="AA2173" i="12"/>
  <c r="AA974" i="12"/>
  <c r="AA2894" i="12"/>
  <c r="AA239" i="12"/>
  <c r="AA1954" i="12"/>
  <c r="AA3008" i="12"/>
  <c r="AA1407" i="12"/>
  <c r="AA2609" i="12"/>
  <c r="AA3127" i="12"/>
  <c r="AA3285" i="12"/>
  <c r="AA3256" i="12"/>
  <c r="AA2429" i="12"/>
  <c r="AA1446" i="12"/>
  <c r="AA2737" i="12"/>
  <c r="AA179" i="12"/>
  <c r="AA335" i="12"/>
  <c r="AA243" i="12"/>
  <c r="AA1346" i="12"/>
  <c r="AA1388" i="12"/>
  <c r="AA2456" i="12"/>
  <c r="AA774" i="12"/>
  <c r="AA2563" i="12"/>
  <c r="AA1038" i="12"/>
  <c r="AA2770" i="12"/>
  <c r="AA1283" i="12"/>
  <c r="AA1978" i="12"/>
  <c r="AA746" i="12"/>
  <c r="AA773" i="12"/>
  <c r="AA3264" i="12"/>
  <c r="AA800" i="12"/>
  <c r="AA1026" i="12"/>
  <c r="AA2410" i="12"/>
  <c r="AA670" i="12"/>
  <c r="AA2925" i="12"/>
  <c r="AA648" i="12"/>
  <c r="AA2399" i="12"/>
  <c r="AA3396" i="12"/>
  <c r="AA2656" i="12"/>
  <c r="AA2447" i="12"/>
  <c r="AA2466" i="12"/>
  <c r="AA2119" i="12"/>
  <c r="AA2952" i="12"/>
  <c r="AA2026" i="12"/>
  <c r="AA3297" i="12"/>
  <c r="AA1891" i="12"/>
  <c r="AA1141" i="12"/>
  <c r="AA3277" i="12"/>
  <c r="AA2139" i="12"/>
  <c r="AA834" i="12"/>
  <c r="AA218" i="12"/>
  <c r="AA3084" i="12"/>
  <c r="AA1450" i="12"/>
  <c r="AA1385" i="12"/>
  <c r="AA1438" i="12"/>
  <c r="AA1220" i="12"/>
  <c r="AA2070" i="12"/>
  <c r="AA2647" i="12"/>
  <c r="AA2109" i="12"/>
  <c r="AA1841" i="12"/>
  <c r="AA1556" i="12"/>
  <c r="AA2752" i="12"/>
  <c r="AA1700" i="12"/>
  <c r="AA376" i="12"/>
  <c r="AA2391" i="12"/>
  <c r="AA1776" i="12"/>
  <c r="AA959" i="12"/>
  <c r="AA1306" i="12"/>
  <c r="AA2082" i="12"/>
  <c r="AA38" i="12"/>
  <c r="AA324" i="12"/>
  <c r="AA2510" i="12"/>
  <c r="AA2217" i="12"/>
  <c r="AA1042" i="12"/>
  <c r="AA2330" i="12"/>
  <c r="AA575" i="12"/>
  <c r="AA2159" i="12"/>
  <c r="AA1200" i="12"/>
  <c r="AA1018" i="12"/>
  <c r="AA2341" i="12"/>
  <c r="AA1192" i="12"/>
  <c r="AA265" i="12"/>
  <c r="AA3449" i="12"/>
  <c r="AA529" i="12"/>
  <c r="AA2083" i="12"/>
  <c r="AA1542" i="12"/>
  <c r="AA3409" i="12"/>
  <c r="AA175" i="12"/>
  <c r="AA1706" i="12"/>
  <c r="AA3539" i="12"/>
  <c r="AA3373" i="12"/>
  <c r="AA3328" i="12"/>
  <c r="AA3347" i="12"/>
  <c r="AA3130" i="12"/>
  <c r="AA3169" i="12"/>
  <c r="AA1046" i="12"/>
  <c r="AA1484" i="12"/>
  <c r="AA2763" i="12"/>
  <c r="AA3294" i="12"/>
  <c r="AA1807" i="12"/>
  <c r="AA3088" i="12"/>
  <c r="AA2351" i="12"/>
  <c r="AA2446" i="12"/>
  <c r="AA475" i="12"/>
  <c r="AA404" i="12"/>
  <c r="AA2950" i="12"/>
  <c r="AA1144" i="12"/>
  <c r="AA2099" i="12"/>
  <c r="AA2797" i="12"/>
  <c r="AA2048" i="12"/>
  <c r="AA1171" i="12"/>
  <c r="AA620" i="12"/>
  <c r="AA2652" i="12"/>
  <c r="AA3389" i="12"/>
  <c r="AA23" i="12"/>
  <c r="AA476" i="12"/>
  <c r="AA2740" i="12"/>
  <c r="AA2801" i="12"/>
  <c r="AA382" i="12"/>
  <c r="AA2038" i="12"/>
  <c r="AA1586" i="12"/>
  <c r="AA1274" i="12"/>
  <c r="AA901" i="12"/>
  <c r="AA2080" i="12"/>
  <c r="AA344" i="12"/>
  <c r="AA1870" i="12"/>
  <c r="AA525" i="12"/>
  <c r="AA1050" i="12"/>
  <c r="AA508" i="12"/>
  <c r="AA992" i="12"/>
  <c r="AA178" i="12"/>
  <c r="AA489" i="12"/>
  <c r="AA2129" i="12"/>
  <c r="AA2928" i="12"/>
  <c r="AA2905" i="12"/>
  <c r="AA138" i="12"/>
  <c r="AA2833" i="12"/>
  <c r="AA1819" i="12"/>
  <c r="AA1344" i="12"/>
  <c r="AA2485" i="12"/>
  <c r="AA1440" i="12"/>
  <c r="AA1505" i="12"/>
  <c r="AA1836" i="12"/>
  <c r="AA980" i="12"/>
  <c r="AA3320" i="12"/>
  <c r="AA2459" i="12"/>
  <c r="AA2192" i="12"/>
  <c r="AA2473" i="12"/>
  <c r="AA3102" i="12"/>
  <c r="AA1543" i="12"/>
  <c r="AA1756" i="12"/>
  <c r="AA3183" i="12"/>
  <c r="AA127" i="12"/>
  <c r="AA2441" i="12"/>
  <c r="AA2373" i="12"/>
  <c r="AA2483" i="12"/>
  <c r="AA2555" i="12"/>
  <c r="AA3335" i="12"/>
  <c r="AA1962" i="12"/>
  <c r="AA1014" i="12"/>
  <c r="AA956" i="12"/>
  <c r="AA2412" i="12"/>
  <c r="AA2277" i="12"/>
  <c r="AA578" i="12"/>
  <c r="AA1480" i="12"/>
  <c r="AA3454" i="12"/>
  <c r="AA318" i="12"/>
  <c r="AA753" i="12"/>
  <c r="AA1260" i="12"/>
  <c r="AA2384" i="12"/>
  <c r="AA457" i="12"/>
  <c r="AA440" i="12"/>
  <c r="AA2486" i="12"/>
  <c r="AA3398" i="12"/>
  <c r="AA1146" i="12"/>
  <c r="AA167" i="12"/>
  <c r="AA3150" i="12"/>
  <c r="AA1314" i="12"/>
  <c r="AA3158" i="12"/>
  <c r="AA1372" i="12"/>
  <c r="AA547" i="12"/>
  <c r="AA67" i="12"/>
  <c r="AA1179" i="12"/>
  <c r="AA1138" i="12"/>
  <c r="AA726" i="12"/>
  <c r="AA188" i="12"/>
  <c r="AA3267" i="12"/>
  <c r="AA650" i="12"/>
  <c r="AA1696" i="12"/>
  <c r="AA1967" i="12"/>
  <c r="AA2788" i="12"/>
  <c r="AA2118" i="12"/>
  <c r="AA1420" i="12"/>
  <c r="AA1416" i="12"/>
  <c r="AA3367" i="12"/>
  <c r="AA2124" i="12"/>
  <c r="AA1477" i="12"/>
  <c r="AA3067" i="12"/>
  <c r="AA2003" i="12"/>
  <c r="AA860" i="12"/>
  <c r="AA2057" i="12"/>
  <c r="AA2870" i="12"/>
  <c r="AA221" i="12"/>
  <c r="AA1201" i="12"/>
  <c r="AA886" i="12"/>
  <c r="AA2164" i="12"/>
  <c r="AA141" i="12"/>
  <c r="AA1409" i="12"/>
  <c r="AA2787" i="12"/>
  <c r="AA2718" i="12"/>
  <c r="AA3295" i="12"/>
  <c r="AA340" i="12"/>
  <c r="AA275" i="12"/>
  <c r="AA2711" i="12"/>
  <c r="AA2212" i="12"/>
  <c r="AA1738" i="12"/>
  <c r="AA2612" i="12"/>
  <c r="AA1294" i="12"/>
  <c r="AA842" i="12"/>
  <c r="AA3053" i="12"/>
  <c r="AA3108" i="12"/>
  <c r="AA838" i="12"/>
  <c r="AA1015" i="12"/>
  <c r="AA255" i="12"/>
  <c r="AA2296" i="12"/>
  <c r="AA161" i="12"/>
  <c r="AA978" i="12"/>
  <c r="AA2542" i="12"/>
  <c r="AA36" i="12"/>
  <c r="AA2495" i="12"/>
  <c r="AA2194" i="12"/>
  <c r="AA41" i="12"/>
  <c r="AA1761" i="12"/>
  <c r="AA3027" i="12"/>
  <c r="AA1941" i="12"/>
  <c r="AA2059" i="12"/>
  <c r="AA2778" i="12"/>
  <c r="AA1467" i="12"/>
  <c r="AA137" i="12"/>
  <c r="AA2757" i="12"/>
  <c r="AA3195" i="12"/>
  <c r="AA2368" i="12"/>
  <c r="AA2393" i="12"/>
  <c r="AA1316" i="12"/>
  <c r="AA1754" i="12"/>
  <c r="AA1726" i="12"/>
  <c r="AA2584" i="12"/>
  <c r="AA1313" i="12"/>
  <c r="AA681" i="12"/>
  <c r="AA2945" i="12"/>
  <c r="AA435" i="12"/>
  <c r="AA320" i="12"/>
  <c r="AA1056" i="12"/>
  <c r="AA2537" i="12"/>
  <c r="AA2672" i="12"/>
  <c r="AA1089" i="12"/>
  <c r="AA1371" i="12"/>
  <c r="AA1001" i="12"/>
  <c r="AA2343" i="12"/>
  <c r="AA3330" i="12"/>
  <c r="AA1167" i="12"/>
  <c r="AA2651" i="12"/>
  <c r="AA3509" i="12"/>
  <c r="AA2455" i="12"/>
  <c r="AA888" i="12"/>
  <c r="AA3065" i="12"/>
  <c r="AA2101" i="12"/>
  <c r="AA1742" i="12"/>
  <c r="AA967" i="12"/>
  <c r="AA3173" i="12"/>
  <c r="AA573" i="12"/>
  <c r="AA840" i="12"/>
  <c r="AA1478" i="12"/>
  <c r="AA1198" i="12"/>
  <c r="AA546" i="12"/>
  <c r="AA269" i="12"/>
  <c r="AA68" i="12"/>
  <c r="AA1779" i="12"/>
  <c r="AA2388" i="12"/>
  <c r="AA1509" i="12"/>
  <c r="AA1681" i="12"/>
  <c r="AA762" i="12"/>
  <c r="AA121" i="12"/>
  <c r="AA1389" i="12"/>
  <c r="AA545" i="12"/>
  <c r="AA1948" i="12"/>
  <c r="AA1182" i="12"/>
  <c r="AA2755" i="12"/>
  <c r="AA642" i="12"/>
  <c r="AA1027" i="12"/>
  <c r="AA436" i="12"/>
  <c r="AA230" i="12"/>
  <c r="AA3261" i="12"/>
  <c r="AA3240" i="12"/>
  <c r="AA947" i="12"/>
  <c r="AA1047" i="12"/>
  <c r="AA1660" i="12"/>
  <c r="AA83" i="12"/>
  <c r="AA1787" i="12"/>
  <c r="AA1303" i="12"/>
  <c r="AA632" i="12"/>
  <c r="AA297" i="12"/>
  <c r="AA1555" i="12"/>
  <c r="AA2006" i="12"/>
  <c r="AA2047" i="12"/>
  <c r="AA3332" i="12"/>
  <c r="AA96" i="12"/>
  <c r="AA3299" i="12"/>
  <c r="AA1813" i="12"/>
  <c r="AA2575" i="12"/>
  <c r="AA2088" i="12"/>
  <c r="AA2433" i="12"/>
  <c r="AA1041" i="12"/>
  <c r="AA1697" i="12"/>
  <c r="AA605" i="12"/>
  <c r="AA108" i="12"/>
  <c r="AA1233" i="12"/>
  <c r="AA3216" i="12"/>
  <c r="AA2288" i="12"/>
  <c r="AA3436" i="12"/>
  <c r="AA3546" i="12"/>
  <c r="AA321" i="12"/>
  <c r="AA1234" i="12"/>
  <c r="AA2247" i="12"/>
  <c r="AA1376" i="12"/>
  <c r="AA3275" i="12"/>
  <c r="AA880" i="12"/>
  <c r="AA102" i="12"/>
  <c r="AA277" i="12"/>
  <c r="AA170" i="12"/>
  <c r="AA2468" i="12"/>
  <c r="AA3069" i="12"/>
  <c r="AA78" i="12"/>
  <c r="AA479" i="12"/>
  <c r="AA434" i="12"/>
  <c r="AA1654" i="12"/>
  <c r="AA2276" i="12"/>
  <c r="AA1002" i="12"/>
  <c r="AA1284" i="12"/>
  <c r="AA1491" i="12"/>
  <c r="AA2302" i="12"/>
  <c r="AA2286" i="12"/>
  <c r="AA1834" i="12"/>
  <c r="AA94" i="12"/>
  <c r="AA1228" i="12"/>
  <c r="AA380" i="12"/>
  <c r="AA24" i="12"/>
  <c r="AA1315" i="12"/>
  <c r="AA574" i="12"/>
  <c r="AA50" i="12"/>
  <c r="AA192" i="12"/>
  <c r="AA2529" i="12"/>
  <c r="AA2875" i="12"/>
  <c r="AA1103" i="12"/>
  <c r="AA2827" i="12"/>
  <c r="AA2676" i="12"/>
  <c r="AA1863" i="12"/>
  <c r="AA2809" i="12"/>
  <c r="AA1671" i="12"/>
  <c r="AA2895" i="12"/>
  <c r="AA2228" i="12"/>
  <c r="AA2049" i="12"/>
  <c r="AA1011" i="12"/>
  <c r="AA1328" i="12"/>
  <c r="AA3248" i="12"/>
  <c r="AA3480" i="12"/>
  <c r="AA69" i="12"/>
  <c r="AA1421" i="12"/>
  <c r="AA2094" i="12"/>
  <c r="AA682" i="12"/>
  <c r="AA1735" i="12"/>
  <c r="AA2806" i="12"/>
  <c r="AA2052" i="12"/>
  <c r="AA289" i="12"/>
  <c r="AA2092" i="12"/>
  <c r="AA3306" i="12"/>
  <c r="AA964" i="12"/>
  <c r="AA955" i="12"/>
  <c r="AA3157" i="12"/>
  <c r="AA2279" i="12"/>
  <c r="AA384" i="12"/>
  <c r="AA3495" i="12"/>
  <c r="AA3378" i="12"/>
  <c r="AA1444" i="12"/>
  <c r="AA443" i="12"/>
  <c r="AA1827" i="12"/>
  <c r="AA1634" i="12"/>
  <c r="AA2712" i="12"/>
  <c r="AA1617" i="12"/>
  <c r="AA2530" i="12"/>
  <c r="AA3063" i="12"/>
  <c r="AA1914" i="12"/>
  <c r="AA198" i="12"/>
  <c r="AA468" i="12"/>
  <c r="AA3505" i="12"/>
  <c r="AA2074" i="12"/>
  <c r="AA1921" i="12"/>
  <c r="AA1203" i="12"/>
  <c r="AA313" i="12"/>
  <c r="AA2997" i="12"/>
  <c r="AA2983" i="12"/>
  <c r="AA2135" i="12"/>
  <c r="AA1625" i="12"/>
  <c r="AA354" i="12"/>
  <c r="AA1305" i="12"/>
  <c r="AA453" i="12"/>
  <c r="AA1581" i="12"/>
  <c r="AA2032" i="12"/>
  <c r="AA1476" i="12"/>
  <c r="AA420" i="12"/>
  <c r="AA3205" i="12"/>
  <c r="AA591" i="12"/>
  <c r="AA2461" i="12"/>
  <c r="AA1240" i="12"/>
  <c r="AA2067" i="12"/>
  <c r="AA1890" i="12"/>
  <c r="AA1005" i="12"/>
  <c r="AA507" i="12"/>
  <c r="AA3313" i="12"/>
  <c r="AA292" i="12"/>
  <c r="AA3066" i="12"/>
  <c r="AA456" i="12"/>
  <c r="AA3451" i="12"/>
  <c r="AA2098" i="12"/>
  <c r="AA869" i="12"/>
  <c r="AA2999" i="12"/>
  <c r="AA3407" i="12"/>
  <c r="AA2340" i="12"/>
  <c r="AA848" i="12"/>
  <c r="AA941" i="12"/>
  <c r="AA1133" i="12"/>
  <c r="AA1610" i="12"/>
  <c r="AA2444" i="12"/>
  <c r="AA1612" i="12"/>
  <c r="AA2544" i="12"/>
  <c r="AA396" i="12"/>
  <c r="AA2402" i="12"/>
  <c r="AA1494" i="12"/>
  <c r="AA1113" i="12"/>
  <c r="AA1630" i="12"/>
  <c r="AA1355" i="12"/>
  <c r="AA326" i="12"/>
  <c r="AA2265" i="12"/>
  <c r="AA558" i="12"/>
  <c r="AA2072" i="12"/>
  <c r="AA1248" i="12"/>
  <c r="AA1272" i="12"/>
  <c r="AA2494" i="12"/>
  <c r="AA2661" i="12"/>
  <c r="AA764" i="12"/>
  <c r="AA1825" i="12"/>
  <c r="AA3092" i="12"/>
  <c r="AA2239" i="12"/>
  <c r="AA1174" i="12"/>
  <c r="AA3385" i="12"/>
  <c r="AA1341" i="12"/>
  <c r="AA1632" i="12"/>
  <c r="AA757" i="12"/>
  <c r="AA1230" i="12"/>
  <c r="AA990" i="12"/>
  <c r="AA1830" i="12"/>
  <c r="AA2084" i="12"/>
  <c r="AA3326" i="12"/>
  <c r="AA329" i="12"/>
  <c r="AA1029" i="12"/>
  <c r="AA830" i="12"/>
  <c r="AA1374" i="12"/>
  <c r="AA2299" i="12"/>
  <c r="AA3338" i="12"/>
  <c r="AA2804" i="12"/>
  <c r="AA2037" i="12"/>
  <c r="AA3380" i="12"/>
  <c r="AA2267" i="12"/>
  <c r="AA3341" i="12"/>
  <c r="AA1023" i="12"/>
  <c r="AA3035" i="12"/>
  <c r="AA2695" i="12"/>
  <c r="AA2071" i="12"/>
  <c r="AA954" i="12"/>
  <c r="AA2470" i="12"/>
  <c r="AA3188" i="12"/>
  <c r="AA951" i="12"/>
  <c r="AA3159" i="12"/>
  <c r="AA3511" i="12"/>
  <c r="AA1463" i="12"/>
  <c r="AA1710" i="12"/>
  <c r="AA1536" i="12"/>
  <c r="AA828" i="12"/>
  <c r="AA258" i="12"/>
  <c r="AA1558" i="12"/>
  <c r="AA1051" i="12"/>
  <c r="AA3146" i="12"/>
  <c r="AA1520" i="12"/>
  <c r="AA1916" i="12"/>
  <c r="AA2132" i="12"/>
  <c r="AA2735" i="12"/>
  <c r="AA527" i="12"/>
  <c r="AA2554" i="12"/>
  <c r="AA87" i="12"/>
  <c r="AA593" i="12"/>
  <c r="AA2134" i="12"/>
  <c r="AA2076" i="12"/>
  <c r="AA1601" i="12"/>
  <c r="AA594" i="12"/>
  <c r="AA1336" i="12"/>
  <c r="AA2785" i="12"/>
  <c r="AA2086" i="12"/>
  <c r="AA1269" i="12"/>
  <c r="AA2645" i="12"/>
  <c r="AA603" i="12"/>
  <c r="AA1994" i="12"/>
  <c r="AA1084" i="12"/>
  <c r="AA264" i="12"/>
  <c r="AA1326" i="12"/>
  <c r="AA1153" i="12"/>
  <c r="AA1699" i="12"/>
  <c r="AA1769" i="12"/>
  <c r="AA1562" i="12"/>
  <c r="AA3206" i="12"/>
  <c r="AA2481" i="12"/>
  <c r="AA2054" i="12"/>
  <c r="AA426" i="12"/>
  <c r="AA1895" i="12"/>
  <c r="AA1471" i="12"/>
  <c r="AA3087" i="12"/>
  <c r="AA414" i="12"/>
  <c r="AA1043" i="12"/>
  <c r="AA3001" i="12"/>
  <c r="AA2923" i="12"/>
  <c r="AA794" i="12"/>
  <c r="AA714" i="12"/>
  <c r="AA3051" i="12"/>
  <c r="AA966" i="12"/>
  <c r="AA1565" i="12"/>
  <c r="AA3089" i="12"/>
  <c r="AA2890" i="12"/>
  <c r="AA973" i="12"/>
  <c r="AA845" i="12"/>
  <c r="AA2207" i="12"/>
  <c r="AA763" i="12"/>
  <c r="AA2531" i="12"/>
  <c r="AA3448" i="12"/>
  <c r="AA1292" i="12"/>
  <c r="AA130" i="12"/>
  <c r="AA3430" i="12"/>
  <c r="AA1733" i="12"/>
  <c r="AA1879" i="12"/>
  <c r="AA2350" i="12"/>
  <c r="AA2421" i="12"/>
  <c r="AA2432" i="12"/>
  <c r="AA2451" i="12"/>
  <c r="AA2865" i="12"/>
  <c r="AA523" i="12"/>
  <c r="AA1833" i="12"/>
  <c r="AA3259" i="12"/>
  <c r="AA868" i="12"/>
  <c r="AA1040" i="12"/>
  <c r="AA1881" i="12"/>
  <c r="AA2344" i="12"/>
  <c r="AA2713" i="12"/>
  <c r="AA1936" i="12"/>
  <c r="AA2893" i="12"/>
  <c r="AA1930" i="12"/>
  <c r="AA1852" i="12"/>
  <c r="AA786" i="12"/>
  <c r="AA1433" i="12"/>
  <c r="AA697" i="12"/>
  <c r="AA1415" i="12"/>
  <c r="AA360" i="12"/>
  <c r="AA3218" i="12"/>
  <c r="AA2936" i="12"/>
  <c r="AA2051" i="12"/>
  <c r="AA949" i="12"/>
  <c r="AA739" i="12"/>
  <c r="AA323" i="12"/>
  <c r="AA2836" i="12"/>
  <c r="AA2932" i="12"/>
  <c r="AA1131" i="12"/>
  <c r="AA675" i="12"/>
  <c r="AA510" i="12"/>
  <c r="AA2606" i="12"/>
  <c r="AA2919" i="12"/>
  <c r="AA173" i="12"/>
  <c r="AA3221" i="12"/>
  <c r="AA62" i="12"/>
  <c r="AA1175" i="12"/>
  <c r="AA2581" i="12"/>
  <c r="AA3120" i="12"/>
  <c r="AA3229" i="12"/>
  <c r="AA2574" i="12"/>
  <c r="AA2169" i="12"/>
  <c r="AA377" i="12"/>
  <c r="AA3372" i="12"/>
  <c r="AA684" i="12"/>
  <c r="AA1501" i="12"/>
  <c r="AA615" i="12"/>
  <c r="AA2786" i="12"/>
  <c r="AA1925" i="12"/>
  <c r="AA1698" i="12"/>
  <c r="AA3165" i="12"/>
  <c r="AA1254" i="12"/>
  <c r="AA1938" i="12"/>
  <c r="AA140" i="12"/>
  <c r="AA1086" i="12"/>
  <c r="AA3194" i="12"/>
  <c r="AA676" i="12"/>
  <c r="AA1781" i="12"/>
  <c r="AA864" i="12"/>
  <c r="AA1615" i="12"/>
  <c r="AA3168" i="12"/>
  <c r="AA3327" i="12"/>
  <c r="AA205" i="12"/>
  <c r="AA1913" i="12"/>
  <c r="AA1019" i="12"/>
  <c r="AA677" i="12"/>
  <c r="AA1722" i="12"/>
  <c r="AA1992" i="12"/>
  <c r="AA1945" i="12"/>
  <c r="AA2543" i="12"/>
  <c r="AA3105" i="12"/>
  <c r="AA1081" i="12"/>
  <c r="AA2687" i="12"/>
  <c r="AA3111" i="12"/>
  <c r="AA1111" i="12"/>
  <c r="AA2472" i="12"/>
  <c r="AA580" i="12"/>
  <c r="AA3177" i="12"/>
  <c r="AA1162" i="12"/>
  <c r="AA2460" i="12"/>
  <c r="AA1935" i="12"/>
  <c r="AA3434" i="12"/>
  <c r="AA3337" i="12"/>
  <c r="AA740" i="12"/>
  <c r="AA59" i="12"/>
  <c r="AA3135" i="12"/>
  <c r="AA3030" i="12"/>
  <c r="AA3263" i="12"/>
  <c r="AA3438" i="12"/>
  <c r="AA1178" i="12"/>
  <c r="AA1899" i="12"/>
  <c r="AA3163" i="12"/>
  <c r="AA251" i="12"/>
  <c r="AA1667" i="12"/>
  <c r="AA1778" i="12"/>
  <c r="AA3011" i="12"/>
  <c r="AA2131" i="12"/>
  <c r="AA381" i="12"/>
  <c r="AA2256" i="12"/>
  <c r="AA2252" i="12"/>
  <c r="AA1636" i="12"/>
  <c r="AA916" i="12"/>
  <c r="AA2704" i="12"/>
  <c r="AA2464" i="12"/>
  <c r="AA3293" i="12"/>
  <c r="AA2015" i="12"/>
  <c r="AA3443" i="12"/>
  <c r="AA2557" i="12"/>
  <c r="AA2858" i="12"/>
  <c r="AA2967" i="12"/>
  <c r="AA3213" i="12"/>
  <c r="AA621" i="12"/>
  <c r="AA2910" i="12"/>
  <c r="AA2621" i="12"/>
  <c r="AA2407" i="12"/>
  <c r="AA1633" i="12"/>
  <c r="AA2462" i="12"/>
  <c r="AA2060" i="12"/>
  <c r="AA1757" i="12"/>
  <c r="AA1622" i="12"/>
  <c r="AA19" i="12"/>
  <c r="AA2871" i="12"/>
  <c r="AA944" i="12"/>
  <c r="AA2274" i="12"/>
  <c r="AA3235" i="12"/>
  <c r="AA3172" i="12"/>
  <c r="AA2289" i="12"/>
  <c r="AA3437" i="12"/>
  <c r="AA245" i="12"/>
  <c r="AA3176" i="12"/>
  <c r="AA1965" i="12"/>
  <c r="AA1599" i="12"/>
  <c r="AA2418" i="12"/>
  <c r="AA2488" i="12"/>
  <c r="AA2642" i="12"/>
  <c r="AA872" i="12"/>
  <c r="AA1605" i="12"/>
  <c r="AA643" i="12"/>
  <c r="AA3543" i="12"/>
  <c r="AA2538" i="12"/>
  <c r="AA2174" i="12"/>
  <c r="AA1332" i="12"/>
  <c r="AA2379" i="12"/>
  <c r="AA2196" i="12"/>
  <c r="AA2314" i="12"/>
  <c r="AA2151" i="12"/>
  <c r="AA1711" i="12"/>
  <c r="AA876" i="12"/>
  <c r="AA1608" i="12"/>
  <c r="AA106" i="12"/>
  <c r="AA342" i="12"/>
  <c r="AA361" i="12"/>
  <c r="AA3302" i="12"/>
  <c r="AA437" i="12"/>
  <c r="AA2855" i="12"/>
  <c r="AA2564" i="12"/>
  <c r="AA105" i="12"/>
  <c r="AA2525" i="12"/>
  <c r="AA2732" i="12"/>
  <c r="AA2886" i="12"/>
  <c r="AA870" i="12"/>
  <c r="AA1502" i="12"/>
  <c r="AA20" i="12"/>
  <c r="AA1797" i="12"/>
  <c r="AA1763" i="12"/>
  <c r="AA1977" i="12"/>
  <c r="AA1202" i="12"/>
  <c r="AA1854" i="12"/>
  <c r="AA1705" i="12"/>
  <c r="AA2091" i="12"/>
  <c r="AA1708" i="12"/>
  <c r="AA1917" i="12"/>
  <c r="AA43" i="12"/>
  <c r="AA1413" i="12"/>
  <c r="AA2724" i="12"/>
  <c r="AA2938" i="12"/>
  <c r="AA2896" i="12"/>
  <c r="AA2065" i="12"/>
  <c r="AA3054" i="12"/>
  <c r="AA927" i="12"/>
  <c r="AA1215" i="12"/>
  <c r="AA3167" i="12"/>
  <c r="AA1762" i="12"/>
  <c r="AA3107" i="12"/>
  <c r="AA1573" i="12"/>
  <c r="AA254" i="12"/>
  <c r="AA668" i="12"/>
  <c r="AA1988" i="12"/>
  <c r="AA712" i="12"/>
  <c r="AA2422" i="12"/>
  <c r="AA2133" i="12"/>
  <c r="AA814" i="12"/>
  <c r="AA2309" i="12"/>
  <c r="AA2175" i="12"/>
  <c r="AA1909" i="12"/>
  <c r="AA1840" i="12"/>
  <c r="AA28" i="12"/>
  <c r="AA825" i="12"/>
  <c r="AA655" i="12"/>
  <c r="AA703" i="12"/>
  <c r="AA1435" i="12"/>
  <c r="AA2075" i="12"/>
  <c r="AA2776" i="12"/>
  <c r="AA2716" i="12"/>
  <c r="AA2467" i="12"/>
  <c r="AA2157" i="12"/>
  <c r="AA2846" i="12"/>
  <c r="AA2746" i="12"/>
  <c r="AA3225" i="12"/>
  <c r="AA424" i="12"/>
  <c r="AA752" i="12"/>
  <c r="AA895" i="12"/>
  <c r="AA164" i="12"/>
  <c r="AA2033" i="12"/>
  <c r="AA136" i="12"/>
  <c r="AA1530" i="12"/>
  <c r="AA1589" i="12"/>
  <c r="AA2502" i="12"/>
  <c r="AA863" i="12"/>
  <c r="AA1121" i="12"/>
  <c r="AA201" i="12"/>
  <c r="AA3489" i="12"/>
  <c r="AA1758" i="12"/>
  <c r="AA1966" i="12"/>
  <c r="AA631" i="12"/>
  <c r="AA3311" i="12"/>
  <c r="AA1325" i="12"/>
  <c r="AA3198" i="12"/>
  <c r="AA425" i="12"/>
  <c r="AA1984" i="12"/>
  <c r="AA1285" i="12"/>
  <c r="AA1310" i="12"/>
  <c r="AA680" i="12"/>
  <c r="AA808" i="12"/>
  <c r="AA662" i="12"/>
  <c r="AA1298" i="12"/>
  <c r="AA2768" i="12"/>
  <c r="AA463" i="12"/>
  <c r="AA115" i="12"/>
  <c r="AA2572" i="12"/>
  <c r="AA413" i="12"/>
  <c r="AA1359" i="12"/>
  <c r="AA3351" i="12"/>
  <c r="AA1808" i="12"/>
  <c r="AA1889" i="12"/>
  <c r="AA561" i="12"/>
  <c r="AA2643" i="12"/>
  <c r="AA2390" i="12"/>
  <c r="AA389" i="12"/>
  <c r="AA965" i="12"/>
  <c r="AA2696" i="12"/>
  <c r="AA2377" i="12"/>
  <c r="AA971" i="12"/>
  <c r="AA3116" i="12"/>
  <c r="AA2553" i="12"/>
  <c r="AA2841" i="12"/>
  <c r="AA229" i="12"/>
  <c r="AA177" i="12"/>
  <c r="AA370" i="12"/>
  <c r="AA3123" i="12"/>
  <c r="AA613" i="12"/>
  <c r="AA1886" i="12"/>
  <c r="AA3058" i="12"/>
  <c r="AA1186" i="12"/>
  <c r="AA1012" i="12"/>
  <c r="AA891" i="12"/>
  <c r="AA2213" i="12"/>
  <c r="AA3137" i="12"/>
  <c r="AA3413" i="12"/>
  <c r="AA2398" i="12"/>
  <c r="AA2622" i="12"/>
  <c r="AA2596" i="12"/>
  <c r="AA3455" i="12"/>
  <c r="AA548" i="12"/>
  <c r="AA787" i="12"/>
  <c r="AA2285" i="12"/>
  <c r="AA1414" i="12"/>
  <c r="AA1101" i="12"/>
  <c r="AA929" i="12"/>
  <c r="AA1115" i="12"/>
  <c r="AA1402" i="12"/>
  <c r="AA1960" i="12"/>
  <c r="AA3021" i="12"/>
  <c r="AA2777" i="12"/>
  <c r="AA2947" i="12"/>
  <c r="AA644" i="12"/>
  <c r="AA1979" i="12"/>
  <c r="AA3022" i="12"/>
  <c r="AA3164" i="12"/>
  <c r="AA2438" i="12"/>
  <c r="AA1087" i="12"/>
  <c r="AA408" i="12"/>
  <c r="AA3174" i="12"/>
  <c r="AA2144" i="12"/>
  <c r="AA2501" i="12"/>
  <c r="AA2257" i="12"/>
  <c r="AA2383" i="12"/>
  <c r="AA3319" i="12"/>
  <c r="AA220" i="12"/>
  <c r="AA3142" i="12"/>
  <c r="AA3288" i="12"/>
  <c r="AA373" i="12"/>
  <c r="AA2589" i="12"/>
  <c r="AA724" i="12"/>
  <c r="AA1319" i="12"/>
  <c r="AA2347" i="12"/>
  <c r="AA1701" i="12"/>
  <c r="AA3301" i="12"/>
  <c r="AA2856" i="12"/>
  <c r="AA1500" i="12"/>
  <c r="AA1008" i="12"/>
  <c r="AA3252" i="12"/>
  <c r="AA3201" i="12"/>
  <c r="AA2298" i="12"/>
  <c r="AA1990" i="12"/>
  <c r="AA812" i="12"/>
  <c r="AA871" i="12"/>
  <c r="AA3091" i="12"/>
  <c r="AA57" i="12"/>
  <c r="AA1689" i="12"/>
  <c r="AA744" i="12"/>
  <c r="AA604" i="12"/>
  <c r="AA3013" i="12"/>
  <c r="AA1458" i="12"/>
  <c r="AA3215" i="12"/>
  <c r="AA3160" i="12"/>
  <c r="AA224" i="12"/>
  <c r="AA1256" i="12"/>
  <c r="AA1177" i="12"/>
  <c r="AA3033" i="12"/>
  <c r="AA3439" i="12"/>
  <c r="AA2195" i="12"/>
  <c r="AA2408" i="12"/>
  <c r="AA1746" i="12"/>
  <c r="AA2263" i="12"/>
  <c r="AA210" i="12"/>
  <c r="AA3086" i="12"/>
  <c r="AA906" i="12"/>
  <c r="AA3470" i="12"/>
  <c r="AA737" i="12"/>
  <c r="AA3325" i="12"/>
  <c r="AA2450" i="12"/>
  <c r="AA1078" i="12"/>
  <c r="AA1777" i="12"/>
  <c r="AA2110" i="12"/>
  <c r="AA1369" i="12"/>
  <c r="AA1434" i="12"/>
  <c r="AA3360" i="12"/>
  <c r="AA792" i="12"/>
  <c r="AA1644" i="12"/>
  <c r="AA1082" i="12"/>
  <c r="AA1880" i="12"/>
  <c r="AA749" i="12"/>
  <c r="AA2796" i="12"/>
  <c r="AA390" i="12"/>
  <c r="AA3290" i="12"/>
  <c r="AA1252" i="12"/>
  <c r="AA883" i="12"/>
  <c r="AA3321" i="12"/>
  <c r="AA194" i="12"/>
  <c r="AA533" i="12"/>
  <c r="AA70" i="12"/>
  <c r="AA1668" i="12"/>
  <c r="AA977" i="12"/>
  <c r="AA1526" i="12"/>
  <c r="AA1903" i="12"/>
  <c r="AA2765" i="12"/>
  <c r="AA2369" i="12"/>
  <c r="AA1824" i="12"/>
  <c r="AA3371" i="12"/>
  <c r="AA284" i="12"/>
  <c r="AA1360" i="12"/>
  <c r="AA1102" i="12"/>
  <c r="AA2738" i="12"/>
  <c r="AA1279" i="12"/>
  <c r="AA991" i="12"/>
  <c r="AA3200" i="12"/>
  <c r="AA663" i="12"/>
  <c r="AA2504" i="12"/>
  <c r="AA3262" i="12"/>
  <c r="AA2996" i="12"/>
  <c r="AA1189" i="12"/>
  <c r="AA257" i="12"/>
  <c r="AA3236" i="12"/>
  <c r="AA101" i="12"/>
  <c r="AA2701" i="12"/>
  <c r="AA1582" i="12"/>
  <c r="AA3012" i="12"/>
  <c r="AA1280" i="12"/>
  <c r="AA1714" i="12"/>
  <c r="AA2305" i="12"/>
  <c r="AA2202" i="12"/>
  <c r="AA2853" i="12"/>
  <c r="AA509" i="12"/>
  <c r="AA3152" i="12"/>
  <c r="AA897" i="12"/>
  <c r="AA2933" i="12"/>
  <c r="AA1986" i="12"/>
  <c r="AA2691" i="12"/>
  <c r="AA63" i="12"/>
  <c r="AA2007" i="12"/>
  <c r="AA2150" i="12"/>
  <c r="AA649" i="12"/>
  <c r="AA3230" i="12"/>
  <c r="AA2727" i="12"/>
  <c r="AA2427" i="12"/>
  <c r="AA2306" i="12"/>
  <c r="AA2019" i="12"/>
  <c r="AA3222" i="12"/>
  <c r="AA2962" i="12"/>
  <c r="AA2097" i="12"/>
  <c r="AA1243" i="12"/>
  <c r="AA1669" i="12"/>
  <c r="AA2669" i="12"/>
  <c r="AA778" i="12"/>
  <c r="AA2723" i="12"/>
  <c r="AA497" i="12"/>
  <c r="AA2684" i="12"/>
  <c r="AA2761" i="12"/>
  <c r="AA2780" i="12"/>
  <c r="AA667" i="12"/>
  <c r="AA454" i="12"/>
  <c r="AA1901" i="12"/>
  <c r="AA1635" i="12"/>
  <c r="AA2526" i="12"/>
  <c r="AA2000" i="12"/>
  <c r="AA543" i="12"/>
  <c r="AA2013" i="12"/>
  <c r="AA2353" i="12"/>
  <c r="AA1985" i="12"/>
  <c r="AA1695" i="12"/>
  <c r="AA2878" i="12"/>
  <c r="AA2201" i="12"/>
  <c r="AA172" i="12"/>
  <c r="AA3147" i="12"/>
  <c r="AA126" i="12"/>
  <c r="AA1216" i="12"/>
  <c r="AA732" i="12"/>
  <c r="AA1846" i="12"/>
  <c r="AA706" i="12"/>
  <c r="AA846" i="12"/>
  <c r="AA307" i="12"/>
  <c r="AA3482" i="12"/>
  <c r="AA1095" i="12"/>
  <c r="AA1804" i="12"/>
  <c r="AA1378" i="12"/>
  <c r="AA2683" i="12"/>
  <c r="AA3397" i="12"/>
  <c r="AA1614" i="12"/>
  <c r="AA3210" i="12"/>
  <c r="AA768" i="12"/>
  <c r="AA2869" i="12"/>
  <c r="AA678" i="12"/>
  <c r="AA2580" i="12"/>
  <c r="AA2943" i="12"/>
  <c r="AA3303" i="12"/>
  <c r="AA2745" i="12"/>
  <c r="AA445" i="12"/>
  <c r="AA1223" i="12"/>
  <c r="AA1942" i="12"/>
  <c r="AA2600" i="12"/>
  <c r="AA1855" i="12"/>
  <c r="AA2931" i="12"/>
  <c r="AA1077" i="12"/>
  <c r="AA1071" i="12"/>
  <c r="AA968" i="12"/>
  <c r="AA2185" i="12"/>
  <c r="AA3039" i="12"/>
  <c r="AA2906" i="12"/>
  <c r="AA1157" i="12"/>
  <c r="AA3025" i="12"/>
  <c r="AA44" i="12"/>
  <c r="AA1074" i="12"/>
  <c r="AA76" i="12"/>
  <c r="AA1785" i="12"/>
  <c r="AA2012" i="12"/>
  <c r="AA1093" i="12"/>
  <c r="AA1059" i="12"/>
  <c r="AA567" i="12"/>
  <c r="AA1267" i="12"/>
  <c r="AA2405" i="12"/>
  <c r="AA2636" i="12"/>
  <c r="AA1894" i="12"/>
  <c r="AA1534" i="12"/>
  <c r="AA1173" i="12"/>
  <c r="AA626" i="12"/>
  <c r="AA2116" i="12"/>
  <c r="AA1288" i="12"/>
  <c r="AA1036" i="12"/>
  <c r="AA1604" i="12"/>
  <c r="AA1646" i="12"/>
  <c r="AA1859" i="12"/>
  <c r="AA616" i="12"/>
  <c r="AA996" i="12"/>
  <c r="AA3447" i="12"/>
  <c r="AA2492" i="12"/>
  <c r="AA2540" i="12"/>
  <c r="AA1273" i="12"/>
  <c r="AA1482" i="12"/>
  <c r="AA2231" i="12"/>
  <c r="AA754" i="12"/>
  <c r="AA3336" i="12"/>
  <c r="AA2595" i="12"/>
  <c r="AA2668" i="12"/>
  <c r="AA1187" i="12"/>
  <c r="AA1564" i="12"/>
  <c r="AA2791" i="12"/>
  <c r="AA3228" i="12"/>
  <c r="AA3052" i="12"/>
  <c r="AA2759" i="12"/>
  <c r="AA1155" i="12"/>
  <c r="AA58" i="12"/>
  <c r="AA641" i="12"/>
  <c r="AA21" i="12"/>
  <c r="AA2839" i="12"/>
  <c r="AA2366" i="12"/>
  <c r="AA1335" i="12"/>
  <c r="AA410" i="12"/>
  <c r="AA1628" i="12"/>
  <c r="AA2864" i="12"/>
  <c r="AA975" i="12"/>
  <c r="AA2396" i="12"/>
  <c r="AA1117" i="12"/>
  <c r="AA501" i="12"/>
  <c r="AA824" i="12"/>
  <c r="AA3034" i="12"/>
  <c r="AA2312" i="12"/>
  <c r="AA237" i="12"/>
  <c r="AA3136" i="12"/>
  <c r="AA1465" i="12"/>
  <c r="AA1937" i="12"/>
  <c r="AA700" i="12"/>
  <c r="AA1703" i="12"/>
  <c r="AA278" i="12"/>
  <c r="AA301" i="12"/>
  <c r="AA2375" i="12"/>
  <c r="AA1944" i="12"/>
  <c r="AA438" i="12"/>
  <c r="AA2034" i="12"/>
  <c r="AA2823" i="12"/>
  <c r="AA1034" i="12"/>
  <c r="AA3049" i="12"/>
  <c r="AA1065" i="12"/>
  <c r="AA905" i="12"/>
  <c r="AA2457" i="12"/>
  <c r="AA34" i="12"/>
  <c r="AA555" i="12"/>
  <c r="AA2524" i="12"/>
  <c r="AA1507" i="12"/>
  <c r="AA73" i="12"/>
  <c r="AA1858" i="12"/>
  <c r="AA3101" i="12"/>
  <c r="AA416" i="12"/>
  <c r="AA2442" i="12"/>
  <c r="AA1156" i="12"/>
  <c r="AA2420" i="12"/>
  <c r="AA2828" i="12"/>
  <c r="AA552" i="12"/>
  <c r="AA2693" i="12"/>
  <c r="AA513" i="12"/>
  <c r="AA3422" i="12"/>
  <c r="AA1381" i="12"/>
  <c r="AA584" i="12"/>
  <c r="AA1063" i="12"/>
  <c r="AA820" i="12"/>
  <c r="AA3185" i="12"/>
  <c r="AA2994" i="12"/>
  <c r="AA1550" i="12"/>
  <c r="AA3026" i="12"/>
  <c r="AA524" i="12"/>
  <c r="AA75" i="12"/>
  <c r="AA3525" i="12"/>
  <c r="AA2825" i="12"/>
  <c r="AA1466" i="12"/>
  <c r="AA559" i="12"/>
  <c r="AA1470" i="12"/>
  <c r="AA312" i="12"/>
  <c r="AA1567" i="12"/>
  <c r="AA3189" i="12"/>
  <c r="AA1339" i="12"/>
  <c r="AA2154" i="12"/>
  <c r="AA1352" i="12"/>
  <c r="AA2783" i="12"/>
  <c r="AA451" i="12"/>
  <c r="AA3109" i="12"/>
  <c r="AA2814" i="12"/>
  <c r="AA683" i="12"/>
  <c r="AA310" i="12"/>
  <c r="AA1030" i="12"/>
  <c r="AA1396" i="12"/>
  <c r="AA2891" i="12"/>
  <c r="AA940" i="12"/>
  <c r="AA2674" i="12"/>
  <c r="AA2629" i="12"/>
  <c r="AA458" i="12"/>
  <c r="AA765" i="12"/>
  <c r="AA131" i="12"/>
  <c r="AA938" i="12"/>
  <c r="AA1888" i="12"/>
  <c r="AA2282" i="12"/>
  <c r="AA1662" i="12"/>
  <c r="AA356" i="12"/>
  <c r="AA518" i="12"/>
  <c r="AA619" i="12"/>
  <c r="AA847" i="12"/>
  <c r="AA873" i="12"/>
  <c r="AA2963" i="12"/>
  <c r="AA3520" i="12"/>
  <c r="AA2448" i="12"/>
  <c r="AA2136" i="12"/>
  <c r="AA330" i="12"/>
  <c r="AA1712" i="12"/>
  <c r="AA709" i="12"/>
  <c r="AA999" i="12"/>
  <c r="AA2297" i="12"/>
  <c r="AA448" i="12"/>
  <c r="AA3265" i="12"/>
  <c r="AA2721" i="12"/>
  <c r="AA1329" i="12"/>
  <c r="AA1775" i="12"/>
  <c r="AA587" i="12"/>
  <c r="AA3014" i="12"/>
  <c r="AA565" i="12"/>
  <c r="AA656" i="12"/>
  <c r="AA2145" i="12"/>
  <c r="AA1168" i="12"/>
  <c r="AA459" i="12"/>
  <c r="AA1218" i="12"/>
  <c r="AA3048" i="12"/>
  <c r="AA3016" i="12"/>
  <c r="AA3492" i="12"/>
  <c r="AA1028" i="12"/>
  <c r="AA889" i="12"/>
  <c r="AA394" i="12"/>
  <c r="AA1566" i="12"/>
  <c r="AA1503" i="12"/>
  <c r="AA595" i="12"/>
  <c r="AA93" i="12"/>
  <c r="AA817" i="12"/>
  <c r="AA597" i="12"/>
  <c r="AA1922" i="12"/>
  <c r="AA1110" i="12"/>
  <c r="AA2300" i="12"/>
  <c r="AA1597" i="12"/>
  <c r="AA1123" i="12"/>
  <c r="AA2394" i="12"/>
  <c r="AA1010" i="12"/>
  <c r="AA3362" i="12"/>
  <c r="AA844" i="12"/>
  <c r="AA3162" i="12"/>
  <c r="AA2685" i="12"/>
  <c r="AA3469" i="12"/>
  <c r="AA3315" i="12"/>
  <c r="AA802" i="12"/>
  <c r="AA695" i="12"/>
  <c r="AA417" i="12"/>
  <c r="AA1181" i="12"/>
  <c r="AA913" i="12"/>
  <c r="AA2360" i="12"/>
  <c r="AA3431" i="12"/>
  <c r="AA2627" i="12"/>
  <c r="AA1460" i="12"/>
  <c r="AA2518" i="12"/>
  <c r="AA1496" i="12"/>
  <c r="AA2570" i="12"/>
  <c r="AA1052" i="12"/>
  <c r="AA741" i="12"/>
  <c r="AA2821" i="12"/>
  <c r="AA3414" i="12"/>
  <c r="AA2717" i="12"/>
  <c r="AA970" i="12"/>
  <c r="AA1831" i="12"/>
  <c r="AA892" i="12"/>
  <c r="AA1850" i="12"/>
  <c r="AA1386" i="12"/>
  <c r="AA1844" i="12"/>
  <c r="AA415" i="12"/>
  <c r="AA2315" i="12"/>
  <c r="AA503" i="12"/>
  <c r="AA207" i="12"/>
  <c r="AA1119" i="12"/>
  <c r="AA569" i="12"/>
  <c r="AA466" i="12"/>
  <c r="AA582" i="12"/>
  <c r="AA624" i="12"/>
  <c r="AA2547" i="12"/>
  <c r="AA107" i="12"/>
  <c r="AA935" i="12"/>
  <c r="AA2025" i="12"/>
  <c r="AA2934" i="12"/>
  <c r="AA261" i="12"/>
  <c r="AA1812" i="12"/>
  <c r="AA2766" i="12"/>
  <c r="AA2453" i="12"/>
  <c r="AA1358" i="12"/>
  <c r="AA1821" i="12"/>
  <c r="AA54" i="12"/>
  <c r="AA302" i="12"/>
  <c r="AA1727" i="12"/>
  <c r="AA3211" i="12"/>
  <c r="AA1423" i="12"/>
  <c r="AA3479" i="12"/>
  <c r="AA1569" i="12"/>
  <c r="AA924" i="12"/>
  <c r="AA3512" i="12"/>
  <c r="AA2935" i="12"/>
  <c r="AA142" i="12"/>
  <c r="AA2480" i="12"/>
  <c r="AA1430" i="12"/>
  <c r="AA2355" i="12"/>
  <c r="AA2826" i="12"/>
  <c r="AA1702" i="12"/>
  <c r="AA1838" i="12"/>
  <c r="AA3450" i="12"/>
  <c r="AA392" i="12"/>
  <c r="AA780" i="12"/>
  <c r="AA2729" i="12"/>
  <c r="AA3238" i="12"/>
  <c r="AA183" i="12"/>
  <c r="AA1212" i="12"/>
  <c r="AA2130" i="12"/>
  <c r="AA2476" i="12"/>
  <c r="AA1454" i="12"/>
  <c r="AA1066" i="12"/>
  <c r="AA2041" i="12"/>
  <c r="AA1473" i="12"/>
  <c r="AA2658" i="12"/>
  <c r="AA169" i="12"/>
  <c r="AA1687" i="12"/>
  <c r="AA793" i="12"/>
  <c r="AA2401" i="12"/>
  <c r="AA2803" i="12"/>
  <c r="AA2170" i="12"/>
  <c r="AA422" i="12"/>
  <c r="AA143" i="12"/>
  <c r="AA213" i="12"/>
  <c r="AA279" i="12"/>
  <c r="AA1547" i="12"/>
  <c r="AA2419" i="12"/>
  <c r="AA154" i="12"/>
  <c r="AA2852" i="12"/>
  <c r="AA327" i="12"/>
  <c r="AA211" i="12"/>
  <c r="AA2266" i="12"/>
  <c r="AA3292" i="12"/>
  <c r="AA2675" i="12"/>
  <c r="AA640" i="12"/>
  <c r="AA1481" i="12"/>
  <c r="AA660" i="12"/>
  <c r="AA570" i="12"/>
  <c r="AA3132" i="12"/>
  <c r="AA592" i="12"/>
  <c r="AA128" i="12"/>
  <c r="AA2880" i="12"/>
  <c r="AA2907" i="12"/>
  <c r="AA98" i="12"/>
  <c r="AA1365" i="12"/>
  <c r="AA3433" i="12"/>
  <c r="AA236" i="12"/>
  <c r="AA253" i="12"/>
  <c r="AA2415" i="12"/>
  <c r="AA3272" i="12"/>
  <c r="AA3417" i="12"/>
  <c r="AA1054" i="12"/>
  <c r="AA1016" i="12"/>
  <c r="AA1839" i="12"/>
  <c r="AA411" i="12"/>
  <c r="AA577" i="12"/>
  <c r="AA2639" i="12"/>
  <c r="AA3375" i="12"/>
  <c r="AA772" i="12"/>
  <c r="AA1390" i="12"/>
  <c r="AA1624" i="12"/>
  <c r="AA1347" i="12"/>
  <c r="AA2593" i="12"/>
  <c r="AA1924" i="12"/>
  <c r="AA494" i="12"/>
  <c r="AA3485" i="12"/>
  <c r="AA2981" i="12"/>
  <c r="AA240" i="12"/>
  <c r="AA2703" i="12"/>
  <c r="AA2868" i="12"/>
  <c r="AA3081" i="12"/>
  <c r="AA2733" i="12"/>
  <c r="AA1637" i="12"/>
  <c r="AA429" i="12"/>
  <c r="AA3456" i="12"/>
  <c r="AA723" i="12"/>
  <c r="AA2411" i="12"/>
  <c r="AA894" i="12"/>
  <c r="AA1122" i="12"/>
  <c r="AA1964" i="12"/>
  <c r="AA82" i="12"/>
  <c r="AA3219" i="12"/>
  <c r="AA1974" i="12"/>
  <c r="AA2141" i="12"/>
  <c r="AA3179" i="12"/>
  <c r="AA181" i="12"/>
  <c r="AA1971" i="12"/>
  <c r="AA294" i="12"/>
  <c r="AA1276" i="12"/>
  <c r="AA1653" i="12"/>
  <c r="AA2562" i="12"/>
  <c r="AA893" i="12"/>
  <c r="AA1000" i="12"/>
  <c r="AA2760" i="12"/>
  <c r="AA3249" i="12"/>
  <c r="AA3145" i="12"/>
  <c r="AA3333" i="12"/>
  <c r="AA1907" i="12"/>
  <c r="AA2122" i="12"/>
  <c r="AA1290" i="12"/>
  <c r="AA2849" i="12"/>
  <c r="AA708" i="12"/>
  <c r="AA2649" i="12"/>
  <c r="AA351" i="12"/>
  <c r="AA1647" i="12"/>
  <c r="AA2045" i="12"/>
  <c r="AA252" i="12"/>
  <c r="AA1150" i="12"/>
  <c r="AA1789" i="12"/>
  <c r="AA796" i="12"/>
  <c r="AA3139" i="12"/>
  <c r="AA1946" i="12"/>
  <c r="AA3457" i="12"/>
  <c r="AA1896" i="12"/>
  <c r="AA186" i="12"/>
  <c r="AA2040" i="12"/>
  <c r="AA1518" i="12"/>
  <c r="AA1996" i="12"/>
  <c r="AA664" i="12"/>
  <c r="AA2372" i="12"/>
  <c r="AA1199" i="12"/>
  <c r="AA1403" i="12"/>
  <c r="AA37" i="12"/>
  <c r="AA92" i="12"/>
  <c r="AA2900" i="12"/>
  <c r="AA2541" i="12"/>
  <c r="AA1379" i="12"/>
  <c r="AA657" i="12"/>
  <c r="AA2507" i="12"/>
  <c r="AA3170" i="12"/>
  <c r="AA3203" i="12"/>
  <c r="AA1061" i="12"/>
  <c r="AA767" i="12"/>
  <c r="AA439" i="12"/>
  <c r="AA375" i="12"/>
  <c r="AA2111" i="12"/>
  <c r="AA2640" i="12"/>
  <c r="AA566" i="12"/>
  <c r="AA3542" i="12"/>
  <c r="AA1411" i="12"/>
  <c r="AA994" i="12"/>
  <c r="AA2046" i="12"/>
  <c r="AA3154" i="12"/>
  <c r="AA2435" i="12"/>
  <c r="AA679" i="12"/>
  <c r="AA26" i="12"/>
  <c r="AA2625" i="12"/>
  <c r="AA160" i="12"/>
  <c r="AA3402" i="12"/>
  <c r="AA1145" i="12"/>
  <c r="AA918" i="12"/>
  <c r="AA3307" i="12"/>
  <c r="AA3289" i="12"/>
  <c r="AA3374" i="12"/>
  <c r="AA997" i="12"/>
  <c r="AA2240" i="12"/>
  <c r="AA526" i="12"/>
  <c r="AA721" i="12"/>
  <c r="AA209" i="12"/>
  <c r="AA776" i="12"/>
  <c r="AA1823" i="12"/>
  <c r="AA1752" i="12"/>
  <c r="AA599" i="12"/>
  <c r="AA716" i="12"/>
  <c r="AA1788" i="12"/>
  <c r="AA3279" i="12"/>
  <c r="AA3503" i="12"/>
  <c r="AA2275" i="12"/>
  <c r="AA2216" i="12"/>
  <c r="AA1931" i="12"/>
  <c r="AA2188" i="12"/>
  <c r="AA191" i="12"/>
  <c r="AA2244" i="12"/>
  <c r="AA2756" i="12"/>
  <c r="AA730" i="12"/>
  <c r="AA2337" i="12"/>
  <c r="AA1811" i="12"/>
  <c r="AA3346" i="12"/>
  <c r="AA345" i="12"/>
  <c r="AA1185" i="12"/>
  <c r="AA1982" i="12"/>
  <c r="AA3041" i="12"/>
  <c r="AA3354" i="12"/>
  <c r="AA727" i="12"/>
  <c r="Z2087" i="12"/>
  <c r="Z1242" i="12"/>
  <c r="Z2307" i="12"/>
  <c r="Z3538" i="12"/>
  <c r="Z234" i="12"/>
  <c r="Z3490" i="12"/>
  <c r="Z1131" i="12"/>
  <c r="Z3032" i="12"/>
  <c r="Z2121" i="12"/>
  <c r="Z1977" i="12"/>
  <c r="Z2563" i="12"/>
  <c r="Z2786" i="12"/>
  <c r="Z2334" i="12"/>
  <c r="Z2035" i="12"/>
  <c r="Z1147" i="12"/>
  <c r="Z1811" i="12"/>
  <c r="Z94" i="12"/>
  <c r="Z2994" i="12"/>
  <c r="Z2318" i="12"/>
  <c r="Z1489" i="12"/>
  <c r="Z1576" i="12"/>
  <c r="Z350" i="12"/>
  <c r="Z632" i="12"/>
  <c r="Z2853" i="12"/>
  <c r="Z1912" i="12"/>
  <c r="Z3454" i="12"/>
  <c r="Z3266" i="12"/>
  <c r="Z2008" i="12"/>
  <c r="Z1826" i="12"/>
  <c r="Z1755" i="12"/>
  <c r="Z2187" i="12"/>
  <c r="Z2555" i="12"/>
  <c r="Z3426" i="12"/>
  <c r="Z1563" i="12"/>
  <c r="Z2478" i="12"/>
  <c r="Z242" i="12"/>
  <c r="Z2943" i="12"/>
  <c r="Z1896" i="12"/>
  <c r="Z1081" i="12"/>
  <c r="Z1214" i="12"/>
  <c r="Z3505" i="12"/>
  <c r="Z1806" i="12"/>
  <c r="Z2675" i="12"/>
  <c r="Z256" i="12"/>
  <c r="Z1855" i="12"/>
  <c r="Z1500" i="12"/>
  <c r="Z786" i="12"/>
  <c r="Z2933" i="12"/>
  <c r="Z1159" i="12"/>
  <c r="Z558" i="12"/>
  <c r="Z835" i="12"/>
  <c r="Z2615" i="12"/>
  <c r="Z220" i="12"/>
  <c r="Z2234" i="12"/>
  <c r="Z1959" i="12"/>
  <c r="Z3211" i="12"/>
  <c r="Z2581" i="12"/>
  <c r="Z481" i="12"/>
  <c r="Z1815" i="12"/>
  <c r="Z1963" i="12"/>
  <c r="Z175" i="12"/>
  <c r="Z2992" i="12"/>
  <c r="Z3435" i="12"/>
  <c r="Z163" i="12"/>
  <c r="Z2382" i="12"/>
  <c r="Z413" i="12"/>
  <c r="Z2896" i="12"/>
  <c r="Z2575" i="12"/>
  <c r="Z2543" i="12"/>
  <c r="Z1989" i="12"/>
  <c r="Z132" i="12"/>
  <c r="Z400" i="12"/>
  <c r="Z3054" i="12"/>
  <c r="Z799" i="12"/>
  <c r="Z1589" i="12"/>
  <c r="Z3268" i="12"/>
  <c r="Z1691" i="12"/>
  <c r="Z2217" i="12"/>
  <c r="Z2532" i="12"/>
  <c r="Z1698" i="12"/>
  <c r="Z3488" i="12"/>
  <c r="Z1754" i="12"/>
  <c r="Z1857" i="12"/>
  <c r="Z267" i="12"/>
  <c r="Z188" i="12"/>
  <c r="Z3026" i="12"/>
  <c r="Z1000" i="12"/>
  <c r="Z1310" i="12"/>
  <c r="Z1035" i="12"/>
  <c r="Z369" i="12"/>
  <c r="Z382" i="12"/>
  <c r="Z2539" i="12"/>
  <c r="Z2315" i="12"/>
  <c r="Z2570" i="12"/>
  <c r="Z871" i="12"/>
  <c r="Z2656" i="12"/>
  <c r="Z398" i="12"/>
  <c r="Z1157" i="12"/>
  <c r="Z3172" i="12"/>
  <c r="Z2038" i="12"/>
  <c r="Z3431" i="12"/>
  <c r="Z1509" i="12"/>
  <c r="Z625" i="12"/>
  <c r="Z3019" i="12"/>
  <c r="Z2769" i="12"/>
  <c r="Z3195" i="12"/>
  <c r="Z3294" i="12"/>
  <c r="Z263" i="12"/>
  <c r="Z1536" i="12"/>
  <c r="Z1088" i="12"/>
  <c r="Z3299" i="12"/>
  <c r="Z1666" i="12"/>
  <c r="Z118" i="12"/>
  <c r="Z3187" i="12"/>
  <c r="Z3228" i="12"/>
  <c r="Z272" i="12"/>
  <c r="Z688" i="12"/>
  <c r="Z3104" i="12"/>
  <c r="Z1288" i="12"/>
  <c r="Z2134" i="12"/>
  <c r="Z1080" i="12"/>
  <c r="Z3129" i="12"/>
  <c r="Z1212" i="12"/>
  <c r="Z793" i="12"/>
  <c r="Z2792" i="12"/>
  <c r="Z1132" i="12"/>
  <c r="Z1916" i="12"/>
  <c r="Z1001" i="12"/>
  <c r="Z2783" i="12"/>
  <c r="Z246" i="12"/>
  <c r="Z1654" i="12"/>
  <c r="Z2321" i="12"/>
  <c r="Z225" i="12"/>
  <c r="Z3338" i="12"/>
  <c r="Z465" i="12"/>
  <c r="Z3124" i="12"/>
  <c r="Z2655" i="12"/>
  <c r="Z1696" i="12"/>
  <c r="Z1836" i="12"/>
  <c r="Z1199" i="12"/>
  <c r="Z1463" i="12"/>
  <c r="Z3227" i="12"/>
  <c r="Z2961" i="12"/>
  <c r="Z1383" i="12"/>
  <c r="Z3267" i="12"/>
  <c r="Z2488" i="12"/>
  <c r="Z723" i="12"/>
  <c r="Z351" i="12"/>
  <c r="Z2208" i="12"/>
  <c r="Z1065" i="12"/>
  <c r="Z1494" i="12"/>
  <c r="Z452" i="12"/>
  <c r="Z1812" i="12"/>
  <c r="Z3208" i="12"/>
  <c r="Z2953" i="12"/>
  <c r="Z1409" i="12"/>
  <c r="Z2667" i="12"/>
  <c r="Z3475" i="12"/>
  <c r="Z2513" i="12"/>
  <c r="Z2823" i="12"/>
  <c r="Z1566" i="12"/>
  <c r="Z1248" i="12"/>
  <c r="Z3371" i="12"/>
  <c r="Z737" i="12"/>
  <c r="Z3378" i="12"/>
  <c r="Z1152" i="12"/>
  <c r="Z1927" i="12"/>
  <c r="Z3071" i="12"/>
  <c r="Z1535" i="12"/>
  <c r="Z1176" i="12"/>
  <c r="Z2825" i="12"/>
  <c r="Z1635" i="12"/>
  <c r="Z1395" i="12"/>
  <c r="Z152" i="12"/>
  <c r="Z3382" i="12"/>
  <c r="Z3437" i="12"/>
  <c r="Z945" i="12"/>
  <c r="Z738" i="12"/>
  <c r="Z3082" i="12"/>
  <c r="Z1908" i="12"/>
  <c r="Z2650" i="12"/>
  <c r="Z1090" i="12"/>
  <c r="Z2506" i="12"/>
  <c r="Z1992" i="12"/>
  <c r="Z3218" i="12"/>
  <c r="Z2909" i="12"/>
  <c r="Z2199" i="12"/>
  <c r="Z1281" i="12"/>
  <c r="Z818" i="12"/>
  <c r="Z1070" i="12"/>
  <c r="Z646" i="12"/>
  <c r="Z1167" i="12"/>
  <c r="Z880" i="12"/>
  <c r="Z427" i="12"/>
  <c r="Z301" i="12"/>
  <c r="Z230" i="12"/>
  <c r="Z2602" i="12"/>
  <c r="Z179" i="12"/>
  <c r="Z2696" i="12"/>
  <c r="Z2042" i="12"/>
  <c r="Z2938" i="12"/>
  <c r="Z47" i="12"/>
  <c r="Z2465" i="12"/>
  <c r="Z457" i="12"/>
  <c r="Z1222" i="12"/>
  <c r="Z3196" i="12"/>
  <c r="Z3110" i="12"/>
  <c r="Z39" i="12"/>
  <c r="Z2160" i="12"/>
  <c r="Z1542" i="12"/>
  <c r="Z1532" i="12"/>
  <c r="Z2425" i="12"/>
  <c r="Z2838" i="12"/>
  <c r="Z1229" i="12"/>
  <c r="Z1228" i="12"/>
  <c r="Z1054" i="12"/>
  <c r="Z1817" i="12"/>
  <c r="Z1767" i="12"/>
  <c r="Z2387" i="12"/>
  <c r="Z866" i="12"/>
  <c r="Z2971" i="12"/>
  <c r="Z2870" i="12"/>
  <c r="Z1782" i="12"/>
  <c r="Z2413" i="12"/>
  <c r="Z806" i="12"/>
  <c r="Z3176" i="12"/>
  <c r="Z3467" i="12"/>
  <c r="Z323" i="12"/>
  <c r="Z314" i="12"/>
  <c r="Z2429" i="12"/>
  <c r="Z1161" i="12"/>
  <c r="Z383" i="12"/>
  <c r="Z1424" i="12"/>
  <c r="Z1048" i="12"/>
  <c r="Z582" i="12"/>
  <c r="Z3111" i="12"/>
  <c r="Z3225" i="12"/>
  <c r="Z1983" i="12"/>
  <c r="Z2145" i="12"/>
  <c r="Z1475" i="12"/>
  <c r="Z1667" i="12"/>
  <c r="Z2348" i="12"/>
  <c r="Z1044" i="12"/>
  <c r="Z1499" i="12"/>
  <c r="Z726" i="12"/>
  <c r="Z3542" i="12"/>
  <c r="Z3255" i="12"/>
  <c r="Z3175" i="12"/>
  <c r="Z236" i="12"/>
  <c r="Z1813" i="12"/>
  <c r="Z3105" i="12"/>
  <c r="Z190" i="12"/>
  <c r="Z2086" i="12"/>
  <c r="Z933" i="12"/>
  <c r="Z1435" i="12"/>
  <c r="Z2472" i="12"/>
  <c r="Z3315" i="12"/>
  <c r="Z2225" i="12"/>
  <c r="Z569" i="12"/>
  <c r="Z496" i="12"/>
  <c r="Z1482" i="12"/>
  <c r="Z1975" i="12"/>
  <c r="Z195" i="12"/>
  <c r="Z2941" i="12"/>
  <c r="Z2648" i="12"/>
  <c r="Z1413" i="12"/>
  <c r="Z2928" i="12"/>
  <c r="Z798" i="12"/>
  <c r="Z204" i="12"/>
  <c r="Z1297" i="12"/>
  <c r="Z1083" i="12"/>
  <c r="Z1144" i="12"/>
  <c r="Z50" i="12"/>
  <c r="Z1560" i="12"/>
  <c r="Z1371" i="12"/>
  <c r="Z2949" i="12"/>
  <c r="Z2216" i="12"/>
  <c r="Z2638" i="12"/>
  <c r="Z1346" i="12"/>
  <c r="Z3372" i="12"/>
  <c r="Z2298" i="12"/>
  <c r="Z206" i="12"/>
  <c r="Z1819" i="12"/>
  <c r="Z1029" i="12"/>
  <c r="Z2904" i="12"/>
  <c r="Z2394" i="12"/>
  <c r="Z2559" i="12"/>
  <c r="Z655" i="12"/>
  <c r="Z3147" i="12"/>
  <c r="Z1301" i="12"/>
  <c r="Z25" i="12"/>
  <c r="Z864" i="12"/>
  <c r="Z3438" i="12"/>
  <c r="Z2444" i="12"/>
  <c r="Z626" i="12"/>
  <c r="Z2536" i="12"/>
  <c r="Z1851" i="12"/>
  <c r="Z1979" i="12"/>
  <c r="Z1263" i="12"/>
  <c r="Z444" i="12"/>
  <c r="Z3057" i="12"/>
  <c r="Z1537" i="12"/>
  <c r="Z2296" i="12"/>
  <c r="Z310" i="12"/>
  <c r="Z458" i="12"/>
  <c r="Z336" i="12"/>
  <c r="Z1336" i="12"/>
  <c r="Z1824" i="12"/>
  <c r="Z2651" i="12"/>
  <c r="Z2266" i="12"/>
  <c r="Z2040" i="12"/>
  <c r="Z2691" i="12"/>
  <c r="Z1431" i="12"/>
  <c r="Z207" i="12"/>
  <c r="Z958" i="12"/>
  <c r="Z3238" i="12"/>
  <c r="Z1891" i="12"/>
  <c r="Z2434" i="12"/>
  <c r="Z1999" i="12"/>
  <c r="Z439" i="12"/>
  <c r="Z1134" i="12"/>
  <c r="Z598" i="12"/>
  <c r="Z2477" i="12"/>
  <c r="Z827" i="12"/>
  <c r="Z2824" i="12"/>
  <c r="Z1219" i="12"/>
  <c r="Z634" i="12"/>
  <c r="Z1644" i="12"/>
  <c r="Z1256" i="12"/>
  <c r="Z2310" i="12"/>
  <c r="Z3383" i="12"/>
  <c r="Z2551" i="12"/>
  <c r="Z1928" i="12"/>
  <c r="Z2437" i="12"/>
  <c r="Z2898" i="12"/>
  <c r="Z157" i="12"/>
  <c r="Z3520" i="12"/>
  <c r="Z1406" i="12"/>
  <c r="Z1420" i="12"/>
  <c r="Z894" i="12"/>
  <c r="Z3389" i="12"/>
  <c r="Z2219" i="12"/>
  <c r="Z3370" i="12"/>
  <c r="Z2301" i="12"/>
  <c r="Z1118" i="12"/>
  <c r="Z360" i="12"/>
  <c r="Z1669" i="12"/>
  <c r="Z1425" i="12"/>
  <c r="Z2997" i="12"/>
  <c r="Z317" i="12"/>
  <c r="Z2869" i="12"/>
  <c r="Z1011" i="12"/>
  <c r="Z2804" i="12"/>
  <c r="Z2358" i="12"/>
  <c r="Z1320" i="12"/>
  <c r="Z863" i="12"/>
  <c r="Z1550" i="12"/>
  <c r="Z1954" i="12"/>
  <c r="Z2479" i="12"/>
  <c r="Z1531" i="12"/>
  <c r="Z859" i="12"/>
  <c r="Z2482" i="12"/>
  <c r="Z304" i="12"/>
  <c r="Z1809" i="12"/>
  <c r="Z2327" i="12"/>
  <c r="Z2579" i="12"/>
  <c r="Z1510" i="12"/>
  <c r="Z741" i="12"/>
  <c r="Z504" i="12"/>
  <c r="Z2833" i="12"/>
  <c r="Z326" i="12"/>
  <c r="Z2476" i="12"/>
  <c r="Z809" i="12"/>
  <c r="Z2796" i="12"/>
  <c r="Z1613" i="12"/>
  <c r="Z662" i="12"/>
  <c r="Z2237" i="12"/>
  <c r="Z3073" i="12"/>
  <c r="Z2142" i="12"/>
  <c r="Z2517" i="12"/>
  <c r="Z2052" i="12"/>
  <c r="Z1758" i="12"/>
  <c r="Z2227" i="12"/>
  <c r="Z1993" i="12"/>
  <c r="Z1539" i="12"/>
  <c r="Z2509" i="12"/>
  <c r="Z368" i="12"/>
  <c r="Z3156" i="12"/>
  <c r="Z624" i="12"/>
  <c r="Z3473" i="12"/>
  <c r="Z588" i="12"/>
  <c r="Z1645" i="12"/>
  <c r="Z1398" i="12"/>
  <c r="Z3109" i="12"/>
  <c r="Z1926" i="12"/>
  <c r="Z1347" i="12"/>
  <c r="Z986" i="12"/>
  <c r="Z2153" i="12"/>
  <c r="Z640" i="12"/>
  <c r="Z490" i="12"/>
  <c r="Z1981" i="12"/>
  <c r="Z2595" i="12"/>
  <c r="Z2000" i="12"/>
  <c r="Z2636" i="12"/>
  <c r="Z2495" i="12"/>
  <c r="Z523" i="12"/>
  <c r="Z3245" i="12"/>
  <c r="Z1227" i="12"/>
  <c r="Z2682" i="12"/>
  <c r="Z168" i="12"/>
  <c r="Z1272" i="12"/>
  <c r="Z29" i="12"/>
  <c r="Z3462" i="12"/>
  <c r="Z1610" i="12"/>
  <c r="Z1663" i="12"/>
  <c r="Z2272" i="12"/>
  <c r="Z1351" i="12"/>
  <c r="Z278" i="12"/>
  <c r="Z3193" i="12"/>
  <c r="Z2603" i="12"/>
  <c r="Z1729" i="12"/>
  <c r="Z2759" i="12"/>
  <c r="Z1098" i="12"/>
  <c r="Z678" i="12"/>
  <c r="Z2186" i="12"/>
  <c r="Z2011" i="12"/>
  <c r="Z690" i="12"/>
  <c r="Z570" i="12"/>
  <c r="Z2560" i="12"/>
  <c r="Z1422" i="12"/>
  <c r="Z367" i="12"/>
  <c r="Z710" i="12"/>
  <c r="Z2596" i="12"/>
  <c r="Z704" i="12"/>
  <c r="Z1403" i="12"/>
  <c r="Z74" i="12"/>
  <c r="Z3307" i="12"/>
  <c r="Z113" i="12"/>
  <c r="Z2069" i="12"/>
  <c r="Z1924" i="12"/>
  <c r="Z1866" i="12"/>
  <c r="Z3525" i="12"/>
  <c r="Z1966" i="12"/>
  <c r="Z1750" i="12"/>
  <c r="Z1862" i="12"/>
  <c r="Z3086" i="12"/>
  <c r="Z613" i="12"/>
  <c r="Z61" i="12"/>
  <c r="Z238" i="12"/>
  <c r="Z2167" i="12"/>
  <c r="Z2228" i="12"/>
  <c r="Z1763" i="12"/>
  <c r="Z114" i="12"/>
  <c r="Z2451" i="12"/>
  <c r="Z2670" i="12"/>
  <c r="Z674" i="12"/>
  <c r="Z1394" i="12"/>
  <c r="Z1685" i="12"/>
  <c r="Z2892" i="12"/>
  <c r="Z1760" i="12"/>
  <c r="Z270" i="12"/>
  <c r="Z2275" i="12"/>
  <c r="Z112" i="12"/>
  <c r="Z2420" i="12"/>
  <c r="Z777" i="12"/>
  <c r="Z124" i="12"/>
  <c r="Z489" i="12"/>
  <c r="Z712" i="12"/>
  <c r="Z356" i="12"/>
  <c r="Z2245" i="12"/>
  <c r="Z2257" i="12"/>
  <c r="Z308" i="12"/>
  <c r="Z161" i="12"/>
  <c r="Z878" i="12"/>
  <c r="Z396" i="12"/>
  <c r="Z2954" i="12"/>
  <c r="Z1792" i="12"/>
  <c r="Z1797" i="12"/>
  <c r="Z924" i="12"/>
  <c r="Z1567" i="12"/>
  <c r="Z3340" i="12"/>
  <c r="Z2663" i="12"/>
  <c r="Z2322" i="12"/>
  <c r="Z2223" i="12"/>
  <c r="Z3507" i="12"/>
  <c r="Z660" i="12"/>
  <c r="Z717" i="12"/>
  <c r="Z2779" i="12"/>
  <c r="Z1434" i="12"/>
  <c r="Z909" i="12"/>
  <c r="Z873" i="12"/>
  <c r="Z2969" i="12"/>
  <c r="Z519" i="12"/>
  <c r="Z985" i="12"/>
  <c r="Z820" i="12"/>
  <c r="Z1315" i="12"/>
  <c r="Z2631" i="12"/>
  <c r="Z445" i="12"/>
  <c r="Z2611" i="12"/>
  <c r="Z268" i="12"/>
  <c r="Z1127" i="12"/>
  <c r="Z1412" i="12"/>
  <c r="Z825" i="12"/>
  <c r="Z3126" i="12"/>
  <c r="Z3386" i="12"/>
  <c r="Z1266" i="12"/>
  <c r="Z309" i="12"/>
  <c r="Z81" i="12"/>
  <c r="Z2817" i="12"/>
  <c r="Z2990" i="12"/>
  <c r="Z571" i="12"/>
  <c r="Z3407" i="12"/>
  <c r="Z2529" i="12"/>
  <c r="Z562" i="12"/>
  <c r="Z1745" i="12"/>
  <c r="Z2311" i="12"/>
  <c r="Z2926" i="12"/>
  <c r="Z988" i="12"/>
  <c r="Z2191" i="12"/>
  <c r="Z2776" i="12"/>
  <c r="Z3535" i="12"/>
  <c r="Z651" i="12"/>
  <c r="Z1936" i="12"/>
  <c r="Z321" i="12"/>
  <c r="Z2383" i="12"/>
  <c r="Z2041" i="12"/>
  <c r="Z3497" i="12"/>
  <c r="Z2974" i="12"/>
  <c r="Z3131" i="12"/>
  <c r="Z1687" i="12"/>
  <c r="Z3070" i="12"/>
  <c r="Z1343" i="12"/>
  <c r="Z1198" i="12"/>
  <c r="Z1937" i="12"/>
  <c r="Z679" i="12"/>
  <c r="Z90" i="12"/>
  <c r="Z1520" i="12"/>
  <c r="Z3273" i="12"/>
  <c r="Z870" i="12"/>
  <c r="Z3541" i="12"/>
  <c r="Z903" i="12"/>
  <c r="Z3290" i="12"/>
  <c r="Z2761" i="12"/>
  <c r="Z386" i="12"/>
  <c r="Z3423" i="12"/>
  <c r="Z1184" i="12"/>
  <c r="Z1267" i="12"/>
  <c r="Z2286" i="12"/>
  <c r="Z75" i="12"/>
  <c r="Z2562" i="12"/>
  <c r="Z853" i="12"/>
  <c r="Z2882" i="12"/>
  <c r="Z2427" i="12"/>
  <c r="Z1091" i="12"/>
  <c r="Z390" i="12"/>
  <c r="Z661" i="12"/>
  <c r="Z3116" i="12"/>
  <c r="Z1556" i="12"/>
  <c r="Z1066" i="12"/>
  <c r="Z2659" i="12"/>
  <c r="Z3150" i="12"/>
  <c r="Z3087" i="12"/>
  <c r="Z1688" i="12"/>
  <c r="Z442" i="12"/>
  <c r="Z1352" i="12"/>
  <c r="Z1998" i="12"/>
  <c r="Z1490" i="12"/>
  <c r="Z2712" i="12"/>
  <c r="Z3494" i="12"/>
  <c r="Z2203" i="12"/>
  <c r="Z3280" i="12"/>
  <c r="Z1786" i="12"/>
  <c r="Z3066" i="12"/>
  <c r="Z652" i="12"/>
  <c r="Z1479" i="12"/>
  <c r="Z2601" i="12"/>
  <c r="Z2549" i="12"/>
  <c r="Z1656" i="12"/>
  <c r="Z1149" i="12"/>
  <c r="Z1580" i="12"/>
  <c r="Z845" i="12"/>
  <c r="Z3361" i="12"/>
  <c r="Z43" i="12"/>
  <c r="Z466" i="12"/>
  <c r="Z1450" i="12"/>
  <c r="Z767" i="12"/>
  <c r="Z2246" i="12"/>
  <c r="Z656" i="12"/>
  <c r="Z960" i="12"/>
  <c r="Z232" i="12"/>
  <c r="Z3246" i="12"/>
  <c r="Z2422" i="12"/>
  <c r="Z2734" i="12"/>
  <c r="Z3376" i="12"/>
  <c r="Z1477" i="12"/>
  <c r="Z106" i="12"/>
  <c r="Z3205" i="12"/>
  <c r="Z1741" i="12"/>
  <c r="Z2964" i="12"/>
  <c r="Z538" i="12"/>
  <c r="Z1253" i="12"/>
  <c r="Z1867" i="12"/>
  <c r="Z511" i="12"/>
  <c r="Z3301" i="12"/>
  <c r="Z3148" i="12"/>
  <c r="Z2762" i="12"/>
  <c r="Z1440" i="12"/>
  <c r="Z251" i="12"/>
  <c r="Z484" i="12"/>
  <c r="Z1794" i="12"/>
  <c r="Z1449" i="12"/>
  <c r="Z3077" i="12"/>
  <c r="Z2800" i="12"/>
  <c r="Z2542" i="12"/>
  <c r="Z331" i="12"/>
  <c r="Z517" i="12"/>
  <c r="Z1772" i="12"/>
  <c r="Z455" i="12"/>
  <c r="Z2613" i="12"/>
  <c r="Z420" i="12"/>
  <c r="Z293" i="12"/>
  <c r="Z2162" i="12"/>
  <c r="Z3469" i="12"/>
  <c r="Z524" i="12"/>
  <c r="Z807" i="12"/>
  <c r="Z832" i="12"/>
  <c r="Z3390" i="12"/>
  <c r="Z1261" i="12"/>
  <c r="Z2400" i="12"/>
  <c r="Z3092" i="12"/>
  <c r="Z1113" i="12"/>
  <c r="Z1739" i="12"/>
  <c r="Z1714" i="12"/>
  <c r="Z2533" i="12"/>
  <c r="Z160" i="12"/>
  <c r="Z595" i="12"/>
  <c r="Z2122" i="12"/>
  <c r="Z1798" i="12"/>
  <c r="Z1762" i="12"/>
  <c r="Z3391" i="12"/>
  <c r="Z2279" i="12"/>
  <c r="Z670" i="12"/>
  <c r="Z327" i="12"/>
  <c r="Z516" i="12"/>
  <c r="Z1209" i="12"/>
  <c r="Z1748" i="12"/>
  <c r="Z345" i="12"/>
  <c r="Z1247" i="12"/>
  <c r="Z2001" i="12"/>
  <c r="Z1935" i="12"/>
  <c r="Z42" i="12"/>
  <c r="Z869" i="12"/>
  <c r="Z1516" i="12"/>
  <c r="Z2758" i="12"/>
  <c r="Z1493" i="12"/>
  <c r="Z925" i="12"/>
  <c r="Z2721" i="12"/>
  <c r="Z819" i="12"/>
  <c r="Z312" i="12"/>
  <c r="Z2685" i="12"/>
  <c r="Z2409" i="12"/>
  <c r="Z1340" i="12"/>
  <c r="Z2132" i="12"/>
  <c r="Z3395" i="12"/>
  <c r="Z3081" i="12"/>
  <c r="Z3123" i="12"/>
  <c r="Z623" i="12"/>
  <c r="Z2640" i="12"/>
  <c r="Z1484" i="12"/>
  <c r="Z1832" i="12"/>
  <c r="Z2902" i="12"/>
  <c r="Z1904" i="12"/>
  <c r="Z1574" i="12"/>
  <c r="Z879" i="12"/>
  <c r="Z785" i="12"/>
  <c r="Z3248" i="12"/>
  <c r="Z1746" i="12"/>
  <c r="Z2189" i="12"/>
  <c r="Z3252" i="12"/>
  <c r="Z555" i="12"/>
  <c r="Z579" i="12"/>
  <c r="Z2424" i="12"/>
  <c r="Z1997" i="12"/>
  <c r="Z503" i="12"/>
  <c r="Z949" i="12"/>
  <c r="Z177" i="12"/>
  <c r="Z1421" i="12"/>
  <c r="Z2359" i="12"/>
  <c r="Z2215" i="12"/>
  <c r="Z1338" i="12"/>
  <c r="Z2054" i="12"/>
  <c r="Z104" i="12"/>
  <c r="Z3217" i="12"/>
  <c r="Z3078" i="12"/>
  <c r="Z1932" i="12"/>
  <c r="Z1888" i="12"/>
  <c r="Z2799" i="12"/>
  <c r="Z742" i="12"/>
  <c r="Z1186" i="12"/>
  <c r="Z3487" i="12"/>
  <c r="Z399" i="12"/>
  <c r="Z2829" i="12"/>
  <c r="Z2770" i="12"/>
  <c r="Z810" i="12"/>
  <c r="Z277" i="12"/>
  <c r="Z2284" i="12"/>
  <c r="Z2452" i="12"/>
  <c r="Z3540" i="12"/>
  <c r="Z1164" i="12"/>
  <c r="Z2185" i="12"/>
  <c r="Z2378" i="12"/>
  <c r="Z3042" i="12"/>
  <c r="Z890" i="12"/>
  <c r="Z2428" i="12"/>
  <c r="Z2248" i="12"/>
  <c r="Z2353" i="12"/>
  <c r="Z3189" i="12"/>
  <c r="Z156" i="12"/>
  <c r="Z2347" i="12"/>
  <c r="Z2023" i="12"/>
  <c r="Z3170" i="12"/>
  <c r="Z1986" i="12"/>
  <c r="Z1295" i="12"/>
  <c r="Z1659" i="12"/>
  <c r="Z561" i="12"/>
  <c r="Z2368" i="12"/>
  <c r="Z1770" i="12"/>
  <c r="Z2797" i="12"/>
  <c r="Z882" i="12"/>
  <c r="Z3375" i="12"/>
  <c r="Z2903" i="12"/>
  <c r="Z812" i="12"/>
  <c r="Z2326" i="12"/>
  <c r="Z2978" i="12"/>
  <c r="Z2568" i="12"/>
  <c r="Z376" i="12"/>
  <c r="Z354" i="12"/>
  <c r="Z2661" i="12"/>
  <c r="Z2314" i="12"/>
  <c r="Z3312" i="12"/>
  <c r="Z3152" i="12"/>
  <c r="Z435" i="12"/>
  <c r="Z3350" i="12"/>
  <c r="Z3158" i="12"/>
  <c r="Z2589" i="12"/>
  <c r="Z2777" i="12"/>
  <c r="Z1883" i="12"/>
  <c r="Z643" i="12"/>
  <c r="Z1568" i="12"/>
  <c r="Z1955" i="12"/>
  <c r="Z3013" i="12"/>
  <c r="Z2618" i="12"/>
  <c r="Z2717" i="12"/>
  <c r="Z1639" i="12"/>
  <c r="Z358" i="12"/>
  <c r="Z109" i="12"/>
  <c r="Z3539" i="12"/>
  <c r="Z167" i="12"/>
  <c r="Z966" i="12"/>
  <c r="Z492" i="12"/>
  <c r="Z1275" i="12"/>
  <c r="Z2085" i="12"/>
  <c r="Z1236" i="12"/>
  <c r="Z3096" i="12"/>
  <c r="Z1839" i="12"/>
  <c r="Z1846" i="12"/>
  <c r="Z366" i="12"/>
  <c r="Z2386" i="12"/>
  <c r="Z1637" i="12"/>
  <c r="Z3458" i="12"/>
  <c r="Z2355" i="12"/>
  <c r="Z475" i="12"/>
  <c r="Z379" i="12"/>
  <c r="Z1200" i="12"/>
  <c r="Z2447" i="12"/>
  <c r="Z2467" i="12"/>
  <c r="Z1852" i="12"/>
  <c r="Z3107" i="12"/>
  <c r="Z929" i="12"/>
  <c r="Z3474" i="12"/>
  <c r="Z2313" i="12"/>
  <c r="Z749" i="12"/>
  <c r="Z811" i="12"/>
  <c r="Z269" i="12"/>
  <c r="Z1834" i="12"/>
  <c r="Z920" i="12"/>
  <c r="Z2104" i="12"/>
  <c r="Z3309" i="12"/>
  <c r="Z1016" i="12"/>
  <c r="Z3424" i="12"/>
  <c r="Z3059" i="12"/>
  <c r="Z1265" i="12"/>
  <c r="Z1619" i="12"/>
  <c r="Z1684" i="12"/>
  <c r="Z2767" i="12"/>
  <c r="Z3027" i="12"/>
  <c r="Z2784" i="12"/>
  <c r="Z144" i="12"/>
  <c r="Z759" i="12"/>
  <c r="Z3295" i="12"/>
  <c r="Z1618" i="12"/>
  <c r="Z837" i="12"/>
  <c r="Z1430" i="12"/>
  <c r="Z429" i="12"/>
  <c r="Z3114" i="12"/>
  <c r="Z616" i="12"/>
  <c r="Z1913" i="12"/>
  <c r="Z3515" i="12"/>
  <c r="Z187" i="12"/>
  <c r="Z766" i="12"/>
  <c r="Z2269" i="12"/>
  <c r="Z1925" i="12"/>
  <c r="Z1298" i="12"/>
  <c r="Z2788" i="12"/>
  <c r="Z2009" i="12"/>
  <c r="Z2690" i="12"/>
  <c r="Z3091" i="12"/>
  <c r="Z3411" i="12"/>
  <c r="Z691" i="12"/>
  <c r="Z3523" i="12"/>
  <c r="Z3543" i="12"/>
  <c r="Z633" i="12"/>
  <c r="Z2669" i="12"/>
  <c r="Z1194" i="12"/>
  <c r="Z790" i="12"/>
  <c r="Z3007" i="12"/>
  <c r="Z3285" i="12"/>
  <c r="Z3393" i="12"/>
  <c r="Z1107" i="12"/>
  <c r="Z1050" i="12"/>
  <c r="Z2665" i="12"/>
  <c r="Z2481" i="12"/>
  <c r="Z1620" i="12"/>
  <c r="Z2849" i="12"/>
  <c r="Z545" i="12"/>
  <c r="Z2034" i="12"/>
  <c r="Z2443" i="12"/>
  <c r="Z3363" i="12"/>
  <c r="Z2433" i="12"/>
  <c r="Z2887" i="12"/>
  <c r="Z3128" i="12"/>
  <c r="Z1605" i="12"/>
  <c r="Z1626" i="12"/>
  <c r="Z3272" i="12"/>
  <c r="Z1777" i="12"/>
  <c r="Z1985" i="12"/>
  <c r="Z851" i="12"/>
  <c r="Z2623" i="12"/>
  <c r="Z547" i="12"/>
  <c r="Z3524" i="12"/>
  <c r="Z2747" i="12"/>
  <c r="Z2084" i="12"/>
  <c r="Z1890" i="12"/>
  <c r="Z2630" i="12"/>
  <c r="Z2356" i="12"/>
  <c r="Z2172" i="12"/>
  <c r="Z1414" i="12"/>
  <c r="Z703" i="12"/>
  <c r="Z1578" i="12"/>
  <c r="Z134" i="12"/>
  <c r="Z1648" i="12"/>
  <c r="Z334" i="12"/>
  <c r="Z1358" i="12"/>
  <c r="Z2757" i="12"/>
  <c r="Z1106" i="12"/>
  <c r="Z2205" i="12"/>
  <c r="Z1943" i="12"/>
  <c r="Z648" i="12"/>
  <c r="Z239" i="12"/>
  <c r="Z713" i="12"/>
  <c r="Z2835" i="12"/>
  <c r="Z434" i="12"/>
  <c r="Z3024" i="12"/>
  <c r="Z2064" i="12"/>
  <c r="Z1881" i="12"/>
  <c r="Z2859" i="12"/>
  <c r="Z729" i="12"/>
  <c r="Z2944" i="12"/>
  <c r="Z2274" i="12"/>
  <c r="Z2273" i="12"/>
  <c r="Z3061" i="12"/>
  <c r="Z1110" i="12"/>
  <c r="Z1208" i="12"/>
  <c r="Z2151" i="12"/>
  <c r="Z2471" i="12"/>
  <c r="Z1902" i="12"/>
  <c r="Z3221" i="12"/>
  <c r="Z162" i="12"/>
  <c r="Z849" i="12"/>
  <c r="Z3025" i="12"/>
  <c r="Z689" i="12"/>
  <c r="Z467" i="12"/>
  <c r="Z1234" i="12"/>
  <c r="Z3504" i="12"/>
  <c r="Z629" i="12"/>
  <c r="Z743" i="12"/>
  <c r="Z606" i="12"/>
  <c r="Z1341" i="12"/>
  <c r="Z3251" i="12"/>
  <c r="Z2415" i="12"/>
  <c r="Z1276" i="12"/>
  <c r="Z509" i="12"/>
  <c r="Z789" i="12"/>
  <c r="Z2229" i="12"/>
  <c r="Z3506" i="12"/>
  <c r="Z895" i="12"/>
  <c r="Z1623" i="12"/>
  <c r="Z2798" i="12"/>
  <c r="Z2143" i="12"/>
  <c r="Z899" i="12"/>
  <c r="Z3258" i="12"/>
  <c r="Z2679" i="12"/>
  <c r="Z1374" i="12"/>
  <c r="Z887" i="12"/>
  <c r="Z3457" i="12"/>
  <c r="Z2854" i="12"/>
  <c r="Z573" i="12"/>
  <c r="Z3425" i="12"/>
  <c r="Z2014" i="12"/>
  <c r="Z979" i="12"/>
  <c r="Z1796" i="12"/>
  <c r="Z3058" i="12"/>
  <c r="Z2730" i="12"/>
  <c r="Z650" i="12"/>
  <c r="Z2880" i="12"/>
  <c r="Z2733" i="12"/>
  <c r="Z303" i="12"/>
  <c r="Z1330" i="12"/>
  <c r="Z2462" i="12"/>
  <c r="Z1584" i="12"/>
  <c r="Z1898" i="12"/>
  <c r="Z2921" i="12"/>
  <c r="Z3001" i="12"/>
  <c r="Z603" i="12"/>
  <c r="Z1938" i="12"/>
  <c r="Z1726" i="12"/>
  <c r="Z3374" i="12"/>
  <c r="Z1093" i="12"/>
  <c r="Z3243" i="12"/>
  <c r="Z1379" i="12"/>
  <c r="Z276" i="12"/>
  <c r="Z2871" i="12"/>
  <c r="Z537" i="12"/>
  <c r="Z923" i="12"/>
  <c r="Z1653" i="12"/>
  <c r="Z2968" i="12"/>
  <c r="Z2862" i="12"/>
  <c r="Z796" i="12"/>
  <c r="Z2511" i="12"/>
  <c r="Z1109" i="12"/>
  <c r="Z1810" i="12"/>
  <c r="Z3362" i="12"/>
  <c r="Z1239" i="12"/>
  <c r="Z311" i="12"/>
  <c r="Z2851" i="12"/>
  <c r="Z1503" i="12"/>
  <c r="Z472" i="12"/>
  <c r="Z2492" i="12"/>
  <c r="Z1092" i="12"/>
  <c r="Z2136" i="12"/>
  <c r="Z1976" i="12"/>
  <c r="Z1381" i="12"/>
  <c r="Z2206" i="12"/>
  <c r="Z2979" i="12"/>
  <c r="Z3139" i="12"/>
  <c r="Z2066" i="12"/>
  <c r="Z3498" i="12"/>
  <c r="Z1064" i="12"/>
  <c r="Z1802" i="12"/>
  <c r="Z2645" i="12"/>
  <c r="Z2244" i="12"/>
  <c r="Z2748" i="12"/>
  <c r="Z1155" i="12"/>
  <c r="Z1664" i="12"/>
  <c r="Z362" i="12"/>
  <c r="Z1196" i="12"/>
  <c r="Z627" i="12"/>
  <c r="Z77" i="12"/>
  <c r="Z1197" i="12"/>
  <c r="Z2410" i="12"/>
  <c r="Z2657" i="12"/>
  <c r="Z2446" i="12"/>
  <c r="Z1309" i="12"/>
  <c r="Z3209" i="12"/>
  <c r="Z829" i="12"/>
  <c r="Z1941" i="12"/>
  <c r="Z36" i="12"/>
  <c r="Z432" i="12"/>
  <c r="Z815" i="12"/>
  <c r="Z3332" i="12"/>
  <c r="Z3440" i="12"/>
  <c r="Z137" i="12"/>
  <c r="Z1678" i="12"/>
  <c r="Z2242" i="12"/>
  <c r="Z495" i="12"/>
  <c r="Z3031" i="12"/>
  <c r="Z1324" i="12"/>
  <c r="Z2584" i="12"/>
  <c r="Z3023" i="12"/>
  <c r="Z974" i="12"/>
  <c r="Z2116" i="12"/>
  <c r="Z1675" i="12"/>
  <c r="Z965" i="12"/>
  <c r="Z2519" i="12"/>
  <c r="Z1467" i="12"/>
  <c r="Z2807" i="12"/>
  <c r="Z2396" i="12"/>
  <c r="Z757" i="12"/>
  <c r="Z1590" i="12"/>
  <c r="Z3257" i="12"/>
  <c r="Z71" i="12"/>
  <c r="Z3320" i="12"/>
  <c r="Z2700" i="12"/>
  <c r="Z3522" i="12"/>
  <c r="Z1761" i="12"/>
  <c r="Z3182" i="12"/>
  <c r="Z3450" i="12"/>
  <c r="Z26" i="12"/>
  <c r="Z459" i="12"/>
  <c r="Z705" i="12"/>
  <c r="Z1961" i="12"/>
  <c r="Z2553" i="12"/>
  <c r="Z1501" i="12"/>
  <c r="Z3532" i="12"/>
  <c r="Z226" i="12"/>
  <c r="Z636" i="12"/>
  <c r="Z3345" i="12"/>
  <c r="Z1188" i="12"/>
  <c r="Z3203" i="12"/>
  <c r="Z51" i="12"/>
  <c r="Z474" i="12"/>
  <c r="Z469" i="12"/>
  <c r="Z3264" i="12"/>
  <c r="Z3260" i="12"/>
  <c r="Z2728" i="12"/>
  <c r="Z333" i="12"/>
  <c r="Z1951" i="12"/>
  <c r="Z3355" i="12"/>
  <c r="Z3084" i="12"/>
  <c r="Z1795" i="12"/>
  <c r="Z2004" i="12"/>
  <c r="Z536" i="12"/>
  <c r="Z2946" i="12"/>
  <c r="Z2599" i="12"/>
  <c r="Z2972" i="12"/>
  <c r="Z1185" i="12"/>
  <c r="Z2102" i="12"/>
  <c r="Z402" i="12"/>
  <c r="Z3346" i="12"/>
  <c r="Z3132" i="12"/>
  <c r="Z28" i="12"/>
  <c r="Z1232" i="12"/>
  <c r="Z1682" i="12"/>
  <c r="Z2249" i="12"/>
  <c r="Z3103" i="12"/>
  <c r="Z1877" i="12"/>
  <c r="Z3417" i="12"/>
  <c r="Z2867" i="12"/>
  <c r="Z971" i="12"/>
  <c r="Z541" i="12"/>
  <c r="Z1344" i="12"/>
  <c r="Z745" i="12"/>
  <c r="Z2374" i="12"/>
  <c r="Z3035" i="12"/>
  <c r="Z181" i="12"/>
  <c r="Z554" i="12"/>
  <c r="Z1638" i="12"/>
  <c r="Z2464" i="12"/>
  <c r="Z2907" i="12"/>
  <c r="Z1756" i="12"/>
  <c r="Z1942" i="12"/>
  <c r="Z1598" i="12"/>
  <c r="Z1544" i="12"/>
  <c r="Z3088" i="12"/>
  <c r="Z1994" i="12"/>
  <c r="Z364" i="12"/>
  <c r="Z2711" i="12"/>
  <c r="Z1706" i="12"/>
  <c r="Z577" i="12"/>
  <c r="Z2571" i="12"/>
  <c r="Z586" i="12"/>
  <c r="Z2197" i="12"/>
  <c r="Z2885" i="12"/>
  <c r="Z3357" i="12"/>
  <c r="Z1863" i="12"/>
  <c r="Z728" i="12"/>
  <c r="Z197" i="12"/>
  <c r="Z2984" i="12"/>
  <c r="Z836" i="12"/>
  <c r="Z1173" i="12"/>
  <c r="Z2671" i="12"/>
  <c r="Z1179" i="12"/>
  <c r="Z1085" i="12"/>
  <c r="Z1010" i="12"/>
  <c r="Z2664" i="12"/>
  <c r="Z2803" i="12"/>
  <c r="Z3183" i="12"/>
  <c r="Z280" i="12"/>
  <c r="Z320" i="12"/>
  <c r="Z1655" i="12"/>
  <c r="Z1390" i="12"/>
  <c r="Z1661" i="12"/>
  <c r="Z110" i="12"/>
  <c r="Z1893" i="12"/>
  <c r="Z3373" i="12"/>
  <c r="Z2760" i="12"/>
  <c r="Z779" i="12"/>
  <c r="Z57" i="12"/>
  <c r="Z2827" i="12"/>
  <c r="Z2802" i="12"/>
  <c r="Z2128" i="12"/>
  <c r="Z3149" i="12"/>
  <c r="Z243" i="12"/>
  <c r="Z875" i="12"/>
  <c r="Z342" i="12"/>
  <c r="Z3089" i="12"/>
  <c r="Z387" i="12"/>
  <c r="Z730" i="12"/>
  <c r="Z557" i="12"/>
  <c r="Z2375" i="12"/>
  <c r="Z169" i="12"/>
  <c r="Z3381" i="12"/>
  <c r="Z1646" i="12"/>
  <c r="Z1874" i="12"/>
  <c r="Z585" i="12"/>
  <c r="Z1311" i="12"/>
  <c r="Z411" i="12"/>
  <c r="Z1299" i="12"/>
  <c r="Z453" i="12"/>
  <c r="Z2439" i="12"/>
  <c r="Z940" i="12"/>
  <c r="Z2702" i="12"/>
  <c r="Z2740" i="12"/>
  <c r="Z2336" i="12"/>
  <c r="Z783" i="12"/>
  <c r="Z2113" i="12"/>
  <c r="Z2025" i="12"/>
  <c r="Z2649" i="12"/>
  <c r="Z2169" i="12"/>
  <c r="Z551" i="12"/>
  <c r="Z2654" i="12"/>
  <c r="Z2694" i="12"/>
  <c r="Z1514" i="12"/>
  <c r="Z3323" i="12"/>
  <c r="Z2512" i="12"/>
  <c r="Z96" i="12"/>
  <c r="Z2397" i="12"/>
  <c r="Z839" i="12"/>
  <c r="Z1632" i="12"/>
  <c r="Z3004" i="12"/>
  <c r="Z391" i="12"/>
  <c r="Z1704" i="12"/>
  <c r="Z1702" i="12"/>
  <c r="Z1008" i="12"/>
  <c r="Z1124" i="12"/>
  <c r="Z295" i="12"/>
  <c r="Z848" i="12"/>
  <c r="Z3198" i="12"/>
  <c r="Z1723" i="12"/>
  <c r="Z264" i="12"/>
  <c r="Z1805" i="12"/>
  <c r="Z1799" i="12"/>
  <c r="Z886" i="12"/>
  <c r="Z2652" i="12"/>
  <c r="Z686" i="12"/>
  <c r="Z2342" i="12"/>
  <c r="Z44" i="12"/>
  <c r="Z448" i="12"/>
  <c r="Z956" i="12"/>
  <c r="Z3398" i="12"/>
  <c r="Z1007" i="12"/>
  <c r="Z1079" i="12"/>
  <c r="Z2975" i="12"/>
  <c r="Z1728" i="12"/>
  <c r="Z1322" i="12"/>
  <c r="Z3275" i="12"/>
  <c r="Z621" i="12"/>
  <c r="Z3162" i="12"/>
  <c r="Z533" i="12"/>
  <c r="Z3501" i="12"/>
  <c r="Z365" i="12"/>
  <c r="Z1609" i="12"/>
  <c r="Z352" i="12"/>
  <c r="Z2991" i="12"/>
  <c r="Z149" i="12"/>
  <c r="Z1719" i="12"/>
  <c r="Z642" i="12"/>
  <c r="Z2346" i="12"/>
  <c r="Z3191" i="12"/>
  <c r="Z696" i="12"/>
  <c r="Z2090" i="12"/>
  <c r="Z2963" i="12"/>
  <c r="Z649" i="12"/>
  <c r="Z1462" i="12"/>
  <c r="Z3030" i="12"/>
  <c r="Z3222" i="12"/>
  <c r="Z282" i="12"/>
  <c r="Z1142" i="12"/>
  <c r="Z784" i="12"/>
  <c r="Z1063" i="12"/>
  <c r="Z543" i="12"/>
  <c r="Z2625" i="12"/>
  <c r="Z3154" i="12"/>
  <c r="Z1284" i="12"/>
  <c r="Z916" i="12"/>
  <c r="Z3097" i="12"/>
  <c r="Z46" i="12"/>
  <c r="Z223" i="12"/>
  <c r="Z307" i="12"/>
  <c r="Z1273" i="12"/>
  <c r="Z3009" i="12"/>
  <c r="Z3237" i="12"/>
  <c r="Z423" i="12"/>
  <c r="Z2221" i="12"/>
  <c r="Z2370" i="12"/>
  <c r="Z1485" i="12"/>
  <c r="Z322" i="12"/>
  <c r="Z1327" i="12"/>
  <c r="Z754" i="12"/>
  <c r="Z3430" i="12"/>
  <c r="Z155" i="12"/>
  <c r="Z1540" i="12"/>
  <c r="Z3519" i="12"/>
  <c r="Z727" i="12"/>
  <c r="Z2906" i="12"/>
  <c r="Z148" i="12"/>
  <c r="Z418" i="12"/>
  <c r="Z1043" i="12"/>
  <c r="Z421" i="12"/>
  <c r="Z1269" i="12"/>
  <c r="Z525" i="12"/>
  <c r="Z1241" i="12"/>
  <c r="Z2181" i="12"/>
  <c r="Z1415" i="12"/>
  <c r="Z1404" i="12"/>
  <c r="Z969" i="12"/>
  <c r="Z3040" i="12"/>
  <c r="Z602" i="12"/>
  <c r="Z948" i="12"/>
  <c r="Z1875" i="12"/>
  <c r="Z3337" i="12"/>
  <c r="Z3303" i="12"/>
  <c r="Z401" i="12"/>
  <c r="Z20" i="12"/>
  <c r="Z684" i="12"/>
  <c r="Z813" i="12"/>
  <c r="Z2888" i="12"/>
  <c r="Z2015" i="12"/>
  <c r="Z1730" i="12"/>
  <c r="Z199" i="12"/>
  <c r="Z2709" i="12"/>
  <c r="Z2544" i="12"/>
  <c r="Z1850" i="12"/>
  <c r="Z722" i="12"/>
  <c r="Z1291" i="12"/>
  <c r="Z1546" i="12"/>
  <c r="Z3534" i="12"/>
  <c r="Z2705" i="12"/>
  <c r="Z2951" i="12"/>
  <c r="Z22" i="12"/>
  <c r="Z1433" i="12"/>
  <c r="Z1193" i="12"/>
  <c r="Z2200" i="12"/>
  <c r="Z529" i="12"/>
  <c r="Z1814" i="12"/>
  <c r="Z1428" i="12"/>
  <c r="Z2751" i="12"/>
  <c r="Z975" i="12"/>
  <c r="Z2211" i="12"/>
  <c r="Z288" i="12"/>
  <c r="Z1575" i="12"/>
  <c r="Z2546" i="12"/>
  <c r="Z1400" i="12"/>
  <c r="Z3002" i="12"/>
  <c r="Z3080" i="12"/>
  <c r="Z135" i="12"/>
  <c r="Z1015" i="12"/>
  <c r="Z1103" i="12"/>
  <c r="Z2283" i="12"/>
  <c r="Z2541" i="12"/>
  <c r="Z1847" i="12"/>
  <c r="Z1820" i="12"/>
  <c r="Z1329" i="12"/>
  <c r="Z1944" i="12"/>
  <c r="Z3414" i="12"/>
  <c r="Z388" i="12"/>
  <c r="Z2168" i="12"/>
  <c r="Z2666" i="12"/>
  <c r="Z2416" i="12"/>
  <c r="Z285" i="12"/>
  <c r="Z1988" i="12"/>
  <c r="Z3486" i="12"/>
  <c r="Z254" i="12"/>
  <c r="Z1258" i="12"/>
  <c r="Z21" i="12"/>
  <c r="Z3343" i="12"/>
  <c r="Z1569" i="12"/>
  <c r="Z2129" i="12"/>
  <c r="Z2983" i="12"/>
  <c r="Z3155" i="12"/>
  <c r="Z2366" i="12"/>
  <c r="Z486" i="12"/>
  <c r="Z1861" i="12"/>
  <c r="Z1982" i="12"/>
  <c r="Z719" i="12"/>
  <c r="Z3021" i="12"/>
  <c r="Z117" i="12"/>
  <c r="Z628" i="12"/>
  <c r="Z549" i="12"/>
  <c r="Z1411" i="12"/>
  <c r="Z1692" i="12"/>
  <c r="Z1364" i="12"/>
  <c r="Z3011" i="12"/>
  <c r="Z1887" i="12"/>
  <c r="Z1205" i="12"/>
  <c r="Z3145" i="12"/>
  <c r="Z2466" i="12"/>
  <c r="Z515" i="12"/>
  <c r="Z831" i="12"/>
  <c r="Z2502" i="12"/>
  <c r="Z173" i="12"/>
  <c r="Z2345" i="12"/>
  <c r="Z266" i="12"/>
  <c r="Z2843" i="12"/>
  <c r="Z3403" i="12"/>
  <c r="Z1946" i="12"/>
  <c r="Z2081" i="12"/>
  <c r="Z567" i="12"/>
  <c r="Z2598" i="12"/>
  <c r="Z247" i="12"/>
  <c r="Z1783" i="12"/>
  <c r="Z931" i="12"/>
  <c r="Z1376" i="12"/>
  <c r="Z1474" i="12"/>
  <c r="Z3509" i="12"/>
  <c r="Z596" i="12"/>
  <c r="Z3101" i="12"/>
  <c r="Z186" i="12"/>
  <c r="Z1873" i="12"/>
  <c r="Z172" i="12"/>
  <c r="Z2475" i="12"/>
  <c r="Z31" i="12"/>
  <c r="Z2927" i="12"/>
  <c r="Z72" i="12"/>
  <c r="Z858" i="12"/>
  <c r="Z1865" i="12"/>
  <c r="Z3052" i="12"/>
  <c r="Z2868" i="12"/>
  <c r="Z3354" i="12"/>
  <c r="Z2678" i="12"/>
  <c r="Z2842" i="12"/>
  <c r="Z1869" i="12"/>
  <c r="Z2806" i="12"/>
  <c r="Z3413" i="12"/>
  <c r="Z2271" i="12"/>
  <c r="Z2119" i="12"/>
  <c r="Z2840" i="12"/>
  <c r="Z151" i="12"/>
  <c r="Z2790" i="12"/>
  <c r="Z487" i="12"/>
  <c r="Z1517" i="12"/>
  <c r="Z977" i="12"/>
  <c r="Z947" i="12"/>
  <c r="Z3270" i="12"/>
  <c r="Z763" i="12"/>
  <c r="Z98" i="12"/>
  <c r="Z2771" i="12"/>
  <c r="Z2152" i="12"/>
  <c r="Z3481" i="12"/>
  <c r="Z2718" i="12"/>
  <c r="Z3094" i="12"/>
  <c r="Z1715" i="12"/>
  <c r="Z319" i="12"/>
  <c r="Z1774" i="12"/>
  <c r="Z1141" i="12"/>
  <c r="Z1097" i="12"/>
  <c r="Z3530" i="12"/>
  <c r="Z2340" i="12"/>
  <c r="Z348" i="12"/>
  <c r="Z739" i="12"/>
  <c r="Z86" i="12"/>
  <c r="Z3127" i="12"/>
  <c r="Z1169" i="12"/>
  <c r="Z2812" i="12"/>
  <c r="Z1366" i="12"/>
  <c r="Z2787" i="12"/>
  <c r="Z102" i="12"/>
  <c r="Z1541" i="12"/>
  <c r="Z1203" i="12"/>
  <c r="Z3247" i="12"/>
  <c r="Z3219" i="12"/>
  <c r="Z3526" i="12"/>
  <c r="Z2627" i="12"/>
  <c r="Z1617" i="12"/>
  <c r="Z955" i="12"/>
  <c r="Z2917" i="12"/>
  <c r="Z1099" i="12"/>
  <c r="Z994" i="12"/>
  <c r="Z428" i="12"/>
  <c r="Z2006" i="12"/>
  <c r="Z2016" i="12"/>
  <c r="Z3063" i="12"/>
  <c r="Z253" i="12"/>
  <c r="Z2126" i="12"/>
  <c r="Z731" i="12"/>
  <c r="Z1652" i="12"/>
  <c r="Z1246" i="12"/>
  <c r="Z2289" i="12"/>
  <c r="Z2125" i="12"/>
  <c r="Z491" i="12"/>
  <c r="Z2966" i="12"/>
  <c r="Z2096" i="12"/>
  <c r="Z1143" i="12"/>
  <c r="Z2486" i="12"/>
  <c r="Z2676" i="12"/>
  <c r="Z464" i="12"/>
  <c r="Z2693" i="12"/>
  <c r="Z702" i="12"/>
  <c r="Z363" i="12"/>
  <c r="Z425" i="12"/>
  <c r="Z1842" i="12"/>
  <c r="Z1270" i="12"/>
  <c r="Z3171" i="12"/>
  <c r="Z1237" i="12"/>
  <c r="Z1487" i="12"/>
  <c r="Z2254" i="12"/>
  <c r="Z3385" i="12"/>
  <c r="Z3284" i="12"/>
  <c r="Z208" i="12"/>
  <c r="Z2068" i="12"/>
  <c r="Z3365" i="12"/>
  <c r="Z1950" i="12"/>
  <c r="Z1595" i="12"/>
  <c r="Z385" i="12"/>
  <c r="Z1991" i="12"/>
  <c r="Z1317" i="12"/>
  <c r="Z3513" i="12"/>
  <c r="Z3548" i="12"/>
  <c r="Z666" i="12"/>
  <c r="Z1326" i="12"/>
  <c r="Z483" i="12"/>
  <c r="Z128" i="12"/>
  <c r="Z296" i="12"/>
  <c r="Z2303" i="12"/>
  <c r="Z3249" i="12"/>
  <c r="Z3324" i="12"/>
  <c r="Z1059" i="12"/>
  <c r="Z347" i="12"/>
  <c r="Z2660" i="12"/>
  <c r="Z2371" i="12"/>
  <c r="Z2373" i="12"/>
  <c r="Z505" i="12"/>
  <c r="Z1744" i="12"/>
  <c r="Z2137" i="12"/>
  <c r="Z2056" i="12"/>
  <c r="Z2062" i="12"/>
  <c r="Z951" i="12"/>
  <c r="Z2635" i="12"/>
  <c r="Z983" i="12"/>
  <c r="Z2538" i="12"/>
  <c r="Z2021" i="12"/>
  <c r="Z3328" i="12"/>
  <c r="Z952" i="12"/>
  <c r="Z1919" i="12"/>
  <c r="Z2170" i="12"/>
  <c r="Z907" i="12"/>
  <c r="Z2292" i="12"/>
  <c r="Z637" i="12"/>
  <c r="Z1296" i="12"/>
  <c r="Z1444" i="12"/>
  <c r="Z2212" i="12"/>
  <c r="Z2103" i="12"/>
  <c r="Z921" i="12"/>
  <c r="Z1426" i="12"/>
  <c r="Z2074" i="12"/>
  <c r="Z1116" i="12"/>
  <c r="Z468" i="12"/>
  <c r="Z249" i="12"/>
  <c r="Z2163" i="12"/>
  <c r="Z3527" i="12"/>
  <c r="Z1773" i="12"/>
  <c r="Z1713" i="12"/>
  <c r="Z1230" i="12"/>
  <c r="Z816" i="12"/>
  <c r="Z608" i="12"/>
  <c r="Z1547" i="12"/>
  <c r="Z2722" i="12"/>
  <c r="Z1117" i="12"/>
  <c r="Z3317" i="12"/>
  <c r="Z1385" i="12"/>
  <c r="Z1922" i="12"/>
  <c r="Z1480" i="12"/>
  <c r="Z2003" i="12"/>
  <c r="Z736" i="12"/>
  <c r="Z359" i="12"/>
  <c r="Z1359" i="12"/>
  <c r="Z3496" i="12"/>
  <c r="Z2863" i="12"/>
  <c r="Z824" i="12"/>
  <c r="Z3194" i="12"/>
  <c r="Z3459" i="12"/>
  <c r="Z901" i="12"/>
  <c r="Z62" i="12"/>
  <c r="Z716" i="12"/>
  <c r="Z485" i="12"/>
  <c r="Z1513" i="12"/>
  <c r="Z1665" i="12"/>
  <c r="Z1042" i="12"/>
  <c r="Z2450" i="12"/>
  <c r="Z1458" i="12"/>
  <c r="Z1677" i="12"/>
  <c r="Z1407" i="12"/>
  <c r="Z1749" i="12"/>
  <c r="Z1527" i="12"/>
  <c r="Z1233" i="12"/>
  <c r="Z1005" i="12"/>
  <c r="Z340" i="12"/>
  <c r="Z1923" i="12"/>
  <c r="Z451" i="12"/>
  <c r="Z673" i="12"/>
  <c r="Z1146" i="12"/>
  <c r="Z2891" i="12"/>
  <c r="Z724" i="12"/>
  <c r="Z1445" i="12"/>
  <c r="Z3306" i="12"/>
  <c r="Z3106" i="12"/>
  <c r="Z2391" i="12"/>
  <c r="Z935" i="12"/>
  <c r="Z3274" i="12"/>
  <c r="Z768" i="12"/>
  <c r="Z2752" i="12"/>
  <c r="Z1491" i="12"/>
  <c r="Z2586" i="12"/>
  <c r="Z1354" i="12"/>
  <c r="Z3514" i="12"/>
  <c r="Z1511" i="12"/>
  <c r="Z2071" i="12"/>
  <c r="Z2361" i="12"/>
  <c r="Z1471" i="12"/>
  <c r="Z191" i="12"/>
  <c r="Z1606" i="12"/>
  <c r="Z1643" i="12"/>
  <c r="Z1732" i="12"/>
  <c r="Z1333" i="12"/>
  <c r="Z791" i="12"/>
  <c r="Z1679" i="12"/>
  <c r="Z693" i="12"/>
  <c r="Z392" i="12"/>
  <c r="Z1024" i="12"/>
  <c r="Z1056" i="12"/>
  <c r="Z3418" i="12"/>
  <c r="Z1965" i="12"/>
  <c r="Z2133" i="12"/>
  <c r="Z183" i="12"/>
  <c r="Z2112" i="12"/>
  <c r="Z2097" i="12"/>
  <c r="Z313" i="12"/>
  <c r="Z2525" i="12"/>
  <c r="Z1417" i="12"/>
  <c r="Z2865" i="12"/>
  <c r="Z2365" i="12"/>
  <c r="Z860" i="12"/>
  <c r="Z618" i="12"/>
  <c r="Z1303" i="12"/>
  <c r="Z2144" i="12"/>
  <c r="Z502" i="12"/>
  <c r="Z1068" i="12"/>
  <c r="Z3231" i="12"/>
  <c r="Z178" i="12"/>
  <c r="Z2329" i="12"/>
  <c r="Z2894" i="12"/>
  <c r="Z928" i="12"/>
  <c r="Z3269" i="12"/>
  <c r="Z968" i="12"/>
  <c r="Z2970" i="12"/>
  <c r="Z852" i="12"/>
  <c r="Z1378" i="12"/>
  <c r="Z2005" i="12"/>
  <c r="Z122" i="12"/>
  <c r="Z19" i="12"/>
  <c r="Z2072" i="12"/>
  <c r="Z2458" i="12"/>
  <c r="Z1784" i="12"/>
  <c r="Z1274" i="12"/>
  <c r="Z1835" i="12"/>
  <c r="Z2123" i="12"/>
  <c r="Z1918" i="12"/>
  <c r="Z3076" i="12"/>
  <c r="Z3067" i="12"/>
  <c r="Z1218" i="12"/>
  <c r="Z1775" i="12"/>
  <c r="Z3008" i="12"/>
  <c r="Z1707" i="12"/>
  <c r="Z808" i="12"/>
  <c r="Z2180" i="12"/>
  <c r="Z2729" i="12"/>
  <c r="Z140" i="12"/>
  <c r="Z568" i="12"/>
  <c r="Z1911" i="12"/>
  <c r="Z3056" i="12"/>
  <c r="Z3302" i="12"/>
  <c r="Z584" i="12"/>
  <c r="Z355" i="12"/>
  <c r="Z1255" i="12"/>
  <c r="Z3325" i="12"/>
  <c r="Z1076" i="12"/>
  <c r="Z1488" i="12"/>
  <c r="Z1990" i="12"/>
  <c r="Z395" i="12"/>
  <c r="Z166" i="12"/>
  <c r="Z1397" i="12"/>
  <c r="Z3491" i="12"/>
  <c r="Z1213" i="12"/>
  <c r="Z658" i="12"/>
  <c r="Z2078" i="12"/>
  <c r="Z2534" i="12"/>
  <c r="Z2175" i="12"/>
  <c r="Z3055" i="12"/>
  <c r="Z833" i="12"/>
  <c r="Z1582" i="12"/>
  <c r="Z361" i="12"/>
  <c r="Z292" i="12"/>
  <c r="Z908" i="12"/>
  <c r="Z1306" i="12"/>
  <c r="Z2658" i="12"/>
  <c r="Z769" i="12"/>
  <c r="Z3041" i="12"/>
  <c r="Z2164" i="12"/>
  <c r="Z631" i="12"/>
  <c r="Z2698" i="12"/>
  <c r="Z1727" i="12"/>
  <c r="Z1423" i="12"/>
  <c r="Z2048" i="12"/>
  <c r="Z3335" i="12"/>
  <c r="Z934" i="12"/>
  <c r="Z1204" i="12"/>
  <c r="Z3000" i="12"/>
  <c r="Z668" i="12"/>
  <c r="Z2305" i="12"/>
  <c r="Z2109" i="12"/>
  <c r="Z770" i="12"/>
  <c r="Z1895" i="12"/>
  <c r="Z2742" i="12"/>
  <c r="Z3034" i="12"/>
  <c r="Z2692" i="12"/>
  <c r="Z539" i="12"/>
  <c r="Z1615" i="12"/>
  <c r="Z2308" i="12"/>
  <c r="Z2805" i="12"/>
  <c r="Z2188" i="12"/>
  <c r="Z1148" i="12"/>
  <c r="Z235" i="12"/>
  <c r="Z987" i="12"/>
  <c r="Z1105" i="12"/>
  <c r="Z1119" i="12"/>
  <c r="Z672" i="12"/>
  <c r="Z371" i="12"/>
  <c r="Z2083" i="12"/>
  <c r="Z2689" i="12"/>
  <c r="Z1660" i="12"/>
  <c r="Z203" i="12"/>
  <c r="Z450" i="12"/>
  <c r="Z1558" i="12"/>
  <c r="Z2438" i="12"/>
  <c r="Z850" i="12"/>
  <c r="Z2756" i="12"/>
  <c r="Z3226" i="12"/>
  <c r="Z942" i="12"/>
  <c r="Z3322" i="12"/>
  <c r="Z2354" i="12"/>
  <c r="Z2406" i="12"/>
  <c r="Z1629" i="12"/>
  <c r="Z147" i="12"/>
  <c r="Z3288" i="12"/>
  <c r="Z781" i="12"/>
  <c r="Z1572" i="12"/>
  <c r="Z1019" i="12"/>
  <c r="Z316" i="12"/>
  <c r="Z410" i="12"/>
  <c r="Z1086" i="12"/>
  <c r="Z1039" i="12"/>
  <c r="Z2550" i="12"/>
  <c r="Z2989" i="12"/>
  <c r="Z2855" i="12"/>
  <c r="Z976" i="12"/>
  <c r="Z3314" i="12"/>
  <c r="Z3547" i="12"/>
  <c r="Z224" i="12"/>
  <c r="Z3546" i="12"/>
  <c r="Z3262" i="12"/>
  <c r="Z2325" i="12"/>
  <c r="Z2501" i="12"/>
  <c r="Z1231" i="12"/>
  <c r="Z3489" i="12"/>
  <c r="Z2304" i="12"/>
  <c r="Z3240" i="12"/>
  <c r="Z610" i="12"/>
  <c r="Z3100" i="12"/>
  <c r="Z3521" i="12"/>
  <c r="Z2381" i="12"/>
  <c r="Z329" i="12"/>
  <c r="Z695" i="12"/>
  <c r="Z3241" i="12"/>
  <c r="Z245" i="12"/>
  <c r="Z189" i="12"/>
  <c r="Z1561" i="12"/>
  <c r="Z1221" i="12"/>
  <c r="Z2177" i="12"/>
  <c r="Z830" i="12"/>
  <c r="Z1945" i="12"/>
  <c r="Z2820" i="12"/>
  <c r="Z1104" i="12"/>
  <c r="Z1892" i="12"/>
  <c r="Z2594" i="12"/>
  <c r="Z1751" i="12"/>
  <c r="Z2214" i="12"/>
  <c r="Z2772" i="12"/>
  <c r="Z2017" i="12"/>
  <c r="Z1476" i="12"/>
  <c r="Z3434" i="12"/>
  <c r="Z2860" i="12"/>
  <c r="Z3336" i="12"/>
  <c r="Z1962" i="12"/>
  <c r="Z2746" i="12"/>
  <c r="Z1987" i="12"/>
  <c r="Z2258" i="12"/>
  <c r="Z1776" i="12"/>
  <c r="Z221" i="12"/>
  <c r="Z591" i="12"/>
  <c r="Z3331" i="12"/>
  <c r="Z1614" i="12"/>
  <c r="Z2493" i="12"/>
  <c r="Z911" i="12"/>
  <c r="Z1443" i="12"/>
  <c r="Z2561" i="12"/>
  <c r="Z2401" i="12"/>
  <c r="Z891" i="12"/>
  <c r="Z514" i="12"/>
  <c r="Z414" i="12"/>
  <c r="Z913" i="12"/>
  <c r="Z3133" i="12"/>
  <c r="Z2852" i="12"/>
  <c r="Z1515" i="12"/>
  <c r="Z2277" i="12"/>
  <c r="Z1009" i="12"/>
  <c r="Z216" i="12"/>
  <c r="Z252" i="12"/>
  <c r="Z3292" i="12"/>
  <c r="Z1504" i="12"/>
  <c r="Z138" i="12"/>
  <c r="Z2261" i="12"/>
  <c r="Z2723" i="12"/>
  <c r="Z1345" i="12"/>
  <c r="Z594" i="12"/>
  <c r="Z3298" i="12"/>
  <c r="Z154" i="12"/>
  <c r="Z3174" i="12"/>
  <c r="Z1570" i="12"/>
  <c r="Z802" i="12"/>
  <c r="Z755" i="12"/>
  <c r="Z885" i="12"/>
  <c r="Z1848" i="12"/>
  <c r="Z1790" i="12"/>
  <c r="Z872" i="12"/>
  <c r="Z1608" i="12"/>
  <c r="Z1518" i="12"/>
  <c r="Z2339" i="12"/>
  <c r="Z3033" i="12"/>
  <c r="Z1037" i="12"/>
  <c r="Z143" i="12"/>
  <c r="Z3181" i="12"/>
  <c r="Z664" i="12"/>
  <c r="Z1597" i="12"/>
  <c r="Z1350" i="12"/>
  <c r="Z2091" i="12"/>
  <c r="Z659" i="12"/>
  <c r="Z1791" i="12"/>
  <c r="Z2184" i="12"/>
  <c r="Z817" i="12"/>
  <c r="Z2250" i="12"/>
  <c r="Z506" i="12"/>
  <c r="Z2736" i="12"/>
  <c r="Z1180" i="12"/>
  <c r="Z3119" i="12"/>
  <c r="Z403" i="12"/>
  <c r="Z2918" i="12"/>
  <c r="Z83" i="12"/>
  <c r="Z2754" i="12"/>
  <c r="Z2836" i="12"/>
  <c r="Z959" i="12"/>
  <c r="Z1439" i="12"/>
  <c r="Z202" i="12"/>
  <c r="Z171" i="12"/>
  <c r="Z867" i="12"/>
  <c r="Z2600" i="12"/>
  <c r="Z2150" i="12"/>
  <c r="Z101" i="12"/>
  <c r="Z3369" i="12"/>
  <c r="Z463" i="12"/>
  <c r="Z3433" i="12"/>
  <c r="Z2653" i="12"/>
  <c r="Z3060" i="12"/>
  <c r="Z1183" i="12"/>
  <c r="Z2494" i="12"/>
  <c r="Z2998" i="12"/>
  <c r="Z697" i="12"/>
  <c r="Z1736" i="12"/>
  <c r="Z2683" i="12"/>
  <c r="Z1553" i="12"/>
  <c r="Z260" i="12"/>
  <c r="Z593" i="12"/>
  <c r="Z1361" i="12"/>
  <c r="Z1816" i="12"/>
  <c r="Z2019" i="12"/>
  <c r="Z996" i="12"/>
  <c r="Z3356" i="12"/>
  <c r="Z1769" i="12"/>
  <c r="Z698" i="12"/>
  <c r="Z3166" i="12"/>
  <c r="Z620" i="12"/>
  <c r="Z335" i="12"/>
  <c r="Z645" i="12"/>
  <c r="Z534" i="12"/>
  <c r="Z1165" i="12"/>
  <c r="Z315" i="12"/>
  <c r="Z2176" i="12"/>
  <c r="Z1709" i="12"/>
  <c r="Z1953" i="12"/>
  <c r="Z3477" i="12"/>
  <c r="Z115" i="12"/>
  <c r="Z856" i="12"/>
  <c r="Z840" i="12"/>
  <c r="Z753" i="12"/>
  <c r="Z3408" i="12"/>
  <c r="Z3159" i="12"/>
  <c r="Z2233" i="12"/>
  <c r="Z3533" i="12"/>
  <c r="Z993" i="12"/>
  <c r="Z3300" i="12"/>
  <c r="Z2931" i="12"/>
  <c r="Z2557" i="12"/>
  <c r="Z3428" i="12"/>
  <c r="Z330" i="12"/>
  <c r="Z2030" i="12"/>
  <c r="Z1964" i="12"/>
  <c r="Z3296" i="12"/>
  <c r="Z2288" i="12"/>
  <c r="Z2574" i="12"/>
  <c r="Z431" i="12"/>
  <c r="Z2960" i="12"/>
  <c r="Z889" i="12"/>
  <c r="Z2407" i="12"/>
  <c r="Z927" i="12"/>
  <c r="Z599" i="12"/>
  <c r="Z2739" i="12"/>
  <c r="Z3153" i="12"/>
  <c r="Z1738" i="12"/>
  <c r="Z3199" i="12"/>
  <c r="Z424" i="12"/>
  <c r="Z2548" i="12"/>
  <c r="Z2774" i="12"/>
  <c r="Z1057" i="12"/>
  <c r="Z2252" i="12"/>
  <c r="Z1139" i="12"/>
  <c r="Z32" i="12"/>
  <c r="Z2922" i="12"/>
  <c r="Z2230" i="12"/>
  <c r="Z2251" i="12"/>
  <c r="Z2626" i="12"/>
  <c r="Z394" i="12"/>
  <c r="Z2956" i="12"/>
  <c r="Z2404" i="12"/>
  <c r="Z3278" i="12"/>
  <c r="Z1408" i="12"/>
  <c r="Z1821" i="12"/>
  <c r="Z2556" i="12"/>
  <c r="Z2831" i="12"/>
  <c r="Z732" i="12"/>
  <c r="Z601" i="12"/>
  <c r="Z1958" i="12"/>
  <c r="Z2489" i="12"/>
  <c r="Z1023" i="12"/>
  <c r="Z131" i="12"/>
  <c r="Z1845" i="12"/>
  <c r="Z3235" i="12"/>
  <c r="Z1033" i="12"/>
  <c r="Z3427" i="12"/>
  <c r="Z530" i="12"/>
  <c r="Z1451" i="12"/>
  <c r="Z1900" i="12"/>
  <c r="Z126" i="12"/>
  <c r="Z205" i="12"/>
  <c r="Z2239" i="12"/>
  <c r="Z1138" i="12"/>
  <c r="Z3353" i="12"/>
  <c r="Z2935" i="12"/>
  <c r="Z3135" i="12"/>
  <c r="Z2357" i="12"/>
  <c r="Z2605" i="12"/>
  <c r="Z532" i="12"/>
  <c r="Z2384" i="12"/>
  <c r="Z92" i="12"/>
  <c r="Z3282" i="12"/>
  <c r="Z1562" i="12"/>
  <c r="Z2930" i="12"/>
  <c r="Z1031" i="12"/>
  <c r="Z1038" i="12"/>
  <c r="Z2453" i="12"/>
  <c r="Z546" i="12"/>
  <c r="Z64" i="12"/>
  <c r="Z2957" i="12"/>
  <c r="Z762" i="12"/>
  <c r="Z1980" i="12"/>
  <c r="Z2848" i="12"/>
  <c r="Z752" i="12"/>
  <c r="Z2940" i="12"/>
  <c r="Z446" i="12"/>
  <c r="Z299" i="12"/>
  <c r="Z3471" i="12"/>
  <c r="Z3143" i="12"/>
  <c r="Z2106" i="12"/>
  <c r="Z3279" i="12"/>
  <c r="Z2764" i="12"/>
  <c r="Z2247" i="12"/>
  <c r="Z1830" i="12"/>
  <c r="Z3511" i="12"/>
  <c r="Z30" i="12"/>
  <c r="Z1765" i="12"/>
  <c r="Z528" i="12"/>
  <c r="Z3039" i="12"/>
  <c r="Z900" i="12"/>
  <c r="Z2916" i="12"/>
  <c r="Z2393" i="12"/>
  <c r="Z2878" i="12"/>
  <c r="Z998" i="12"/>
  <c r="Z45" i="12"/>
  <c r="Z884" i="12"/>
  <c r="Z2662" i="12"/>
  <c r="Z2095" i="12"/>
  <c r="Z782" i="12"/>
  <c r="Z2077" i="12"/>
  <c r="Z847" i="12"/>
  <c r="Z3537" i="12"/>
  <c r="Z3400" i="12"/>
  <c r="Z587" i="12"/>
  <c r="Z1189" i="12"/>
  <c r="Z284" i="12"/>
  <c r="Z1052" i="12"/>
  <c r="Z1160" i="12"/>
  <c r="Z1733" i="12"/>
  <c r="Z2449" i="12"/>
  <c r="Z477" i="12"/>
  <c r="Z2165" i="12"/>
  <c r="Z2349" i="12"/>
  <c r="Z2070" i="12"/>
  <c r="Z2372" i="12"/>
  <c r="Z1441" i="12"/>
  <c r="Z1971" i="12"/>
  <c r="Z2858" i="12"/>
  <c r="Z2445" i="12"/>
  <c r="Z2520" i="12"/>
  <c r="Z2100" i="12"/>
  <c r="Z1360" i="12"/>
  <c r="Z2499" i="12"/>
  <c r="Z1166" i="12"/>
  <c r="Z1697" i="12"/>
  <c r="Z2120" i="12"/>
  <c r="Z1389" i="12"/>
  <c r="Z2965" i="12"/>
  <c r="Z2276" i="12"/>
  <c r="Z676" i="12"/>
  <c r="Z930" i="12"/>
  <c r="Z1380" i="12"/>
  <c r="Z2828" i="12"/>
  <c r="Z3429" i="12"/>
  <c r="Z63" i="12"/>
  <c r="Z2065" i="12"/>
  <c r="Z3483" i="12"/>
  <c r="Z675" i="12"/>
  <c r="Z3115" i="12"/>
  <c r="Z2750" i="12"/>
  <c r="Z1175" i="12"/>
  <c r="Z1899" i="12"/>
  <c r="Z1478" i="12"/>
  <c r="Z970" i="12"/>
  <c r="Z1486" i="12"/>
  <c r="Z2139" i="12"/>
  <c r="Z1136" i="12"/>
  <c r="Z150" i="12"/>
  <c r="Z548" i="12"/>
  <c r="Z604" i="12"/>
  <c r="Z647" i="12"/>
  <c r="Z3287" i="12"/>
  <c r="Z2193" i="12"/>
  <c r="Z2773" i="12"/>
  <c r="Z1452" i="12"/>
  <c r="Z1373" i="12"/>
  <c r="Z2061" i="12"/>
  <c r="Z3122" i="12"/>
  <c r="Z2839" i="12"/>
  <c r="Z1028" i="12"/>
  <c r="Z1481" i="12"/>
  <c r="Z1711" i="12"/>
  <c r="Z3178" i="12"/>
  <c r="Z3215" i="12"/>
  <c r="Z1705" i="12"/>
  <c r="Z218" i="12"/>
  <c r="Z52" i="12"/>
  <c r="Z1722" i="12"/>
  <c r="Z343" i="12"/>
  <c r="Z2480" i="12"/>
  <c r="Z1013" i="12"/>
  <c r="Z3549" i="12"/>
  <c r="Z2440" i="12"/>
  <c r="Z1339" i="12"/>
  <c r="Z654" i="12"/>
  <c r="Z430" i="12"/>
  <c r="Z1348" i="12"/>
  <c r="Z244" i="12"/>
  <c r="Z164" i="12"/>
  <c r="Z2850" i="12"/>
  <c r="Z2531" i="12"/>
  <c r="Z3436" i="12"/>
  <c r="Z544" i="12"/>
  <c r="Z862" i="12"/>
  <c r="Z2947" i="12"/>
  <c r="Z3102" i="12"/>
  <c r="Z3531" i="12"/>
  <c r="Z200" i="12"/>
  <c r="Z55" i="12"/>
  <c r="Z1530" i="12"/>
  <c r="Z2497" i="12"/>
  <c r="Z2905" i="12"/>
  <c r="Z1363" i="12"/>
  <c r="Z1220" i="12"/>
  <c r="Z3422" i="12"/>
  <c r="Z1045" i="12"/>
  <c r="Z1949" i="12"/>
  <c r="Z91" i="12"/>
  <c r="Z1974" i="12"/>
  <c r="Z1591" i="12"/>
  <c r="Z2886" i="12"/>
  <c r="Z2124" i="12"/>
  <c r="Z349" i="12"/>
  <c r="Z2459" i="12"/>
  <c r="Z3444" i="12"/>
  <c r="Z2498" i="12"/>
  <c r="Z2569" i="12"/>
  <c r="Z1594" i="12"/>
  <c r="Z3263" i="12"/>
  <c r="Z2323" i="12"/>
  <c r="Z2687" i="12"/>
  <c r="Z2147" i="12"/>
  <c r="Z3261" i="12"/>
  <c r="Z3075" i="12"/>
  <c r="Z3220" i="12"/>
  <c r="Z279" i="12"/>
  <c r="Z1457" i="12"/>
  <c r="Z2929" i="12"/>
  <c r="Z1870" i="12"/>
  <c r="Z165" i="12"/>
  <c r="Z159" i="12"/>
  <c r="Z2890" i="12"/>
  <c r="Z1174" i="12"/>
  <c r="Z2815" i="12"/>
  <c r="Z80" i="12"/>
  <c r="Z1871" i="12"/>
  <c r="Z1089" i="12"/>
  <c r="Z2076" i="12"/>
  <c r="Z1497" i="12"/>
  <c r="Z3256" i="12"/>
  <c r="Z1121" i="12"/>
  <c r="Z1519" i="12"/>
  <c r="Z876" i="12"/>
  <c r="Z1876" i="12"/>
  <c r="Z3377" i="12"/>
  <c r="Z2264" i="12"/>
  <c r="Z2414" i="12"/>
  <c r="Z1673" i="12"/>
  <c r="Z1055" i="12"/>
  <c r="Z2749" i="12"/>
  <c r="Z193" i="12"/>
  <c r="Z35" i="12"/>
  <c r="Z3480" i="12"/>
  <c r="Z27" i="12"/>
  <c r="Z497" i="12"/>
  <c r="Z133" i="12"/>
  <c r="Z494" i="12"/>
  <c r="Z2338" i="12"/>
  <c r="Z1101" i="12"/>
  <c r="Z2732" i="12"/>
  <c r="Z2385" i="12"/>
  <c r="Z2360" i="12"/>
  <c r="Z3416" i="12"/>
  <c r="Z3144" i="12"/>
  <c r="Z1145" i="12"/>
  <c r="Z2201" i="12"/>
  <c r="Z709" i="12"/>
  <c r="Z3313" i="12"/>
  <c r="Z2057" i="12"/>
  <c r="Z3342" i="12"/>
  <c r="Z182" i="12"/>
  <c r="Z1074" i="12"/>
  <c r="Z1418" i="12"/>
  <c r="Z1690" i="12"/>
  <c r="Z680" i="12"/>
  <c r="Z711" i="12"/>
  <c r="Z707" i="12"/>
  <c r="Z2993" i="12"/>
  <c r="Z1178" i="12"/>
  <c r="Z1051" i="12"/>
  <c r="Z1957" i="12"/>
  <c r="Z2379" i="12"/>
  <c r="Z1319" i="12"/>
  <c r="Z1725" i="12"/>
  <c r="Z2816" i="12"/>
  <c r="Z2135" i="12"/>
  <c r="Z2527" i="12"/>
  <c r="Z2706" i="12"/>
  <c r="Z1022" i="12"/>
  <c r="Z671" i="12"/>
  <c r="Z1041" i="12"/>
  <c r="Z992" i="12"/>
  <c r="Z201" i="12"/>
  <c r="Z1973" i="12"/>
  <c r="Z2418" i="12"/>
  <c r="Z1793" i="12"/>
  <c r="Z3016" i="12"/>
  <c r="Z874" i="12"/>
  <c r="Z1325" i="12"/>
  <c r="Z846" i="12"/>
  <c r="Z185" i="12"/>
  <c r="Z449" i="12"/>
  <c r="Z1162" i="12"/>
  <c r="Z1917" i="12"/>
  <c r="Z881" i="12"/>
  <c r="Z454" i="12"/>
  <c r="Z1907" i="12"/>
  <c r="Z66" i="12"/>
  <c r="Z1437" i="12"/>
  <c r="Z1018" i="12"/>
  <c r="Z2088" i="12"/>
  <c r="Z2719" i="12"/>
  <c r="Z498" i="12"/>
  <c r="Z1507" i="12"/>
  <c r="Z1841" i="12"/>
  <c r="Z3297" i="12"/>
  <c r="Z1650" i="12"/>
  <c r="Z1585" i="12"/>
  <c r="Z2350" i="12"/>
  <c r="Z1304" i="12"/>
  <c r="Z142" i="12"/>
  <c r="Z1548" i="12"/>
  <c r="Z73" i="12"/>
  <c r="Z1369" i="12"/>
  <c r="Z2033" i="12"/>
  <c r="Z1021" i="12"/>
  <c r="Z3015" i="12"/>
  <c r="Z3293" i="12"/>
  <c r="Z3160" i="12"/>
  <c r="Z1633" i="12"/>
  <c r="Z575" i="12"/>
  <c r="Z250" i="12"/>
  <c r="Z174" i="12"/>
  <c r="Z2612" i="12"/>
  <c r="Z566" i="12"/>
  <c r="Z1370" i="12"/>
  <c r="Z2285" i="12"/>
  <c r="Z3188" i="12"/>
  <c r="Z1529" i="12"/>
  <c r="Z1455" i="12"/>
  <c r="Z2617" i="12"/>
  <c r="Z1469" i="12"/>
  <c r="Z1332" i="12"/>
  <c r="Z682" i="12"/>
  <c r="Z3134" i="12"/>
  <c r="Z1854" i="12"/>
  <c r="Z480" i="12"/>
  <c r="Z1128" i="12"/>
  <c r="Z3239" i="12"/>
  <c r="Z2331" i="12"/>
  <c r="Z2402" i="12"/>
  <c r="Z3528" i="12"/>
  <c r="Z2924" i="12"/>
  <c r="Z2673" i="12"/>
  <c r="Z3244" i="12"/>
  <c r="Z1025" i="12"/>
  <c r="Z2363" i="12"/>
  <c r="Z1135" i="12"/>
  <c r="Z1053" i="12"/>
  <c r="Z1787" i="12"/>
  <c r="Z2837" i="12"/>
  <c r="Z1970" i="12"/>
  <c r="Z443" i="12"/>
  <c r="Z2213" i="12"/>
  <c r="Z2010" i="12"/>
  <c r="Z1701" i="12"/>
  <c r="Z1680" i="12"/>
  <c r="Z3367" i="12"/>
  <c r="Z692" i="12"/>
  <c r="Z1934" i="12"/>
  <c r="Z1717" i="12"/>
  <c r="Z209" i="12"/>
  <c r="Z2573" i="12"/>
  <c r="Z1686" i="12"/>
  <c r="Z324" i="12"/>
  <c r="Z3366" i="12"/>
  <c r="Z1920" i="12"/>
  <c r="Z3443" i="12"/>
  <c r="Z1788" i="12"/>
  <c r="Z751" i="12"/>
  <c r="Z460" i="12"/>
  <c r="Z1382" i="12"/>
  <c r="Z1181" i="12"/>
  <c r="Z1658" i="12"/>
  <c r="Z3318" i="12"/>
  <c r="Z2432" i="12"/>
  <c r="Z2741" i="12"/>
  <c r="Z1254" i="12"/>
  <c r="Z2280" i="12"/>
  <c r="Z795" i="12"/>
  <c r="Z219" i="12"/>
  <c r="Z1257" i="12"/>
  <c r="Z37" i="12"/>
  <c r="Z1921" i="12"/>
  <c r="Z3472" i="12"/>
  <c r="Z1551" i="12"/>
  <c r="Z2987" i="12"/>
  <c r="Z3465" i="12"/>
  <c r="Z888" i="12"/>
  <c r="Z274" i="12"/>
  <c r="Z961" i="12"/>
  <c r="Z2893" i="12"/>
  <c r="Z592" i="12"/>
  <c r="Z2507" i="12"/>
  <c r="Z2590" i="12"/>
  <c r="Z1647" i="12"/>
  <c r="Z2540" i="12"/>
  <c r="Z499" i="12"/>
  <c r="Z2044" i="12"/>
  <c r="Z3140" i="12"/>
  <c r="Z1603" i="12"/>
  <c r="Z2794" i="12"/>
  <c r="Z1882" i="12"/>
  <c r="Z3044" i="12"/>
  <c r="Z85" i="12"/>
  <c r="Z65" i="12"/>
  <c r="Z3151" i="12"/>
  <c r="Z2526" i="12"/>
  <c r="Z1621" i="12"/>
  <c r="Z141" i="12"/>
  <c r="Z2566" i="12"/>
  <c r="Z1224" i="12"/>
  <c r="Z2002" i="12"/>
  <c r="Z1217" i="12"/>
  <c r="Z1472" i="12"/>
  <c r="Z3259" i="12"/>
  <c r="Z1456" i="12"/>
  <c r="Z2791" i="12"/>
  <c r="Z2724" i="12"/>
  <c r="Z2554" i="12"/>
  <c r="Z409" i="12"/>
  <c r="Z982" i="12"/>
  <c r="Z1192" i="12"/>
  <c r="Z3311" i="12"/>
  <c r="Z565" i="12"/>
  <c r="Z1929" i="12"/>
  <c r="Z302" i="12"/>
  <c r="Z2036" i="12"/>
  <c r="Z1823" i="12"/>
  <c r="Z1215" i="12"/>
  <c r="Z1047" i="12"/>
  <c r="Z3212" i="12"/>
  <c r="Z1931" i="12"/>
  <c r="Z436" i="12"/>
  <c r="Z2508" i="12"/>
  <c r="Z2766" i="12"/>
  <c r="Z669" i="12"/>
  <c r="Z1860" i="12"/>
  <c r="Z1004" i="12"/>
  <c r="Z2436" i="12"/>
  <c r="Z3173" i="12"/>
  <c r="Z3072" i="12"/>
  <c r="Z237" i="12"/>
  <c r="Z2210" i="12"/>
  <c r="Z665" i="12"/>
  <c r="Z1640" i="12"/>
  <c r="Z2567" i="12"/>
  <c r="Z2161" i="12"/>
  <c r="Z2089" i="12"/>
  <c r="Z1137" i="12"/>
  <c r="Z3329" i="12"/>
  <c r="Z3349" i="12"/>
  <c r="Z2306" i="12"/>
  <c r="Z2092" i="12"/>
  <c r="Z2456" i="12"/>
  <c r="Z1699" i="12"/>
  <c r="Z3192" i="12"/>
  <c r="Z2262" i="12"/>
  <c r="Z2588" i="12"/>
  <c r="Z2633" i="12"/>
  <c r="Z580" i="12"/>
  <c r="Z231" i="12"/>
  <c r="Z2737" i="12"/>
  <c r="Z3224" i="12"/>
  <c r="Z476" i="12"/>
  <c r="Z2362" i="12"/>
  <c r="Z2141" i="12"/>
  <c r="Z3447" i="12"/>
  <c r="Z2504" i="12"/>
  <c r="Z2986" i="12"/>
  <c r="Z2236" i="12"/>
  <c r="Z1734" i="12"/>
  <c r="Z2364" i="12"/>
  <c r="Z1268" i="12"/>
  <c r="Z922" i="12"/>
  <c r="Z653" i="12"/>
  <c r="Z440" i="12"/>
  <c r="Z2505" i="12"/>
  <c r="Z1995" i="12"/>
  <c r="Z2597" i="12"/>
  <c r="Z3492" i="12"/>
  <c r="Z1453" i="12"/>
  <c r="Z1067" i="12"/>
  <c r="Z1573" i="12"/>
  <c r="Z2877" i="12"/>
  <c r="Z3536" i="12"/>
  <c r="Z2572" i="12"/>
  <c r="Z2330" i="12"/>
  <c r="Z2585" i="12"/>
  <c r="Z3038" i="12"/>
  <c r="Z2171" i="12"/>
  <c r="Z337" i="12"/>
  <c r="Z1940" i="12"/>
  <c r="Z3308" i="12"/>
  <c r="Z3348" i="12"/>
  <c r="Z2022" i="12"/>
  <c r="Z1689" i="12"/>
  <c r="Z3265" i="12"/>
  <c r="Z552" i="12"/>
  <c r="Z2442" i="12"/>
  <c r="Z2977" i="12"/>
  <c r="Z1498" i="12"/>
  <c r="Z1391" i="12"/>
  <c r="Z897" i="12"/>
  <c r="Z1077" i="12"/>
  <c r="Z794" i="12"/>
  <c r="Z3065" i="12"/>
  <c r="Z3117" i="12"/>
  <c r="Z1884" i="12"/>
  <c r="Z2609" i="12"/>
  <c r="Z3090" i="12"/>
  <c r="Z605" i="12"/>
  <c r="Z2335" i="12"/>
  <c r="Z1743" i="12"/>
  <c r="Z1676" i="12"/>
  <c r="Z3049" i="12"/>
  <c r="Z438" i="12"/>
  <c r="Z3169" i="12"/>
  <c r="Z3503" i="12"/>
  <c r="Z2701" i="12"/>
  <c r="Z2155" i="12"/>
  <c r="Z2377" i="12"/>
  <c r="Z1300" i="12"/>
  <c r="Z1948" i="12"/>
  <c r="Z2577" i="12"/>
  <c r="Z1285" i="12"/>
  <c r="Z3271" i="12"/>
  <c r="Z38" i="12"/>
  <c r="Z980" i="12"/>
  <c r="Z2830" i="12"/>
  <c r="Z2720" i="12"/>
  <c r="Z139" i="12"/>
  <c r="Z1271" i="12"/>
  <c r="Z257" i="12"/>
  <c r="Z1365" i="12"/>
  <c r="Z2430" i="12"/>
  <c r="Z3020" i="12"/>
  <c r="Z572" i="12"/>
  <c r="Z1396" i="12"/>
  <c r="Z3319" i="12"/>
  <c r="Z3482" i="12"/>
  <c r="Z3479" i="12"/>
  <c r="Z2146" i="12"/>
  <c r="Z2895" i="12"/>
  <c r="Z1915" i="12"/>
  <c r="Z1840" i="12"/>
  <c r="Z1858" i="12"/>
  <c r="Z1384" i="12"/>
  <c r="Z1446" i="12"/>
  <c r="Z748" i="12"/>
  <c r="Z2344" i="12"/>
  <c r="Z1880" i="12"/>
  <c r="Z1849" i="12"/>
  <c r="Z2632" i="12"/>
  <c r="Z1012" i="12"/>
  <c r="Z1856" i="12"/>
  <c r="Z1026" i="12"/>
  <c r="Z1879" i="12"/>
  <c r="Z2680" i="12"/>
  <c r="Z1454" i="12"/>
  <c r="Z2547" i="12"/>
  <c r="Z2818" i="12"/>
  <c r="Z3234" i="12"/>
  <c r="Z406" i="12"/>
  <c r="Z2846" i="12"/>
  <c r="Z1695" i="12"/>
  <c r="Z3177" i="12"/>
  <c r="Z1625" i="12"/>
  <c r="Z1789" i="12"/>
  <c r="Z2634" i="12"/>
  <c r="Z2470" i="12"/>
  <c r="Z953" i="12"/>
  <c r="Z2845" i="12"/>
  <c r="Z2202" i="12"/>
  <c r="Z1032" i="12"/>
  <c r="Z843" i="12"/>
  <c r="Z2190" i="12"/>
  <c r="Z493" i="12"/>
  <c r="Z780" i="12"/>
  <c r="Z2166" i="12"/>
  <c r="Z2263" i="12"/>
  <c r="Z1290" i="12"/>
  <c r="Z918" i="12"/>
  <c r="Z2897" i="12"/>
  <c r="Z826" i="12"/>
  <c r="Z1245" i="12"/>
  <c r="Z1721" i="12"/>
  <c r="Z1049" i="12"/>
  <c r="Z3062" i="12"/>
  <c r="Z176" i="12"/>
  <c r="Z2352" i="12"/>
  <c r="Z3399" i="12"/>
  <c r="Z2013" i="12"/>
  <c r="Z788" i="12"/>
  <c r="Z1885" i="12"/>
  <c r="Z2578" i="12"/>
  <c r="Z1447" i="12"/>
  <c r="Z2591" i="12"/>
  <c r="Z735" i="12"/>
  <c r="Z962" i="12"/>
  <c r="Z1195" i="12"/>
  <c r="Z2610" i="12"/>
  <c r="Z915" i="12"/>
  <c r="Z641" i="12"/>
  <c r="Z877" i="12"/>
  <c r="Z3316" i="12"/>
  <c r="Z2753" i="12"/>
  <c r="Z240" i="12"/>
  <c r="Z1495" i="12"/>
  <c r="Z1735" i="12"/>
  <c r="Z938" i="12"/>
  <c r="Z2789" i="12"/>
  <c r="Z1559" i="12"/>
  <c r="Z2629" i="12"/>
  <c r="Z2419" i="12"/>
  <c r="Z2491" i="12"/>
  <c r="Z1627" i="12"/>
  <c r="Z2130" i="12"/>
  <c r="Z1764" i="12"/>
  <c r="Z1302" i="12"/>
  <c r="Z906" i="12"/>
  <c r="Z2309" i="12"/>
  <c r="Z2267" i="12"/>
  <c r="Z89" i="12"/>
  <c r="Z1171" i="12"/>
  <c r="Z3551" i="12"/>
  <c r="Z3310" i="12"/>
  <c r="Z1523" i="12"/>
  <c r="Z518" i="12"/>
  <c r="Z2047" i="12"/>
  <c r="Z3168" i="12"/>
  <c r="Z1034" i="12"/>
  <c r="Z609" i="12"/>
  <c r="Z3478" i="12"/>
  <c r="Z939" i="12"/>
  <c r="Z2483" i="12"/>
  <c r="Z954" i="12"/>
  <c r="Z1158" i="12"/>
  <c r="Z384" i="12"/>
  <c r="Z3394" i="12"/>
  <c r="Z2182" i="12"/>
  <c r="Z3095" i="12"/>
  <c r="Z614" i="12"/>
  <c r="Z1838" i="12"/>
  <c r="Z842" i="12"/>
  <c r="Z868" i="12"/>
  <c r="Z1508" i="12"/>
  <c r="Z989" i="12"/>
  <c r="Z2515" i="12"/>
  <c r="Z758" i="12"/>
  <c r="Z1100" i="12"/>
  <c r="Z2593" i="12"/>
  <c r="Z1641" i="12"/>
  <c r="Z2703" i="12"/>
  <c r="Z196" i="12"/>
  <c r="Z1223" i="12"/>
  <c r="Z841" i="12"/>
  <c r="Z49" i="12"/>
  <c r="Z1947" i="12"/>
  <c r="Z991" i="12"/>
  <c r="Z2196" i="12"/>
  <c r="Z756" i="12"/>
  <c r="Z3048" i="12"/>
  <c r="Z1657" i="12"/>
  <c r="Z3305" i="12"/>
  <c r="Z461" i="12"/>
  <c r="Z765" i="12"/>
  <c r="Z1522" i="12"/>
  <c r="Z3202" i="12"/>
  <c r="Z2431" i="12"/>
  <c r="Z1671" i="12"/>
  <c r="Z404" i="12"/>
  <c r="Z2950" i="12"/>
  <c r="Z2958" i="12"/>
  <c r="Z1642" i="12"/>
  <c r="Z2007" i="12"/>
  <c r="Z3108" i="12"/>
  <c r="Z1405" i="12"/>
  <c r="Z1952" i="12"/>
  <c r="Z1123" i="12"/>
  <c r="Z1506" i="12"/>
  <c r="Z2980" i="12"/>
  <c r="Z1897" i="12"/>
  <c r="Z1073" i="12"/>
  <c r="Z2140" i="12"/>
  <c r="Z1837" i="12"/>
  <c r="Z687" i="12"/>
  <c r="Z2516" i="12"/>
  <c r="Z638" i="12"/>
  <c r="Z462" i="12"/>
  <c r="Z1827" i="12"/>
  <c r="Z2826" i="12"/>
  <c r="Z932" i="12"/>
  <c r="Z535" i="12"/>
  <c r="Z1386" i="12"/>
  <c r="Z957" i="12"/>
  <c r="Z2503" i="12"/>
  <c r="Z1740" i="12"/>
  <c r="Z76" i="12"/>
  <c r="Z3232" i="12"/>
  <c r="Z2241" i="12"/>
  <c r="Z3464" i="12"/>
  <c r="Z1512" i="12"/>
  <c r="Z2412" i="12"/>
  <c r="Z883" i="12"/>
  <c r="Z725" i="12"/>
  <c r="Z407" i="12"/>
  <c r="Z2616" i="12"/>
  <c r="Z2255" i="12"/>
  <c r="Z3010" i="12"/>
  <c r="Z1082" i="12"/>
  <c r="Z2157" i="12"/>
  <c r="Z2093" i="12"/>
  <c r="Z233" i="12"/>
  <c r="Z2243" i="12"/>
  <c r="Z105" i="12"/>
  <c r="Z2207" i="12"/>
  <c r="Z1259" i="12"/>
  <c r="Z2300" i="12"/>
  <c r="Z1803" i="12"/>
  <c r="Z2032" i="12"/>
  <c r="Z2148" i="12"/>
  <c r="Z3164" i="12"/>
  <c r="Z1286" i="12"/>
  <c r="Z1393" i="12"/>
  <c r="Z612" i="12"/>
  <c r="Z3512" i="12"/>
  <c r="Z2861" i="12"/>
  <c r="Z663" i="12"/>
  <c r="Z973" i="12"/>
  <c r="Z1122" i="12"/>
  <c r="Z2822" i="12"/>
  <c r="Z2158" i="12"/>
  <c r="Z153" i="12"/>
  <c r="Z1583" i="12"/>
  <c r="Z1853" i="12"/>
  <c r="Z3051" i="12"/>
  <c r="Z2224" i="12"/>
  <c r="Z2226" i="12"/>
  <c r="Z294" i="12"/>
  <c r="Z3351" i="12"/>
  <c r="Z3392" i="12"/>
  <c r="Z2780" i="12"/>
  <c r="Z97" i="12"/>
  <c r="Z2131" i="12"/>
  <c r="Z917" i="12"/>
  <c r="Z305" i="12"/>
  <c r="Z761" i="12"/>
  <c r="Z2392" i="12"/>
  <c r="Z2999" i="12"/>
  <c r="Z963" i="12"/>
  <c r="Z1693" i="12"/>
  <c r="Z1703" i="12"/>
  <c r="Z2209" i="12"/>
  <c r="Z1177" i="12"/>
  <c r="Z41" i="12"/>
  <c r="Z1622" i="12"/>
  <c r="Z2883" i="12"/>
  <c r="Z1362" i="12"/>
  <c r="Z2911" i="12"/>
  <c r="Z3545" i="12"/>
  <c r="Z479" i="12"/>
  <c r="Z3286" i="12"/>
  <c r="Z393" i="12"/>
  <c r="Z1375" i="12"/>
  <c r="Z1153" i="12"/>
  <c r="Z3388" i="12"/>
  <c r="Z2714" i="12"/>
  <c r="Z1894" i="12"/>
  <c r="Z734" i="12"/>
  <c r="Z2948" i="12"/>
  <c r="Z3420" i="12"/>
  <c r="Z1264" i="12"/>
  <c r="Z2395" i="12"/>
  <c r="Z415" i="12"/>
  <c r="Z898" i="12"/>
  <c r="Z255" i="12"/>
  <c r="Z2587" i="12"/>
  <c r="Z2178" i="12"/>
  <c r="Z1906" i="12"/>
  <c r="Z2238" i="12"/>
  <c r="Z297" i="12"/>
  <c r="Z3138" i="12"/>
  <c r="Z3518" i="12"/>
  <c r="Z1708" i="12"/>
  <c r="Z2448" i="12"/>
  <c r="Z3184" i="12"/>
  <c r="Z378" i="12"/>
  <c r="Z2367" i="12"/>
  <c r="Z1829" i="12"/>
  <c r="Z1108" i="12"/>
  <c r="Z482" i="12"/>
  <c r="Z2514" i="12"/>
  <c r="Z3036" i="12"/>
  <c r="Z1202" i="12"/>
  <c r="Z2408" i="12"/>
  <c r="Z3330" i="12"/>
  <c r="Z1140" i="12"/>
  <c r="Z2699" i="12"/>
  <c r="Z1129" i="12"/>
  <c r="Z2528" i="12"/>
  <c r="Z2490" i="12"/>
  <c r="Z1401" i="12"/>
  <c r="Z3445" i="12"/>
  <c r="Z3043" i="12"/>
  <c r="Z3344" i="12"/>
  <c r="Z1804" i="12"/>
  <c r="Z121" i="12"/>
  <c r="Z1282" i="12"/>
  <c r="Z1062" i="12"/>
  <c r="Z896" i="12"/>
  <c r="Z2996" i="12"/>
  <c r="Z1683" i="12"/>
  <c r="Z1316" i="12"/>
  <c r="Z2426" i="12"/>
  <c r="Z129" i="12"/>
  <c r="Z3470" i="12"/>
  <c r="Z3112" i="12"/>
  <c r="Z1337" i="12"/>
  <c r="Z2050" i="12"/>
  <c r="Z3207" i="12"/>
  <c r="Z747" i="12"/>
  <c r="Z2317" i="12"/>
  <c r="Z2079" i="12"/>
  <c r="Z1003" i="12"/>
  <c r="Z2463" i="12"/>
  <c r="Z2782" i="12"/>
  <c r="Z298" i="12"/>
  <c r="Z855" i="12"/>
  <c r="Z2043" i="12"/>
  <c r="Z2809" i="12"/>
  <c r="Z2174" i="12"/>
  <c r="Z1111" i="12"/>
  <c r="Z1321" i="12"/>
  <c r="Z116" i="12"/>
  <c r="Z3485" i="12"/>
  <c r="Z2020" i="12"/>
  <c r="Z1002" i="12"/>
  <c r="Z1163" i="12"/>
  <c r="Z2484" i="12"/>
  <c r="Z2028" i="12"/>
  <c r="Z2337" i="12"/>
  <c r="Z1636" i="12"/>
  <c r="Z286" i="12"/>
  <c r="Z2765" i="12"/>
  <c r="Z3157" i="12"/>
  <c r="Z1492" i="12"/>
  <c r="Z997" i="12"/>
  <c r="Z2592" i="12"/>
  <c r="Z800" i="12"/>
  <c r="Z2099" i="12"/>
  <c r="Z1251" i="12"/>
  <c r="Z1334" i="12"/>
  <c r="Z180" i="12"/>
  <c r="Z3068" i="12"/>
  <c r="Z718" i="12"/>
  <c r="Z3099" i="12"/>
  <c r="Z3204" i="12"/>
  <c r="Z3421" i="12"/>
  <c r="Z611" i="12"/>
  <c r="Z1712" i="12"/>
  <c r="Z559" i="12"/>
  <c r="Z1367" i="12"/>
  <c r="Z2530" i="12"/>
  <c r="Z714" i="12"/>
  <c r="Z2117" i="12"/>
  <c r="Z3502" i="12"/>
  <c r="Z2260" i="12"/>
  <c r="Z950" i="12"/>
  <c r="Z764" i="12"/>
  <c r="Z667" i="12"/>
  <c r="Z1262" i="12"/>
  <c r="Z1096" i="12"/>
  <c r="Z1377" i="12"/>
  <c r="Z2755" i="12"/>
  <c r="Z2684" i="12"/>
  <c r="Z912" i="12"/>
  <c r="Z578" i="12"/>
  <c r="Z1565" i="12"/>
  <c r="Z2639" i="12"/>
  <c r="Z2018" i="12"/>
  <c r="Z1967" i="12"/>
  <c r="Z1602" i="12"/>
  <c r="Z1972" i="12"/>
  <c r="Z447" i="12"/>
  <c r="Z300" i="12"/>
  <c r="Z2743" i="12"/>
  <c r="Z3442" i="12"/>
  <c r="Z1126" i="12"/>
  <c r="Z2976" i="12"/>
  <c r="Z919" i="12"/>
  <c r="Z553" i="12"/>
  <c r="Z1771" i="12"/>
  <c r="Z3327" i="12"/>
  <c r="Z1496" i="12"/>
  <c r="Z3347" i="12"/>
  <c r="Z3206" i="12"/>
  <c r="Z2281" i="12"/>
  <c r="Z1238" i="12"/>
  <c r="Z581" i="12"/>
  <c r="Z1724" i="12"/>
  <c r="Z750" i="12"/>
  <c r="Z332" i="12"/>
  <c r="Z520" i="12"/>
  <c r="Z2302" i="12"/>
  <c r="Z1060" i="12"/>
  <c r="Z2220" i="12"/>
  <c r="Z3118" i="12"/>
  <c r="Z2763" i="12"/>
  <c r="Z1470" i="12"/>
  <c r="Z902" i="12"/>
  <c r="Z630" i="12"/>
  <c r="Z3146" i="12"/>
  <c r="Z740" i="12"/>
  <c r="Z3210" i="12"/>
  <c r="Z2879" i="12"/>
  <c r="Z2469" i="12"/>
  <c r="Z3163" i="12"/>
  <c r="Z1753" i="12"/>
  <c r="Z2884" i="12"/>
  <c r="Z283" i="12"/>
  <c r="Z60" i="12"/>
  <c r="Z2647" i="12"/>
  <c r="Z3359" i="12"/>
  <c r="Z828" i="12"/>
  <c r="Z715" i="12"/>
  <c r="Z1579" i="12"/>
  <c r="Z2222" i="12"/>
  <c r="Z639" i="12"/>
  <c r="Z228" i="12"/>
  <c r="Z1700" i="12"/>
  <c r="Z574" i="12"/>
  <c r="Z2704" i="12"/>
  <c r="Z1095" i="12"/>
  <c r="Z2535" i="12"/>
  <c r="Z2564" i="12"/>
  <c r="Z2925" i="12"/>
  <c r="Z2320" i="12"/>
  <c r="Z103" i="12"/>
  <c r="Z1969" i="12"/>
  <c r="Z1438" i="12"/>
  <c r="Z2558" i="12"/>
  <c r="Z2080" i="12"/>
  <c r="Z212" i="12"/>
  <c r="Z3439" i="12"/>
  <c r="Z380" i="12"/>
  <c r="Z3500" i="12"/>
  <c r="Z2735" i="12"/>
  <c r="Z1577" i="12"/>
  <c r="Z2399" i="12"/>
  <c r="Z854" i="12"/>
  <c r="Z1206" i="12"/>
  <c r="Z1818" i="12"/>
  <c r="Z265" i="12"/>
  <c r="Z644" i="12"/>
  <c r="Z1651" i="12"/>
  <c r="Z2621" i="12"/>
  <c r="Z1432" i="12"/>
  <c r="Z1833" i="12"/>
  <c r="Z3529" i="12"/>
  <c r="Z3460" i="12"/>
  <c r="Z2294" i="12"/>
  <c r="Z1859" i="12"/>
  <c r="Z1808" i="12"/>
  <c r="Z1318" i="12"/>
  <c r="Z1525" i="12"/>
  <c r="Z1372" i="12"/>
  <c r="Z1668" i="12"/>
  <c r="Z3216" i="12"/>
  <c r="Z1681" i="12"/>
  <c r="Z456" i="12"/>
  <c r="Z706" i="12"/>
  <c r="Z941" i="12"/>
  <c r="Z1429" i="12"/>
  <c r="Z2474" i="12"/>
  <c r="Z40" i="12"/>
  <c r="Z229" i="12"/>
  <c r="Z389" i="12"/>
  <c r="Z2194" i="12"/>
  <c r="Z3136" i="12"/>
  <c r="Z1078" i="12"/>
  <c r="Z1279" i="12"/>
  <c r="Z271" i="12"/>
  <c r="Z1868" i="12"/>
  <c r="Z2192" i="12"/>
  <c r="Z1956" i="12"/>
  <c r="Z3161" i="12"/>
  <c r="Z3012" i="12"/>
  <c r="Z1459" i="12"/>
  <c r="Z2781" i="12"/>
  <c r="Z1353" i="12"/>
  <c r="Z844" i="12"/>
  <c r="Z346" i="12"/>
  <c r="Z3380" i="12"/>
  <c r="Z107" i="12"/>
  <c r="Z1017" i="12"/>
  <c r="Z2874" i="12"/>
  <c r="Z3197" i="12"/>
  <c r="Z1694" i="12"/>
  <c r="Z281" i="12"/>
  <c r="Z2259" i="12"/>
  <c r="Z1150" i="12"/>
  <c r="Z2681" i="12"/>
  <c r="Z2053" i="12"/>
  <c r="Z615" i="12"/>
  <c r="Z2637" i="12"/>
  <c r="Z2716" i="12"/>
  <c r="Z2299" i="12"/>
  <c r="Z3006" i="12"/>
  <c r="Z2545" i="12"/>
  <c r="Z2778" i="12"/>
  <c r="Z733" i="12"/>
  <c r="Z259" i="12"/>
  <c r="Z683" i="12"/>
  <c r="Z776" i="12"/>
  <c r="Z1201" i="12"/>
  <c r="Z2114" i="12"/>
  <c r="Z1278" i="12"/>
  <c r="Z1277" i="12"/>
  <c r="Z289" i="12"/>
  <c r="Z2580" i="12"/>
  <c r="Z3236" i="12"/>
  <c r="Z1768" i="12"/>
  <c r="Z2576" i="12"/>
  <c r="Z2899" i="12"/>
  <c r="Z1779" i="12"/>
  <c r="Z510" i="12"/>
  <c r="Z3180" i="12"/>
  <c r="Z1240" i="12"/>
  <c r="Z3368" i="12"/>
  <c r="Z556" i="12"/>
  <c r="Z1731" i="12"/>
  <c r="Z291" i="12"/>
  <c r="Z1720" i="12"/>
  <c r="Z2457" i="12"/>
  <c r="Z2500" i="12"/>
  <c r="Z2844" i="12"/>
  <c r="Z1331" i="12"/>
  <c r="Z79" i="12"/>
  <c r="Z2369" i="12"/>
  <c r="Z1968" i="12"/>
  <c r="Z120" i="12"/>
  <c r="Z1210" i="12"/>
  <c r="Z1662" i="12"/>
  <c r="Z2295" i="12"/>
  <c r="Z2524" i="12"/>
  <c r="Z2622" i="12"/>
  <c r="Z2565" i="12"/>
  <c r="Z99" i="12"/>
  <c r="Z3276" i="12"/>
  <c r="Z944" i="12"/>
  <c r="Z1399" i="12"/>
  <c r="Z2333" i="12"/>
  <c r="Z2677" i="12"/>
  <c r="Z1483" i="12"/>
  <c r="Z3364" i="12"/>
  <c r="Z2583" i="12"/>
  <c r="Z3233" i="12"/>
  <c r="Z3333" i="12"/>
  <c r="Z1905" i="12"/>
  <c r="Z1058" i="12"/>
  <c r="Z2934" i="12"/>
  <c r="Z1781" i="12"/>
  <c r="Z2127" i="12"/>
  <c r="Z1555" i="12"/>
  <c r="Z590" i="12"/>
  <c r="Z3406" i="12"/>
  <c r="Z501" i="12"/>
  <c r="Z2332" i="12"/>
  <c r="Z69" i="12"/>
  <c r="Z1084" i="12"/>
  <c r="Z2775" i="12"/>
  <c r="Z744" i="12"/>
  <c r="Z1249" i="12"/>
  <c r="Z1502" i="12"/>
  <c r="Z600" i="12"/>
  <c r="Z3455" i="12"/>
  <c r="Z2179" i="12"/>
  <c r="Z108" i="12"/>
  <c r="Z2819" i="12"/>
  <c r="Z2847" i="12"/>
  <c r="Z1061" i="12"/>
  <c r="Z87" i="12"/>
  <c r="Z34" i="12"/>
  <c r="Z3468" i="12"/>
  <c r="Z1027" i="12"/>
  <c r="Z2881" i="12"/>
  <c r="Z2058" i="12"/>
  <c r="Z1586" i="12"/>
  <c r="Z3415" i="12"/>
  <c r="Z2801" i="12"/>
  <c r="Z1538" i="12"/>
  <c r="Z3281" i="12"/>
  <c r="Z419" i="12"/>
  <c r="Z1674" i="12"/>
  <c r="Z1392" i="12"/>
  <c r="Z2967" i="12"/>
  <c r="Z3476" i="12"/>
  <c r="Z2046" i="12"/>
  <c r="Z564" i="12"/>
  <c r="Z488" i="12"/>
  <c r="Z946" i="12"/>
  <c r="Z1468" i="12"/>
  <c r="Z2073" i="12"/>
  <c r="Z2628" i="12"/>
  <c r="Z1978" i="12"/>
  <c r="Z2995" i="12"/>
  <c r="Z3283" i="12"/>
  <c r="Z2982" i="12"/>
  <c r="Z3410" i="12"/>
  <c r="Z3508" i="12"/>
  <c r="Z2939" i="12"/>
  <c r="Z3074" i="12"/>
  <c r="Z412" i="12"/>
  <c r="Z373" i="12"/>
  <c r="Z2510" i="12"/>
  <c r="Z170" i="12"/>
  <c r="Z3339" i="12"/>
  <c r="Z2204" i="12"/>
  <c r="Z522" i="12"/>
  <c r="Z1216" i="12"/>
  <c r="Z2856" i="12"/>
  <c r="Z838" i="12"/>
  <c r="Z158" i="12"/>
  <c r="Z2027" i="12"/>
  <c r="Z2642" i="12"/>
  <c r="Z2343" i="12"/>
  <c r="Z1778" i="12"/>
  <c r="Z2744" i="12"/>
  <c r="Z1933" i="12"/>
  <c r="Z792" i="12"/>
  <c r="Z3360" i="12"/>
  <c r="Z3029" i="12"/>
  <c r="Z2156" i="12"/>
  <c r="Z3201" i="12"/>
  <c r="Z2405" i="12"/>
  <c r="Z3190" i="12"/>
  <c r="Z194" i="12"/>
  <c r="Z521" i="12"/>
  <c r="Z3230" i="12"/>
  <c r="Z814" i="12"/>
  <c r="Z2441" i="12"/>
  <c r="Z370" i="12"/>
  <c r="Z3250" i="12"/>
  <c r="Z1226" i="12"/>
  <c r="Z3120" i="12"/>
  <c r="Z2912" i="12"/>
  <c r="Z1737" i="12"/>
  <c r="Z3387" i="12"/>
  <c r="Z1528" i="12"/>
  <c r="Z3304" i="12"/>
  <c r="Z2518" i="12"/>
  <c r="Z2253" i="12"/>
  <c r="Z2389" i="12"/>
  <c r="Z2256" i="12"/>
  <c r="Z2049" i="12"/>
  <c r="Z1600" i="12"/>
  <c r="Z910" i="12"/>
  <c r="Z720" i="12"/>
  <c r="Z865" i="12"/>
  <c r="Z437" i="12"/>
  <c r="Z1280" i="12"/>
  <c r="Z2098" i="12"/>
  <c r="Z576" i="12"/>
  <c r="Z123" i="12"/>
  <c r="Z258" i="12"/>
  <c r="Z2710" i="12"/>
  <c r="Z261" i="12"/>
  <c r="Z1355" i="12"/>
  <c r="Z1634" i="12"/>
  <c r="Z3179" i="12"/>
  <c r="Z2293" i="12"/>
  <c r="Z607" i="12"/>
  <c r="Z2063" i="12"/>
  <c r="Z805" i="12"/>
  <c r="Z1151" i="12"/>
  <c r="Z3466" i="12"/>
  <c r="Z1402" i="12"/>
  <c r="Z2908" i="12"/>
  <c r="Z262" i="12"/>
  <c r="Z3165" i="12"/>
  <c r="Z1225" i="12"/>
  <c r="Z3141" i="12"/>
  <c r="Z2195" i="12"/>
  <c r="Z1543" i="12"/>
  <c r="Z2745" i="12"/>
  <c r="Z1831" i="12"/>
  <c r="Z904" i="12"/>
  <c r="Z1464" i="12"/>
  <c r="Z1557" i="12"/>
  <c r="Z2932" i="12"/>
  <c r="Z1759" i="12"/>
  <c r="Z1910" i="12"/>
  <c r="Z2218" i="12"/>
  <c r="Z1466" i="12"/>
  <c r="Z2268" i="12"/>
  <c r="Z999" i="12"/>
  <c r="Z2726" i="12"/>
  <c r="Z3441" i="12"/>
  <c r="Z721" i="12"/>
  <c r="Z241" i="12"/>
  <c r="Z3229" i="12"/>
  <c r="Z3397" i="12"/>
  <c r="Z2118" i="12"/>
  <c r="Z787" i="12"/>
  <c r="Z1909" i="12"/>
  <c r="Z2037" i="12"/>
  <c r="Z3037" i="12"/>
  <c r="Z2029" i="12"/>
  <c r="Z3167" i="12"/>
  <c r="Z1335" i="12"/>
  <c r="Z3047" i="12"/>
  <c r="Z2606" i="12"/>
  <c r="Z694" i="12"/>
  <c r="Z408" i="12"/>
  <c r="Z1939" i="12"/>
  <c r="Z2715" i="12"/>
  <c r="Z2423" i="12"/>
  <c r="Z2910" i="12"/>
  <c r="Z1305" i="12"/>
  <c r="Z1465" i="12"/>
  <c r="Z3419" i="12"/>
  <c r="Z470" i="12"/>
  <c r="Z70" i="12"/>
  <c r="Z1549" i="12"/>
  <c r="Z84" i="12"/>
  <c r="Z550" i="12"/>
  <c r="Z1611" i="12"/>
  <c r="Z2841" i="12"/>
  <c r="Z775" i="12"/>
  <c r="Z3453" i="12"/>
  <c r="Z3213" i="12"/>
  <c r="Z1564" i="12"/>
  <c r="Z2942" i="12"/>
  <c r="Z2537" i="12"/>
  <c r="Z248" i="12"/>
  <c r="Z2045" i="12"/>
  <c r="Z3402" i="12"/>
  <c r="Z1191" i="12"/>
  <c r="Z3064" i="12"/>
  <c r="Z981" i="12"/>
  <c r="Z127" i="12"/>
  <c r="Z192" i="12"/>
  <c r="Z1349" i="12"/>
  <c r="Z214" i="12"/>
  <c r="Z184" i="12"/>
  <c r="Z2455" i="12"/>
  <c r="Z1094" i="12"/>
  <c r="Z1752" i="12"/>
  <c r="Z1628" i="12"/>
  <c r="Z1581" i="12"/>
  <c r="Z2962" i="12"/>
  <c r="Z2235" i="12"/>
  <c r="Z2686" i="12"/>
  <c r="Z857" i="12"/>
  <c r="Z3083" i="12"/>
  <c r="Z2725" i="12"/>
  <c r="Z526" i="12"/>
  <c r="Z1785" i="12"/>
  <c r="Z2795" i="12"/>
  <c r="Z1207" i="12"/>
  <c r="Z2668" i="12"/>
  <c r="Z3022" i="12"/>
  <c r="Z53" i="12"/>
  <c r="Z1250" i="12"/>
  <c r="Z3291" i="12"/>
  <c r="Z746" i="12"/>
  <c r="Z778" i="12"/>
  <c r="Z2290" i="12"/>
  <c r="Z3552" i="12"/>
  <c r="Z2981" i="12"/>
  <c r="Z2937" i="12"/>
  <c r="Z892" i="12"/>
  <c r="Z1252" i="12"/>
  <c r="Z1631" i="12"/>
  <c r="Z2919" i="12"/>
  <c r="Z1872" i="12"/>
  <c r="Z2810" i="12"/>
  <c r="Z1293" i="12"/>
  <c r="Z3142" i="12"/>
  <c r="Z2024" i="12"/>
  <c r="Z1294" i="12"/>
  <c r="Z287" i="12"/>
  <c r="Z2291" i="12"/>
  <c r="Z1244" i="12"/>
  <c r="Z2055" i="12"/>
  <c r="Z1710" i="12"/>
  <c r="Z215" i="12"/>
  <c r="Z3517" i="12"/>
  <c r="Z2115" i="12"/>
  <c r="Z2731" i="12"/>
  <c r="Z2857" i="12"/>
  <c r="Z1984" i="12"/>
  <c r="Z339" i="12"/>
  <c r="Z1593" i="12"/>
  <c r="Z3113" i="12"/>
  <c r="Z1133" i="12"/>
  <c r="Z699" i="12"/>
  <c r="Z3289" i="12"/>
  <c r="Z58" i="12"/>
  <c r="Z290" i="12"/>
  <c r="Z3451" i="12"/>
  <c r="Z1587" i="12"/>
  <c r="Z1473" i="12"/>
  <c r="Z3130" i="12"/>
  <c r="Z1521" i="12"/>
  <c r="Z2708" i="12"/>
  <c r="Z1742" i="12"/>
  <c r="Z2101" i="12"/>
  <c r="Z68" i="12"/>
  <c r="Z2287" i="12"/>
  <c r="Z861" i="12"/>
  <c r="Z3017" i="12"/>
  <c r="Z3409" i="12"/>
  <c r="Z1190" i="12"/>
  <c r="Z3446" i="12"/>
  <c r="Z2082" i="12"/>
  <c r="Z341" i="12"/>
  <c r="Z210" i="12"/>
  <c r="Z3242" i="12"/>
  <c r="Z353" i="12"/>
  <c r="Z3495" i="12"/>
  <c r="Z119" i="12"/>
  <c r="Z3396" i="12"/>
  <c r="Z1072" i="12"/>
  <c r="Z2641" i="12"/>
  <c r="Z2183" i="12"/>
  <c r="Z1314" i="12"/>
  <c r="Z416" i="12"/>
  <c r="Z773" i="12"/>
  <c r="Z3200" i="12"/>
  <c r="Z3404" i="12"/>
  <c r="Z2620" i="12"/>
  <c r="Z422" i="12"/>
  <c r="Z1130" i="12"/>
  <c r="Z56" i="12"/>
  <c r="Z3003" i="12"/>
  <c r="Z3098" i="12"/>
  <c r="Z1307" i="12"/>
  <c r="Z1747" i="12"/>
  <c r="Z681" i="12"/>
  <c r="Z3085" i="12"/>
  <c r="Z227" i="12"/>
  <c r="Z3461" i="12"/>
  <c r="Z2075" i="12"/>
  <c r="Z2875" i="12"/>
  <c r="Z893" i="12"/>
  <c r="Z1554" i="12"/>
  <c r="Z1387" i="12"/>
  <c r="Z2454" i="12"/>
  <c r="Z1170" i="12"/>
  <c r="Z990" i="12"/>
  <c r="Z1616" i="12"/>
  <c r="Z3484" i="12"/>
  <c r="Z2149" i="12"/>
  <c r="Z473" i="12"/>
  <c r="Z2398" i="12"/>
  <c r="Z597" i="12"/>
  <c r="Z2876" i="12"/>
  <c r="Z426" i="12"/>
  <c r="Z111" i="12"/>
  <c r="Z1125" i="12"/>
  <c r="Z344" i="12"/>
  <c r="Z357" i="12"/>
  <c r="Z1087" i="12"/>
  <c r="Z943" i="12"/>
  <c r="Z95" i="12"/>
  <c r="Z1328" i="12"/>
  <c r="Z1596" i="12"/>
  <c r="Z328" i="12"/>
  <c r="Z54" i="12"/>
  <c r="Z834" i="12"/>
  <c r="Z2866" i="12"/>
  <c r="Z397" i="12"/>
  <c r="Z3253" i="12"/>
  <c r="Z677" i="12"/>
  <c r="Z2688" i="12"/>
  <c r="Z3045" i="12"/>
  <c r="Z146" i="12"/>
  <c r="Z1807" i="12"/>
  <c r="Z2380" i="12"/>
  <c r="Z2108" i="12"/>
  <c r="Z1903" i="12"/>
  <c r="Z405" i="12"/>
  <c r="Z984" i="12"/>
  <c r="Z2473" i="12"/>
  <c r="Z275" i="12"/>
  <c r="Z2297" i="12"/>
  <c r="Z3352" i="12"/>
  <c r="Z1172" i="12"/>
  <c r="Z306" i="12"/>
  <c r="Z3046" i="12"/>
  <c r="Z48" i="12"/>
  <c r="Z1235" i="12"/>
  <c r="Z3050" i="12"/>
  <c r="Z2031" i="12"/>
  <c r="Z701" i="12"/>
  <c r="Z2808" i="12"/>
  <c r="Z198" i="12"/>
  <c r="Z772" i="12"/>
  <c r="Z2282" i="12"/>
  <c r="Z2198" i="12"/>
  <c r="Z3384" i="12"/>
  <c r="Z589" i="12"/>
  <c r="Z273" i="12"/>
  <c r="Z1156" i="12"/>
  <c r="Z1592" i="12"/>
  <c r="Z3449" i="12"/>
  <c r="Z967" i="12"/>
  <c r="Z3254" i="12"/>
  <c r="Z1283" i="12"/>
  <c r="Z3093" i="12"/>
  <c r="Z619" i="12"/>
  <c r="Z2697" i="12"/>
  <c r="Z2695" i="12"/>
  <c r="Z2672" i="12"/>
  <c r="Z905" i="12"/>
  <c r="Z821" i="12"/>
  <c r="Z803" i="12"/>
  <c r="Z478" i="12"/>
  <c r="Z2231" i="12"/>
  <c r="Z936" i="12"/>
  <c r="Z926" i="12"/>
  <c r="Z2060" i="12"/>
  <c r="Z995" i="12"/>
  <c r="Z583" i="12"/>
  <c r="Z381" i="12"/>
  <c r="Z3412" i="12"/>
  <c r="Z145" i="12"/>
  <c r="Z2646" i="12"/>
  <c r="Z2265" i="12"/>
  <c r="Z2713" i="12"/>
  <c r="Z3005" i="12"/>
  <c r="Z531" i="12"/>
  <c r="Z1604" i="12"/>
  <c r="Z1448" i="12"/>
  <c r="Z1878" i="12"/>
  <c r="Z1357" i="12"/>
  <c r="Z622" i="12"/>
  <c r="Z2945" i="12"/>
  <c r="Z2582" i="12"/>
  <c r="Z1844" i="12"/>
  <c r="Z1388" i="12"/>
  <c r="Z2351" i="12"/>
  <c r="Z685" i="12"/>
  <c r="Z417" i="12"/>
  <c r="Z774" i="12"/>
  <c r="Z1914" i="12"/>
  <c r="Z1801" i="12"/>
  <c r="Z217" i="12"/>
  <c r="Z2604" i="12"/>
  <c r="Z3125" i="12"/>
  <c r="Z2915" i="12"/>
  <c r="Z2522" i="12"/>
  <c r="Z3379" i="12"/>
  <c r="Z1289" i="12"/>
  <c r="Z1071" i="12"/>
  <c r="Z3326" i="12"/>
  <c r="Z59" i="12"/>
  <c r="Z3069" i="12"/>
  <c r="Z2312" i="12"/>
  <c r="Z2051" i="12"/>
  <c r="Z1718" i="12"/>
  <c r="Z2059" i="12"/>
  <c r="Z433" i="12"/>
  <c r="Z1552" i="12"/>
  <c r="Z471" i="12"/>
  <c r="Z2643" i="12"/>
  <c r="Z3053" i="12"/>
  <c r="Z540" i="12"/>
  <c r="Z1757" i="12"/>
  <c r="Z2624" i="12"/>
  <c r="Z3544" i="12"/>
  <c r="Z2460" i="12"/>
  <c r="Z3018" i="12"/>
  <c r="Z2608" i="12"/>
  <c r="Z801" i="12"/>
  <c r="Z804" i="12"/>
  <c r="Z3432" i="12"/>
  <c r="Z2496" i="12"/>
  <c r="Z2403" i="12"/>
  <c r="Z2913" i="12"/>
  <c r="Z2832" i="12"/>
  <c r="Z318" i="12"/>
  <c r="Z2619" i="12"/>
  <c r="Z1533" i="12"/>
  <c r="Z325" i="12"/>
  <c r="Z635" i="12"/>
  <c r="Z1046" i="12"/>
  <c r="Z1419" i="12"/>
  <c r="Z797" i="12"/>
  <c r="Z1312" i="12"/>
  <c r="Z1960" i="12"/>
  <c r="Z2411" i="12"/>
  <c r="Z3014" i="12"/>
  <c r="Z1112" i="12"/>
  <c r="Z2985" i="12"/>
  <c r="Z2707" i="12"/>
  <c r="Z2421" i="12"/>
  <c r="Z1020" i="12"/>
  <c r="Z93" i="12"/>
  <c r="Z1356" i="12"/>
  <c r="Z2270" i="12"/>
  <c r="Z2138" i="12"/>
  <c r="Z1822" i="12"/>
  <c r="Z1649" i="12"/>
  <c r="Z2872" i="12"/>
  <c r="Z88" i="12"/>
  <c r="Z2873" i="12"/>
  <c r="Z3456" i="12"/>
  <c r="Z1886" i="12"/>
  <c r="Z2952" i="12"/>
  <c r="Z2936" i="12"/>
  <c r="Z130" i="12"/>
  <c r="Z1930" i="12"/>
  <c r="Z2768" i="12"/>
  <c r="Z2390" i="12"/>
  <c r="Z213" i="12"/>
  <c r="Z1630" i="12"/>
  <c r="Z2316" i="12"/>
  <c r="Z2107" i="12"/>
  <c r="Z2785" i="12"/>
  <c r="Z1607" i="12"/>
  <c r="Z2900" i="12"/>
  <c r="Z1996" i="12"/>
  <c r="Z3452" i="12"/>
  <c r="Z211" i="12"/>
  <c r="Z374" i="12"/>
  <c r="Z2278" i="12"/>
  <c r="Z3185" i="12"/>
  <c r="Z2923" i="12"/>
  <c r="Z1825" i="12"/>
  <c r="Z2067" i="12"/>
  <c r="Z2821" i="12"/>
  <c r="Z2468" i="12"/>
  <c r="Z2834" i="12"/>
  <c r="Z2173" i="12"/>
  <c r="Z1672" i="12"/>
  <c r="Z1115" i="12"/>
  <c r="Z964" i="12"/>
  <c r="Z2487" i="12"/>
  <c r="Z1843" i="12"/>
  <c r="Z560" i="12"/>
  <c r="Z1427" i="12"/>
  <c r="Z2738" i="12"/>
  <c r="Z2012" i="12"/>
  <c r="Z1612" i="12"/>
  <c r="Z2110" i="12"/>
  <c r="Z1168" i="12"/>
  <c r="Z1901" i="12"/>
  <c r="Z508" i="12"/>
  <c r="Z377" i="12"/>
  <c r="Z24" i="12"/>
  <c r="Z1182" i="12"/>
  <c r="Z2111" i="12"/>
  <c r="Z2039" i="12"/>
  <c r="Z2319" i="12"/>
  <c r="Z2094" i="12"/>
  <c r="Z1260" i="12"/>
  <c r="Z1780" i="12"/>
  <c r="Z2644" i="12"/>
  <c r="Z500" i="12"/>
  <c r="Z1040" i="12"/>
  <c r="Z3121" i="12"/>
  <c r="Z3079" i="12"/>
  <c r="Z1828" i="12"/>
  <c r="Z1030" i="12"/>
  <c r="Z67" i="12"/>
  <c r="Z2793" i="12"/>
  <c r="Z33" i="12"/>
  <c r="Z3137" i="12"/>
  <c r="Z1368" i="12"/>
  <c r="Z822" i="12"/>
  <c r="Z2461" i="12"/>
  <c r="Z972" i="12"/>
  <c r="Z1534" i="12"/>
  <c r="Z2026" i="12"/>
  <c r="Z823" i="12"/>
  <c r="Z1114" i="12"/>
  <c r="Z1624" i="12"/>
  <c r="Z978" i="12"/>
  <c r="Z1526" i="12"/>
  <c r="Z1292" i="12"/>
  <c r="Z125" i="12"/>
  <c r="Z3550" i="12"/>
  <c r="Z3334" i="12"/>
  <c r="Z1154" i="12"/>
  <c r="Z3493" i="12"/>
  <c r="Z2674" i="12"/>
  <c r="Z2973" i="12"/>
  <c r="Z1187" i="12"/>
  <c r="Z3341" i="12"/>
  <c r="Z657" i="12"/>
  <c r="Z3186" i="12"/>
  <c r="Z1716" i="12"/>
  <c r="Z2955" i="12"/>
  <c r="Z3401" i="12"/>
  <c r="Z2328" i="12"/>
  <c r="Z2914" i="12"/>
  <c r="Z1766" i="12"/>
  <c r="Z2485" i="12"/>
  <c r="Z1599" i="12"/>
  <c r="Z1505" i="12"/>
  <c r="Z760" i="12"/>
  <c r="Z700" i="12"/>
  <c r="Z3499" i="12"/>
  <c r="Z441" i="12"/>
  <c r="Z2614" i="12"/>
  <c r="Z2552" i="12"/>
  <c r="Z1416" i="12"/>
  <c r="Z3516" i="12"/>
  <c r="Z2521" i="12"/>
  <c r="Z2813" i="12"/>
  <c r="Z372" i="12"/>
  <c r="Z1313" i="12"/>
  <c r="Z100" i="12"/>
  <c r="Z563" i="12"/>
  <c r="Z2341" i="12"/>
  <c r="Z3405" i="12"/>
  <c r="Z2727" i="12"/>
  <c r="Z914" i="12"/>
  <c r="Z1014" i="12"/>
  <c r="Z3448" i="12"/>
  <c r="Z1889" i="12"/>
  <c r="Z1006" i="12"/>
  <c r="Z2417" i="12"/>
  <c r="Z1120" i="12"/>
  <c r="Z1069" i="12"/>
  <c r="Z2324" i="12"/>
  <c r="Z507" i="12"/>
  <c r="Z2814" i="12"/>
  <c r="Z513" i="12"/>
  <c r="Z136" i="12"/>
  <c r="Z78" i="12"/>
  <c r="Z338" i="12"/>
  <c r="Z937" i="12"/>
  <c r="Z1460" i="12"/>
  <c r="Z3510" i="12"/>
  <c r="Z2523" i="12"/>
  <c r="Z617" i="12"/>
  <c r="Z1342" i="12"/>
  <c r="Z1442" i="12"/>
  <c r="Z2889" i="12"/>
  <c r="Z1036" i="12"/>
  <c r="Z1571" i="12"/>
  <c r="Z2811" i="12"/>
  <c r="Z2901" i="12"/>
  <c r="Z708" i="12"/>
  <c r="Z2232" i="12"/>
  <c r="Z82" i="12"/>
  <c r="Z3028" i="12"/>
  <c r="Z2959" i="12"/>
  <c r="Z2864" i="12"/>
  <c r="Z1323" i="12"/>
  <c r="Z1102" i="12"/>
  <c r="Z1287" i="12"/>
  <c r="Z1524" i="12"/>
  <c r="Z1588" i="12"/>
  <c r="Z3223" i="12"/>
  <c r="Z1243" i="12"/>
  <c r="Z2988" i="12"/>
  <c r="Z2376" i="12"/>
  <c r="Z1545" i="12"/>
  <c r="Z2435" i="12"/>
  <c r="Z3463" i="12"/>
  <c r="Z23" i="12"/>
  <c r="Z542" i="12"/>
  <c r="Z1075" i="12"/>
  <c r="Z1461" i="12"/>
  <c r="Z1436" i="12"/>
  <c r="Z3277" i="12"/>
  <c r="Z2105" i="12"/>
  <c r="Z512" i="12"/>
  <c r="Z3214" i="12"/>
  <c r="Z527" i="12"/>
  <c r="Z2388" i="12"/>
  <c r="Z2607" i="12"/>
  <c r="Z2154" i="12"/>
  <c r="Z1800" i="12"/>
  <c r="Z1308" i="12"/>
  <c r="Z1601" i="12"/>
  <c r="Z222" i="12"/>
  <c r="Z2159" i="12"/>
  <c r="Z1410" i="12"/>
  <c r="Z2240" i="12"/>
  <c r="Z1864" i="12"/>
  <c r="Z375" i="12"/>
  <c r="Z3358" i="12"/>
  <c r="Z2920" i="12"/>
  <c r="Z771" i="12"/>
  <c r="Z1670" i="12"/>
  <c r="Z3321" i="12"/>
  <c r="Z1211" i="12"/>
  <c r="K7" i="12"/>
  <c r="J13" i="12"/>
  <c r="K13" i="12"/>
  <c r="H13" i="12" l="1"/>
  <c r="G13" i="12"/>
  <c r="J11" i="12"/>
  <c r="K11" i="12"/>
  <c r="I13" i="12" l="1"/>
  <c r="H11" i="12"/>
  <c r="G11" i="12"/>
  <c r="J14" i="12"/>
  <c r="K14" i="12"/>
  <c r="I11" i="12" l="1"/>
  <c r="H14" i="12"/>
  <c r="G14" i="12"/>
  <c r="J4" i="12"/>
  <c r="K4" i="12"/>
  <c r="I14" i="12" l="1"/>
  <c r="H4" i="12"/>
  <c r="G4" i="12"/>
  <c r="J12" i="12"/>
  <c r="I4" i="12" l="1"/>
  <c r="G12" i="12"/>
  <c r="K12" i="12"/>
  <c r="H12" i="12" l="1"/>
  <c r="I12" i="12" s="1"/>
  <c r="J3" i="12"/>
  <c r="G3" i="12" l="1"/>
  <c r="K3" i="12"/>
  <c r="H3" i="12" l="1"/>
  <c r="I3" i="12" s="1"/>
  <c r="J10" i="12"/>
  <c r="K10" i="12"/>
  <c r="H10" i="12" l="1"/>
  <c r="G10" i="12"/>
  <c r="I10" i="12" s="1"/>
  <c r="K8" i="12"/>
  <c r="J8" i="12"/>
  <c r="H8" i="12" l="1"/>
  <c r="G8" i="12"/>
  <c r="J15" i="12"/>
  <c r="K15" i="12"/>
  <c r="I8" i="12" l="1"/>
  <c r="H15" i="12"/>
  <c r="G15" i="12"/>
  <c r="J16" i="12"/>
  <c r="I15" i="12" l="1"/>
  <c r="G16" i="12"/>
  <c r="K16" i="12"/>
  <c r="H16" i="12" l="1"/>
  <c r="I16" i="12" s="1"/>
  <c r="J9" i="12"/>
  <c r="G9" i="12" l="1"/>
  <c r="K9" i="12"/>
  <c r="H9" i="12" l="1"/>
  <c r="I9" i="12" s="1"/>
  <c r="J6" i="12" l="1"/>
  <c r="K6" i="12"/>
  <c r="H6" i="12" l="1"/>
  <c r="G6" i="12"/>
  <c r="I6" i="12" l="1"/>
  <c r="J7" i="12" l="1"/>
  <c r="K5" i="12"/>
  <c r="J5" i="12"/>
  <c r="H5" i="12"/>
  <c r="I5" i="12" s="1"/>
  <c r="G5" i="12"/>
  <c r="G7" i="12"/>
  <c r="H7" i="12"/>
  <c r="I7"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<sst xmlns="http://schemas.openxmlformats.org/spreadsheetml/2006/main" count="397" uniqueCount="160">
  <si>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</si>
  <si>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</si>
  <si>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</si>
  <si>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</si>
  <si>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</si>
  <si>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</si>
  <si>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</si>
  <si>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</si>
  <si>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</si>
  <si>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</si>
  <si>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</si>
  <si>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</si>
  <si>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</si>
  <si>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</si>
  <si>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</si>
  <si>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</si>
  <si>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</si>
  <si>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</si>
  <si>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</si>
  <si>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</si>
  <si>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</si>
  <si>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</si>
  <si>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</si>
  <si>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</si>
  <si>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</si>
  <si>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</si>
  <si>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</si>
  <si>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</si>
  <si>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</si>
  <si>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</si>
  <si>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</si>
  <si>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</si>
  <si>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</si>
  <si>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</si>
  <si>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</si>
  <si>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</si>
  <si>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</si>
  <si>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</si>
  <si>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</si>
  <si>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</si>
  <si>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</si>
  <si>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</si>
  <si>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</si>
  <si>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</si>
  <si>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</si>
  <si>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</si>
  <si>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</si>
  <si>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</si>
  <si>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</si>
  <si>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</si>
  <si>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</si>
  <si>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</si>
  <si>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</si>
  <si>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</si>
  <si>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</si>
  <si>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</si>
  <si>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</si>
  <si>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</si>
  <si>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</si>
  <si>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</si>
  <si>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</si>
  <si>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</si>
  <si>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</si>
  <si>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</si>
  <si>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</si>
  <si>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</si>
  <si>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</si>
  <si>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</si>
  <si>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</si>
  <si>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</si>
  <si>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</si>
  <si>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</si>
  <si>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</si>
  <si>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</si>
  <si>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</si>
  <si>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</si>
  <si>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</si>
  <si>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</si>
  <si>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</si>
  <si>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</si>
  <si>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</si>
  <si>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</si>
  <si>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</si>
  <si>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</si>
  <si>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</si>
  <si>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</si>
  <si>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</si>
  <si>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</si>
  <si>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</si>
  <si>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</si>
  <si>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</si>
  <si>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</si>
  <si>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</si>
  <si>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</si>
  <si>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</si>
  <si>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</si>
  <si>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</si>
  <si>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</si>
  <si>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</si>
  <si>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</si>
  <si>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</si>
  <si>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</si>
  <si>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</si>
  <si>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</si>
  <si>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</si>
  <si>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</si>
  <si>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</si>
  <si>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</si>
  <si>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</si>
  <si>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</si>
  <si>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</si>
  <si>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</si>
  <si>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</si>
  <si>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</si>
  <si>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</si>
  <si>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</si>
  <si>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</si>
  <si>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</si>
  <si>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</si>
  <si>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</si>
  <si>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</si>
  <si>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</si>
  <si>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</si>
  <si>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</si>
  <si>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</si>
  <si>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</si>
  <si>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</si>
  <si>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</si>
  <si>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</si>
  <si>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</si>
  <si>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</si>
  <si>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</si>
  <si>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</si>
  <si>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</si>
  <si>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</si>
  <si>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</si>
  <si>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</si>
  <si>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</si>
  <si>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</si>
  <si>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</si>
  <si>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</si>
  <si>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</si>
  <si>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</si>
  <si>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</si>
  <si>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</si>
  <si>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</si>
  <si>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</si>
  <si>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</si>
  <si>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</si>
  <si>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</si>
  <si>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</si>
  <si>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</si>
  <si>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Calendar 1</t>
  </si>
  <si>
    <t>Calendar 2</t>
  </si>
  <si>
    <t>Actual/365 (Fixed)</t>
  </si>
  <si>
    <t>Semiannual</t>
  </si>
  <si>
    <t>Calendar</t>
  </si>
  <si>
    <t>HolidayCheck</t>
  </si>
  <si>
    <t>CALENDAR SETTINGS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</si>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</sst>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cellStyleXfs>
  <cellXfs count="27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0" fontId="8" fillId="12" borderId="33"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6" fillId="0" borderId="44" xfId="1" applyFont="1" applyBorder="1" applyAlignment="1">
      <alignment horizontal="center"/>
    </xf>
    <xf numFmtId="0" fontId="8" fillId="12" borderId="35" xfId="1" applyFont="1" applyFill="1" applyBorder="1" applyAlignment="1">
      <alignment horizontal="center" wrapText="1"/>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41947</c:v>
                </c:pt>
                <c:pt idx="1">
                  <c:v>41948</c:v>
                </c:pt>
                <c:pt idx="2">
                  <c:v>41949</c:v>
                </c:pt>
                <c:pt idx="3">
                  <c:v>41950</c:v>
                </c:pt>
                <c:pt idx="4">
                  <c:v>41953</c:v>
                </c:pt>
                <c:pt idx="5">
                  <c:v>41954</c:v>
                </c:pt>
                <c:pt idx="6">
                  <c:v>41955</c:v>
                </c:pt>
                <c:pt idx="7">
                  <c:v>41956</c:v>
                </c:pt>
                <c:pt idx="8">
                  <c:v>41957</c:v>
                </c:pt>
                <c:pt idx="9">
                  <c:v>41960</c:v>
                </c:pt>
                <c:pt idx="10">
                  <c:v>41961</c:v>
                </c:pt>
                <c:pt idx="11">
                  <c:v>41962</c:v>
                </c:pt>
                <c:pt idx="12">
                  <c:v>41963</c:v>
                </c:pt>
                <c:pt idx="13">
                  <c:v>41964</c:v>
                </c:pt>
                <c:pt idx="14">
                  <c:v>41968</c:v>
                </c:pt>
                <c:pt idx="15">
                  <c:v>41968</c:v>
                </c:pt>
                <c:pt idx="16">
                  <c:v>41969</c:v>
                </c:pt>
                <c:pt idx="17">
                  <c:v>41970</c:v>
                </c:pt>
                <c:pt idx="18">
                  <c:v>41971</c:v>
                </c:pt>
                <c:pt idx="19">
                  <c:v>41974</c:v>
                </c:pt>
                <c:pt idx="20">
                  <c:v>41975</c:v>
                </c:pt>
                <c:pt idx="21">
                  <c:v>41976</c:v>
                </c:pt>
                <c:pt idx="22">
                  <c:v>41977</c:v>
                </c:pt>
                <c:pt idx="23">
                  <c:v>41978</c:v>
                </c:pt>
                <c:pt idx="24">
                  <c:v>41981</c:v>
                </c:pt>
                <c:pt idx="25">
                  <c:v>41982</c:v>
                </c:pt>
                <c:pt idx="26">
                  <c:v>41983</c:v>
                </c:pt>
                <c:pt idx="27">
                  <c:v>41984</c:v>
                </c:pt>
                <c:pt idx="28">
                  <c:v>41985</c:v>
                </c:pt>
                <c:pt idx="29">
                  <c:v>41988</c:v>
                </c:pt>
                <c:pt idx="30">
                  <c:v>41989</c:v>
                </c:pt>
                <c:pt idx="31">
                  <c:v>41990</c:v>
                </c:pt>
                <c:pt idx="32">
                  <c:v>41991</c:v>
                </c:pt>
                <c:pt idx="33">
                  <c:v>41992</c:v>
                </c:pt>
                <c:pt idx="34">
                  <c:v>41995</c:v>
                </c:pt>
                <c:pt idx="35">
                  <c:v>41997</c:v>
                </c:pt>
                <c:pt idx="36">
                  <c:v>41997</c:v>
                </c:pt>
                <c:pt idx="37">
                  <c:v>42002</c:v>
                </c:pt>
                <c:pt idx="38">
                  <c:v>42003</c:v>
                </c:pt>
                <c:pt idx="39">
                  <c:v>42009</c:v>
                </c:pt>
                <c:pt idx="40">
                  <c:v>42009</c:v>
                </c:pt>
                <c:pt idx="41">
                  <c:v>42009</c:v>
                </c:pt>
                <c:pt idx="42">
                  <c:v>42010</c:v>
                </c:pt>
                <c:pt idx="43">
                  <c:v>42011</c:v>
                </c:pt>
                <c:pt idx="44">
                  <c:v>42012</c:v>
                </c:pt>
                <c:pt idx="45">
                  <c:v>42013</c:v>
                </c:pt>
                <c:pt idx="46">
                  <c:v>42017</c:v>
                </c:pt>
                <c:pt idx="47">
                  <c:v>42017</c:v>
                </c:pt>
                <c:pt idx="48">
                  <c:v>42018</c:v>
                </c:pt>
                <c:pt idx="49">
                  <c:v>42019</c:v>
                </c:pt>
                <c:pt idx="50">
                  <c:v>42020</c:v>
                </c:pt>
                <c:pt idx="51">
                  <c:v>42023</c:v>
                </c:pt>
                <c:pt idx="52">
                  <c:v>42024</c:v>
                </c:pt>
                <c:pt idx="53">
                  <c:v>42025</c:v>
                </c:pt>
                <c:pt idx="54">
                  <c:v>42026</c:v>
                </c:pt>
                <c:pt idx="55">
                  <c:v>42027</c:v>
                </c:pt>
                <c:pt idx="56">
                  <c:v>42030</c:v>
                </c:pt>
                <c:pt idx="57">
                  <c:v>42031</c:v>
                </c:pt>
                <c:pt idx="58">
                  <c:v>42032</c:v>
                </c:pt>
                <c:pt idx="59">
                  <c:v>42033</c:v>
                </c:pt>
                <c:pt idx="60">
                  <c:v>42034</c:v>
                </c:pt>
                <c:pt idx="61">
                  <c:v>42037</c:v>
                </c:pt>
                <c:pt idx="62">
                  <c:v>42038</c:v>
                </c:pt>
                <c:pt idx="63">
                  <c:v>42039</c:v>
                </c:pt>
                <c:pt idx="64">
                  <c:v>42040</c:v>
                </c:pt>
                <c:pt idx="65">
                  <c:v>42041</c:v>
                </c:pt>
                <c:pt idx="66">
                  <c:v>42044</c:v>
                </c:pt>
                <c:pt idx="67">
                  <c:v>42045</c:v>
                </c:pt>
                <c:pt idx="68">
                  <c:v>42047</c:v>
                </c:pt>
                <c:pt idx="69">
                  <c:v>42047</c:v>
                </c:pt>
                <c:pt idx="70">
                  <c:v>42048</c:v>
                </c:pt>
                <c:pt idx="71">
                  <c:v>42051</c:v>
                </c:pt>
                <c:pt idx="72">
                  <c:v>42052</c:v>
                </c:pt>
                <c:pt idx="73">
                  <c:v>42053</c:v>
                </c:pt>
                <c:pt idx="74">
                  <c:v>42054</c:v>
                </c:pt>
                <c:pt idx="75">
                  <c:v>42055</c:v>
                </c:pt>
                <c:pt idx="76">
                  <c:v>42058</c:v>
                </c:pt>
                <c:pt idx="77">
                  <c:v>42059</c:v>
                </c:pt>
                <c:pt idx="78">
                  <c:v>42060</c:v>
                </c:pt>
                <c:pt idx="79">
                  <c:v>42061</c:v>
                </c:pt>
                <c:pt idx="80">
                  <c:v>42062</c:v>
                </c:pt>
                <c:pt idx="81">
                  <c:v>42065</c:v>
                </c:pt>
                <c:pt idx="82">
                  <c:v>42066</c:v>
                </c:pt>
                <c:pt idx="83">
                  <c:v>42067</c:v>
                </c:pt>
                <c:pt idx="84">
                  <c:v>42068</c:v>
                </c:pt>
                <c:pt idx="85">
                  <c:v>42069</c:v>
                </c:pt>
                <c:pt idx="86">
                  <c:v>42072</c:v>
                </c:pt>
                <c:pt idx="87">
                  <c:v>42073</c:v>
                </c:pt>
                <c:pt idx="88">
                  <c:v>42074</c:v>
                </c:pt>
                <c:pt idx="89">
                  <c:v>42075</c:v>
                </c:pt>
                <c:pt idx="90">
                  <c:v>42076</c:v>
                </c:pt>
                <c:pt idx="91">
                  <c:v>42079</c:v>
                </c:pt>
                <c:pt idx="92">
                  <c:v>42080</c:v>
                </c:pt>
                <c:pt idx="93">
                  <c:v>42081</c:v>
                </c:pt>
                <c:pt idx="94">
                  <c:v>42082</c:v>
                </c:pt>
                <c:pt idx="95">
                  <c:v>42083</c:v>
                </c:pt>
                <c:pt idx="96">
                  <c:v>42086</c:v>
                </c:pt>
                <c:pt idx="97">
                  <c:v>42087</c:v>
                </c:pt>
                <c:pt idx="98">
                  <c:v>42088</c:v>
                </c:pt>
                <c:pt idx="99">
                  <c:v>42089</c:v>
                </c:pt>
                <c:pt idx="100">
                  <c:v>42090</c:v>
                </c:pt>
                <c:pt idx="101">
                  <c:v>42093</c:v>
                </c:pt>
                <c:pt idx="102">
                  <c:v>42094</c:v>
                </c:pt>
                <c:pt idx="103">
                  <c:v>42095</c:v>
                </c:pt>
                <c:pt idx="104">
                  <c:v>42096</c:v>
                </c:pt>
                <c:pt idx="105">
                  <c:v>42101</c:v>
                </c:pt>
                <c:pt idx="106">
                  <c:v>42102</c:v>
                </c:pt>
                <c:pt idx="107">
                  <c:v>42103</c:v>
                </c:pt>
                <c:pt idx="108">
                  <c:v>42104</c:v>
                </c:pt>
                <c:pt idx="109">
                  <c:v>42107</c:v>
                </c:pt>
                <c:pt idx="110">
                  <c:v>42108</c:v>
                </c:pt>
                <c:pt idx="111">
                  <c:v>42109</c:v>
                </c:pt>
                <c:pt idx="112">
                  <c:v>42110</c:v>
                </c:pt>
                <c:pt idx="113">
                  <c:v>42111</c:v>
                </c:pt>
                <c:pt idx="114">
                  <c:v>42114</c:v>
                </c:pt>
                <c:pt idx="115">
                  <c:v>42115</c:v>
                </c:pt>
                <c:pt idx="116">
                  <c:v>42116</c:v>
                </c:pt>
                <c:pt idx="117">
                  <c:v>42117</c:v>
                </c:pt>
                <c:pt idx="118">
                  <c:v>42118</c:v>
                </c:pt>
                <c:pt idx="119">
                  <c:v>42121</c:v>
                </c:pt>
                <c:pt idx="120">
                  <c:v>42122</c:v>
                </c:pt>
                <c:pt idx="121">
                  <c:v>42124</c:v>
                </c:pt>
                <c:pt idx="122">
                  <c:v>42124</c:v>
                </c:pt>
                <c:pt idx="123">
                  <c:v>42125</c:v>
                </c:pt>
                <c:pt idx="124">
                  <c:v>42131</c:v>
                </c:pt>
                <c:pt idx="125">
                  <c:v>42131</c:v>
                </c:pt>
                <c:pt idx="126">
                  <c:v>42131</c:v>
                </c:pt>
                <c:pt idx="127">
                  <c:v>42132</c:v>
                </c:pt>
                <c:pt idx="128">
                  <c:v>42135</c:v>
                </c:pt>
                <c:pt idx="129">
                  <c:v>42136</c:v>
                </c:pt>
                <c:pt idx="130">
                  <c:v>42137</c:v>
                </c:pt>
                <c:pt idx="131">
                  <c:v>42138</c:v>
                </c:pt>
                <c:pt idx="132">
                  <c:v>42139</c:v>
                </c:pt>
                <c:pt idx="133">
                  <c:v>42142</c:v>
                </c:pt>
                <c:pt idx="134">
                  <c:v>42143</c:v>
                </c:pt>
                <c:pt idx="135">
                  <c:v>42144</c:v>
                </c:pt>
                <c:pt idx="136">
                  <c:v>42145</c:v>
                </c:pt>
                <c:pt idx="137">
                  <c:v>42146</c:v>
                </c:pt>
                <c:pt idx="138">
                  <c:v>42150</c:v>
                </c:pt>
                <c:pt idx="139">
                  <c:v>42151</c:v>
                </c:pt>
                <c:pt idx="140">
                  <c:v>42152</c:v>
                </c:pt>
                <c:pt idx="141">
                  <c:v>42153</c:v>
                </c:pt>
                <c:pt idx="142">
                  <c:v>42156</c:v>
                </c:pt>
                <c:pt idx="143">
                  <c:v>42157</c:v>
                </c:pt>
                <c:pt idx="144">
                  <c:v>42158</c:v>
                </c:pt>
                <c:pt idx="145">
                  <c:v>42159</c:v>
                </c:pt>
                <c:pt idx="146">
                  <c:v>42160</c:v>
                </c:pt>
                <c:pt idx="147">
                  <c:v>42163</c:v>
                </c:pt>
                <c:pt idx="148">
                  <c:v>42164</c:v>
                </c:pt>
                <c:pt idx="149">
                  <c:v>42165</c:v>
                </c:pt>
                <c:pt idx="150">
                  <c:v>42166</c:v>
                </c:pt>
                <c:pt idx="151">
                  <c:v>42167</c:v>
                </c:pt>
                <c:pt idx="152">
                  <c:v>42170</c:v>
                </c:pt>
                <c:pt idx="153">
                  <c:v>42171</c:v>
                </c:pt>
                <c:pt idx="154">
                  <c:v>42172</c:v>
                </c:pt>
                <c:pt idx="155">
                  <c:v>42173</c:v>
                </c:pt>
                <c:pt idx="156">
                  <c:v>42174</c:v>
                </c:pt>
                <c:pt idx="157">
                  <c:v>42177</c:v>
                </c:pt>
                <c:pt idx="158">
                  <c:v>42178</c:v>
                </c:pt>
                <c:pt idx="159">
                  <c:v>42179</c:v>
                </c:pt>
                <c:pt idx="160">
                  <c:v>42180</c:v>
                </c:pt>
                <c:pt idx="161">
                  <c:v>42181</c:v>
                </c:pt>
                <c:pt idx="162">
                  <c:v>42184</c:v>
                </c:pt>
                <c:pt idx="163">
                  <c:v>42185</c:v>
                </c:pt>
                <c:pt idx="164">
                  <c:v>42186</c:v>
                </c:pt>
                <c:pt idx="165">
                  <c:v>42187</c:v>
                </c:pt>
                <c:pt idx="166">
                  <c:v>42188</c:v>
                </c:pt>
                <c:pt idx="167">
                  <c:v>42191</c:v>
                </c:pt>
                <c:pt idx="168">
                  <c:v>42192</c:v>
                </c:pt>
                <c:pt idx="169">
                  <c:v>42193</c:v>
                </c:pt>
                <c:pt idx="170">
                  <c:v>42194</c:v>
                </c:pt>
                <c:pt idx="171">
                  <c:v>42195</c:v>
                </c:pt>
                <c:pt idx="172">
                  <c:v>42198</c:v>
                </c:pt>
                <c:pt idx="173">
                  <c:v>42199</c:v>
                </c:pt>
                <c:pt idx="174">
                  <c:v>42200</c:v>
                </c:pt>
                <c:pt idx="175">
                  <c:v>42201</c:v>
                </c:pt>
                <c:pt idx="176">
                  <c:v>42202</c:v>
                </c:pt>
                <c:pt idx="177">
                  <c:v>42206</c:v>
                </c:pt>
                <c:pt idx="178">
                  <c:v>42206</c:v>
                </c:pt>
                <c:pt idx="179">
                  <c:v>42207</c:v>
                </c:pt>
                <c:pt idx="180">
                  <c:v>42208</c:v>
                </c:pt>
                <c:pt idx="181">
                  <c:v>42209</c:v>
                </c:pt>
                <c:pt idx="182">
                  <c:v>42212</c:v>
                </c:pt>
                <c:pt idx="183">
                  <c:v>42213</c:v>
                </c:pt>
                <c:pt idx="184">
                  <c:v>42214</c:v>
                </c:pt>
                <c:pt idx="185">
                  <c:v>42215</c:v>
                </c:pt>
                <c:pt idx="186">
                  <c:v>42216</c:v>
                </c:pt>
                <c:pt idx="187">
                  <c:v>42219</c:v>
                </c:pt>
                <c:pt idx="188">
                  <c:v>42220</c:v>
                </c:pt>
                <c:pt idx="189">
                  <c:v>42221</c:v>
                </c:pt>
                <c:pt idx="190">
                  <c:v>42222</c:v>
                </c:pt>
                <c:pt idx="191">
                  <c:v>42223</c:v>
                </c:pt>
                <c:pt idx="192">
                  <c:v>42226</c:v>
                </c:pt>
                <c:pt idx="193">
                  <c:v>42227</c:v>
                </c:pt>
                <c:pt idx="194">
                  <c:v>42228</c:v>
                </c:pt>
                <c:pt idx="195">
                  <c:v>42229</c:v>
                </c:pt>
                <c:pt idx="196">
                  <c:v>42230</c:v>
                </c:pt>
                <c:pt idx="197">
                  <c:v>42233</c:v>
                </c:pt>
                <c:pt idx="198">
                  <c:v>42234</c:v>
                </c:pt>
                <c:pt idx="199">
                  <c:v>42235</c:v>
                </c:pt>
                <c:pt idx="200">
                  <c:v>42236</c:v>
                </c:pt>
                <c:pt idx="201">
                  <c:v>42237</c:v>
                </c:pt>
                <c:pt idx="202">
                  <c:v>42240</c:v>
                </c:pt>
                <c:pt idx="203">
                  <c:v>42241</c:v>
                </c:pt>
                <c:pt idx="204">
                  <c:v>42242</c:v>
                </c:pt>
                <c:pt idx="205">
                  <c:v>42243</c:v>
                </c:pt>
                <c:pt idx="206">
                  <c:v>42244</c:v>
                </c:pt>
                <c:pt idx="207">
                  <c:v>42248</c:v>
                </c:pt>
                <c:pt idx="208">
                  <c:v>42249</c:v>
                </c:pt>
                <c:pt idx="209">
                  <c:v>42250</c:v>
                </c:pt>
                <c:pt idx="210">
                  <c:v>42251</c:v>
                </c:pt>
                <c:pt idx="211">
                  <c:v>42254</c:v>
                </c:pt>
                <c:pt idx="212">
                  <c:v>42255</c:v>
                </c:pt>
                <c:pt idx="213">
                  <c:v>42256</c:v>
                </c:pt>
                <c:pt idx="214">
                  <c:v>42257</c:v>
                </c:pt>
                <c:pt idx="215">
                  <c:v>42258</c:v>
                </c:pt>
                <c:pt idx="216">
                  <c:v>42261</c:v>
                </c:pt>
                <c:pt idx="217">
                  <c:v>42262</c:v>
                </c:pt>
                <c:pt idx="218">
                  <c:v>42263</c:v>
                </c:pt>
                <c:pt idx="219">
                  <c:v>42264</c:v>
                </c:pt>
                <c:pt idx="220">
                  <c:v>42265</c:v>
                </c:pt>
                <c:pt idx="221">
                  <c:v>42271</c:v>
                </c:pt>
                <c:pt idx="222">
                  <c:v>42271</c:v>
                </c:pt>
                <c:pt idx="223">
                  <c:v>42271</c:v>
                </c:pt>
                <c:pt idx="224">
                  <c:v>42271</c:v>
                </c:pt>
                <c:pt idx="225">
                  <c:v>42272</c:v>
                </c:pt>
                <c:pt idx="226">
                  <c:v>42275</c:v>
                </c:pt>
                <c:pt idx="227">
                  <c:v>42276</c:v>
                </c:pt>
                <c:pt idx="228">
                  <c:v>42277</c:v>
                </c:pt>
                <c:pt idx="229">
                  <c:v>42278</c:v>
                </c:pt>
                <c:pt idx="230">
                  <c:v>42279</c:v>
                </c:pt>
                <c:pt idx="231">
                  <c:v>42282</c:v>
                </c:pt>
                <c:pt idx="232">
                  <c:v>42283</c:v>
                </c:pt>
                <c:pt idx="233">
                  <c:v>42284</c:v>
                </c:pt>
                <c:pt idx="234">
                  <c:v>42285</c:v>
                </c:pt>
                <c:pt idx="235">
                  <c:v>42286</c:v>
                </c:pt>
                <c:pt idx="236">
                  <c:v>42290</c:v>
                </c:pt>
                <c:pt idx="237">
                  <c:v>42290</c:v>
                </c:pt>
                <c:pt idx="238">
                  <c:v>42291</c:v>
                </c:pt>
                <c:pt idx="239">
                  <c:v>42292</c:v>
                </c:pt>
                <c:pt idx="240">
                  <c:v>42293</c:v>
                </c:pt>
                <c:pt idx="241">
                  <c:v>42296</c:v>
                </c:pt>
                <c:pt idx="242">
                  <c:v>42297</c:v>
                </c:pt>
                <c:pt idx="243">
                  <c:v>42298</c:v>
                </c:pt>
                <c:pt idx="244">
                  <c:v>42299</c:v>
                </c:pt>
                <c:pt idx="245">
                  <c:v>42300</c:v>
                </c:pt>
                <c:pt idx="246">
                  <c:v>42303</c:v>
                </c:pt>
                <c:pt idx="247">
                  <c:v>42304</c:v>
                </c:pt>
                <c:pt idx="248">
                  <c:v>42305</c:v>
                </c:pt>
                <c:pt idx="249">
                  <c:v>42306</c:v>
                </c:pt>
                <c:pt idx="250">
                  <c:v>42307</c:v>
                </c:pt>
                <c:pt idx="251">
                  <c:v>42310</c:v>
                </c:pt>
                <c:pt idx="252">
                  <c:v>42312</c:v>
                </c:pt>
                <c:pt idx="253">
                  <c:v>42312</c:v>
                </c:pt>
                <c:pt idx="254">
                  <c:v>42313</c:v>
                </c:pt>
                <c:pt idx="255">
                  <c:v>42314</c:v>
                </c:pt>
                <c:pt idx="256">
                  <c:v>42317</c:v>
                </c:pt>
                <c:pt idx="257">
                  <c:v>42318</c:v>
                </c:pt>
                <c:pt idx="258">
                  <c:v>42319</c:v>
                </c:pt>
                <c:pt idx="259">
                  <c:v>42320</c:v>
                </c:pt>
                <c:pt idx="260">
                  <c:v>42321</c:v>
                </c:pt>
                <c:pt idx="261">
                  <c:v>42324</c:v>
                </c:pt>
                <c:pt idx="262">
                  <c:v>42325</c:v>
                </c:pt>
                <c:pt idx="263">
                  <c:v>42326</c:v>
                </c:pt>
                <c:pt idx="264">
                  <c:v>42327</c:v>
                </c:pt>
                <c:pt idx="265">
                  <c:v>42328</c:v>
                </c:pt>
                <c:pt idx="266">
                  <c:v>42332</c:v>
                </c:pt>
                <c:pt idx="267">
                  <c:v>42332</c:v>
                </c:pt>
                <c:pt idx="268">
                  <c:v>42333</c:v>
                </c:pt>
                <c:pt idx="269">
                  <c:v>42334</c:v>
                </c:pt>
                <c:pt idx="270">
                  <c:v>42335</c:v>
                </c:pt>
                <c:pt idx="271">
                  <c:v>42338</c:v>
                </c:pt>
                <c:pt idx="272">
                  <c:v>42339</c:v>
                </c:pt>
                <c:pt idx="273">
                  <c:v>42340</c:v>
                </c:pt>
                <c:pt idx="274">
                  <c:v>42341</c:v>
                </c:pt>
                <c:pt idx="275">
                  <c:v>42342</c:v>
                </c:pt>
                <c:pt idx="276">
                  <c:v>42345</c:v>
                </c:pt>
                <c:pt idx="277">
                  <c:v>42346</c:v>
                </c:pt>
                <c:pt idx="278">
                  <c:v>42347</c:v>
                </c:pt>
                <c:pt idx="279">
                  <c:v>42348</c:v>
                </c:pt>
                <c:pt idx="280">
                  <c:v>42349</c:v>
                </c:pt>
                <c:pt idx="281">
                  <c:v>42352</c:v>
                </c:pt>
                <c:pt idx="282">
                  <c:v>42353</c:v>
                </c:pt>
                <c:pt idx="283">
                  <c:v>42354</c:v>
                </c:pt>
                <c:pt idx="284">
                  <c:v>42355</c:v>
                </c:pt>
                <c:pt idx="285">
                  <c:v>42356</c:v>
                </c:pt>
                <c:pt idx="286">
                  <c:v>42359</c:v>
                </c:pt>
                <c:pt idx="287">
                  <c:v>42360</c:v>
                </c:pt>
                <c:pt idx="288">
                  <c:v>42362</c:v>
                </c:pt>
                <c:pt idx="289">
                  <c:v>42362</c:v>
                </c:pt>
                <c:pt idx="290">
                  <c:v>42367</c:v>
                </c:pt>
                <c:pt idx="291">
                  <c:v>42368</c:v>
                </c:pt>
                <c:pt idx="292">
                  <c:v>42373</c:v>
                </c:pt>
                <c:pt idx="293">
                  <c:v>42373</c:v>
                </c:pt>
                <c:pt idx="294">
                  <c:v>42374</c:v>
                </c:pt>
                <c:pt idx="295">
                  <c:v>42375</c:v>
                </c:pt>
                <c:pt idx="296">
                  <c:v>42376</c:v>
                </c:pt>
                <c:pt idx="297">
                  <c:v>42377</c:v>
                </c:pt>
                <c:pt idx="298">
                  <c:v>42381</c:v>
                </c:pt>
                <c:pt idx="299">
                  <c:v>42381</c:v>
                </c:pt>
                <c:pt idx="300">
                  <c:v>42382</c:v>
                </c:pt>
                <c:pt idx="301">
                  <c:v>42383</c:v>
                </c:pt>
                <c:pt idx="302">
                  <c:v>42384</c:v>
                </c:pt>
                <c:pt idx="303">
                  <c:v>42387</c:v>
                </c:pt>
                <c:pt idx="304">
                  <c:v>42388</c:v>
                </c:pt>
                <c:pt idx="305">
                  <c:v>42389</c:v>
                </c:pt>
                <c:pt idx="306">
                  <c:v>42390</c:v>
                </c:pt>
                <c:pt idx="307">
                  <c:v>42391</c:v>
                </c:pt>
                <c:pt idx="308">
                  <c:v>42394</c:v>
                </c:pt>
                <c:pt idx="309">
                  <c:v>42395</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42412</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42451</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42485</c:v>
                </c:pt>
                <c:pt idx="372">
                  <c:v>42486</c:v>
                </c:pt>
                <c:pt idx="373">
                  <c:v>42487</c:v>
                </c:pt>
                <c:pt idx="374">
                  <c:v>42488</c:v>
                </c:pt>
                <c:pt idx="375">
                  <c:v>42496</c:v>
                </c:pt>
                <c:pt idx="376">
                  <c:v>42496</c:v>
                </c:pt>
                <c:pt idx="377">
                  <c:v>42496</c:v>
                </c:pt>
                <c:pt idx="378">
                  <c:v>42496</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42521</c:v>
                </c:pt>
                <c:pt idx="396">
                  <c:v>42522</c:v>
                </c:pt>
                <c:pt idx="397">
                  <c:v>42523</c:v>
                </c:pt>
                <c:pt idx="398">
                  <c:v>42524</c:v>
                </c:pt>
                <c:pt idx="399">
                  <c:v>42527</c:v>
                </c:pt>
                <c:pt idx="400">
                  <c:v>42528</c:v>
                </c:pt>
                <c:pt idx="401">
                  <c:v>42529</c:v>
                </c:pt>
                <c:pt idx="402">
                  <c:v>42530</c:v>
                </c:pt>
                <c:pt idx="403">
                  <c:v>42531</c:v>
                </c:pt>
                <c:pt idx="404">
                  <c:v>42534</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42570</c:v>
                </c:pt>
                <c:pt idx="430">
                  <c:v>42570</c:v>
                </c:pt>
                <c:pt idx="431">
                  <c:v>42571</c:v>
                </c:pt>
                <c:pt idx="432">
                  <c:v>42572</c:v>
                </c:pt>
                <c:pt idx="433">
                  <c:v>42573</c:v>
                </c:pt>
                <c:pt idx="434">
                  <c:v>42576</c:v>
                </c:pt>
                <c:pt idx="435">
                  <c:v>42577</c:v>
                </c:pt>
                <c:pt idx="436">
                  <c:v>42578</c:v>
                </c:pt>
                <c:pt idx="437">
                  <c:v>42579</c:v>
                </c:pt>
                <c:pt idx="438">
                  <c:v>42580</c:v>
                </c:pt>
                <c:pt idx="439">
                  <c:v>42583</c:v>
                </c:pt>
                <c:pt idx="440">
                  <c:v>42584</c:v>
                </c:pt>
                <c:pt idx="441">
                  <c:v>42585</c:v>
                </c:pt>
                <c:pt idx="442">
                  <c:v>42586</c:v>
                </c:pt>
                <c:pt idx="443">
                  <c:v>42587</c:v>
                </c:pt>
                <c:pt idx="444">
                  <c:v>42590</c:v>
                </c:pt>
                <c:pt idx="445">
                  <c:v>42591</c:v>
                </c:pt>
                <c:pt idx="446">
                  <c:v>42592</c:v>
                </c:pt>
                <c:pt idx="447">
                  <c:v>42593</c:v>
                </c:pt>
                <c:pt idx="448">
                  <c:v>42594</c:v>
                </c:pt>
                <c:pt idx="449">
                  <c:v>42597</c:v>
                </c:pt>
                <c:pt idx="450">
                  <c:v>42598</c:v>
                </c:pt>
                <c:pt idx="451">
                  <c:v>42599</c:v>
                </c:pt>
                <c:pt idx="452">
                  <c:v>42600</c:v>
                </c:pt>
                <c:pt idx="453">
                  <c:v>42601</c:v>
                </c:pt>
                <c:pt idx="454">
                  <c:v>42604</c:v>
                </c:pt>
                <c:pt idx="455">
                  <c:v>42605</c:v>
                </c:pt>
                <c:pt idx="456">
                  <c:v>42606</c:v>
                </c:pt>
                <c:pt idx="457">
                  <c:v>42607</c:v>
                </c:pt>
                <c:pt idx="458">
                  <c:v>42608</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42633</c:v>
                </c:pt>
                <c:pt idx="474">
                  <c:v>42633</c:v>
                </c:pt>
                <c:pt idx="475">
                  <c:v>42634</c:v>
                </c:pt>
                <c:pt idx="476">
                  <c:v>42636</c:v>
                </c:pt>
                <c:pt idx="477">
                  <c:v>42636</c:v>
                </c:pt>
                <c:pt idx="478">
                  <c:v>42639</c:v>
                </c:pt>
                <c:pt idx="479">
                  <c:v>42640</c:v>
                </c:pt>
                <c:pt idx="480">
                  <c:v>42641</c:v>
                </c:pt>
                <c:pt idx="481">
                  <c:v>42642</c:v>
                </c:pt>
                <c:pt idx="482">
                  <c:v>42643</c:v>
                </c:pt>
                <c:pt idx="483">
                  <c:v>42646</c:v>
                </c:pt>
                <c:pt idx="484">
                  <c:v>42647</c:v>
                </c:pt>
                <c:pt idx="485">
                  <c:v>42648</c:v>
                </c:pt>
                <c:pt idx="486">
                  <c:v>42649</c:v>
                </c:pt>
                <c:pt idx="487">
                  <c:v>42650</c:v>
                </c:pt>
                <c:pt idx="488">
                  <c:v>42654</c:v>
                </c:pt>
                <c:pt idx="489">
                  <c:v>42654</c:v>
                </c:pt>
                <c:pt idx="490">
                  <c:v>42655</c:v>
                </c:pt>
                <c:pt idx="491">
                  <c:v>42656</c:v>
                </c:pt>
                <c:pt idx="492">
                  <c:v>42657</c:v>
                </c:pt>
                <c:pt idx="493">
                  <c:v>42660</c:v>
                </c:pt>
                <c:pt idx="494">
                  <c:v>42661</c:v>
                </c:pt>
                <c:pt idx="495">
                  <c:v>42662</c:v>
                </c:pt>
                <c:pt idx="496">
                  <c:v>42663</c:v>
                </c:pt>
                <c:pt idx="497">
                  <c:v>42664</c:v>
                </c:pt>
                <c:pt idx="498">
                  <c:v>42667</c:v>
                </c:pt>
                <c:pt idx="499">
                  <c:v>42668</c:v>
                </c:pt>
                <c:pt idx="500">
                  <c:v>42669</c:v>
                </c:pt>
                <c:pt idx="501">
                  <c:v>42670</c:v>
                </c:pt>
                <c:pt idx="502">
                  <c:v>42671</c:v>
                </c:pt>
                <c:pt idx="503">
                  <c:v>42674</c:v>
                </c:pt>
                <c:pt idx="504">
                  <c:v>42675</c:v>
                </c:pt>
                <c:pt idx="505">
                  <c:v>42676</c:v>
                </c:pt>
                <c:pt idx="506">
                  <c:v>42678</c:v>
                </c:pt>
                <c:pt idx="507">
                  <c:v>42678</c:v>
                </c:pt>
                <c:pt idx="508">
                  <c:v>42681</c:v>
                </c:pt>
                <c:pt idx="509">
                  <c:v>42682</c:v>
                </c:pt>
                <c:pt idx="510">
                  <c:v>42683</c:v>
                </c:pt>
                <c:pt idx="511">
                  <c:v>42684</c:v>
                </c:pt>
                <c:pt idx="512">
                  <c:v>42685</c:v>
                </c:pt>
                <c:pt idx="513">
                  <c:v>42688</c:v>
                </c:pt>
                <c:pt idx="514">
                  <c:v>42689</c:v>
                </c:pt>
                <c:pt idx="515">
                  <c:v>42690</c:v>
                </c:pt>
                <c:pt idx="516">
                  <c:v>42691</c:v>
                </c:pt>
                <c:pt idx="517">
                  <c:v>42692</c:v>
                </c:pt>
                <c:pt idx="518">
                  <c:v>42699</c:v>
                </c:pt>
                <c:pt idx="519">
                  <c:v>42706</c:v>
                </c:pt>
                <c:pt idx="520">
                  <c:v>42713</c:v>
                </c:pt>
                <c:pt idx="521">
                  <c:v>42720</c:v>
                </c:pt>
                <c:pt idx="522">
                  <c:v>42732</c:v>
                </c:pt>
                <c:pt idx="523">
                  <c:v>42734</c:v>
                </c:pt>
                <c:pt idx="524">
                  <c:v>42741</c:v>
                </c:pt>
                <c:pt idx="525">
                  <c:v>42748</c:v>
                </c:pt>
                <c:pt idx="526">
                  <c:v>42755</c:v>
                </c:pt>
                <c:pt idx="527">
                  <c:v>42762</c:v>
                </c:pt>
                <c:pt idx="528">
                  <c:v>42769</c:v>
                </c:pt>
                <c:pt idx="529">
                  <c:v>42776</c:v>
                </c:pt>
                <c:pt idx="530">
                  <c:v>42783</c:v>
                </c:pt>
                <c:pt idx="531">
                  <c:v>42790</c:v>
                </c:pt>
                <c:pt idx="532">
                  <c:v>42797</c:v>
                </c:pt>
                <c:pt idx="533">
                  <c:v>42804</c:v>
                </c:pt>
                <c:pt idx="534">
                  <c:v>42811</c:v>
                </c:pt>
                <c:pt idx="535">
                  <c:v>42818</c:v>
                </c:pt>
                <c:pt idx="536">
                  <c:v>42825</c:v>
                </c:pt>
                <c:pt idx="537">
                  <c:v>42832</c:v>
                </c:pt>
                <c:pt idx="538">
                  <c:v>42843</c:v>
                </c:pt>
                <c:pt idx="539">
                  <c:v>42846</c:v>
                </c:pt>
                <c:pt idx="540">
                  <c:v>42853</c:v>
                </c:pt>
                <c:pt idx="541">
                  <c:v>42863</c:v>
                </c:pt>
                <c:pt idx="542">
                  <c:v>42867</c:v>
                </c:pt>
                <c:pt idx="543">
                  <c:v>42874</c:v>
                </c:pt>
                <c:pt idx="544">
                  <c:v>42881</c:v>
                </c:pt>
                <c:pt idx="545">
                  <c:v>42888</c:v>
                </c:pt>
                <c:pt idx="546">
                  <c:v>42895</c:v>
                </c:pt>
                <c:pt idx="547">
                  <c:v>42902</c:v>
                </c:pt>
                <c:pt idx="548">
                  <c:v>42909</c:v>
                </c:pt>
                <c:pt idx="549">
                  <c:v>42916</c:v>
                </c:pt>
                <c:pt idx="550">
                  <c:v>42923</c:v>
                </c:pt>
                <c:pt idx="551">
                  <c:v>42930</c:v>
                </c:pt>
                <c:pt idx="552">
                  <c:v>42937</c:v>
                </c:pt>
                <c:pt idx="553">
                  <c:v>42944</c:v>
                </c:pt>
                <c:pt idx="554">
                  <c:v>42951</c:v>
                </c:pt>
                <c:pt idx="555">
                  <c:v>42958</c:v>
                </c:pt>
                <c:pt idx="556">
                  <c:v>42965</c:v>
                </c:pt>
                <c:pt idx="557">
                  <c:v>42972</c:v>
                </c:pt>
                <c:pt idx="558">
                  <c:v>42979</c:v>
                </c:pt>
                <c:pt idx="559">
                  <c:v>42986</c:v>
                </c:pt>
                <c:pt idx="560">
                  <c:v>42993</c:v>
                </c:pt>
                <c:pt idx="561">
                  <c:v>43000</c:v>
                </c:pt>
                <c:pt idx="562">
                  <c:v>43007</c:v>
                </c:pt>
                <c:pt idx="563">
                  <c:v>43014</c:v>
                </c:pt>
                <c:pt idx="564">
                  <c:v>43021</c:v>
                </c:pt>
                <c:pt idx="565">
                  <c:v>43028</c:v>
                </c:pt>
                <c:pt idx="566">
                  <c:v>43035</c:v>
                </c:pt>
                <c:pt idx="567">
                  <c:v>43045</c:v>
                </c:pt>
                <c:pt idx="568">
                  <c:v>43049</c:v>
                </c:pt>
                <c:pt idx="569">
                  <c:v>43056</c:v>
                </c:pt>
                <c:pt idx="570">
                  <c:v>43063</c:v>
                </c:pt>
                <c:pt idx="571">
                  <c:v>43070</c:v>
                </c:pt>
                <c:pt idx="572">
                  <c:v>43077</c:v>
                </c:pt>
                <c:pt idx="573">
                  <c:v>43084</c:v>
                </c:pt>
                <c:pt idx="574">
                  <c:v>43091</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43228</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43430</c:v>
                </c:pt>
                <c:pt idx="623">
                  <c:v>43434</c:v>
                </c:pt>
                <c:pt idx="624">
                  <c:v>43441</c:v>
                </c:pt>
                <c:pt idx="625">
                  <c:v>43448</c:v>
                </c:pt>
                <c:pt idx="626">
                  <c:v>43455</c:v>
                </c:pt>
                <c:pt idx="627">
                  <c:v>43469</c:v>
                </c:pt>
                <c:pt idx="628">
                  <c:v>43472</c:v>
                </c:pt>
                <c:pt idx="629">
                  <c:v>43480</c:v>
                </c:pt>
                <c:pt idx="630">
                  <c:v>43486</c:v>
                </c:pt>
                <c:pt idx="631">
                  <c:v>43493</c:v>
                </c:pt>
                <c:pt idx="632">
                  <c:v>43500</c:v>
                </c:pt>
                <c:pt idx="633">
                  <c:v>43508</c:v>
                </c:pt>
                <c:pt idx="634">
                  <c:v>43514</c:v>
                </c:pt>
                <c:pt idx="635">
                  <c:v>43521</c:v>
                </c:pt>
                <c:pt idx="636">
                  <c:v>43528</c:v>
                </c:pt>
                <c:pt idx="637">
                  <c:v>43535</c:v>
                </c:pt>
                <c:pt idx="638">
                  <c:v>43542</c:v>
                </c:pt>
                <c:pt idx="639">
                  <c:v>43549</c:v>
                </c:pt>
                <c:pt idx="640">
                  <c:v>43556</c:v>
                </c:pt>
                <c:pt idx="641">
                  <c:v>43563</c:v>
                </c:pt>
                <c:pt idx="642">
                  <c:v>43570</c:v>
                </c:pt>
                <c:pt idx="643">
                  <c:v>43579</c:v>
                </c:pt>
                <c:pt idx="644">
                  <c:v>43585</c:v>
                </c:pt>
                <c:pt idx="645">
                  <c:v>43592</c:v>
                </c:pt>
                <c:pt idx="646">
                  <c:v>43598</c:v>
                </c:pt>
                <c:pt idx="647">
                  <c:v>43605</c:v>
                </c:pt>
                <c:pt idx="648">
                  <c:v>43613</c:v>
                </c:pt>
                <c:pt idx="649">
                  <c:v>43619</c:v>
                </c:pt>
                <c:pt idx="650">
                  <c:v>43626</c:v>
                </c:pt>
                <c:pt idx="651">
                  <c:v>43633</c:v>
                </c:pt>
                <c:pt idx="652">
                  <c:v>43640</c:v>
                </c:pt>
                <c:pt idx="653">
                  <c:v>43647</c:v>
                </c:pt>
                <c:pt idx="654">
                  <c:v>43654</c:v>
                </c:pt>
                <c:pt idx="655">
                  <c:v>43662</c:v>
                </c:pt>
                <c:pt idx="656">
                  <c:v>43668</c:v>
                </c:pt>
                <c:pt idx="657">
                  <c:v>43675</c:v>
                </c:pt>
                <c:pt idx="658">
                  <c:v>43682</c:v>
                </c:pt>
                <c:pt idx="659">
                  <c:v>43689</c:v>
                </c:pt>
                <c:pt idx="660">
                  <c:v>43696</c:v>
                </c:pt>
                <c:pt idx="661">
                  <c:v>43704</c:v>
                </c:pt>
                <c:pt idx="662">
                  <c:v>43710</c:v>
                </c:pt>
                <c:pt idx="663">
                  <c:v>43717</c:v>
                </c:pt>
                <c:pt idx="664">
                  <c:v>43725</c:v>
                </c:pt>
                <c:pt idx="665">
                  <c:v>43732</c:v>
                </c:pt>
                <c:pt idx="666">
                  <c:v>43738</c:v>
                </c:pt>
                <c:pt idx="667">
                  <c:v>43745</c:v>
                </c:pt>
                <c:pt idx="668">
                  <c:v>43753</c:v>
                </c:pt>
                <c:pt idx="669">
                  <c:v>43759</c:v>
                </c:pt>
                <c:pt idx="670">
                  <c:v>43766</c:v>
                </c:pt>
                <c:pt idx="671">
                  <c:v>43774</c:v>
                </c:pt>
                <c:pt idx="672">
                  <c:v>43780</c:v>
                </c:pt>
                <c:pt idx="673">
                  <c:v>43787</c:v>
                </c:pt>
                <c:pt idx="674">
                  <c:v>43794</c:v>
                </c:pt>
                <c:pt idx="675">
                  <c:v>43801</c:v>
                </c:pt>
                <c:pt idx="676">
                  <c:v>43808</c:v>
                </c:pt>
                <c:pt idx="677">
                  <c:v>43815</c:v>
                </c:pt>
                <c:pt idx="678">
                  <c:v>43823</c:v>
                </c:pt>
                <c:pt idx="679">
                  <c:v>43836</c:v>
                </c:pt>
                <c:pt idx="680">
                  <c:v>43837</c:v>
                </c:pt>
                <c:pt idx="681">
                  <c:v>43844</c:v>
                </c:pt>
                <c:pt idx="682">
                  <c:v>43851</c:v>
                </c:pt>
                <c:pt idx="683">
                  <c:v>43858</c:v>
                </c:pt>
                <c:pt idx="684">
                  <c:v>43865</c:v>
                </c:pt>
                <c:pt idx="685">
                  <c:v>43873</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44200</c:v>
                </c:pt>
                <c:pt idx="732">
                  <c:v>44203</c:v>
                </c:pt>
                <c:pt idx="733">
                  <c:v>44210</c:v>
                </c:pt>
                <c:pt idx="734">
                  <c:v>44217</c:v>
                </c:pt>
                <c:pt idx="735">
                  <c:v>44224</c:v>
                </c:pt>
                <c:pt idx="736">
                  <c:v>44231</c:v>
                </c:pt>
                <c:pt idx="737">
                  <c:v>44239</c:v>
                </c:pt>
                <c:pt idx="738">
                  <c:v>44245</c:v>
                </c:pt>
                <c:pt idx="739">
                  <c:v>44252</c:v>
                </c:pt>
                <c:pt idx="740">
                  <c:v>44259</c:v>
                </c:pt>
                <c:pt idx="741">
                  <c:v>44266</c:v>
                </c:pt>
                <c:pt idx="742">
                  <c:v>44273</c:v>
                </c:pt>
                <c:pt idx="743">
                  <c:v>44280</c:v>
                </c:pt>
                <c:pt idx="744">
                  <c:v>44287</c:v>
                </c:pt>
                <c:pt idx="745">
                  <c:v>44294</c:v>
                </c:pt>
                <c:pt idx="746">
                  <c:v>44301</c:v>
                </c:pt>
                <c:pt idx="747">
                  <c:v>44308</c:v>
                </c:pt>
                <c:pt idx="748">
                  <c:v>44316</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44463</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44554</c:v>
                </c:pt>
                <c:pt idx="783">
                  <c:v>44565</c:v>
                </c:pt>
                <c:pt idx="784">
                  <c:v>44568</c:v>
                </c:pt>
                <c:pt idx="785">
                  <c:v>44575</c:v>
                </c:pt>
                <c:pt idx="786">
                  <c:v>44582</c:v>
                </c:pt>
                <c:pt idx="787">
                  <c:v>44589</c:v>
                </c:pt>
                <c:pt idx="788">
                  <c:v>44596</c:v>
                </c:pt>
                <c:pt idx="789">
                  <c:v>44606</c:v>
                </c:pt>
                <c:pt idx="790">
                  <c:v>44610</c:v>
                </c:pt>
                <c:pt idx="791">
                  <c:v>44617</c:v>
                </c:pt>
                <c:pt idx="792">
                  <c:v>44624</c:v>
                </c:pt>
                <c:pt idx="793">
                  <c:v>44631</c:v>
                </c:pt>
                <c:pt idx="794">
                  <c:v>44638</c:v>
                </c:pt>
                <c:pt idx="795">
                  <c:v>44645</c:v>
                </c:pt>
                <c:pt idx="796">
                  <c:v>44652</c:v>
                </c:pt>
                <c:pt idx="797">
                  <c:v>44659</c:v>
                </c:pt>
                <c:pt idx="798">
                  <c:v>44670</c:v>
                </c:pt>
                <c:pt idx="799">
                  <c:v>44673</c:v>
                </c:pt>
                <c:pt idx="800">
                  <c:v>44687</c:v>
                </c:pt>
                <c:pt idx="801">
                  <c:v>44687</c:v>
                </c:pt>
                <c:pt idx="802">
                  <c:v>44694</c:v>
                </c:pt>
                <c:pt idx="803">
                  <c:v>44701</c:v>
                </c:pt>
                <c:pt idx="804">
                  <c:v>44708</c:v>
                </c:pt>
                <c:pt idx="805">
                  <c:v>44715</c:v>
                </c:pt>
                <c:pt idx="806">
                  <c:v>44722</c:v>
                </c:pt>
                <c:pt idx="807">
                  <c:v>44729</c:v>
                </c:pt>
                <c:pt idx="808">
                  <c:v>44736</c:v>
                </c:pt>
                <c:pt idx="809">
                  <c:v>44743</c:v>
                </c:pt>
                <c:pt idx="810">
                  <c:v>44750</c:v>
                </c:pt>
                <c:pt idx="811">
                  <c:v>44757</c:v>
                </c:pt>
                <c:pt idx="812">
                  <c:v>44764</c:v>
                </c:pt>
                <c:pt idx="813">
                  <c:v>44771</c:v>
                </c:pt>
                <c:pt idx="814">
                  <c:v>44778</c:v>
                </c:pt>
                <c:pt idx="815">
                  <c:v>44785</c:v>
                </c:pt>
                <c:pt idx="816">
                  <c:v>44792</c:v>
                </c:pt>
                <c:pt idx="817">
                  <c:v>44799</c:v>
                </c:pt>
                <c:pt idx="818">
                  <c:v>44806</c:v>
                </c:pt>
                <c:pt idx="819">
                  <c:v>44813</c:v>
                </c:pt>
                <c:pt idx="820">
                  <c:v>44820</c:v>
                </c:pt>
                <c:pt idx="821">
                  <c:v>44830</c:v>
                </c:pt>
                <c:pt idx="822">
                  <c:v>44834</c:v>
                </c:pt>
                <c:pt idx="823">
                  <c:v>44841</c:v>
                </c:pt>
                <c:pt idx="824">
                  <c:v>44848</c:v>
                </c:pt>
                <c:pt idx="825">
                  <c:v>44855</c:v>
                </c:pt>
                <c:pt idx="826">
                  <c:v>44862</c:v>
                </c:pt>
                <c:pt idx="827">
                  <c:v>44869</c:v>
                </c:pt>
                <c:pt idx="828">
                  <c:v>44876</c:v>
                </c:pt>
                <c:pt idx="829">
                  <c:v>44883</c:v>
                </c:pt>
                <c:pt idx="830">
                  <c:v>44890</c:v>
                </c:pt>
                <c:pt idx="831">
                  <c:v>44897</c:v>
                </c:pt>
                <c:pt idx="832">
                  <c:v>44904</c:v>
                </c:pt>
                <c:pt idx="833">
                  <c:v>44911</c:v>
                </c:pt>
                <c:pt idx="834">
                  <c:v>44923</c:v>
                </c:pt>
                <c:pt idx="835">
                  <c:v>44925</c:v>
                </c:pt>
                <c:pt idx="836">
                  <c:v>44932</c:v>
                </c:pt>
                <c:pt idx="837">
                  <c:v>44939</c:v>
                </c:pt>
                <c:pt idx="838">
                  <c:v>44946</c:v>
                </c:pt>
                <c:pt idx="839">
                  <c:v>44953</c:v>
                </c:pt>
                <c:pt idx="840">
                  <c:v>44960</c:v>
                </c:pt>
                <c:pt idx="841">
                  <c:v>44967</c:v>
                </c:pt>
                <c:pt idx="842">
                  <c:v>44974</c:v>
                </c:pt>
                <c:pt idx="843">
                  <c:v>44981</c:v>
                </c:pt>
                <c:pt idx="844">
                  <c:v>44988</c:v>
                </c:pt>
                <c:pt idx="845">
                  <c:v>44995</c:v>
                </c:pt>
                <c:pt idx="846">
                  <c:v>45002</c:v>
                </c:pt>
                <c:pt idx="847">
                  <c:v>45009</c:v>
                </c:pt>
                <c:pt idx="848">
                  <c:v>45016</c:v>
                </c:pt>
                <c:pt idx="849">
                  <c:v>45027</c:v>
                </c:pt>
                <c:pt idx="850">
                  <c:v>45030</c:v>
                </c:pt>
                <c:pt idx="851">
                  <c:v>45037</c:v>
                </c:pt>
                <c:pt idx="852">
                  <c:v>45044</c:v>
                </c:pt>
                <c:pt idx="853">
                  <c:v>45054</c:v>
                </c:pt>
                <c:pt idx="854">
                  <c:v>45058</c:v>
                </c:pt>
                <c:pt idx="855">
                  <c:v>45065</c:v>
                </c:pt>
                <c:pt idx="856">
                  <c:v>45072</c:v>
                </c:pt>
                <c:pt idx="857">
                  <c:v>45079</c:v>
                </c:pt>
                <c:pt idx="858">
                  <c:v>45086</c:v>
                </c:pt>
                <c:pt idx="859">
                  <c:v>45093</c:v>
                </c:pt>
                <c:pt idx="860">
                  <c:v>45100</c:v>
                </c:pt>
                <c:pt idx="861">
                  <c:v>45107</c:v>
                </c:pt>
                <c:pt idx="862">
                  <c:v>45114</c:v>
                </c:pt>
                <c:pt idx="863">
                  <c:v>45121</c:v>
                </c:pt>
                <c:pt idx="864">
                  <c:v>45128</c:v>
                </c:pt>
                <c:pt idx="865">
                  <c:v>45135</c:v>
                </c:pt>
                <c:pt idx="866">
                  <c:v>45142</c:v>
                </c:pt>
                <c:pt idx="867">
                  <c:v>45149</c:v>
                </c:pt>
                <c:pt idx="868">
                  <c:v>45156</c:v>
                </c:pt>
                <c:pt idx="869">
                  <c:v>45163</c:v>
                </c:pt>
                <c:pt idx="870">
                  <c:v>45170</c:v>
                </c:pt>
                <c:pt idx="871">
                  <c:v>45177</c:v>
                </c:pt>
                <c:pt idx="872">
                  <c:v>45184</c:v>
                </c:pt>
                <c:pt idx="873">
                  <c:v>45191</c:v>
                </c:pt>
                <c:pt idx="874">
                  <c:v>45198</c:v>
                </c:pt>
                <c:pt idx="875">
                  <c:v>45205</c:v>
                </c:pt>
                <c:pt idx="876">
                  <c:v>45212</c:v>
                </c:pt>
                <c:pt idx="877">
                  <c:v>45219</c:v>
                </c:pt>
                <c:pt idx="878">
                  <c:v>45226</c:v>
                </c:pt>
                <c:pt idx="879">
                  <c:v>45236</c:v>
                </c:pt>
                <c:pt idx="880">
                  <c:v>45240</c:v>
                </c:pt>
                <c:pt idx="881">
                  <c:v>45247</c:v>
                </c:pt>
                <c:pt idx="882">
                  <c:v>45254</c:v>
                </c:pt>
                <c:pt idx="883">
                  <c:v>45261</c:v>
                </c:pt>
                <c:pt idx="884">
                  <c:v>45268</c:v>
                </c:pt>
                <c:pt idx="885">
                  <c:v>45275</c:v>
                </c:pt>
                <c:pt idx="886">
                  <c:v>45282</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45419</c:v>
                </c:pt>
                <c:pt idx="906">
                  <c:v>45422</c:v>
                </c:pt>
                <c:pt idx="907">
                  <c:v>45429</c:v>
                </c:pt>
                <c:pt idx="908">
                  <c:v>45436</c:v>
                </c:pt>
                <c:pt idx="909">
                  <c:v>45443</c:v>
                </c:pt>
                <c:pt idx="910">
                  <c:v>45450</c:v>
                </c:pt>
                <c:pt idx="911">
                  <c:v>45457</c:v>
                </c:pt>
                <c:pt idx="912">
                  <c:v>45464</c:v>
                </c:pt>
                <c:pt idx="913">
                  <c:v>45471</c:v>
                </c:pt>
                <c:pt idx="914">
                  <c:v>45478</c:v>
                </c:pt>
                <c:pt idx="915">
                  <c:v>45485</c:v>
                </c:pt>
                <c:pt idx="916">
                  <c:v>45492</c:v>
                </c:pt>
                <c:pt idx="917">
                  <c:v>45499</c:v>
                </c:pt>
                <c:pt idx="918">
                  <c:v>45506</c:v>
                </c:pt>
                <c:pt idx="919">
                  <c:v>45513</c:v>
                </c:pt>
                <c:pt idx="920">
                  <c:v>45520</c:v>
                </c:pt>
                <c:pt idx="921">
                  <c:v>45527</c:v>
                </c:pt>
                <c:pt idx="922">
                  <c:v>45534</c:v>
                </c:pt>
                <c:pt idx="923">
                  <c:v>45541</c:v>
                </c:pt>
                <c:pt idx="924">
                  <c:v>45548</c:v>
                </c:pt>
                <c:pt idx="925">
                  <c:v>45555</c:v>
                </c:pt>
                <c:pt idx="926">
                  <c:v>45562</c:v>
                </c:pt>
                <c:pt idx="927">
                  <c:v>45569</c:v>
                </c:pt>
                <c:pt idx="928">
                  <c:v>45576</c:v>
                </c:pt>
                <c:pt idx="929">
                  <c:v>45583</c:v>
                </c:pt>
                <c:pt idx="930">
                  <c:v>45590</c:v>
                </c:pt>
                <c:pt idx="931">
                  <c:v>45597</c:v>
                </c:pt>
                <c:pt idx="932">
                  <c:v>45604</c:v>
                </c:pt>
                <c:pt idx="933">
                  <c:v>45611</c:v>
                </c:pt>
                <c:pt idx="934">
                  <c:v>45618</c:v>
                </c:pt>
                <c:pt idx="935">
                  <c:v>45625</c:v>
                </c:pt>
                <c:pt idx="936">
                  <c:v>45632</c:v>
                </c:pt>
                <c:pt idx="937">
                  <c:v>45639</c:v>
                </c:pt>
                <c:pt idx="938">
                  <c:v>45646</c:v>
                </c:pt>
                <c:pt idx="939">
                  <c:v>45663</c:v>
                </c:pt>
                <c:pt idx="940">
                  <c:v>45664</c:v>
                </c:pt>
                <c:pt idx="941">
                  <c:v>45671</c:v>
                </c:pt>
                <c:pt idx="942">
                  <c:v>45678</c:v>
                </c:pt>
                <c:pt idx="943">
                  <c:v>45685</c:v>
                </c:pt>
                <c:pt idx="944">
                  <c:v>45692</c:v>
                </c:pt>
                <c:pt idx="945">
                  <c:v>45700</c:v>
                </c:pt>
                <c:pt idx="946">
                  <c:v>45706</c:v>
                </c:pt>
                <c:pt idx="947">
                  <c:v>45713</c:v>
                </c:pt>
                <c:pt idx="948">
                  <c:v>45720</c:v>
                </c:pt>
                <c:pt idx="949">
                  <c:v>45727</c:v>
                </c:pt>
                <c:pt idx="950">
                  <c:v>45734</c:v>
                </c:pt>
                <c:pt idx="951">
                  <c:v>45741</c:v>
                </c:pt>
                <c:pt idx="952">
                  <c:v>45748</c:v>
                </c:pt>
                <c:pt idx="953">
                  <c:v>45755</c:v>
                </c:pt>
                <c:pt idx="954">
                  <c:v>45762</c:v>
                </c:pt>
                <c:pt idx="955">
                  <c:v>45771</c:v>
                </c:pt>
                <c:pt idx="956">
                  <c:v>45778</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46027</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46391</c:v>
                </c:pt>
                <c:pt idx="1044">
                  <c:v>46394</c:v>
                </c:pt>
                <c:pt idx="1045">
                  <c:v>46401</c:v>
                </c:pt>
                <c:pt idx="1046">
                  <c:v>46408</c:v>
                </c:pt>
                <c:pt idx="1047">
                  <c:v>46415</c:v>
                </c:pt>
                <c:pt idx="1048">
                  <c:v>46422</c:v>
                </c:pt>
                <c:pt idx="1049">
                  <c:v>46430</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46507</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46654</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46745</c:v>
                </c:pt>
                <c:pt idx="1095">
                  <c:v>46756</c:v>
                </c:pt>
                <c:pt idx="1096">
                  <c:v>46759</c:v>
                </c:pt>
                <c:pt idx="1097">
                  <c:v>46766</c:v>
                </c:pt>
                <c:pt idx="1098">
                  <c:v>46773</c:v>
                </c:pt>
                <c:pt idx="1099">
                  <c:v>46780</c:v>
                </c:pt>
                <c:pt idx="1100">
                  <c:v>46787</c:v>
                </c:pt>
                <c:pt idx="1101">
                  <c:v>46797</c:v>
                </c:pt>
                <c:pt idx="1102">
                  <c:v>46801</c:v>
                </c:pt>
                <c:pt idx="1103">
                  <c:v>46808</c:v>
                </c:pt>
                <c:pt idx="1104">
                  <c:v>46815</c:v>
                </c:pt>
                <c:pt idx="1105">
                  <c:v>46822</c:v>
                </c:pt>
                <c:pt idx="1106">
                  <c:v>46829</c:v>
                </c:pt>
                <c:pt idx="1107">
                  <c:v>46836</c:v>
                </c:pt>
                <c:pt idx="1108">
                  <c:v>46843</c:v>
                </c:pt>
                <c:pt idx="1109">
                  <c:v>46850</c:v>
                </c:pt>
                <c:pt idx="1110">
                  <c:v>46861</c:v>
                </c:pt>
                <c:pt idx="1111">
                  <c:v>46864</c:v>
                </c:pt>
                <c:pt idx="1112">
                  <c:v>46871</c:v>
                </c:pt>
                <c:pt idx="1113">
                  <c:v>46881</c:v>
                </c:pt>
                <c:pt idx="1114">
                  <c:v>46885</c:v>
                </c:pt>
                <c:pt idx="1115">
                  <c:v>46892</c:v>
                </c:pt>
                <c:pt idx="1116">
                  <c:v>46899</c:v>
                </c:pt>
                <c:pt idx="1117">
                  <c:v>46906</c:v>
                </c:pt>
                <c:pt idx="1118">
                  <c:v>46913</c:v>
                </c:pt>
                <c:pt idx="1119">
                  <c:v>46920</c:v>
                </c:pt>
                <c:pt idx="1120">
                  <c:v>46927</c:v>
                </c:pt>
                <c:pt idx="1121">
                  <c:v>46934</c:v>
                </c:pt>
                <c:pt idx="1122">
                  <c:v>46941</c:v>
                </c:pt>
                <c:pt idx="1123">
                  <c:v>46948</c:v>
                </c:pt>
                <c:pt idx="1124">
                  <c:v>46955</c:v>
                </c:pt>
                <c:pt idx="1125">
                  <c:v>46962</c:v>
                </c:pt>
                <c:pt idx="1126">
                  <c:v>46969</c:v>
                </c:pt>
                <c:pt idx="1127">
                  <c:v>46976</c:v>
                </c:pt>
                <c:pt idx="1128">
                  <c:v>46983</c:v>
                </c:pt>
                <c:pt idx="1129">
                  <c:v>46990</c:v>
                </c:pt>
                <c:pt idx="1130">
                  <c:v>46997</c:v>
                </c:pt>
                <c:pt idx="1131">
                  <c:v>47004</c:v>
                </c:pt>
                <c:pt idx="1132">
                  <c:v>47011</c:v>
                </c:pt>
                <c:pt idx="1133">
                  <c:v>47021</c:v>
                </c:pt>
                <c:pt idx="1134">
                  <c:v>47025</c:v>
                </c:pt>
                <c:pt idx="1135">
                  <c:v>47032</c:v>
                </c:pt>
                <c:pt idx="1136">
                  <c:v>47039</c:v>
                </c:pt>
                <c:pt idx="1137">
                  <c:v>47046</c:v>
                </c:pt>
                <c:pt idx="1138">
                  <c:v>47053</c:v>
                </c:pt>
                <c:pt idx="1139">
                  <c:v>47063</c:v>
                </c:pt>
                <c:pt idx="1140">
                  <c:v>47067</c:v>
                </c:pt>
                <c:pt idx="1141">
                  <c:v>47074</c:v>
                </c:pt>
                <c:pt idx="1142">
                  <c:v>47081</c:v>
                </c:pt>
                <c:pt idx="1143">
                  <c:v>47088</c:v>
                </c:pt>
                <c:pt idx="1144">
                  <c:v>47095</c:v>
                </c:pt>
                <c:pt idx="1145">
                  <c:v>47102</c:v>
                </c:pt>
                <c:pt idx="1146">
                  <c:v>47109</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47246</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47448</c:v>
                </c:pt>
                <c:pt idx="1195">
                  <c:v>47452</c:v>
                </c:pt>
                <c:pt idx="1196">
                  <c:v>47459</c:v>
                </c:pt>
                <c:pt idx="1197">
                  <c:v>47466</c:v>
                </c:pt>
                <c:pt idx="1198">
                  <c:v>47473</c:v>
                </c:pt>
                <c:pt idx="1199">
                  <c:v>47487</c:v>
                </c:pt>
                <c:pt idx="1200">
                  <c:v>47490</c:v>
                </c:pt>
                <c:pt idx="1201">
                  <c:v>47498</c:v>
                </c:pt>
                <c:pt idx="1202">
                  <c:v>47504</c:v>
                </c:pt>
                <c:pt idx="1203">
                  <c:v>47511</c:v>
                </c:pt>
                <c:pt idx="1204">
                  <c:v>47518</c:v>
                </c:pt>
                <c:pt idx="1205">
                  <c:v>47526</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47603</c:v>
                </c:pt>
                <c:pt idx="1217">
                  <c:v>47610</c:v>
                </c:pt>
                <c:pt idx="1218">
                  <c:v>47616</c:v>
                </c:pt>
                <c:pt idx="1219">
                  <c:v>47623</c:v>
                </c:pt>
                <c:pt idx="1220">
                  <c:v>47631</c:v>
                </c:pt>
                <c:pt idx="1221">
                  <c:v>47637</c:v>
                </c:pt>
                <c:pt idx="1222">
                  <c:v>47644</c:v>
                </c:pt>
                <c:pt idx="1223">
                  <c:v>47651</c:v>
                </c:pt>
                <c:pt idx="1224">
                  <c:v>47658</c:v>
                </c:pt>
                <c:pt idx="1225">
                  <c:v>47665</c:v>
                </c:pt>
                <c:pt idx="1226">
                  <c:v>47672</c:v>
                </c:pt>
                <c:pt idx="1227">
                  <c:v>47680</c:v>
                </c:pt>
                <c:pt idx="1228">
                  <c:v>47686</c:v>
                </c:pt>
                <c:pt idx="1229">
                  <c:v>47693</c:v>
                </c:pt>
                <c:pt idx="1230">
                  <c:v>47700</c:v>
                </c:pt>
                <c:pt idx="1231">
                  <c:v>47707</c:v>
                </c:pt>
                <c:pt idx="1232">
                  <c:v>47714</c:v>
                </c:pt>
                <c:pt idx="1233">
                  <c:v>47722</c:v>
                </c:pt>
                <c:pt idx="1234">
                  <c:v>47728</c:v>
                </c:pt>
                <c:pt idx="1235">
                  <c:v>47735</c:v>
                </c:pt>
                <c:pt idx="1236">
                  <c:v>47743</c:v>
                </c:pt>
                <c:pt idx="1237">
                  <c:v>47750</c:v>
                </c:pt>
                <c:pt idx="1238">
                  <c:v>47756</c:v>
                </c:pt>
                <c:pt idx="1239">
                  <c:v>47763</c:v>
                </c:pt>
                <c:pt idx="1240">
                  <c:v>47771</c:v>
                </c:pt>
                <c:pt idx="1241">
                  <c:v>47777</c:v>
                </c:pt>
                <c:pt idx="1242">
                  <c:v>47784</c:v>
                </c:pt>
                <c:pt idx="1243">
                  <c:v>47792</c:v>
                </c:pt>
                <c:pt idx="1244">
                  <c:v>47798</c:v>
                </c:pt>
                <c:pt idx="1245">
                  <c:v>47805</c:v>
                </c:pt>
                <c:pt idx="1246">
                  <c:v>47812</c:v>
                </c:pt>
                <c:pt idx="1247">
                  <c:v>47819</c:v>
                </c:pt>
                <c:pt idx="1248">
                  <c:v>47826</c:v>
                </c:pt>
                <c:pt idx="1249">
                  <c:v>47833</c:v>
                </c:pt>
                <c:pt idx="1250">
                  <c:v>47841</c:v>
                </c:pt>
                <c:pt idx="1251">
                  <c:v>47854</c:v>
                </c:pt>
                <c:pt idx="1252">
                  <c:v>47855</c:v>
                </c:pt>
                <c:pt idx="1253">
                  <c:v>47862</c:v>
                </c:pt>
                <c:pt idx="1254">
                  <c:v>47869</c:v>
                </c:pt>
                <c:pt idx="1255">
                  <c:v>47876</c:v>
                </c:pt>
                <c:pt idx="1256">
                  <c:v>47883</c:v>
                </c:pt>
                <c:pt idx="1257">
                  <c:v>47891</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47969</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48218</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48572</c:v>
                </c:pt>
                <c:pt idx="1355">
                  <c:v>48583</c:v>
                </c:pt>
                <c:pt idx="1356">
                  <c:v>48586</c:v>
                </c:pt>
                <c:pt idx="1357">
                  <c:v>48593</c:v>
                </c:pt>
                <c:pt idx="1358">
                  <c:v>48600</c:v>
                </c:pt>
                <c:pt idx="1359">
                  <c:v>48607</c:v>
                </c:pt>
                <c:pt idx="1360">
                  <c:v>48614</c:v>
                </c:pt>
                <c:pt idx="1361">
                  <c:v>48624</c:v>
                </c:pt>
                <c:pt idx="1362">
                  <c:v>48628</c:v>
                </c:pt>
                <c:pt idx="1363">
                  <c:v>48635</c:v>
                </c:pt>
                <c:pt idx="1364">
                  <c:v>48642</c:v>
                </c:pt>
                <c:pt idx="1365">
                  <c:v>48649</c:v>
                </c:pt>
                <c:pt idx="1366">
                  <c:v>48656</c:v>
                </c:pt>
                <c:pt idx="1367">
                  <c:v>48663</c:v>
                </c:pt>
                <c:pt idx="1368">
                  <c:v>48670</c:v>
                </c:pt>
                <c:pt idx="1369">
                  <c:v>48677</c:v>
                </c:pt>
                <c:pt idx="1370">
                  <c:v>48688</c:v>
                </c:pt>
                <c:pt idx="1371">
                  <c:v>48691</c:v>
                </c:pt>
                <c:pt idx="1372">
                  <c:v>48705</c:v>
                </c:pt>
                <c:pt idx="1373">
                  <c:v>48705</c:v>
                </c:pt>
                <c:pt idx="1374">
                  <c:v>48712</c:v>
                </c:pt>
                <c:pt idx="1375">
                  <c:v>48719</c:v>
                </c:pt>
                <c:pt idx="1376">
                  <c:v>48726</c:v>
                </c:pt>
                <c:pt idx="1377">
                  <c:v>48733</c:v>
                </c:pt>
                <c:pt idx="1378">
                  <c:v>48740</c:v>
                </c:pt>
                <c:pt idx="1379">
                  <c:v>48747</c:v>
                </c:pt>
                <c:pt idx="1380">
                  <c:v>48754</c:v>
                </c:pt>
                <c:pt idx="1381">
                  <c:v>48761</c:v>
                </c:pt>
                <c:pt idx="1382">
                  <c:v>48768</c:v>
                </c:pt>
                <c:pt idx="1383">
                  <c:v>48775</c:v>
                </c:pt>
                <c:pt idx="1384">
                  <c:v>48782</c:v>
                </c:pt>
                <c:pt idx="1385">
                  <c:v>48789</c:v>
                </c:pt>
                <c:pt idx="1386">
                  <c:v>48796</c:v>
                </c:pt>
                <c:pt idx="1387">
                  <c:v>48803</c:v>
                </c:pt>
                <c:pt idx="1388">
                  <c:v>48810</c:v>
                </c:pt>
                <c:pt idx="1389">
                  <c:v>48817</c:v>
                </c:pt>
                <c:pt idx="1390">
                  <c:v>48824</c:v>
                </c:pt>
                <c:pt idx="1391">
                  <c:v>48831</c:v>
                </c:pt>
                <c:pt idx="1392">
                  <c:v>48838</c:v>
                </c:pt>
                <c:pt idx="1393">
                  <c:v>48848</c:v>
                </c:pt>
                <c:pt idx="1394">
                  <c:v>48852</c:v>
                </c:pt>
                <c:pt idx="1395">
                  <c:v>48859</c:v>
                </c:pt>
                <c:pt idx="1396">
                  <c:v>48866</c:v>
                </c:pt>
                <c:pt idx="1397">
                  <c:v>48873</c:v>
                </c:pt>
                <c:pt idx="1398">
                  <c:v>48880</c:v>
                </c:pt>
                <c:pt idx="1399">
                  <c:v>48887</c:v>
                </c:pt>
                <c:pt idx="1400">
                  <c:v>48894</c:v>
                </c:pt>
                <c:pt idx="1401">
                  <c:v>48901</c:v>
                </c:pt>
                <c:pt idx="1402">
                  <c:v>48908</c:v>
                </c:pt>
                <c:pt idx="1403">
                  <c:v>48915</c:v>
                </c:pt>
                <c:pt idx="1404">
                  <c:v>48922</c:v>
                </c:pt>
                <c:pt idx="1405">
                  <c:v>48929</c:v>
                </c:pt>
                <c:pt idx="1406">
                  <c:v>48941</c:v>
                </c:pt>
                <c:pt idx="1407">
                  <c:v>48943</c:v>
                </c:pt>
                <c:pt idx="1408">
                  <c:v>48950</c:v>
                </c:pt>
                <c:pt idx="1409">
                  <c:v>48957</c:v>
                </c:pt>
                <c:pt idx="1410">
                  <c:v>48964</c:v>
                </c:pt>
                <c:pt idx="1411">
                  <c:v>48971</c:v>
                </c:pt>
                <c:pt idx="1412">
                  <c:v>48978</c:v>
                </c:pt>
                <c:pt idx="1413">
                  <c:v>48985</c:v>
                </c:pt>
                <c:pt idx="1414">
                  <c:v>48992</c:v>
                </c:pt>
                <c:pt idx="1415">
                  <c:v>48999</c:v>
                </c:pt>
                <c:pt idx="1416">
                  <c:v>49006</c:v>
                </c:pt>
                <c:pt idx="1417">
                  <c:v>49013</c:v>
                </c:pt>
                <c:pt idx="1418">
                  <c:v>49020</c:v>
                </c:pt>
                <c:pt idx="1419">
                  <c:v>49027</c:v>
                </c:pt>
                <c:pt idx="1420">
                  <c:v>49034</c:v>
                </c:pt>
                <c:pt idx="1421">
                  <c:v>49045</c:v>
                </c:pt>
                <c:pt idx="1422">
                  <c:v>49048</c:v>
                </c:pt>
                <c:pt idx="1423">
                  <c:v>49055</c:v>
                </c:pt>
                <c:pt idx="1424">
                  <c:v>49062</c:v>
                </c:pt>
                <c:pt idx="1425">
                  <c:v>49072</c:v>
                </c:pt>
                <c:pt idx="1426">
                  <c:v>49076</c:v>
                </c:pt>
                <c:pt idx="1427">
                  <c:v>49083</c:v>
                </c:pt>
                <c:pt idx="1428">
                  <c:v>49090</c:v>
                </c:pt>
                <c:pt idx="1429">
                  <c:v>49097</c:v>
                </c:pt>
                <c:pt idx="1430">
                  <c:v>49104</c:v>
                </c:pt>
                <c:pt idx="1431">
                  <c:v>49111</c:v>
                </c:pt>
                <c:pt idx="1432">
                  <c:v>49118</c:v>
                </c:pt>
                <c:pt idx="1433">
                  <c:v>49125</c:v>
                </c:pt>
                <c:pt idx="1434">
                  <c:v>49132</c:v>
                </c:pt>
                <c:pt idx="1435">
                  <c:v>49139</c:v>
                </c:pt>
                <c:pt idx="1436">
                  <c:v>49146</c:v>
                </c:pt>
                <c:pt idx="1437">
                  <c:v>49153</c:v>
                </c:pt>
                <c:pt idx="1438">
                  <c:v>49160</c:v>
                </c:pt>
                <c:pt idx="1439">
                  <c:v>49167</c:v>
                </c:pt>
                <c:pt idx="1440">
                  <c:v>49174</c:v>
                </c:pt>
                <c:pt idx="1441">
                  <c:v>49181</c:v>
                </c:pt>
                <c:pt idx="1442">
                  <c:v>49188</c:v>
                </c:pt>
                <c:pt idx="1443">
                  <c:v>49195</c:v>
                </c:pt>
                <c:pt idx="1444">
                  <c:v>49202</c:v>
                </c:pt>
                <c:pt idx="1445">
                  <c:v>49209</c:v>
                </c:pt>
                <c:pt idx="1446">
                  <c:v>49216</c:v>
                </c:pt>
                <c:pt idx="1447">
                  <c:v>49223</c:v>
                </c:pt>
                <c:pt idx="1448">
                  <c:v>49230</c:v>
                </c:pt>
                <c:pt idx="1449">
                  <c:v>49237</c:v>
                </c:pt>
                <c:pt idx="1450">
                  <c:v>49244</c:v>
                </c:pt>
                <c:pt idx="1451">
                  <c:v>49254</c:v>
                </c:pt>
                <c:pt idx="1452">
                  <c:v>49258</c:v>
                </c:pt>
                <c:pt idx="1453">
                  <c:v>49265</c:v>
                </c:pt>
                <c:pt idx="1454">
                  <c:v>49272</c:v>
                </c:pt>
                <c:pt idx="1455">
                  <c:v>49279</c:v>
                </c:pt>
                <c:pt idx="1456">
                  <c:v>49286</c:v>
                </c:pt>
                <c:pt idx="1457">
                  <c:v>49293</c:v>
                </c:pt>
                <c:pt idx="1458">
                  <c:v>49300</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49437</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49639</c:v>
                </c:pt>
                <c:pt idx="1507">
                  <c:v>49643</c:v>
                </c:pt>
                <c:pt idx="1508">
                  <c:v>49650</c:v>
                </c:pt>
                <c:pt idx="1509">
                  <c:v>49657</c:v>
                </c:pt>
                <c:pt idx="1510">
                  <c:v>49664</c:v>
                </c:pt>
                <c:pt idx="1511">
                  <c:v>49678</c:v>
                </c:pt>
                <c:pt idx="1512">
                  <c:v>49681</c:v>
                </c:pt>
                <c:pt idx="1513">
                  <c:v>49689</c:v>
                </c:pt>
                <c:pt idx="1514">
                  <c:v>49695</c:v>
                </c:pt>
                <c:pt idx="1515">
                  <c:v>49702</c:v>
                </c:pt>
                <c:pt idx="1516">
                  <c:v>49709</c:v>
                </c:pt>
                <c:pt idx="1517">
                  <c:v>49717</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49802</c:v>
                </c:pt>
                <c:pt idx="1530">
                  <c:v>49807</c:v>
                </c:pt>
                <c:pt idx="1531">
                  <c:v>49814</c:v>
                </c:pt>
                <c:pt idx="1532">
                  <c:v>49822</c:v>
                </c:pt>
                <c:pt idx="1533">
                  <c:v>49828</c:v>
                </c:pt>
                <c:pt idx="1534">
                  <c:v>49835</c:v>
                </c:pt>
                <c:pt idx="1535">
                  <c:v>49842</c:v>
                </c:pt>
                <c:pt idx="1536">
                  <c:v>49849</c:v>
                </c:pt>
                <c:pt idx="1537">
                  <c:v>49856</c:v>
                </c:pt>
                <c:pt idx="1538">
                  <c:v>49863</c:v>
                </c:pt>
                <c:pt idx="1539">
                  <c:v>49870</c:v>
                </c:pt>
                <c:pt idx="1540">
                  <c:v>49878</c:v>
                </c:pt>
                <c:pt idx="1541">
                  <c:v>49884</c:v>
                </c:pt>
                <c:pt idx="1542">
                  <c:v>49891</c:v>
                </c:pt>
                <c:pt idx="1543">
                  <c:v>49898</c:v>
                </c:pt>
                <c:pt idx="1544">
                  <c:v>49905</c:v>
                </c:pt>
                <c:pt idx="1545">
                  <c:v>49913</c:v>
                </c:pt>
                <c:pt idx="1546">
                  <c:v>49919</c:v>
                </c:pt>
                <c:pt idx="1547">
                  <c:v>49926</c:v>
                </c:pt>
                <c:pt idx="1548">
                  <c:v>49934</c:v>
                </c:pt>
                <c:pt idx="1549">
                  <c:v>49941</c:v>
                </c:pt>
                <c:pt idx="1550">
                  <c:v>49947</c:v>
                </c:pt>
                <c:pt idx="1551">
                  <c:v>49954</c:v>
                </c:pt>
                <c:pt idx="1552">
                  <c:v>49962</c:v>
                </c:pt>
                <c:pt idx="1553">
                  <c:v>49968</c:v>
                </c:pt>
                <c:pt idx="1554">
                  <c:v>49975</c:v>
                </c:pt>
                <c:pt idx="1555">
                  <c:v>49983</c:v>
                </c:pt>
                <c:pt idx="1556">
                  <c:v>49989</c:v>
                </c:pt>
                <c:pt idx="1557">
                  <c:v>49996</c:v>
                </c:pt>
                <c:pt idx="1558">
                  <c:v>50004</c:v>
                </c:pt>
                <c:pt idx="1559">
                  <c:v>50010</c:v>
                </c:pt>
                <c:pt idx="1560">
                  <c:v>50017</c:v>
                </c:pt>
                <c:pt idx="1561">
                  <c:v>50024</c:v>
                </c:pt>
                <c:pt idx="1562">
                  <c:v>50031</c:v>
                </c:pt>
                <c:pt idx="1563">
                  <c:v>50045</c:v>
                </c:pt>
                <c:pt idx="1564">
                  <c:v>50047</c:v>
                </c:pt>
                <c:pt idx="1565">
                  <c:v>50054</c:v>
                </c:pt>
                <c:pt idx="1566">
                  <c:v>50061</c:v>
                </c:pt>
                <c:pt idx="1567">
                  <c:v>50068</c:v>
                </c:pt>
                <c:pt idx="1568">
                  <c:v>50075</c:v>
                </c:pt>
                <c:pt idx="1569">
                  <c:v>50083</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50412</c:v>
                </c:pt>
                <c:pt idx="1617">
                  <c:v>50419</c:v>
                </c:pt>
                <c:pt idx="1618">
                  <c:v>50426</c:v>
                </c:pt>
                <c:pt idx="1619">
                  <c:v>50433</c:v>
                </c:pt>
                <c:pt idx="1620">
                  <c:v>50440</c:v>
                </c:pt>
                <c:pt idx="1621">
                  <c:v>50448</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50525</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50672</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50763</c:v>
                </c:pt>
                <c:pt idx="1667">
                  <c:v>50774</c:v>
                </c:pt>
                <c:pt idx="1668">
                  <c:v>50777</c:v>
                </c:pt>
                <c:pt idx="1669">
                  <c:v>50784</c:v>
                </c:pt>
                <c:pt idx="1670">
                  <c:v>50791</c:v>
                </c:pt>
                <c:pt idx="1671">
                  <c:v>50798</c:v>
                </c:pt>
                <c:pt idx="1672">
                  <c:v>50805</c:v>
                </c:pt>
                <c:pt idx="1673">
                  <c:v>50815</c:v>
                </c:pt>
                <c:pt idx="1674">
                  <c:v>50819</c:v>
                </c:pt>
                <c:pt idx="1675">
                  <c:v>50826</c:v>
                </c:pt>
                <c:pt idx="1676">
                  <c:v>50833</c:v>
                </c:pt>
                <c:pt idx="1677">
                  <c:v>50840</c:v>
                </c:pt>
                <c:pt idx="1678">
                  <c:v>50847</c:v>
                </c:pt>
                <c:pt idx="1679">
                  <c:v>50854</c:v>
                </c:pt>
                <c:pt idx="1680">
                  <c:v>50861</c:v>
                </c:pt>
                <c:pt idx="1681">
                  <c:v>50872</c:v>
                </c:pt>
                <c:pt idx="1682">
                  <c:v>50875</c:v>
                </c:pt>
                <c:pt idx="1683">
                  <c:v>50882</c:v>
                </c:pt>
                <c:pt idx="1684">
                  <c:v>50896</c:v>
                </c:pt>
                <c:pt idx="1685">
                  <c:v>50896</c:v>
                </c:pt>
                <c:pt idx="1686">
                  <c:v>50903</c:v>
                </c:pt>
                <c:pt idx="1687">
                  <c:v>50910</c:v>
                </c:pt>
                <c:pt idx="1688">
                  <c:v>50917</c:v>
                </c:pt>
                <c:pt idx="1689">
                  <c:v>50924</c:v>
                </c:pt>
                <c:pt idx="1690">
                  <c:v>50931</c:v>
                </c:pt>
                <c:pt idx="1691">
                  <c:v>50938</c:v>
                </c:pt>
                <c:pt idx="1692">
                  <c:v>50945</c:v>
                </c:pt>
                <c:pt idx="1693">
                  <c:v>50952</c:v>
                </c:pt>
                <c:pt idx="1694">
                  <c:v>50959</c:v>
                </c:pt>
                <c:pt idx="1695">
                  <c:v>50966</c:v>
                </c:pt>
                <c:pt idx="1696">
                  <c:v>50973</c:v>
                </c:pt>
                <c:pt idx="1697">
                  <c:v>50980</c:v>
                </c:pt>
                <c:pt idx="1698">
                  <c:v>50987</c:v>
                </c:pt>
                <c:pt idx="1699">
                  <c:v>50994</c:v>
                </c:pt>
                <c:pt idx="1700">
                  <c:v>51001</c:v>
                </c:pt>
                <c:pt idx="1701">
                  <c:v>51008</c:v>
                </c:pt>
                <c:pt idx="1702">
                  <c:v>51015</c:v>
                </c:pt>
                <c:pt idx="1703">
                  <c:v>51022</c:v>
                </c:pt>
                <c:pt idx="1704">
                  <c:v>51029</c:v>
                </c:pt>
                <c:pt idx="1705">
                  <c:v>51039</c:v>
                </c:pt>
                <c:pt idx="1706">
                  <c:v>51043</c:v>
                </c:pt>
                <c:pt idx="1707">
                  <c:v>51050</c:v>
                </c:pt>
                <c:pt idx="1708">
                  <c:v>51057</c:v>
                </c:pt>
                <c:pt idx="1709">
                  <c:v>51064</c:v>
                </c:pt>
                <c:pt idx="1710">
                  <c:v>51071</c:v>
                </c:pt>
                <c:pt idx="1711">
                  <c:v>51078</c:v>
                </c:pt>
                <c:pt idx="1712">
                  <c:v>51085</c:v>
                </c:pt>
                <c:pt idx="1713">
                  <c:v>51092</c:v>
                </c:pt>
                <c:pt idx="1714">
                  <c:v>51099</c:v>
                </c:pt>
                <c:pt idx="1715">
                  <c:v>51106</c:v>
                </c:pt>
                <c:pt idx="1716">
                  <c:v>51113</c:v>
                </c:pt>
                <c:pt idx="1717">
                  <c:v>51120</c:v>
                </c:pt>
                <c:pt idx="1718">
                  <c:v>51132</c:v>
                </c:pt>
                <c:pt idx="1719">
                  <c:v>51134</c:v>
                </c:pt>
                <c:pt idx="1720">
                  <c:v>51141</c:v>
                </c:pt>
                <c:pt idx="1721">
                  <c:v>51148</c:v>
                </c:pt>
                <c:pt idx="1722">
                  <c:v>51155</c:v>
                </c:pt>
                <c:pt idx="1723">
                  <c:v>51162</c:v>
                </c:pt>
                <c:pt idx="1724">
                  <c:v>51169</c:v>
                </c:pt>
                <c:pt idx="1725">
                  <c:v>51176</c:v>
                </c:pt>
                <c:pt idx="1726">
                  <c:v>51183</c:v>
                </c:pt>
                <c:pt idx="1727">
                  <c:v>51190</c:v>
                </c:pt>
                <c:pt idx="1728">
                  <c:v>51197</c:v>
                </c:pt>
                <c:pt idx="1729">
                  <c:v>51204</c:v>
                </c:pt>
                <c:pt idx="1730">
                  <c:v>51211</c:v>
                </c:pt>
                <c:pt idx="1731">
                  <c:v>51218</c:v>
                </c:pt>
                <c:pt idx="1732">
                  <c:v>51229</c:v>
                </c:pt>
                <c:pt idx="1733">
                  <c:v>51232</c:v>
                </c:pt>
                <c:pt idx="1734">
                  <c:v>51239</c:v>
                </c:pt>
                <c:pt idx="1735">
                  <c:v>51246</c:v>
                </c:pt>
                <c:pt idx="1736">
                  <c:v>51253</c:v>
                </c:pt>
                <c:pt idx="1737">
                  <c:v>51264</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51466</c:v>
                </c:pt>
                <c:pt idx="1767">
                  <c:v>51470</c:v>
                </c:pt>
                <c:pt idx="1768">
                  <c:v>51477</c:v>
                </c:pt>
                <c:pt idx="1769">
                  <c:v>51484</c:v>
                </c:pt>
                <c:pt idx="1770">
                  <c:v>51491</c:v>
                </c:pt>
                <c:pt idx="1771">
                  <c:v>51505</c:v>
                </c:pt>
                <c:pt idx="1772">
                  <c:v>51508</c:v>
                </c:pt>
                <c:pt idx="1773">
                  <c:v>51516</c:v>
                </c:pt>
                <c:pt idx="1774">
                  <c:v>51522</c:v>
                </c:pt>
                <c:pt idx="1775">
                  <c:v>51529</c:v>
                </c:pt>
                <c:pt idx="1776">
                  <c:v>51536</c:v>
                </c:pt>
                <c:pt idx="1777">
                  <c:v>51544</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51621</c:v>
                </c:pt>
                <c:pt idx="1789">
                  <c:v>51628</c:v>
                </c:pt>
                <c:pt idx="1790">
                  <c:v>51634</c:v>
                </c:pt>
                <c:pt idx="1791">
                  <c:v>51641</c:v>
                </c:pt>
                <c:pt idx="1792">
                  <c:v>51649</c:v>
                </c:pt>
                <c:pt idx="1793">
                  <c:v>51655</c:v>
                </c:pt>
                <c:pt idx="1794">
                  <c:v>51662</c:v>
                </c:pt>
                <c:pt idx="1795">
                  <c:v>51669</c:v>
                </c:pt>
                <c:pt idx="1796">
                  <c:v>51676</c:v>
                </c:pt>
                <c:pt idx="1797">
                  <c:v>51683</c:v>
                </c:pt>
                <c:pt idx="1798">
                  <c:v>51690</c:v>
                </c:pt>
                <c:pt idx="1799">
                  <c:v>51698</c:v>
                </c:pt>
                <c:pt idx="1800">
                  <c:v>51704</c:v>
                </c:pt>
                <c:pt idx="1801">
                  <c:v>51711</c:v>
                </c:pt>
                <c:pt idx="1802">
                  <c:v>51718</c:v>
                </c:pt>
                <c:pt idx="1803">
                  <c:v>51725</c:v>
                </c:pt>
                <c:pt idx="1804">
                  <c:v>51732</c:v>
                </c:pt>
                <c:pt idx="1805">
                  <c:v>51740</c:v>
                </c:pt>
                <c:pt idx="1806">
                  <c:v>51746</c:v>
                </c:pt>
                <c:pt idx="1807">
                  <c:v>51753</c:v>
                </c:pt>
                <c:pt idx="1808">
                  <c:v>51761</c:v>
                </c:pt>
                <c:pt idx="1809">
                  <c:v>51768</c:v>
                </c:pt>
                <c:pt idx="1810">
                  <c:v>51774</c:v>
                </c:pt>
                <c:pt idx="1811">
                  <c:v>51781</c:v>
                </c:pt>
                <c:pt idx="1812">
                  <c:v>51789</c:v>
                </c:pt>
                <c:pt idx="1813">
                  <c:v>51795</c:v>
                </c:pt>
                <c:pt idx="1814">
                  <c:v>51802</c:v>
                </c:pt>
                <c:pt idx="1815">
                  <c:v>51810</c:v>
                </c:pt>
                <c:pt idx="1816">
                  <c:v>51816</c:v>
                </c:pt>
                <c:pt idx="1817">
                  <c:v>51823</c:v>
                </c:pt>
                <c:pt idx="1818">
                  <c:v>51830</c:v>
                </c:pt>
                <c:pt idx="1819">
                  <c:v>51837</c:v>
                </c:pt>
                <c:pt idx="1820">
                  <c:v>51844</c:v>
                </c:pt>
                <c:pt idx="1821">
                  <c:v>51851</c:v>
                </c:pt>
                <c:pt idx="1822">
                  <c:v>51859</c:v>
                </c:pt>
                <c:pt idx="1823">
                  <c:v>51872</c:v>
                </c:pt>
                <c:pt idx="1824">
                  <c:v>51873</c:v>
                </c:pt>
                <c:pt idx="1825">
                  <c:v>51880</c:v>
                </c:pt>
                <c:pt idx="1826">
                  <c:v>51887</c:v>
                </c:pt>
                <c:pt idx="1827">
                  <c:v>51894</c:v>
                </c:pt>
                <c:pt idx="1828">
                  <c:v>51901</c:v>
                </c:pt>
                <c:pt idx="1829">
                  <c:v>51909</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51987</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52236</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52600</c:v>
                </c:pt>
                <c:pt idx="1928">
                  <c:v>52603</c:v>
                </c:pt>
                <c:pt idx="1929">
                  <c:v>52610</c:v>
                </c:pt>
                <c:pt idx="1930">
                  <c:v>52617</c:v>
                </c:pt>
                <c:pt idx="1931">
                  <c:v>52624</c:v>
                </c:pt>
                <c:pt idx="1932">
                  <c:v>52631</c:v>
                </c:pt>
                <c:pt idx="1933">
                  <c:v>52639</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52723</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52863</c:v>
                </c:pt>
                <c:pt idx="1966">
                  <c:v>52869</c:v>
                </c:pt>
                <c:pt idx="1967">
                  <c:v>52876</c:v>
                </c:pt>
                <c:pt idx="1968">
                  <c:v>52883</c:v>
                </c:pt>
                <c:pt idx="1969">
                  <c:v>52890</c:v>
                </c:pt>
                <c:pt idx="1970">
                  <c:v>52897</c:v>
                </c:pt>
                <c:pt idx="1971">
                  <c:v>52905</c:v>
                </c:pt>
                <c:pt idx="1972">
                  <c:v>52911</c:v>
                </c:pt>
                <c:pt idx="1973">
                  <c:v>52918</c:v>
                </c:pt>
                <c:pt idx="1974">
                  <c:v>52925</c:v>
                </c:pt>
                <c:pt idx="1975">
                  <c:v>52932</c:v>
                </c:pt>
                <c:pt idx="1976">
                  <c:v>52939</c:v>
                </c:pt>
                <c:pt idx="1977">
                  <c:v>52946</c:v>
                </c:pt>
                <c:pt idx="1978">
                  <c:v>52953</c:v>
                </c:pt>
                <c:pt idx="1979">
                  <c:v>52961</c:v>
                </c:pt>
                <c:pt idx="1980">
                  <c:v>52968</c:v>
                </c:pt>
                <c:pt idx="1981">
                  <c:v>52975</c:v>
                </c:pt>
                <c:pt idx="1982">
                  <c:v>52982</c:v>
                </c:pt>
                <c:pt idx="1983">
                  <c:v>52989</c:v>
                </c:pt>
                <c:pt idx="1984">
                  <c:v>52996</c:v>
                </c:pt>
                <c:pt idx="1985">
                  <c:v>53003</c:v>
                </c:pt>
                <c:pt idx="1986">
                  <c:v>53010</c:v>
                </c:pt>
                <c:pt idx="1987">
                  <c:v>53017</c:v>
                </c:pt>
                <c:pt idx="1988">
                  <c:v>53024</c:v>
                </c:pt>
                <c:pt idx="1989">
                  <c:v>53031</c:v>
                </c:pt>
                <c:pt idx="1990">
                  <c:v>53038</c:v>
                </c:pt>
                <c:pt idx="1991">
                  <c:v>53045</c:v>
                </c:pt>
                <c:pt idx="1992">
                  <c:v>53052</c:v>
                </c:pt>
                <c:pt idx="1993">
                  <c:v>53063</c:v>
                </c:pt>
                <c:pt idx="1994">
                  <c:v>53066</c:v>
                </c:pt>
                <c:pt idx="1995">
                  <c:v>53073</c:v>
                </c:pt>
                <c:pt idx="1996">
                  <c:v>53080</c:v>
                </c:pt>
                <c:pt idx="1997">
                  <c:v>53090</c:v>
                </c:pt>
                <c:pt idx="1998">
                  <c:v>53094</c:v>
                </c:pt>
                <c:pt idx="1999">
                  <c:v>53101</c:v>
                </c:pt>
                <c:pt idx="2000">
                  <c:v>53108</c:v>
                </c:pt>
                <c:pt idx="2001">
                  <c:v>53115</c:v>
                </c:pt>
                <c:pt idx="2002">
                  <c:v>53122</c:v>
                </c:pt>
                <c:pt idx="2003">
                  <c:v>53129</c:v>
                </c:pt>
                <c:pt idx="2004">
                  <c:v>53136</c:v>
                </c:pt>
                <c:pt idx="2005">
                  <c:v>53143</c:v>
                </c:pt>
                <c:pt idx="2006">
                  <c:v>53150</c:v>
                </c:pt>
                <c:pt idx="2007">
                  <c:v>53157</c:v>
                </c:pt>
                <c:pt idx="2008">
                  <c:v>53164</c:v>
                </c:pt>
                <c:pt idx="2009">
                  <c:v>53171</c:v>
                </c:pt>
                <c:pt idx="2010">
                  <c:v>53178</c:v>
                </c:pt>
                <c:pt idx="2011">
                  <c:v>53185</c:v>
                </c:pt>
                <c:pt idx="2012">
                  <c:v>53192</c:v>
                </c:pt>
                <c:pt idx="2013">
                  <c:v>53199</c:v>
                </c:pt>
                <c:pt idx="2014">
                  <c:v>53206</c:v>
                </c:pt>
                <c:pt idx="2015">
                  <c:v>53213</c:v>
                </c:pt>
                <c:pt idx="2016">
                  <c:v>53220</c:v>
                </c:pt>
                <c:pt idx="2017">
                  <c:v>53230</c:v>
                </c:pt>
                <c:pt idx="2018">
                  <c:v>53234</c:v>
                </c:pt>
                <c:pt idx="2019">
                  <c:v>53241</c:v>
                </c:pt>
                <c:pt idx="2020">
                  <c:v>53248</c:v>
                </c:pt>
                <c:pt idx="2021">
                  <c:v>53255</c:v>
                </c:pt>
                <c:pt idx="2022">
                  <c:v>53262</c:v>
                </c:pt>
                <c:pt idx="2023">
                  <c:v>53272</c:v>
                </c:pt>
                <c:pt idx="2024">
                  <c:v>53276</c:v>
                </c:pt>
                <c:pt idx="2025">
                  <c:v>53283</c:v>
                </c:pt>
                <c:pt idx="2026">
                  <c:v>53290</c:v>
                </c:pt>
                <c:pt idx="2027">
                  <c:v>53297</c:v>
                </c:pt>
                <c:pt idx="2028">
                  <c:v>53304</c:v>
                </c:pt>
                <c:pt idx="2029">
                  <c:v>53311</c:v>
                </c:pt>
                <c:pt idx="2030">
                  <c:v>53318</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53455</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53657</c:v>
                </c:pt>
                <c:pt idx="2079">
                  <c:v>53661</c:v>
                </c:pt>
                <c:pt idx="2080">
                  <c:v>53668</c:v>
                </c:pt>
                <c:pt idx="2081">
                  <c:v>53675</c:v>
                </c:pt>
                <c:pt idx="2082">
                  <c:v>53682</c:v>
                </c:pt>
                <c:pt idx="2083">
                  <c:v>53696</c:v>
                </c:pt>
                <c:pt idx="2084">
                  <c:v>53699</c:v>
                </c:pt>
                <c:pt idx="2085">
                  <c:v>53707</c:v>
                </c:pt>
                <c:pt idx="2086">
                  <c:v>53713</c:v>
                </c:pt>
                <c:pt idx="2087">
                  <c:v>53720</c:v>
                </c:pt>
                <c:pt idx="2088">
                  <c:v>53727</c:v>
                </c:pt>
                <c:pt idx="2089">
                  <c:v>53735</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53812</c:v>
                </c:pt>
                <c:pt idx="2101">
                  <c:v>53819</c:v>
                </c:pt>
                <c:pt idx="2102">
                  <c:v>53825</c:v>
                </c:pt>
                <c:pt idx="2103">
                  <c:v>53832</c:v>
                </c:pt>
                <c:pt idx="2104">
                  <c:v>53840</c:v>
                </c:pt>
                <c:pt idx="2105">
                  <c:v>53846</c:v>
                </c:pt>
                <c:pt idx="2106">
                  <c:v>53853</c:v>
                </c:pt>
                <c:pt idx="2107">
                  <c:v>53860</c:v>
                </c:pt>
                <c:pt idx="2108">
                  <c:v>53867</c:v>
                </c:pt>
                <c:pt idx="2109">
                  <c:v>53874</c:v>
                </c:pt>
                <c:pt idx="2110">
                  <c:v>53881</c:v>
                </c:pt>
                <c:pt idx="2111">
                  <c:v>53889</c:v>
                </c:pt>
                <c:pt idx="2112">
                  <c:v>53895</c:v>
                </c:pt>
                <c:pt idx="2113">
                  <c:v>53902</c:v>
                </c:pt>
                <c:pt idx="2114">
                  <c:v>53909</c:v>
                </c:pt>
                <c:pt idx="2115">
                  <c:v>53916</c:v>
                </c:pt>
                <c:pt idx="2116">
                  <c:v>53923</c:v>
                </c:pt>
                <c:pt idx="2117">
                  <c:v>53931</c:v>
                </c:pt>
                <c:pt idx="2118">
                  <c:v>53937</c:v>
                </c:pt>
                <c:pt idx="2119">
                  <c:v>53944</c:v>
                </c:pt>
                <c:pt idx="2120">
                  <c:v>53952</c:v>
                </c:pt>
                <c:pt idx="2121">
                  <c:v>53959</c:v>
                </c:pt>
                <c:pt idx="2122">
                  <c:v>53965</c:v>
                </c:pt>
                <c:pt idx="2123">
                  <c:v>53972</c:v>
                </c:pt>
                <c:pt idx="2124">
                  <c:v>53980</c:v>
                </c:pt>
                <c:pt idx="2125">
                  <c:v>53986</c:v>
                </c:pt>
                <c:pt idx="2126">
                  <c:v>53993</c:v>
                </c:pt>
                <c:pt idx="2127">
                  <c:v>54001</c:v>
                </c:pt>
                <c:pt idx="2128">
                  <c:v>54007</c:v>
                </c:pt>
                <c:pt idx="2129">
                  <c:v>54014</c:v>
                </c:pt>
                <c:pt idx="2130">
                  <c:v>54021</c:v>
                </c:pt>
                <c:pt idx="2131">
                  <c:v>54028</c:v>
                </c:pt>
                <c:pt idx="2132">
                  <c:v>54035</c:v>
                </c:pt>
                <c:pt idx="2133">
                  <c:v>54042</c:v>
                </c:pt>
                <c:pt idx="2134">
                  <c:v>54050</c:v>
                </c:pt>
                <c:pt idx="2135">
                  <c:v>54063</c:v>
                </c:pt>
                <c:pt idx="2136">
                  <c:v>54064</c:v>
                </c:pt>
                <c:pt idx="2137">
                  <c:v>54071</c:v>
                </c:pt>
                <c:pt idx="2138">
                  <c:v>54078</c:v>
                </c:pt>
                <c:pt idx="2139">
                  <c:v>54085</c:v>
                </c:pt>
                <c:pt idx="2140">
                  <c:v>54092</c:v>
                </c:pt>
                <c:pt idx="2141">
                  <c:v>54100</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54427</c:v>
                </c:pt>
                <c:pt idx="2188">
                  <c:v>54430</c:v>
                </c:pt>
                <c:pt idx="2189">
                  <c:v>54437</c:v>
                </c:pt>
                <c:pt idx="2190">
                  <c:v>54444</c:v>
                </c:pt>
                <c:pt idx="2191">
                  <c:v>54451</c:v>
                </c:pt>
                <c:pt idx="2192">
                  <c:v>54458</c:v>
                </c:pt>
                <c:pt idx="2193">
                  <c:v>54466</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54543</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54781</c:v>
                </c:pt>
                <c:pt idx="2239">
                  <c:v>54792</c:v>
                </c:pt>
                <c:pt idx="2240">
                  <c:v>54795</c:v>
                </c:pt>
                <c:pt idx="2241">
                  <c:v>54802</c:v>
                </c:pt>
                <c:pt idx="2242">
                  <c:v>54809</c:v>
                </c:pt>
                <c:pt idx="2243">
                  <c:v>54816</c:v>
                </c:pt>
                <c:pt idx="2244">
                  <c:v>54823</c:v>
                </c:pt>
                <c:pt idx="2245">
                  <c:v>54833</c:v>
                </c:pt>
                <c:pt idx="2246">
                  <c:v>54837</c:v>
                </c:pt>
                <c:pt idx="2247">
                  <c:v>54844</c:v>
                </c:pt>
                <c:pt idx="2248">
                  <c:v>54851</c:v>
                </c:pt>
                <c:pt idx="2249">
                  <c:v>54858</c:v>
                </c:pt>
                <c:pt idx="2250">
                  <c:v>54865</c:v>
                </c:pt>
                <c:pt idx="2251">
                  <c:v>54872</c:v>
                </c:pt>
                <c:pt idx="2252">
                  <c:v>54879</c:v>
                </c:pt>
                <c:pt idx="2253">
                  <c:v>54890</c:v>
                </c:pt>
                <c:pt idx="2254">
                  <c:v>54893</c:v>
                </c:pt>
                <c:pt idx="2255">
                  <c:v>54900</c:v>
                </c:pt>
                <c:pt idx="2256">
                  <c:v>54914</c:v>
                </c:pt>
                <c:pt idx="2257">
                  <c:v>54914</c:v>
                </c:pt>
                <c:pt idx="2258">
                  <c:v>54921</c:v>
                </c:pt>
                <c:pt idx="2259">
                  <c:v>54928</c:v>
                </c:pt>
                <c:pt idx="2260">
                  <c:v>54935</c:v>
                </c:pt>
                <c:pt idx="2261">
                  <c:v>54942</c:v>
                </c:pt>
                <c:pt idx="2262">
                  <c:v>54949</c:v>
                </c:pt>
                <c:pt idx="2263">
                  <c:v>54956</c:v>
                </c:pt>
                <c:pt idx="2264">
                  <c:v>54963</c:v>
                </c:pt>
                <c:pt idx="2265">
                  <c:v>54970</c:v>
                </c:pt>
                <c:pt idx="2266">
                  <c:v>54977</c:v>
                </c:pt>
                <c:pt idx="2267">
                  <c:v>54984</c:v>
                </c:pt>
                <c:pt idx="2268">
                  <c:v>54991</c:v>
                </c:pt>
                <c:pt idx="2269">
                  <c:v>54998</c:v>
                </c:pt>
                <c:pt idx="2270">
                  <c:v>55005</c:v>
                </c:pt>
                <c:pt idx="2271">
                  <c:v>55012</c:v>
                </c:pt>
                <c:pt idx="2272">
                  <c:v>55019</c:v>
                </c:pt>
                <c:pt idx="2273">
                  <c:v>55026</c:v>
                </c:pt>
                <c:pt idx="2274">
                  <c:v>55033</c:v>
                </c:pt>
                <c:pt idx="2275">
                  <c:v>55040</c:v>
                </c:pt>
                <c:pt idx="2276">
                  <c:v>55047</c:v>
                </c:pt>
                <c:pt idx="2277">
                  <c:v>55057</c:v>
                </c:pt>
                <c:pt idx="2278">
                  <c:v>55061</c:v>
                </c:pt>
                <c:pt idx="2279">
                  <c:v>55068</c:v>
                </c:pt>
                <c:pt idx="2280">
                  <c:v>55075</c:v>
                </c:pt>
                <c:pt idx="2281">
                  <c:v>55082</c:v>
                </c:pt>
                <c:pt idx="2282">
                  <c:v>55089</c:v>
                </c:pt>
                <c:pt idx="2283">
                  <c:v>55096</c:v>
                </c:pt>
                <c:pt idx="2284">
                  <c:v>55103</c:v>
                </c:pt>
                <c:pt idx="2285">
                  <c:v>55110</c:v>
                </c:pt>
                <c:pt idx="2286">
                  <c:v>55117</c:v>
                </c:pt>
                <c:pt idx="2287">
                  <c:v>55124</c:v>
                </c:pt>
                <c:pt idx="2288">
                  <c:v>55131</c:v>
                </c:pt>
                <c:pt idx="2289">
                  <c:v>55138</c:v>
                </c:pt>
                <c:pt idx="2290">
                  <c:v>55150</c:v>
                </c:pt>
                <c:pt idx="2291">
                  <c:v>55152</c:v>
                </c:pt>
                <c:pt idx="2292">
                  <c:v>55159</c:v>
                </c:pt>
                <c:pt idx="2293">
                  <c:v>55166</c:v>
                </c:pt>
                <c:pt idx="2294">
                  <c:v>55173</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55250</c:v>
                </c:pt>
                <c:pt idx="2306">
                  <c:v>55257</c:v>
                </c:pt>
                <c:pt idx="2307">
                  <c:v>55264</c:v>
                </c:pt>
                <c:pt idx="2308">
                  <c:v>55271</c:v>
                </c:pt>
                <c:pt idx="2309">
                  <c:v>55281</c:v>
                </c:pt>
                <c:pt idx="2310">
                  <c:v>55285</c:v>
                </c:pt>
                <c:pt idx="2311">
                  <c:v>55292</c:v>
                </c:pt>
                <c:pt idx="2312">
                  <c:v>55299</c:v>
                </c:pt>
                <c:pt idx="2313">
                  <c:v>55306</c:v>
                </c:pt>
                <c:pt idx="2314">
                  <c:v>55313</c:v>
                </c:pt>
                <c:pt idx="2315">
                  <c:v>55320</c:v>
                </c:pt>
                <c:pt idx="2316">
                  <c:v>55327</c:v>
                </c:pt>
                <c:pt idx="2317">
                  <c:v>55334</c:v>
                </c:pt>
                <c:pt idx="2318">
                  <c:v>55341</c:v>
                </c:pt>
                <c:pt idx="2319">
                  <c:v>55348</c:v>
                </c:pt>
                <c:pt idx="2320">
                  <c:v>55355</c:v>
                </c:pt>
                <c:pt idx="2321">
                  <c:v>55362</c:v>
                </c:pt>
                <c:pt idx="2322">
                  <c:v>55369</c:v>
                </c:pt>
                <c:pt idx="2323">
                  <c:v>55376</c:v>
                </c:pt>
                <c:pt idx="2324">
                  <c:v>55383</c:v>
                </c:pt>
                <c:pt idx="2325">
                  <c:v>55390</c:v>
                </c:pt>
                <c:pt idx="2326">
                  <c:v>55397</c:v>
                </c:pt>
                <c:pt idx="2327">
                  <c:v>55404</c:v>
                </c:pt>
                <c:pt idx="2328">
                  <c:v>55411</c:v>
                </c:pt>
                <c:pt idx="2329">
                  <c:v>55418</c:v>
                </c:pt>
                <c:pt idx="2330">
                  <c:v>55425</c:v>
                </c:pt>
                <c:pt idx="2331">
                  <c:v>55432</c:v>
                </c:pt>
                <c:pt idx="2332">
                  <c:v>55439</c:v>
                </c:pt>
                <c:pt idx="2333">
                  <c:v>55446</c:v>
                </c:pt>
                <c:pt idx="2334">
                  <c:v>55453</c:v>
                </c:pt>
                <c:pt idx="2335">
                  <c:v>55463</c:v>
                </c:pt>
                <c:pt idx="2336">
                  <c:v>55467</c:v>
                </c:pt>
                <c:pt idx="2337">
                  <c:v>55474</c:v>
                </c:pt>
                <c:pt idx="2338">
                  <c:v>55481</c:v>
                </c:pt>
                <c:pt idx="2339">
                  <c:v>55488</c:v>
                </c:pt>
                <c:pt idx="2340">
                  <c:v>55495</c:v>
                </c:pt>
                <c:pt idx="2341">
                  <c:v>55502</c:v>
                </c:pt>
                <c:pt idx="2342">
                  <c:v>55509</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55646</c:v>
                </c:pt>
                <c:pt idx="2362">
                  <c:v>55649</c:v>
                </c:pt>
                <c:pt idx="2363">
                  <c:v>55656</c:v>
                </c:pt>
                <c:pt idx="2364">
                  <c:v>55663</c:v>
                </c:pt>
                <c:pt idx="2365">
                  <c:v>55670</c:v>
                </c:pt>
                <c:pt idx="2366">
                  <c:v>55677</c:v>
                </c:pt>
                <c:pt idx="2367">
                  <c:v>55684</c:v>
                </c:pt>
                <c:pt idx="2368">
                  <c:v>55691</c:v>
                </c:pt>
                <c:pt idx="2369">
                  <c:v>55698</c:v>
                </c:pt>
                <c:pt idx="2370">
                  <c:v>55705</c:v>
                </c:pt>
                <c:pt idx="2371">
                  <c:v>55712</c:v>
                </c:pt>
                <c:pt idx="2372">
                  <c:v>55719</c:v>
                </c:pt>
                <c:pt idx="2373">
                  <c:v>55726</c:v>
                </c:pt>
                <c:pt idx="2374">
                  <c:v>55733</c:v>
                </c:pt>
                <c:pt idx="2375">
                  <c:v>55740</c:v>
                </c:pt>
                <c:pt idx="2376">
                  <c:v>55747</c:v>
                </c:pt>
                <c:pt idx="2377">
                  <c:v>55754</c:v>
                </c:pt>
                <c:pt idx="2378">
                  <c:v>55761</c:v>
                </c:pt>
                <c:pt idx="2379">
                  <c:v>55768</c:v>
                </c:pt>
                <c:pt idx="2380">
                  <c:v>55775</c:v>
                </c:pt>
                <c:pt idx="2381">
                  <c:v>55782</c:v>
                </c:pt>
                <c:pt idx="2382">
                  <c:v>55789</c:v>
                </c:pt>
                <c:pt idx="2383">
                  <c:v>55796</c:v>
                </c:pt>
                <c:pt idx="2384">
                  <c:v>55803</c:v>
                </c:pt>
                <c:pt idx="2385">
                  <c:v>55810</c:v>
                </c:pt>
                <c:pt idx="2386">
                  <c:v>55817</c:v>
                </c:pt>
                <c:pt idx="2387">
                  <c:v>55824</c:v>
                </c:pt>
                <c:pt idx="2388">
                  <c:v>55831</c:v>
                </c:pt>
                <c:pt idx="2389">
                  <c:v>55838</c:v>
                </c:pt>
                <c:pt idx="2390">
                  <c:v>55845</c:v>
                </c:pt>
                <c:pt idx="2391">
                  <c:v>55852</c:v>
                </c:pt>
                <c:pt idx="2392">
                  <c:v>55859</c:v>
                </c:pt>
                <c:pt idx="2393">
                  <c:v>55866</c:v>
                </c:pt>
                <c:pt idx="2394">
                  <c:v>55873</c:v>
                </c:pt>
                <c:pt idx="2395">
                  <c:v>55890</c:v>
                </c:pt>
                <c:pt idx="2396">
                  <c:v>55891</c:v>
                </c:pt>
                <c:pt idx="2397">
                  <c:v>55898</c:v>
                </c:pt>
                <c:pt idx="2398">
                  <c:v>55905</c:v>
                </c:pt>
                <c:pt idx="2399">
                  <c:v>55912</c:v>
                </c:pt>
                <c:pt idx="2400">
                  <c:v>55919</c:v>
                </c:pt>
                <c:pt idx="2401">
                  <c:v>55927</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56005</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56254</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56618</c:v>
                </c:pt>
                <c:pt idx="2500">
                  <c:v>56621</c:v>
                </c:pt>
                <c:pt idx="2501">
                  <c:v>56628</c:v>
                </c:pt>
                <c:pt idx="2502">
                  <c:v>56635</c:v>
                </c:pt>
                <c:pt idx="2503">
                  <c:v>56642</c:v>
                </c:pt>
                <c:pt idx="2504">
                  <c:v>56649</c:v>
                </c:pt>
                <c:pt idx="2505">
                  <c:v>56657</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56734</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56881</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56972</c:v>
                </c:pt>
                <c:pt idx="2551">
                  <c:v>56983</c:v>
                </c:pt>
                <c:pt idx="2552">
                  <c:v>56986</c:v>
                </c:pt>
                <c:pt idx="2553">
                  <c:v>56993</c:v>
                </c:pt>
                <c:pt idx="2554">
                  <c:v>57000</c:v>
                </c:pt>
                <c:pt idx="2555">
                  <c:v>57007</c:v>
                </c:pt>
                <c:pt idx="2556">
                  <c:v>57014</c:v>
                </c:pt>
                <c:pt idx="2557">
                  <c:v>57024</c:v>
                </c:pt>
                <c:pt idx="2558">
                  <c:v>57028</c:v>
                </c:pt>
                <c:pt idx="2559">
                  <c:v>57035</c:v>
                </c:pt>
                <c:pt idx="2560">
                  <c:v>57042</c:v>
                </c:pt>
                <c:pt idx="2561">
                  <c:v>57049</c:v>
                </c:pt>
                <c:pt idx="2562">
                  <c:v>57056</c:v>
                </c:pt>
                <c:pt idx="2563">
                  <c:v>57063</c:v>
                </c:pt>
                <c:pt idx="2564">
                  <c:v>57074</c:v>
                </c:pt>
                <c:pt idx="2565">
                  <c:v>57077</c:v>
                </c:pt>
                <c:pt idx="2566">
                  <c:v>57084</c:v>
                </c:pt>
                <c:pt idx="2567">
                  <c:v>57091</c:v>
                </c:pt>
                <c:pt idx="2568">
                  <c:v>57098</c:v>
                </c:pt>
                <c:pt idx="2569">
                  <c:v>57108</c:v>
                </c:pt>
                <c:pt idx="2570">
                  <c:v>57112</c:v>
                </c:pt>
                <c:pt idx="2571">
                  <c:v>57119</c:v>
                </c:pt>
                <c:pt idx="2572">
                  <c:v>57126</c:v>
                </c:pt>
                <c:pt idx="2573">
                  <c:v>57133</c:v>
                </c:pt>
                <c:pt idx="2574">
                  <c:v>57140</c:v>
                </c:pt>
                <c:pt idx="2575">
                  <c:v>57147</c:v>
                </c:pt>
                <c:pt idx="2576">
                  <c:v>57154</c:v>
                </c:pt>
                <c:pt idx="2577">
                  <c:v>57161</c:v>
                </c:pt>
                <c:pt idx="2578">
                  <c:v>57168</c:v>
                </c:pt>
                <c:pt idx="2579">
                  <c:v>57175</c:v>
                </c:pt>
                <c:pt idx="2580">
                  <c:v>57182</c:v>
                </c:pt>
                <c:pt idx="2581">
                  <c:v>57189</c:v>
                </c:pt>
                <c:pt idx="2582">
                  <c:v>57196</c:v>
                </c:pt>
                <c:pt idx="2583">
                  <c:v>57203</c:v>
                </c:pt>
                <c:pt idx="2584">
                  <c:v>57210</c:v>
                </c:pt>
                <c:pt idx="2585">
                  <c:v>57217</c:v>
                </c:pt>
                <c:pt idx="2586">
                  <c:v>57224</c:v>
                </c:pt>
                <c:pt idx="2587">
                  <c:v>57231</c:v>
                </c:pt>
                <c:pt idx="2588">
                  <c:v>57238</c:v>
                </c:pt>
                <c:pt idx="2589">
                  <c:v>57248</c:v>
                </c:pt>
                <c:pt idx="2590">
                  <c:v>57252</c:v>
                </c:pt>
                <c:pt idx="2591">
                  <c:v>57259</c:v>
                </c:pt>
                <c:pt idx="2592">
                  <c:v>57266</c:v>
                </c:pt>
                <c:pt idx="2593">
                  <c:v>57273</c:v>
                </c:pt>
                <c:pt idx="2594">
                  <c:v>57280</c:v>
                </c:pt>
                <c:pt idx="2595">
                  <c:v>57290</c:v>
                </c:pt>
                <c:pt idx="2596">
                  <c:v>57294</c:v>
                </c:pt>
                <c:pt idx="2597">
                  <c:v>57301</c:v>
                </c:pt>
                <c:pt idx="2598">
                  <c:v>57308</c:v>
                </c:pt>
                <c:pt idx="2599">
                  <c:v>57315</c:v>
                </c:pt>
                <c:pt idx="2600">
                  <c:v>57322</c:v>
                </c:pt>
                <c:pt idx="2601">
                  <c:v>57329</c:v>
                </c:pt>
                <c:pt idx="2602">
                  <c:v>57336</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57473</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57675</c:v>
                </c:pt>
                <c:pt idx="2651">
                  <c:v>57679</c:v>
                </c:pt>
                <c:pt idx="2652">
                  <c:v>57686</c:v>
                </c:pt>
                <c:pt idx="2653">
                  <c:v>57693</c:v>
                </c:pt>
                <c:pt idx="2654">
                  <c:v>57700</c:v>
                </c:pt>
                <c:pt idx="2655">
                  <c:v>57714</c:v>
                </c:pt>
                <c:pt idx="2656">
                  <c:v>57717</c:v>
                </c:pt>
                <c:pt idx="2657">
                  <c:v>57725</c:v>
                </c:pt>
                <c:pt idx="2658">
                  <c:v>57731</c:v>
                </c:pt>
                <c:pt idx="2659">
                  <c:v>57738</c:v>
                </c:pt>
                <c:pt idx="2660">
                  <c:v>57745</c:v>
                </c:pt>
                <c:pt idx="2661">
                  <c:v>57753</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57830</c:v>
                </c:pt>
                <c:pt idx="2673">
                  <c:v>57837</c:v>
                </c:pt>
                <c:pt idx="2674">
                  <c:v>57843</c:v>
                </c:pt>
                <c:pt idx="2675">
                  <c:v>57850</c:v>
                </c:pt>
                <c:pt idx="2676">
                  <c:v>57858</c:v>
                </c:pt>
                <c:pt idx="2677">
                  <c:v>57864</c:v>
                </c:pt>
                <c:pt idx="2678">
                  <c:v>57871</c:v>
                </c:pt>
                <c:pt idx="2679">
                  <c:v>57878</c:v>
                </c:pt>
                <c:pt idx="2680">
                  <c:v>57885</c:v>
                </c:pt>
                <c:pt idx="2681">
                  <c:v>57892</c:v>
                </c:pt>
                <c:pt idx="2682">
                  <c:v>57899</c:v>
                </c:pt>
                <c:pt idx="2683">
                  <c:v>57907</c:v>
                </c:pt>
                <c:pt idx="2684">
                  <c:v>57913</c:v>
                </c:pt>
                <c:pt idx="2685">
                  <c:v>57920</c:v>
                </c:pt>
                <c:pt idx="2686">
                  <c:v>57927</c:v>
                </c:pt>
                <c:pt idx="2687">
                  <c:v>57934</c:v>
                </c:pt>
                <c:pt idx="2688">
                  <c:v>57941</c:v>
                </c:pt>
                <c:pt idx="2689">
                  <c:v>57949</c:v>
                </c:pt>
                <c:pt idx="2690">
                  <c:v>57955</c:v>
                </c:pt>
                <c:pt idx="2691">
                  <c:v>57962</c:v>
                </c:pt>
                <c:pt idx="2692">
                  <c:v>57970</c:v>
                </c:pt>
                <c:pt idx="2693">
                  <c:v>57977</c:v>
                </c:pt>
                <c:pt idx="2694">
                  <c:v>57983</c:v>
                </c:pt>
                <c:pt idx="2695">
                  <c:v>57990</c:v>
                </c:pt>
                <c:pt idx="2696">
                  <c:v>57998</c:v>
                </c:pt>
                <c:pt idx="2697">
                  <c:v>58004</c:v>
                </c:pt>
                <c:pt idx="2698">
                  <c:v>58011</c:v>
                </c:pt>
                <c:pt idx="2699">
                  <c:v>58019</c:v>
                </c:pt>
                <c:pt idx="2700">
                  <c:v>58025</c:v>
                </c:pt>
                <c:pt idx="2701">
                  <c:v>58032</c:v>
                </c:pt>
                <c:pt idx="2702">
                  <c:v>58039</c:v>
                </c:pt>
                <c:pt idx="2703">
                  <c:v>58046</c:v>
                </c:pt>
                <c:pt idx="2704">
                  <c:v>58053</c:v>
                </c:pt>
                <c:pt idx="2705">
                  <c:v>58060</c:v>
                </c:pt>
                <c:pt idx="2706">
                  <c:v>58068</c:v>
                </c:pt>
                <c:pt idx="2707">
                  <c:v>58081</c:v>
                </c:pt>
                <c:pt idx="2708">
                  <c:v>58082</c:v>
                </c:pt>
                <c:pt idx="2709">
                  <c:v>58089</c:v>
                </c:pt>
                <c:pt idx="2710">
                  <c:v>58096</c:v>
                </c:pt>
                <c:pt idx="2711">
                  <c:v>58103</c:v>
                </c:pt>
                <c:pt idx="2712">
                  <c:v>58110</c:v>
                </c:pt>
                <c:pt idx="2713">
                  <c:v>58118</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58196</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58445</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58561</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58799</c:v>
                </c:pt>
                <c:pt idx="2811">
                  <c:v>58810</c:v>
                </c:pt>
                <c:pt idx="2812">
                  <c:v>58813</c:v>
                </c:pt>
                <c:pt idx="2813">
                  <c:v>58820</c:v>
                </c:pt>
                <c:pt idx="2814">
                  <c:v>58827</c:v>
                </c:pt>
                <c:pt idx="2815">
                  <c:v>58834</c:v>
                </c:pt>
                <c:pt idx="2816">
                  <c:v>58841</c:v>
                </c:pt>
                <c:pt idx="2817">
                  <c:v>58851</c:v>
                </c:pt>
                <c:pt idx="2818">
                  <c:v>58855</c:v>
                </c:pt>
                <c:pt idx="2819">
                  <c:v>58862</c:v>
                </c:pt>
                <c:pt idx="2820">
                  <c:v>58869</c:v>
                </c:pt>
                <c:pt idx="2821">
                  <c:v>58876</c:v>
                </c:pt>
                <c:pt idx="2822">
                  <c:v>58883</c:v>
                </c:pt>
                <c:pt idx="2823">
                  <c:v>58890</c:v>
                </c:pt>
                <c:pt idx="2824">
                  <c:v>58897</c:v>
                </c:pt>
                <c:pt idx="2825">
                  <c:v>58908</c:v>
                </c:pt>
                <c:pt idx="2826">
                  <c:v>58911</c:v>
                </c:pt>
                <c:pt idx="2827">
                  <c:v>58918</c:v>
                </c:pt>
                <c:pt idx="2828">
                  <c:v>58932</c:v>
                </c:pt>
                <c:pt idx="2829">
                  <c:v>58932</c:v>
                </c:pt>
                <c:pt idx="2830">
                  <c:v>58939</c:v>
                </c:pt>
                <c:pt idx="2831">
                  <c:v>58946</c:v>
                </c:pt>
                <c:pt idx="2832">
                  <c:v>58953</c:v>
                </c:pt>
                <c:pt idx="2833">
                  <c:v>58960</c:v>
                </c:pt>
                <c:pt idx="2834">
                  <c:v>58967</c:v>
                </c:pt>
                <c:pt idx="2835">
                  <c:v>58974</c:v>
                </c:pt>
                <c:pt idx="2836">
                  <c:v>58981</c:v>
                </c:pt>
                <c:pt idx="2837">
                  <c:v>58988</c:v>
                </c:pt>
                <c:pt idx="2838">
                  <c:v>58995</c:v>
                </c:pt>
                <c:pt idx="2839">
                  <c:v>59002</c:v>
                </c:pt>
                <c:pt idx="2840">
                  <c:v>59009</c:v>
                </c:pt>
                <c:pt idx="2841">
                  <c:v>59016</c:v>
                </c:pt>
                <c:pt idx="2842">
                  <c:v>59023</c:v>
                </c:pt>
                <c:pt idx="2843">
                  <c:v>59030</c:v>
                </c:pt>
                <c:pt idx="2844">
                  <c:v>59037</c:v>
                </c:pt>
                <c:pt idx="2845">
                  <c:v>59044</c:v>
                </c:pt>
                <c:pt idx="2846">
                  <c:v>59051</c:v>
                </c:pt>
                <c:pt idx="2847">
                  <c:v>59058</c:v>
                </c:pt>
                <c:pt idx="2848">
                  <c:v>59065</c:v>
                </c:pt>
                <c:pt idx="2849">
                  <c:v>59072</c:v>
                </c:pt>
                <c:pt idx="2850">
                  <c:v>59079</c:v>
                </c:pt>
                <c:pt idx="2851">
                  <c:v>59086</c:v>
                </c:pt>
                <c:pt idx="2852">
                  <c:v>59093</c:v>
                </c:pt>
                <c:pt idx="2853">
                  <c:v>59100</c:v>
                </c:pt>
                <c:pt idx="2854">
                  <c:v>59107</c:v>
                </c:pt>
                <c:pt idx="2855">
                  <c:v>59114</c:v>
                </c:pt>
                <c:pt idx="2856">
                  <c:v>59121</c:v>
                </c:pt>
                <c:pt idx="2857">
                  <c:v>59128</c:v>
                </c:pt>
                <c:pt idx="2858">
                  <c:v>59135</c:v>
                </c:pt>
                <c:pt idx="2859">
                  <c:v>59142</c:v>
                </c:pt>
                <c:pt idx="2860">
                  <c:v>59149</c:v>
                </c:pt>
                <c:pt idx="2861">
                  <c:v>59156</c:v>
                </c:pt>
                <c:pt idx="2862">
                  <c:v>59168</c:v>
                </c:pt>
                <c:pt idx="2863">
                  <c:v>59170</c:v>
                </c:pt>
                <c:pt idx="2864">
                  <c:v>59177</c:v>
                </c:pt>
                <c:pt idx="2865">
                  <c:v>59184</c:v>
                </c:pt>
                <c:pt idx="2866">
                  <c:v>59191</c:v>
                </c:pt>
                <c:pt idx="2867">
                  <c:v>59198</c:v>
                </c:pt>
                <c:pt idx="2868">
                  <c:v>59205</c:v>
                </c:pt>
                <c:pt idx="2869">
                  <c:v>59212</c:v>
                </c:pt>
                <c:pt idx="2870">
                  <c:v>59219</c:v>
                </c:pt>
                <c:pt idx="2871">
                  <c:v>59226</c:v>
                </c:pt>
                <c:pt idx="2872">
                  <c:v>59233</c:v>
                </c:pt>
                <c:pt idx="2873">
                  <c:v>59240</c:v>
                </c:pt>
                <c:pt idx="2874">
                  <c:v>59247</c:v>
                </c:pt>
                <c:pt idx="2875">
                  <c:v>59258</c:v>
                </c:pt>
                <c:pt idx="2876">
                  <c:v>59261</c:v>
                </c:pt>
                <c:pt idx="2877">
                  <c:v>59268</c:v>
                </c:pt>
                <c:pt idx="2878">
                  <c:v>59275</c:v>
                </c:pt>
                <c:pt idx="2879">
                  <c:v>59282</c:v>
                </c:pt>
                <c:pt idx="2880">
                  <c:v>59289</c:v>
                </c:pt>
                <c:pt idx="2881">
                  <c:v>59299</c:v>
                </c:pt>
                <c:pt idx="2882">
                  <c:v>59303</c:v>
                </c:pt>
                <c:pt idx="2883">
                  <c:v>59310</c:v>
                </c:pt>
                <c:pt idx="2884">
                  <c:v>59317</c:v>
                </c:pt>
                <c:pt idx="2885">
                  <c:v>59324</c:v>
                </c:pt>
                <c:pt idx="2886">
                  <c:v>59331</c:v>
                </c:pt>
                <c:pt idx="2887">
                  <c:v>59338</c:v>
                </c:pt>
                <c:pt idx="2888">
                  <c:v>59345</c:v>
                </c:pt>
                <c:pt idx="2889">
                  <c:v>59352</c:v>
                </c:pt>
                <c:pt idx="2890">
                  <c:v>59359</c:v>
                </c:pt>
                <c:pt idx="2891">
                  <c:v>59366</c:v>
                </c:pt>
                <c:pt idx="2892">
                  <c:v>59373</c:v>
                </c:pt>
                <c:pt idx="2893">
                  <c:v>59380</c:v>
                </c:pt>
                <c:pt idx="2894">
                  <c:v>59387</c:v>
                </c:pt>
                <c:pt idx="2895">
                  <c:v>59394</c:v>
                </c:pt>
                <c:pt idx="2896">
                  <c:v>59401</c:v>
                </c:pt>
                <c:pt idx="2897">
                  <c:v>59408</c:v>
                </c:pt>
                <c:pt idx="2898">
                  <c:v>59415</c:v>
                </c:pt>
                <c:pt idx="2899">
                  <c:v>59422</c:v>
                </c:pt>
                <c:pt idx="2900">
                  <c:v>59429</c:v>
                </c:pt>
                <c:pt idx="2901">
                  <c:v>59436</c:v>
                </c:pt>
                <c:pt idx="2902">
                  <c:v>59443</c:v>
                </c:pt>
                <c:pt idx="2903">
                  <c:v>59450</c:v>
                </c:pt>
                <c:pt idx="2904">
                  <c:v>59457</c:v>
                </c:pt>
                <c:pt idx="2905">
                  <c:v>59464</c:v>
                </c:pt>
                <c:pt idx="2906">
                  <c:v>59471</c:v>
                </c:pt>
                <c:pt idx="2907">
                  <c:v>59481</c:v>
                </c:pt>
                <c:pt idx="2908">
                  <c:v>59485</c:v>
                </c:pt>
                <c:pt idx="2909">
                  <c:v>59492</c:v>
                </c:pt>
                <c:pt idx="2910">
                  <c:v>59499</c:v>
                </c:pt>
                <c:pt idx="2911">
                  <c:v>59506</c:v>
                </c:pt>
                <c:pt idx="2912">
                  <c:v>59513</c:v>
                </c:pt>
                <c:pt idx="2913">
                  <c:v>59520</c:v>
                </c:pt>
                <c:pt idx="2914">
                  <c:v>59527</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59664</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59866</c:v>
                </c:pt>
                <c:pt idx="2963">
                  <c:v>59870</c:v>
                </c:pt>
                <c:pt idx="2964">
                  <c:v>59877</c:v>
                </c:pt>
                <c:pt idx="2965">
                  <c:v>59884</c:v>
                </c:pt>
                <c:pt idx="2966">
                  <c:v>59891</c:v>
                </c:pt>
                <c:pt idx="2967">
                  <c:v>59905</c:v>
                </c:pt>
                <c:pt idx="2968">
                  <c:v>59908</c:v>
                </c:pt>
                <c:pt idx="2969">
                  <c:v>59916</c:v>
                </c:pt>
                <c:pt idx="2970">
                  <c:v>59922</c:v>
                </c:pt>
                <c:pt idx="2971">
                  <c:v>59929</c:v>
                </c:pt>
                <c:pt idx="2972">
                  <c:v>59936</c:v>
                </c:pt>
                <c:pt idx="2973">
                  <c:v>59944</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60029</c:v>
                </c:pt>
                <c:pt idx="2986">
                  <c:v>60034</c:v>
                </c:pt>
                <c:pt idx="2987">
                  <c:v>60041</c:v>
                </c:pt>
                <c:pt idx="2988">
                  <c:v>60049</c:v>
                </c:pt>
                <c:pt idx="2989">
                  <c:v>60055</c:v>
                </c:pt>
                <c:pt idx="2990">
                  <c:v>60062</c:v>
                </c:pt>
                <c:pt idx="2991">
                  <c:v>60069</c:v>
                </c:pt>
                <c:pt idx="2992">
                  <c:v>60076</c:v>
                </c:pt>
                <c:pt idx="2993">
                  <c:v>60083</c:v>
                </c:pt>
                <c:pt idx="2994">
                  <c:v>60090</c:v>
                </c:pt>
                <c:pt idx="2995">
                  <c:v>60097</c:v>
                </c:pt>
                <c:pt idx="2996">
                  <c:v>60105</c:v>
                </c:pt>
                <c:pt idx="2997">
                  <c:v>60111</c:v>
                </c:pt>
                <c:pt idx="2998">
                  <c:v>60118</c:v>
                </c:pt>
                <c:pt idx="2999">
                  <c:v>60125</c:v>
                </c:pt>
                <c:pt idx="3000">
                  <c:v>60132</c:v>
                </c:pt>
                <c:pt idx="3001">
                  <c:v>60140</c:v>
                </c:pt>
                <c:pt idx="3002">
                  <c:v>60146</c:v>
                </c:pt>
                <c:pt idx="3003">
                  <c:v>60153</c:v>
                </c:pt>
                <c:pt idx="3004">
                  <c:v>60161</c:v>
                </c:pt>
                <c:pt idx="3005">
                  <c:v>60168</c:v>
                </c:pt>
                <c:pt idx="3006">
                  <c:v>60174</c:v>
                </c:pt>
                <c:pt idx="3007">
                  <c:v>60181</c:v>
                </c:pt>
                <c:pt idx="3008">
                  <c:v>60189</c:v>
                </c:pt>
                <c:pt idx="3009">
                  <c:v>60195</c:v>
                </c:pt>
                <c:pt idx="3010">
                  <c:v>60202</c:v>
                </c:pt>
                <c:pt idx="3011">
                  <c:v>60210</c:v>
                </c:pt>
                <c:pt idx="3012">
                  <c:v>60216</c:v>
                </c:pt>
                <c:pt idx="3013">
                  <c:v>60223</c:v>
                </c:pt>
                <c:pt idx="3014">
                  <c:v>60231</c:v>
                </c:pt>
                <c:pt idx="3015">
                  <c:v>60237</c:v>
                </c:pt>
                <c:pt idx="3016">
                  <c:v>60244</c:v>
                </c:pt>
                <c:pt idx="3017">
                  <c:v>60251</c:v>
                </c:pt>
                <c:pt idx="3018">
                  <c:v>60258</c:v>
                </c:pt>
                <c:pt idx="3019">
                  <c:v>60272</c:v>
                </c:pt>
                <c:pt idx="3020">
                  <c:v>60274</c:v>
                </c:pt>
                <c:pt idx="3021">
                  <c:v>60281</c:v>
                </c:pt>
                <c:pt idx="3022">
                  <c:v>60288</c:v>
                </c:pt>
                <c:pt idx="3023">
                  <c:v>60295</c:v>
                </c:pt>
                <c:pt idx="3024">
                  <c:v>60302</c:v>
                </c:pt>
                <c:pt idx="3025">
                  <c:v>60310</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60636</c:v>
                </c:pt>
                <c:pt idx="3072">
                  <c:v>60639</c:v>
                </c:pt>
                <c:pt idx="3073">
                  <c:v>60646</c:v>
                </c:pt>
                <c:pt idx="3074">
                  <c:v>60653</c:v>
                </c:pt>
                <c:pt idx="3075">
                  <c:v>60660</c:v>
                </c:pt>
                <c:pt idx="3076">
                  <c:v>60667</c:v>
                </c:pt>
                <c:pt idx="3077">
                  <c:v>60675</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60752</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60899</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60990</c:v>
                </c:pt>
                <c:pt idx="3123">
                  <c:v>61001</c:v>
                </c:pt>
                <c:pt idx="3124">
                  <c:v>61004</c:v>
                </c:pt>
                <c:pt idx="3125">
                  <c:v>61011</c:v>
                </c:pt>
                <c:pt idx="3126">
                  <c:v>61018</c:v>
                </c:pt>
                <c:pt idx="3127">
                  <c:v>61025</c:v>
                </c:pt>
                <c:pt idx="3128">
                  <c:v>61032</c:v>
                </c:pt>
                <c:pt idx="3129">
                  <c:v>61042</c:v>
                </c:pt>
                <c:pt idx="3130">
                  <c:v>61046</c:v>
                </c:pt>
                <c:pt idx="3131">
                  <c:v>61053</c:v>
                </c:pt>
                <c:pt idx="3132">
                  <c:v>61060</c:v>
                </c:pt>
                <c:pt idx="3133">
                  <c:v>61067</c:v>
                </c:pt>
                <c:pt idx="3134">
                  <c:v>61074</c:v>
                </c:pt>
                <c:pt idx="3135">
                  <c:v>61081</c:v>
                </c:pt>
                <c:pt idx="3136">
                  <c:v>61092</c:v>
                </c:pt>
                <c:pt idx="3137">
                  <c:v>61095</c:v>
                </c:pt>
                <c:pt idx="3138">
                  <c:v>61102</c:v>
                </c:pt>
                <c:pt idx="3139">
                  <c:v>61109</c:v>
                </c:pt>
                <c:pt idx="3140">
                  <c:v>61123</c:v>
                </c:pt>
                <c:pt idx="3141">
                  <c:v>61123</c:v>
                </c:pt>
                <c:pt idx="3142">
                  <c:v>61130</c:v>
                </c:pt>
                <c:pt idx="3143">
                  <c:v>61137</c:v>
                </c:pt>
                <c:pt idx="3144">
                  <c:v>61144</c:v>
                </c:pt>
                <c:pt idx="3145">
                  <c:v>61151</c:v>
                </c:pt>
                <c:pt idx="3146">
                  <c:v>61158</c:v>
                </c:pt>
                <c:pt idx="3147">
                  <c:v>61165</c:v>
                </c:pt>
                <c:pt idx="3148">
                  <c:v>61172</c:v>
                </c:pt>
                <c:pt idx="3149">
                  <c:v>61179</c:v>
                </c:pt>
                <c:pt idx="3150">
                  <c:v>61186</c:v>
                </c:pt>
                <c:pt idx="3151">
                  <c:v>61193</c:v>
                </c:pt>
                <c:pt idx="3152">
                  <c:v>61200</c:v>
                </c:pt>
                <c:pt idx="3153">
                  <c:v>61207</c:v>
                </c:pt>
                <c:pt idx="3154">
                  <c:v>61214</c:v>
                </c:pt>
                <c:pt idx="3155">
                  <c:v>61221</c:v>
                </c:pt>
                <c:pt idx="3156">
                  <c:v>61228</c:v>
                </c:pt>
                <c:pt idx="3157">
                  <c:v>61235</c:v>
                </c:pt>
                <c:pt idx="3158">
                  <c:v>61242</c:v>
                </c:pt>
                <c:pt idx="3159">
                  <c:v>61249</c:v>
                </c:pt>
                <c:pt idx="3160">
                  <c:v>61256</c:v>
                </c:pt>
                <c:pt idx="3161">
                  <c:v>61266</c:v>
                </c:pt>
                <c:pt idx="3162">
                  <c:v>61270</c:v>
                </c:pt>
                <c:pt idx="3163">
                  <c:v>61277</c:v>
                </c:pt>
                <c:pt idx="3164">
                  <c:v>61284</c:v>
                </c:pt>
                <c:pt idx="3165">
                  <c:v>61291</c:v>
                </c:pt>
                <c:pt idx="3166">
                  <c:v>61298</c:v>
                </c:pt>
                <c:pt idx="3167">
                  <c:v>61305</c:v>
                </c:pt>
                <c:pt idx="3168">
                  <c:v>61312</c:v>
                </c:pt>
                <c:pt idx="3169">
                  <c:v>61319</c:v>
                </c:pt>
                <c:pt idx="3170">
                  <c:v>61326</c:v>
                </c:pt>
                <c:pt idx="3171">
                  <c:v>61333</c:v>
                </c:pt>
                <c:pt idx="3172">
                  <c:v>61340</c:v>
                </c:pt>
                <c:pt idx="3173">
                  <c:v>61347</c:v>
                </c:pt>
                <c:pt idx="3174">
                  <c:v>61359</c:v>
                </c:pt>
                <c:pt idx="3175">
                  <c:v>61361</c:v>
                </c:pt>
                <c:pt idx="3176">
                  <c:v>61368</c:v>
                </c:pt>
                <c:pt idx="3177">
                  <c:v>61375</c:v>
                </c:pt>
                <c:pt idx="3178">
                  <c:v>61382</c:v>
                </c:pt>
                <c:pt idx="3179">
                  <c:v>61389</c:v>
                </c:pt>
                <c:pt idx="3180">
                  <c:v>61396</c:v>
                </c:pt>
                <c:pt idx="3181">
                  <c:v>61403</c:v>
                </c:pt>
                <c:pt idx="3182">
                  <c:v>61410</c:v>
                </c:pt>
                <c:pt idx="3183">
                  <c:v>61417</c:v>
                </c:pt>
                <c:pt idx="3184">
                  <c:v>61424</c:v>
                </c:pt>
                <c:pt idx="3185">
                  <c:v>61431</c:v>
                </c:pt>
                <c:pt idx="3186">
                  <c:v>61438</c:v>
                </c:pt>
                <c:pt idx="3187">
                  <c:v>61445</c:v>
                </c:pt>
                <c:pt idx="3188">
                  <c:v>61452</c:v>
                </c:pt>
                <c:pt idx="3189">
                  <c:v>61459</c:v>
                </c:pt>
                <c:pt idx="3190">
                  <c:v>61466</c:v>
                </c:pt>
                <c:pt idx="3191">
                  <c:v>61477</c:v>
                </c:pt>
                <c:pt idx="3192">
                  <c:v>61480</c:v>
                </c:pt>
                <c:pt idx="3193">
                  <c:v>61491</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61693</c:v>
                </c:pt>
                <c:pt idx="3223">
                  <c:v>61697</c:v>
                </c:pt>
                <c:pt idx="3224">
                  <c:v>61704</c:v>
                </c:pt>
                <c:pt idx="3225">
                  <c:v>61711</c:v>
                </c:pt>
                <c:pt idx="3226">
                  <c:v>61718</c:v>
                </c:pt>
                <c:pt idx="3227">
                  <c:v>61732</c:v>
                </c:pt>
                <c:pt idx="3228">
                  <c:v>61735</c:v>
                </c:pt>
                <c:pt idx="3229">
                  <c:v>61743</c:v>
                </c:pt>
                <c:pt idx="3230">
                  <c:v>61749</c:v>
                </c:pt>
                <c:pt idx="3231">
                  <c:v>61756</c:v>
                </c:pt>
                <c:pt idx="3232">
                  <c:v>61763</c:v>
                </c:pt>
                <c:pt idx="3233">
                  <c:v>61771</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61848</c:v>
                </c:pt>
                <c:pt idx="3245">
                  <c:v>61855</c:v>
                </c:pt>
                <c:pt idx="3246">
                  <c:v>61861</c:v>
                </c:pt>
                <c:pt idx="3247">
                  <c:v>61868</c:v>
                </c:pt>
                <c:pt idx="3248">
                  <c:v>61876</c:v>
                </c:pt>
                <c:pt idx="3249">
                  <c:v>61882</c:v>
                </c:pt>
                <c:pt idx="3250">
                  <c:v>61889</c:v>
                </c:pt>
                <c:pt idx="3251">
                  <c:v>61896</c:v>
                </c:pt>
                <c:pt idx="3252">
                  <c:v>61903</c:v>
                </c:pt>
                <c:pt idx="3253">
                  <c:v>61910</c:v>
                </c:pt>
                <c:pt idx="3254">
                  <c:v>61917</c:v>
                </c:pt>
                <c:pt idx="3255">
                  <c:v>61925</c:v>
                </c:pt>
                <c:pt idx="3256">
                  <c:v>61931</c:v>
                </c:pt>
                <c:pt idx="3257">
                  <c:v>61938</c:v>
                </c:pt>
                <c:pt idx="3258">
                  <c:v>61945</c:v>
                </c:pt>
                <c:pt idx="3259">
                  <c:v>61952</c:v>
                </c:pt>
                <c:pt idx="3260">
                  <c:v>61959</c:v>
                </c:pt>
                <c:pt idx="3261">
                  <c:v>61967</c:v>
                </c:pt>
                <c:pt idx="3262">
                  <c:v>61973</c:v>
                </c:pt>
                <c:pt idx="3263">
                  <c:v>61980</c:v>
                </c:pt>
                <c:pt idx="3264">
                  <c:v>61988</c:v>
                </c:pt>
                <c:pt idx="3265">
                  <c:v>61995</c:v>
                </c:pt>
                <c:pt idx="3266">
                  <c:v>62001</c:v>
                </c:pt>
                <c:pt idx="3267">
                  <c:v>62008</c:v>
                </c:pt>
                <c:pt idx="3268">
                  <c:v>62016</c:v>
                </c:pt>
                <c:pt idx="3269">
                  <c:v>62022</c:v>
                </c:pt>
                <c:pt idx="3270">
                  <c:v>62029</c:v>
                </c:pt>
                <c:pt idx="3271">
                  <c:v>62037</c:v>
                </c:pt>
                <c:pt idx="3272">
                  <c:v>62043</c:v>
                </c:pt>
                <c:pt idx="3273">
                  <c:v>62050</c:v>
                </c:pt>
                <c:pt idx="3274">
                  <c:v>62057</c:v>
                </c:pt>
                <c:pt idx="3275">
                  <c:v>62064</c:v>
                </c:pt>
                <c:pt idx="3276">
                  <c:v>62071</c:v>
                </c:pt>
                <c:pt idx="3277">
                  <c:v>62078</c:v>
                </c:pt>
                <c:pt idx="3278">
                  <c:v>62086</c:v>
                </c:pt>
                <c:pt idx="3279">
                  <c:v>62099</c:v>
                </c:pt>
                <c:pt idx="3280">
                  <c:v>62100</c:v>
                </c:pt>
                <c:pt idx="3281">
                  <c:v>62107</c:v>
                </c:pt>
                <c:pt idx="3282">
                  <c:v>62114</c:v>
                </c:pt>
                <c:pt idx="3283">
                  <c:v>62121</c:v>
                </c:pt>
                <c:pt idx="3284">
                  <c:v>62128</c:v>
                </c:pt>
                <c:pt idx="3285">
                  <c:v>62136</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62214</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62463</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62827</c:v>
                </c:pt>
                <c:pt idx="3384">
                  <c:v>62830</c:v>
                </c:pt>
                <c:pt idx="3385">
                  <c:v>62837</c:v>
                </c:pt>
                <c:pt idx="3386">
                  <c:v>62844</c:v>
                </c:pt>
                <c:pt idx="3387">
                  <c:v>62851</c:v>
                </c:pt>
                <c:pt idx="3388">
                  <c:v>62858</c:v>
                </c:pt>
                <c:pt idx="3389">
                  <c:v>62866</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62950</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63090</c:v>
                </c:pt>
                <c:pt idx="3422">
                  <c:v>63096</c:v>
                </c:pt>
                <c:pt idx="3423">
                  <c:v>63103</c:v>
                </c:pt>
                <c:pt idx="3424">
                  <c:v>63110</c:v>
                </c:pt>
                <c:pt idx="3425">
                  <c:v>63117</c:v>
                </c:pt>
                <c:pt idx="3426">
                  <c:v>63124</c:v>
                </c:pt>
                <c:pt idx="3427">
                  <c:v>63132</c:v>
                </c:pt>
                <c:pt idx="3428">
                  <c:v>63138</c:v>
                </c:pt>
                <c:pt idx="3429">
                  <c:v>63145</c:v>
                </c:pt>
                <c:pt idx="3430">
                  <c:v>63152</c:v>
                </c:pt>
                <c:pt idx="3431">
                  <c:v>63159</c:v>
                </c:pt>
                <c:pt idx="3432">
                  <c:v>63166</c:v>
                </c:pt>
                <c:pt idx="3433">
                  <c:v>63173</c:v>
                </c:pt>
                <c:pt idx="3434">
                  <c:v>63180</c:v>
                </c:pt>
                <c:pt idx="3435">
                  <c:v>63188</c:v>
                </c:pt>
                <c:pt idx="3436">
                  <c:v>63195</c:v>
                </c:pt>
                <c:pt idx="3437">
                  <c:v>63202</c:v>
                </c:pt>
                <c:pt idx="3438">
                  <c:v>63209</c:v>
                </c:pt>
                <c:pt idx="3439">
                  <c:v>63216</c:v>
                </c:pt>
                <c:pt idx="3440">
                  <c:v>63223</c:v>
                </c:pt>
                <c:pt idx="3441">
                  <c:v>63230</c:v>
                </c:pt>
                <c:pt idx="3442">
                  <c:v>63237</c:v>
                </c:pt>
                <c:pt idx="3443">
                  <c:v>63244</c:v>
                </c:pt>
                <c:pt idx="3444">
                  <c:v>63251</c:v>
                </c:pt>
                <c:pt idx="3445">
                  <c:v>63258</c:v>
                </c:pt>
                <c:pt idx="3446">
                  <c:v>63265</c:v>
                </c:pt>
                <c:pt idx="3447">
                  <c:v>63276</c:v>
                </c:pt>
                <c:pt idx="3448">
                  <c:v>63279</c:v>
                </c:pt>
                <c:pt idx="3449">
                  <c:v>63286</c:v>
                </c:pt>
                <c:pt idx="3450">
                  <c:v>63293</c:v>
                </c:pt>
                <c:pt idx="3451">
                  <c:v>63300</c:v>
                </c:pt>
                <c:pt idx="3452">
                  <c:v>63307</c:v>
                </c:pt>
                <c:pt idx="3453">
                  <c:v>63317</c:v>
                </c:pt>
                <c:pt idx="3454">
                  <c:v>63321</c:v>
                </c:pt>
                <c:pt idx="3455">
                  <c:v>63328</c:v>
                </c:pt>
                <c:pt idx="3456">
                  <c:v>63335</c:v>
                </c:pt>
                <c:pt idx="3457">
                  <c:v>63342</c:v>
                </c:pt>
                <c:pt idx="3458">
                  <c:v>63349</c:v>
                </c:pt>
                <c:pt idx="3459">
                  <c:v>63356</c:v>
                </c:pt>
                <c:pt idx="3460">
                  <c:v>63363</c:v>
                </c:pt>
                <c:pt idx="3461">
                  <c:v>63370</c:v>
                </c:pt>
                <c:pt idx="3462">
                  <c:v>63377</c:v>
                </c:pt>
                <c:pt idx="3463">
                  <c:v>63384</c:v>
                </c:pt>
                <c:pt idx="3464">
                  <c:v>63391</c:v>
                </c:pt>
                <c:pt idx="3465">
                  <c:v>63398</c:v>
                </c:pt>
                <c:pt idx="3466">
                  <c:v>63405</c:v>
                </c:pt>
                <c:pt idx="3467">
                  <c:v>63412</c:v>
                </c:pt>
                <c:pt idx="3468">
                  <c:v>63419</c:v>
                </c:pt>
                <c:pt idx="3469">
                  <c:v>63426</c:v>
                </c:pt>
                <c:pt idx="3470">
                  <c:v>63433</c:v>
                </c:pt>
                <c:pt idx="3471">
                  <c:v>63440</c:v>
                </c:pt>
                <c:pt idx="3472">
                  <c:v>63447</c:v>
                </c:pt>
                <c:pt idx="3473">
                  <c:v>63457</c:v>
                </c:pt>
                <c:pt idx="3474">
                  <c:v>63461</c:v>
                </c:pt>
                <c:pt idx="3475">
                  <c:v>63468</c:v>
                </c:pt>
                <c:pt idx="3476">
                  <c:v>63475</c:v>
                </c:pt>
                <c:pt idx="3477">
                  <c:v>63482</c:v>
                </c:pt>
                <c:pt idx="3478">
                  <c:v>63489</c:v>
                </c:pt>
                <c:pt idx="3479">
                  <c:v>63499</c:v>
                </c:pt>
                <c:pt idx="3480">
                  <c:v>63503</c:v>
                </c:pt>
                <c:pt idx="3481">
                  <c:v>63510</c:v>
                </c:pt>
                <c:pt idx="3482">
                  <c:v>63517</c:v>
                </c:pt>
                <c:pt idx="3483">
                  <c:v>63524</c:v>
                </c:pt>
                <c:pt idx="3484">
                  <c:v>63531</c:v>
                </c:pt>
                <c:pt idx="3485">
                  <c:v>63538</c:v>
                </c:pt>
                <c:pt idx="3486">
                  <c:v>63545</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63682</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Monitor!$Z$19:$Z$3552</c:f>
              <c:numCache>
                <c:formatCode>0.0000%</c:formatCode>
                <c:ptCount val="3534"/>
                <c:pt idx="0">
                  <c:v>1.6121218932331543E-3</c:v>
                </c:pt>
                <c:pt idx="1">
                  <c:v>1.6098286254060074E-3</c:v>
                </c:pt>
                <c:pt idx="2">
                  <c:v>1.6075121387101479E-3</c:v>
                </c:pt>
                <c:pt idx="3">
                  <c:v>1.6051739777817871E-3</c:v>
                </c:pt>
                <c:pt idx="4">
                  <c:v>1.5968310246760298E-3</c:v>
                </c:pt>
                <c:pt idx="5">
                  <c:v>1.5944686436466012E-3</c:v>
                </c:pt>
                <c:pt idx="6">
                  <c:v>1.5918745724871758E-3</c:v>
                </c:pt>
                <c:pt idx="7">
                  <c:v>1.589318797004656E-3</c:v>
                </c:pt>
                <c:pt idx="8">
                  <c:v>1.5868040125431007E-3</c:v>
                </c:pt>
                <c:pt idx="9">
                  <c:v>1.5795314882238855E-3</c:v>
                </c:pt>
                <c:pt idx="10">
                  <c:v>1.5772086913818277E-3</c:v>
                </c:pt>
                <c:pt idx="11">
                  <c:v>1.5749392917968894E-3</c:v>
                </c:pt>
                <c:pt idx="12">
                  <c:v>1.5727270550760066E-3</c:v>
                </c:pt>
                <c:pt idx="13">
                  <c:v>1.5705746764978757E-3</c:v>
                </c:pt>
                <c:pt idx="14">
                  <c:v>1.5629491835406622E-3</c:v>
                </c:pt>
                <c:pt idx="15">
                  <c:v>1.5629491835406622E-3</c:v>
                </c:pt>
                <c:pt idx="16">
                  <c:v>1.5608049900705098E-3</c:v>
                </c:pt>
                <c:pt idx="17">
                  <c:v>1.559068360884419E-3</c:v>
                </c:pt>
                <c:pt idx="18">
                  <c:v>1.5578730503192099E-3</c:v>
                </c:pt>
                <c:pt idx="19">
                  <c:v>1.553532531534814E-3</c:v>
                </c:pt>
                <c:pt idx="20">
                  <c:v>1.5522616706321467E-3</c:v>
                </c:pt>
                <c:pt idx="21">
                  <c:v>1.5510832665224703E-3</c:v>
                </c:pt>
                <c:pt idx="22">
                  <c:v>1.549999999682724E-3</c:v>
                </c:pt>
                <c:pt idx="23">
                  <c:v>1.5490135859821128E-3</c:v>
                </c:pt>
                <c:pt idx="24">
                  <c:v>1.5466101795284777E-3</c:v>
                </c:pt>
                <c:pt idx="25">
                  <c:v>1.5459839650565524E-3</c:v>
                </c:pt>
                <c:pt idx="26">
                  <c:v>1.5454400325307185E-3</c:v>
                </c:pt>
                <c:pt idx="27">
                  <c:v>1.5449752748355327E-3</c:v>
                </c:pt>
                <c:pt idx="28">
                  <c:v>1.5445865848696049E-3</c:v>
                </c:pt>
                <c:pt idx="29">
                  <c:v>1.5438458504893979E-3</c:v>
                </c:pt>
                <c:pt idx="30">
                  <c:v>1.5437303606299639E-3</c:v>
                </c:pt>
                <c:pt idx="31">
                  <c:v>1.5436754031382196E-3</c:v>
                </c:pt>
                <c:pt idx="32">
                  <c:v>1.5436778709646023E-3</c:v>
                </c:pt>
                <c:pt idx="33">
                  <c:v>1.5437346570639416E-3</c:v>
                </c:pt>
                <c:pt idx="34">
                  <c:v>1.5441998546116777E-3</c:v>
                </c:pt>
                <c:pt idx="35">
                  <c:v>1.5447246153445669E-3</c:v>
                </c:pt>
                <c:pt idx="36">
                  <c:v>1.5447246153445669E-3</c:v>
                </c:pt>
                <c:pt idx="37">
                  <c:v>1.5466064753139601E-3</c:v>
                </c:pt>
                <c:pt idx="38">
                  <c:v>1.547055698161013E-3</c:v>
                </c:pt>
                <c:pt idx="39">
                  <c:v>1.549999999999833E-3</c:v>
                </c:pt>
                <c:pt idx="40">
                  <c:v>1.549999999999833E-3</c:v>
                </c:pt>
                <c:pt idx="41">
                  <c:v>1.549999999999833E-3</c:v>
                </c:pt>
                <c:pt idx="42">
                  <c:v>1.5495459246278873E-3</c:v>
                </c:pt>
                <c:pt idx="43">
                  <c:v>1.5500773364432131E-3</c:v>
                </c:pt>
                <c:pt idx="44">
                  <c:v>1.5506040198980731E-3</c:v>
                </c:pt>
                <c:pt idx="45">
                  <c:v>1.5511224070893675E-3</c:v>
                </c:pt>
                <c:pt idx="46">
                  <c:v>1.5530416350296966E-3</c:v>
                </c:pt>
                <c:pt idx="47">
                  <c:v>1.5530416350296966E-3</c:v>
                </c:pt>
                <c:pt idx="48">
                  <c:v>1.5534650222343291E-3</c:v>
                </c:pt>
                <c:pt idx="49">
                  <c:v>1.5538587056879007E-3</c:v>
                </c:pt>
                <c:pt idx="50">
                  <c:v>1.5542191174687625E-3</c:v>
                </c:pt>
                <c:pt idx="51">
                  <c:v>1.5554166892842124E-3</c:v>
                </c:pt>
                <c:pt idx="52">
                  <c:v>1.5553911334388437E-3</c:v>
                </c:pt>
                <c:pt idx="53">
                  <c:v>1.5553972239403667E-3</c:v>
                </c:pt>
                <c:pt idx="54">
                  <c:v>1.5554830792936906E-3</c:v>
                </c:pt>
                <c:pt idx="55">
                  <c:v>1.5555106875262967E-3</c:v>
                </c:pt>
                <c:pt idx="56">
                  <c:v>1.5547637226834064E-3</c:v>
                </c:pt>
                <c:pt idx="57">
                  <c:v>1.5549672911442619E-3</c:v>
                </c:pt>
                <c:pt idx="58">
                  <c:v>1.5546501452585761E-3</c:v>
                </c:pt>
                <c:pt idx="59">
                  <c:v>1.5542533449037924E-3</c:v>
                </c:pt>
                <c:pt idx="60">
                  <c:v>1.5528702965053628E-3</c:v>
                </c:pt>
                <c:pt idx="61">
                  <c:v>1.5505143259148773E-3</c:v>
                </c:pt>
                <c:pt idx="62">
                  <c:v>1.5509496516259522E-3</c:v>
                </c:pt>
                <c:pt idx="63">
                  <c:v>1.5500000000001073E-3</c:v>
                </c:pt>
                <c:pt idx="64">
                  <c:v>1.5489474003171112E-3</c:v>
                </c:pt>
                <c:pt idx="65">
                  <c:v>1.5477966901751318E-3</c:v>
                </c:pt>
                <c:pt idx="66">
                  <c:v>1.5417207470054433E-3</c:v>
                </c:pt>
                <c:pt idx="67">
                  <c:v>1.5423431182972859E-3</c:v>
                </c:pt>
                <c:pt idx="68">
                  <c:v>1.5391971546746387E-3</c:v>
                </c:pt>
                <c:pt idx="69">
                  <c:v>1.5391971546746387E-3</c:v>
                </c:pt>
                <c:pt idx="70">
                  <c:v>1.5375421936383599E-3</c:v>
                </c:pt>
                <c:pt idx="71">
                  <c:v>1.5298456179464509E-3</c:v>
                </c:pt>
                <c:pt idx="72">
                  <c:v>1.5305279215903087E-3</c:v>
                </c:pt>
                <c:pt idx="73">
                  <c:v>1.5287083393154001E-3</c:v>
                </c:pt>
                <c:pt idx="74">
                  <c:v>1.5268753883438445E-3</c:v>
                </c:pt>
                <c:pt idx="75">
                  <c:v>1.5250355871387594E-3</c:v>
                </c:pt>
                <c:pt idx="76">
                  <c:v>1.5171140706798985E-3</c:v>
                </c:pt>
                <c:pt idx="77">
                  <c:v>1.5177382484076866E-3</c:v>
                </c:pt>
                <c:pt idx="78">
                  <c:v>1.5159619721452557E-3</c:v>
                </c:pt>
                <c:pt idx="79">
                  <c:v>1.5142179559293925E-3</c:v>
                </c:pt>
                <c:pt idx="80">
                  <c:v>1.5103100945360812E-3</c:v>
                </c:pt>
                <c:pt idx="81">
                  <c:v>1.50221196305473E-3</c:v>
                </c:pt>
                <c:pt idx="82">
                  <c:v>1.501057847499432E-3</c:v>
                </c:pt>
                <c:pt idx="83">
                  <c:v>1.499999999999835E-3</c:v>
                </c:pt>
                <c:pt idx="84">
                  <c:v>1.4967843870592897E-3</c:v>
                </c:pt>
                <c:pt idx="85">
                  <c:v>1.4971134517672337E-3</c:v>
                </c:pt>
                <c:pt idx="86">
                  <c:v>1.4961667263304807E-3</c:v>
                </c:pt>
                <c:pt idx="87">
                  <c:v>1.4956664561356456E-3</c:v>
                </c:pt>
                <c:pt idx="88">
                  <c:v>1.495246144855083E-3</c:v>
                </c:pt>
                <c:pt idx="89">
                  <c:v>1.494108842641873E-3</c:v>
                </c:pt>
                <c:pt idx="90">
                  <c:v>1.4942758851937397E-3</c:v>
                </c:pt>
                <c:pt idx="91">
                  <c:v>1.4942114345928295E-3</c:v>
                </c:pt>
                <c:pt idx="92">
                  <c:v>1.4941913543883736E-3</c:v>
                </c:pt>
                <c:pt idx="93">
                  <c:v>1.4942247257079943E-3</c:v>
                </c:pt>
                <c:pt idx="94">
                  <c:v>1.4951017464646214E-3</c:v>
                </c:pt>
                <c:pt idx="95">
                  <c:v>1.4951682517228241E-3</c:v>
                </c:pt>
                <c:pt idx="96">
                  <c:v>1.4953070023106187E-3</c:v>
                </c:pt>
                <c:pt idx="97">
                  <c:v>1.4953353781788565E-3</c:v>
                </c:pt>
                <c:pt idx="98">
                  <c:v>1.4956368814755335E-3</c:v>
                </c:pt>
                <c:pt idx="99">
                  <c:v>1.4966421135153758E-3</c:v>
                </c:pt>
                <c:pt idx="100">
                  <c:v>1.4966562433317979E-3</c:v>
                </c:pt>
                <c:pt idx="101">
                  <c:v>1.4974160275064684E-3</c:v>
                </c:pt>
                <c:pt idx="102">
                  <c:v>1.4974183111233302E-3</c:v>
                </c:pt>
                <c:pt idx="103">
                  <c:v>1.4978021903284751E-3</c:v>
                </c:pt>
                <c:pt idx="104">
                  <c:v>1.498187393086472E-3</c:v>
                </c:pt>
                <c:pt idx="105">
                  <c:v>1.4999999999999987E-3</c:v>
                </c:pt>
                <c:pt idx="106">
                  <c:v>1.5003138321222555E-3</c:v>
                </c:pt>
                <c:pt idx="107">
                  <c:v>1.5006062008460219E-3</c:v>
                </c:pt>
                <c:pt idx="108">
                  <c:v>1.5014329916388405E-3</c:v>
                </c:pt>
                <c:pt idx="109">
                  <c:v>1.5015621952330629E-3</c:v>
                </c:pt>
                <c:pt idx="110">
                  <c:v>1.5017481120786975E-3</c:v>
                </c:pt>
                <c:pt idx="111">
                  <c:v>1.5019129115768984E-3</c:v>
                </c:pt>
                <c:pt idx="112">
                  <c:v>1.5020566514048076E-3</c:v>
                </c:pt>
                <c:pt idx="113">
                  <c:v>1.502287862103548E-3</c:v>
                </c:pt>
                <c:pt idx="114">
                  <c:v>1.5024221675948002E-3</c:v>
                </c:pt>
                <c:pt idx="115">
                  <c:v>1.5024614742620108E-3</c:v>
                </c:pt>
                <c:pt idx="116">
                  <c:v>1.5024800673392527E-3</c:v>
                </c:pt>
                <c:pt idx="117">
                  <c:v>1.5024780045093458E-3</c:v>
                </c:pt>
                <c:pt idx="118">
                  <c:v>1.5023695901164457E-3</c:v>
                </c:pt>
                <c:pt idx="119">
                  <c:v>1.5022643477868676E-3</c:v>
                </c:pt>
                <c:pt idx="120">
                  <c:v>1.502159870678373E-3</c:v>
                </c:pt>
                <c:pt idx="121">
                  <c:v>1.501890044749778E-3</c:v>
                </c:pt>
                <c:pt idx="122">
                  <c:v>1.501890044749778E-3</c:v>
                </c:pt>
                <c:pt idx="123">
                  <c:v>1.5015361733819021E-3</c:v>
                </c:pt>
                <c:pt idx="124">
                  <c:v>1.5000000007670705E-3</c:v>
                </c:pt>
                <c:pt idx="125">
                  <c:v>1.5000000007670705E-3</c:v>
                </c:pt>
                <c:pt idx="126">
                  <c:v>1.5000000007670705E-3</c:v>
                </c:pt>
                <c:pt idx="127">
                  <c:v>1.4997987108119767E-3</c:v>
                </c:pt>
                <c:pt idx="128">
                  <c:v>1.4988551382700689E-3</c:v>
                </c:pt>
                <c:pt idx="129">
                  <c:v>1.4984601200093586E-3</c:v>
                </c:pt>
                <c:pt idx="130">
                  <c:v>1.498040999559708E-3</c:v>
                </c:pt>
                <c:pt idx="131">
                  <c:v>1.4973936910360249E-3</c:v>
                </c:pt>
                <c:pt idx="132">
                  <c:v>1.4970270397467757E-3</c:v>
                </c:pt>
                <c:pt idx="133">
                  <c:v>1.4955582153089093E-3</c:v>
                </c:pt>
                <c:pt idx="134">
                  <c:v>1.4949790922480983E-3</c:v>
                </c:pt>
                <c:pt idx="135">
                  <c:v>1.4943707371895955E-3</c:v>
                </c:pt>
                <c:pt idx="136">
                  <c:v>1.4934582645756199E-3</c:v>
                </c:pt>
                <c:pt idx="137">
                  <c:v>1.4928854133945007E-3</c:v>
                </c:pt>
                <c:pt idx="138">
                  <c:v>1.4900656970252414E-3</c:v>
                </c:pt>
                <c:pt idx="139">
                  <c:v>1.4892321991058621E-3</c:v>
                </c:pt>
                <c:pt idx="140">
                  <c:v>1.4882203229906312E-3</c:v>
                </c:pt>
                <c:pt idx="141">
                  <c:v>1.4873913957287443E-3</c:v>
                </c:pt>
                <c:pt idx="142">
                  <c:v>1.4845786608181813E-3</c:v>
                </c:pt>
                <c:pt idx="143">
                  <c:v>1.4835190562671947E-3</c:v>
                </c:pt>
                <c:pt idx="144">
                  <c:v>1.4824197240843134E-3</c:v>
                </c:pt>
                <c:pt idx="145">
                  <c:v>1.4812799274892834E-3</c:v>
                </c:pt>
                <c:pt idx="146">
                  <c:v>1.4800278943365444E-3</c:v>
                </c:pt>
                <c:pt idx="147">
                  <c:v>1.4763315739385425E-3</c:v>
                </c:pt>
                <c:pt idx="148">
                  <c:v>1.4750071998854953E-3</c:v>
                </c:pt>
                <c:pt idx="149">
                  <c:v>1.4736521028327844E-3</c:v>
                </c:pt>
                <c:pt idx="150">
                  <c:v>1.4722683784076883E-3</c:v>
                </c:pt>
                <c:pt idx="151">
                  <c:v>1.470871797570583E-3</c:v>
                </c:pt>
                <c:pt idx="152">
                  <c:v>1.4664891193372585E-3</c:v>
                </c:pt>
                <c:pt idx="153">
                  <c:v>1.4649936922720194E-3</c:v>
                </c:pt>
                <c:pt idx="154">
                  <c:v>1.4634822114858049E-3</c:v>
                </c:pt>
                <c:pt idx="155">
                  <c:v>1.4619567725683274E-3</c:v>
                </c:pt>
                <c:pt idx="156">
                  <c:v>1.4605332751644105E-3</c:v>
                </c:pt>
                <c:pt idx="157">
                  <c:v>1.4557573471393611E-3</c:v>
                </c:pt>
                <c:pt idx="158">
                  <c:v>1.4542817574515815E-3</c:v>
                </c:pt>
                <c:pt idx="159">
                  <c:v>1.4526283704808232E-3</c:v>
                </c:pt>
                <c:pt idx="160">
                  <c:v>1.4514681878273444E-3</c:v>
                </c:pt>
                <c:pt idx="161">
                  <c:v>1.4498311681597083E-3</c:v>
                </c:pt>
                <c:pt idx="162">
                  <c:v>1.444855039817955E-3</c:v>
                </c:pt>
                <c:pt idx="163">
                  <c:v>1.4433255569147848E-3</c:v>
                </c:pt>
                <c:pt idx="164">
                  <c:v>1.4423966007291516E-3</c:v>
                </c:pt>
                <c:pt idx="165">
                  <c:v>1.4407746270173047E-3</c:v>
                </c:pt>
                <c:pt idx="166">
                  <c:v>1.4391530337039115E-3</c:v>
                </c:pt>
                <c:pt idx="167">
                  <c:v>1.4346879382296797E-3</c:v>
                </c:pt>
                <c:pt idx="168">
                  <c:v>1.433302841646599E-3</c:v>
                </c:pt>
                <c:pt idx="169">
                  <c:v>1.4319474615927556E-3</c:v>
                </c:pt>
                <c:pt idx="170">
                  <c:v>1.4312334890885239E-3</c:v>
                </c:pt>
                <c:pt idx="171">
                  <c:v>1.429762461204527E-3</c:v>
                </c:pt>
                <c:pt idx="172">
                  <c:v>1.4257555905168888E-3</c:v>
                </c:pt>
                <c:pt idx="173">
                  <c:v>1.4246620782809101E-3</c:v>
                </c:pt>
                <c:pt idx="174">
                  <c:v>1.4236261387224264E-3</c:v>
                </c:pt>
                <c:pt idx="175">
                  <c:v>1.4231405316385505E-3</c:v>
                </c:pt>
                <c:pt idx="176">
                  <c:v>1.4219933712967966E-3</c:v>
                </c:pt>
                <c:pt idx="177">
                  <c:v>1.4188423754251981E-3</c:v>
                </c:pt>
                <c:pt idx="178">
                  <c:v>1.4188423754251981E-3</c:v>
                </c:pt>
                <c:pt idx="179">
                  <c:v>1.4183208685323108E-3</c:v>
                </c:pt>
                <c:pt idx="180">
                  <c:v>1.4184261579239152E-3</c:v>
                </c:pt>
                <c:pt idx="181">
                  <c:v>1.4178219620152341E-3</c:v>
                </c:pt>
                <c:pt idx="182">
                  <c:v>1.417134044813444E-3</c:v>
                </c:pt>
                <c:pt idx="183">
                  <c:v>1.4172086785304767E-3</c:v>
                </c:pt>
                <c:pt idx="184">
                  <c:v>1.4173965972423723E-3</c:v>
                </c:pt>
                <c:pt idx="185">
                  <c:v>1.4174280247540607E-3</c:v>
                </c:pt>
                <c:pt idx="186">
                  <c:v>1.4175823927825388E-3</c:v>
                </c:pt>
                <c:pt idx="187">
                  <c:v>1.4201747505171931E-3</c:v>
                </c:pt>
                <c:pt idx="188">
                  <c:v>1.4211259504542698E-3</c:v>
                </c:pt>
                <c:pt idx="189">
                  <c:v>1.4222161851103019E-3</c:v>
                </c:pt>
                <c:pt idx="190">
                  <c:v>1.4239175131241528E-3</c:v>
                </c:pt>
                <c:pt idx="191">
                  <c:v>1.4250188174252314E-3</c:v>
                </c:pt>
                <c:pt idx="192">
                  <c:v>1.4294811814717587E-3</c:v>
                </c:pt>
                <c:pt idx="193">
                  <c:v>1.4314357433654642E-3</c:v>
                </c:pt>
                <c:pt idx="194">
                  <c:v>1.4330718641438226E-3</c:v>
                </c:pt>
                <c:pt idx="195">
                  <c:v>1.4353373108956556E-3</c:v>
                </c:pt>
                <c:pt idx="196">
                  <c:v>1.4371192946015972E-3</c:v>
                </c:pt>
                <c:pt idx="197">
                  <c:v>1.4431536526343901E-3</c:v>
                </c:pt>
                <c:pt idx="198">
                  <c:v>1.4452901232856524E-3</c:v>
                </c:pt>
                <c:pt idx="199">
                  <c:v>1.4474464102689683E-3</c:v>
                </c:pt>
                <c:pt idx="200">
                  <c:v>1.4498200875918471E-3</c:v>
                </c:pt>
                <c:pt idx="201">
                  <c:v>1.4518759396318444E-3</c:v>
                </c:pt>
                <c:pt idx="202">
                  <c:v>1.4582217664940843E-3</c:v>
                </c:pt>
                <c:pt idx="203">
                  <c:v>1.4603149567334836E-3</c:v>
                </c:pt>
                <c:pt idx="204">
                  <c:v>1.4623672980425577E-3</c:v>
                </c:pt>
                <c:pt idx="205">
                  <c:v>1.4644252454495874E-3</c:v>
                </c:pt>
                <c:pt idx="206">
                  <c:v>1.4663322600558266E-3</c:v>
                </c:pt>
                <c:pt idx="207">
                  <c:v>1.4733765799874049E-3</c:v>
                </c:pt>
                <c:pt idx="208">
                  <c:v>1.4749156667509351E-3</c:v>
                </c:pt>
                <c:pt idx="209">
                  <c:v>1.4763433193457594E-3</c:v>
                </c:pt>
                <c:pt idx="210">
                  <c:v>1.477650775823349E-3</c:v>
                </c:pt>
                <c:pt idx="211">
                  <c:v>1.4808250978826222E-3</c:v>
                </c:pt>
                <c:pt idx="212">
                  <c:v>1.4816473988751946E-3</c:v>
                </c:pt>
                <c:pt idx="213">
                  <c:v>1.4823596931216373E-3</c:v>
                </c:pt>
                <c:pt idx="214">
                  <c:v>1.4829667185225714E-3</c:v>
                </c:pt>
                <c:pt idx="215">
                  <c:v>1.483473213001896E-3</c:v>
                </c:pt>
                <c:pt idx="216">
                  <c:v>1.4844368904417208E-3</c:v>
                </c:pt>
                <c:pt idx="217">
                  <c:v>1.4845886408500041E-3</c:v>
                </c:pt>
                <c:pt idx="218">
                  <c:v>1.4846635502197003E-3</c:v>
                </c:pt>
                <c:pt idx="219">
                  <c:v>1.4846663565656253E-3</c:v>
                </c:pt>
                <c:pt idx="220">
                  <c:v>1.4846017979105001E-3</c:v>
                </c:pt>
                <c:pt idx="221">
                  <c:v>1.483065110898137E-3</c:v>
                </c:pt>
                <c:pt idx="222">
                  <c:v>1.483065110898137E-3</c:v>
                </c:pt>
                <c:pt idx="223">
                  <c:v>1.483065110898137E-3</c:v>
                </c:pt>
                <c:pt idx="224">
                  <c:v>1.483065110898137E-3</c:v>
                </c:pt>
                <c:pt idx="225">
                  <c:v>1.4824782024386843E-3</c:v>
                </c:pt>
                <c:pt idx="226">
                  <c:v>1.4812561085595039E-3</c:v>
                </c:pt>
                <c:pt idx="227">
                  <c:v>1.4808006410596817E-3</c:v>
                </c:pt>
                <c:pt idx="228">
                  <c:v>1.4802678030678513E-3</c:v>
                </c:pt>
                <c:pt idx="229">
                  <c:v>1.4797627167955911E-3</c:v>
                </c:pt>
                <c:pt idx="230">
                  <c:v>1.4792186889216524E-3</c:v>
                </c:pt>
                <c:pt idx="231">
                  <c:v>1.4777794314847475E-3</c:v>
                </c:pt>
                <c:pt idx="232">
                  <c:v>1.4773164357599281E-3</c:v>
                </c:pt>
                <c:pt idx="233">
                  <c:v>1.4768759945236588E-3</c:v>
                </c:pt>
                <c:pt idx="234">
                  <c:v>1.4764618996516055E-3</c:v>
                </c:pt>
                <c:pt idx="235">
                  <c:v>1.4760902424239028E-3</c:v>
                </c:pt>
                <c:pt idx="236">
                  <c:v>1.4747720975251833E-3</c:v>
                </c:pt>
                <c:pt idx="237">
                  <c:v>1.4747720975251833E-3</c:v>
                </c:pt>
                <c:pt idx="238">
                  <c:v>1.4745046061955505E-3</c:v>
                </c:pt>
                <c:pt idx="239">
                  <c:v>1.4742587161209102E-3</c:v>
                </c:pt>
                <c:pt idx="240">
                  <c:v>1.474093191416313E-3</c:v>
                </c:pt>
                <c:pt idx="241">
                  <c:v>1.4734749817700498E-3</c:v>
                </c:pt>
                <c:pt idx="242">
                  <c:v>1.4733249580279866E-3</c:v>
                </c:pt>
                <c:pt idx="243">
                  <c:v>1.4731916795708636E-3</c:v>
                </c:pt>
                <c:pt idx="244">
                  <c:v>1.4730743370723041E-3</c:v>
                </c:pt>
                <c:pt idx="245">
                  <c:v>1.4730667211989479E-3</c:v>
                </c:pt>
                <c:pt idx="246">
                  <c:v>1.4727481401759248E-3</c:v>
                </c:pt>
                <c:pt idx="247">
                  <c:v>1.4726983376068615E-3</c:v>
                </c:pt>
                <c:pt idx="248">
                  <c:v>1.4726596150533918E-3</c:v>
                </c:pt>
                <c:pt idx="249">
                  <c:v>1.4725730272470139E-3</c:v>
                </c:pt>
                <c:pt idx="250">
                  <c:v>1.4724931842262561E-3</c:v>
                </c:pt>
                <c:pt idx="251">
                  <c:v>1.472809346215921E-3</c:v>
                </c:pt>
                <c:pt idx="252">
                  <c:v>1.4727018445602421E-3</c:v>
                </c:pt>
                <c:pt idx="253">
                  <c:v>1.4727018445602421E-3</c:v>
                </c:pt>
                <c:pt idx="254">
                  <c:v>1.4726515827996225E-3</c:v>
                </c:pt>
                <c:pt idx="255">
                  <c:v>1.4726027209534087E-3</c:v>
                </c:pt>
                <c:pt idx="256">
                  <c:v>1.4726937404855398E-3</c:v>
                </c:pt>
                <c:pt idx="257">
                  <c:v>1.4727315829615058E-3</c:v>
                </c:pt>
                <c:pt idx="258">
                  <c:v>1.4727731595287497E-3</c:v>
                </c:pt>
                <c:pt idx="259">
                  <c:v>1.4728184598522421E-3</c:v>
                </c:pt>
                <c:pt idx="260">
                  <c:v>1.4728674735973925E-3</c:v>
                </c:pt>
                <c:pt idx="261">
                  <c:v>1.4730366920151323E-3</c:v>
                </c:pt>
                <c:pt idx="262">
                  <c:v>1.4731004560992549E-3</c:v>
                </c:pt>
                <c:pt idx="263">
                  <c:v>1.473167881931645E-3</c:v>
                </c:pt>
                <c:pt idx="264">
                  <c:v>1.4732389591772725E-3</c:v>
                </c:pt>
                <c:pt idx="265">
                  <c:v>1.4733136775015475E-3</c:v>
                </c:pt>
                <c:pt idx="266">
                  <c:v>1.4736487548919971E-3</c:v>
                </c:pt>
                <c:pt idx="267">
                  <c:v>1.4736487548919971E-3</c:v>
                </c:pt>
                <c:pt idx="268">
                  <c:v>1.473741523590215E-3</c:v>
                </c:pt>
                <c:pt idx="269">
                  <c:v>1.4738378713595381E-3</c:v>
                </c:pt>
                <c:pt idx="270">
                  <c:v>1.4739377878653765E-3</c:v>
                </c:pt>
                <c:pt idx="271">
                  <c:v>1.4743745373956669E-3</c:v>
                </c:pt>
                <c:pt idx="272">
                  <c:v>1.4744902663455873E-3</c:v>
                </c:pt>
                <c:pt idx="273">
                  <c:v>1.4746095036213779E-3</c:v>
                </c:pt>
                <c:pt idx="274">
                  <c:v>1.4747322389444849E-3</c:v>
                </c:pt>
                <c:pt idx="275">
                  <c:v>1.4751058564427418E-3</c:v>
                </c:pt>
                <c:pt idx="276">
                  <c:v>1.4752579551490432E-3</c:v>
                </c:pt>
                <c:pt idx="277">
                  <c:v>1.4753980265387215E-3</c:v>
                </c:pt>
                <c:pt idx="278">
                  <c:v>1.4755415343083236E-3</c:v>
                </c:pt>
                <c:pt idx="279">
                  <c:v>1.4756884681797324E-3</c:v>
                </c:pt>
                <c:pt idx="280">
                  <c:v>1.4761082047240906E-3</c:v>
                </c:pt>
                <c:pt idx="281">
                  <c:v>1.4763102591263324E-3</c:v>
                </c:pt>
                <c:pt idx="282">
                  <c:v>1.4764741693389482E-3</c:v>
                </c:pt>
                <c:pt idx="283">
                  <c:v>1.4766414439868517E-3</c:v>
                </c:pt>
                <c:pt idx="284">
                  <c:v>1.4768120727914891E-3</c:v>
                </c:pt>
                <c:pt idx="285">
                  <c:v>1.4772766366711787E-3</c:v>
                </c:pt>
                <c:pt idx="286">
                  <c:v>1.4775279240263905E-3</c:v>
                </c:pt>
                <c:pt idx="287">
                  <c:v>1.4777151694503651E-3</c:v>
                </c:pt>
                <c:pt idx="288">
                  <c:v>1.4780995274930261E-3</c:v>
                </c:pt>
                <c:pt idx="289">
                  <c:v>1.4780995274930261E-3</c:v>
                </c:pt>
                <c:pt idx="290">
                  <c:v>1.4791175016093941E-3</c:v>
                </c:pt>
                <c:pt idx="291">
                  <c:v>1.4793307991844064E-3</c:v>
                </c:pt>
                <c:pt idx="292">
                  <c:v>1.4802769453513445E-3</c:v>
                </c:pt>
                <c:pt idx="293">
                  <c:v>1.4802769453513445E-3</c:v>
                </c:pt>
                <c:pt idx="294">
                  <c:v>1.4805079818160293E-3</c:v>
                </c:pt>
                <c:pt idx="295">
                  <c:v>1.4807421736489886E-3</c:v>
                </c:pt>
                <c:pt idx="296">
                  <c:v>1.4809795105151925E-3</c:v>
                </c:pt>
                <c:pt idx="297">
                  <c:v>1.4812199820809296E-3</c:v>
                </c:pt>
                <c:pt idx="298">
                  <c:v>1.4822130086632114E-3</c:v>
                </c:pt>
                <c:pt idx="299">
                  <c:v>1.4822130086632114E-3</c:v>
                </c:pt>
                <c:pt idx="300">
                  <c:v>1.4824689987187384E-3</c:v>
                </c:pt>
                <c:pt idx="301">
                  <c:v>1.4827280614706482E-3</c:v>
                </c:pt>
                <c:pt idx="302">
                  <c:v>1.4829901865843508E-3</c:v>
                </c:pt>
                <c:pt idx="303">
                  <c:v>1.4839816879343775E-3</c:v>
                </c:pt>
                <c:pt idx="304">
                  <c:v>1.4840691039850465E-3</c:v>
                </c:pt>
                <c:pt idx="305">
                  <c:v>1.4843463859020342E-3</c:v>
                </c:pt>
                <c:pt idx="306">
                  <c:v>1.4846266681785431E-3</c:v>
                </c:pt>
                <c:pt idx="307">
                  <c:v>1.4849099404799827E-3</c:v>
                </c:pt>
                <c:pt idx="308">
                  <c:v>1.4857775941976472E-3</c:v>
                </c:pt>
                <c:pt idx="309">
                  <c:v>1.4860727232621309E-3</c:v>
                </c:pt>
                <c:pt idx="310">
                  <c:v>1.4863707906825469E-3</c:v>
                </c:pt>
                <c:pt idx="311">
                  <c:v>1.4866717861256225E-3</c:v>
                </c:pt>
                <c:pt idx="312">
                  <c:v>1.486975699256767E-3</c:v>
                </c:pt>
                <c:pt idx="313">
                  <c:v>1.4879048414458888E-3</c:v>
                </c:pt>
                <c:pt idx="314">
                  <c:v>1.4882203219939479E-3</c:v>
                </c:pt>
                <c:pt idx="315">
                  <c:v>1.4885386685619558E-3</c:v>
                </c:pt>
                <c:pt idx="316">
                  <c:v>1.4888598708162005E-3</c:v>
                </c:pt>
                <c:pt idx="317">
                  <c:v>1.4891839184229703E-3</c:v>
                </c:pt>
                <c:pt idx="318">
                  <c:v>1.4901730300186757E-3</c:v>
                </c:pt>
                <c:pt idx="319">
                  <c:v>1.4905083556971089E-3</c:v>
                </c:pt>
                <c:pt idx="320">
                  <c:v>1.4908464750590684E-3</c:v>
                </c:pt>
                <c:pt idx="321">
                  <c:v>1.4915310534995968E-3</c:v>
                </c:pt>
                <c:pt idx="322">
                  <c:v>1.4915310534995968E-3</c:v>
                </c:pt>
                <c:pt idx="323">
                  <c:v>1.4925786154449175E-3</c:v>
                </c:pt>
                <c:pt idx="324">
                  <c:v>1.4929332799014023E-3</c:v>
                </c:pt>
                <c:pt idx="325">
                  <c:v>1.4932906657054298E-3</c:v>
                </c:pt>
                <c:pt idx="326">
                  <c:v>1.4936507625237275E-3</c:v>
                </c:pt>
                <c:pt idx="327">
                  <c:v>1.4940135600225836E-3</c:v>
                </c:pt>
                <c:pt idx="328">
                  <c:v>1.4951180532649436E-3</c:v>
                </c:pt>
                <c:pt idx="329">
                  <c:v>1.4954915501489139E-3</c:v>
                </c:pt>
                <c:pt idx="330">
                  <c:v>1.4958676960448829E-3</c:v>
                </c:pt>
                <c:pt idx="331">
                  <c:v>1.4962464806195779E-3</c:v>
                </c:pt>
                <c:pt idx="332">
                  <c:v>1.4966278935384088E-3</c:v>
                </c:pt>
                <c:pt idx="333">
                  <c:v>1.4982606249315101E-3</c:v>
                </c:pt>
                <c:pt idx="334">
                  <c:v>1.4986546000957416E-3</c:v>
                </c:pt>
                <c:pt idx="335">
                  <c:v>1.4990511447702298E-3</c:v>
                </c:pt>
                <c:pt idx="336">
                  <c:v>1.4999321674225375E-3</c:v>
                </c:pt>
                <c:pt idx="337">
                  <c:v>1.500093592916873E-3</c:v>
                </c:pt>
                <c:pt idx="338">
                  <c:v>1.5010720530539907E-3</c:v>
                </c:pt>
                <c:pt idx="339">
                  <c:v>1.5014838001434579E-3</c:v>
                </c:pt>
                <c:pt idx="340">
                  <c:v>1.5018980451934592E-3</c:v>
                </c:pt>
                <c:pt idx="341">
                  <c:v>1.502811445776772E-3</c:v>
                </c:pt>
                <c:pt idx="342">
                  <c:v>1.5029830351707672E-3</c:v>
                </c:pt>
                <c:pt idx="343">
                  <c:v>1.5040063821132902E-3</c:v>
                </c:pt>
                <c:pt idx="344">
                  <c:v>1.5044354002816723E-3</c:v>
                </c:pt>
                <c:pt idx="345">
                  <c:v>1.5048668448608658E-3</c:v>
                </c:pt>
                <c:pt idx="346">
                  <c:v>1.5060683653851604E-3</c:v>
                </c:pt>
                <c:pt idx="347">
                  <c:v>1.5062501371157588E-3</c:v>
                </c:pt>
                <c:pt idx="348">
                  <c:v>1.5077662134791179E-3</c:v>
                </c:pt>
                <c:pt idx="349">
                  <c:v>1.5077662134791179E-3</c:v>
                </c:pt>
                <c:pt idx="350">
                  <c:v>1.507954037846465E-3</c:v>
                </c:pt>
                <c:pt idx="351">
                  <c:v>1.5089298440929344E-3</c:v>
                </c:pt>
                <c:pt idx="352">
                  <c:v>1.5106917771247886E-3</c:v>
                </c:pt>
                <c:pt idx="353">
                  <c:v>1.5111561182229692E-3</c:v>
                </c:pt>
                <c:pt idx="354">
                  <c:v>1.5113540517446946E-3</c:v>
                </c:pt>
                <c:pt idx="355">
                  <c:v>1.5123619253978138E-3</c:v>
                </c:pt>
                <c:pt idx="356">
                  <c:v>1.5132390818998326E-3</c:v>
                </c:pt>
                <c:pt idx="357">
                  <c:v>1.5137159242551608E-3</c:v>
                </c:pt>
                <c:pt idx="358">
                  <c:v>1.5141949799827067E-3</c:v>
                </c:pt>
                <c:pt idx="359">
                  <c:v>1.5146762388047901E-3</c:v>
                </c:pt>
                <c:pt idx="360">
                  <c:v>1.5159912985463647E-3</c:v>
                </c:pt>
                <c:pt idx="361">
                  <c:v>1.5166230994993052E-3</c:v>
                </c:pt>
                <c:pt idx="362">
                  <c:v>1.5171152196380433E-3</c:v>
                </c:pt>
                <c:pt idx="363">
                  <c:v>1.5176094812078577E-3</c:v>
                </c:pt>
                <c:pt idx="364">
                  <c:v>1.5181058739323783E-3</c:v>
                </c:pt>
                <c:pt idx="365">
                  <c:v>1.5191717852483207E-3</c:v>
                </c:pt>
                <c:pt idx="366">
                  <c:v>1.520112550829158E-3</c:v>
                </c:pt>
                <c:pt idx="367">
                  <c:v>1.5206194451668096E-3</c:v>
                </c:pt>
                <c:pt idx="368">
                  <c:v>1.5211284089952694E-3</c:v>
                </c:pt>
                <c:pt idx="369">
                  <c:v>1.5216394320372939E-3</c:v>
                </c:pt>
                <c:pt idx="370">
                  <c:v>1.5227334341052442E-3</c:v>
                </c:pt>
                <c:pt idx="371">
                  <c:v>1.5237039107961683E-3</c:v>
                </c:pt>
                <c:pt idx="372">
                  <c:v>1.5242250757469262E-3</c:v>
                </c:pt>
                <c:pt idx="373">
                  <c:v>1.5247482382482248E-3</c:v>
                </c:pt>
                <c:pt idx="374">
                  <c:v>1.526163064377279E-3</c:v>
                </c:pt>
                <c:pt idx="375">
                  <c:v>1.5301528197805912E-3</c:v>
                </c:pt>
                <c:pt idx="376">
                  <c:v>1.5301528197805912E-3</c:v>
                </c:pt>
                <c:pt idx="377">
                  <c:v>1.5301528197805912E-3</c:v>
                </c:pt>
                <c:pt idx="378">
                  <c:v>1.5301528197805912E-3</c:v>
                </c:pt>
                <c:pt idx="379">
                  <c:v>1.5301528197805912E-3</c:v>
                </c:pt>
                <c:pt idx="380">
                  <c:v>1.5314852828980955E-3</c:v>
                </c:pt>
                <c:pt idx="381">
                  <c:v>1.5320348367835373E-3</c:v>
                </c:pt>
                <c:pt idx="382">
                  <c:v>1.5325864019770557E-3</c:v>
                </c:pt>
                <c:pt idx="383">
                  <c:v>1.5337619086566812E-3</c:v>
                </c:pt>
                <c:pt idx="384">
                  <c:v>1.5340072987669567E-3</c:v>
                </c:pt>
                <c:pt idx="385">
                  <c:v>1.5353749573819033E-3</c:v>
                </c:pt>
                <c:pt idx="386">
                  <c:v>1.5359389263134584E-3</c:v>
                </c:pt>
                <c:pt idx="387">
                  <c:v>1.5365050185157032E-3</c:v>
                </c:pt>
                <c:pt idx="388">
                  <c:v>1.5377112921113607E-3</c:v>
                </c:pt>
                <c:pt idx="389">
                  <c:v>1.5379634248928924E-3</c:v>
                </c:pt>
                <c:pt idx="390">
                  <c:v>1.5396913762022819E-3</c:v>
                </c:pt>
                <c:pt idx="391">
                  <c:v>1.5399470561332411E-3</c:v>
                </c:pt>
                <c:pt idx="392">
                  <c:v>1.5405284590890205E-3</c:v>
                </c:pt>
                <c:pt idx="393">
                  <c:v>1.5417677085124174E-3</c:v>
                </c:pt>
                <c:pt idx="394">
                  <c:v>1.5420266547432038E-3</c:v>
                </c:pt>
                <c:pt idx="395">
                  <c:v>1.5437317501001014E-3</c:v>
                </c:pt>
                <c:pt idx="396">
                  <c:v>1.5443278861804917E-3</c:v>
                </c:pt>
                <c:pt idx="397">
                  <c:v>1.5449263718109447E-3</c:v>
                </c:pt>
                <c:pt idx="398">
                  <c:v>1.5462024449636213E-3</c:v>
                </c:pt>
                <c:pt idx="399">
                  <c:v>1.5473441314821027E-3</c:v>
                </c:pt>
                <c:pt idx="400">
                  <c:v>1.547954606099845E-3</c:v>
                </c:pt>
                <c:pt idx="401">
                  <c:v>1.5485675267631394E-3</c:v>
                </c:pt>
                <c:pt idx="402">
                  <c:v>1.5491829095544214E-3</c:v>
                </c:pt>
                <c:pt idx="403">
                  <c:v>1.5504962522672795E-3</c:v>
                </c:pt>
                <c:pt idx="404">
                  <c:v>1.5516693836516412E-3</c:v>
                </c:pt>
                <c:pt idx="405">
                  <c:v>1.5522973183228958E-3</c:v>
                </c:pt>
                <c:pt idx="406">
                  <c:v>1.5529278116189378E-3</c:v>
                </c:pt>
                <c:pt idx="407">
                  <c:v>1.5535608796217665E-3</c:v>
                </c:pt>
                <c:pt idx="408">
                  <c:v>1.5549135334338559E-3</c:v>
                </c:pt>
                <c:pt idx="409">
                  <c:v>1.5561192203653906E-3</c:v>
                </c:pt>
                <c:pt idx="410">
                  <c:v>1.5567654031487376E-3</c:v>
                </c:pt>
                <c:pt idx="411">
                  <c:v>1.5574142571374181E-3</c:v>
                </c:pt>
                <c:pt idx="412">
                  <c:v>1.5599161554061092E-3</c:v>
                </c:pt>
                <c:pt idx="413">
                  <c:v>1.5602044798517067E-3</c:v>
                </c:pt>
                <c:pt idx="414">
                  <c:v>1.561073412061812E-3</c:v>
                </c:pt>
                <c:pt idx="415">
                  <c:v>1.5613643770306758E-3</c:v>
                </c:pt>
                <c:pt idx="416">
                  <c:v>1.5620323797828056E-3</c:v>
                </c:pt>
                <c:pt idx="417">
                  <c:v>1.5627031824058714E-3</c:v>
                </c:pt>
                <c:pt idx="418">
                  <c:v>1.5649091397967497E-3</c:v>
                </c:pt>
                <c:pt idx="419">
                  <c:v>1.5658010955104495E-3</c:v>
                </c:pt>
                <c:pt idx="420">
                  <c:v>1.566487915102084E-3</c:v>
                </c:pt>
                <c:pt idx="421">
                  <c:v>1.5671776417431026E-3</c:v>
                </c:pt>
                <c:pt idx="422">
                  <c:v>1.5690536429882977E-3</c:v>
                </c:pt>
                <c:pt idx="423">
                  <c:v>1.5693570596730573E-3</c:v>
                </c:pt>
                <c:pt idx="424">
                  <c:v>1.5706704405541499E-3</c:v>
                </c:pt>
                <c:pt idx="425">
                  <c:v>1.5713779454118932E-3</c:v>
                </c:pt>
                <c:pt idx="426">
                  <c:v>1.5720884692937977E-3</c:v>
                </c:pt>
                <c:pt idx="427">
                  <c:v>1.5736154508830347E-3</c:v>
                </c:pt>
                <c:pt idx="428">
                  <c:v>1.5739265349676787E-3</c:v>
                </c:pt>
                <c:pt idx="429">
                  <c:v>1.5764159078890878E-3</c:v>
                </c:pt>
                <c:pt idx="430">
                  <c:v>1.5764159078890878E-3</c:v>
                </c:pt>
                <c:pt idx="431">
                  <c:v>1.5771480128414011E-3</c:v>
                </c:pt>
                <c:pt idx="432">
                  <c:v>1.5787235209587728E-3</c:v>
                </c:pt>
                <c:pt idx="433">
                  <c:v>1.579043039827687E-3</c:v>
                </c:pt>
                <c:pt idx="434">
                  <c:v>1.5808560624922096E-3</c:v>
                </c:pt>
                <c:pt idx="435">
                  <c:v>1.5816072893785592E-3</c:v>
                </c:pt>
                <c:pt idx="436">
                  <c:v>1.5823617592438377E-3</c:v>
                </c:pt>
                <c:pt idx="437">
                  <c:v>1.5839874726762994E-3</c:v>
                </c:pt>
                <c:pt idx="438">
                  <c:v>1.5847525073145192E-3</c:v>
                </c:pt>
                <c:pt idx="439">
                  <c:v>1.5861833131441238E-3</c:v>
                </c:pt>
                <c:pt idx="440">
                  <c:v>1.586957576819906E-3</c:v>
                </c:pt>
                <c:pt idx="441">
                  <c:v>1.5877351954541731E-3</c:v>
                </c:pt>
                <c:pt idx="442">
                  <c:v>1.589412734093617E-3</c:v>
                </c:pt>
                <c:pt idx="443">
                  <c:v>1.5897501555086806E-3</c:v>
                </c:pt>
                <c:pt idx="444">
                  <c:v>1.5916741729166371E-3</c:v>
                </c:pt>
                <c:pt idx="445">
                  <c:v>1.5924722572496052E-3</c:v>
                </c:pt>
                <c:pt idx="446">
                  <c:v>1.5932738085236552E-3</c:v>
                </c:pt>
                <c:pt idx="447">
                  <c:v>1.5950047333688638E-3</c:v>
                </c:pt>
                <c:pt idx="448">
                  <c:v>1.5953516811632433E-3</c:v>
                </c:pt>
                <c:pt idx="449">
                  <c:v>1.5973341289326796E-3</c:v>
                </c:pt>
                <c:pt idx="450">
                  <c:v>1.598156817806661E-3</c:v>
                </c:pt>
                <c:pt idx="451">
                  <c:v>1.5989830856064937E-3</c:v>
                </c:pt>
                <c:pt idx="452">
                  <c:v>1.6007688987650405E-3</c:v>
                </c:pt>
                <c:pt idx="453">
                  <c:v>1.6011257954219708E-3</c:v>
                </c:pt>
                <c:pt idx="454">
                  <c:v>1.6031686684233556E-3</c:v>
                </c:pt>
                <c:pt idx="455">
                  <c:v>1.6040167457373831E-3</c:v>
                </c:pt>
                <c:pt idx="456">
                  <c:v>1.604868513964203E-3</c:v>
                </c:pt>
                <c:pt idx="457">
                  <c:v>1.6067106586551666E-3</c:v>
                </c:pt>
                <c:pt idx="458">
                  <c:v>1.6070779559667371E-3</c:v>
                </c:pt>
                <c:pt idx="459">
                  <c:v>1.609054860334003E-3</c:v>
                </c:pt>
                <c:pt idx="460">
                  <c:v>1.6094272141508545E-3</c:v>
                </c:pt>
                <c:pt idx="461">
                  <c:v>1.6103023375098266E-3</c:v>
                </c:pt>
                <c:pt idx="462">
                  <c:v>1.6111812787363679E-3</c:v>
                </c:pt>
                <c:pt idx="463">
                  <c:v>1.6143536748262407E-3</c:v>
                </c:pt>
                <c:pt idx="464">
                  <c:v>1.6147355475846668E-3</c:v>
                </c:pt>
                <c:pt idx="465">
                  <c:v>1.6156338221006525E-3</c:v>
                </c:pt>
                <c:pt idx="466">
                  <c:v>1.6165360120649352E-3</c:v>
                </c:pt>
                <c:pt idx="467">
                  <c:v>1.6174421337420738E-3</c:v>
                </c:pt>
                <c:pt idx="468">
                  <c:v>1.6207127882212219E-3</c:v>
                </c:pt>
                <c:pt idx="469">
                  <c:v>1.6211062628549047E-3</c:v>
                </c:pt>
                <c:pt idx="470">
                  <c:v>1.6220322870541047E-3</c:v>
                </c:pt>
                <c:pt idx="471">
                  <c:v>1.6229623405495384E-3</c:v>
                </c:pt>
                <c:pt idx="472">
                  <c:v>1.6238964396053227E-3</c:v>
                </c:pt>
                <c:pt idx="473">
                  <c:v>1.6282207614884932E-3</c:v>
                </c:pt>
                <c:pt idx="474">
                  <c:v>1.6282207614884932E-3</c:v>
                </c:pt>
                <c:pt idx="475">
                  <c:v>1.628628187546414E-3</c:v>
                </c:pt>
                <c:pt idx="476">
                  <c:v>1.6305497748992982E-3</c:v>
                </c:pt>
                <c:pt idx="477">
                  <c:v>1.6305497748992982E-3</c:v>
                </c:pt>
                <c:pt idx="478">
                  <c:v>1.6340247874700776E-3</c:v>
                </c:pt>
                <c:pt idx="479">
                  <c:v>1.634443187834996E-3</c:v>
                </c:pt>
                <c:pt idx="480">
                  <c:v>1.6354271022448322E-3</c:v>
                </c:pt>
                <c:pt idx="481">
                  <c:v>1.636415273654283E-3</c:v>
                </c:pt>
                <c:pt idx="482">
                  <c:v>1.6379784820435689E-3</c:v>
                </c:pt>
                <c:pt idx="483">
                  <c:v>1.6409887695248335E-3</c:v>
                </c:pt>
                <c:pt idx="484">
                  <c:v>1.6420008595379495E-3</c:v>
                </c:pt>
                <c:pt idx="485">
                  <c:v>1.6430173069371657E-3</c:v>
                </c:pt>
                <c:pt idx="486">
                  <c:v>1.6440381278994319E-3</c:v>
                </c:pt>
                <c:pt idx="487">
                  <c:v>1.6450633386008199E-3</c:v>
                </c:pt>
                <c:pt idx="488">
                  <c:v>1.6492084023181394E-3</c:v>
                </c:pt>
                <c:pt idx="489">
                  <c:v>1.6492084023181394E-3</c:v>
                </c:pt>
                <c:pt idx="490">
                  <c:v>1.6502558043579646E-3</c:v>
                </c:pt>
                <c:pt idx="491">
                  <c:v>1.6513076931955364E-3</c:v>
                </c:pt>
                <c:pt idx="492">
                  <c:v>1.654797680942698E-3</c:v>
                </c:pt>
                <c:pt idx="493">
                  <c:v>1.6561736559501735E-3</c:v>
                </c:pt>
                <c:pt idx="494">
                  <c:v>1.6566350055257097E-3</c:v>
                </c:pt>
                <c:pt idx="495">
                  <c:v>1.6577141548582417E-3</c:v>
                </c:pt>
                <c:pt idx="496">
                  <c:v>1.6587979042258518E-3</c:v>
                </c:pt>
                <c:pt idx="497">
                  <c:v>1.6598862698063684E-3</c:v>
                </c:pt>
                <c:pt idx="498">
                  <c:v>1.6631792255922201E-3</c:v>
                </c:pt>
                <c:pt idx="499">
                  <c:v>1.6642862177938614E-3</c:v>
                </c:pt>
                <c:pt idx="500">
                  <c:v>1.665397907094476E-3</c:v>
                </c:pt>
                <c:pt idx="501">
                  <c:v>1.6665143096714532E-3</c:v>
                </c:pt>
                <c:pt idx="502">
                  <c:v>1.6676354417021822E-3</c:v>
                </c:pt>
                <c:pt idx="503">
                  <c:v>1.6690954855835827E-3</c:v>
                </c:pt>
                <c:pt idx="504">
                  <c:v>1.6721675879191814E-3</c:v>
                </c:pt>
                <c:pt idx="505">
                  <c:v>1.6726621520993046E-3</c:v>
                </c:pt>
                <c:pt idx="506">
                  <c:v>1.6775928857733417E-3</c:v>
                </c:pt>
                <c:pt idx="507">
                  <c:v>1.6775928857733417E-3</c:v>
                </c:pt>
                <c:pt idx="508">
                  <c:v>1.6791103683343723E-3</c:v>
                </c:pt>
                <c:pt idx="509">
                  <c:v>1.6796194254308909E-3</c:v>
                </c:pt>
                <c:pt idx="510">
                  <c:v>1.6807959734050756E-3</c:v>
                </c:pt>
                <c:pt idx="511">
                  <c:v>1.6819773802686836E-3</c:v>
                </c:pt>
                <c:pt idx="512">
                  <c:v>1.6831636460301063E-3</c:v>
                </c:pt>
                <c:pt idx="513">
                  <c:v>1.6874312741492954E-3</c:v>
                </c:pt>
                <c:pt idx="514">
                  <c:v>1.6879572982292706E-3</c:v>
                </c:pt>
                <c:pt idx="515">
                  <c:v>1.6891678586113729E-3</c:v>
                </c:pt>
                <c:pt idx="516">
                  <c:v>1.6903832779434028E-3</c:v>
                </c:pt>
                <c:pt idx="517">
                  <c:v>1.6916035562350763E-3</c:v>
                </c:pt>
                <c:pt idx="518">
                  <c:v>1.7002815558962629E-3</c:v>
                </c:pt>
                <c:pt idx="519">
                  <c:v>1.7099211635383362E-3</c:v>
                </c:pt>
                <c:pt idx="520">
                  <c:v>1.7190924025004513E-3</c:v>
                </c:pt>
                <c:pt idx="521">
                  <c:v>1.7285017421384454E-3</c:v>
                </c:pt>
                <c:pt idx="522">
                  <c:v>1.7451859969926113E-3</c:v>
                </c:pt>
                <c:pt idx="523">
                  <c:v>1.7480347371049872E-3</c:v>
                </c:pt>
                <c:pt idx="524">
                  <c:v>1.7573496127765891E-3</c:v>
                </c:pt>
                <c:pt idx="525">
                  <c:v>1.7676943305922066E-3</c:v>
                </c:pt>
                <c:pt idx="526">
                  <c:v>1.7782771651637505E-3</c:v>
                </c:pt>
                <c:pt idx="527">
                  <c:v>1.7890981202884038E-3</c:v>
                </c:pt>
                <c:pt idx="528">
                  <c:v>1.8001571998485864E-3</c:v>
                </c:pt>
                <c:pt idx="529">
                  <c:v>1.8114544078119527E-3</c:v>
                </c:pt>
                <c:pt idx="530">
                  <c:v>1.8229897482322768E-3</c:v>
                </c:pt>
                <c:pt idx="531">
                  <c:v>1.834763225247685E-3</c:v>
                </c:pt>
                <c:pt idx="532">
                  <c:v>1.8505658689049443E-3</c:v>
                </c:pt>
                <c:pt idx="533">
                  <c:v>1.8628839299738352E-3</c:v>
                </c:pt>
                <c:pt idx="534">
                  <c:v>1.8764261316943855E-3</c:v>
                </c:pt>
                <c:pt idx="535">
                  <c:v>1.888234529143101E-3</c:v>
                </c:pt>
                <c:pt idx="536">
                  <c:v>1.8982164305379181E-3</c:v>
                </c:pt>
                <c:pt idx="537">
                  <c:v>1.9155750225469293E-3</c:v>
                </c:pt>
                <c:pt idx="538">
                  <c:v>1.933749739333286E-3</c:v>
                </c:pt>
                <c:pt idx="539">
                  <c:v>1.94179376759842E-3</c:v>
                </c:pt>
                <c:pt idx="540">
                  <c:v>1.9568675208265197E-3</c:v>
                </c:pt>
                <c:pt idx="541">
                  <c:v>1.9750598875170251E-3</c:v>
                </c:pt>
                <c:pt idx="542">
                  <c:v>1.9844638917403644E-3</c:v>
                </c:pt>
                <c:pt idx="543">
                  <c:v>1.9991620290504292E-3</c:v>
                </c:pt>
                <c:pt idx="544">
                  <c:v>2.0140954316907383E-3</c:v>
                </c:pt>
                <c:pt idx="545">
                  <c:v>2.0292626340103399E-3</c:v>
                </c:pt>
                <c:pt idx="546">
                  <c:v>2.0446621703976019E-3</c:v>
                </c:pt>
                <c:pt idx="547">
                  <c:v>2.0602925752763236E-3</c:v>
                </c:pt>
                <c:pt idx="548">
                  <c:v>2.0785948909794105E-3</c:v>
                </c:pt>
                <c:pt idx="549">
                  <c:v>2.0885400898333858E-3</c:v>
                </c:pt>
                <c:pt idx="550">
                  <c:v>2.1098062214851589E-3</c:v>
                </c:pt>
                <c:pt idx="551">
                  <c:v>2.125093569396812E-3</c:v>
                </c:pt>
                <c:pt idx="552">
                  <c:v>2.1418563342754625E-3</c:v>
                </c:pt>
                <c:pt idx="553">
                  <c:v>2.15884117487236E-3</c:v>
                </c:pt>
                <c:pt idx="554">
                  <c:v>2.1760466258230263E-3</c:v>
                </c:pt>
                <c:pt idx="555">
                  <c:v>2.1947992640516676E-3</c:v>
                </c:pt>
                <c:pt idx="556">
                  <c:v>2.2111134974405261E-3</c:v>
                </c:pt>
                <c:pt idx="557">
                  <c:v>2.2289719874872887E-3</c:v>
                </c:pt>
                <c:pt idx="558">
                  <c:v>2.2415689618464668E-3</c:v>
                </c:pt>
                <c:pt idx="559">
                  <c:v>2.259796753952218E-3</c:v>
                </c:pt>
                <c:pt idx="560">
                  <c:v>2.2782366279494653E-3</c:v>
                </c:pt>
                <c:pt idx="561">
                  <c:v>2.2968870859892921E-3</c:v>
                </c:pt>
                <c:pt idx="562">
                  <c:v>2.3157466302324977E-3</c:v>
                </c:pt>
                <c:pt idx="563">
                  <c:v>2.3362536013540546E-3</c:v>
                </c:pt>
                <c:pt idx="564">
                  <c:v>2.355541260141971E-3</c:v>
                </c:pt>
                <c:pt idx="565">
                  <c:v>2.375033486147119E-3</c:v>
                </c:pt>
                <c:pt idx="566">
                  <c:v>2.3947287898467081E-3</c:v>
                </c:pt>
                <c:pt idx="567">
                  <c:v>2.4247192642709082E-3</c:v>
                </c:pt>
                <c:pt idx="568">
                  <c:v>2.4332108747630197E-3</c:v>
                </c:pt>
                <c:pt idx="569">
                  <c:v>2.4534930093832153E-3</c:v>
                </c:pt>
                <c:pt idx="570">
                  <c:v>2.4739746109480295E-3</c:v>
                </c:pt>
                <c:pt idx="571">
                  <c:v>2.4962106959708903E-3</c:v>
                </c:pt>
                <c:pt idx="572">
                  <c:v>2.5171056447403552E-3</c:v>
                </c:pt>
                <c:pt idx="573">
                  <c:v>2.5382000821582776E-3</c:v>
                </c:pt>
                <c:pt idx="574">
                  <c:v>2.5594940145940675E-3</c:v>
                </c:pt>
                <c:pt idx="575">
                  <c:v>2.5809874484773077E-3</c:v>
                </c:pt>
                <c:pt idx="576">
                  <c:v>2.601053374789635E-3</c:v>
                </c:pt>
                <c:pt idx="577">
                  <c:v>2.6229314205324212E-3</c:v>
                </c:pt>
                <c:pt idx="578">
                  <c:v>2.6450089841011143E-3</c:v>
                </c:pt>
                <c:pt idx="579">
                  <c:v>2.6672860721255495E-3</c:v>
                </c:pt>
                <c:pt idx="580">
                  <c:v>2.6897626912947403E-3</c:v>
                </c:pt>
                <c:pt idx="581">
                  <c:v>2.7124388483595304E-3</c:v>
                </c:pt>
                <c:pt idx="582">
                  <c:v>2.7353145501290577E-3</c:v>
                </c:pt>
                <c:pt idx="583">
                  <c:v>2.7583898034738495E-3</c:v>
                </c:pt>
                <c:pt idx="584">
                  <c:v>2.788642496022902E-3</c:v>
                </c:pt>
                <c:pt idx="585">
                  <c:v>2.8121746279822736E-3</c:v>
                </c:pt>
                <c:pt idx="586">
                  <c:v>2.837683161025434E-3</c:v>
                </c:pt>
                <c:pt idx="587">
                  <c:v>2.8616289215100199E-3</c:v>
                </c:pt>
                <c:pt idx="588">
                  <c:v>2.8942235058959653E-3</c:v>
                </c:pt>
                <c:pt idx="589">
                  <c:v>2.9101192660583018E-3</c:v>
                </c:pt>
                <c:pt idx="590">
                  <c:v>2.9328292397238732E-3</c:v>
                </c:pt>
                <c:pt idx="591">
                  <c:v>2.9575590043128537E-3</c:v>
                </c:pt>
                <c:pt idx="592">
                  <c:v>2.9862168969419607E-3</c:v>
                </c:pt>
                <c:pt idx="593">
                  <c:v>3.0201815764435945E-3</c:v>
                </c:pt>
                <c:pt idx="594">
                  <c:v>3.0329456129130194E-3</c:v>
                </c:pt>
                <c:pt idx="595">
                  <c:v>3.0584704100334844E-3</c:v>
                </c:pt>
                <c:pt idx="596">
                  <c:v>3.0841888006540984E-3</c:v>
                </c:pt>
                <c:pt idx="597">
                  <c:v>3.110097757872458E-3</c:v>
                </c:pt>
                <c:pt idx="598">
                  <c:v>3.1361942546794331E-3</c:v>
                </c:pt>
                <c:pt idx="599">
                  <c:v>3.1624752639596004E-3</c:v>
                </c:pt>
                <c:pt idx="600">
                  <c:v>3.1948496755187655E-3</c:v>
                </c:pt>
                <c:pt idx="601">
                  <c:v>3.2096410879366689E-3</c:v>
                </c:pt>
                <c:pt idx="602">
                  <c:v>3.2423950938050691E-3</c:v>
                </c:pt>
                <c:pt idx="603">
                  <c:v>3.2713876772636555E-3</c:v>
                </c:pt>
                <c:pt idx="604">
                  <c:v>3.2965420405018124E-3</c:v>
                </c:pt>
                <c:pt idx="605">
                  <c:v>3.3238665487954474E-3</c:v>
                </c:pt>
                <c:pt idx="606">
                  <c:v>3.3513543764968103E-3</c:v>
                </c:pt>
                <c:pt idx="607">
                  <c:v>3.3810482972401203E-3</c:v>
                </c:pt>
                <c:pt idx="608">
                  <c:v>3.4068078776750242E-3</c:v>
                </c:pt>
                <c:pt idx="609">
                  <c:v>3.4347674945972668E-3</c:v>
                </c:pt>
                <c:pt idx="610">
                  <c:v>3.4545864501071841E-3</c:v>
                </c:pt>
                <c:pt idx="611">
                  <c:v>3.4828075244385318E-3</c:v>
                </c:pt>
                <c:pt idx="612">
                  <c:v>3.5111742968347627E-3</c:v>
                </c:pt>
                <c:pt idx="613">
                  <c:v>3.5417833950235713E-3</c:v>
                </c:pt>
                <c:pt idx="614">
                  <c:v>3.5704413996188998E-3</c:v>
                </c:pt>
                <c:pt idx="615">
                  <c:v>3.5992357254296431E-3</c:v>
                </c:pt>
                <c:pt idx="616">
                  <c:v>3.6281632930825615E-3</c:v>
                </c:pt>
                <c:pt idx="617">
                  <c:v>3.6657726176232202E-3</c:v>
                </c:pt>
                <c:pt idx="618">
                  <c:v>3.6864058356489548E-3</c:v>
                </c:pt>
                <c:pt idx="619">
                  <c:v>3.7135611691963858E-3</c:v>
                </c:pt>
                <c:pt idx="620">
                  <c:v>3.7429821550896678E-3</c:v>
                </c:pt>
                <c:pt idx="621">
                  <c:v>3.7725227834525827E-3</c:v>
                </c:pt>
                <c:pt idx="622">
                  <c:v>3.8192996931489739E-3</c:v>
                </c:pt>
                <c:pt idx="623">
                  <c:v>3.8341517652213867E-3</c:v>
                </c:pt>
                <c:pt idx="624">
                  <c:v>3.8640600951579994E-3</c:v>
                </c:pt>
                <c:pt idx="625">
                  <c:v>3.8940880523754408E-3</c:v>
                </c:pt>
                <c:pt idx="626">
                  <c:v>3.9242356422975033E-3</c:v>
                </c:pt>
                <c:pt idx="627">
                  <c:v>3.9826564799126576E-3</c:v>
                </c:pt>
                <c:pt idx="628">
                  <c:v>3.9979493140232187E-3</c:v>
                </c:pt>
                <c:pt idx="629">
                  <c:v>4.0328822825744636E-3</c:v>
                </c:pt>
                <c:pt idx="630">
                  <c:v>4.0591845723435072E-3</c:v>
                </c:pt>
                <c:pt idx="631">
                  <c:v>4.0899816925215248E-3</c:v>
                </c:pt>
                <c:pt idx="632">
                  <c:v>4.1208984807881667E-3</c:v>
                </c:pt>
                <c:pt idx="633">
                  <c:v>4.1540956702890213E-3</c:v>
                </c:pt>
                <c:pt idx="634">
                  <c:v>4.1830910839496587E-3</c:v>
                </c:pt>
                <c:pt idx="635">
                  <c:v>4.2166671498513027E-3</c:v>
                </c:pt>
                <c:pt idx="636">
                  <c:v>4.250381611764836E-3</c:v>
                </c:pt>
                <c:pt idx="637">
                  <c:v>4.2819146723240544E-3</c:v>
                </c:pt>
                <c:pt idx="638">
                  <c:v>4.3135674440029853E-3</c:v>
                </c:pt>
                <c:pt idx="639">
                  <c:v>4.3453399325817888E-3</c:v>
                </c:pt>
                <c:pt idx="640">
                  <c:v>4.3748863932735653E-3</c:v>
                </c:pt>
                <c:pt idx="641">
                  <c:v>4.4068893903412704E-3</c:v>
                </c:pt>
                <c:pt idx="642">
                  <c:v>4.4390121170498212E-3</c:v>
                </c:pt>
                <c:pt idx="643">
                  <c:v>4.4804887043367108E-3</c:v>
                </c:pt>
                <c:pt idx="644">
                  <c:v>4.510632559905069E-3</c:v>
                </c:pt>
                <c:pt idx="645">
                  <c:v>4.5431405758620067E-3</c:v>
                </c:pt>
                <c:pt idx="646">
                  <c:v>4.5710997925590734E-3</c:v>
                </c:pt>
                <c:pt idx="647">
                  <c:v>4.6038296566628199E-3</c:v>
                </c:pt>
                <c:pt idx="648">
                  <c:v>4.6413808768157499E-3</c:v>
                </c:pt>
                <c:pt idx="649">
                  <c:v>4.6672199723031618E-3</c:v>
                </c:pt>
                <c:pt idx="650">
                  <c:v>4.700296954817453E-3</c:v>
                </c:pt>
                <c:pt idx="651">
                  <c:v>4.7334919171469507E-3</c:v>
                </c:pt>
                <c:pt idx="652">
                  <c:v>4.7668045146418824E-3</c:v>
                </c:pt>
                <c:pt idx="653">
                  <c:v>4.8150122037223953E-3</c:v>
                </c:pt>
                <c:pt idx="654">
                  <c:v>4.8362507559680627E-3</c:v>
                </c:pt>
                <c:pt idx="655">
                  <c:v>4.8747425969739386E-3</c:v>
                </c:pt>
                <c:pt idx="656">
                  <c:v>4.9037110904774821E-3</c:v>
                </c:pt>
                <c:pt idx="657">
                  <c:v>4.9376152617931351E-3</c:v>
                </c:pt>
                <c:pt idx="658">
                  <c:v>4.9716349788356869E-3</c:v>
                </c:pt>
                <c:pt idx="659">
                  <c:v>5.0057698988671268E-3</c:v>
                </c:pt>
                <c:pt idx="660">
                  <c:v>5.0400196791433594E-3</c:v>
                </c:pt>
                <c:pt idx="661">
                  <c:v>5.0793024906952535E-3</c:v>
                </c:pt>
                <c:pt idx="662">
                  <c:v>5.103787573592815E-3</c:v>
                </c:pt>
                <c:pt idx="663">
                  <c:v>5.1383629421526827E-3</c:v>
                </c:pt>
                <c:pt idx="664">
                  <c:v>5.1780166196691993E-3</c:v>
                </c:pt>
                <c:pt idx="665">
                  <c:v>5.2128347976609681E-3</c:v>
                </c:pt>
                <c:pt idx="666">
                  <c:v>5.2453395606204475E-3</c:v>
                </c:pt>
                <c:pt idx="667">
                  <c:v>5.2803753253710404E-3</c:v>
                </c:pt>
                <c:pt idx="668">
                  <c:v>5.3205534694055583E-3</c:v>
                </c:pt>
                <c:pt idx="669">
                  <c:v>5.3507828709802785E-3</c:v>
                </c:pt>
                <c:pt idx="670">
                  <c:v>5.3861539623899883E-3</c:v>
                </c:pt>
                <c:pt idx="671">
                  <c:v>5.4293291466758408E-3</c:v>
                </c:pt>
                <c:pt idx="672">
                  <c:v>5.454607630357604E-3</c:v>
                </c:pt>
                <c:pt idx="673">
                  <c:v>5.4903029017846165E-3</c:v>
                </c:pt>
                <c:pt idx="674">
                  <c:v>5.5287473197888929E-3</c:v>
                </c:pt>
                <c:pt idx="675">
                  <c:v>5.5646725570665939E-3</c:v>
                </c:pt>
                <c:pt idx="676">
                  <c:v>5.600708559696594E-3</c:v>
                </c:pt>
                <c:pt idx="677">
                  <c:v>5.6368553337256431E-3</c:v>
                </c:pt>
                <c:pt idx="678">
                  <c:v>5.6783015788439738E-3</c:v>
                </c:pt>
                <c:pt idx="679">
                  <c:v>5.7432710720924963E-3</c:v>
                </c:pt>
                <c:pt idx="680">
                  <c:v>5.7484902061861916E-3</c:v>
                </c:pt>
                <c:pt idx="681">
                  <c:v>5.785087454829637E-3</c:v>
                </c:pt>
                <c:pt idx="682">
                  <c:v>5.8217955003199446E-3</c:v>
                </c:pt>
                <c:pt idx="683">
                  <c:v>5.8586143487832027E-3</c:v>
                </c:pt>
                <c:pt idx="684">
                  <c:v>5.8955440063630689E-3</c:v>
                </c:pt>
                <c:pt idx="685">
                  <c:v>5.9378850218501991E-3</c:v>
                </c:pt>
                <c:pt idx="686">
                  <c:v>5.9697357735421213E-3</c:v>
                </c:pt>
                <c:pt idx="687">
                  <c:v>6.0069978955217341E-3</c:v>
                </c:pt>
                <c:pt idx="688">
                  <c:v>6.0498890102249053E-3</c:v>
                </c:pt>
                <c:pt idx="689">
                  <c:v>6.0873899046590251E-3</c:v>
                </c:pt>
                <c:pt idx="690">
                  <c:v>6.1250016579174407E-3</c:v>
                </c:pt>
                <c:pt idx="691">
                  <c:v>6.1627242763463777E-3</c:v>
                </c:pt>
                <c:pt idx="692">
                  <c:v>6.1977640285163999E-3</c:v>
                </c:pt>
                <c:pt idx="693">
                  <c:v>6.2356998215976935E-3</c:v>
                </c:pt>
                <c:pt idx="694">
                  <c:v>6.2846373362931479E-3</c:v>
                </c:pt>
                <c:pt idx="695">
                  <c:v>6.3228265740674335E-3</c:v>
                </c:pt>
                <c:pt idx="696">
                  <c:v>6.3611267044094153E-3</c:v>
                </c:pt>
                <c:pt idx="697">
                  <c:v>6.4080568119919967E-3</c:v>
                </c:pt>
                <c:pt idx="698">
                  <c:v>6.4465932462627468E-3</c:v>
                </c:pt>
                <c:pt idx="699">
                  <c:v>6.488066834983491E-3</c:v>
                </c:pt>
                <c:pt idx="700">
                  <c:v>6.5239095577805609E-3</c:v>
                </c:pt>
                <c:pt idx="701">
                  <c:v>6.5540970057772546E-3</c:v>
                </c:pt>
                <c:pt idx="702">
                  <c:v>6.5928926999177587E-3</c:v>
                </c:pt>
                <c:pt idx="703">
                  <c:v>6.6317211760784211E-3</c:v>
                </c:pt>
                <c:pt idx="704">
                  <c:v>6.6819541427564763E-3</c:v>
                </c:pt>
                <c:pt idx="705">
                  <c:v>6.7179417406717078E-3</c:v>
                </c:pt>
                <c:pt idx="706">
                  <c:v>6.7595912074142504E-3</c:v>
                </c:pt>
                <c:pt idx="707">
                  <c:v>6.7955457086614976E-3</c:v>
                </c:pt>
                <c:pt idx="708">
                  <c:v>6.83428758863184E-3</c:v>
                </c:pt>
                <c:pt idx="709">
                  <c:v>6.8645525052327631E-3</c:v>
                </c:pt>
                <c:pt idx="710">
                  <c:v>6.9115783813028337E-3</c:v>
                </c:pt>
                <c:pt idx="711">
                  <c:v>6.9500981868558251E-3</c:v>
                </c:pt>
                <c:pt idx="712">
                  <c:v>6.9885148585456473E-3</c:v>
                </c:pt>
                <c:pt idx="713">
                  <c:v>7.0185560317380501E-3</c:v>
                </c:pt>
                <c:pt idx="714">
                  <c:v>7.0512865232920229E-3</c:v>
                </c:pt>
                <c:pt idx="715">
                  <c:v>7.0893871269338124E-3</c:v>
                </c:pt>
                <c:pt idx="716">
                  <c:v>7.1273295225031041E-3</c:v>
                </c:pt>
                <c:pt idx="717">
                  <c:v>7.1650987491487742E-3</c:v>
                </c:pt>
                <c:pt idx="718">
                  <c:v>7.2053541544615024E-3</c:v>
                </c:pt>
                <c:pt idx="719">
                  <c:v>7.2427139918606071E-3</c:v>
                </c:pt>
                <c:pt idx="720">
                  <c:v>7.279855452874605E-3</c:v>
                </c:pt>
                <c:pt idx="721">
                  <c:v>7.3167636541417004E-3</c:v>
                </c:pt>
                <c:pt idx="722">
                  <c:v>7.3560220059116308E-3</c:v>
                </c:pt>
                <c:pt idx="723">
                  <c:v>7.3898207460926912E-3</c:v>
                </c:pt>
                <c:pt idx="724">
                  <c:v>7.4233813895090654E-3</c:v>
                </c:pt>
                <c:pt idx="725">
                  <c:v>7.4592473499855375E-3</c:v>
                </c:pt>
                <c:pt idx="726">
                  <c:v>7.4948374923369853E-3</c:v>
                </c:pt>
                <c:pt idx="727">
                  <c:v>7.5326570654469689E-3</c:v>
                </c:pt>
                <c:pt idx="728">
                  <c:v>7.5676765549358808E-3</c:v>
                </c:pt>
                <c:pt idx="729">
                  <c:v>7.6024201788772441E-3</c:v>
                </c:pt>
                <c:pt idx="730">
                  <c:v>7.6368879227679352E-3</c:v>
                </c:pt>
                <c:pt idx="731">
                  <c:v>7.6904940954375329E-3</c:v>
                </c:pt>
                <c:pt idx="732">
                  <c:v>7.702585346481306E-3</c:v>
                </c:pt>
                <c:pt idx="733">
                  <c:v>7.7362443546899915E-3</c:v>
                </c:pt>
                <c:pt idx="734">
                  <c:v>7.769627429783205E-3</c:v>
                </c:pt>
                <c:pt idx="735">
                  <c:v>7.8027345579019768E-3</c:v>
                </c:pt>
                <c:pt idx="736">
                  <c:v>7.8355657253026036E-3</c:v>
                </c:pt>
                <c:pt idx="737">
                  <c:v>7.8727491309106279E-3</c:v>
                </c:pt>
                <c:pt idx="738">
                  <c:v>7.90040012354035E-3</c:v>
                </c:pt>
                <c:pt idx="739">
                  <c:v>7.932403327461101E-3</c:v>
                </c:pt>
                <c:pt idx="740">
                  <c:v>7.9754043675015554E-3</c:v>
                </c:pt>
                <c:pt idx="741">
                  <c:v>8.0067604106317091E-3</c:v>
                </c:pt>
                <c:pt idx="742">
                  <c:v>8.0400517604611657E-3</c:v>
                </c:pt>
                <c:pt idx="743">
                  <c:v>8.0686442960851562E-3</c:v>
                </c:pt>
                <c:pt idx="744">
                  <c:v>8.0926415173042509E-3</c:v>
                </c:pt>
                <c:pt idx="745">
                  <c:v>8.1229503574566531E-3</c:v>
                </c:pt>
                <c:pt idx="746">
                  <c:v>8.1529830965741245E-3</c:v>
                </c:pt>
                <c:pt idx="747">
                  <c:v>8.182739722048608E-3</c:v>
                </c:pt>
                <c:pt idx="748">
                  <c:v>8.2143076602654835E-3</c:v>
                </c:pt>
                <c:pt idx="749">
                  <c:v>8.2476701296595838E-3</c:v>
                </c:pt>
                <c:pt idx="750">
                  <c:v>8.2765554678076274E-3</c:v>
                </c:pt>
                <c:pt idx="751">
                  <c:v>8.3052011940099035E-3</c:v>
                </c:pt>
                <c:pt idx="752">
                  <c:v>8.3336305667987137E-3</c:v>
                </c:pt>
                <c:pt idx="753">
                  <c:v>8.3557606598512087E-3</c:v>
                </c:pt>
                <c:pt idx="754">
                  <c:v>8.3838400323421967E-3</c:v>
                </c:pt>
                <c:pt idx="755">
                  <c:v>8.4117648296840025E-3</c:v>
                </c:pt>
                <c:pt idx="756">
                  <c:v>8.4395586955446321E-3</c:v>
                </c:pt>
                <c:pt idx="757">
                  <c:v>8.4753821390488576E-3</c:v>
                </c:pt>
                <c:pt idx="758">
                  <c:v>8.5030079244091273E-3</c:v>
                </c:pt>
                <c:pt idx="759">
                  <c:v>8.5285322940893554E-3</c:v>
                </c:pt>
                <c:pt idx="760">
                  <c:v>8.55606831498377E-3</c:v>
                </c:pt>
                <c:pt idx="761">
                  <c:v>8.5835973716584472E-3</c:v>
                </c:pt>
                <c:pt idx="762">
                  <c:v>8.6111427362674815E-3</c:v>
                </c:pt>
                <c:pt idx="763">
                  <c:v>8.6387276822839157E-3</c:v>
                </c:pt>
                <c:pt idx="764">
                  <c:v>8.6663754845048915E-3</c:v>
                </c:pt>
                <c:pt idx="765">
                  <c:v>8.694109419053804E-3</c:v>
                </c:pt>
                <c:pt idx="766">
                  <c:v>8.7112072544219803E-3</c:v>
                </c:pt>
                <c:pt idx="767">
                  <c:v>8.7390809668492254E-3</c:v>
                </c:pt>
                <c:pt idx="768">
                  <c:v>8.7671054718147044E-3</c:v>
                </c:pt>
                <c:pt idx="769">
                  <c:v>8.7993488073583297E-3</c:v>
                </c:pt>
                <c:pt idx="770">
                  <c:v>8.8259343959768057E-3</c:v>
                </c:pt>
                <c:pt idx="771">
                  <c:v>8.8545786162283566E-3</c:v>
                </c:pt>
                <c:pt idx="772">
                  <c:v>8.8834698565203769E-3</c:v>
                </c:pt>
                <c:pt idx="773">
                  <c:v>8.9126319129037047E-3</c:v>
                </c:pt>
                <c:pt idx="774">
                  <c:v>8.9420885829304061E-3</c:v>
                </c:pt>
                <c:pt idx="775">
                  <c:v>8.9742210289023121E-3</c:v>
                </c:pt>
                <c:pt idx="776">
                  <c:v>8.9995968799969888E-3</c:v>
                </c:pt>
                <c:pt idx="777">
                  <c:v>9.0300272332136961E-3</c:v>
                </c:pt>
                <c:pt idx="778">
                  <c:v>9.0607998186645559E-3</c:v>
                </c:pt>
                <c:pt idx="779">
                  <c:v>9.0943704286426726E-3</c:v>
                </c:pt>
                <c:pt idx="780">
                  <c:v>9.1258527706902636E-3</c:v>
                </c:pt>
                <c:pt idx="781">
                  <c:v>9.1576774055020984E-3</c:v>
                </c:pt>
                <c:pt idx="782">
                  <c:v>9.1944675717957509E-3</c:v>
                </c:pt>
                <c:pt idx="783">
                  <c:v>9.2432092250997935E-3</c:v>
                </c:pt>
                <c:pt idx="784">
                  <c:v>9.2573405254162237E-3</c:v>
                </c:pt>
                <c:pt idx="785">
                  <c:v>9.2905580967528809E-3</c:v>
                </c:pt>
                <c:pt idx="786">
                  <c:v>9.3241180340849824E-3</c:v>
                </c:pt>
                <c:pt idx="787">
                  <c:v>9.3580203546451499E-3</c:v>
                </c:pt>
                <c:pt idx="788">
                  <c:v>9.3922650758395728E-3</c:v>
                </c:pt>
                <c:pt idx="789">
                  <c:v>9.4445034017603419E-3</c:v>
                </c:pt>
                <c:pt idx="790">
                  <c:v>9.461781790641409E-3</c:v>
                </c:pt>
                <c:pt idx="791">
                  <c:v>9.4970538199427006E-3</c:v>
                </c:pt>
                <c:pt idx="792">
                  <c:v>9.543837552425518E-3</c:v>
                </c:pt>
                <c:pt idx="793">
                  <c:v>9.5798962308945839E-3</c:v>
                </c:pt>
                <c:pt idx="794">
                  <c:v>9.6191468311740223E-3</c:v>
                </c:pt>
                <c:pt idx="795">
                  <c:v>9.6530413020560601E-3</c:v>
                </c:pt>
                <c:pt idx="796">
                  <c:v>9.6901277331385184E-3</c:v>
                </c:pt>
                <c:pt idx="797">
                  <c:v>9.730482551886457E-3</c:v>
                </c:pt>
                <c:pt idx="798">
                  <c:v>9.781141935153467E-3</c:v>
                </c:pt>
                <c:pt idx="799">
                  <c:v>9.8034428425181411E-3</c:v>
                </c:pt>
                <c:pt idx="800">
                  <c:v>9.8806992187710132E-3</c:v>
                </c:pt>
                <c:pt idx="801">
                  <c:v>9.8806992187710132E-3</c:v>
                </c:pt>
                <c:pt idx="802">
                  <c:v>9.9198269526861848E-3</c:v>
                </c:pt>
                <c:pt idx="803">
                  <c:v>9.9592529121645193E-3</c:v>
                </c:pt>
                <c:pt idx="804">
                  <c:v>9.9989459524591276E-3</c:v>
                </c:pt>
                <c:pt idx="805">
                  <c:v>1.0038874926412507E-2</c:v>
                </c:pt>
                <c:pt idx="806">
                  <c:v>1.0079008684414201E-2</c:v>
                </c:pt>
                <c:pt idx="807">
                  <c:v>1.0119316074368386E-2</c:v>
                </c:pt>
                <c:pt idx="808">
                  <c:v>1.0165952703438154E-2</c:v>
                </c:pt>
                <c:pt idx="809">
                  <c:v>1.0206504546281411E-2</c:v>
                </c:pt>
                <c:pt idx="810">
                  <c:v>1.0244050337637541E-2</c:v>
                </c:pt>
                <c:pt idx="811">
                  <c:v>1.0281658823227478E-2</c:v>
                </c:pt>
                <c:pt idx="812">
                  <c:v>1.0322367002654624E-2</c:v>
                </c:pt>
                <c:pt idx="813">
                  <c:v>1.0366104730278073E-2</c:v>
                </c:pt>
                <c:pt idx="814">
                  <c:v>1.0403712188914612E-2</c:v>
                </c:pt>
                <c:pt idx="815">
                  <c:v>1.0444286853026199E-2</c:v>
                </c:pt>
                <c:pt idx="816">
                  <c:v>1.048475466500718E-2</c:v>
                </c:pt>
                <c:pt idx="817">
                  <c:v>1.0525084447059487E-2</c:v>
                </c:pt>
                <c:pt idx="818">
                  <c:v>1.0553483130373187E-2</c:v>
                </c:pt>
                <c:pt idx="819">
                  <c:v>1.0593551119006251E-2</c:v>
                </c:pt>
                <c:pt idx="820">
                  <c:v>1.0633393055171077E-2</c:v>
                </c:pt>
                <c:pt idx="821">
                  <c:v>1.0692702024074267E-2</c:v>
                </c:pt>
                <c:pt idx="822">
                  <c:v>1.0715100945548789E-2</c:v>
                </c:pt>
                <c:pt idx="823">
                  <c:v>1.0765204106907825E-2</c:v>
                </c:pt>
                <c:pt idx="824">
                  <c:v>1.0792628911711287E-2</c:v>
                </c:pt>
                <c:pt idx="825">
                  <c:v>1.0830829791080965E-2</c:v>
                </c:pt>
                <c:pt idx="826">
                  <c:v>1.0868612988821139E-2</c:v>
                </c:pt>
                <c:pt idx="827">
                  <c:v>1.0913929726343108E-2</c:v>
                </c:pt>
                <c:pt idx="828">
                  <c:v>1.0940170804677886E-2</c:v>
                </c:pt>
                <c:pt idx="829">
                  <c:v>1.0976580912909721E-2</c:v>
                </c:pt>
                <c:pt idx="830">
                  <c:v>1.1012509873122892E-2</c:v>
                </c:pt>
                <c:pt idx="831">
                  <c:v>1.1050491791319898E-2</c:v>
                </c:pt>
                <c:pt idx="832">
                  <c:v>1.1085425073999206E-2</c:v>
                </c:pt>
                <c:pt idx="833">
                  <c:v>1.1119877118628226E-2</c:v>
                </c:pt>
                <c:pt idx="834">
                  <c:v>1.1177818079597562E-2</c:v>
                </c:pt>
                <c:pt idx="835">
                  <c:v>1.1187337393976518E-2</c:v>
                </c:pt>
                <c:pt idx="836">
                  <c:v>1.1217978096816397E-2</c:v>
                </c:pt>
                <c:pt idx="837">
                  <c:v>1.1250538313598176E-2</c:v>
                </c:pt>
                <c:pt idx="838">
                  <c:v>1.128261718444447E-2</c:v>
                </c:pt>
                <c:pt idx="839">
                  <c:v>1.1314214686179562E-2</c:v>
                </c:pt>
                <c:pt idx="840">
                  <c:v>1.134533079597398E-2</c:v>
                </c:pt>
                <c:pt idx="841">
                  <c:v>1.1375965491347142E-2</c:v>
                </c:pt>
                <c:pt idx="842">
                  <c:v>1.1406118750166035E-2</c:v>
                </c:pt>
                <c:pt idx="843">
                  <c:v>1.1435790550643888E-2</c:v>
                </c:pt>
                <c:pt idx="844">
                  <c:v>1.1473362439987051E-2</c:v>
                </c:pt>
                <c:pt idx="845">
                  <c:v>1.1501937312104409E-2</c:v>
                </c:pt>
                <c:pt idx="846">
                  <c:v>1.1532051119210846E-2</c:v>
                </c:pt>
                <c:pt idx="847">
                  <c:v>1.1557642296122364E-2</c:v>
                </c:pt>
                <c:pt idx="848">
                  <c:v>1.1578893035349211E-2</c:v>
                </c:pt>
                <c:pt idx="849">
                  <c:v>1.1622621270241468E-2</c:v>
                </c:pt>
                <c:pt idx="850">
                  <c:v>1.1637587565738773E-2</c:v>
                </c:pt>
                <c:pt idx="851">
                  <c:v>1.1663272654824452E-2</c:v>
                </c:pt>
                <c:pt idx="852">
                  <c:v>1.1690295209929232E-2</c:v>
                </c:pt>
                <c:pt idx="853">
                  <c:v>1.1721871081900086E-2</c:v>
                </c:pt>
                <c:pt idx="854">
                  <c:v>1.1737443916221417E-2</c:v>
                </c:pt>
                <c:pt idx="855">
                  <c:v>1.1761245934236346E-2</c:v>
                </c:pt>
                <c:pt idx="856">
                  <c:v>1.1784641328608412E-2</c:v>
                </c:pt>
                <c:pt idx="857">
                  <c:v>1.1807667658499447E-2</c:v>
                </c:pt>
                <c:pt idx="858">
                  <c:v>1.183036248506191E-2</c:v>
                </c:pt>
                <c:pt idx="859">
                  <c:v>1.1852763371372773E-2</c:v>
                </c:pt>
                <c:pt idx="860">
                  <c:v>1.1878252556524804E-2</c:v>
                </c:pt>
                <c:pt idx="861">
                  <c:v>1.189182244500135E-2</c:v>
                </c:pt>
                <c:pt idx="862">
                  <c:v>1.1920255709105031E-2</c:v>
                </c:pt>
                <c:pt idx="863">
                  <c:v>1.1940178839821021E-2</c:v>
                </c:pt>
                <c:pt idx="864">
                  <c:v>1.196167353457204E-2</c:v>
                </c:pt>
                <c:pt idx="865">
                  <c:v>1.1983099705082509E-2</c:v>
                </c:pt>
                <c:pt idx="866">
                  <c:v>1.2004494926621159E-2</c:v>
                </c:pt>
                <c:pt idx="867">
                  <c:v>1.2027646968956732E-2</c:v>
                </c:pt>
                <c:pt idx="868">
                  <c:v>1.204734283208574E-2</c:v>
                </c:pt>
                <c:pt idx="869">
                  <c:v>1.2068870674776936E-2</c:v>
                </c:pt>
                <c:pt idx="870">
                  <c:v>1.2085061103892807E-2</c:v>
                </c:pt>
                <c:pt idx="871">
                  <c:v>1.2106778240194394E-2</c:v>
                </c:pt>
                <c:pt idx="872">
                  <c:v>1.212868466743495E-2</c:v>
                </c:pt>
                <c:pt idx="873">
                  <c:v>1.2150818587804894E-2</c:v>
                </c:pt>
                <c:pt idx="874">
                  <c:v>1.2171280646439934E-2</c:v>
                </c:pt>
                <c:pt idx="875">
                  <c:v>1.2201859955632095E-2</c:v>
                </c:pt>
                <c:pt idx="876">
                  <c:v>1.2225012693892307E-2</c:v>
                </c:pt>
                <c:pt idx="877">
                  <c:v>1.2248547922822576E-2</c:v>
                </c:pt>
                <c:pt idx="878">
                  <c:v>1.2274598941936408E-2</c:v>
                </c:pt>
                <c:pt idx="879">
                  <c:v>1.2303241259048253E-2</c:v>
                </c:pt>
                <c:pt idx="880">
                  <c:v>1.2315334019016069E-2</c:v>
                </c:pt>
                <c:pt idx="881">
                  <c:v>1.2340639869891078E-2</c:v>
                </c:pt>
                <c:pt idx="882">
                  <c:v>1.2366457091122258E-2</c:v>
                </c:pt>
                <c:pt idx="883">
                  <c:v>1.2399611795031724E-2</c:v>
                </c:pt>
                <c:pt idx="884">
                  <c:v>1.2426564193190222E-2</c:v>
                </c:pt>
                <c:pt idx="885">
                  <c:v>1.2454028086091929E-2</c:v>
                </c:pt>
                <c:pt idx="886">
                  <c:v>1.2482003495245262E-2</c:v>
                </c:pt>
                <c:pt idx="887">
                  <c:v>1.2503214462592565E-2</c:v>
                </c:pt>
                <c:pt idx="888">
                  <c:v>1.2532100337462193E-2</c:v>
                </c:pt>
                <c:pt idx="889">
                  <c:v>1.2561497730202077E-2</c:v>
                </c:pt>
                <c:pt idx="890">
                  <c:v>1.2591406663461795E-2</c:v>
                </c:pt>
                <c:pt idx="891">
                  <c:v>1.2621827160286649E-2</c:v>
                </c:pt>
                <c:pt idx="892">
                  <c:v>1.2652759244115911E-2</c:v>
                </c:pt>
                <c:pt idx="893">
                  <c:v>1.2684202938782823E-2</c:v>
                </c:pt>
                <c:pt idx="894">
                  <c:v>1.2716158268515477E-2</c:v>
                </c:pt>
                <c:pt idx="895">
                  <c:v>1.2748625257937254E-2</c:v>
                </c:pt>
                <c:pt idx="896">
                  <c:v>1.2789895999170936E-2</c:v>
                </c:pt>
                <c:pt idx="897">
                  <c:v>1.2823499621327379E-2</c:v>
                </c:pt>
                <c:pt idx="898">
                  <c:v>1.2860461931911918E-2</c:v>
                </c:pt>
                <c:pt idx="899">
                  <c:v>1.289512699128717E-2</c:v>
                </c:pt>
                <c:pt idx="900">
                  <c:v>1.2941813537536874E-2</c:v>
                </c:pt>
                <c:pt idx="901">
                  <c:v>1.2963032435470945E-2</c:v>
                </c:pt>
                <c:pt idx="902">
                  <c:v>1.3002193579278721E-2</c:v>
                </c:pt>
                <c:pt idx="903">
                  <c:v>1.3035870221788795E-2</c:v>
                </c:pt>
                <c:pt idx="904">
                  <c:v>1.3073057058552429E-2</c:v>
                </c:pt>
                <c:pt idx="905">
                  <c:v>1.3129397704808541E-2</c:v>
                </c:pt>
                <c:pt idx="906">
                  <c:v>1.3148962982207121E-2</c:v>
                </c:pt>
                <c:pt idx="907">
                  <c:v>1.3187659431587288E-2</c:v>
                </c:pt>
                <c:pt idx="908">
                  <c:v>1.3226822576254843E-2</c:v>
                </c:pt>
                <c:pt idx="909">
                  <c:v>1.3256726955935645E-2</c:v>
                </c:pt>
                <c:pt idx="910">
                  <c:v>1.3306458270805128E-2</c:v>
                </c:pt>
                <c:pt idx="911">
                  <c:v>1.3346885476507123E-2</c:v>
                </c:pt>
                <c:pt idx="912">
                  <c:v>1.3390993259139457E-2</c:v>
                </c:pt>
                <c:pt idx="913">
                  <c:v>1.3428845232235292E-2</c:v>
                </c:pt>
                <c:pt idx="914">
                  <c:v>1.3470332428228288E-2</c:v>
                </c:pt>
                <c:pt idx="915">
                  <c:v>1.3515477005652038E-2</c:v>
                </c:pt>
                <c:pt idx="916">
                  <c:v>1.3554208058345323E-2</c:v>
                </c:pt>
                <c:pt idx="917">
                  <c:v>1.3596551127848759E-2</c:v>
                </c:pt>
                <c:pt idx="918">
                  <c:v>1.3639134120836952E-2</c:v>
                </c:pt>
                <c:pt idx="919">
                  <c:v>1.3681934350360933E-2</c:v>
                </c:pt>
                <c:pt idx="920">
                  <c:v>1.3724929127564933E-2</c:v>
                </c:pt>
                <c:pt idx="921">
                  <c:v>1.3768095761663485E-2</c:v>
                </c:pt>
                <c:pt idx="922">
                  <c:v>1.3801240337105041E-2</c:v>
                </c:pt>
                <c:pt idx="923">
                  <c:v>1.3841290235524035E-2</c:v>
                </c:pt>
                <c:pt idx="924">
                  <c:v>1.3884838824131964E-2</c:v>
                </c:pt>
                <c:pt idx="925">
                  <c:v>1.3931861314161209E-2</c:v>
                </c:pt>
                <c:pt idx="926">
                  <c:v>1.3972167105107599E-2</c:v>
                </c:pt>
                <c:pt idx="927">
                  <c:v>1.4019284199550987E-2</c:v>
                </c:pt>
                <c:pt idx="928">
                  <c:v>1.40630290901176E-2</c:v>
                </c:pt>
                <c:pt idx="929">
                  <c:v>1.4120266989775853E-2</c:v>
                </c:pt>
                <c:pt idx="930">
                  <c:v>1.4150470376203289E-2</c:v>
                </c:pt>
                <c:pt idx="931">
                  <c:v>1.4190753168802528E-2</c:v>
                </c:pt>
                <c:pt idx="932">
                  <c:v>1.4234330944048535E-2</c:v>
                </c:pt>
                <c:pt idx="933">
                  <c:v>1.427782140715338E-2</c:v>
                </c:pt>
                <c:pt idx="934">
                  <c:v>1.4321224247907303E-2</c:v>
                </c:pt>
                <c:pt idx="935">
                  <c:v>1.4367888733774524E-2</c:v>
                </c:pt>
                <c:pt idx="936">
                  <c:v>1.4411111773637389E-2</c:v>
                </c:pt>
                <c:pt idx="937">
                  <c:v>1.4454247175214615E-2</c:v>
                </c:pt>
                <c:pt idx="938">
                  <c:v>1.4497294932774962E-2</c:v>
                </c:pt>
                <c:pt idx="939">
                  <c:v>1.4601474566416563E-2</c:v>
                </c:pt>
                <c:pt idx="940">
                  <c:v>1.4604262679644214E-2</c:v>
                </c:pt>
                <c:pt idx="941">
                  <c:v>1.4647001908713637E-2</c:v>
                </c:pt>
                <c:pt idx="942">
                  <c:v>1.4692968402586335E-2</c:v>
                </c:pt>
                <c:pt idx="943">
                  <c:v>1.4732217347779887E-2</c:v>
                </c:pt>
                <c:pt idx="944">
                  <c:v>1.4774693546512794E-2</c:v>
                </c:pt>
                <c:pt idx="945">
                  <c:v>1.4823130400219502E-2</c:v>
                </c:pt>
                <c:pt idx="946">
                  <c:v>1.4859382874305159E-2</c:v>
                </c:pt>
                <c:pt idx="947">
                  <c:v>1.490488828603145E-2</c:v>
                </c:pt>
                <c:pt idx="948">
                  <c:v>1.4953583679879564E-2</c:v>
                </c:pt>
                <c:pt idx="949">
                  <c:v>1.4995607808874937E-2</c:v>
                </c:pt>
                <c:pt idx="950">
                  <c:v>1.5037544224415115E-2</c:v>
                </c:pt>
                <c:pt idx="951">
                  <c:v>1.5079392920863736E-2</c:v>
                </c:pt>
                <c:pt idx="952">
                  <c:v>1.5117884903693975E-2</c:v>
                </c:pt>
                <c:pt idx="953">
                  <c:v>1.5159562666362791E-2</c:v>
                </c:pt>
                <c:pt idx="954">
                  <c:v>1.5201152692406211E-2</c:v>
                </c:pt>
                <c:pt idx="955">
                  <c:v>1.525449665496356E-2</c:v>
                </c:pt>
                <c:pt idx="956">
                  <c:v>1.5308882536425313E-2</c:v>
                </c:pt>
                <c:pt idx="957">
                  <c:v>1.534692209927882E-2</c:v>
                </c:pt>
                <c:pt idx="958">
                  <c:v>1.5388122495209437E-2</c:v>
                </c:pt>
                <c:pt idx="959">
                  <c:v>1.5432470166442653E-2</c:v>
                </c:pt>
                <c:pt idx="960">
                  <c:v>1.5460566372981375E-2</c:v>
                </c:pt>
                <c:pt idx="961">
                  <c:v>1.5501517007983698E-2</c:v>
                </c:pt>
                <c:pt idx="962">
                  <c:v>1.5542379860652052E-2</c:v>
                </c:pt>
                <c:pt idx="963">
                  <c:v>1.5583154925524575E-2</c:v>
                </c:pt>
                <c:pt idx="964">
                  <c:v>1.5633481626290305E-2</c:v>
                </c:pt>
                <c:pt idx="965">
                  <c:v>1.5674067555533498E-2</c:v>
                </c:pt>
                <c:pt idx="966">
                  <c:v>1.5717769115690339E-2</c:v>
                </c:pt>
                <c:pt idx="967">
                  <c:v>1.5754975999197025E-2</c:v>
                </c:pt>
                <c:pt idx="968">
                  <c:v>1.5795298502624865E-2</c:v>
                </c:pt>
                <c:pt idx="969">
                  <c:v>1.5825961466628485E-2</c:v>
                </c:pt>
                <c:pt idx="970">
                  <c:v>1.5875680045278256E-2</c:v>
                </c:pt>
                <c:pt idx="971">
                  <c:v>1.5915739073583086E-2</c:v>
                </c:pt>
                <c:pt idx="972">
                  <c:v>1.5955710265944237E-2</c:v>
                </c:pt>
                <c:pt idx="973">
                  <c:v>1.5986076052113714E-2</c:v>
                </c:pt>
                <c:pt idx="974">
                  <c:v>1.6019547380340386E-2</c:v>
                </c:pt>
                <c:pt idx="975">
                  <c:v>1.6059277595390647E-2</c:v>
                </c:pt>
                <c:pt idx="976">
                  <c:v>1.6098919952578481E-2</c:v>
                </c:pt>
                <c:pt idx="977">
                  <c:v>1.613847444666212E-2</c:v>
                </c:pt>
                <c:pt idx="978">
                  <c:v>1.6181092047792826E-2</c:v>
                </c:pt>
                <c:pt idx="979">
                  <c:v>1.6220466287237102E-2</c:v>
                </c:pt>
                <c:pt idx="980">
                  <c:v>1.6259752647867262E-2</c:v>
                </c:pt>
                <c:pt idx="981">
                  <c:v>1.6298951124459352E-2</c:v>
                </c:pt>
                <c:pt idx="982">
                  <c:v>1.6338061711800397E-2</c:v>
                </c:pt>
                <c:pt idx="983">
                  <c:v>1.637708440468973E-2</c:v>
                </c:pt>
                <c:pt idx="984">
                  <c:v>1.6412895300392267E-2</c:v>
                </c:pt>
                <c:pt idx="985">
                  <c:v>1.6451746702302254E-2</c:v>
                </c:pt>
                <c:pt idx="986">
                  <c:v>1.6490510194445702E-2</c:v>
                </c:pt>
                <c:pt idx="987">
                  <c:v>1.6532296128116065E-2</c:v>
                </c:pt>
                <c:pt idx="988">
                  <c:v>1.6570879271138563E-2</c:v>
                </c:pt>
                <c:pt idx="989">
                  <c:v>1.6609374488747296E-2</c:v>
                </c:pt>
                <c:pt idx="990">
                  <c:v>1.6669689316028066E-2</c:v>
                </c:pt>
                <c:pt idx="991">
                  <c:v>1.6707958416235513E-2</c:v>
                </c:pt>
                <c:pt idx="992">
                  <c:v>1.6721244755932018E-2</c:v>
                </c:pt>
                <c:pt idx="993">
                  <c:v>1.6759392736810971E-2</c:v>
                </c:pt>
                <c:pt idx="994">
                  <c:v>1.6797452767233281E-2</c:v>
                </c:pt>
                <c:pt idx="995">
                  <c:v>1.6835424842164302E-2</c:v>
                </c:pt>
                <c:pt idx="996">
                  <c:v>1.6873308956581755E-2</c:v>
                </c:pt>
                <c:pt idx="997">
                  <c:v>1.6911105105474399E-2</c:v>
                </c:pt>
                <c:pt idx="998">
                  <c:v>1.6948813283842474E-2</c:v>
                </c:pt>
                <c:pt idx="999">
                  <c:v>1.6986433486697712E-2</c:v>
                </c:pt>
                <c:pt idx="1000">
                  <c:v>1.7039220533906673E-2</c:v>
                </c:pt>
                <c:pt idx="1001">
                  <c:v>1.7076642169553256E-2</c:v>
                </c:pt>
                <c:pt idx="1002">
                  <c:v>1.7123097531340833E-2</c:v>
                </c:pt>
                <c:pt idx="1003">
                  <c:v>1.7151221454631171E-2</c:v>
                </c:pt>
                <c:pt idx="1004">
                  <c:v>1.7179281467103239E-2</c:v>
                </c:pt>
                <c:pt idx="1005">
                  <c:v>1.7216364666688841E-2</c:v>
                </c:pt>
                <c:pt idx="1006">
                  <c:v>1.7253359854645853E-2</c:v>
                </c:pt>
                <c:pt idx="1007">
                  <c:v>1.7290267026026544E-2</c:v>
                </c:pt>
                <c:pt idx="1008">
                  <c:v>1.7327086175894534E-2</c:v>
                </c:pt>
                <c:pt idx="1009">
                  <c:v>1.7372847001363038E-2</c:v>
                </c:pt>
                <c:pt idx="1010">
                  <c:v>1.7409475807937121E-2</c:v>
                </c:pt>
                <c:pt idx="1011">
                  <c:v>1.7449014731893617E-2</c:v>
                </c:pt>
                <c:pt idx="1012">
                  <c:v>1.7482463747225268E-2</c:v>
                </c:pt>
                <c:pt idx="1013">
                  <c:v>1.7509849380290144E-2</c:v>
                </c:pt>
                <c:pt idx="1014">
                  <c:v>1.7546129741153028E-2</c:v>
                </c:pt>
                <c:pt idx="1015">
                  <c:v>1.7582317190784416E-2</c:v>
                </c:pt>
                <c:pt idx="1016">
                  <c:v>1.7630309486752607E-2</c:v>
                </c:pt>
                <c:pt idx="1017">
                  <c:v>1.7663318080727082E-2</c:v>
                </c:pt>
                <c:pt idx="1018">
                  <c:v>1.770216777463093E-2</c:v>
                </c:pt>
                <c:pt idx="1019">
                  <c:v>1.7734994517665928E-2</c:v>
                </c:pt>
                <c:pt idx="1020">
                  <c:v>1.7770686535777295E-2</c:v>
                </c:pt>
                <c:pt idx="1021">
                  <c:v>1.7797439024198287E-2</c:v>
                </c:pt>
                <c:pt idx="1022">
                  <c:v>1.7841773624600023E-2</c:v>
                </c:pt>
                <c:pt idx="1023">
                  <c:v>1.7877166876483289E-2</c:v>
                </c:pt>
                <c:pt idx="1024">
                  <c:v>1.7912458720712239E-2</c:v>
                </c:pt>
                <c:pt idx="1025">
                  <c:v>1.7938878338682192E-2</c:v>
                </c:pt>
                <c:pt idx="1026">
                  <c:v>1.7968145801558151E-2</c:v>
                </c:pt>
                <c:pt idx="1027">
                  <c:v>1.8003158439225522E-2</c:v>
                </c:pt>
                <c:pt idx="1028">
                  <c:v>1.8038066238360788E-2</c:v>
                </c:pt>
                <c:pt idx="1029">
                  <c:v>1.8072868264651425E-2</c:v>
                </c:pt>
                <c:pt idx="1030">
                  <c:v>1.8110457731632303E-2</c:v>
                </c:pt>
                <c:pt idx="1031">
                  <c:v>1.8145039179389973E-2</c:v>
                </c:pt>
                <c:pt idx="1032">
                  <c:v>1.8179512028820833E-2</c:v>
                </c:pt>
                <c:pt idx="1033">
                  <c:v>1.8213875350449917E-2</c:v>
                </c:pt>
                <c:pt idx="1034">
                  <c:v>1.8250996824631566E-2</c:v>
                </c:pt>
                <c:pt idx="1035">
                  <c:v>1.8282269692624292E-2</c:v>
                </c:pt>
                <c:pt idx="1036">
                  <c:v>1.8313442547998032E-2</c:v>
                </c:pt>
                <c:pt idx="1037">
                  <c:v>1.8347366042974673E-2</c:v>
                </c:pt>
                <c:pt idx="1038">
                  <c:v>1.8381177344884987E-2</c:v>
                </c:pt>
                <c:pt idx="1039">
                  <c:v>1.8417714089334476E-2</c:v>
                </c:pt>
                <c:pt idx="1040">
                  <c:v>1.8451294684216406E-2</c:v>
                </c:pt>
                <c:pt idx="1041">
                  <c:v>1.8484763065990083E-2</c:v>
                </c:pt>
                <c:pt idx="1042">
                  <c:v>1.8518119228992339E-2</c:v>
                </c:pt>
                <c:pt idx="1043">
                  <c:v>1.8570309315279275E-2</c:v>
                </c:pt>
                <c:pt idx="1044">
                  <c:v>1.8581688784697903E-2</c:v>
                </c:pt>
                <c:pt idx="1045">
                  <c:v>1.8614714576912033E-2</c:v>
                </c:pt>
                <c:pt idx="1046">
                  <c:v>1.8647628131077031E-2</c:v>
                </c:pt>
                <c:pt idx="1047">
                  <c:v>1.8680429441654788E-2</c:v>
                </c:pt>
                <c:pt idx="1048">
                  <c:v>1.871311850312574E-2</c:v>
                </c:pt>
                <c:pt idx="1049">
                  <c:v>1.8750339975580236E-2</c:v>
                </c:pt>
                <c:pt idx="1050">
                  <c:v>1.8778159856764811E-2</c:v>
                </c:pt>
                <c:pt idx="1051">
                  <c:v>1.8810512137988317E-2</c:v>
                </c:pt>
                <c:pt idx="1052">
                  <c:v>1.885652426056399E-2</c:v>
                </c:pt>
                <c:pt idx="1053">
                  <c:v>1.8888620262655344E-2</c:v>
                </c:pt>
                <c:pt idx="1054">
                  <c:v>1.892334415392035E-2</c:v>
                </c:pt>
                <c:pt idx="1055">
                  <c:v>1.895247536448344E-2</c:v>
                </c:pt>
                <c:pt idx="1056">
                  <c:v>1.8976048944187668E-2</c:v>
                </c:pt>
                <c:pt idx="1057">
                  <c:v>1.9007714799217805E-2</c:v>
                </c:pt>
                <c:pt idx="1058">
                  <c:v>1.9039268343922531E-2</c:v>
                </c:pt>
                <c:pt idx="1059">
                  <c:v>1.9070709572934337E-2</c:v>
                </c:pt>
                <c:pt idx="1060">
                  <c:v>1.9103801710776469E-2</c:v>
                </c:pt>
                <c:pt idx="1061">
                  <c:v>1.9141345055366511E-2</c:v>
                </c:pt>
                <c:pt idx="1062">
                  <c:v>1.9172430169509893E-2</c:v>
                </c:pt>
                <c:pt idx="1063">
                  <c:v>1.9203402935634214E-2</c:v>
                </c:pt>
                <c:pt idx="1064">
                  <c:v>1.923426334838204E-2</c:v>
                </c:pt>
                <c:pt idx="1065">
                  <c:v>1.9256998019196676E-2</c:v>
                </c:pt>
                <c:pt idx="1066">
                  <c:v>1.9287652889633286E-2</c:v>
                </c:pt>
                <c:pt idx="1067">
                  <c:v>1.9318195402113079E-2</c:v>
                </c:pt>
                <c:pt idx="1068">
                  <c:v>1.9348625551440644E-2</c:v>
                </c:pt>
                <c:pt idx="1069">
                  <c:v>1.9389524418196205E-2</c:v>
                </c:pt>
                <c:pt idx="1070">
                  <c:v>1.941970418958406E-2</c:v>
                </c:pt>
                <c:pt idx="1071">
                  <c:v>1.9447139897226452E-2</c:v>
                </c:pt>
                <c:pt idx="1072">
                  <c:v>1.9477101292463952E-2</c:v>
                </c:pt>
                <c:pt idx="1073">
                  <c:v>1.9506950286990343E-2</c:v>
                </c:pt>
                <c:pt idx="1074">
                  <c:v>1.9536686875643312E-2</c:v>
                </c:pt>
                <c:pt idx="1075">
                  <c:v>1.95663110532803E-2</c:v>
                </c:pt>
                <c:pt idx="1076">
                  <c:v>1.9595822814776377E-2</c:v>
                </c:pt>
                <c:pt idx="1077">
                  <c:v>1.9625222155027666E-2</c:v>
                </c:pt>
                <c:pt idx="1078">
                  <c:v>1.9644157186137202E-2</c:v>
                </c:pt>
                <c:pt idx="1079">
                  <c:v>1.9673357447112107E-2</c:v>
                </c:pt>
                <c:pt idx="1080">
                  <c:v>1.9702445288185495E-2</c:v>
                </c:pt>
                <c:pt idx="1081">
                  <c:v>1.97355508717914E-2</c:v>
                </c:pt>
                <c:pt idx="1082">
                  <c:v>1.9762846645976058E-2</c:v>
                </c:pt>
                <c:pt idx="1083">
                  <c:v>1.9791590737328859E-2</c:v>
                </c:pt>
                <c:pt idx="1084">
                  <c:v>1.983041724217461E-2</c:v>
                </c:pt>
                <c:pt idx="1085">
                  <c:v>1.9848741584025279E-2</c:v>
                </c:pt>
                <c:pt idx="1086">
                  <c:v>1.9877148329642907E-2</c:v>
                </c:pt>
                <c:pt idx="1087">
                  <c:v>1.9913031280005326E-2</c:v>
                </c:pt>
                <c:pt idx="1088">
                  <c:v>1.9931100313556039E-2</c:v>
                </c:pt>
                <c:pt idx="1089">
                  <c:v>1.9959176156259487E-2</c:v>
                </c:pt>
                <c:pt idx="1090">
                  <c:v>1.9987139530684289E-2</c:v>
                </c:pt>
                <c:pt idx="1091">
                  <c:v>2.0017495087618596E-2</c:v>
                </c:pt>
                <c:pt idx="1092">
                  <c:v>2.004522701175054E-2</c:v>
                </c:pt>
                <c:pt idx="1093">
                  <c:v>2.0072846449003218E-2</c:v>
                </c:pt>
                <c:pt idx="1094">
                  <c:v>2.0109240607394187E-2</c:v>
                </c:pt>
                <c:pt idx="1095">
                  <c:v>2.0144772454581506E-2</c:v>
                </c:pt>
                <c:pt idx="1096">
                  <c:v>2.0156446848306649E-2</c:v>
                </c:pt>
                <c:pt idx="1097">
                  <c:v>2.0183606741369129E-2</c:v>
                </c:pt>
                <c:pt idx="1098">
                  <c:v>2.0210654128164009E-2</c:v>
                </c:pt>
                <c:pt idx="1099">
                  <c:v>2.0237589004112537E-2</c:v>
                </c:pt>
                <c:pt idx="1100">
                  <c:v>2.0264411364654841E-2</c:v>
                </c:pt>
                <c:pt idx="1101">
                  <c:v>2.0302533833788852E-2</c:v>
                </c:pt>
                <c:pt idx="1102">
                  <c:v>2.031771852137837E-2</c:v>
                </c:pt>
                <c:pt idx="1103">
                  <c:v>2.0344203308535602E-2</c:v>
                </c:pt>
                <c:pt idx="1104">
                  <c:v>2.0377830560566929E-2</c:v>
                </c:pt>
                <c:pt idx="1105">
                  <c:v>2.0404070594368953E-2</c:v>
                </c:pt>
                <c:pt idx="1106">
                  <c:v>2.0432602201544879E-2</c:v>
                </c:pt>
                <c:pt idx="1107">
                  <c:v>2.0456212987398855E-2</c:v>
                </c:pt>
                <c:pt idx="1108">
                  <c:v>2.0474939153502118E-2</c:v>
                </c:pt>
                <c:pt idx="1109">
                  <c:v>2.051028951909719E-2</c:v>
                </c:pt>
                <c:pt idx="1110">
                  <c:v>2.0543454744243579E-2</c:v>
                </c:pt>
                <c:pt idx="1111">
                  <c:v>2.0559146949952419E-2</c:v>
                </c:pt>
                <c:pt idx="1112">
                  <c:v>2.0586963621844537E-2</c:v>
                </c:pt>
                <c:pt idx="1113">
                  <c:v>2.0618408008155887E-2</c:v>
                </c:pt>
                <c:pt idx="1114">
                  <c:v>2.0635165311958064E-2</c:v>
                </c:pt>
                <c:pt idx="1115">
                  <c:v>2.0660279578833488E-2</c:v>
                </c:pt>
                <c:pt idx="1116">
                  <c:v>2.0685281244925729E-2</c:v>
                </c:pt>
                <c:pt idx="1117">
                  <c:v>2.0710170305933358E-2</c:v>
                </c:pt>
                <c:pt idx="1118">
                  <c:v>2.0734946757572242E-2</c:v>
                </c:pt>
                <c:pt idx="1119">
                  <c:v>2.0759610595578109E-2</c:v>
                </c:pt>
                <c:pt idx="1120">
                  <c:v>2.0788784633758627E-2</c:v>
                </c:pt>
                <c:pt idx="1121">
                  <c:v>2.0801682004273115E-2</c:v>
                </c:pt>
                <c:pt idx="1122">
                  <c:v>2.0835224780699622E-2</c:v>
                </c:pt>
                <c:pt idx="1123">
                  <c:v>2.0857139726674041E-2</c:v>
                </c:pt>
                <c:pt idx="1124">
                  <c:v>2.0881240433234433E-2</c:v>
                </c:pt>
                <c:pt idx="1125">
                  <c:v>2.0905228500985414E-2</c:v>
                </c:pt>
                <c:pt idx="1126">
                  <c:v>2.0929103925797093E-2</c:v>
                </c:pt>
                <c:pt idx="1127">
                  <c:v>2.0955131789869547E-2</c:v>
                </c:pt>
                <c:pt idx="1128">
                  <c:v>2.0976516830187138E-2</c:v>
                </c:pt>
                <c:pt idx="1129">
                  <c:v>2.100005430160598E-2</c:v>
                </c:pt>
                <c:pt idx="1130">
                  <c:v>2.1014493428536663E-2</c:v>
                </c:pt>
                <c:pt idx="1131">
                  <c:v>2.103783234445257E-2</c:v>
                </c:pt>
                <c:pt idx="1132">
                  <c:v>2.1061058614436114E-2</c:v>
                </c:pt>
                <c:pt idx="1133">
                  <c:v>2.1096267875324204E-2</c:v>
                </c:pt>
                <c:pt idx="1134">
                  <c:v>2.1107173200980607E-2</c:v>
                </c:pt>
                <c:pt idx="1135">
                  <c:v>2.1132275253564137E-2</c:v>
                </c:pt>
                <c:pt idx="1136">
                  <c:v>2.1155044183243831E-2</c:v>
                </c:pt>
                <c:pt idx="1137">
                  <c:v>2.1177700442185733E-2</c:v>
                </c:pt>
                <c:pt idx="1138">
                  <c:v>2.1200244026552469E-2</c:v>
                </c:pt>
                <c:pt idx="1139">
                  <c:v>2.123443707678405E-2</c:v>
                </c:pt>
                <c:pt idx="1140">
                  <c:v>2.1242813055368966E-2</c:v>
                </c:pt>
                <c:pt idx="1141">
                  <c:v>2.1265025338227966E-2</c:v>
                </c:pt>
                <c:pt idx="1142">
                  <c:v>2.1287124936894827E-2</c:v>
                </c:pt>
                <c:pt idx="1143">
                  <c:v>2.1311271696819303E-2</c:v>
                </c:pt>
                <c:pt idx="1144">
                  <c:v>2.1333139154237325E-2</c:v>
                </c:pt>
                <c:pt idx="1145">
                  <c:v>2.1354893910758819E-2</c:v>
                </c:pt>
                <c:pt idx="1146">
                  <c:v>2.1376535962699263E-2</c:v>
                </c:pt>
                <c:pt idx="1147">
                  <c:v>2.139806530639389E-2</c:v>
                </c:pt>
                <c:pt idx="1148">
                  <c:v>2.1417355953757253E-2</c:v>
                </c:pt>
                <c:pt idx="1149">
                  <c:v>2.1438666659926706E-2</c:v>
                </c:pt>
                <c:pt idx="1150">
                  <c:v>2.1459864652660227E-2</c:v>
                </c:pt>
                <c:pt idx="1151">
                  <c:v>2.1480949928387193E-2</c:v>
                </c:pt>
                <c:pt idx="1152">
                  <c:v>2.1501922483556406E-2</c:v>
                </c:pt>
                <c:pt idx="1153">
                  <c:v>2.1522782314635228E-2</c:v>
                </c:pt>
                <c:pt idx="1154">
                  <c:v>2.1543529418111329E-2</c:v>
                </c:pt>
                <c:pt idx="1155">
                  <c:v>2.1564163790489602E-2</c:v>
                </c:pt>
                <c:pt idx="1156">
                  <c:v>2.1592968018400389E-2</c:v>
                </c:pt>
                <c:pt idx="1157">
                  <c:v>2.1613349570004024E-2</c:v>
                </c:pt>
                <c:pt idx="1158">
                  <c:v>2.1635673891153909E-2</c:v>
                </c:pt>
                <c:pt idx="1159">
                  <c:v>2.1655823058986619E-2</c:v>
                </c:pt>
                <c:pt idx="1160">
                  <c:v>2.1681142733079115E-2</c:v>
                </c:pt>
                <c:pt idx="1161">
                  <c:v>2.1695783058180085E-2</c:v>
                </c:pt>
                <c:pt idx="1162">
                  <c:v>2.171356578612493E-2</c:v>
                </c:pt>
                <c:pt idx="1163">
                  <c:v>2.173327069681618E-2</c:v>
                </c:pt>
                <c:pt idx="1164">
                  <c:v>2.1756890928007921E-2</c:v>
                </c:pt>
                <c:pt idx="1165">
                  <c:v>2.1781418476429639E-2</c:v>
                </c:pt>
                <c:pt idx="1166">
                  <c:v>2.1791708793836215E-2</c:v>
                </c:pt>
                <c:pt idx="1167">
                  <c:v>2.1810963181213675E-2</c:v>
                </c:pt>
                <c:pt idx="1168">
                  <c:v>2.1830105864734162E-2</c:v>
                </c:pt>
                <c:pt idx="1169">
                  <c:v>2.1849137388627846E-2</c:v>
                </c:pt>
                <c:pt idx="1170">
                  <c:v>2.1868058297165954E-2</c:v>
                </c:pt>
                <c:pt idx="1171">
                  <c:v>2.1886869134658163E-2</c:v>
                </c:pt>
                <c:pt idx="1172">
                  <c:v>2.1911451462314754E-2</c:v>
                </c:pt>
                <c:pt idx="1173">
                  <c:v>2.1918296347530949E-2</c:v>
                </c:pt>
                <c:pt idx="1174">
                  <c:v>2.1942646664553315E-2</c:v>
                </c:pt>
                <c:pt idx="1175">
                  <c:v>2.1962964384730953E-2</c:v>
                </c:pt>
                <c:pt idx="1176">
                  <c:v>2.197929131003783E-2</c:v>
                </c:pt>
                <c:pt idx="1177">
                  <c:v>2.199745315395937E-2</c:v>
                </c:pt>
                <c:pt idx="1178">
                  <c:v>2.2015508738095508E-2</c:v>
                </c:pt>
                <c:pt idx="1179">
                  <c:v>2.2035375392362246E-2</c:v>
                </c:pt>
                <c:pt idx="1180">
                  <c:v>2.2051303305517161E-2</c:v>
                </c:pt>
                <c:pt idx="1181">
                  <c:v>2.2069043378148807E-2</c:v>
                </c:pt>
                <c:pt idx="1182">
                  <c:v>2.2079080732316295E-2</c:v>
                </c:pt>
                <c:pt idx="1183">
                  <c:v>2.2096637492964463E-2</c:v>
                </c:pt>
                <c:pt idx="1184">
                  <c:v>2.2114091182653572E-2</c:v>
                </c:pt>
                <c:pt idx="1185">
                  <c:v>2.2131442358235425E-2</c:v>
                </c:pt>
                <c:pt idx="1186">
                  <c:v>2.2150567781930874E-2</c:v>
                </c:pt>
                <c:pt idx="1187">
                  <c:v>2.2167709585481112E-2</c:v>
                </c:pt>
                <c:pt idx="1188">
                  <c:v>2.2184750553751006E-2</c:v>
                </c:pt>
                <c:pt idx="1189">
                  <c:v>2.2209118997064733E-2</c:v>
                </c:pt>
                <c:pt idx="1190">
                  <c:v>2.221853220022809E-2</c:v>
                </c:pt>
                <c:pt idx="1191">
                  <c:v>2.2233427803512774E-2</c:v>
                </c:pt>
                <c:pt idx="1192">
                  <c:v>2.2250076957682573E-2</c:v>
                </c:pt>
                <c:pt idx="1193">
                  <c:v>2.226662772669467E-2</c:v>
                </c:pt>
                <c:pt idx="1194">
                  <c:v>2.2293751666874324E-2</c:v>
                </c:pt>
                <c:pt idx="1195">
                  <c:v>2.2301256253242807E-2</c:v>
                </c:pt>
                <c:pt idx="1196">
                  <c:v>2.2317505847761116E-2</c:v>
                </c:pt>
                <c:pt idx="1197">
                  <c:v>2.2333657049312245E-2</c:v>
                </c:pt>
                <c:pt idx="1198">
                  <c:v>2.2349709855510849E-2</c:v>
                </c:pt>
                <c:pt idx="1199">
                  <c:v>2.2379728328513936E-2</c:v>
                </c:pt>
                <c:pt idx="1200">
                  <c:v>2.2388285581493618E-2</c:v>
                </c:pt>
                <c:pt idx="1201">
                  <c:v>2.2406238043045684E-2</c:v>
                </c:pt>
                <c:pt idx="1202">
                  <c:v>2.2419618041335663E-2</c:v>
                </c:pt>
                <c:pt idx="1203">
                  <c:v>2.2435136660335614E-2</c:v>
                </c:pt>
                <c:pt idx="1204">
                  <c:v>2.2450556868994595E-2</c:v>
                </c:pt>
                <c:pt idx="1205">
                  <c:v>2.2466301317055008E-2</c:v>
                </c:pt>
                <c:pt idx="1206">
                  <c:v>2.2481102046193163E-2</c:v>
                </c:pt>
                <c:pt idx="1207">
                  <c:v>2.249797333576857E-2</c:v>
                </c:pt>
                <c:pt idx="1208">
                  <c:v>2.2514733501211366E-2</c:v>
                </c:pt>
                <c:pt idx="1209">
                  <c:v>2.2529649418979242E-2</c:v>
                </c:pt>
                <c:pt idx="1210">
                  <c:v>2.2544466901612294E-2</c:v>
                </c:pt>
                <c:pt idx="1211">
                  <c:v>2.255918594689664E-2</c:v>
                </c:pt>
                <c:pt idx="1212">
                  <c:v>2.2572091281433646E-2</c:v>
                </c:pt>
                <c:pt idx="1213">
                  <c:v>2.2586619571233257E-2</c:v>
                </c:pt>
                <c:pt idx="1214">
                  <c:v>2.2601049422853296E-2</c:v>
                </c:pt>
                <c:pt idx="1215">
                  <c:v>2.2619457441918633E-2</c:v>
                </c:pt>
                <c:pt idx="1216">
                  <c:v>2.26333289036664E-2</c:v>
                </c:pt>
                <c:pt idx="1217">
                  <c:v>2.2647443214715016E-2</c:v>
                </c:pt>
                <c:pt idx="1218">
                  <c:v>2.2659462835360758E-2</c:v>
                </c:pt>
                <c:pt idx="1219">
                  <c:v>2.2673394303966445E-2</c:v>
                </c:pt>
                <c:pt idx="1220">
                  <c:v>2.2689195423148668E-2</c:v>
                </c:pt>
                <c:pt idx="1221">
                  <c:v>2.2699301936975766E-2</c:v>
                </c:pt>
                <c:pt idx="1222">
                  <c:v>2.2712944207232178E-2</c:v>
                </c:pt>
                <c:pt idx="1223">
                  <c:v>2.272648802054545E-2</c:v>
                </c:pt>
                <c:pt idx="1224">
                  <c:v>2.2739933374905819E-2</c:v>
                </c:pt>
                <c:pt idx="1225">
                  <c:v>2.2763083519214754E-2</c:v>
                </c:pt>
                <c:pt idx="1226">
                  <c:v>2.276815768471931E-2</c:v>
                </c:pt>
                <c:pt idx="1227">
                  <c:v>2.2783171084778991E-2</c:v>
                </c:pt>
                <c:pt idx="1228">
                  <c:v>2.2794346729559017E-2</c:v>
                </c:pt>
                <c:pt idx="1229">
                  <c:v>2.2807293540956765E-2</c:v>
                </c:pt>
                <c:pt idx="1230">
                  <c:v>2.2820141875757198E-2</c:v>
                </c:pt>
                <c:pt idx="1231">
                  <c:v>2.2832891732040984E-2</c:v>
                </c:pt>
                <c:pt idx="1232">
                  <c:v>2.2845543107904435E-2</c:v>
                </c:pt>
                <c:pt idx="1233">
                  <c:v>2.2859881232483364E-2</c:v>
                </c:pt>
                <c:pt idx="1234">
                  <c:v>2.2867391545596329E-2</c:v>
                </c:pt>
                <c:pt idx="1235">
                  <c:v>2.2879759976048023E-2</c:v>
                </c:pt>
                <c:pt idx="1236">
                  <c:v>2.2892207917632457E-2</c:v>
                </c:pt>
                <c:pt idx="1237">
                  <c:v>2.2904371590930225E-2</c:v>
                </c:pt>
                <c:pt idx="1238">
                  <c:v>2.2916274404061993E-2</c:v>
                </c:pt>
                <c:pt idx="1239">
                  <c:v>2.2928248919625728E-2</c:v>
                </c:pt>
                <c:pt idx="1240">
                  <c:v>2.2941813488518464E-2</c:v>
                </c:pt>
                <c:pt idx="1241">
                  <c:v>2.2951902499457236E-2</c:v>
                </c:pt>
                <c:pt idx="1242">
                  <c:v>2.2963581560230227E-2</c:v>
                </c:pt>
                <c:pt idx="1243">
                  <c:v>2.2978330764926145E-2</c:v>
                </c:pt>
                <c:pt idx="1244">
                  <c:v>2.2986644214865928E-2</c:v>
                </c:pt>
                <c:pt idx="1245">
                  <c:v>2.2998027805320814E-2</c:v>
                </c:pt>
                <c:pt idx="1246">
                  <c:v>2.3010817168954648E-2</c:v>
                </c:pt>
                <c:pt idx="1247">
                  <c:v>2.3020499504096882E-2</c:v>
                </c:pt>
                <c:pt idx="1248">
                  <c:v>2.3031587609098084E-2</c:v>
                </c:pt>
                <c:pt idx="1249">
                  <c:v>2.3042577215652522E-2</c:v>
                </c:pt>
                <c:pt idx="1250">
                  <c:v>2.3055016153576163E-2</c:v>
                </c:pt>
                <c:pt idx="1251">
                  <c:v>2.307495502847369E-2</c:v>
                </c:pt>
                <c:pt idx="1252">
                  <c:v>2.3075008852367865E-2</c:v>
                </c:pt>
                <c:pt idx="1253">
                  <c:v>2.3085596738162937E-2</c:v>
                </c:pt>
                <c:pt idx="1254">
                  <c:v>2.3097539258303684E-2</c:v>
                </c:pt>
                <c:pt idx="1255">
                  <c:v>2.310647700654311E-2</c:v>
                </c:pt>
                <c:pt idx="1256">
                  <c:v>2.3116769386060613E-2</c:v>
                </c:pt>
                <c:pt idx="1257">
                  <c:v>2.3128411486887861E-2</c:v>
                </c:pt>
                <c:pt idx="1258">
                  <c:v>2.3137058628190085E-2</c:v>
                </c:pt>
                <c:pt idx="1259">
                  <c:v>2.3148476693925227E-2</c:v>
                </c:pt>
                <c:pt idx="1260">
                  <c:v>2.3161196585919763E-2</c:v>
                </c:pt>
                <c:pt idx="1261">
                  <c:v>2.3170977191663764E-2</c:v>
                </c:pt>
                <c:pt idx="1262">
                  <c:v>2.3180659266493465E-2</c:v>
                </c:pt>
                <c:pt idx="1263">
                  <c:v>2.319024280896307E-2</c:v>
                </c:pt>
                <c:pt idx="1264">
                  <c:v>2.3198339805543752E-2</c:v>
                </c:pt>
                <c:pt idx="1265">
                  <c:v>2.3207732715557254E-2</c:v>
                </c:pt>
                <c:pt idx="1266">
                  <c:v>2.3219664534535348E-2</c:v>
                </c:pt>
                <c:pt idx="1267">
                  <c:v>2.3228832230094112E-2</c:v>
                </c:pt>
                <c:pt idx="1268">
                  <c:v>2.3243339566609546E-2</c:v>
                </c:pt>
                <c:pt idx="1269">
                  <c:v>2.3250932098259614E-2</c:v>
                </c:pt>
                <c:pt idx="1270">
                  <c:v>2.3259784778794052E-2</c:v>
                </c:pt>
                <c:pt idx="1271">
                  <c:v>2.3269878191514038E-2</c:v>
                </c:pt>
                <c:pt idx="1272">
                  <c:v>2.327319267759E-2</c:v>
                </c:pt>
                <c:pt idx="1273">
                  <c:v>2.3281769151803657E-2</c:v>
                </c:pt>
                <c:pt idx="1274">
                  <c:v>2.3290247084581321E-2</c:v>
                </c:pt>
                <c:pt idx="1275">
                  <c:v>2.3298626474664106E-2</c:v>
                </c:pt>
                <c:pt idx="1276">
                  <c:v>2.3310831136167384E-2</c:v>
                </c:pt>
                <c:pt idx="1277">
                  <c:v>2.3318993896101176E-2</c:v>
                </c:pt>
                <c:pt idx="1278">
                  <c:v>2.3328351858889092E-2</c:v>
                </c:pt>
                <c:pt idx="1279">
                  <c:v>2.3335023719346298E-2</c:v>
                </c:pt>
                <c:pt idx="1280">
                  <c:v>2.3342890780237199E-2</c:v>
                </c:pt>
                <c:pt idx="1281">
                  <c:v>2.3346833349881899E-2</c:v>
                </c:pt>
                <c:pt idx="1282">
                  <c:v>2.3358329194617215E-2</c:v>
                </c:pt>
                <c:pt idx="1283">
                  <c:v>2.3365900545774431E-2</c:v>
                </c:pt>
                <c:pt idx="1284">
                  <c:v>2.3373373324715018E-2</c:v>
                </c:pt>
                <c:pt idx="1285">
                  <c:v>2.3377000260656325E-2</c:v>
                </c:pt>
                <c:pt idx="1286">
                  <c:v>2.33830519321634E-2</c:v>
                </c:pt>
                <c:pt idx="1287">
                  <c:v>2.3390255291684578E-2</c:v>
                </c:pt>
                <c:pt idx="1288">
                  <c:v>2.3397360099769293E-2</c:v>
                </c:pt>
                <c:pt idx="1289">
                  <c:v>2.3404366355368272E-2</c:v>
                </c:pt>
                <c:pt idx="1290">
                  <c:v>2.3412491390875964E-2</c:v>
                </c:pt>
                <c:pt idx="1291">
                  <c:v>2.3419293938498429E-2</c:v>
                </c:pt>
                <c:pt idx="1292">
                  <c:v>2.3425997924255339E-2</c:v>
                </c:pt>
                <c:pt idx="1293">
                  <c:v>2.3432603347150336E-2</c:v>
                </c:pt>
                <c:pt idx="1294">
                  <c:v>2.3439110206201468E-2</c:v>
                </c:pt>
                <c:pt idx="1295">
                  <c:v>2.344433422980953E-2</c:v>
                </c:pt>
                <c:pt idx="1296">
                  <c:v>2.3450650589837949E-2</c:v>
                </c:pt>
                <c:pt idx="1297">
                  <c:v>2.3456868389507814E-2</c:v>
                </c:pt>
                <c:pt idx="1298">
                  <c:v>2.346298762789854E-2</c:v>
                </c:pt>
                <c:pt idx="1299">
                  <c:v>2.3470166010489006E-2</c:v>
                </c:pt>
                <c:pt idx="1300">
                  <c:v>2.3476081466693006E-2</c:v>
                </c:pt>
                <c:pt idx="1301">
                  <c:v>2.3481898352594489E-2</c:v>
                </c:pt>
                <c:pt idx="1302">
                  <c:v>2.3490840018980167E-2</c:v>
                </c:pt>
                <c:pt idx="1303">
                  <c:v>2.3495276211676214E-2</c:v>
                </c:pt>
                <c:pt idx="1304">
                  <c:v>2.3497633221791648E-2</c:v>
                </c:pt>
                <c:pt idx="1305">
                  <c:v>2.3503062506735471E-2</c:v>
                </c:pt>
                <c:pt idx="1306">
                  <c:v>2.3508393223575726E-2</c:v>
                </c:pt>
                <c:pt idx="1307">
                  <c:v>2.3513625371524467E-2</c:v>
                </c:pt>
                <c:pt idx="1308">
                  <c:v>2.3518758949809131E-2</c:v>
                </c:pt>
                <c:pt idx="1309">
                  <c:v>2.3523793957671204E-2</c:v>
                </c:pt>
                <c:pt idx="1310">
                  <c:v>2.3528730394366659E-2</c:v>
                </c:pt>
                <c:pt idx="1311">
                  <c:v>2.3533568259166415E-2</c:v>
                </c:pt>
                <c:pt idx="1312">
                  <c:v>2.3542586641530312E-2</c:v>
                </c:pt>
                <c:pt idx="1313">
                  <c:v>2.3547200395758871E-2</c:v>
                </c:pt>
                <c:pt idx="1314">
                  <c:v>2.355487810174647E-2</c:v>
                </c:pt>
                <c:pt idx="1315">
                  <c:v>2.3556132104754077E-2</c:v>
                </c:pt>
                <c:pt idx="1316">
                  <c:v>2.3557322652024832E-2</c:v>
                </c:pt>
                <c:pt idx="1317">
                  <c:v>2.356156230551475E-2</c:v>
                </c:pt>
                <c:pt idx="1318">
                  <c:v>2.3565703376003236E-2</c:v>
                </c:pt>
                <c:pt idx="1319">
                  <c:v>2.3569745862873512E-2</c:v>
                </c:pt>
                <c:pt idx="1320">
                  <c:v>2.3573229530598757E-2</c:v>
                </c:pt>
                <c:pt idx="1321">
                  <c:v>2.3580560788827521E-2</c:v>
                </c:pt>
                <c:pt idx="1322">
                  <c:v>2.3584287123420672E-2</c:v>
                </c:pt>
                <c:pt idx="1323">
                  <c:v>2.3587914852820132E-2</c:v>
                </c:pt>
                <c:pt idx="1324">
                  <c:v>2.3591443976477954E-2</c:v>
                </c:pt>
                <c:pt idx="1325">
                  <c:v>2.3591930495525951E-2</c:v>
                </c:pt>
                <c:pt idx="1326">
                  <c:v>2.3595282881078934E-2</c:v>
                </c:pt>
                <c:pt idx="1327">
                  <c:v>2.3598536678619844E-2</c:v>
                </c:pt>
                <c:pt idx="1328">
                  <c:v>2.3601691887665137E-2</c:v>
                </c:pt>
                <c:pt idx="1329">
                  <c:v>2.3608563257851555E-2</c:v>
                </c:pt>
                <c:pt idx="1330">
                  <c:v>2.3611493883871487E-2</c:v>
                </c:pt>
                <c:pt idx="1331">
                  <c:v>2.3613386838431644E-2</c:v>
                </c:pt>
                <c:pt idx="1332">
                  <c:v>2.3616127098223194E-2</c:v>
                </c:pt>
                <c:pt idx="1333">
                  <c:v>2.3618768748012862E-2</c:v>
                </c:pt>
                <c:pt idx="1334">
                  <c:v>2.3621311787401823E-2</c:v>
                </c:pt>
                <c:pt idx="1335">
                  <c:v>2.3623756216006299E-2</c:v>
                </c:pt>
                <c:pt idx="1336">
                  <c:v>2.3626102033456695E-2</c:v>
                </c:pt>
                <c:pt idx="1337">
                  <c:v>2.3628349239399316E-2</c:v>
                </c:pt>
                <c:pt idx="1338">
                  <c:v>2.3626034195810903E-2</c:v>
                </c:pt>
                <c:pt idx="1339">
                  <c:v>2.3628118716443474E-2</c:v>
                </c:pt>
                <c:pt idx="1340">
                  <c:v>2.3630104656805026E-2</c:v>
                </c:pt>
                <c:pt idx="1341">
                  <c:v>2.3631992016602755E-2</c:v>
                </c:pt>
                <c:pt idx="1342">
                  <c:v>2.3634647103421443E-2</c:v>
                </c:pt>
                <c:pt idx="1343">
                  <c:v>2.3636330369586577E-2</c:v>
                </c:pt>
                <c:pt idx="1344">
                  <c:v>2.3637915047957519E-2</c:v>
                </c:pt>
                <c:pt idx="1345">
                  <c:v>2.3639401138298856E-2</c:v>
                </c:pt>
                <c:pt idx="1346">
                  <c:v>2.3640788640391854E-2</c:v>
                </c:pt>
                <c:pt idx="1347">
                  <c:v>2.3642908509613154E-2</c:v>
                </c:pt>
                <c:pt idx="1348">
                  <c:v>2.3642443257936335E-2</c:v>
                </c:pt>
                <c:pt idx="1349">
                  <c:v>2.3643541964458781E-2</c:v>
                </c:pt>
                <c:pt idx="1350">
                  <c:v>2.3644542088442851E-2</c:v>
                </c:pt>
                <c:pt idx="1351">
                  <c:v>2.3646247320463328E-2</c:v>
                </c:pt>
                <c:pt idx="1352">
                  <c:v>2.3647043289270239E-2</c:v>
                </c:pt>
                <c:pt idx="1353">
                  <c:v>2.3647740668698729E-2</c:v>
                </c:pt>
                <c:pt idx="1354">
                  <c:v>2.3648416951941323E-2</c:v>
                </c:pt>
                <c:pt idx="1355">
                  <c:v>2.3648365901008443E-2</c:v>
                </c:pt>
                <c:pt idx="1356">
                  <c:v>2.3648522919386409E-2</c:v>
                </c:pt>
                <c:pt idx="1357">
                  <c:v>2.3648818878972532E-2</c:v>
                </c:pt>
                <c:pt idx="1358">
                  <c:v>2.3649016255245205E-2</c:v>
                </c:pt>
                <c:pt idx="1359">
                  <c:v>2.3649115048175285E-2</c:v>
                </c:pt>
                <c:pt idx="1360">
                  <c:v>2.3649115257748196E-2</c:v>
                </c:pt>
                <c:pt idx="1361">
                  <c:v>2.364967401923378E-2</c:v>
                </c:pt>
                <c:pt idx="1362">
                  <c:v>2.3648819926837088E-2</c:v>
                </c:pt>
                <c:pt idx="1363">
                  <c:v>2.364852438639679E-2</c:v>
                </c:pt>
                <c:pt idx="1364">
                  <c:v>2.3650971641503832E-2</c:v>
                </c:pt>
                <c:pt idx="1365">
                  <c:v>2.365045063192284E-2</c:v>
                </c:pt>
                <c:pt idx="1366">
                  <c:v>2.3650525582293819E-2</c:v>
                </c:pt>
                <c:pt idx="1367">
                  <c:v>2.364911278627236E-2</c:v>
                </c:pt>
                <c:pt idx="1368">
                  <c:v>2.3648295950404227E-2</c:v>
                </c:pt>
                <c:pt idx="1369">
                  <c:v>2.3648053783050252E-2</c:v>
                </c:pt>
                <c:pt idx="1370">
                  <c:v>2.3644416564394095E-2</c:v>
                </c:pt>
                <c:pt idx="1371">
                  <c:v>2.3645253792146596E-2</c:v>
                </c:pt>
                <c:pt idx="1372">
                  <c:v>2.3642732645989459E-2</c:v>
                </c:pt>
                <c:pt idx="1373">
                  <c:v>2.3642732645989459E-2</c:v>
                </c:pt>
                <c:pt idx="1374">
                  <c:v>2.364132416126126E-2</c:v>
                </c:pt>
                <c:pt idx="1375">
                  <c:v>2.363981706904375E-2</c:v>
                </c:pt>
                <c:pt idx="1376">
                  <c:v>2.3638211369562911E-2</c:v>
                </c:pt>
                <c:pt idx="1377">
                  <c:v>2.3636507063060714E-2</c:v>
                </c:pt>
                <c:pt idx="1378">
                  <c:v>2.3634704149792525E-2</c:v>
                </c:pt>
                <c:pt idx="1379">
                  <c:v>2.3632802630028388E-2</c:v>
                </c:pt>
                <c:pt idx="1380">
                  <c:v>2.3631991269708906E-2</c:v>
                </c:pt>
                <c:pt idx="1381">
                  <c:v>2.3629878175654519E-2</c:v>
                </c:pt>
                <c:pt idx="1382">
                  <c:v>2.3627086780097915E-2</c:v>
                </c:pt>
                <c:pt idx="1383">
                  <c:v>2.3624210491958387E-2</c:v>
                </c:pt>
                <c:pt idx="1384">
                  <c:v>2.3621815944299851E-2</c:v>
                </c:pt>
                <c:pt idx="1385">
                  <c:v>2.3619881538076398E-2</c:v>
                </c:pt>
                <c:pt idx="1386">
                  <c:v>2.3616731035678983E-2</c:v>
                </c:pt>
                <c:pt idx="1387">
                  <c:v>2.3614040675481011E-2</c:v>
                </c:pt>
                <c:pt idx="1388">
                  <c:v>2.3611251711891205E-2</c:v>
                </c:pt>
                <c:pt idx="1389">
                  <c:v>2.3608364145328267E-2</c:v>
                </c:pt>
                <c:pt idx="1390">
                  <c:v>2.360328080469094E-2</c:v>
                </c:pt>
                <c:pt idx="1391">
                  <c:v>2.3600225002033393E-2</c:v>
                </c:pt>
                <c:pt idx="1392">
                  <c:v>2.3597070623202328E-2</c:v>
                </c:pt>
                <c:pt idx="1393">
                  <c:v>2.3592893814002126E-2</c:v>
                </c:pt>
                <c:pt idx="1394">
                  <c:v>2.3590962434473728E-2</c:v>
                </c:pt>
                <c:pt idx="1395">
                  <c:v>2.3589454442389943E-2</c:v>
                </c:pt>
                <c:pt idx="1396">
                  <c:v>2.3583949112513627E-2</c:v>
                </c:pt>
                <c:pt idx="1397">
                  <c:v>2.3580294581188155E-2</c:v>
                </c:pt>
                <c:pt idx="1398">
                  <c:v>2.3576541470348024E-2</c:v>
                </c:pt>
                <c:pt idx="1399">
                  <c:v>2.3574065418953315E-2</c:v>
                </c:pt>
                <c:pt idx="1400">
                  <c:v>2.3568286909003908E-2</c:v>
                </c:pt>
                <c:pt idx="1401">
                  <c:v>2.3564245367215821E-2</c:v>
                </c:pt>
                <c:pt idx="1402">
                  <c:v>2.3560105254541035E-2</c:v>
                </c:pt>
                <c:pt idx="1403">
                  <c:v>2.3556297243340747E-2</c:v>
                </c:pt>
                <c:pt idx="1404">
                  <c:v>2.3551952667565563E-2</c:v>
                </c:pt>
                <c:pt idx="1405">
                  <c:v>2.3547509516464015E-2</c:v>
                </c:pt>
                <c:pt idx="1406">
                  <c:v>2.3539663349385329E-2</c:v>
                </c:pt>
                <c:pt idx="1407">
                  <c:v>2.3538327490918408E-2</c:v>
                </c:pt>
                <c:pt idx="1408">
                  <c:v>2.3533194624978517E-2</c:v>
                </c:pt>
                <c:pt idx="1409">
                  <c:v>2.3528364533949939E-2</c:v>
                </c:pt>
                <c:pt idx="1410">
                  <c:v>2.3523435877308235E-2</c:v>
                </c:pt>
                <c:pt idx="1411">
                  <c:v>2.3518408655777239E-2</c:v>
                </c:pt>
                <c:pt idx="1412">
                  <c:v>2.3513282870095808E-2</c:v>
                </c:pt>
                <c:pt idx="1413">
                  <c:v>2.3508058521017821E-2</c:v>
                </c:pt>
                <c:pt idx="1414">
                  <c:v>2.3502735609310394E-2</c:v>
                </c:pt>
                <c:pt idx="1415">
                  <c:v>2.3497314135755221E-2</c:v>
                </c:pt>
                <c:pt idx="1416">
                  <c:v>2.3493129860935141E-2</c:v>
                </c:pt>
                <c:pt idx="1417">
                  <c:v>2.3487481641329386E-2</c:v>
                </c:pt>
                <c:pt idx="1418">
                  <c:v>2.3482052220601936E-2</c:v>
                </c:pt>
                <c:pt idx="1419">
                  <c:v>2.3475889449831647E-2</c:v>
                </c:pt>
                <c:pt idx="1420">
                  <c:v>2.3469033691742403E-2</c:v>
                </c:pt>
                <c:pt idx="1421">
                  <c:v>2.3459821981911055E-2</c:v>
                </c:pt>
                <c:pt idx="1422">
                  <c:v>2.3457761795035153E-2</c:v>
                </c:pt>
                <c:pt idx="1423">
                  <c:v>2.3451522082372053E-2</c:v>
                </c:pt>
                <c:pt idx="1424">
                  <c:v>2.344545655487534E-2</c:v>
                </c:pt>
                <c:pt idx="1425">
                  <c:v>2.3435695291003814E-2</c:v>
                </c:pt>
                <c:pt idx="1426">
                  <c:v>2.3432212108484497E-2</c:v>
                </c:pt>
                <c:pt idx="1427">
                  <c:v>2.3425582524878082E-2</c:v>
                </c:pt>
                <c:pt idx="1428">
                  <c:v>2.3418861976218668E-2</c:v>
                </c:pt>
                <c:pt idx="1429">
                  <c:v>2.3412054268456831E-2</c:v>
                </c:pt>
                <c:pt idx="1430">
                  <c:v>2.3405163207502536E-2</c:v>
                </c:pt>
                <c:pt idx="1431">
                  <c:v>2.3398192599221247E-2</c:v>
                </c:pt>
                <c:pt idx="1432">
                  <c:v>2.3391596536268329E-2</c:v>
                </c:pt>
                <c:pt idx="1433">
                  <c:v>2.3383362503901838E-2</c:v>
                </c:pt>
                <c:pt idx="1434">
                  <c:v>2.3377059243045572E-2</c:v>
                </c:pt>
                <c:pt idx="1435">
                  <c:v>2.3369590808614397E-2</c:v>
                </c:pt>
                <c:pt idx="1436">
                  <c:v>2.3362279550123662E-2</c:v>
                </c:pt>
                <c:pt idx="1437">
                  <c:v>2.3354911578537734E-2</c:v>
                </c:pt>
                <c:pt idx="1438">
                  <c:v>2.3347490699386773E-2</c:v>
                </c:pt>
                <c:pt idx="1439">
                  <c:v>2.3340225244776459E-2</c:v>
                </c:pt>
                <c:pt idx="1440">
                  <c:v>2.3332505440250284E-2</c:v>
                </c:pt>
                <c:pt idx="1441">
                  <c:v>2.3324948671058051E-2</c:v>
                </c:pt>
                <c:pt idx="1442">
                  <c:v>2.3316554424284486E-2</c:v>
                </c:pt>
                <c:pt idx="1443">
                  <c:v>2.3308930837283023E-2</c:v>
                </c:pt>
                <c:pt idx="1444">
                  <c:v>2.3301276473278076E-2</c:v>
                </c:pt>
                <c:pt idx="1445">
                  <c:v>2.3293595220501697E-2</c:v>
                </c:pt>
                <c:pt idx="1446">
                  <c:v>2.3286087182821907E-2</c:v>
                </c:pt>
                <c:pt idx="1447">
                  <c:v>2.3278363202396981E-2</c:v>
                </c:pt>
                <c:pt idx="1448">
                  <c:v>2.3270624091339922E-2</c:v>
                </c:pt>
                <c:pt idx="1449">
                  <c:v>2.3262873716529419E-2</c:v>
                </c:pt>
                <c:pt idx="1450">
                  <c:v>2.3255115944788372E-2</c:v>
                </c:pt>
                <c:pt idx="1451">
                  <c:v>2.3244221939561563E-2</c:v>
                </c:pt>
                <c:pt idx="1452">
                  <c:v>2.323940004358049E-2</c:v>
                </c:pt>
                <c:pt idx="1453">
                  <c:v>2.3231641256376615E-2</c:v>
                </c:pt>
                <c:pt idx="1454">
                  <c:v>2.3223884462520987E-2</c:v>
                </c:pt>
                <c:pt idx="1455">
                  <c:v>2.3216322110071016E-2</c:v>
                </c:pt>
                <c:pt idx="1456">
                  <c:v>2.3208568948228807E-2</c:v>
                </c:pt>
                <c:pt idx="1457">
                  <c:v>2.3200817779957621E-2</c:v>
                </c:pt>
                <c:pt idx="1458">
                  <c:v>2.3193068605234179E-2</c:v>
                </c:pt>
                <c:pt idx="1459">
                  <c:v>2.3185321424035642E-2</c:v>
                </c:pt>
                <c:pt idx="1460">
                  <c:v>2.3177385558419712E-2</c:v>
                </c:pt>
                <c:pt idx="1461">
                  <c:v>2.3169642717362781E-2</c:v>
                </c:pt>
                <c:pt idx="1462">
                  <c:v>2.316190186947082E-2</c:v>
                </c:pt>
                <c:pt idx="1463">
                  <c:v>2.3154163014721747E-2</c:v>
                </c:pt>
                <c:pt idx="1464">
                  <c:v>2.314642615309348E-2</c:v>
                </c:pt>
                <c:pt idx="1465">
                  <c:v>2.3138691284562172E-2</c:v>
                </c:pt>
                <c:pt idx="1466">
                  <c:v>2.3130958409105298E-2</c:v>
                </c:pt>
                <c:pt idx="1467">
                  <c:v>2.3123227526700776E-2</c:v>
                </c:pt>
                <c:pt idx="1468">
                  <c:v>2.3116249927988181E-2</c:v>
                </c:pt>
                <c:pt idx="1469">
                  <c:v>2.3108521628320933E-2</c:v>
                </c:pt>
                <c:pt idx="1470">
                  <c:v>2.310098238064871E-2</c:v>
                </c:pt>
                <c:pt idx="1471">
                  <c:v>2.3088471481462952E-2</c:v>
                </c:pt>
                <c:pt idx="1472">
                  <c:v>2.3084789468805232E-2</c:v>
                </c:pt>
                <c:pt idx="1473">
                  <c:v>2.3077814378894231E-2</c:v>
                </c:pt>
                <c:pt idx="1474">
                  <c:v>2.306991004164401E-2</c:v>
                </c:pt>
                <c:pt idx="1475">
                  <c:v>2.3062193706477933E-2</c:v>
                </c:pt>
                <c:pt idx="1476">
                  <c:v>2.305484926172351E-2</c:v>
                </c:pt>
                <c:pt idx="1477">
                  <c:v>2.3042176419165342E-2</c:v>
                </c:pt>
                <c:pt idx="1478">
                  <c:v>2.3039056664901459E-2</c:v>
                </c:pt>
                <c:pt idx="1479">
                  <c:v>2.3031348305605298E-2</c:v>
                </c:pt>
                <c:pt idx="1480">
                  <c:v>2.3023641940218602E-2</c:v>
                </c:pt>
                <c:pt idx="1481">
                  <c:v>2.3015937568718912E-2</c:v>
                </c:pt>
                <c:pt idx="1482">
                  <c:v>2.3008235191082024E-2</c:v>
                </c:pt>
                <c:pt idx="1483">
                  <c:v>2.300053480728504E-2</c:v>
                </c:pt>
                <c:pt idx="1484">
                  <c:v>2.2993382884701902E-2</c:v>
                </c:pt>
                <c:pt idx="1485">
                  <c:v>2.2984594365167591E-2</c:v>
                </c:pt>
                <c:pt idx="1486">
                  <c:v>2.2977445618703646E-2</c:v>
                </c:pt>
                <c:pt idx="1487">
                  <c:v>2.2969934353389204E-2</c:v>
                </c:pt>
                <c:pt idx="1488">
                  <c:v>2.2962062795091547E-2</c:v>
                </c:pt>
                <c:pt idx="1489">
                  <c:v>2.2954374373848757E-2</c:v>
                </c:pt>
                <c:pt idx="1490">
                  <c:v>2.2946687946284267E-2</c:v>
                </c:pt>
                <c:pt idx="1491">
                  <c:v>2.2939183276167816E-2</c:v>
                </c:pt>
                <c:pt idx="1492">
                  <c:v>2.2931321072096868E-2</c:v>
                </c:pt>
                <c:pt idx="1493">
                  <c:v>2.2923640625427726E-2</c:v>
                </c:pt>
                <c:pt idx="1494">
                  <c:v>2.2915425825110271E-2</c:v>
                </c:pt>
                <c:pt idx="1495">
                  <c:v>2.2907750395591498E-2</c:v>
                </c:pt>
                <c:pt idx="1496">
                  <c:v>2.2900076958753471E-2</c:v>
                </c:pt>
                <c:pt idx="1497">
                  <c:v>2.2892405514573787E-2</c:v>
                </c:pt>
                <c:pt idx="1498">
                  <c:v>2.2885268295405076E-2</c:v>
                </c:pt>
                <c:pt idx="1499">
                  <c:v>2.2877599809903556E-2</c:v>
                </c:pt>
                <c:pt idx="1500">
                  <c:v>2.2870109994392655E-2</c:v>
                </c:pt>
                <c:pt idx="1501">
                  <c:v>2.2862268819218597E-2</c:v>
                </c:pt>
                <c:pt idx="1502">
                  <c:v>2.2854606313989355E-2</c:v>
                </c:pt>
                <c:pt idx="1503">
                  <c:v>2.2846418694046376E-2</c:v>
                </c:pt>
                <c:pt idx="1504">
                  <c:v>2.2838761197838699E-2</c:v>
                </c:pt>
                <c:pt idx="1505">
                  <c:v>2.283110569410754E-2</c:v>
                </c:pt>
                <c:pt idx="1506">
                  <c:v>2.2820347277063655E-2</c:v>
                </c:pt>
                <c:pt idx="1507">
                  <c:v>2.28158006639856E-2</c:v>
                </c:pt>
                <c:pt idx="1508">
                  <c:v>2.2808673142747E-2</c:v>
                </c:pt>
                <c:pt idx="1509">
                  <c:v>2.2801024590680705E-2</c:v>
                </c:pt>
                <c:pt idx="1510">
                  <c:v>2.2793378031831249E-2</c:v>
                </c:pt>
                <c:pt idx="1511">
                  <c:v>2.2777572955440119E-2</c:v>
                </c:pt>
                <c:pt idx="1512">
                  <c:v>2.2774298612316446E-2</c:v>
                </c:pt>
                <c:pt idx="1513">
                  <c:v>2.2765568819639571E-2</c:v>
                </c:pt>
                <c:pt idx="1514">
                  <c:v>2.2759195032941812E-2</c:v>
                </c:pt>
                <c:pt idx="1515">
                  <c:v>2.2751388456392865E-2</c:v>
                </c:pt>
                <c:pt idx="1516">
                  <c:v>2.2743755722218494E-2</c:v>
                </c:pt>
                <c:pt idx="1517">
                  <c:v>2.2735035036869699E-2</c:v>
                </c:pt>
                <c:pt idx="1518">
                  <c:v>2.2728496230434488E-2</c:v>
                </c:pt>
                <c:pt idx="1519">
                  <c:v>2.2721039638155392E-2</c:v>
                </c:pt>
                <c:pt idx="1520">
                  <c:v>2.271358434092792E-2</c:v>
                </c:pt>
                <c:pt idx="1521">
                  <c:v>2.2705960895870955E-2</c:v>
                </c:pt>
                <c:pt idx="1522">
                  <c:v>2.2698339443462646E-2</c:v>
                </c:pt>
                <c:pt idx="1523">
                  <c:v>2.2690719983679532E-2</c:v>
                </c:pt>
                <c:pt idx="1524">
                  <c:v>2.2682934053648587E-2</c:v>
                </c:pt>
                <c:pt idx="1525">
                  <c:v>2.2675318913731469E-2</c:v>
                </c:pt>
                <c:pt idx="1526">
                  <c:v>2.266553094697393E-2</c:v>
                </c:pt>
                <c:pt idx="1527">
                  <c:v>2.2660094610700107E-2</c:v>
                </c:pt>
                <c:pt idx="1528">
                  <c:v>2.2652485447540435E-2</c:v>
                </c:pt>
                <c:pt idx="1529">
                  <c:v>2.2642871862100306E-2</c:v>
                </c:pt>
                <c:pt idx="1530">
                  <c:v>2.263743955681297E-2</c:v>
                </c:pt>
                <c:pt idx="1531">
                  <c:v>2.2629836037217719E-2</c:v>
                </c:pt>
                <c:pt idx="1532">
                  <c:v>2.2621148740235068E-2</c:v>
                </c:pt>
                <c:pt idx="1533">
                  <c:v>2.2614469514398872E-2</c:v>
                </c:pt>
                <c:pt idx="1534">
                  <c:v>2.260687230414388E-2</c:v>
                </c:pt>
                <c:pt idx="1535">
                  <c:v>2.2599277085960094E-2</c:v>
                </c:pt>
                <c:pt idx="1536">
                  <c:v>2.259184832510178E-2</c:v>
                </c:pt>
                <c:pt idx="1537">
                  <c:v>2.2584092625717471E-2</c:v>
                </c:pt>
                <c:pt idx="1538">
                  <c:v>2.2576667186565945E-2</c:v>
                </c:pt>
                <c:pt idx="1539">
                  <c:v>2.2569079605702768E-2</c:v>
                </c:pt>
                <c:pt idx="1540">
                  <c:v>2.2560410524190992E-2</c:v>
                </c:pt>
                <c:pt idx="1541">
                  <c:v>2.255391042067121E-2</c:v>
                </c:pt>
                <c:pt idx="1542">
                  <c:v>2.2546328816457642E-2</c:v>
                </c:pt>
                <c:pt idx="1543">
                  <c:v>2.2538911331852478E-2</c:v>
                </c:pt>
                <c:pt idx="1544">
                  <c:v>2.2531171584521552E-2</c:v>
                </c:pt>
                <c:pt idx="1545">
                  <c:v>2.2522513886837132E-2</c:v>
                </c:pt>
                <c:pt idx="1546">
                  <c:v>2.2515699966738367E-2</c:v>
                </c:pt>
                <c:pt idx="1547">
                  <c:v>2.2508128980163557E-2</c:v>
                </c:pt>
                <c:pt idx="1548">
                  <c:v>2.2499318352218363E-2</c:v>
                </c:pt>
                <c:pt idx="1549">
                  <c:v>2.2491751961034045E-2</c:v>
                </c:pt>
                <c:pt idx="1550">
                  <c:v>2.2485427969340773E-2</c:v>
                </c:pt>
                <c:pt idx="1551">
                  <c:v>2.2478024498342901E-2</c:v>
                </c:pt>
                <c:pt idx="1552">
                  <c:v>2.2469223934840198E-2</c:v>
                </c:pt>
                <c:pt idx="1553">
                  <c:v>2.2462744881403145E-2</c:v>
                </c:pt>
                <c:pt idx="1554">
                  <c:v>2.245518783484934E-2</c:v>
                </c:pt>
                <c:pt idx="1555">
                  <c:v>2.2446870016805003E-2</c:v>
                </c:pt>
                <c:pt idx="1556">
                  <c:v>2.2440079715746318E-2</c:v>
                </c:pt>
                <c:pt idx="1557">
                  <c:v>2.2432528643152302E-2</c:v>
                </c:pt>
                <c:pt idx="1558">
                  <c:v>2.2423901284196714E-2</c:v>
                </c:pt>
                <c:pt idx="1559">
                  <c:v>2.2417432471767699E-2</c:v>
                </c:pt>
                <c:pt idx="1560">
                  <c:v>2.2409887372931873E-2</c:v>
                </c:pt>
                <c:pt idx="1561">
                  <c:v>2.2402344265304127E-2</c:v>
                </c:pt>
                <c:pt idx="1562">
                  <c:v>2.2394803148862937E-2</c:v>
                </c:pt>
                <c:pt idx="1563">
                  <c:v>2.2379726889448427E-2</c:v>
                </c:pt>
                <c:pt idx="1564">
                  <c:v>2.237741853736001E-2</c:v>
                </c:pt>
                <c:pt idx="1565">
                  <c:v>2.236988428665691E-2</c:v>
                </c:pt>
                <c:pt idx="1566">
                  <c:v>2.236235202676707E-2</c:v>
                </c:pt>
                <c:pt idx="1567">
                  <c:v>2.2354821757667964E-2</c:v>
                </c:pt>
                <c:pt idx="1568">
                  <c:v>2.2347293479337511E-2</c:v>
                </c:pt>
                <c:pt idx="1569">
                  <c:v>2.233869217032132E-2</c:v>
                </c:pt>
                <c:pt idx="1570">
                  <c:v>2.2332242894893807E-2</c:v>
                </c:pt>
                <c:pt idx="1571">
                  <c:v>2.2324720588736833E-2</c:v>
                </c:pt>
                <c:pt idx="1572">
                  <c:v>2.2317658214097147E-2</c:v>
                </c:pt>
                <c:pt idx="1573">
                  <c:v>2.2310138925674371E-2</c:v>
                </c:pt>
                <c:pt idx="1574">
                  <c:v>2.2302621628716848E-2</c:v>
                </c:pt>
                <c:pt idx="1575">
                  <c:v>2.2295106323201117E-2</c:v>
                </c:pt>
                <c:pt idx="1576">
                  <c:v>2.2287441669566272E-2</c:v>
                </c:pt>
                <c:pt idx="1577">
                  <c:v>2.22788578291204E-2</c:v>
                </c:pt>
                <c:pt idx="1578">
                  <c:v>2.2271349102048154E-2</c:v>
                </c:pt>
                <c:pt idx="1579">
                  <c:v>2.2263842366050317E-2</c:v>
                </c:pt>
                <c:pt idx="1580">
                  <c:v>2.2256337621103742E-2</c:v>
                </c:pt>
                <c:pt idx="1581">
                  <c:v>2.2249283883550276E-2</c:v>
                </c:pt>
                <c:pt idx="1582">
                  <c:v>2.2241782164668062E-2</c:v>
                </c:pt>
                <c:pt idx="1583">
                  <c:v>2.2234431424320987E-2</c:v>
                </c:pt>
                <c:pt idx="1584">
                  <c:v>2.2226784702311327E-2</c:v>
                </c:pt>
                <c:pt idx="1585">
                  <c:v>2.2218843761360459E-2</c:v>
                </c:pt>
                <c:pt idx="1586">
                  <c:v>2.2211350962253171E-2</c:v>
                </c:pt>
                <c:pt idx="1587">
                  <c:v>2.2203860154041639E-2</c:v>
                </c:pt>
                <c:pt idx="1588">
                  <c:v>2.2196961077644413E-2</c:v>
                </c:pt>
                <c:pt idx="1589">
                  <c:v>2.218932590190659E-2</c:v>
                </c:pt>
                <c:pt idx="1590">
                  <c:v>2.218198688277425E-2</c:v>
                </c:pt>
                <c:pt idx="1591">
                  <c:v>2.217435632346482E-2</c:v>
                </c:pt>
                <c:pt idx="1592">
                  <c:v>2.2166874521664354E-2</c:v>
                </c:pt>
                <c:pt idx="1593">
                  <c:v>2.2158957112326582E-2</c:v>
                </c:pt>
                <c:pt idx="1594">
                  <c:v>2.2151916892792518E-2</c:v>
                </c:pt>
                <c:pt idx="1595">
                  <c:v>2.2144441065675164E-2</c:v>
                </c:pt>
                <c:pt idx="1596">
                  <c:v>2.2136967230074439E-2</c:v>
                </c:pt>
                <c:pt idx="1597">
                  <c:v>2.2129061566269956E-2</c:v>
                </c:pt>
                <c:pt idx="1598">
                  <c:v>2.2121303951785146E-2</c:v>
                </c:pt>
                <c:pt idx="1599">
                  <c:v>2.2113837660627658E-2</c:v>
                </c:pt>
                <c:pt idx="1600">
                  <c:v>2.2106373359529561E-2</c:v>
                </c:pt>
                <c:pt idx="1601">
                  <c:v>2.2098911048470091E-2</c:v>
                </c:pt>
                <c:pt idx="1602">
                  <c:v>2.2091593837281844E-2</c:v>
                </c:pt>
                <c:pt idx="1603">
                  <c:v>2.2084135193295454E-2</c:v>
                </c:pt>
                <c:pt idx="1604">
                  <c:v>2.2076678539553515E-2</c:v>
                </c:pt>
                <c:pt idx="1605">
                  <c:v>2.2069223876034508E-2</c:v>
                </c:pt>
                <c:pt idx="1606">
                  <c:v>2.206191303853727E-2</c:v>
                </c:pt>
                <c:pt idx="1607">
                  <c:v>2.2054320519576568E-2</c:v>
                </c:pt>
                <c:pt idx="1608">
                  <c:v>2.2046730590272672E-2</c:v>
                </c:pt>
                <c:pt idx="1609">
                  <c:v>2.2039284198726868E-2</c:v>
                </c:pt>
                <c:pt idx="1610">
                  <c:v>2.2031839797022286E-2</c:v>
                </c:pt>
                <c:pt idx="1611">
                  <c:v>2.2024537688363016E-2</c:v>
                </c:pt>
                <c:pt idx="1612">
                  <c:v>2.2017096955786124E-2</c:v>
                </c:pt>
                <c:pt idx="1613">
                  <c:v>2.2009658213255599E-2</c:v>
                </c:pt>
                <c:pt idx="1614">
                  <c:v>2.2002221460749486E-2</c:v>
                </c:pt>
                <c:pt idx="1615">
                  <c:v>2.1990539155992073E-2</c:v>
                </c:pt>
                <c:pt idx="1616">
                  <c:v>2.198721517222205E-2</c:v>
                </c:pt>
                <c:pt idx="1617">
                  <c:v>2.1979784698789043E-2</c:v>
                </c:pt>
                <c:pt idx="1618">
                  <c:v>2.1972356215021922E-2</c:v>
                </c:pt>
                <c:pt idx="1619">
                  <c:v>2.1964929720898613E-2</c:v>
                </c:pt>
                <c:pt idx="1620">
                  <c:v>2.1957505216397031E-2</c:v>
                </c:pt>
                <c:pt idx="1621">
                  <c:v>2.19490225046397E-2</c:v>
                </c:pt>
                <c:pt idx="1622">
                  <c:v>2.1942662176173366E-2</c:v>
                </c:pt>
                <c:pt idx="1623">
                  <c:v>2.1935243640407123E-2</c:v>
                </c:pt>
                <c:pt idx="1624">
                  <c:v>2.192850829714783E-2</c:v>
                </c:pt>
                <c:pt idx="1625">
                  <c:v>2.1921092205705376E-2</c:v>
                </c:pt>
                <c:pt idx="1626">
                  <c:v>2.1913813660997577E-2</c:v>
                </c:pt>
                <c:pt idx="1627">
                  <c:v>2.1906265995320386E-2</c:v>
                </c:pt>
                <c:pt idx="1628">
                  <c:v>2.1898450904042462E-2</c:v>
                </c:pt>
                <c:pt idx="1629">
                  <c:v>2.189104369339084E-2</c:v>
                </c:pt>
                <c:pt idx="1630">
                  <c:v>2.188363847268273E-2</c:v>
                </c:pt>
                <c:pt idx="1631">
                  <c:v>2.1876235241894981E-2</c:v>
                </c:pt>
                <c:pt idx="1632">
                  <c:v>2.1867643070664831E-2</c:v>
                </c:pt>
                <c:pt idx="1633">
                  <c:v>2.1861835142552681E-2</c:v>
                </c:pt>
                <c:pt idx="1634">
                  <c:v>2.1854436967871638E-2</c:v>
                </c:pt>
                <c:pt idx="1635">
                  <c:v>2.1847040783829645E-2</c:v>
                </c:pt>
                <c:pt idx="1636">
                  <c:v>2.1839646590404355E-2</c:v>
                </c:pt>
                <c:pt idx="1637">
                  <c:v>2.1831857644274276E-2</c:v>
                </c:pt>
                <c:pt idx="1638">
                  <c:v>2.182446834231664E-2</c:v>
                </c:pt>
                <c:pt idx="1639">
                  <c:v>2.1817081030103325E-2</c:v>
                </c:pt>
                <c:pt idx="1640">
                  <c:v>2.1809695707612934E-2</c:v>
                </c:pt>
                <c:pt idx="1641">
                  <c:v>2.1802836470352329E-2</c:v>
                </c:pt>
                <c:pt idx="1642">
                  <c:v>2.1795453917822387E-2</c:v>
                </c:pt>
                <c:pt idx="1643">
                  <c:v>2.1787942971827279E-2</c:v>
                </c:pt>
                <c:pt idx="1644">
                  <c:v>2.1780564702534113E-2</c:v>
                </c:pt>
                <c:pt idx="1645">
                  <c:v>2.1773188423656518E-2</c:v>
                </c:pt>
                <c:pt idx="1646">
                  <c:v>2.176581413517301E-2</c:v>
                </c:pt>
                <c:pt idx="1647">
                  <c:v>2.1758441837060809E-2</c:v>
                </c:pt>
                <c:pt idx="1648">
                  <c:v>2.1751071529298428E-2</c:v>
                </c:pt>
                <c:pt idx="1649">
                  <c:v>2.1743703211862232E-2</c:v>
                </c:pt>
                <c:pt idx="1650">
                  <c:v>2.1735695147494325E-2</c:v>
                </c:pt>
                <c:pt idx="1651">
                  <c:v>2.1728332310473587E-2</c:v>
                </c:pt>
                <c:pt idx="1652">
                  <c:v>2.1720971462379442E-2</c:v>
                </c:pt>
                <c:pt idx="1653">
                  <c:v>2.1712561499949563E-2</c:v>
                </c:pt>
                <c:pt idx="1654">
                  <c:v>2.170638292880734E-2</c:v>
                </c:pt>
                <c:pt idx="1655">
                  <c:v>2.1699027748439719E-2</c:v>
                </c:pt>
                <c:pt idx="1656">
                  <c:v>2.1691674557176802E-2</c:v>
                </c:pt>
                <c:pt idx="1657">
                  <c:v>2.1684323354999268E-2</c:v>
                </c:pt>
                <c:pt idx="1658">
                  <c:v>2.1676974141883396E-2</c:v>
                </c:pt>
                <c:pt idx="1659">
                  <c:v>2.166975259847051E-2</c:v>
                </c:pt>
                <c:pt idx="1660">
                  <c:v>2.1662156276371337E-2</c:v>
                </c:pt>
                <c:pt idx="1661">
                  <c:v>2.1654813327639626E-2</c:v>
                </c:pt>
                <c:pt idx="1662">
                  <c:v>2.1647472367617222E-2</c:v>
                </c:pt>
                <c:pt idx="1663">
                  <c:v>2.1640257911481438E-2</c:v>
                </c:pt>
                <c:pt idx="1664">
                  <c:v>2.1632920632284475E-2</c:v>
                </c:pt>
                <c:pt idx="1665">
                  <c:v>2.1625585341997645E-2</c:v>
                </c:pt>
                <c:pt idx="1666">
                  <c:v>2.1617204588471758E-2</c:v>
                </c:pt>
                <c:pt idx="1667">
                  <c:v>2.1605562174334118E-2</c:v>
                </c:pt>
                <c:pt idx="1668">
                  <c:v>2.1602421527488324E-2</c:v>
                </c:pt>
                <c:pt idx="1669">
                  <c:v>2.1595094771910833E-2</c:v>
                </c:pt>
                <c:pt idx="1670">
                  <c:v>2.158777000486688E-2</c:v>
                </c:pt>
                <c:pt idx="1671">
                  <c:v>2.158044722633615E-2</c:v>
                </c:pt>
                <c:pt idx="1672">
                  <c:v>2.1573126436297E-2</c:v>
                </c:pt>
                <c:pt idx="1673">
                  <c:v>2.1562793008040579E-2</c:v>
                </c:pt>
                <c:pt idx="1674">
                  <c:v>2.1558490821605998E-2</c:v>
                </c:pt>
                <c:pt idx="1675">
                  <c:v>2.1551175996911309E-2</c:v>
                </c:pt>
                <c:pt idx="1676">
                  <c:v>2.1544345578233728E-2</c:v>
                </c:pt>
                <c:pt idx="1677">
                  <c:v>2.1537033558180933E-2</c:v>
                </c:pt>
                <c:pt idx="1678">
                  <c:v>2.1529843488424041E-2</c:v>
                </c:pt>
                <c:pt idx="1679">
                  <c:v>2.1522415486304073E-2</c:v>
                </c:pt>
                <c:pt idx="1680">
                  <c:v>2.1515109434435929E-2</c:v>
                </c:pt>
                <c:pt idx="1681">
                  <c:v>2.1503394610914967E-2</c:v>
                </c:pt>
                <c:pt idx="1682">
                  <c:v>2.1500503298730038E-2</c:v>
                </c:pt>
                <c:pt idx="1683">
                  <c:v>2.1493203214848648E-2</c:v>
                </c:pt>
                <c:pt idx="1684">
                  <c:v>2.1478609027772082E-2</c:v>
                </c:pt>
                <c:pt idx="1685">
                  <c:v>2.1478609027772082E-2</c:v>
                </c:pt>
                <c:pt idx="1686">
                  <c:v>2.1471315374874008E-2</c:v>
                </c:pt>
                <c:pt idx="1687">
                  <c:v>2.1464025110764423E-2</c:v>
                </c:pt>
                <c:pt idx="1688">
                  <c:v>2.1456739215105523E-2</c:v>
                </c:pt>
                <c:pt idx="1689">
                  <c:v>2.1449458667541346E-2</c:v>
                </c:pt>
                <c:pt idx="1690">
                  <c:v>2.1442184447704269E-2</c:v>
                </c:pt>
                <c:pt idx="1691">
                  <c:v>2.1434917535211543E-2</c:v>
                </c:pt>
                <c:pt idx="1692">
                  <c:v>2.1427897898036605E-2</c:v>
                </c:pt>
                <c:pt idx="1693">
                  <c:v>2.1420649870588646E-2</c:v>
                </c:pt>
                <c:pt idx="1694">
                  <c:v>2.1413291304660839E-2</c:v>
                </c:pt>
                <c:pt idx="1695">
                  <c:v>2.1405942550514576E-2</c:v>
                </c:pt>
                <c:pt idx="1696">
                  <c:v>2.1398726868492958E-2</c:v>
                </c:pt>
                <c:pt idx="1697">
                  <c:v>2.1391648028685543E-2</c:v>
                </c:pt>
                <c:pt idx="1698">
                  <c:v>2.138433603820121E-2</c:v>
                </c:pt>
                <c:pt idx="1699">
                  <c:v>2.1377162848951706E-2</c:v>
                </c:pt>
                <c:pt idx="1700">
                  <c:v>2.1370005782956281E-2</c:v>
                </c:pt>
                <c:pt idx="1701">
                  <c:v>2.1362865819691334E-2</c:v>
                </c:pt>
                <c:pt idx="1702">
                  <c:v>2.135535562877473E-2</c:v>
                </c:pt>
                <c:pt idx="1703">
                  <c:v>2.1348248677379868E-2</c:v>
                </c:pt>
                <c:pt idx="1704">
                  <c:v>2.1341161633991242E-2</c:v>
                </c:pt>
                <c:pt idx="1705">
                  <c:v>2.1331073793968581E-2</c:v>
                </c:pt>
                <c:pt idx="1706">
                  <c:v>2.132691637171202E-2</c:v>
                </c:pt>
                <c:pt idx="1707">
                  <c:v>2.132044004631042E-2</c:v>
                </c:pt>
                <c:pt idx="1708">
                  <c:v>2.1313447226313852E-2</c:v>
                </c:pt>
                <c:pt idx="1709">
                  <c:v>2.1306479344360699E-2</c:v>
                </c:pt>
                <c:pt idx="1710">
                  <c:v>2.1299113183124115E-2</c:v>
                </c:pt>
                <c:pt idx="1711">
                  <c:v>2.1292765608389368E-2</c:v>
                </c:pt>
                <c:pt idx="1712">
                  <c:v>2.1285301254108224E-2</c:v>
                </c:pt>
                <c:pt idx="1713">
                  <c:v>2.1278437012577003E-2</c:v>
                </c:pt>
                <c:pt idx="1714">
                  <c:v>2.127160064129123E-2</c:v>
                </c:pt>
                <c:pt idx="1715">
                  <c:v>2.1265240145437934E-2</c:v>
                </c:pt>
                <c:pt idx="1716">
                  <c:v>2.125846429179155E-2</c:v>
                </c:pt>
                <c:pt idx="1717">
                  <c:v>2.1251716312764103E-2</c:v>
                </c:pt>
                <c:pt idx="1718">
                  <c:v>2.123990252097788E-2</c:v>
                </c:pt>
                <c:pt idx="1719">
                  <c:v>2.1237836828584211E-2</c:v>
                </c:pt>
                <c:pt idx="1720">
                  <c:v>2.1231167672811527E-2</c:v>
                </c:pt>
                <c:pt idx="1721">
                  <c:v>2.1224526385308289E-2</c:v>
                </c:pt>
                <c:pt idx="1722">
                  <c:v>2.1217912965798242E-2</c:v>
                </c:pt>
                <c:pt idx="1723">
                  <c:v>2.1211327414003361E-2</c:v>
                </c:pt>
                <c:pt idx="1724">
                  <c:v>2.1204769729649145E-2</c:v>
                </c:pt>
                <c:pt idx="1725">
                  <c:v>2.1198239912460646E-2</c:v>
                </c:pt>
                <c:pt idx="1726">
                  <c:v>2.1191737962166873E-2</c:v>
                </c:pt>
                <c:pt idx="1727">
                  <c:v>2.1185263878494634E-2</c:v>
                </c:pt>
                <c:pt idx="1728">
                  <c:v>2.1179328187193806E-2</c:v>
                </c:pt>
                <c:pt idx="1729">
                  <c:v>2.1172914681575328E-2</c:v>
                </c:pt>
                <c:pt idx="1730">
                  <c:v>2.1166702777469466E-2</c:v>
                </c:pt>
                <c:pt idx="1731">
                  <c:v>2.1160171283020991E-2</c:v>
                </c:pt>
                <c:pt idx="1732">
                  <c:v>2.1149881512232186E-2</c:v>
                </c:pt>
                <c:pt idx="1733">
                  <c:v>2.1147717959240156E-2</c:v>
                </c:pt>
                <c:pt idx="1734">
                  <c:v>2.1141265212845636E-2</c:v>
                </c:pt>
                <c:pt idx="1735">
                  <c:v>2.1135018929089464E-2</c:v>
                </c:pt>
                <c:pt idx="1736">
                  <c:v>2.1129167619497371E-2</c:v>
                </c:pt>
                <c:pt idx="1737">
                  <c:v>2.111889915861034E-2</c:v>
                </c:pt>
                <c:pt idx="1738">
                  <c:v>2.1116447293015712E-2</c:v>
                </c:pt>
                <c:pt idx="1739">
                  <c:v>2.1110312485179059E-2</c:v>
                </c:pt>
                <c:pt idx="1740">
                  <c:v>2.1104205545666704E-2</c:v>
                </c:pt>
                <c:pt idx="1741">
                  <c:v>2.1098126474220259E-2</c:v>
                </c:pt>
                <c:pt idx="1742">
                  <c:v>2.1092075270581767E-2</c:v>
                </c:pt>
                <c:pt idx="1743">
                  <c:v>2.1086051934493703E-2</c:v>
                </c:pt>
                <c:pt idx="1744">
                  <c:v>2.1080646622082769E-2</c:v>
                </c:pt>
                <c:pt idx="1745">
                  <c:v>2.107349526189933E-2</c:v>
                </c:pt>
                <c:pt idx="1746">
                  <c:v>2.1068149128978458E-2</c:v>
                </c:pt>
                <c:pt idx="1747">
                  <c:v>2.1062438748922645E-2</c:v>
                </c:pt>
                <c:pt idx="1748">
                  <c:v>2.1056353258393716E-2</c:v>
                </c:pt>
                <c:pt idx="1749">
                  <c:v>2.1050497122275413E-2</c:v>
                </c:pt>
                <c:pt idx="1750">
                  <c:v>2.1044668851941169E-2</c:v>
                </c:pt>
                <c:pt idx="1751">
                  <c:v>2.1039076538393084E-2</c:v>
                </c:pt>
                <c:pt idx="1752">
                  <c:v>2.1033095907635812E-2</c:v>
                </c:pt>
                <c:pt idx="1753">
                  <c:v>2.1027351233172984E-2</c:v>
                </c:pt>
                <c:pt idx="1754">
                  <c:v>2.1020783847650437E-2</c:v>
                </c:pt>
                <c:pt idx="1755">
                  <c:v>2.1015088264648523E-2</c:v>
                </c:pt>
                <c:pt idx="1756">
                  <c:v>2.1009420539204637E-2</c:v>
                </c:pt>
                <c:pt idx="1757">
                  <c:v>2.1003780671083827E-2</c:v>
                </c:pt>
                <c:pt idx="1758">
                  <c:v>2.0998387700431526E-2</c:v>
                </c:pt>
                <c:pt idx="1759">
                  <c:v>2.099280521214494E-2</c:v>
                </c:pt>
                <c:pt idx="1760">
                  <c:v>2.0987250582165669E-2</c:v>
                </c:pt>
                <c:pt idx="1761">
                  <c:v>2.0982621666900608E-2</c:v>
                </c:pt>
                <c:pt idx="1762">
                  <c:v>2.0976224896202759E-2</c:v>
                </c:pt>
                <c:pt idx="1763">
                  <c:v>2.0970526453087984E-2</c:v>
                </c:pt>
                <c:pt idx="1764">
                  <c:v>2.0965081579727401E-2</c:v>
                </c:pt>
                <c:pt idx="1765">
                  <c:v>2.0959664561846069E-2</c:v>
                </c:pt>
                <c:pt idx="1766">
                  <c:v>2.0952440722999864E-2</c:v>
                </c:pt>
                <c:pt idx="1767">
                  <c:v>2.0949148185572211E-2</c:v>
                </c:pt>
                <c:pt idx="1768">
                  <c:v>2.0943816413794281E-2</c:v>
                </c:pt>
                <c:pt idx="1769">
                  <c:v>2.0938512498277388E-2</c:v>
                </c:pt>
                <c:pt idx="1770">
                  <c:v>2.0933236438798845E-2</c:v>
                </c:pt>
                <c:pt idx="1771">
                  <c:v>2.0922525371347412E-2</c:v>
                </c:pt>
                <c:pt idx="1772">
                  <c:v>2.0920539122220468E-2</c:v>
                </c:pt>
                <c:pt idx="1773">
                  <c:v>2.0914620762135381E-2</c:v>
                </c:pt>
                <c:pt idx="1774">
                  <c:v>2.0910205867837324E-2</c:v>
                </c:pt>
                <c:pt idx="1775">
                  <c:v>2.0905081023036926E-2</c:v>
                </c:pt>
                <c:pt idx="1776">
                  <c:v>2.0899984032877759E-2</c:v>
                </c:pt>
                <c:pt idx="1777">
                  <c:v>2.089394105955783E-2</c:v>
                </c:pt>
                <c:pt idx="1778">
                  <c:v>2.0889873615633246E-2</c:v>
                </c:pt>
                <c:pt idx="1779">
                  <c:v>2.0885115465727321E-2</c:v>
                </c:pt>
                <c:pt idx="1780">
                  <c:v>2.0880388746268252E-2</c:v>
                </c:pt>
                <c:pt idx="1781">
                  <c:v>2.0875434433602916E-2</c:v>
                </c:pt>
                <c:pt idx="1782">
                  <c:v>2.0870507977637572E-2</c:v>
                </c:pt>
                <c:pt idx="1783">
                  <c:v>2.0865609378162821E-2</c:v>
                </c:pt>
                <c:pt idx="1784">
                  <c:v>2.0860474657367907E-2</c:v>
                </c:pt>
                <c:pt idx="1785">
                  <c:v>2.0855630059785354E-2</c:v>
                </c:pt>
                <c:pt idx="1786">
                  <c:v>2.0850813316421406E-2</c:v>
                </c:pt>
                <c:pt idx="1787">
                  <c:v>2.0844661288990096E-2</c:v>
                </c:pt>
                <c:pt idx="1788">
                  <c:v>2.0840856591984244E-2</c:v>
                </c:pt>
                <c:pt idx="1789">
                  <c:v>2.0836129106457286E-2</c:v>
                </c:pt>
                <c:pt idx="1790">
                  <c:v>2.0832099146350359E-2</c:v>
                </c:pt>
                <c:pt idx="1791">
                  <c:v>2.0827423391451876E-2</c:v>
                </c:pt>
                <c:pt idx="1792">
                  <c:v>2.0822113779316264E-2</c:v>
                </c:pt>
                <c:pt idx="1793">
                  <c:v>2.0817876014145201E-2</c:v>
                </c:pt>
                <c:pt idx="1794">
                  <c:v>2.0813282097342827E-2</c:v>
                </c:pt>
                <c:pt idx="1795">
                  <c:v>2.0808716032979933E-2</c:v>
                </c:pt>
                <c:pt idx="1796">
                  <c:v>2.0804177820864762E-2</c:v>
                </c:pt>
                <c:pt idx="1797">
                  <c:v>2.0801388164266365E-2</c:v>
                </c:pt>
                <c:pt idx="1798">
                  <c:v>2.079547302702598E-2</c:v>
                </c:pt>
                <c:pt idx="1799">
                  <c:v>2.0790386245937022E-2</c:v>
                </c:pt>
                <c:pt idx="1800">
                  <c:v>2.0786595034227237E-2</c:v>
                </c:pt>
                <c:pt idx="1801">
                  <c:v>2.078219781733967E-2</c:v>
                </c:pt>
                <c:pt idx="1802">
                  <c:v>2.0777828453212206E-2</c:v>
                </c:pt>
                <c:pt idx="1803">
                  <c:v>2.0773486941660202E-2</c:v>
                </c:pt>
                <c:pt idx="1804">
                  <c:v>2.0769173282500331E-2</c:v>
                </c:pt>
                <c:pt idx="1805">
                  <c:v>2.07642774910533E-2</c:v>
                </c:pt>
                <c:pt idx="1806">
                  <c:v>2.0760025721732814E-2</c:v>
                </c:pt>
                <c:pt idx="1807">
                  <c:v>2.0755792125581801E-2</c:v>
                </c:pt>
                <c:pt idx="1808">
                  <c:v>2.0750682454406824E-2</c:v>
                </c:pt>
                <c:pt idx="1809">
                  <c:v>2.0746506783480442E-2</c:v>
                </c:pt>
                <c:pt idx="1810">
                  <c:v>2.0743258426842701E-2</c:v>
                </c:pt>
                <c:pt idx="1811">
                  <c:v>2.0739446781936184E-2</c:v>
                </c:pt>
                <c:pt idx="1812">
                  <c:v>2.0734459232657109E-2</c:v>
                </c:pt>
                <c:pt idx="1813">
                  <c:v>2.0730975359020059E-2</c:v>
                </c:pt>
                <c:pt idx="1814">
                  <c:v>2.0726936698036835E-2</c:v>
                </c:pt>
                <c:pt idx="1815">
                  <c:v>2.0722673022380646E-2</c:v>
                </c:pt>
                <c:pt idx="1816">
                  <c:v>2.0718942917494279E-2</c:v>
                </c:pt>
                <c:pt idx="1817">
                  <c:v>2.0714987797600264E-2</c:v>
                </c:pt>
                <c:pt idx="1818">
                  <c:v>2.0711383399393362E-2</c:v>
                </c:pt>
                <c:pt idx="1819">
                  <c:v>2.0707161097740182E-2</c:v>
                </c:pt>
                <c:pt idx="1820">
                  <c:v>2.0703289517448219E-2</c:v>
                </c:pt>
                <c:pt idx="1821">
                  <c:v>2.0699445783363794E-2</c:v>
                </c:pt>
                <c:pt idx="1822">
                  <c:v>2.0695087041602864E-2</c:v>
                </c:pt>
                <c:pt idx="1823">
                  <c:v>2.0688081656762732E-2</c:v>
                </c:pt>
                <c:pt idx="1824">
                  <c:v>2.0687213192634824E-2</c:v>
                </c:pt>
                <c:pt idx="1825">
                  <c:v>2.0683483044001093E-2</c:v>
                </c:pt>
                <c:pt idx="1826">
                  <c:v>2.0680117858516821E-2</c:v>
                </c:pt>
                <c:pt idx="1827">
                  <c:v>2.0676106277909421E-2</c:v>
                </c:pt>
                <c:pt idx="1828">
                  <c:v>2.067245966014454E-2</c:v>
                </c:pt>
                <c:pt idx="1829">
                  <c:v>2.066832619083539E-2</c:v>
                </c:pt>
                <c:pt idx="1830">
                  <c:v>2.066524995441885E-2</c:v>
                </c:pt>
                <c:pt idx="1831">
                  <c:v>2.0662032896454411E-2</c:v>
                </c:pt>
                <c:pt idx="1832">
                  <c:v>2.0659195625330935E-2</c:v>
                </c:pt>
                <c:pt idx="1833">
                  <c:v>2.0655693589251109E-2</c:v>
                </c:pt>
                <c:pt idx="1834">
                  <c:v>2.0652219400587399E-2</c:v>
                </c:pt>
                <c:pt idx="1835">
                  <c:v>2.0648773059192091E-2</c:v>
                </c:pt>
                <c:pt idx="1836">
                  <c:v>2.0644999213194563E-2</c:v>
                </c:pt>
                <c:pt idx="1837">
                  <c:v>2.0640642615432237E-2</c:v>
                </c:pt>
                <c:pt idx="1838">
                  <c:v>2.0637285973589509E-2</c:v>
                </c:pt>
                <c:pt idx="1839">
                  <c:v>2.0633957176791083E-2</c:v>
                </c:pt>
                <c:pt idx="1840">
                  <c:v>2.0632109574103646E-2</c:v>
                </c:pt>
                <c:pt idx="1841">
                  <c:v>2.0628478258431018E-2</c:v>
                </c:pt>
                <c:pt idx="1842">
                  <c:v>2.0625238408670934E-2</c:v>
                </c:pt>
                <c:pt idx="1843">
                  <c:v>2.0622395438741444E-2</c:v>
                </c:pt>
                <c:pt idx="1844">
                  <c:v>2.0617730863608803E-2</c:v>
                </c:pt>
                <c:pt idx="1845">
                  <c:v>2.0614569134179278E-2</c:v>
                </c:pt>
                <c:pt idx="1846">
                  <c:v>2.0611435248839627E-2</c:v>
                </c:pt>
                <c:pt idx="1847">
                  <c:v>2.0608329207457938E-2</c:v>
                </c:pt>
                <c:pt idx="1848">
                  <c:v>2.0606384140855971E-2</c:v>
                </c:pt>
                <c:pt idx="1849">
                  <c:v>2.060333923342526E-2</c:v>
                </c:pt>
                <c:pt idx="1850">
                  <c:v>2.0600703893844049E-2</c:v>
                </c:pt>
                <c:pt idx="1851">
                  <c:v>2.059733296355885E-2</c:v>
                </c:pt>
                <c:pt idx="1852">
                  <c:v>2.0594371600866149E-2</c:v>
                </c:pt>
                <c:pt idx="1853">
                  <c:v>2.0590277675060109E-2</c:v>
                </c:pt>
                <c:pt idx="1854">
                  <c:v>2.0588532419330865E-2</c:v>
                </c:pt>
                <c:pt idx="1855">
                  <c:v>2.058565460023816E-2</c:v>
                </c:pt>
                <c:pt idx="1856">
                  <c:v>2.0582804628765577E-2</c:v>
                </c:pt>
                <c:pt idx="1857">
                  <c:v>2.0578800183200015E-2</c:v>
                </c:pt>
                <c:pt idx="1858">
                  <c:v>2.0575209492846865E-2</c:v>
                </c:pt>
                <c:pt idx="1859">
                  <c:v>2.0572433907287021E-2</c:v>
                </c:pt>
                <c:pt idx="1860">
                  <c:v>2.0569686160889316E-2</c:v>
                </c:pt>
                <c:pt idx="1861">
                  <c:v>2.0566966253538037E-2</c:v>
                </c:pt>
                <c:pt idx="1862">
                  <c:v>2.0564676885013716E-2</c:v>
                </c:pt>
                <c:pt idx="1863">
                  <c:v>2.0562014492603444E-2</c:v>
                </c:pt>
                <c:pt idx="1864">
                  <c:v>2.0559379940498619E-2</c:v>
                </c:pt>
                <c:pt idx="1865">
                  <c:v>2.0556773228588118E-2</c:v>
                </c:pt>
                <c:pt idx="1866">
                  <c:v>2.0554194356764775E-2</c:v>
                </c:pt>
                <c:pt idx="1867">
                  <c:v>2.0551643324918791E-2</c:v>
                </c:pt>
                <c:pt idx="1868">
                  <c:v>2.0548706386057002E-2</c:v>
                </c:pt>
                <c:pt idx="1869">
                  <c:v>2.0546209187112578E-2</c:v>
                </c:pt>
                <c:pt idx="1870">
                  <c:v>2.0543739826239891E-2</c:v>
                </c:pt>
                <c:pt idx="1871">
                  <c:v>2.0541717595205043E-2</c:v>
                </c:pt>
                <c:pt idx="1872">
                  <c:v>2.0539305761674786E-2</c:v>
                </c:pt>
                <c:pt idx="1873">
                  <c:v>2.0536921767501288E-2</c:v>
                </c:pt>
                <c:pt idx="1874">
                  <c:v>2.0533231737566052E-2</c:v>
                </c:pt>
                <c:pt idx="1875">
                  <c:v>2.0530919329853705E-2</c:v>
                </c:pt>
                <c:pt idx="1876">
                  <c:v>2.0529508254840973E-2</c:v>
                </c:pt>
                <c:pt idx="1877">
                  <c:v>2.0527233757661644E-2</c:v>
                </c:pt>
                <c:pt idx="1878">
                  <c:v>2.052498709776485E-2</c:v>
                </c:pt>
                <c:pt idx="1879">
                  <c:v>2.0522768275058285E-2</c:v>
                </c:pt>
                <c:pt idx="1880">
                  <c:v>2.0520577289448332E-2</c:v>
                </c:pt>
                <c:pt idx="1881">
                  <c:v>2.0518414140845327E-2</c:v>
                </c:pt>
                <c:pt idx="1882">
                  <c:v>2.0516278829158744E-2</c:v>
                </c:pt>
                <c:pt idx="1883">
                  <c:v>2.051417135430025E-2</c:v>
                </c:pt>
                <c:pt idx="1884">
                  <c:v>2.051431109941541E-2</c:v>
                </c:pt>
                <c:pt idx="1885">
                  <c:v>2.0512268660787293E-2</c:v>
                </c:pt>
                <c:pt idx="1886">
                  <c:v>2.051159929124265E-2</c:v>
                </c:pt>
                <c:pt idx="1887">
                  <c:v>2.0508267316902244E-2</c:v>
                </c:pt>
                <c:pt idx="1888">
                  <c:v>2.0504953692475215E-2</c:v>
                </c:pt>
                <c:pt idx="1889">
                  <c:v>2.0503016993921992E-2</c:v>
                </c:pt>
                <c:pt idx="1890">
                  <c:v>2.0501108134770813E-2</c:v>
                </c:pt>
                <c:pt idx="1891">
                  <c:v>2.0499227114943043E-2</c:v>
                </c:pt>
                <c:pt idx="1892">
                  <c:v>2.0497373934357882E-2</c:v>
                </c:pt>
                <c:pt idx="1893">
                  <c:v>2.0496931546161667E-2</c:v>
                </c:pt>
                <c:pt idx="1894">
                  <c:v>2.049513970490522E-2</c:v>
                </c:pt>
                <c:pt idx="1895">
                  <c:v>2.0493840863819536E-2</c:v>
                </c:pt>
                <c:pt idx="1896">
                  <c:v>2.0491639553578599E-2</c:v>
                </c:pt>
                <c:pt idx="1897">
                  <c:v>2.0488525617402682E-2</c:v>
                </c:pt>
                <c:pt idx="1898">
                  <c:v>2.0486839470684477E-2</c:v>
                </c:pt>
                <c:pt idx="1899">
                  <c:v>2.0485181162689509E-2</c:v>
                </c:pt>
                <c:pt idx="1900">
                  <c:v>2.0485447998939022E-2</c:v>
                </c:pt>
                <c:pt idx="1901">
                  <c:v>2.0483376437083037E-2</c:v>
                </c:pt>
                <c:pt idx="1902">
                  <c:v>2.0482285767769486E-2</c:v>
                </c:pt>
                <c:pt idx="1903">
                  <c:v>2.0480266093731561E-2</c:v>
                </c:pt>
                <c:pt idx="1904">
                  <c:v>2.047875268676665E-2</c:v>
                </c:pt>
                <c:pt idx="1905">
                  <c:v>2.0475815924083471E-2</c:v>
                </c:pt>
                <c:pt idx="1906">
                  <c:v>2.0475809401936166E-2</c:v>
                </c:pt>
                <c:pt idx="1907">
                  <c:v>2.0474379523944673E-2</c:v>
                </c:pt>
                <c:pt idx="1908">
                  <c:v>2.0472977488820116E-2</c:v>
                </c:pt>
                <c:pt idx="1909">
                  <c:v>2.0471603296504048E-2</c:v>
                </c:pt>
                <c:pt idx="1910">
                  <c:v>2.0468284235744594E-2</c:v>
                </c:pt>
                <c:pt idx="1911">
                  <c:v>2.0466958073920283E-2</c:v>
                </c:pt>
                <c:pt idx="1912">
                  <c:v>2.0465659748428771E-2</c:v>
                </c:pt>
                <c:pt idx="1913">
                  <c:v>2.0464389259216474E-2</c:v>
                </c:pt>
                <c:pt idx="1914">
                  <c:v>2.0463647144931051E-2</c:v>
                </c:pt>
                <c:pt idx="1915">
                  <c:v>2.0462434247823711E-2</c:v>
                </c:pt>
                <c:pt idx="1916">
                  <c:v>2.0463268735007697E-2</c:v>
                </c:pt>
                <c:pt idx="1917">
                  <c:v>2.0460091966652941E-2</c:v>
                </c:pt>
                <c:pt idx="1918">
                  <c:v>2.0458454355519191E-2</c:v>
                </c:pt>
                <c:pt idx="1919">
                  <c:v>2.0457861035879491E-2</c:v>
                </c:pt>
                <c:pt idx="1920">
                  <c:v>2.0456275246223107E-2</c:v>
                </c:pt>
                <c:pt idx="1921">
                  <c:v>2.0455227445427968E-2</c:v>
                </c:pt>
                <c:pt idx="1922">
                  <c:v>2.0454207480475908E-2</c:v>
                </c:pt>
                <c:pt idx="1923">
                  <c:v>2.0453733224045947E-2</c:v>
                </c:pt>
                <c:pt idx="1924">
                  <c:v>2.0452770864523163E-2</c:v>
                </c:pt>
                <c:pt idx="1925">
                  <c:v>2.0451836342292199E-2</c:v>
                </c:pt>
                <c:pt idx="1926">
                  <c:v>2.0450929657313301E-2</c:v>
                </c:pt>
                <c:pt idx="1927">
                  <c:v>2.0449034383038897E-2</c:v>
                </c:pt>
                <c:pt idx="1928">
                  <c:v>2.0448672241156703E-2</c:v>
                </c:pt>
                <c:pt idx="1929">
                  <c:v>2.0447847125977005E-2</c:v>
                </c:pt>
                <c:pt idx="1930">
                  <c:v>2.0447049846330747E-2</c:v>
                </c:pt>
                <c:pt idx="1931">
                  <c:v>2.0446280402186302E-2</c:v>
                </c:pt>
                <c:pt idx="1932">
                  <c:v>2.0445538793510732E-2</c:v>
                </c:pt>
                <c:pt idx="1933">
                  <c:v>2.0444725324947014E-2</c:v>
                </c:pt>
                <c:pt idx="1934">
                  <c:v>2.0444139082444562E-2</c:v>
                </c:pt>
                <c:pt idx="1935">
                  <c:v>2.0443480979995102E-2</c:v>
                </c:pt>
                <c:pt idx="1936">
                  <c:v>2.0445024499000937E-2</c:v>
                </c:pt>
                <c:pt idx="1937">
                  <c:v>2.0444429885813433E-2</c:v>
                </c:pt>
                <c:pt idx="1938">
                  <c:v>2.044441099086115E-2</c:v>
                </c:pt>
                <c:pt idx="1939">
                  <c:v>2.0443324184179955E-2</c:v>
                </c:pt>
                <c:pt idx="1940">
                  <c:v>2.0441158959903678E-2</c:v>
                </c:pt>
                <c:pt idx="1941">
                  <c:v>2.0440669829794148E-2</c:v>
                </c:pt>
                <c:pt idx="1942">
                  <c:v>2.0440208536467552E-2</c:v>
                </c:pt>
                <c:pt idx="1943">
                  <c:v>2.043977507990467E-2</c:v>
                </c:pt>
                <c:pt idx="1944">
                  <c:v>2.0441047156704993E-2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8453760"/>
        <c:axId val="58846412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41977</c:v>
                </c:pt>
                <c:pt idx="1">
                  <c:v>42009</c:v>
                </c:pt>
                <c:pt idx="2">
                  <c:v>42039</c:v>
                </c:pt>
                <c:pt idx="3">
                  <c:v>42067</c:v>
                </c:pt>
                <c:pt idx="4">
                  <c:v>42101</c:v>
                </c:pt>
                <c:pt idx="5">
                  <c:v>42129</c:v>
                </c:pt>
                <c:pt idx="6">
                  <c:v>42312</c:v>
                </c:pt>
                <c:pt idx="7">
                  <c:v>42494</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1.5499999999999999E-3</c:v>
                </c:pt>
                <c:pt idx="1">
                  <c:v>1.5499999999999999E-3</c:v>
                </c:pt>
                <c:pt idx="2">
                  <c:v>1.5499999999999999E-3</c:v>
                </c:pt>
                <c:pt idx="3">
                  <c:v>1.5000000000000002E-3</c:v>
                </c:pt>
                <c:pt idx="4">
                  <c:v>1.5000000000000002E-3</c:v>
                </c:pt>
                <c:pt idx="5">
                  <c:v>1.5000000000000002E-3</c:v>
                </c:pt>
                <c:pt idx="6">
                  <c:v>1.4500000000000001E-3</c:v>
                </c:pt>
                <c:pt idx="7">
                  <c:v>1.5000000000000002E-3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588453760"/>
        <c:axId val="588464128"/>
      </c:scatterChart>
      <c:dateAx>
        <c:axId val="588453760"/>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588464128"/>
        <c:crosses val="autoZero"/>
        <c:auto val="1"/>
        <c:lblOffset val="100"/>
        <c:baseTimeUnit val="days"/>
        <c:majorUnit val="3"/>
        <c:majorTimeUnit val="months"/>
        <c:minorUnit val="1"/>
        <c:minorTimeUnit val="years"/>
      </c:dateAx>
      <c:valAx>
        <c:axId val="588464128"/>
        <c:scaling>
          <c:orientation val="minMax"/>
          <c:max val="2E-3"/>
          <c:min val="1E-3"/>
        </c:scaling>
        <c:delete val="0"/>
        <c:axPos val="l"/>
        <c:majorGridlines/>
        <c:numFmt formatCode="0.00%" sourceLinked="0"/>
        <c:majorTickMark val="out"/>
        <c:minorTickMark val="none"/>
        <c:tickLblPos val="nextTo"/>
        <c:crossAx val="588453760"/>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41947</c:v>
                </c:pt>
                <c:pt idx="1">
                  <c:v>41948</c:v>
                </c:pt>
                <c:pt idx="2">
                  <c:v>41949</c:v>
                </c:pt>
                <c:pt idx="3">
                  <c:v>41950</c:v>
                </c:pt>
                <c:pt idx="4">
                  <c:v>41953</c:v>
                </c:pt>
                <c:pt idx="5">
                  <c:v>41954</c:v>
                </c:pt>
                <c:pt idx="6">
                  <c:v>41955</c:v>
                </c:pt>
                <c:pt idx="7">
                  <c:v>41956</c:v>
                </c:pt>
                <c:pt idx="8">
                  <c:v>41957</c:v>
                </c:pt>
                <c:pt idx="9">
                  <c:v>41960</c:v>
                </c:pt>
                <c:pt idx="10">
                  <c:v>41961</c:v>
                </c:pt>
                <c:pt idx="11">
                  <c:v>41962</c:v>
                </c:pt>
                <c:pt idx="12">
                  <c:v>41963</c:v>
                </c:pt>
                <c:pt idx="13">
                  <c:v>41964</c:v>
                </c:pt>
                <c:pt idx="14">
                  <c:v>41968</c:v>
                </c:pt>
                <c:pt idx="15">
                  <c:v>41968</c:v>
                </c:pt>
                <c:pt idx="16">
                  <c:v>41969</c:v>
                </c:pt>
                <c:pt idx="17">
                  <c:v>41970</c:v>
                </c:pt>
                <c:pt idx="18">
                  <c:v>41971</c:v>
                </c:pt>
                <c:pt idx="19">
                  <c:v>41974</c:v>
                </c:pt>
                <c:pt idx="20">
                  <c:v>41975</c:v>
                </c:pt>
                <c:pt idx="21">
                  <c:v>41976</c:v>
                </c:pt>
                <c:pt idx="22">
                  <c:v>41977</c:v>
                </c:pt>
                <c:pt idx="23">
                  <c:v>41978</c:v>
                </c:pt>
                <c:pt idx="24">
                  <c:v>41981</c:v>
                </c:pt>
                <c:pt idx="25">
                  <c:v>41982</c:v>
                </c:pt>
                <c:pt idx="26">
                  <c:v>41983</c:v>
                </c:pt>
                <c:pt idx="27">
                  <c:v>41984</c:v>
                </c:pt>
                <c:pt idx="28">
                  <c:v>41985</c:v>
                </c:pt>
                <c:pt idx="29">
                  <c:v>41988</c:v>
                </c:pt>
                <c:pt idx="30">
                  <c:v>41989</c:v>
                </c:pt>
                <c:pt idx="31">
                  <c:v>41990</c:v>
                </c:pt>
                <c:pt idx="32">
                  <c:v>41991</c:v>
                </c:pt>
                <c:pt idx="33">
                  <c:v>41992</c:v>
                </c:pt>
                <c:pt idx="34">
                  <c:v>41995</c:v>
                </c:pt>
                <c:pt idx="35">
                  <c:v>41997</c:v>
                </c:pt>
                <c:pt idx="36">
                  <c:v>41997</c:v>
                </c:pt>
                <c:pt idx="37">
                  <c:v>42002</c:v>
                </c:pt>
                <c:pt idx="38">
                  <c:v>42003</c:v>
                </c:pt>
                <c:pt idx="39">
                  <c:v>42009</c:v>
                </c:pt>
                <c:pt idx="40">
                  <c:v>42009</c:v>
                </c:pt>
                <c:pt idx="41">
                  <c:v>42009</c:v>
                </c:pt>
                <c:pt idx="42">
                  <c:v>42010</c:v>
                </c:pt>
                <c:pt idx="43">
                  <c:v>42011</c:v>
                </c:pt>
                <c:pt idx="44">
                  <c:v>42012</c:v>
                </c:pt>
                <c:pt idx="45">
                  <c:v>42013</c:v>
                </c:pt>
                <c:pt idx="46">
                  <c:v>42017</c:v>
                </c:pt>
                <c:pt idx="47">
                  <c:v>42017</c:v>
                </c:pt>
                <c:pt idx="48">
                  <c:v>42018</c:v>
                </c:pt>
                <c:pt idx="49">
                  <c:v>42019</c:v>
                </c:pt>
                <c:pt idx="50">
                  <c:v>42020</c:v>
                </c:pt>
                <c:pt idx="51">
                  <c:v>42023</c:v>
                </c:pt>
                <c:pt idx="52">
                  <c:v>42024</c:v>
                </c:pt>
                <c:pt idx="53">
                  <c:v>42025</c:v>
                </c:pt>
                <c:pt idx="54">
                  <c:v>42026</c:v>
                </c:pt>
                <c:pt idx="55">
                  <c:v>42027</c:v>
                </c:pt>
                <c:pt idx="56">
                  <c:v>42030</c:v>
                </c:pt>
                <c:pt idx="57">
                  <c:v>42031</c:v>
                </c:pt>
                <c:pt idx="58">
                  <c:v>42032</c:v>
                </c:pt>
                <c:pt idx="59">
                  <c:v>42033</c:v>
                </c:pt>
                <c:pt idx="60">
                  <c:v>42034</c:v>
                </c:pt>
                <c:pt idx="61">
                  <c:v>42037</c:v>
                </c:pt>
                <c:pt idx="62">
                  <c:v>42038</c:v>
                </c:pt>
                <c:pt idx="63">
                  <c:v>42039</c:v>
                </c:pt>
                <c:pt idx="64">
                  <c:v>42040</c:v>
                </c:pt>
                <c:pt idx="65">
                  <c:v>42041</c:v>
                </c:pt>
                <c:pt idx="66">
                  <c:v>42044</c:v>
                </c:pt>
                <c:pt idx="67">
                  <c:v>42045</c:v>
                </c:pt>
                <c:pt idx="68">
                  <c:v>42047</c:v>
                </c:pt>
                <c:pt idx="69">
                  <c:v>42047</c:v>
                </c:pt>
                <c:pt idx="70">
                  <c:v>42048</c:v>
                </c:pt>
                <c:pt idx="71">
                  <c:v>42051</c:v>
                </c:pt>
                <c:pt idx="72">
                  <c:v>42052</c:v>
                </c:pt>
                <c:pt idx="73">
                  <c:v>42053</c:v>
                </c:pt>
                <c:pt idx="74">
                  <c:v>42054</c:v>
                </c:pt>
                <c:pt idx="75">
                  <c:v>42055</c:v>
                </c:pt>
                <c:pt idx="76">
                  <c:v>42058</c:v>
                </c:pt>
                <c:pt idx="77">
                  <c:v>42059</c:v>
                </c:pt>
                <c:pt idx="78">
                  <c:v>42060</c:v>
                </c:pt>
                <c:pt idx="79">
                  <c:v>42061</c:v>
                </c:pt>
                <c:pt idx="80">
                  <c:v>42062</c:v>
                </c:pt>
                <c:pt idx="81">
                  <c:v>42065</c:v>
                </c:pt>
                <c:pt idx="82">
                  <c:v>42066</c:v>
                </c:pt>
                <c:pt idx="83">
                  <c:v>42067</c:v>
                </c:pt>
                <c:pt idx="84">
                  <c:v>42068</c:v>
                </c:pt>
                <c:pt idx="85">
                  <c:v>42069</c:v>
                </c:pt>
                <c:pt idx="86">
                  <c:v>42072</c:v>
                </c:pt>
                <c:pt idx="87">
                  <c:v>42073</c:v>
                </c:pt>
                <c:pt idx="88">
                  <c:v>42074</c:v>
                </c:pt>
                <c:pt idx="89">
                  <c:v>42075</c:v>
                </c:pt>
                <c:pt idx="90">
                  <c:v>42076</c:v>
                </c:pt>
                <c:pt idx="91">
                  <c:v>42079</c:v>
                </c:pt>
                <c:pt idx="92">
                  <c:v>42080</c:v>
                </c:pt>
                <c:pt idx="93">
                  <c:v>42081</c:v>
                </c:pt>
                <c:pt idx="94">
                  <c:v>42082</c:v>
                </c:pt>
                <c:pt idx="95">
                  <c:v>42083</c:v>
                </c:pt>
                <c:pt idx="96">
                  <c:v>42086</c:v>
                </c:pt>
                <c:pt idx="97">
                  <c:v>42087</c:v>
                </c:pt>
                <c:pt idx="98">
                  <c:v>42088</c:v>
                </c:pt>
                <c:pt idx="99">
                  <c:v>42089</c:v>
                </c:pt>
                <c:pt idx="100">
                  <c:v>42090</c:v>
                </c:pt>
                <c:pt idx="101">
                  <c:v>42093</c:v>
                </c:pt>
                <c:pt idx="102">
                  <c:v>42094</c:v>
                </c:pt>
                <c:pt idx="103">
                  <c:v>42095</c:v>
                </c:pt>
                <c:pt idx="104">
                  <c:v>42096</c:v>
                </c:pt>
                <c:pt idx="105">
                  <c:v>42101</c:v>
                </c:pt>
                <c:pt idx="106">
                  <c:v>42102</c:v>
                </c:pt>
                <c:pt idx="107">
                  <c:v>42103</c:v>
                </c:pt>
                <c:pt idx="108">
                  <c:v>42104</c:v>
                </c:pt>
                <c:pt idx="109">
                  <c:v>42107</c:v>
                </c:pt>
                <c:pt idx="110">
                  <c:v>42108</c:v>
                </c:pt>
                <c:pt idx="111">
                  <c:v>42109</c:v>
                </c:pt>
                <c:pt idx="112">
                  <c:v>42110</c:v>
                </c:pt>
                <c:pt idx="113">
                  <c:v>42111</c:v>
                </c:pt>
                <c:pt idx="114">
                  <c:v>42114</c:v>
                </c:pt>
                <c:pt idx="115">
                  <c:v>42115</c:v>
                </c:pt>
                <c:pt idx="116">
                  <c:v>42116</c:v>
                </c:pt>
                <c:pt idx="117">
                  <c:v>42117</c:v>
                </c:pt>
                <c:pt idx="118">
                  <c:v>42118</c:v>
                </c:pt>
                <c:pt idx="119">
                  <c:v>42121</c:v>
                </c:pt>
                <c:pt idx="120">
                  <c:v>42122</c:v>
                </c:pt>
                <c:pt idx="121">
                  <c:v>42124</c:v>
                </c:pt>
                <c:pt idx="122">
                  <c:v>42124</c:v>
                </c:pt>
                <c:pt idx="123">
                  <c:v>42125</c:v>
                </c:pt>
                <c:pt idx="124">
                  <c:v>42131</c:v>
                </c:pt>
                <c:pt idx="125">
                  <c:v>42131</c:v>
                </c:pt>
                <c:pt idx="126">
                  <c:v>42131</c:v>
                </c:pt>
                <c:pt idx="127">
                  <c:v>42132</c:v>
                </c:pt>
                <c:pt idx="128">
                  <c:v>42135</c:v>
                </c:pt>
                <c:pt idx="129">
                  <c:v>42136</c:v>
                </c:pt>
                <c:pt idx="130">
                  <c:v>42137</c:v>
                </c:pt>
                <c:pt idx="131">
                  <c:v>42138</c:v>
                </c:pt>
                <c:pt idx="132">
                  <c:v>42139</c:v>
                </c:pt>
                <c:pt idx="133">
                  <c:v>42142</c:v>
                </c:pt>
                <c:pt idx="134">
                  <c:v>42143</c:v>
                </c:pt>
                <c:pt idx="135">
                  <c:v>42144</c:v>
                </c:pt>
                <c:pt idx="136">
                  <c:v>42145</c:v>
                </c:pt>
                <c:pt idx="137">
                  <c:v>42146</c:v>
                </c:pt>
                <c:pt idx="138">
                  <c:v>42150</c:v>
                </c:pt>
                <c:pt idx="139">
                  <c:v>42151</c:v>
                </c:pt>
                <c:pt idx="140">
                  <c:v>42152</c:v>
                </c:pt>
                <c:pt idx="141">
                  <c:v>42153</c:v>
                </c:pt>
                <c:pt idx="142">
                  <c:v>42156</c:v>
                </c:pt>
                <c:pt idx="143">
                  <c:v>42157</c:v>
                </c:pt>
                <c:pt idx="144">
                  <c:v>42158</c:v>
                </c:pt>
                <c:pt idx="145">
                  <c:v>42159</c:v>
                </c:pt>
                <c:pt idx="146">
                  <c:v>42160</c:v>
                </c:pt>
                <c:pt idx="147">
                  <c:v>42163</c:v>
                </c:pt>
                <c:pt idx="148">
                  <c:v>42164</c:v>
                </c:pt>
                <c:pt idx="149">
                  <c:v>42165</c:v>
                </c:pt>
                <c:pt idx="150">
                  <c:v>42166</c:v>
                </c:pt>
                <c:pt idx="151">
                  <c:v>42167</c:v>
                </c:pt>
                <c:pt idx="152">
                  <c:v>42170</c:v>
                </c:pt>
                <c:pt idx="153">
                  <c:v>42171</c:v>
                </c:pt>
                <c:pt idx="154">
                  <c:v>42172</c:v>
                </c:pt>
                <c:pt idx="155">
                  <c:v>42173</c:v>
                </c:pt>
                <c:pt idx="156">
                  <c:v>42174</c:v>
                </c:pt>
                <c:pt idx="157">
                  <c:v>42177</c:v>
                </c:pt>
                <c:pt idx="158">
                  <c:v>42178</c:v>
                </c:pt>
                <c:pt idx="159">
                  <c:v>42179</c:v>
                </c:pt>
                <c:pt idx="160">
                  <c:v>42180</c:v>
                </c:pt>
                <c:pt idx="161">
                  <c:v>42181</c:v>
                </c:pt>
                <c:pt idx="162">
                  <c:v>42184</c:v>
                </c:pt>
                <c:pt idx="163">
                  <c:v>42185</c:v>
                </c:pt>
                <c:pt idx="164">
                  <c:v>42186</c:v>
                </c:pt>
                <c:pt idx="165">
                  <c:v>42187</c:v>
                </c:pt>
                <c:pt idx="166">
                  <c:v>42188</c:v>
                </c:pt>
                <c:pt idx="167">
                  <c:v>42191</c:v>
                </c:pt>
                <c:pt idx="168">
                  <c:v>42192</c:v>
                </c:pt>
                <c:pt idx="169">
                  <c:v>42193</c:v>
                </c:pt>
                <c:pt idx="170">
                  <c:v>42194</c:v>
                </c:pt>
                <c:pt idx="171">
                  <c:v>42195</c:v>
                </c:pt>
                <c:pt idx="172">
                  <c:v>42198</c:v>
                </c:pt>
                <c:pt idx="173">
                  <c:v>42199</c:v>
                </c:pt>
                <c:pt idx="174">
                  <c:v>42200</c:v>
                </c:pt>
                <c:pt idx="175">
                  <c:v>42201</c:v>
                </c:pt>
                <c:pt idx="176">
                  <c:v>42202</c:v>
                </c:pt>
                <c:pt idx="177">
                  <c:v>42206</c:v>
                </c:pt>
                <c:pt idx="178">
                  <c:v>42206</c:v>
                </c:pt>
                <c:pt idx="179">
                  <c:v>42207</c:v>
                </c:pt>
                <c:pt idx="180">
                  <c:v>42208</c:v>
                </c:pt>
                <c:pt idx="181">
                  <c:v>42209</c:v>
                </c:pt>
                <c:pt idx="182">
                  <c:v>42212</c:v>
                </c:pt>
                <c:pt idx="183">
                  <c:v>42213</c:v>
                </c:pt>
                <c:pt idx="184">
                  <c:v>42214</c:v>
                </c:pt>
                <c:pt idx="185">
                  <c:v>42215</c:v>
                </c:pt>
                <c:pt idx="186">
                  <c:v>42216</c:v>
                </c:pt>
                <c:pt idx="187">
                  <c:v>42219</c:v>
                </c:pt>
                <c:pt idx="188">
                  <c:v>42220</c:v>
                </c:pt>
                <c:pt idx="189">
                  <c:v>42221</c:v>
                </c:pt>
                <c:pt idx="190">
                  <c:v>42222</c:v>
                </c:pt>
                <c:pt idx="191">
                  <c:v>42223</c:v>
                </c:pt>
                <c:pt idx="192">
                  <c:v>42226</c:v>
                </c:pt>
                <c:pt idx="193">
                  <c:v>42227</c:v>
                </c:pt>
                <c:pt idx="194">
                  <c:v>42228</c:v>
                </c:pt>
                <c:pt idx="195">
                  <c:v>42229</c:v>
                </c:pt>
                <c:pt idx="196">
                  <c:v>42230</c:v>
                </c:pt>
                <c:pt idx="197">
                  <c:v>42233</c:v>
                </c:pt>
                <c:pt idx="198">
                  <c:v>42234</c:v>
                </c:pt>
                <c:pt idx="199">
                  <c:v>42235</c:v>
                </c:pt>
                <c:pt idx="200">
                  <c:v>42236</c:v>
                </c:pt>
                <c:pt idx="201">
                  <c:v>42237</c:v>
                </c:pt>
                <c:pt idx="202">
                  <c:v>42240</c:v>
                </c:pt>
                <c:pt idx="203">
                  <c:v>42241</c:v>
                </c:pt>
                <c:pt idx="204">
                  <c:v>42242</c:v>
                </c:pt>
                <c:pt idx="205">
                  <c:v>42243</c:v>
                </c:pt>
                <c:pt idx="206">
                  <c:v>42244</c:v>
                </c:pt>
                <c:pt idx="207">
                  <c:v>42248</c:v>
                </c:pt>
                <c:pt idx="208">
                  <c:v>42249</c:v>
                </c:pt>
                <c:pt idx="209">
                  <c:v>42250</c:v>
                </c:pt>
                <c:pt idx="210">
                  <c:v>42251</c:v>
                </c:pt>
                <c:pt idx="211">
                  <c:v>42254</c:v>
                </c:pt>
                <c:pt idx="212">
                  <c:v>42255</c:v>
                </c:pt>
                <c:pt idx="213">
                  <c:v>42256</c:v>
                </c:pt>
                <c:pt idx="214">
                  <c:v>42257</c:v>
                </c:pt>
                <c:pt idx="215">
                  <c:v>42258</c:v>
                </c:pt>
                <c:pt idx="216">
                  <c:v>42261</c:v>
                </c:pt>
                <c:pt idx="217">
                  <c:v>42262</c:v>
                </c:pt>
                <c:pt idx="218">
                  <c:v>42263</c:v>
                </c:pt>
                <c:pt idx="219">
                  <c:v>42264</c:v>
                </c:pt>
                <c:pt idx="220">
                  <c:v>42265</c:v>
                </c:pt>
                <c:pt idx="221">
                  <c:v>42271</c:v>
                </c:pt>
                <c:pt idx="222">
                  <c:v>42271</c:v>
                </c:pt>
                <c:pt idx="223">
                  <c:v>42271</c:v>
                </c:pt>
                <c:pt idx="224">
                  <c:v>42271</c:v>
                </c:pt>
                <c:pt idx="225">
                  <c:v>42272</c:v>
                </c:pt>
                <c:pt idx="226">
                  <c:v>42275</c:v>
                </c:pt>
                <c:pt idx="227">
                  <c:v>42276</c:v>
                </c:pt>
                <c:pt idx="228">
                  <c:v>42277</c:v>
                </c:pt>
                <c:pt idx="229">
                  <c:v>42278</c:v>
                </c:pt>
                <c:pt idx="230">
                  <c:v>42279</c:v>
                </c:pt>
                <c:pt idx="231">
                  <c:v>42282</c:v>
                </c:pt>
                <c:pt idx="232">
                  <c:v>42283</c:v>
                </c:pt>
                <c:pt idx="233">
                  <c:v>42284</c:v>
                </c:pt>
                <c:pt idx="234">
                  <c:v>42285</c:v>
                </c:pt>
                <c:pt idx="235">
                  <c:v>42286</c:v>
                </c:pt>
                <c:pt idx="236">
                  <c:v>42290</c:v>
                </c:pt>
                <c:pt idx="237">
                  <c:v>42290</c:v>
                </c:pt>
                <c:pt idx="238">
                  <c:v>42291</c:v>
                </c:pt>
                <c:pt idx="239">
                  <c:v>42292</c:v>
                </c:pt>
                <c:pt idx="240">
                  <c:v>42293</c:v>
                </c:pt>
                <c:pt idx="241">
                  <c:v>42296</c:v>
                </c:pt>
                <c:pt idx="242">
                  <c:v>42297</c:v>
                </c:pt>
                <c:pt idx="243">
                  <c:v>42298</c:v>
                </c:pt>
                <c:pt idx="244">
                  <c:v>42299</c:v>
                </c:pt>
                <c:pt idx="245">
                  <c:v>42300</c:v>
                </c:pt>
                <c:pt idx="246">
                  <c:v>42303</c:v>
                </c:pt>
                <c:pt idx="247">
                  <c:v>42304</c:v>
                </c:pt>
                <c:pt idx="248">
                  <c:v>42305</c:v>
                </c:pt>
                <c:pt idx="249">
                  <c:v>42306</c:v>
                </c:pt>
                <c:pt idx="250">
                  <c:v>42307</c:v>
                </c:pt>
                <c:pt idx="251">
                  <c:v>42310</c:v>
                </c:pt>
                <c:pt idx="252">
                  <c:v>42312</c:v>
                </c:pt>
                <c:pt idx="253">
                  <c:v>42312</c:v>
                </c:pt>
                <c:pt idx="254">
                  <c:v>42313</c:v>
                </c:pt>
                <c:pt idx="255">
                  <c:v>42314</c:v>
                </c:pt>
                <c:pt idx="256">
                  <c:v>42317</c:v>
                </c:pt>
                <c:pt idx="257">
                  <c:v>42318</c:v>
                </c:pt>
                <c:pt idx="258">
                  <c:v>42319</c:v>
                </c:pt>
                <c:pt idx="259">
                  <c:v>42320</c:v>
                </c:pt>
                <c:pt idx="260">
                  <c:v>42321</c:v>
                </c:pt>
                <c:pt idx="261">
                  <c:v>42324</c:v>
                </c:pt>
                <c:pt idx="262">
                  <c:v>42325</c:v>
                </c:pt>
                <c:pt idx="263">
                  <c:v>42326</c:v>
                </c:pt>
                <c:pt idx="264">
                  <c:v>42327</c:v>
                </c:pt>
                <c:pt idx="265">
                  <c:v>42328</c:v>
                </c:pt>
                <c:pt idx="266">
                  <c:v>42332</c:v>
                </c:pt>
                <c:pt idx="267">
                  <c:v>42332</c:v>
                </c:pt>
                <c:pt idx="268">
                  <c:v>42333</c:v>
                </c:pt>
                <c:pt idx="269">
                  <c:v>42334</c:v>
                </c:pt>
                <c:pt idx="270">
                  <c:v>42335</c:v>
                </c:pt>
                <c:pt idx="271">
                  <c:v>42338</c:v>
                </c:pt>
                <c:pt idx="272">
                  <c:v>42339</c:v>
                </c:pt>
                <c:pt idx="273">
                  <c:v>42340</c:v>
                </c:pt>
                <c:pt idx="274">
                  <c:v>42341</c:v>
                </c:pt>
                <c:pt idx="275">
                  <c:v>42342</c:v>
                </c:pt>
                <c:pt idx="276">
                  <c:v>42345</c:v>
                </c:pt>
                <c:pt idx="277">
                  <c:v>42346</c:v>
                </c:pt>
                <c:pt idx="278">
                  <c:v>42347</c:v>
                </c:pt>
                <c:pt idx="279">
                  <c:v>42348</c:v>
                </c:pt>
                <c:pt idx="280">
                  <c:v>42349</c:v>
                </c:pt>
                <c:pt idx="281">
                  <c:v>42352</c:v>
                </c:pt>
                <c:pt idx="282">
                  <c:v>42353</c:v>
                </c:pt>
                <c:pt idx="283">
                  <c:v>42354</c:v>
                </c:pt>
                <c:pt idx="284">
                  <c:v>42355</c:v>
                </c:pt>
                <c:pt idx="285">
                  <c:v>42356</c:v>
                </c:pt>
                <c:pt idx="286">
                  <c:v>42359</c:v>
                </c:pt>
                <c:pt idx="287">
                  <c:v>42360</c:v>
                </c:pt>
                <c:pt idx="288">
                  <c:v>42362</c:v>
                </c:pt>
                <c:pt idx="289">
                  <c:v>42362</c:v>
                </c:pt>
                <c:pt idx="290">
                  <c:v>42367</c:v>
                </c:pt>
                <c:pt idx="291">
                  <c:v>42368</c:v>
                </c:pt>
                <c:pt idx="292">
                  <c:v>42373</c:v>
                </c:pt>
                <c:pt idx="293">
                  <c:v>42373</c:v>
                </c:pt>
                <c:pt idx="294">
                  <c:v>42374</c:v>
                </c:pt>
                <c:pt idx="295">
                  <c:v>42375</c:v>
                </c:pt>
                <c:pt idx="296">
                  <c:v>42376</c:v>
                </c:pt>
                <c:pt idx="297">
                  <c:v>42377</c:v>
                </c:pt>
                <c:pt idx="298">
                  <c:v>42381</c:v>
                </c:pt>
                <c:pt idx="299">
                  <c:v>42381</c:v>
                </c:pt>
                <c:pt idx="300">
                  <c:v>42382</c:v>
                </c:pt>
                <c:pt idx="301">
                  <c:v>42383</c:v>
                </c:pt>
                <c:pt idx="302">
                  <c:v>42384</c:v>
                </c:pt>
                <c:pt idx="303">
                  <c:v>42387</c:v>
                </c:pt>
                <c:pt idx="304">
                  <c:v>42388</c:v>
                </c:pt>
                <c:pt idx="305">
                  <c:v>42389</c:v>
                </c:pt>
                <c:pt idx="306">
                  <c:v>42390</c:v>
                </c:pt>
                <c:pt idx="307">
                  <c:v>42391</c:v>
                </c:pt>
                <c:pt idx="308">
                  <c:v>42394</c:v>
                </c:pt>
                <c:pt idx="309">
                  <c:v>42395</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42412</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42451</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42485</c:v>
                </c:pt>
                <c:pt idx="372">
                  <c:v>42486</c:v>
                </c:pt>
                <c:pt idx="373">
                  <c:v>42487</c:v>
                </c:pt>
                <c:pt idx="374">
                  <c:v>42488</c:v>
                </c:pt>
                <c:pt idx="375">
                  <c:v>42496</c:v>
                </c:pt>
                <c:pt idx="376">
                  <c:v>42496</c:v>
                </c:pt>
                <c:pt idx="377">
                  <c:v>42496</c:v>
                </c:pt>
                <c:pt idx="378">
                  <c:v>42496</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42521</c:v>
                </c:pt>
                <c:pt idx="396">
                  <c:v>42522</c:v>
                </c:pt>
                <c:pt idx="397">
                  <c:v>42523</c:v>
                </c:pt>
                <c:pt idx="398">
                  <c:v>42524</c:v>
                </c:pt>
                <c:pt idx="399">
                  <c:v>42527</c:v>
                </c:pt>
                <c:pt idx="400">
                  <c:v>42528</c:v>
                </c:pt>
                <c:pt idx="401">
                  <c:v>42529</c:v>
                </c:pt>
                <c:pt idx="402">
                  <c:v>42530</c:v>
                </c:pt>
                <c:pt idx="403">
                  <c:v>42531</c:v>
                </c:pt>
                <c:pt idx="404">
                  <c:v>42534</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42570</c:v>
                </c:pt>
                <c:pt idx="430">
                  <c:v>42570</c:v>
                </c:pt>
                <c:pt idx="431">
                  <c:v>42571</c:v>
                </c:pt>
                <c:pt idx="432">
                  <c:v>42572</c:v>
                </c:pt>
                <c:pt idx="433">
                  <c:v>42573</c:v>
                </c:pt>
                <c:pt idx="434">
                  <c:v>42576</c:v>
                </c:pt>
                <c:pt idx="435">
                  <c:v>42577</c:v>
                </c:pt>
                <c:pt idx="436">
                  <c:v>42578</c:v>
                </c:pt>
                <c:pt idx="437">
                  <c:v>42579</c:v>
                </c:pt>
                <c:pt idx="438">
                  <c:v>42580</c:v>
                </c:pt>
                <c:pt idx="439">
                  <c:v>42583</c:v>
                </c:pt>
                <c:pt idx="440">
                  <c:v>42584</c:v>
                </c:pt>
                <c:pt idx="441">
                  <c:v>42585</c:v>
                </c:pt>
                <c:pt idx="442">
                  <c:v>42586</c:v>
                </c:pt>
                <c:pt idx="443">
                  <c:v>42587</c:v>
                </c:pt>
                <c:pt idx="444">
                  <c:v>42590</c:v>
                </c:pt>
                <c:pt idx="445">
                  <c:v>42591</c:v>
                </c:pt>
                <c:pt idx="446">
                  <c:v>42592</c:v>
                </c:pt>
                <c:pt idx="447">
                  <c:v>42593</c:v>
                </c:pt>
                <c:pt idx="448">
                  <c:v>42594</c:v>
                </c:pt>
                <c:pt idx="449">
                  <c:v>42597</c:v>
                </c:pt>
                <c:pt idx="450">
                  <c:v>42598</c:v>
                </c:pt>
                <c:pt idx="451">
                  <c:v>42599</c:v>
                </c:pt>
                <c:pt idx="452">
                  <c:v>42600</c:v>
                </c:pt>
                <c:pt idx="453">
                  <c:v>42601</c:v>
                </c:pt>
                <c:pt idx="454">
                  <c:v>42604</c:v>
                </c:pt>
                <c:pt idx="455">
                  <c:v>42605</c:v>
                </c:pt>
                <c:pt idx="456">
                  <c:v>42606</c:v>
                </c:pt>
                <c:pt idx="457">
                  <c:v>42607</c:v>
                </c:pt>
                <c:pt idx="458">
                  <c:v>42608</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42633</c:v>
                </c:pt>
                <c:pt idx="474">
                  <c:v>42633</c:v>
                </c:pt>
                <c:pt idx="475">
                  <c:v>42634</c:v>
                </c:pt>
                <c:pt idx="476">
                  <c:v>42636</c:v>
                </c:pt>
                <c:pt idx="477">
                  <c:v>42636</c:v>
                </c:pt>
                <c:pt idx="478">
                  <c:v>42639</c:v>
                </c:pt>
                <c:pt idx="479">
                  <c:v>42640</c:v>
                </c:pt>
                <c:pt idx="480">
                  <c:v>42641</c:v>
                </c:pt>
                <c:pt idx="481">
                  <c:v>42642</c:v>
                </c:pt>
                <c:pt idx="482">
                  <c:v>42643</c:v>
                </c:pt>
                <c:pt idx="483">
                  <c:v>42646</c:v>
                </c:pt>
                <c:pt idx="484">
                  <c:v>42647</c:v>
                </c:pt>
                <c:pt idx="485">
                  <c:v>42648</c:v>
                </c:pt>
                <c:pt idx="486">
                  <c:v>42649</c:v>
                </c:pt>
                <c:pt idx="487">
                  <c:v>42650</c:v>
                </c:pt>
                <c:pt idx="488">
                  <c:v>42654</c:v>
                </c:pt>
                <c:pt idx="489">
                  <c:v>42654</c:v>
                </c:pt>
                <c:pt idx="490">
                  <c:v>42655</c:v>
                </c:pt>
                <c:pt idx="491">
                  <c:v>42656</c:v>
                </c:pt>
                <c:pt idx="492">
                  <c:v>42657</c:v>
                </c:pt>
                <c:pt idx="493">
                  <c:v>42660</c:v>
                </c:pt>
                <c:pt idx="494">
                  <c:v>42661</c:v>
                </c:pt>
                <c:pt idx="495">
                  <c:v>42662</c:v>
                </c:pt>
                <c:pt idx="496">
                  <c:v>42663</c:v>
                </c:pt>
                <c:pt idx="497">
                  <c:v>42664</c:v>
                </c:pt>
                <c:pt idx="498">
                  <c:v>42667</c:v>
                </c:pt>
                <c:pt idx="499">
                  <c:v>42668</c:v>
                </c:pt>
                <c:pt idx="500">
                  <c:v>42669</c:v>
                </c:pt>
                <c:pt idx="501">
                  <c:v>42670</c:v>
                </c:pt>
                <c:pt idx="502">
                  <c:v>42671</c:v>
                </c:pt>
                <c:pt idx="503">
                  <c:v>42674</c:v>
                </c:pt>
                <c:pt idx="504">
                  <c:v>42675</c:v>
                </c:pt>
                <c:pt idx="505">
                  <c:v>42676</c:v>
                </c:pt>
                <c:pt idx="506">
                  <c:v>42678</c:v>
                </c:pt>
                <c:pt idx="507">
                  <c:v>42678</c:v>
                </c:pt>
                <c:pt idx="508">
                  <c:v>42681</c:v>
                </c:pt>
                <c:pt idx="509">
                  <c:v>42682</c:v>
                </c:pt>
                <c:pt idx="510">
                  <c:v>42683</c:v>
                </c:pt>
                <c:pt idx="511">
                  <c:v>42684</c:v>
                </c:pt>
                <c:pt idx="512">
                  <c:v>42685</c:v>
                </c:pt>
                <c:pt idx="513">
                  <c:v>42688</c:v>
                </c:pt>
                <c:pt idx="514">
                  <c:v>42689</c:v>
                </c:pt>
                <c:pt idx="515">
                  <c:v>42690</c:v>
                </c:pt>
                <c:pt idx="516">
                  <c:v>42691</c:v>
                </c:pt>
                <c:pt idx="517">
                  <c:v>42692</c:v>
                </c:pt>
                <c:pt idx="518">
                  <c:v>42699</c:v>
                </c:pt>
                <c:pt idx="519">
                  <c:v>42706</c:v>
                </c:pt>
                <c:pt idx="520">
                  <c:v>42713</c:v>
                </c:pt>
                <c:pt idx="521">
                  <c:v>42720</c:v>
                </c:pt>
                <c:pt idx="522">
                  <c:v>42732</c:v>
                </c:pt>
                <c:pt idx="523">
                  <c:v>42734</c:v>
                </c:pt>
                <c:pt idx="524">
                  <c:v>42741</c:v>
                </c:pt>
                <c:pt idx="525">
                  <c:v>42748</c:v>
                </c:pt>
                <c:pt idx="526">
                  <c:v>42755</c:v>
                </c:pt>
                <c:pt idx="527">
                  <c:v>42762</c:v>
                </c:pt>
                <c:pt idx="528">
                  <c:v>42769</c:v>
                </c:pt>
                <c:pt idx="529">
                  <c:v>42776</c:v>
                </c:pt>
                <c:pt idx="530">
                  <c:v>42783</c:v>
                </c:pt>
                <c:pt idx="531">
                  <c:v>42790</c:v>
                </c:pt>
                <c:pt idx="532">
                  <c:v>42797</c:v>
                </c:pt>
                <c:pt idx="533">
                  <c:v>42804</c:v>
                </c:pt>
                <c:pt idx="534">
                  <c:v>42811</c:v>
                </c:pt>
                <c:pt idx="535">
                  <c:v>42818</c:v>
                </c:pt>
                <c:pt idx="536">
                  <c:v>42825</c:v>
                </c:pt>
                <c:pt idx="537">
                  <c:v>42832</c:v>
                </c:pt>
                <c:pt idx="538">
                  <c:v>42843</c:v>
                </c:pt>
                <c:pt idx="539">
                  <c:v>42846</c:v>
                </c:pt>
                <c:pt idx="540">
                  <c:v>42853</c:v>
                </c:pt>
                <c:pt idx="541">
                  <c:v>42863</c:v>
                </c:pt>
                <c:pt idx="542">
                  <c:v>42867</c:v>
                </c:pt>
                <c:pt idx="543">
                  <c:v>42874</c:v>
                </c:pt>
                <c:pt idx="544">
                  <c:v>42881</c:v>
                </c:pt>
                <c:pt idx="545">
                  <c:v>42888</c:v>
                </c:pt>
                <c:pt idx="546">
                  <c:v>42895</c:v>
                </c:pt>
                <c:pt idx="547">
                  <c:v>42902</c:v>
                </c:pt>
                <c:pt idx="548">
                  <c:v>42909</c:v>
                </c:pt>
                <c:pt idx="549">
                  <c:v>42916</c:v>
                </c:pt>
                <c:pt idx="550">
                  <c:v>42923</c:v>
                </c:pt>
                <c:pt idx="551">
                  <c:v>42930</c:v>
                </c:pt>
                <c:pt idx="552">
                  <c:v>42937</c:v>
                </c:pt>
                <c:pt idx="553">
                  <c:v>42944</c:v>
                </c:pt>
                <c:pt idx="554">
                  <c:v>42951</c:v>
                </c:pt>
                <c:pt idx="555">
                  <c:v>42958</c:v>
                </c:pt>
                <c:pt idx="556">
                  <c:v>42965</c:v>
                </c:pt>
                <c:pt idx="557">
                  <c:v>42972</c:v>
                </c:pt>
                <c:pt idx="558">
                  <c:v>42979</c:v>
                </c:pt>
                <c:pt idx="559">
                  <c:v>42986</c:v>
                </c:pt>
                <c:pt idx="560">
                  <c:v>42993</c:v>
                </c:pt>
                <c:pt idx="561">
                  <c:v>43000</c:v>
                </c:pt>
                <c:pt idx="562">
                  <c:v>43007</c:v>
                </c:pt>
                <c:pt idx="563">
                  <c:v>43014</c:v>
                </c:pt>
                <c:pt idx="564">
                  <c:v>43021</c:v>
                </c:pt>
                <c:pt idx="565">
                  <c:v>43028</c:v>
                </c:pt>
                <c:pt idx="566">
                  <c:v>43035</c:v>
                </c:pt>
                <c:pt idx="567">
                  <c:v>43045</c:v>
                </c:pt>
                <c:pt idx="568">
                  <c:v>43049</c:v>
                </c:pt>
                <c:pt idx="569">
                  <c:v>43056</c:v>
                </c:pt>
                <c:pt idx="570">
                  <c:v>43063</c:v>
                </c:pt>
                <c:pt idx="571">
                  <c:v>43070</c:v>
                </c:pt>
                <c:pt idx="572">
                  <c:v>43077</c:v>
                </c:pt>
                <c:pt idx="573">
                  <c:v>43084</c:v>
                </c:pt>
                <c:pt idx="574">
                  <c:v>43091</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43228</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43430</c:v>
                </c:pt>
                <c:pt idx="623">
                  <c:v>43434</c:v>
                </c:pt>
                <c:pt idx="624">
                  <c:v>43441</c:v>
                </c:pt>
                <c:pt idx="625">
                  <c:v>43448</c:v>
                </c:pt>
                <c:pt idx="626">
                  <c:v>43455</c:v>
                </c:pt>
                <c:pt idx="627">
                  <c:v>43469</c:v>
                </c:pt>
                <c:pt idx="628">
                  <c:v>43472</c:v>
                </c:pt>
                <c:pt idx="629">
                  <c:v>43480</c:v>
                </c:pt>
                <c:pt idx="630">
                  <c:v>43486</c:v>
                </c:pt>
                <c:pt idx="631">
                  <c:v>43493</c:v>
                </c:pt>
                <c:pt idx="632">
                  <c:v>43500</c:v>
                </c:pt>
                <c:pt idx="633">
                  <c:v>43508</c:v>
                </c:pt>
                <c:pt idx="634">
                  <c:v>43514</c:v>
                </c:pt>
                <c:pt idx="635">
                  <c:v>43521</c:v>
                </c:pt>
                <c:pt idx="636">
                  <c:v>43528</c:v>
                </c:pt>
                <c:pt idx="637">
                  <c:v>43535</c:v>
                </c:pt>
                <c:pt idx="638">
                  <c:v>43542</c:v>
                </c:pt>
                <c:pt idx="639">
                  <c:v>43549</c:v>
                </c:pt>
                <c:pt idx="640">
                  <c:v>43556</c:v>
                </c:pt>
                <c:pt idx="641">
                  <c:v>43563</c:v>
                </c:pt>
                <c:pt idx="642">
                  <c:v>43570</c:v>
                </c:pt>
                <c:pt idx="643">
                  <c:v>43579</c:v>
                </c:pt>
                <c:pt idx="644">
                  <c:v>43585</c:v>
                </c:pt>
                <c:pt idx="645">
                  <c:v>43592</c:v>
                </c:pt>
                <c:pt idx="646">
                  <c:v>43598</c:v>
                </c:pt>
                <c:pt idx="647">
                  <c:v>43605</c:v>
                </c:pt>
                <c:pt idx="648">
                  <c:v>43613</c:v>
                </c:pt>
                <c:pt idx="649">
                  <c:v>43619</c:v>
                </c:pt>
                <c:pt idx="650">
                  <c:v>43626</c:v>
                </c:pt>
                <c:pt idx="651">
                  <c:v>43633</c:v>
                </c:pt>
                <c:pt idx="652">
                  <c:v>43640</c:v>
                </c:pt>
                <c:pt idx="653">
                  <c:v>43647</c:v>
                </c:pt>
                <c:pt idx="654">
                  <c:v>43654</c:v>
                </c:pt>
                <c:pt idx="655">
                  <c:v>43662</c:v>
                </c:pt>
                <c:pt idx="656">
                  <c:v>43668</c:v>
                </c:pt>
                <c:pt idx="657">
                  <c:v>43675</c:v>
                </c:pt>
                <c:pt idx="658">
                  <c:v>43682</c:v>
                </c:pt>
                <c:pt idx="659">
                  <c:v>43689</c:v>
                </c:pt>
                <c:pt idx="660">
                  <c:v>43696</c:v>
                </c:pt>
                <c:pt idx="661">
                  <c:v>43704</c:v>
                </c:pt>
                <c:pt idx="662">
                  <c:v>43710</c:v>
                </c:pt>
                <c:pt idx="663">
                  <c:v>43717</c:v>
                </c:pt>
                <c:pt idx="664">
                  <c:v>43725</c:v>
                </c:pt>
                <c:pt idx="665">
                  <c:v>43732</c:v>
                </c:pt>
                <c:pt idx="666">
                  <c:v>43738</c:v>
                </c:pt>
                <c:pt idx="667">
                  <c:v>43745</c:v>
                </c:pt>
                <c:pt idx="668">
                  <c:v>43753</c:v>
                </c:pt>
                <c:pt idx="669">
                  <c:v>43759</c:v>
                </c:pt>
                <c:pt idx="670">
                  <c:v>43766</c:v>
                </c:pt>
                <c:pt idx="671">
                  <c:v>43774</c:v>
                </c:pt>
                <c:pt idx="672">
                  <c:v>43780</c:v>
                </c:pt>
                <c:pt idx="673">
                  <c:v>43787</c:v>
                </c:pt>
                <c:pt idx="674">
                  <c:v>43794</c:v>
                </c:pt>
                <c:pt idx="675">
                  <c:v>43801</c:v>
                </c:pt>
                <c:pt idx="676">
                  <c:v>43808</c:v>
                </c:pt>
                <c:pt idx="677">
                  <c:v>43815</c:v>
                </c:pt>
                <c:pt idx="678">
                  <c:v>43823</c:v>
                </c:pt>
                <c:pt idx="679">
                  <c:v>43836</c:v>
                </c:pt>
                <c:pt idx="680">
                  <c:v>43837</c:v>
                </c:pt>
                <c:pt idx="681">
                  <c:v>43844</c:v>
                </c:pt>
                <c:pt idx="682">
                  <c:v>43851</c:v>
                </c:pt>
                <c:pt idx="683">
                  <c:v>43858</c:v>
                </c:pt>
                <c:pt idx="684">
                  <c:v>43865</c:v>
                </c:pt>
                <c:pt idx="685">
                  <c:v>43873</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44200</c:v>
                </c:pt>
                <c:pt idx="732">
                  <c:v>44203</c:v>
                </c:pt>
                <c:pt idx="733">
                  <c:v>44210</c:v>
                </c:pt>
                <c:pt idx="734">
                  <c:v>44217</c:v>
                </c:pt>
                <c:pt idx="735">
                  <c:v>44224</c:v>
                </c:pt>
                <c:pt idx="736">
                  <c:v>44231</c:v>
                </c:pt>
                <c:pt idx="737">
                  <c:v>44239</c:v>
                </c:pt>
                <c:pt idx="738">
                  <c:v>44245</c:v>
                </c:pt>
                <c:pt idx="739">
                  <c:v>44252</c:v>
                </c:pt>
                <c:pt idx="740">
                  <c:v>44259</c:v>
                </c:pt>
                <c:pt idx="741">
                  <c:v>44266</c:v>
                </c:pt>
                <c:pt idx="742">
                  <c:v>44273</c:v>
                </c:pt>
                <c:pt idx="743">
                  <c:v>44280</c:v>
                </c:pt>
                <c:pt idx="744">
                  <c:v>44287</c:v>
                </c:pt>
                <c:pt idx="745">
                  <c:v>44294</c:v>
                </c:pt>
                <c:pt idx="746">
                  <c:v>44301</c:v>
                </c:pt>
                <c:pt idx="747">
                  <c:v>44308</c:v>
                </c:pt>
                <c:pt idx="748">
                  <c:v>44316</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44463</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44554</c:v>
                </c:pt>
                <c:pt idx="783">
                  <c:v>44565</c:v>
                </c:pt>
                <c:pt idx="784">
                  <c:v>44568</c:v>
                </c:pt>
                <c:pt idx="785">
                  <c:v>44575</c:v>
                </c:pt>
                <c:pt idx="786">
                  <c:v>44582</c:v>
                </c:pt>
                <c:pt idx="787">
                  <c:v>44589</c:v>
                </c:pt>
                <c:pt idx="788">
                  <c:v>44596</c:v>
                </c:pt>
                <c:pt idx="789">
                  <c:v>44606</c:v>
                </c:pt>
                <c:pt idx="790">
                  <c:v>44610</c:v>
                </c:pt>
                <c:pt idx="791">
                  <c:v>44617</c:v>
                </c:pt>
                <c:pt idx="792">
                  <c:v>44624</c:v>
                </c:pt>
                <c:pt idx="793">
                  <c:v>44631</c:v>
                </c:pt>
                <c:pt idx="794">
                  <c:v>44638</c:v>
                </c:pt>
                <c:pt idx="795">
                  <c:v>44645</c:v>
                </c:pt>
                <c:pt idx="796">
                  <c:v>44652</c:v>
                </c:pt>
                <c:pt idx="797">
                  <c:v>44659</c:v>
                </c:pt>
                <c:pt idx="798">
                  <c:v>44670</c:v>
                </c:pt>
                <c:pt idx="799">
                  <c:v>44673</c:v>
                </c:pt>
                <c:pt idx="800">
                  <c:v>44687</c:v>
                </c:pt>
                <c:pt idx="801">
                  <c:v>44687</c:v>
                </c:pt>
                <c:pt idx="802">
                  <c:v>44694</c:v>
                </c:pt>
                <c:pt idx="803">
                  <c:v>44701</c:v>
                </c:pt>
                <c:pt idx="804">
                  <c:v>44708</c:v>
                </c:pt>
                <c:pt idx="805">
                  <c:v>44715</c:v>
                </c:pt>
                <c:pt idx="806">
                  <c:v>44722</c:v>
                </c:pt>
                <c:pt idx="807">
                  <c:v>44729</c:v>
                </c:pt>
                <c:pt idx="808">
                  <c:v>44736</c:v>
                </c:pt>
                <c:pt idx="809">
                  <c:v>44743</c:v>
                </c:pt>
                <c:pt idx="810">
                  <c:v>44750</c:v>
                </c:pt>
                <c:pt idx="811">
                  <c:v>44757</c:v>
                </c:pt>
                <c:pt idx="812">
                  <c:v>44764</c:v>
                </c:pt>
                <c:pt idx="813">
                  <c:v>44771</c:v>
                </c:pt>
                <c:pt idx="814">
                  <c:v>44778</c:v>
                </c:pt>
                <c:pt idx="815">
                  <c:v>44785</c:v>
                </c:pt>
                <c:pt idx="816">
                  <c:v>44792</c:v>
                </c:pt>
                <c:pt idx="817">
                  <c:v>44799</c:v>
                </c:pt>
                <c:pt idx="818">
                  <c:v>44806</c:v>
                </c:pt>
                <c:pt idx="819">
                  <c:v>44813</c:v>
                </c:pt>
                <c:pt idx="820">
                  <c:v>44820</c:v>
                </c:pt>
                <c:pt idx="821">
                  <c:v>44830</c:v>
                </c:pt>
                <c:pt idx="822">
                  <c:v>44834</c:v>
                </c:pt>
                <c:pt idx="823">
                  <c:v>44841</c:v>
                </c:pt>
                <c:pt idx="824">
                  <c:v>44848</c:v>
                </c:pt>
                <c:pt idx="825">
                  <c:v>44855</c:v>
                </c:pt>
                <c:pt idx="826">
                  <c:v>44862</c:v>
                </c:pt>
                <c:pt idx="827">
                  <c:v>44869</c:v>
                </c:pt>
                <c:pt idx="828">
                  <c:v>44876</c:v>
                </c:pt>
                <c:pt idx="829">
                  <c:v>44883</c:v>
                </c:pt>
                <c:pt idx="830">
                  <c:v>44890</c:v>
                </c:pt>
                <c:pt idx="831">
                  <c:v>44897</c:v>
                </c:pt>
                <c:pt idx="832">
                  <c:v>44904</c:v>
                </c:pt>
                <c:pt idx="833">
                  <c:v>44911</c:v>
                </c:pt>
                <c:pt idx="834">
                  <c:v>44923</c:v>
                </c:pt>
                <c:pt idx="835">
                  <c:v>44925</c:v>
                </c:pt>
                <c:pt idx="836">
                  <c:v>44932</c:v>
                </c:pt>
                <c:pt idx="837">
                  <c:v>44939</c:v>
                </c:pt>
                <c:pt idx="838">
                  <c:v>44946</c:v>
                </c:pt>
                <c:pt idx="839">
                  <c:v>44953</c:v>
                </c:pt>
                <c:pt idx="840">
                  <c:v>44960</c:v>
                </c:pt>
                <c:pt idx="841">
                  <c:v>44967</c:v>
                </c:pt>
                <c:pt idx="842">
                  <c:v>44974</c:v>
                </c:pt>
                <c:pt idx="843">
                  <c:v>44981</c:v>
                </c:pt>
                <c:pt idx="844">
                  <c:v>44988</c:v>
                </c:pt>
                <c:pt idx="845">
                  <c:v>44995</c:v>
                </c:pt>
                <c:pt idx="846">
                  <c:v>45002</c:v>
                </c:pt>
                <c:pt idx="847">
                  <c:v>45009</c:v>
                </c:pt>
                <c:pt idx="848">
                  <c:v>45016</c:v>
                </c:pt>
                <c:pt idx="849">
                  <c:v>45027</c:v>
                </c:pt>
                <c:pt idx="850">
                  <c:v>45030</c:v>
                </c:pt>
                <c:pt idx="851">
                  <c:v>45037</c:v>
                </c:pt>
                <c:pt idx="852">
                  <c:v>45044</c:v>
                </c:pt>
                <c:pt idx="853">
                  <c:v>45054</c:v>
                </c:pt>
                <c:pt idx="854">
                  <c:v>45058</c:v>
                </c:pt>
                <c:pt idx="855">
                  <c:v>45065</c:v>
                </c:pt>
                <c:pt idx="856">
                  <c:v>45072</c:v>
                </c:pt>
                <c:pt idx="857">
                  <c:v>45079</c:v>
                </c:pt>
                <c:pt idx="858">
                  <c:v>45086</c:v>
                </c:pt>
                <c:pt idx="859">
                  <c:v>45093</c:v>
                </c:pt>
                <c:pt idx="860">
                  <c:v>45100</c:v>
                </c:pt>
                <c:pt idx="861">
                  <c:v>45107</c:v>
                </c:pt>
                <c:pt idx="862">
                  <c:v>45114</c:v>
                </c:pt>
                <c:pt idx="863">
                  <c:v>45121</c:v>
                </c:pt>
                <c:pt idx="864">
                  <c:v>45128</c:v>
                </c:pt>
                <c:pt idx="865">
                  <c:v>45135</c:v>
                </c:pt>
                <c:pt idx="866">
                  <c:v>45142</c:v>
                </c:pt>
                <c:pt idx="867">
                  <c:v>45149</c:v>
                </c:pt>
                <c:pt idx="868">
                  <c:v>45156</c:v>
                </c:pt>
                <c:pt idx="869">
                  <c:v>45163</c:v>
                </c:pt>
                <c:pt idx="870">
                  <c:v>45170</c:v>
                </c:pt>
                <c:pt idx="871">
                  <c:v>45177</c:v>
                </c:pt>
                <c:pt idx="872">
                  <c:v>45184</c:v>
                </c:pt>
                <c:pt idx="873">
                  <c:v>45191</c:v>
                </c:pt>
                <c:pt idx="874">
                  <c:v>45198</c:v>
                </c:pt>
                <c:pt idx="875">
                  <c:v>45205</c:v>
                </c:pt>
                <c:pt idx="876">
                  <c:v>45212</c:v>
                </c:pt>
                <c:pt idx="877">
                  <c:v>45219</c:v>
                </c:pt>
                <c:pt idx="878">
                  <c:v>45226</c:v>
                </c:pt>
                <c:pt idx="879">
                  <c:v>45236</c:v>
                </c:pt>
                <c:pt idx="880">
                  <c:v>45240</c:v>
                </c:pt>
                <c:pt idx="881">
                  <c:v>45247</c:v>
                </c:pt>
                <c:pt idx="882">
                  <c:v>45254</c:v>
                </c:pt>
                <c:pt idx="883">
                  <c:v>45261</c:v>
                </c:pt>
                <c:pt idx="884">
                  <c:v>45268</c:v>
                </c:pt>
                <c:pt idx="885">
                  <c:v>45275</c:v>
                </c:pt>
                <c:pt idx="886">
                  <c:v>45282</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45419</c:v>
                </c:pt>
                <c:pt idx="906">
                  <c:v>45422</c:v>
                </c:pt>
                <c:pt idx="907">
                  <c:v>45429</c:v>
                </c:pt>
                <c:pt idx="908">
                  <c:v>45436</c:v>
                </c:pt>
                <c:pt idx="909">
                  <c:v>45443</c:v>
                </c:pt>
                <c:pt idx="910">
                  <c:v>45450</c:v>
                </c:pt>
                <c:pt idx="911">
                  <c:v>45457</c:v>
                </c:pt>
                <c:pt idx="912">
                  <c:v>45464</c:v>
                </c:pt>
                <c:pt idx="913">
                  <c:v>45471</c:v>
                </c:pt>
                <c:pt idx="914">
                  <c:v>45478</c:v>
                </c:pt>
                <c:pt idx="915">
                  <c:v>45485</c:v>
                </c:pt>
                <c:pt idx="916">
                  <c:v>45492</c:v>
                </c:pt>
                <c:pt idx="917">
                  <c:v>45499</c:v>
                </c:pt>
                <c:pt idx="918">
                  <c:v>45506</c:v>
                </c:pt>
                <c:pt idx="919">
                  <c:v>45513</c:v>
                </c:pt>
                <c:pt idx="920">
                  <c:v>45520</c:v>
                </c:pt>
                <c:pt idx="921">
                  <c:v>45527</c:v>
                </c:pt>
                <c:pt idx="922">
                  <c:v>45534</c:v>
                </c:pt>
                <c:pt idx="923">
                  <c:v>45541</c:v>
                </c:pt>
                <c:pt idx="924">
                  <c:v>45548</c:v>
                </c:pt>
                <c:pt idx="925">
                  <c:v>45555</c:v>
                </c:pt>
                <c:pt idx="926">
                  <c:v>45562</c:v>
                </c:pt>
                <c:pt idx="927">
                  <c:v>45569</c:v>
                </c:pt>
                <c:pt idx="928">
                  <c:v>45576</c:v>
                </c:pt>
                <c:pt idx="929">
                  <c:v>45583</c:v>
                </c:pt>
                <c:pt idx="930">
                  <c:v>45590</c:v>
                </c:pt>
                <c:pt idx="931">
                  <c:v>45597</c:v>
                </c:pt>
                <c:pt idx="932">
                  <c:v>45604</c:v>
                </c:pt>
                <c:pt idx="933">
                  <c:v>45611</c:v>
                </c:pt>
                <c:pt idx="934">
                  <c:v>45618</c:v>
                </c:pt>
                <c:pt idx="935">
                  <c:v>45625</c:v>
                </c:pt>
                <c:pt idx="936">
                  <c:v>45632</c:v>
                </c:pt>
                <c:pt idx="937">
                  <c:v>45639</c:v>
                </c:pt>
                <c:pt idx="938">
                  <c:v>45646</c:v>
                </c:pt>
                <c:pt idx="939">
                  <c:v>45663</c:v>
                </c:pt>
                <c:pt idx="940">
                  <c:v>45664</c:v>
                </c:pt>
                <c:pt idx="941">
                  <c:v>45671</c:v>
                </c:pt>
                <c:pt idx="942">
                  <c:v>45678</c:v>
                </c:pt>
                <c:pt idx="943">
                  <c:v>45685</c:v>
                </c:pt>
                <c:pt idx="944">
                  <c:v>45692</c:v>
                </c:pt>
                <c:pt idx="945">
                  <c:v>45700</c:v>
                </c:pt>
                <c:pt idx="946">
                  <c:v>45706</c:v>
                </c:pt>
                <c:pt idx="947">
                  <c:v>45713</c:v>
                </c:pt>
                <c:pt idx="948">
                  <c:v>45720</c:v>
                </c:pt>
                <c:pt idx="949">
                  <c:v>45727</c:v>
                </c:pt>
                <c:pt idx="950">
                  <c:v>45734</c:v>
                </c:pt>
                <c:pt idx="951">
                  <c:v>45741</c:v>
                </c:pt>
                <c:pt idx="952">
                  <c:v>45748</c:v>
                </c:pt>
                <c:pt idx="953">
                  <c:v>45755</c:v>
                </c:pt>
                <c:pt idx="954">
                  <c:v>45762</c:v>
                </c:pt>
                <c:pt idx="955">
                  <c:v>45771</c:v>
                </c:pt>
                <c:pt idx="956">
                  <c:v>45778</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46027</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46391</c:v>
                </c:pt>
                <c:pt idx="1044">
                  <c:v>46394</c:v>
                </c:pt>
                <c:pt idx="1045">
                  <c:v>46401</c:v>
                </c:pt>
                <c:pt idx="1046">
                  <c:v>46408</c:v>
                </c:pt>
                <c:pt idx="1047">
                  <c:v>46415</c:v>
                </c:pt>
                <c:pt idx="1048">
                  <c:v>46422</c:v>
                </c:pt>
                <c:pt idx="1049">
                  <c:v>46430</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46507</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46654</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46745</c:v>
                </c:pt>
                <c:pt idx="1095">
                  <c:v>46756</c:v>
                </c:pt>
                <c:pt idx="1096">
                  <c:v>46759</c:v>
                </c:pt>
                <c:pt idx="1097">
                  <c:v>46766</c:v>
                </c:pt>
                <c:pt idx="1098">
                  <c:v>46773</c:v>
                </c:pt>
                <c:pt idx="1099">
                  <c:v>46780</c:v>
                </c:pt>
                <c:pt idx="1100">
                  <c:v>46787</c:v>
                </c:pt>
                <c:pt idx="1101">
                  <c:v>46797</c:v>
                </c:pt>
                <c:pt idx="1102">
                  <c:v>46801</c:v>
                </c:pt>
                <c:pt idx="1103">
                  <c:v>46808</c:v>
                </c:pt>
                <c:pt idx="1104">
                  <c:v>46815</c:v>
                </c:pt>
                <c:pt idx="1105">
                  <c:v>46822</c:v>
                </c:pt>
                <c:pt idx="1106">
                  <c:v>46829</c:v>
                </c:pt>
                <c:pt idx="1107">
                  <c:v>46836</c:v>
                </c:pt>
                <c:pt idx="1108">
                  <c:v>46843</c:v>
                </c:pt>
                <c:pt idx="1109">
                  <c:v>46850</c:v>
                </c:pt>
                <c:pt idx="1110">
                  <c:v>46861</c:v>
                </c:pt>
                <c:pt idx="1111">
                  <c:v>46864</c:v>
                </c:pt>
                <c:pt idx="1112">
                  <c:v>46871</c:v>
                </c:pt>
                <c:pt idx="1113">
                  <c:v>46881</c:v>
                </c:pt>
                <c:pt idx="1114">
                  <c:v>46885</c:v>
                </c:pt>
                <c:pt idx="1115">
                  <c:v>46892</c:v>
                </c:pt>
                <c:pt idx="1116">
                  <c:v>46899</c:v>
                </c:pt>
                <c:pt idx="1117">
                  <c:v>46906</c:v>
                </c:pt>
                <c:pt idx="1118">
                  <c:v>46913</c:v>
                </c:pt>
                <c:pt idx="1119">
                  <c:v>46920</c:v>
                </c:pt>
                <c:pt idx="1120">
                  <c:v>46927</c:v>
                </c:pt>
                <c:pt idx="1121">
                  <c:v>46934</c:v>
                </c:pt>
                <c:pt idx="1122">
                  <c:v>46941</c:v>
                </c:pt>
                <c:pt idx="1123">
                  <c:v>46948</c:v>
                </c:pt>
                <c:pt idx="1124">
                  <c:v>46955</c:v>
                </c:pt>
                <c:pt idx="1125">
                  <c:v>46962</c:v>
                </c:pt>
                <c:pt idx="1126">
                  <c:v>46969</c:v>
                </c:pt>
                <c:pt idx="1127">
                  <c:v>46976</c:v>
                </c:pt>
                <c:pt idx="1128">
                  <c:v>46983</c:v>
                </c:pt>
                <c:pt idx="1129">
                  <c:v>46990</c:v>
                </c:pt>
                <c:pt idx="1130">
                  <c:v>46997</c:v>
                </c:pt>
                <c:pt idx="1131">
                  <c:v>47004</c:v>
                </c:pt>
                <c:pt idx="1132">
                  <c:v>47011</c:v>
                </c:pt>
                <c:pt idx="1133">
                  <c:v>47021</c:v>
                </c:pt>
                <c:pt idx="1134">
                  <c:v>47025</c:v>
                </c:pt>
                <c:pt idx="1135">
                  <c:v>47032</c:v>
                </c:pt>
                <c:pt idx="1136">
                  <c:v>47039</c:v>
                </c:pt>
                <c:pt idx="1137">
                  <c:v>47046</c:v>
                </c:pt>
                <c:pt idx="1138">
                  <c:v>47053</c:v>
                </c:pt>
                <c:pt idx="1139">
                  <c:v>47063</c:v>
                </c:pt>
                <c:pt idx="1140">
                  <c:v>47067</c:v>
                </c:pt>
                <c:pt idx="1141">
                  <c:v>47074</c:v>
                </c:pt>
                <c:pt idx="1142">
                  <c:v>47081</c:v>
                </c:pt>
                <c:pt idx="1143">
                  <c:v>47088</c:v>
                </c:pt>
                <c:pt idx="1144">
                  <c:v>47095</c:v>
                </c:pt>
                <c:pt idx="1145">
                  <c:v>47102</c:v>
                </c:pt>
                <c:pt idx="1146">
                  <c:v>47109</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47246</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47448</c:v>
                </c:pt>
                <c:pt idx="1195">
                  <c:v>47452</c:v>
                </c:pt>
                <c:pt idx="1196">
                  <c:v>47459</c:v>
                </c:pt>
                <c:pt idx="1197">
                  <c:v>47466</c:v>
                </c:pt>
                <c:pt idx="1198">
                  <c:v>47473</c:v>
                </c:pt>
                <c:pt idx="1199">
                  <c:v>47487</c:v>
                </c:pt>
                <c:pt idx="1200">
                  <c:v>47490</c:v>
                </c:pt>
                <c:pt idx="1201">
                  <c:v>47498</c:v>
                </c:pt>
                <c:pt idx="1202">
                  <c:v>47504</c:v>
                </c:pt>
                <c:pt idx="1203">
                  <c:v>47511</c:v>
                </c:pt>
                <c:pt idx="1204">
                  <c:v>47518</c:v>
                </c:pt>
                <c:pt idx="1205">
                  <c:v>47526</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47603</c:v>
                </c:pt>
                <c:pt idx="1217">
                  <c:v>47610</c:v>
                </c:pt>
                <c:pt idx="1218">
                  <c:v>47616</c:v>
                </c:pt>
                <c:pt idx="1219">
                  <c:v>47623</c:v>
                </c:pt>
                <c:pt idx="1220">
                  <c:v>47631</c:v>
                </c:pt>
                <c:pt idx="1221">
                  <c:v>47637</c:v>
                </c:pt>
                <c:pt idx="1222">
                  <c:v>47644</c:v>
                </c:pt>
                <c:pt idx="1223">
                  <c:v>47651</c:v>
                </c:pt>
                <c:pt idx="1224">
                  <c:v>47658</c:v>
                </c:pt>
                <c:pt idx="1225">
                  <c:v>47665</c:v>
                </c:pt>
                <c:pt idx="1226">
                  <c:v>47672</c:v>
                </c:pt>
                <c:pt idx="1227">
                  <c:v>47680</c:v>
                </c:pt>
                <c:pt idx="1228">
                  <c:v>47686</c:v>
                </c:pt>
                <c:pt idx="1229">
                  <c:v>47693</c:v>
                </c:pt>
                <c:pt idx="1230">
                  <c:v>47700</c:v>
                </c:pt>
                <c:pt idx="1231">
                  <c:v>47707</c:v>
                </c:pt>
                <c:pt idx="1232">
                  <c:v>47714</c:v>
                </c:pt>
                <c:pt idx="1233">
                  <c:v>47722</c:v>
                </c:pt>
                <c:pt idx="1234">
                  <c:v>47728</c:v>
                </c:pt>
                <c:pt idx="1235">
                  <c:v>47735</c:v>
                </c:pt>
                <c:pt idx="1236">
                  <c:v>47743</c:v>
                </c:pt>
                <c:pt idx="1237">
                  <c:v>47750</c:v>
                </c:pt>
                <c:pt idx="1238">
                  <c:v>47756</c:v>
                </c:pt>
                <c:pt idx="1239">
                  <c:v>47763</c:v>
                </c:pt>
                <c:pt idx="1240">
                  <c:v>47771</c:v>
                </c:pt>
                <c:pt idx="1241">
                  <c:v>47777</c:v>
                </c:pt>
                <c:pt idx="1242">
                  <c:v>47784</c:v>
                </c:pt>
                <c:pt idx="1243">
                  <c:v>47792</c:v>
                </c:pt>
                <c:pt idx="1244">
                  <c:v>47798</c:v>
                </c:pt>
                <c:pt idx="1245">
                  <c:v>47805</c:v>
                </c:pt>
                <c:pt idx="1246">
                  <c:v>47812</c:v>
                </c:pt>
                <c:pt idx="1247">
                  <c:v>47819</c:v>
                </c:pt>
                <c:pt idx="1248">
                  <c:v>47826</c:v>
                </c:pt>
                <c:pt idx="1249">
                  <c:v>47833</c:v>
                </c:pt>
                <c:pt idx="1250">
                  <c:v>47841</c:v>
                </c:pt>
                <c:pt idx="1251">
                  <c:v>47854</c:v>
                </c:pt>
                <c:pt idx="1252">
                  <c:v>47855</c:v>
                </c:pt>
                <c:pt idx="1253">
                  <c:v>47862</c:v>
                </c:pt>
                <c:pt idx="1254">
                  <c:v>47869</c:v>
                </c:pt>
                <c:pt idx="1255">
                  <c:v>47876</c:v>
                </c:pt>
                <c:pt idx="1256">
                  <c:v>47883</c:v>
                </c:pt>
                <c:pt idx="1257">
                  <c:v>47891</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47969</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48218</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48572</c:v>
                </c:pt>
                <c:pt idx="1355">
                  <c:v>48583</c:v>
                </c:pt>
                <c:pt idx="1356">
                  <c:v>48586</c:v>
                </c:pt>
                <c:pt idx="1357">
                  <c:v>48593</c:v>
                </c:pt>
                <c:pt idx="1358">
                  <c:v>48600</c:v>
                </c:pt>
                <c:pt idx="1359">
                  <c:v>48607</c:v>
                </c:pt>
                <c:pt idx="1360">
                  <c:v>48614</c:v>
                </c:pt>
                <c:pt idx="1361">
                  <c:v>48624</c:v>
                </c:pt>
                <c:pt idx="1362">
                  <c:v>48628</c:v>
                </c:pt>
                <c:pt idx="1363">
                  <c:v>48635</c:v>
                </c:pt>
                <c:pt idx="1364">
                  <c:v>48642</c:v>
                </c:pt>
                <c:pt idx="1365">
                  <c:v>48649</c:v>
                </c:pt>
                <c:pt idx="1366">
                  <c:v>48656</c:v>
                </c:pt>
                <c:pt idx="1367">
                  <c:v>48663</c:v>
                </c:pt>
                <c:pt idx="1368">
                  <c:v>48670</c:v>
                </c:pt>
                <c:pt idx="1369">
                  <c:v>48677</c:v>
                </c:pt>
                <c:pt idx="1370">
                  <c:v>48688</c:v>
                </c:pt>
                <c:pt idx="1371">
                  <c:v>48691</c:v>
                </c:pt>
                <c:pt idx="1372">
                  <c:v>48705</c:v>
                </c:pt>
                <c:pt idx="1373">
                  <c:v>48705</c:v>
                </c:pt>
                <c:pt idx="1374">
                  <c:v>48712</c:v>
                </c:pt>
                <c:pt idx="1375">
                  <c:v>48719</c:v>
                </c:pt>
                <c:pt idx="1376">
                  <c:v>48726</c:v>
                </c:pt>
                <c:pt idx="1377">
                  <c:v>48733</c:v>
                </c:pt>
                <c:pt idx="1378">
                  <c:v>48740</c:v>
                </c:pt>
                <c:pt idx="1379">
                  <c:v>48747</c:v>
                </c:pt>
                <c:pt idx="1380">
                  <c:v>48754</c:v>
                </c:pt>
                <c:pt idx="1381">
                  <c:v>48761</c:v>
                </c:pt>
                <c:pt idx="1382">
                  <c:v>48768</c:v>
                </c:pt>
                <c:pt idx="1383">
                  <c:v>48775</c:v>
                </c:pt>
                <c:pt idx="1384">
                  <c:v>48782</c:v>
                </c:pt>
                <c:pt idx="1385">
                  <c:v>48789</c:v>
                </c:pt>
                <c:pt idx="1386">
                  <c:v>48796</c:v>
                </c:pt>
                <c:pt idx="1387">
                  <c:v>48803</c:v>
                </c:pt>
                <c:pt idx="1388">
                  <c:v>48810</c:v>
                </c:pt>
                <c:pt idx="1389">
                  <c:v>48817</c:v>
                </c:pt>
                <c:pt idx="1390">
                  <c:v>48824</c:v>
                </c:pt>
                <c:pt idx="1391">
                  <c:v>48831</c:v>
                </c:pt>
                <c:pt idx="1392">
                  <c:v>48838</c:v>
                </c:pt>
                <c:pt idx="1393">
                  <c:v>48848</c:v>
                </c:pt>
                <c:pt idx="1394">
                  <c:v>48852</c:v>
                </c:pt>
                <c:pt idx="1395">
                  <c:v>48859</c:v>
                </c:pt>
                <c:pt idx="1396">
                  <c:v>48866</c:v>
                </c:pt>
                <c:pt idx="1397">
                  <c:v>48873</c:v>
                </c:pt>
                <c:pt idx="1398">
                  <c:v>48880</c:v>
                </c:pt>
                <c:pt idx="1399">
                  <c:v>48887</c:v>
                </c:pt>
                <c:pt idx="1400">
                  <c:v>48894</c:v>
                </c:pt>
                <c:pt idx="1401">
                  <c:v>48901</c:v>
                </c:pt>
                <c:pt idx="1402">
                  <c:v>48908</c:v>
                </c:pt>
                <c:pt idx="1403">
                  <c:v>48915</c:v>
                </c:pt>
                <c:pt idx="1404">
                  <c:v>48922</c:v>
                </c:pt>
                <c:pt idx="1405">
                  <c:v>48929</c:v>
                </c:pt>
                <c:pt idx="1406">
                  <c:v>48941</c:v>
                </c:pt>
                <c:pt idx="1407">
                  <c:v>48943</c:v>
                </c:pt>
                <c:pt idx="1408">
                  <c:v>48950</c:v>
                </c:pt>
                <c:pt idx="1409">
                  <c:v>48957</c:v>
                </c:pt>
                <c:pt idx="1410">
                  <c:v>48964</c:v>
                </c:pt>
                <c:pt idx="1411">
                  <c:v>48971</c:v>
                </c:pt>
                <c:pt idx="1412">
                  <c:v>48978</c:v>
                </c:pt>
                <c:pt idx="1413">
                  <c:v>48985</c:v>
                </c:pt>
                <c:pt idx="1414">
                  <c:v>48992</c:v>
                </c:pt>
                <c:pt idx="1415">
                  <c:v>48999</c:v>
                </c:pt>
                <c:pt idx="1416">
                  <c:v>49006</c:v>
                </c:pt>
                <c:pt idx="1417">
                  <c:v>49013</c:v>
                </c:pt>
                <c:pt idx="1418">
                  <c:v>49020</c:v>
                </c:pt>
                <c:pt idx="1419">
                  <c:v>49027</c:v>
                </c:pt>
                <c:pt idx="1420">
                  <c:v>49034</c:v>
                </c:pt>
                <c:pt idx="1421">
                  <c:v>49045</c:v>
                </c:pt>
                <c:pt idx="1422">
                  <c:v>49048</c:v>
                </c:pt>
                <c:pt idx="1423">
                  <c:v>49055</c:v>
                </c:pt>
                <c:pt idx="1424">
                  <c:v>49062</c:v>
                </c:pt>
                <c:pt idx="1425">
                  <c:v>49072</c:v>
                </c:pt>
                <c:pt idx="1426">
                  <c:v>49076</c:v>
                </c:pt>
                <c:pt idx="1427">
                  <c:v>49083</c:v>
                </c:pt>
                <c:pt idx="1428">
                  <c:v>49090</c:v>
                </c:pt>
                <c:pt idx="1429">
                  <c:v>49097</c:v>
                </c:pt>
                <c:pt idx="1430">
                  <c:v>49104</c:v>
                </c:pt>
                <c:pt idx="1431">
                  <c:v>49111</c:v>
                </c:pt>
                <c:pt idx="1432">
                  <c:v>49118</c:v>
                </c:pt>
                <c:pt idx="1433">
                  <c:v>49125</c:v>
                </c:pt>
                <c:pt idx="1434">
                  <c:v>49132</c:v>
                </c:pt>
                <c:pt idx="1435">
                  <c:v>49139</c:v>
                </c:pt>
                <c:pt idx="1436">
                  <c:v>49146</c:v>
                </c:pt>
                <c:pt idx="1437">
                  <c:v>49153</c:v>
                </c:pt>
                <c:pt idx="1438">
                  <c:v>49160</c:v>
                </c:pt>
                <c:pt idx="1439">
                  <c:v>49167</c:v>
                </c:pt>
                <c:pt idx="1440">
                  <c:v>49174</c:v>
                </c:pt>
                <c:pt idx="1441">
                  <c:v>49181</c:v>
                </c:pt>
                <c:pt idx="1442">
                  <c:v>49188</c:v>
                </c:pt>
                <c:pt idx="1443">
                  <c:v>49195</c:v>
                </c:pt>
                <c:pt idx="1444">
                  <c:v>49202</c:v>
                </c:pt>
                <c:pt idx="1445">
                  <c:v>49209</c:v>
                </c:pt>
                <c:pt idx="1446">
                  <c:v>49216</c:v>
                </c:pt>
                <c:pt idx="1447">
                  <c:v>49223</c:v>
                </c:pt>
                <c:pt idx="1448">
                  <c:v>49230</c:v>
                </c:pt>
                <c:pt idx="1449">
                  <c:v>49237</c:v>
                </c:pt>
                <c:pt idx="1450">
                  <c:v>49244</c:v>
                </c:pt>
                <c:pt idx="1451">
                  <c:v>49254</c:v>
                </c:pt>
                <c:pt idx="1452">
                  <c:v>49258</c:v>
                </c:pt>
                <c:pt idx="1453">
                  <c:v>49265</c:v>
                </c:pt>
                <c:pt idx="1454">
                  <c:v>49272</c:v>
                </c:pt>
                <c:pt idx="1455">
                  <c:v>49279</c:v>
                </c:pt>
                <c:pt idx="1456">
                  <c:v>49286</c:v>
                </c:pt>
                <c:pt idx="1457">
                  <c:v>49293</c:v>
                </c:pt>
                <c:pt idx="1458">
                  <c:v>49300</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49437</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49639</c:v>
                </c:pt>
                <c:pt idx="1507">
                  <c:v>49643</c:v>
                </c:pt>
                <c:pt idx="1508">
                  <c:v>49650</c:v>
                </c:pt>
                <c:pt idx="1509">
                  <c:v>49657</c:v>
                </c:pt>
                <c:pt idx="1510">
                  <c:v>49664</c:v>
                </c:pt>
                <c:pt idx="1511">
                  <c:v>49678</c:v>
                </c:pt>
                <c:pt idx="1512">
                  <c:v>49681</c:v>
                </c:pt>
                <c:pt idx="1513">
                  <c:v>49689</c:v>
                </c:pt>
                <c:pt idx="1514">
                  <c:v>49695</c:v>
                </c:pt>
                <c:pt idx="1515">
                  <c:v>49702</c:v>
                </c:pt>
                <c:pt idx="1516">
                  <c:v>49709</c:v>
                </c:pt>
                <c:pt idx="1517">
                  <c:v>49717</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49802</c:v>
                </c:pt>
                <c:pt idx="1530">
                  <c:v>49807</c:v>
                </c:pt>
                <c:pt idx="1531">
                  <c:v>49814</c:v>
                </c:pt>
                <c:pt idx="1532">
                  <c:v>49822</c:v>
                </c:pt>
                <c:pt idx="1533">
                  <c:v>49828</c:v>
                </c:pt>
                <c:pt idx="1534">
                  <c:v>49835</c:v>
                </c:pt>
                <c:pt idx="1535">
                  <c:v>49842</c:v>
                </c:pt>
                <c:pt idx="1536">
                  <c:v>49849</c:v>
                </c:pt>
                <c:pt idx="1537">
                  <c:v>49856</c:v>
                </c:pt>
                <c:pt idx="1538">
                  <c:v>49863</c:v>
                </c:pt>
                <c:pt idx="1539">
                  <c:v>49870</c:v>
                </c:pt>
                <c:pt idx="1540">
                  <c:v>49878</c:v>
                </c:pt>
                <c:pt idx="1541">
                  <c:v>49884</c:v>
                </c:pt>
                <c:pt idx="1542">
                  <c:v>49891</c:v>
                </c:pt>
                <c:pt idx="1543">
                  <c:v>49898</c:v>
                </c:pt>
                <c:pt idx="1544">
                  <c:v>49905</c:v>
                </c:pt>
                <c:pt idx="1545">
                  <c:v>49913</c:v>
                </c:pt>
                <c:pt idx="1546">
                  <c:v>49919</c:v>
                </c:pt>
                <c:pt idx="1547">
                  <c:v>49926</c:v>
                </c:pt>
                <c:pt idx="1548">
                  <c:v>49934</c:v>
                </c:pt>
                <c:pt idx="1549">
                  <c:v>49941</c:v>
                </c:pt>
                <c:pt idx="1550">
                  <c:v>49947</c:v>
                </c:pt>
                <c:pt idx="1551">
                  <c:v>49954</c:v>
                </c:pt>
                <c:pt idx="1552">
                  <c:v>49962</c:v>
                </c:pt>
                <c:pt idx="1553">
                  <c:v>49968</c:v>
                </c:pt>
                <c:pt idx="1554">
                  <c:v>49975</c:v>
                </c:pt>
                <c:pt idx="1555">
                  <c:v>49983</c:v>
                </c:pt>
                <c:pt idx="1556">
                  <c:v>49989</c:v>
                </c:pt>
                <c:pt idx="1557">
                  <c:v>49996</c:v>
                </c:pt>
                <c:pt idx="1558">
                  <c:v>50004</c:v>
                </c:pt>
                <c:pt idx="1559">
                  <c:v>50010</c:v>
                </c:pt>
                <c:pt idx="1560">
                  <c:v>50017</c:v>
                </c:pt>
                <c:pt idx="1561">
                  <c:v>50024</c:v>
                </c:pt>
                <c:pt idx="1562">
                  <c:v>50031</c:v>
                </c:pt>
                <c:pt idx="1563">
                  <c:v>50045</c:v>
                </c:pt>
                <c:pt idx="1564">
                  <c:v>50047</c:v>
                </c:pt>
                <c:pt idx="1565">
                  <c:v>50054</c:v>
                </c:pt>
                <c:pt idx="1566">
                  <c:v>50061</c:v>
                </c:pt>
                <c:pt idx="1567">
                  <c:v>50068</c:v>
                </c:pt>
                <c:pt idx="1568">
                  <c:v>50075</c:v>
                </c:pt>
                <c:pt idx="1569">
                  <c:v>50083</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50409</c:v>
                </c:pt>
                <c:pt idx="1616">
                  <c:v>50412</c:v>
                </c:pt>
                <c:pt idx="1617">
                  <c:v>50419</c:v>
                </c:pt>
                <c:pt idx="1618">
                  <c:v>50426</c:v>
                </c:pt>
                <c:pt idx="1619">
                  <c:v>50433</c:v>
                </c:pt>
                <c:pt idx="1620">
                  <c:v>50440</c:v>
                </c:pt>
                <c:pt idx="1621">
                  <c:v>50448</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50525</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50672</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50763</c:v>
                </c:pt>
                <c:pt idx="1667">
                  <c:v>50774</c:v>
                </c:pt>
                <c:pt idx="1668">
                  <c:v>50777</c:v>
                </c:pt>
                <c:pt idx="1669">
                  <c:v>50784</c:v>
                </c:pt>
                <c:pt idx="1670">
                  <c:v>50791</c:v>
                </c:pt>
                <c:pt idx="1671">
                  <c:v>50798</c:v>
                </c:pt>
                <c:pt idx="1672">
                  <c:v>50805</c:v>
                </c:pt>
                <c:pt idx="1673">
                  <c:v>50815</c:v>
                </c:pt>
                <c:pt idx="1674">
                  <c:v>50819</c:v>
                </c:pt>
                <c:pt idx="1675">
                  <c:v>50826</c:v>
                </c:pt>
                <c:pt idx="1676">
                  <c:v>50833</c:v>
                </c:pt>
                <c:pt idx="1677">
                  <c:v>50840</c:v>
                </c:pt>
                <c:pt idx="1678">
                  <c:v>50847</c:v>
                </c:pt>
                <c:pt idx="1679">
                  <c:v>50854</c:v>
                </c:pt>
                <c:pt idx="1680">
                  <c:v>50861</c:v>
                </c:pt>
                <c:pt idx="1681">
                  <c:v>50872</c:v>
                </c:pt>
                <c:pt idx="1682">
                  <c:v>50875</c:v>
                </c:pt>
                <c:pt idx="1683">
                  <c:v>50882</c:v>
                </c:pt>
                <c:pt idx="1684">
                  <c:v>50896</c:v>
                </c:pt>
                <c:pt idx="1685">
                  <c:v>50896</c:v>
                </c:pt>
                <c:pt idx="1686">
                  <c:v>50903</c:v>
                </c:pt>
                <c:pt idx="1687">
                  <c:v>50910</c:v>
                </c:pt>
                <c:pt idx="1688">
                  <c:v>50917</c:v>
                </c:pt>
                <c:pt idx="1689">
                  <c:v>50924</c:v>
                </c:pt>
                <c:pt idx="1690">
                  <c:v>50931</c:v>
                </c:pt>
                <c:pt idx="1691">
                  <c:v>50938</c:v>
                </c:pt>
                <c:pt idx="1692">
                  <c:v>50945</c:v>
                </c:pt>
                <c:pt idx="1693">
                  <c:v>50952</c:v>
                </c:pt>
                <c:pt idx="1694">
                  <c:v>50959</c:v>
                </c:pt>
                <c:pt idx="1695">
                  <c:v>50966</c:v>
                </c:pt>
                <c:pt idx="1696">
                  <c:v>50973</c:v>
                </c:pt>
                <c:pt idx="1697">
                  <c:v>50980</c:v>
                </c:pt>
                <c:pt idx="1698">
                  <c:v>50987</c:v>
                </c:pt>
                <c:pt idx="1699">
                  <c:v>50994</c:v>
                </c:pt>
                <c:pt idx="1700">
                  <c:v>51001</c:v>
                </c:pt>
                <c:pt idx="1701">
                  <c:v>51008</c:v>
                </c:pt>
                <c:pt idx="1702">
                  <c:v>51015</c:v>
                </c:pt>
                <c:pt idx="1703">
                  <c:v>51022</c:v>
                </c:pt>
                <c:pt idx="1704">
                  <c:v>51029</c:v>
                </c:pt>
                <c:pt idx="1705">
                  <c:v>51039</c:v>
                </c:pt>
                <c:pt idx="1706">
                  <c:v>51043</c:v>
                </c:pt>
                <c:pt idx="1707">
                  <c:v>51050</c:v>
                </c:pt>
                <c:pt idx="1708">
                  <c:v>51057</c:v>
                </c:pt>
                <c:pt idx="1709">
                  <c:v>51064</c:v>
                </c:pt>
                <c:pt idx="1710">
                  <c:v>51071</c:v>
                </c:pt>
                <c:pt idx="1711">
                  <c:v>51078</c:v>
                </c:pt>
                <c:pt idx="1712">
                  <c:v>51085</c:v>
                </c:pt>
                <c:pt idx="1713">
                  <c:v>51092</c:v>
                </c:pt>
                <c:pt idx="1714">
                  <c:v>51099</c:v>
                </c:pt>
                <c:pt idx="1715">
                  <c:v>51106</c:v>
                </c:pt>
                <c:pt idx="1716">
                  <c:v>51113</c:v>
                </c:pt>
                <c:pt idx="1717">
                  <c:v>51120</c:v>
                </c:pt>
                <c:pt idx="1718">
                  <c:v>51132</c:v>
                </c:pt>
                <c:pt idx="1719">
                  <c:v>51134</c:v>
                </c:pt>
                <c:pt idx="1720">
                  <c:v>51141</c:v>
                </c:pt>
                <c:pt idx="1721">
                  <c:v>51148</c:v>
                </c:pt>
                <c:pt idx="1722">
                  <c:v>51155</c:v>
                </c:pt>
                <c:pt idx="1723">
                  <c:v>51162</c:v>
                </c:pt>
                <c:pt idx="1724">
                  <c:v>51169</c:v>
                </c:pt>
                <c:pt idx="1725">
                  <c:v>51176</c:v>
                </c:pt>
                <c:pt idx="1726">
                  <c:v>51183</c:v>
                </c:pt>
                <c:pt idx="1727">
                  <c:v>51190</c:v>
                </c:pt>
                <c:pt idx="1728">
                  <c:v>51197</c:v>
                </c:pt>
                <c:pt idx="1729">
                  <c:v>51204</c:v>
                </c:pt>
                <c:pt idx="1730">
                  <c:v>51211</c:v>
                </c:pt>
                <c:pt idx="1731">
                  <c:v>51218</c:v>
                </c:pt>
                <c:pt idx="1732">
                  <c:v>51229</c:v>
                </c:pt>
                <c:pt idx="1733">
                  <c:v>51232</c:v>
                </c:pt>
                <c:pt idx="1734">
                  <c:v>51239</c:v>
                </c:pt>
                <c:pt idx="1735">
                  <c:v>51246</c:v>
                </c:pt>
                <c:pt idx="1736">
                  <c:v>51253</c:v>
                </c:pt>
                <c:pt idx="1737">
                  <c:v>51264</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51466</c:v>
                </c:pt>
                <c:pt idx="1767">
                  <c:v>51470</c:v>
                </c:pt>
                <c:pt idx="1768">
                  <c:v>51477</c:v>
                </c:pt>
                <c:pt idx="1769">
                  <c:v>51484</c:v>
                </c:pt>
                <c:pt idx="1770">
                  <c:v>51491</c:v>
                </c:pt>
                <c:pt idx="1771">
                  <c:v>51505</c:v>
                </c:pt>
                <c:pt idx="1772">
                  <c:v>51508</c:v>
                </c:pt>
                <c:pt idx="1773">
                  <c:v>51516</c:v>
                </c:pt>
                <c:pt idx="1774">
                  <c:v>51522</c:v>
                </c:pt>
                <c:pt idx="1775">
                  <c:v>51529</c:v>
                </c:pt>
                <c:pt idx="1776">
                  <c:v>51536</c:v>
                </c:pt>
                <c:pt idx="1777">
                  <c:v>51544</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51621</c:v>
                </c:pt>
                <c:pt idx="1789">
                  <c:v>51628</c:v>
                </c:pt>
                <c:pt idx="1790">
                  <c:v>51634</c:v>
                </c:pt>
                <c:pt idx="1791">
                  <c:v>51641</c:v>
                </c:pt>
                <c:pt idx="1792">
                  <c:v>51649</c:v>
                </c:pt>
                <c:pt idx="1793">
                  <c:v>51655</c:v>
                </c:pt>
                <c:pt idx="1794">
                  <c:v>51662</c:v>
                </c:pt>
                <c:pt idx="1795">
                  <c:v>51669</c:v>
                </c:pt>
                <c:pt idx="1796">
                  <c:v>51676</c:v>
                </c:pt>
                <c:pt idx="1797">
                  <c:v>51683</c:v>
                </c:pt>
                <c:pt idx="1798">
                  <c:v>51690</c:v>
                </c:pt>
                <c:pt idx="1799">
                  <c:v>51698</c:v>
                </c:pt>
                <c:pt idx="1800">
                  <c:v>51704</c:v>
                </c:pt>
                <c:pt idx="1801">
                  <c:v>51711</c:v>
                </c:pt>
                <c:pt idx="1802">
                  <c:v>51718</c:v>
                </c:pt>
                <c:pt idx="1803">
                  <c:v>51725</c:v>
                </c:pt>
                <c:pt idx="1804">
                  <c:v>51732</c:v>
                </c:pt>
                <c:pt idx="1805">
                  <c:v>51740</c:v>
                </c:pt>
                <c:pt idx="1806">
                  <c:v>51746</c:v>
                </c:pt>
                <c:pt idx="1807">
                  <c:v>51753</c:v>
                </c:pt>
                <c:pt idx="1808">
                  <c:v>51761</c:v>
                </c:pt>
                <c:pt idx="1809">
                  <c:v>51768</c:v>
                </c:pt>
                <c:pt idx="1810">
                  <c:v>51774</c:v>
                </c:pt>
                <c:pt idx="1811">
                  <c:v>51781</c:v>
                </c:pt>
                <c:pt idx="1812">
                  <c:v>51789</c:v>
                </c:pt>
                <c:pt idx="1813">
                  <c:v>51795</c:v>
                </c:pt>
                <c:pt idx="1814">
                  <c:v>51802</c:v>
                </c:pt>
                <c:pt idx="1815">
                  <c:v>51810</c:v>
                </c:pt>
                <c:pt idx="1816">
                  <c:v>51816</c:v>
                </c:pt>
                <c:pt idx="1817">
                  <c:v>51823</c:v>
                </c:pt>
                <c:pt idx="1818">
                  <c:v>51830</c:v>
                </c:pt>
                <c:pt idx="1819">
                  <c:v>51837</c:v>
                </c:pt>
                <c:pt idx="1820">
                  <c:v>51844</c:v>
                </c:pt>
                <c:pt idx="1821">
                  <c:v>51851</c:v>
                </c:pt>
                <c:pt idx="1822">
                  <c:v>51859</c:v>
                </c:pt>
                <c:pt idx="1823">
                  <c:v>51872</c:v>
                </c:pt>
                <c:pt idx="1824">
                  <c:v>51873</c:v>
                </c:pt>
                <c:pt idx="1825">
                  <c:v>51880</c:v>
                </c:pt>
                <c:pt idx="1826">
                  <c:v>51887</c:v>
                </c:pt>
                <c:pt idx="1827">
                  <c:v>51894</c:v>
                </c:pt>
                <c:pt idx="1828">
                  <c:v>51901</c:v>
                </c:pt>
                <c:pt idx="1829">
                  <c:v>51909</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51987</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52236</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52600</c:v>
                </c:pt>
                <c:pt idx="1928">
                  <c:v>52603</c:v>
                </c:pt>
                <c:pt idx="1929">
                  <c:v>52610</c:v>
                </c:pt>
                <c:pt idx="1930">
                  <c:v>52617</c:v>
                </c:pt>
                <c:pt idx="1931">
                  <c:v>52624</c:v>
                </c:pt>
                <c:pt idx="1932">
                  <c:v>52631</c:v>
                </c:pt>
                <c:pt idx="1933">
                  <c:v>52639</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52723</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52863</c:v>
                </c:pt>
                <c:pt idx="1966">
                  <c:v>52869</c:v>
                </c:pt>
                <c:pt idx="1967">
                  <c:v>52876</c:v>
                </c:pt>
                <c:pt idx="1968">
                  <c:v>52883</c:v>
                </c:pt>
                <c:pt idx="1969">
                  <c:v>52890</c:v>
                </c:pt>
                <c:pt idx="1970">
                  <c:v>52897</c:v>
                </c:pt>
                <c:pt idx="1971">
                  <c:v>52905</c:v>
                </c:pt>
                <c:pt idx="1972">
                  <c:v>52911</c:v>
                </c:pt>
                <c:pt idx="1973">
                  <c:v>52918</c:v>
                </c:pt>
                <c:pt idx="1974">
                  <c:v>52925</c:v>
                </c:pt>
                <c:pt idx="1975">
                  <c:v>52932</c:v>
                </c:pt>
                <c:pt idx="1976">
                  <c:v>52939</c:v>
                </c:pt>
                <c:pt idx="1977">
                  <c:v>52946</c:v>
                </c:pt>
                <c:pt idx="1978">
                  <c:v>52953</c:v>
                </c:pt>
                <c:pt idx="1979">
                  <c:v>52961</c:v>
                </c:pt>
                <c:pt idx="1980">
                  <c:v>52968</c:v>
                </c:pt>
                <c:pt idx="1981">
                  <c:v>52975</c:v>
                </c:pt>
                <c:pt idx="1982">
                  <c:v>52982</c:v>
                </c:pt>
                <c:pt idx="1983">
                  <c:v>52989</c:v>
                </c:pt>
                <c:pt idx="1984">
                  <c:v>52996</c:v>
                </c:pt>
                <c:pt idx="1985">
                  <c:v>53003</c:v>
                </c:pt>
                <c:pt idx="1986">
                  <c:v>53010</c:v>
                </c:pt>
                <c:pt idx="1987">
                  <c:v>53017</c:v>
                </c:pt>
                <c:pt idx="1988">
                  <c:v>53024</c:v>
                </c:pt>
                <c:pt idx="1989">
                  <c:v>53031</c:v>
                </c:pt>
                <c:pt idx="1990">
                  <c:v>53038</c:v>
                </c:pt>
                <c:pt idx="1991">
                  <c:v>53045</c:v>
                </c:pt>
                <c:pt idx="1992">
                  <c:v>53052</c:v>
                </c:pt>
                <c:pt idx="1993">
                  <c:v>53063</c:v>
                </c:pt>
                <c:pt idx="1994">
                  <c:v>53066</c:v>
                </c:pt>
                <c:pt idx="1995">
                  <c:v>53073</c:v>
                </c:pt>
                <c:pt idx="1996">
                  <c:v>53080</c:v>
                </c:pt>
                <c:pt idx="1997">
                  <c:v>53090</c:v>
                </c:pt>
                <c:pt idx="1998">
                  <c:v>53094</c:v>
                </c:pt>
                <c:pt idx="1999">
                  <c:v>53101</c:v>
                </c:pt>
                <c:pt idx="2000">
                  <c:v>53108</c:v>
                </c:pt>
                <c:pt idx="2001">
                  <c:v>53115</c:v>
                </c:pt>
                <c:pt idx="2002">
                  <c:v>53122</c:v>
                </c:pt>
                <c:pt idx="2003">
                  <c:v>53129</c:v>
                </c:pt>
                <c:pt idx="2004">
                  <c:v>53136</c:v>
                </c:pt>
                <c:pt idx="2005">
                  <c:v>53143</c:v>
                </c:pt>
                <c:pt idx="2006">
                  <c:v>53150</c:v>
                </c:pt>
                <c:pt idx="2007">
                  <c:v>53157</c:v>
                </c:pt>
                <c:pt idx="2008">
                  <c:v>53164</c:v>
                </c:pt>
                <c:pt idx="2009">
                  <c:v>53171</c:v>
                </c:pt>
                <c:pt idx="2010">
                  <c:v>53178</c:v>
                </c:pt>
                <c:pt idx="2011">
                  <c:v>53185</c:v>
                </c:pt>
                <c:pt idx="2012">
                  <c:v>53192</c:v>
                </c:pt>
                <c:pt idx="2013">
                  <c:v>53199</c:v>
                </c:pt>
                <c:pt idx="2014">
                  <c:v>53206</c:v>
                </c:pt>
                <c:pt idx="2015">
                  <c:v>53213</c:v>
                </c:pt>
                <c:pt idx="2016">
                  <c:v>53220</c:v>
                </c:pt>
                <c:pt idx="2017">
                  <c:v>53230</c:v>
                </c:pt>
                <c:pt idx="2018">
                  <c:v>53234</c:v>
                </c:pt>
                <c:pt idx="2019">
                  <c:v>53241</c:v>
                </c:pt>
                <c:pt idx="2020">
                  <c:v>53248</c:v>
                </c:pt>
                <c:pt idx="2021">
                  <c:v>53255</c:v>
                </c:pt>
                <c:pt idx="2022">
                  <c:v>53262</c:v>
                </c:pt>
                <c:pt idx="2023">
                  <c:v>53272</c:v>
                </c:pt>
                <c:pt idx="2024">
                  <c:v>53276</c:v>
                </c:pt>
                <c:pt idx="2025">
                  <c:v>53283</c:v>
                </c:pt>
                <c:pt idx="2026">
                  <c:v>53290</c:v>
                </c:pt>
                <c:pt idx="2027">
                  <c:v>53297</c:v>
                </c:pt>
                <c:pt idx="2028">
                  <c:v>53304</c:v>
                </c:pt>
                <c:pt idx="2029">
                  <c:v>53311</c:v>
                </c:pt>
                <c:pt idx="2030">
                  <c:v>53318</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53455</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53657</c:v>
                </c:pt>
                <c:pt idx="2079">
                  <c:v>53661</c:v>
                </c:pt>
                <c:pt idx="2080">
                  <c:v>53668</c:v>
                </c:pt>
                <c:pt idx="2081">
                  <c:v>53675</c:v>
                </c:pt>
                <c:pt idx="2082">
                  <c:v>53682</c:v>
                </c:pt>
                <c:pt idx="2083">
                  <c:v>53696</c:v>
                </c:pt>
                <c:pt idx="2084">
                  <c:v>53699</c:v>
                </c:pt>
                <c:pt idx="2085">
                  <c:v>53707</c:v>
                </c:pt>
                <c:pt idx="2086">
                  <c:v>53713</c:v>
                </c:pt>
                <c:pt idx="2087">
                  <c:v>53720</c:v>
                </c:pt>
                <c:pt idx="2088">
                  <c:v>53727</c:v>
                </c:pt>
                <c:pt idx="2089">
                  <c:v>53735</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53812</c:v>
                </c:pt>
                <c:pt idx="2101">
                  <c:v>53819</c:v>
                </c:pt>
                <c:pt idx="2102">
                  <c:v>53825</c:v>
                </c:pt>
                <c:pt idx="2103">
                  <c:v>53832</c:v>
                </c:pt>
                <c:pt idx="2104">
                  <c:v>53840</c:v>
                </c:pt>
                <c:pt idx="2105">
                  <c:v>53846</c:v>
                </c:pt>
                <c:pt idx="2106">
                  <c:v>53853</c:v>
                </c:pt>
                <c:pt idx="2107">
                  <c:v>53860</c:v>
                </c:pt>
                <c:pt idx="2108">
                  <c:v>53867</c:v>
                </c:pt>
                <c:pt idx="2109">
                  <c:v>53874</c:v>
                </c:pt>
                <c:pt idx="2110">
                  <c:v>53881</c:v>
                </c:pt>
                <c:pt idx="2111">
                  <c:v>53889</c:v>
                </c:pt>
                <c:pt idx="2112">
                  <c:v>53895</c:v>
                </c:pt>
                <c:pt idx="2113">
                  <c:v>53902</c:v>
                </c:pt>
                <c:pt idx="2114">
                  <c:v>53909</c:v>
                </c:pt>
                <c:pt idx="2115">
                  <c:v>53916</c:v>
                </c:pt>
                <c:pt idx="2116">
                  <c:v>53923</c:v>
                </c:pt>
                <c:pt idx="2117">
                  <c:v>53931</c:v>
                </c:pt>
                <c:pt idx="2118">
                  <c:v>53937</c:v>
                </c:pt>
                <c:pt idx="2119">
                  <c:v>53944</c:v>
                </c:pt>
                <c:pt idx="2120">
                  <c:v>53952</c:v>
                </c:pt>
                <c:pt idx="2121">
                  <c:v>53959</c:v>
                </c:pt>
                <c:pt idx="2122">
                  <c:v>53965</c:v>
                </c:pt>
                <c:pt idx="2123">
                  <c:v>53972</c:v>
                </c:pt>
                <c:pt idx="2124">
                  <c:v>53980</c:v>
                </c:pt>
                <c:pt idx="2125">
                  <c:v>53986</c:v>
                </c:pt>
                <c:pt idx="2126">
                  <c:v>53993</c:v>
                </c:pt>
                <c:pt idx="2127">
                  <c:v>54001</c:v>
                </c:pt>
                <c:pt idx="2128">
                  <c:v>54007</c:v>
                </c:pt>
                <c:pt idx="2129">
                  <c:v>54014</c:v>
                </c:pt>
                <c:pt idx="2130">
                  <c:v>54021</c:v>
                </c:pt>
                <c:pt idx="2131">
                  <c:v>54028</c:v>
                </c:pt>
                <c:pt idx="2132">
                  <c:v>54035</c:v>
                </c:pt>
                <c:pt idx="2133">
                  <c:v>54042</c:v>
                </c:pt>
                <c:pt idx="2134">
                  <c:v>54050</c:v>
                </c:pt>
                <c:pt idx="2135">
                  <c:v>54063</c:v>
                </c:pt>
                <c:pt idx="2136">
                  <c:v>54064</c:v>
                </c:pt>
                <c:pt idx="2137">
                  <c:v>54071</c:v>
                </c:pt>
                <c:pt idx="2138">
                  <c:v>54078</c:v>
                </c:pt>
                <c:pt idx="2139">
                  <c:v>54085</c:v>
                </c:pt>
                <c:pt idx="2140">
                  <c:v>54092</c:v>
                </c:pt>
                <c:pt idx="2141">
                  <c:v>54100</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54427</c:v>
                </c:pt>
                <c:pt idx="2188">
                  <c:v>54430</c:v>
                </c:pt>
                <c:pt idx="2189">
                  <c:v>54437</c:v>
                </c:pt>
                <c:pt idx="2190">
                  <c:v>54444</c:v>
                </c:pt>
                <c:pt idx="2191">
                  <c:v>54451</c:v>
                </c:pt>
                <c:pt idx="2192">
                  <c:v>54458</c:v>
                </c:pt>
                <c:pt idx="2193">
                  <c:v>54466</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54543</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54781</c:v>
                </c:pt>
                <c:pt idx="2239">
                  <c:v>54792</c:v>
                </c:pt>
                <c:pt idx="2240">
                  <c:v>54795</c:v>
                </c:pt>
                <c:pt idx="2241">
                  <c:v>54802</c:v>
                </c:pt>
                <c:pt idx="2242">
                  <c:v>54809</c:v>
                </c:pt>
                <c:pt idx="2243">
                  <c:v>54816</c:v>
                </c:pt>
                <c:pt idx="2244">
                  <c:v>54823</c:v>
                </c:pt>
                <c:pt idx="2245">
                  <c:v>54833</c:v>
                </c:pt>
                <c:pt idx="2246">
                  <c:v>54837</c:v>
                </c:pt>
                <c:pt idx="2247">
                  <c:v>54844</c:v>
                </c:pt>
                <c:pt idx="2248">
                  <c:v>54851</c:v>
                </c:pt>
                <c:pt idx="2249">
                  <c:v>54858</c:v>
                </c:pt>
                <c:pt idx="2250">
                  <c:v>54865</c:v>
                </c:pt>
                <c:pt idx="2251">
                  <c:v>54872</c:v>
                </c:pt>
                <c:pt idx="2252">
                  <c:v>54879</c:v>
                </c:pt>
                <c:pt idx="2253">
                  <c:v>54890</c:v>
                </c:pt>
                <c:pt idx="2254">
                  <c:v>54893</c:v>
                </c:pt>
                <c:pt idx="2255">
                  <c:v>54900</c:v>
                </c:pt>
                <c:pt idx="2256">
                  <c:v>54914</c:v>
                </c:pt>
                <c:pt idx="2257">
                  <c:v>54914</c:v>
                </c:pt>
                <c:pt idx="2258">
                  <c:v>54921</c:v>
                </c:pt>
                <c:pt idx="2259">
                  <c:v>54928</c:v>
                </c:pt>
                <c:pt idx="2260">
                  <c:v>54935</c:v>
                </c:pt>
                <c:pt idx="2261">
                  <c:v>54942</c:v>
                </c:pt>
                <c:pt idx="2262">
                  <c:v>54949</c:v>
                </c:pt>
                <c:pt idx="2263">
                  <c:v>54956</c:v>
                </c:pt>
                <c:pt idx="2264">
                  <c:v>54963</c:v>
                </c:pt>
                <c:pt idx="2265">
                  <c:v>54970</c:v>
                </c:pt>
                <c:pt idx="2266">
                  <c:v>54977</c:v>
                </c:pt>
                <c:pt idx="2267">
                  <c:v>54984</c:v>
                </c:pt>
                <c:pt idx="2268">
                  <c:v>54991</c:v>
                </c:pt>
                <c:pt idx="2269">
                  <c:v>54998</c:v>
                </c:pt>
                <c:pt idx="2270">
                  <c:v>55005</c:v>
                </c:pt>
                <c:pt idx="2271">
                  <c:v>55012</c:v>
                </c:pt>
                <c:pt idx="2272">
                  <c:v>55019</c:v>
                </c:pt>
                <c:pt idx="2273">
                  <c:v>55026</c:v>
                </c:pt>
                <c:pt idx="2274">
                  <c:v>55033</c:v>
                </c:pt>
                <c:pt idx="2275">
                  <c:v>55040</c:v>
                </c:pt>
                <c:pt idx="2276">
                  <c:v>55047</c:v>
                </c:pt>
                <c:pt idx="2277">
                  <c:v>55057</c:v>
                </c:pt>
                <c:pt idx="2278">
                  <c:v>55061</c:v>
                </c:pt>
                <c:pt idx="2279">
                  <c:v>55068</c:v>
                </c:pt>
                <c:pt idx="2280">
                  <c:v>55075</c:v>
                </c:pt>
                <c:pt idx="2281">
                  <c:v>55082</c:v>
                </c:pt>
                <c:pt idx="2282">
                  <c:v>55089</c:v>
                </c:pt>
                <c:pt idx="2283">
                  <c:v>55096</c:v>
                </c:pt>
                <c:pt idx="2284">
                  <c:v>55103</c:v>
                </c:pt>
                <c:pt idx="2285">
                  <c:v>55110</c:v>
                </c:pt>
                <c:pt idx="2286">
                  <c:v>55117</c:v>
                </c:pt>
                <c:pt idx="2287">
                  <c:v>55124</c:v>
                </c:pt>
                <c:pt idx="2288">
                  <c:v>55131</c:v>
                </c:pt>
                <c:pt idx="2289">
                  <c:v>55138</c:v>
                </c:pt>
                <c:pt idx="2290">
                  <c:v>55150</c:v>
                </c:pt>
                <c:pt idx="2291">
                  <c:v>55152</c:v>
                </c:pt>
                <c:pt idx="2292">
                  <c:v>55159</c:v>
                </c:pt>
                <c:pt idx="2293">
                  <c:v>55166</c:v>
                </c:pt>
                <c:pt idx="2294">
                  <c:v>55173</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55250</c:v>
                </c:pt>
                <c:pt idx="2306">
                  <c:v>55257</c:v>
                </c:pt>
                <c:pt idx="2307">
                  <c:v>55264</c:v>
                </c:pt>
                <c:pt idx="2308">
                  <c:v>55271</c:v>
                </c:pt>
                <c:pt idx="2309">
                  <c:v>55281</c:v>
                </c:pt>
                <c:pt idx="2310">
                  <c:v>55285</c:v>
                </c:pt>
                <c:pt idx="2311">
                  <c:v>55292</c:v>
                </c:pt>
                <c:pt idx="2312">
                  <c:v>55299</c:v>
                </c:pt>
                <c:pt idx="2313">
                  <c:v>55306</c:v>
                </c:pt>
                <c:pt idx="2314">
                  <c:v>55313</c:v>
                </c:pt>
                <c:pt idx="2315">
                  <c:v>55320</c:v>
                </c:pt>
                <c:pt idx="2316">
                  <c:v>55327</c:v>
                </c:pt>
                <c:pt idx="2317">
                  <c:v>55334</c:v>
                </c:pt>
                <c:pt idx="2318">
                  <c:v>55341</c:v>
                </c:pt>
                <c:pt idx="2319">
                  <c:v>55348</c:v>
                </c:pt>
                <c:pt idx="2320">
                  <c:v>55355</c:v>
                </c:pt>
                <c:pt idx="2321">
                  <c:v>55362</c:v>
                </c:pt>
                <c:pt idx="2322">
                  <c:v>55369</c:v>
                </c:pt>
                <c:pt idx="2323">
                  <c:v>55376</c:v>
                </c:pt>
                <c:pt idx="2324">
                  <c:v>55383</c:v>
                </c:pt>
                <c:pt idx="2325">
                  <c:v>55390</c:v>
                </c:pt>
                <c:pt idx="2326">
                  <c:v>55397</c:v>
                </c:pt>
                <c:pt idx="2327">
                  <c:v>55404</c:v>
                </c:pt>
                <c:pt idx="2328">
                  <c:v>55411</c:v>
                </c:pt>
                <c:pt idx="2329">
                  <c:v>55418</c:v>
                </c:pt>
                <c:pt idx="2330">
                  <c:v>55425</c:v>
                </c:pt>
                <c:pt idx="2331">
                  <c:v>55432</c:v>
                </c:pt>
                <c:pt idx="2332">
                  <c:v>55439</c:v>
                </c:pt>
                <c:pt idx="2333">
                  <c:v>55446</c:v>
                </c:pt>
                <c:pt idx="2334">
                  <c:v>55453</c:v>
                </c:pt>
                <c:pt idx="2335">
                  <c:v>55463</c:v>
                </c:pt>
                <c:pt idx="2336">
                  <c:v>55467</c:v>
                </c:pt>
                <c:pt idx="2337">
                  <c:v>55474</c:v>
                </c:pt>
                <c:pt idx="2338">
                  <c:v>55481</c:v>
                </c:pt>
                <c:pt idx="2339">
                  <c:v>55488</c:v>
                </c:pt>
                <c:pt idx="2340">
                  <c:v>55495</c:v>
                </c:pt>
                <c:pt idx="2341">
                  <c:v>55502</c:v>
                </c:pt>
                <c:pt idx="2342">
                  <c:v>55509</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55646</c:v>
                </c:pt>
                <c:pt idx="2362">
                  <c:v>55649</c:v>
                </c:pt>
                <c:pt idx="2363">
                  <c:v>55656</c:v>
                </c:pt>
                <c:pt idx="2364">
                  <c:v>55663</c:v>
                </c:pt>
                <c:pt idx="2365">
                  <c:v>55670</c:v>
                </c:pt>
                <c:pt idx="2366">
                  <c:v>55677</c:v>
                </c:pt>
                <c:pt idx="2367">
                  <c:v>55684</c:v>
                </c:pt>
                <c:pt idx="2368">
                  <c:v>55691</c:v>
                </c:pt>
                <c:pt idx="2369">
                  <c:v>55698</c:v>
                </c:pt>
                <c:pt idx="2370">
                  <c:v>55705</c:v>
                </c:pt>
                <c:pt idx="2371">
                  <c:v>55712</c:v>
                </c:pt>
                <c:pt idx="2372">
                  <c:v>55719</c:v>
                </c:pt>
                <c:pt idx="2373">
                  <c:v>55726</c:v>
                </c:pt>
                <c:pt idx="2374">
                  <c:v>55733</c:v>
                </c:pt>
                <c:pt idx="2375">
                  <c:v>55740</c:v>
                </c:pt>
                <c:pt idx="2376">
                  <c:v>55747</c:v>
                </c:pt>
                <c:pt idx="2377">
                  <c:v>55754</c:v>
                </c:pt>
                <c:pt idx="2378">
                  <c:v>55761</c:v>
                </c:pt>
                <c:pt idx="2379">
                  <c:v>55768</c:v>
                </c:pt>
                <c:pt idx="2380">
                  <c:v>55775</c:v>
                </c:pt>
                <c:pt idx="2381">
                  <c:v>55782</c:v>
                </c:pt>
                <c:pt idx="2382">
                  <c:v>55789</c:v>
                </c:pt>
                <c:pt idx="2383">
                  <c:v>55796</c:v>
                </c:pt>
                <c:pt idx="2384">
                  <c:v>55803</c:v>
                </c:pt>
                <c:pt idx="2385">
                  <c:v>55810</c:v>
                </c:pt>
                <c:pt idx="2386">
                  <c:v>55817</c:v>
                </c:pt>
                <c:pt idx="2387">
                  <c:v>55824</c:v>
                </c:pt>
                <c:pt idx="2388">
                  <c:v>55831</c:v>
                </c:pt>
                <c:pt idx="2389">
                  <c:v>55838</c:v>
                </c:pt>
                <c:pt idx="2390">
                  <c:v>55845</c:v>
                </c:pt>
                <c:pt idx="2391">
                  <c:v>55852</c:v>
                </c:pt>
                <c:pt idx="2392">
                  <c:v>55859</c:v>
                </c:pt>
                <c:pt idx="2393">
                  <c:v>55866</c:v>
                </c:pt>
                <c:pt idx="2394">
                  <c:v>55873</c:v>
                </c:pt>
                <c:pt idx="2395">
                  <c:v>55890</c:v>
                </c:pt>
                <c:pt idx="2396">
                  <c:v>55891</c:v>
                </c:pt>
                <c:pt idx="2397">
                  <c:v>55898</c:v>
                </c:pt>
                <c:pt idx="2398">
                  <c:v>55905</c:v>
                </c:pt>
                <c:pt idx="2399">
                  <c:v>55912</c:v>
                </c:pt>
                <c:pt idx="2400">
                  <c:v>55919</c:v>
                </c:pt>
                <c:pt idx="2401">
                  <c:v>55927</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56005</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56254</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56618</c:v>
                </c:pt>
                <c:pt idx="2500">
                  <c:v>56621</c:v>
                </c:pt>
                <c:pt idx="2501">
                  <c:v>56628</c:v>
                </c:pt>
                <c:pt idx="2502">
                  <c:v>56635</c:v>
                </c:pt>
                <c:pt idx="2503">
                  <c:v>56642</c:v>
                </c:pt>
                <c:pt idx="2504">
                  <c:v>56649</c:v>
                </c:pt>
                <c:pt idx="2505">
                  <c:v>56657</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56734</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56881</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56972</c:v>
                </c:pt>
                <c:pt idx="2551">
                  <c:v>56983</c:v>
                </c:pt>
                <c:pt idx="2552">
                  <c:v>56986</c:v>
                </c:pt>
                <c:pt idx="2553">
                  <c:v>56993</c:v>
                </c:pt>
                <c:pt idx="2554">
                  <c:v>57000</c:v>
                </c:pt>
                <c:pt idx="2555">
                  <c:v>57007</c:v>
                </c:pt>
                <c:pt idx="2556">
                  <c:v>57014</c:v>
                </c:pt>
                <c:pt idx="2557">
                  <c:v>57024</c:v>
                </c:pt>
                <c:pt idx="2558">
                  <c:v>57028</c:v>
                </c:pt>
                <c:pt idx="2559">
                  <c:v>57035</c:v>
                </c:pt>
                <c:pt idx="2560">
                  <c:v>57042</c:v>
                </c:pt>
                <c:pt idx="2561">
                  <c:v>57049</c:v>
                </c:pt>
                <c:pt idx="2562">
                  <c:v>57056</c:v>
                </c:pt>
                <c:pt idx="2563">
                  <c:v>57063</c:v>
                </c:pt>
                <c:pt idx="2564">
                  <c:v>57074</c:v>
                </c:pt>
                <c:pt idx="2565">
                  <c:v>57077</c:v>
                </c:pt>
                <c:pt idx="2566">
                  <c:v>57084</c:v>
                </c:pt>
                <c:pt idx="2567">
                  <c:v>57091</c:v>
                </c:pt>
                <c:pt idx="2568">
                  <c:v>57098</c:v>
                </c:pt>
                <c:pt idx="2569">
                  <c:v>57108</c:v>
                </c:pt>
                <c:pt idx="2570">
                  <c:v>57112</c:v>
                </c:pt>
                <c:pt idx="2571">
                  <c:v>57119</c:v>
                </c:pt>
                <c:pt idx="2572">
                  <c:v>57126</c:v>
                </c:pt>
                <c:pt idx="2573">
                  <c:v>57133</c:v>
                </c:pt>
                <c:pt idx="2574">
                  <c:v>57140</c:v>
                </c:pt>
                <c:pt idx="2575">
                  <c:v>57147</c:v>
                </c:pt>
                <c:pt idx="2576">
                  <c:v>57154</c:v>
                </c:pt>
                <c:pt idx="2577">
                  <c:v>57161</c:v>
                </c:pt>
                <c:pt idx="2578">
                  <c:v>57168</c:v>
                </c:pt>
                <c:pt idx="2579">
                  <c:v>57175</c:v>
                </c:pt>
                <c:pt idx="2580">
                  <c:v>57182</c:v>
                </c:pt>
                <c:pt idx="2581">
                  <c:v>57189</c:v>
                </c:pt>
                <c:pt idx="2582">
                  <c:v>57196</c:v>
                </c:pt>
                <c:pt idx="2583">
                  <c:v>57203</c:v>
                </c:pt>
                <c:pt idx="2584">
                  <c:v>57210</c:v>
                </c:pt>
                <c:pt idx="2585">
                  <c:v>57217</c:v>
                </c:pt>
                <c:pt idx="2586">
                  <c:v>57224</c:v>
                </c:pt>
                <c:pt idx="2587">
                  <c:v>57231</c:v>
                </c:pt>
                <c:pt idx="2588">
                  <c:v>57238</c:v>
                </c:pt>
                <c:pt idx="2589">
                  <c:v>57248</c:v>
                </c:pt>
                <c:pt idx="2590">
                  <c:v>57252</c:v>
                </c:pt>
                <c:pt idx="2591">
                  <c:v>57259</c:v>
                </c:pt>
                <c:pt idx="2592">
                  <c:v>57266</c:v>
                </c:pt>
                <c:pt idx="2593">
                  <c:v>57273</c:v>
                </c:pt>
                <c:pt idx="2594">
                  <c:v>57280</c:v>
                </c:pt>
                <c:pt idx="2595">
                  <c:v>57290</c:v>
                </c:pt>
                <c:pt idx="2596">
                  <c:v>57294</c:v>
                </c:pt>
                <c:pt idx="2597">
                  <c:v>57301</c:v>
                </c:pt>
                <c:pt idx="2598">
                  <c:v>57308</c:v>
                </c:pt>
                <c:pt idx="2599">
                  <c:v>57315</c:v>
                </c:pt>
                <c:pt idx="2600">
                  <c:v>57322</c:v>
                </c:pt>
                <c:pt idx="2601">
                  <c:v>57329</c:v>
                </c:pt>
                <c:pt idx="2602">
                  <c:v>57336</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57473</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57675</c:v>
                </c:pt>
                <c:pt idx="2651">
                  <c:v>57679</c:v>
                </c:pt>
                <c:pt idx="2652">
                  <c:v>57686</c:v>
                </c:pt>
                <c:pt idx="2653">
                  <c:v>57693</c:v>
                </c:pt>
                <c:pt idx="2654">
                  <c:v>57700</c:v>
                </c:pt>
                <c:pt idx="2655">
                  <c:v>57714</c:v>
                </c:pt>
                <c:pt idx="2656">
                  <c:v>57717</c:v>
                </c:pt>
                <c:pt idx="2657">
                  <c:v>57725</c:v>
                </c:pt>
                <c:pt idx="2658">
                  <c:v>57731</c:v>
                </c:pt>
                <c:pt idx="2659">
                  <c:v>57738</c:v>
                </c:pt>
                <c:pt idx="2660">
                  <c:v>57745</c:v>
                </c:pt>
                <c:pt idx="2661">
                  <c:v>57753</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57830</c:v>
                </c:pt>
                <c:pt idx="2673">
                  <c:v>57837</c:v>
                </c:pt>
                <c:pt idx="2674">
                  <c:v>57843</c:v>
                </c:pt>
                <c:pt idx="2675">
                  <c:v>57850</c:v>
                </c:pt>
                <c:pt idx="2676">
                  <c:v>57858</c:v>
                </c:pt>
                <c:pt idx="2677">
                  <c:v>57864</c:v>
                </c:pt>
                <c:pt idx="2678">
                  <c:v>57871</c:v>
                </c:pt>
                <c:pt idx="2679">
                  <c:v>57878</c:v>
                </c:pt>
                <c:pt idx="2680">
                  <c:v>57885</c:v>
                </c:pt>
                <c:pt idx="2681">
                  <c:v>57892</c:v>
                </c:pt>
                <c:pt idx="2682">
                  <c:v>57899</c:v>
                </c:pt>
                <c:pt idx="2683">
                  <c:v>57907</c:v>
                </c:pt>
                <c:pt idx="2684">
                  <c:v>57913</c:v>
                </c:pt>
                <c:pt idx="2685">
                  <c:v>57920</c:v>
                </c:pt>
                <c:pt idx="2686">
                  <c:v>57927</c:v>
                </c:pt>
                <c:pt idx="2687">
                  <c:v>57934</c:v>
                </c:pt>
                <c:pt idx="2688">
                  <c:v>57941</c:v>
                </c:pt>
                <c:pt idx="2689">
                  <c:v>57949</c:v>
                </c:pt>
                <c:pt idx="2690">
                  <c:v>57955</c:v>
                </c:pt>
                <c:pt idx="2691">
                  <c:v>57962</c:v>
                </c:pt>
                <c:pt idx="2692">
                  <c:v>57970</c:v>
                </c:pt>
                <c:pt idx="2693">
                  <c:v>57977</c:v>
                </c:pt>
                <c:pt idx="2694">
                  <c:v>57983</c:v>
                </c:pt>
                <c:pt idx="2695">
                  <c:v>57990</c:v>
                </c:pt>
                <c:pt idx="2696">
                  <c:v>57998</c:v>
                </c:pt>
                <c:pt idx="2697">
                  <c:v>58004</c:v>
                </c:pt>
                <c:pt idx="2698">
                  <c:v>58011</c:v>
                </c:pt>
                <c:pt idx="2699">
                  <c:v>58019</c:v>
                </c:pt>
                <c:pt idx="2700">
                  <c:v>58025</c:v>
                </c:pt>
                <c:pt idx="2701">
                  <c:v>58032</c:v>
                </c:pt>
                <c:pt idx="2702">
                  <c:v>58039</c:v>
                </c:pt>
                <c:pt idx="2703">
                  <c:v>58046</c:v>
                </c:pt>
                <c:pt idx="2704">
                  <c:v>58053</c:v>
                </c:pt>
                <c:pt idx="2705">
                  <c:v>58060</c:v>
                </c:pt>
                <c:pt idx="2706">
                  <c:v>58068</c:v>
                </c:pt>
                <c:pt idx="2707">
                  <c:v>58081</c:v>
                </c:pt>
                <c:pt idx="2708">
                  <c:v>58082</c:v>
                </c:pt>
                <c:pt idx="2709">
                  <c:v>58089</c:v>
                </c:pt>
                <c:pt idx="2710">
                  <c:v>58096</c:v>
                </c:pt>
                <c:pt idx="2711">
                  <c:v>58103</c:v>
                </c:pt>
                <c:pt idx="2712">
                  <c:v>58110</c:v>
                </c:pt>
                <c:pt idx="2713">
                  <c:v>58118</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58196</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58445</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58561</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58799</c:v>
                </c:pt>
                <c:pt idx="2811">
                  <c:v>58810</c:v>
                </c:pt>
                <c:pt idx="2812">
                  <c:v>58813</c:v>
                </c:pt>
                <c:pt idx="2813">
                  <c:v>58820</c:v>
                </c:pt>
                <c:pt idx="2814">
                  <c:v>58827</c:v>
                </c:pt>
                <c:pt idx="2815">
                  <c:v>58834</c:v>
                </c:pt>
                <c:pt idx="2816">
                  <c:v>58841</c:v>
                </c:pt>
                <c:pt idx="2817">
                  <c:v>58851</c:v>
                </c:pt>
                <c:pt idx="2818">
                  <c:v>58855</c:v>
                </c:pt>
                <c:pt idx="2819">
                  <c:v>58862</c:v>
                </c:pt>
                <c:pt idx="2820">
                  <c:v>58869</c:v>
                </c:pt>
                <c:pt idx="2821">
                  <c:v>58876</c:v>
                </c:pt>
                <c:pt idx="2822">
                  <c:v>58883</c:v>
                </c:pt>
                <c:pt idx="2823">
                  <c:v>58890</c:v>
                </c:pt>
                <c:pt idx="2824">
                  <c:v>58897</c:v>
                </c:pt>
                <c:pt idx="2825">
                  <c:v>58908</c:v>
                </c:pt>
                <c:pt idx="2826">
                  <c:v>58911</c:v>
                </c:pt>
                <c:pt idx="2827">
                  <c:v>58918</c:v>
                </c:pt>
                <c:pt idx="2828">
                  <c:v>58932</c:v>
                </c:pt>
                <c:pt idx="2829">
                  <c:v>58932</c:v>
                </c:pt>
                <c:pt idx="2830">
                  <c:v>58939</c:v>
                </c:pt>
                <c:pt idx="2831">
                  <c:v>58946</c:v>
                </c:pt>
                <c:pt idx="2832">
                  <c:v>58953</c:v>
                </c:pt>
                <c:pt idx="2833">
                  <c:v>58960</c:v>
                </c:pt>
                <c:pt idx="2834">
                  <c:v>58967</c:v>
                </c:pt>
                <c:pt idx="2835">
                  <c:v>58974</c:v>
                </c:pt>
                <c:pt idx="2836">
                  <c:v>58981</c:v>
                </c:pt>
                <c:pt idx="2837">
                  <c:v>58988</c:v>
                </c:pt>
                <c:pt idx="2838">
                  <c:v>58995</c:v>
                </c:pt>
                <c:pt idx="2839">
                  <c:v>59002</c:v>
                </c:pt>
                <c:pt idx="2840">
                  <c:v>59009</c:v>
                </c:pt>
                <c:pt idx="2841">
                  <c:v>59016</c:v>
                </c:pt>
                <c:pt idx="2842">
                  <c:v>59023</c:v>
                </c:pt>
                <c:pt idx="2843">
                  <c:v>59030</c:v>
                </c:pt>
                <c:pt idx="2844">
                  <c:v>59037</c:v>
                </c:pt>
                <c:pt idx="2845">
                  <c:v>59044</c:v>
                </c:pt>
                <c:pt idx="2846">
                  <c:v>59051</c:v>
                </c:pt>
                <c:pt idx="2847">
                  <c:v>59058</c:v>
                </c:pt>
                <c:pt idx="2848">
                  <c:v>59065</c:v>
                </c:pt>
                <c:pt idx="2849">
                  <c:v>59072</c:v>
                </c:pt>
                <c:pt idx="2850">
                  <c:v>59079</c:v>
                </c:pt>
                <c:pt idx="2851">
                  <c:v>59086</c:v>
                </c:pt>
                <c:pt idx="2852">
                  <c:v>59093</c:v>
                </c:pt>
                <c:pt idx="2853">
                  <c:v>59100</c:v>
                </c:pt>
                <c:pt idx="2854">
                  <c:v>59107</c:v>
                </c:pt>
                <c:pt idx="2855">
                  <c:v>59114</c:v>
                </c:pt>
                <c:pt idx="2856">
                  <c:v>59121</c:v>
                </c:pt>
                <c:pt idx="2857">
                  <c:v>59128</c:v>
                </c:pt>
                <c:pt idx="2858">
                  <c:v>59135</c:v>
                </c:pt>
                <c:pt idx="2859">
                  <c:v>59142</c:v>
                </c:pt>
                <c:pt idx="2860">
                  <c:v>59149</c:v>
                </c:pt>
                <c:pt idx="2861">
                  <c:v>59156</c:v>
                </c:pt>
                <c:pt idx="2862">
                  <c:v>59168</c:v>
                </c:pt>
                <c:pt idx="2863">
                  <c:v>59170</c:v>
                </c:pt>
                <c:pt idx="2864">
                  <c:v>59177</c:v>
                </c:pt>
                <c:pt idx="2865">
                  <c:v>59184</c:v>
                </c:pt>
                <c:pt idx="2866">
                  <c:v>59191</c:v>
                </c:pt>
                <c:pt idx="2867">
                  <c:v>59198</c:v>
                </c:pt>
                <c:pt idx="2868">
                  <c:v>59205</c:v>
                </c:pt>
                <c:pt idx="2869">
                  <c:v>59212</c:v>
                </c:pt>
                <c:pt idx="2870">
                  <c:v>59219</c:v>
                </c:pt>
                <c:pt idx="2871">
                  <c:v>59226</c:v>
                </c:pt>
                <c:pt idx="2872">
                  <c:v>59233</c:v>
                </c:pt>
                <c:pt idx="2873">
                  <c:v>59240</c:v>
                </c:pt>
                <c:pt idx="2874">
                  <c:v>59247</c:v>
                </c:pt>
                <c:pt idx="2875">
                  <c:v>59258</c:v>
                </c:pt>
                <c:pt idx="2876">
                  <c:v>59261</c:v>
                </c:pt>
                <c:pt idx="2877">
                  <c:v>59268</c:v>
                </c:pt>
                <c:pt idx="2878">
                  <c:v>59275</c:v>
                </c:pt>
                <c:pt idx="2879">
                  <c:v>59282</c:v>
                </c:pt>
                <c:pt idx="2880">
                  <c:v>59289</c:v>
                </c:pt>
                <c:pt idx="2881">
                  <c:v>59299</c:v>
                </c:pt>
                <c:pt idx="2882">
                  <c:v>59303</c:v>
                </c:pt>
                <c:pt idx="2883">
                  <c:v>59310</c:v>
                </c:pt>
                <c:pt idx="2884">
                  <c:v>59317</c:v>
                </c:pt>
                <c:pt idx="2885">
                  <c:v>59324</c:v>
                </c:pt>
                <c:pt idx="2886">
                  <c:v>59331</c:v>
                </c:pt>
                <c:pt idx="2887">
                  <c:v>59338</c:v>
                </c:pt>
                <c:pt idx="2888">
                  <c:v>59345</c:v>
                </c:pt>
                <c:pt idx="2889">
                  <c:v>59352</c:v>
                </c:pt>
                <c:pt idx="2890">
                  <c:v>59359</c:v>
                </c:pt>
                <c:pt idx="2891">
                  <c:v>59366</c:v>
                </c:pt>
                <c:pt idx="2892">
                  <c:v>59373</c:v>
                </c:pt>
                <c:pt idx="2893">
                  <c:v>59380</c:v>
                </c:pt>
                <c:pt idx="2894">
                  <c:v>59387</c:v>
                </c:pt>
                <c:pt idx="2895">
                  <c:v>59394</c:v>
                </c:pt>
                <c:pt idx="2896">
                  <c:v>59401</c:v>
                </c:pt>
                <c:pt idx="2897">
                  <c:v>59408</c:v>
                </c:pt>
                <c:pt idx="2898">
                  <c:v>59415</c:v>
                </c:pt>
                <c:pt idx="2899">
                  <c:v>59422</c:v>
                </c:pt>
                <c:pt idx="2900">
                  <c:v>59429</c:v>
                </c:pt>
                <c:pt idx="2901">
                  <c:v>59436</c:v>
                </c:pt>
                <c:pt idx="2902">
                  <c:v>59443</c:v>
                </c:pt>
                <c:pt idx="2903">
                  <c:v>59450</c:v>
                </c:pt>
                <c:pt idx="2904">
                  <c:v>59457</c:v>
                </c:pt>
                <c:pt idx="2905">
                  <c:v>59464</c:v>
                </c:pt>
                <c:pt idx="2906">
                  <c:v>59471</c:v>
                </c:pt>
                <c:pt idx="2907">
                  <c:v>59481</c:v>
                </c:pt>
                <c:pt idx="2908">
                  <c:v>59485</c:v>
                </c:pt>
                <c:pt idx="2909">
                  <c:v>59492</c:v>
                </c:pt>
                <c:pt idx="2910">
                  <c:v>59499</c:v>
                </c:pt>
                <c:pt idx="2911">
                  <c:v>59506</c:v>
                </c:pt>
                <c:pt idx="2912">
                  <c:v>59513</c:v>
                </c:pt>
                <c:pt idx="2913">
                  <c:v>59520</c:v>
                </c:pt>
                <c:pt idx="2914">
                  <c:v>59527</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59664</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59866</c:v>
                </c:pt>
                <c:pt idx="2963">
                  <c:v>59870</c:v>
                </c:pt>
                <c:pt idx="2964">
                  <c:v>59877</c:v>
                </c:pt>
                <c:pt idx="2965">
                  <c:v>59884</c:v>
                </c:pt>
                <c:pt idx="2966">
                  <c:v>59891</c:v>
                </c:pt>
                <c:pt idx="2967">
                  <c:v>59905</c:v>
                </c:pt>
                <c:pt idx="2968">
                  <c:v>59908</c:v>
                </c:pt>
                <c:pt idx="2969">
                  <c:v>59916</c:v>
                </c:pt>
                <c:pt idx="2970">
                  <c:v>59922</c:v>
                </c:pt>
                <c:pt idx="2971">
                  <c:v>59929</c:v>
                </c:pt>
                <c:pt idx="2972">
                  <c:v>59936</c:v>
                </c:pt>
                <c:pt idx="2973">
                  <c:v>59944</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60029</c:v>
                </c:pt>
                <c:pt idx="2986">
                  <c:v>60034</c:v>
                </c:pt>
                <c:pt idx="2987">
                  <c:v>60041</c:v>
                </c:pt>
                <c:pt idx="2988">
                  <c:v>60049</c:v>
                </c:pt>
                <c:pt idx="2989">
                  <c:v>60055</c:v>
                </c:pt>
                <c:pt idx="2990">
                  <c:v>60062</c:v>
                </c:pt>
                <c:pt idx="2991">
                  <c:v>60069</c:v>
                </c:pt>
                <c:pt idx="2992">
                  <c:v>60076</c:v>
                </c:pt>
                <c:pt idx="2993">
                  <c:v>60083</c:v>
                </c:pt>
                <c:pt idx="2994">
                  <c:v>60090</c:v>
                </c:pt>
                <c:pt idx="2995">
                  <c:v>60097</c:v>
                </c:pt>
                <c:pt idx="2996">
                  <c:v>60105</c:v>
                </c:pt>
                <c:pt idx="2997">
                  <c:v>60111</c:v>
                </c:pt>
                <c:pt idx="2998">
                  <c:v>60118</c:v>
                </c:pt>
                <c:pt idx="2999">
                  <c:v>60125</c:v>
                </c:pt>
                <c:pt idx="3000">
                  <c:v>60132</c:v>
                </c:pt>
                <c:pt idx="3001">
                  <c:v>60140</c:v>
                </c:pt>
                <c:pt idx="3002">
                  <c:v>60146</c:v>
                </c:pt>
                <c:pt idx="3003">
                  <c:v>60153</c:v>
                </c:pt>
                <c:pt idx="3004">
                  <c:v>60161</c:v>
                </c:pt>
                <c:pt idx="3005">
                  <c:v>60168</c:v>
                </c:pt>
                <c:pt idx="3006">
                  <c:v>60174</c:v>
                </c:pt>
                <c:pt idx="3007">
                  <c:v>60181</c:v>
                </c:pt>
                <c:pt idx="3008">
                  <c:v>60189</c:v>
                </c:pt>
                <c:pt idx="3009">
                  <c:v>60195</c:v>
                </c:pt>
                <c:pt idx="3010">
                  <c:v>60202</c:v>
                </c:pt>
                <c:pt idx="3011">
                  <c:v>60210</c:v>
                </c:pt>
                <c:pt idx="3012">
                  <c:v>60216</c:v>
                </c:pt>
                <c:pt idx="3013">
                  <c:v>60223</c:v>
                </c:pt>
                <c:pt idx="3014">
                  <c:v>60231</c:v>
                </c:pt>
                <c:pt idx="3015">
                  <c:v>60237</c:v>
                </c:pt>
                <c:pt idx="3016">
                  <c:v>60244</c:v>
                </c:pt>
                <c:pt idx="3017">
                  <c:v>60251</c:v>
                </c:pt>
                <c:pt idx="3018">
                  <c:v>60258</c:v>
                </c:pt>
                <c:pt idx="3019">
                  <c:v>60272</c:v>
                </c:pt>
                <c:pt idx="3020">
                  <c:v>60274</c:v>
                </c:pt>
                <c:pt idx="3021">
                  <c:v>60281</c:v>
                </c:pt>
                <c:pt idx="3022">
                  <c:v>60288</c:v>
                </c:pt>
                <c:pt idx="3023">
                  <c:v>60295</c:v>
                </c:pt>
                <c:pt idx="3024">
                  <c:v>60302</c:v>
                </c:pt>
                <c:pt idx="3025">
                  <c:v>60310</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60636</c:v>
                </c:pt>
                <c:pt idx="3072">
                  <c:v>60639</c:v>
                </c:pt>
                <c:pt idx="3073">
                  <c:v>60646</c:v>
                </c:pt>
                <c:pt idx="3074">
                  <c:v>60653</c:v>
                </c:pt>
                <c:pt idx="3075">
                  <c:v>60660</c:v>
                </c:pt>
                <c:pt idx="3076">
                  <c:v>60667</c:v>
                </c:pt>
                <c:pt idx="3077">
                  <c:v>60675</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60752</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60899</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60990</c:v>
                </c:pt>
                <c:pt idx="3123">
                  <c:v>61001</c:v>
                </c:pt>
                <c:pt idx="3124">
                  <c:v>61004</c:v>
                </c:pt>
                <c:pt idx="3125">
                  <c:v>61011</c:v>
                </c:pt>
                <c:pt idx="3126">
                  <c:v>61018</c:v>
                </c:pt>
                <c:pt idx="3127">
                  <c:v>61025</c:v>
                </c:pt>
                <c:pt idx="3128">
                  <c:v>61032</c:v>
                </c:pt>
                <c:pt idx="3129">
                  <c:v>61042</c:v>
                </c:pt>
                <c:pt idx="3130">
                  <c:v>61046</c:v>
                </c:pt>
                <c:pt idx="3131">
                  <c:v>61053</c:v>
                </c:pt>
                <c:pt idx="3132">
                  <c:v>61060</c:v>
                </c:pt>
                <c:pt idx="3133">
                  <c:v>61067</c:v>
                </c:pt>
                <c:pt idx="3134">
                  <c:v>61074</c:v>
                </c:pt>
                <c:pt idx="3135">
                  <c:v>61081</c:v>
                </c:pt>
                <c:pt idx="3136">
                  <c:v>61092</c:v>
                </c:pt>
                <c:pt idx="3137">
                  <c:v>61095</c:v>
                </c:pt>
                <c:pt idx="3138">
                  <c:v>61102</c:v>
                </c:pt>
                <c:pt idx="3139">
                  <c:v>61109</c:v>
                </c:pt>
                <c:pt idx="3140">
                  <c:v>61123</c:v>
                </c:pt>
                <c:pt idx="3141">
                  <c:v>61123</c:v>
                </c:pt>
                <c:pt idx="3142">
                  <c:v>61130</c:v>
                </c:pt>
                <c:pt idx="3143">
                  <c:v>61137</c:v>
                </c:pt>
                <c:pt idx="3144">
                  <c:v>61144</c:v>
                </c:pt>
                <c:pt idx="3145">
                  <c:v>61151</c:v>
                </c:pt>
                <c:pt idx="3146">
                  <c:v>61158</c:v>
                </c:pt>
                <c:pt idx="3147">
                  <c:v>61165</c:v>
                </c:pt>
                <c:pt idx="3148">
                  <c:v>61172</c:v>
                </c:pt>
                <c:pt idx="3149">
                  <c:v>61179</c:v>
                </c:pt>
                <c:pt idx="3150">
                  <c:v>61186</c:v>
                </c:pt>
                <c:pt idx="3151">
                  <c:v>61193</c:v>
                </c:pt>
                <c:pt idx="3152">
                  <c:v>61200</c:v>
                </c:pt>
                <c:pt idx="3153">
                  <c:v>61207</c:v>
                </c:pt>
                <c:pt idx="3154">
                  <c:v>61214</c:v>
                </c:pt>
                <c:pt idx="3155">
                  <c:v>61221</c:v>
                </c:pt>
                <c:pt idx="3156">
                  <c:v>61228</c:v>
                </c:pt>
                <c:pt idx="3157">
                  <c:v>61235</c:v>
                </c:pt>
                <c:pt idx="3158">
                  <c:v>61242</c:v>
                </c:pt>
                <c:pt idx="3159">
                  <c:v>61249</c:v>
                </c:pt>
                <c:pt idx="3160">
                  <c:v>61256</c:v>
                </c:pt>
                <c:pt idx="3161">
                  <c:v>61266</c:v>
                </c:pt>
                <c:pt idx="3162">
                  <c:v>61270</c:v>
                </c:pt>
                <c:pt idx="3163">
                  <c:v>61277</c:v>
                </c:pt>
                <c:pt idx="3164">
                  <c:v>61284</c:v>
                </c:pt>
                <c:pt idx="3165">
                  <c:v>61291</c:v>
                </c:pt>
                <c:pt idx="3166">
                  <c:v>61298</c:v>
                </c:pt>
                <c:pt idx="3167">
                  <c:v>61305</c:v>
                </c:pt>
                <c:pt idx="3168">
                  <c:v>61312</c:v>
                </c:pt>
                <c:pt idx="3169">
                  <c:v>61319</c:v>
                </c:pt>
                <c:pt idx="3170">
                  <c:v>61326</c:v>
                </c:pt>
                <c:pt idx="3171">
                  <c:v>61333</c:v>
                </c:pt>
                <c:pt idx="3172">
                  <c:v>61340</c:v>
                </c:pt>
                <c:pt idx="3173">
                  <c:v>61347</c:v>
                </c:pt>
                <c:pt idx="3174">
                  <c:v>61359</c:v>
                </c:pt>
                <c:pt idx="3175">
                  <c:v>61361</c:v>
                </c:pt>
                <c:pt idx="3176">
                  <c:v>61368</c:v>
                </c:pt>
                <c:pt idx="3177">
                  <c:v>61375</c:v>
                </c:pt>
                <c:pt idx="3178">
                  <c:v>61382</c:v>
                </c:pt>
                <c:pt idx="3179">
                  <c:v>61389</c:v>
                </c:pt>
                <c:pt idx="3180">
                  <c:v>61396</c:v>
                </c:pt>
                <c:pt idx="3181">
                  <c:v>61403</c:v>
                </c:pt>
                <c:pt idx="3182">
                  <c:v>61410</c:v>
                </c:pt>
                <c:pt idx="3183">
                  <c:v>61417</c:v>
                </c:pt>
                <c:pt idx="3184">
                  <c:v>61424</c:v>
                </c:pt>
                <c:pt idx="3185">
                  <c:v>61431</c:v>
                </c:pt>
                <c:pt idx="3186">
                  <c:v>61438</c:v>
                </c:pt>
                <c:pt idx="3187">
                  <c:v>61445</c:v>
                </c:pt>
                <c:pt idx="3188">
                  <c:v>61452</c:v>
                </c:pt>
                <c:pt idx="3189">
                  <c:v>61459</c:v>
                </c:pt>
                <c:pt idx="3190">
                  <c:v>61466</c:v>
                </c:pt>
                <c:pt idx="3191">
                  <c:v>61477</c:v>
                </c:pt>
                <c:pt idx="3192">
                  <c:v>61480</c:v>
                </c:pt>
                <c:pt idx="3193">
                  <c:v>61491</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61693</c:v>
                </c:pt>
                <c:pt idx="3223">
                  <c:v>61697</c:v>
                </c:pt>
                <c:pt idx="3224">
                  <c:v>61704</c:v>
                </c:pt>
                <c:pt idx="3225">
                  <c:v>61711</c:v>
                </c:pt>
                <c:pt idx="3226">
                  <c:v>61718</c:v>
                </c:pt>
                <c:pt idx="3227">
                  <c:v>61732</c:v>
                </c:pt>
                <c:pt idx="3228">
                  <c:v>61735</c:v>
                </c:pt>
                <c:pt idx="3229">
                  <c:v>61743</c:v>
                </c:pt>
                <c:pt idx="3230">
                  <c:v>61749</c:v>
                </c:pt>
                <c:pt idx="3231">
                  <c:v>61756</c:v>
                </c:pt>
                <c:pt idx="3232">
                  <c:v>61763</c:v>
                </c:pt>
                <c:pt idx="3233">
                  <c:v>61771</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61848</c:v>
                </c:pt>
                <c:pt idx="3245">
                  <c:v>61855</c:v>
                </c:pt>
                <c:pt idx="3246">
                  <c:v>61861</c:v>
                </c:pt>
                <c:pt idx="3247">
                  <c:v>61868</c:v>
                </c:pt>
                <c:pt idx="3248">
                  <c:v>61876</c:v>
                </c:pt>
                <c:pt idx="3249">
                  <c:v>61882</c:v>
                </c:pt>
                <c:pt idx="3250">
                  <c:v>61889</c:v>
                </c:pt>
                <c:pt idx="3251">
                  <c:v>61896</c:v>
                </c:pt>
                <c:pt idx="3252">
                  <c:v>61903</c:v>
                </c:pt>
                <c:pt idx="3253">
                  <c:v>61910</c:v>
                </c:pt>
                <c:pt idx="3254">
                  <c:v>61917</c:v>
                </c:pt>
                <c:pt idx="3255">
                  <c:v>61925</c:v>
                </c:pt>
                <c:pt idx="3256">
                  <c:v>61931</c:v>
                </c:pt>
                <c:pt idx="3257">
                  <c:v>61938</c:v>
                </c:pt>
                <c:pt idx="3258">
                  <c:v>61945</c:v>
                </c:pt>
                <c:pt idx="3259">
                  <c:v>61952</c:v>
                </c:pt>
                <c:pt idx="3260">
                  <c:v>61959</c:v>
                </c:pt>
                <c:pt idx="3261">
                  <c:v>61967</c:v>
                </c:pt>
                <c:pt idx="3262">
                  <c:v>61973</c:v>
                </c:pt>
                <c:pt idx="3263">
                  <c:v>61980</c:v>
                </c:pt>
                <c:pt idx="3264">
                  <c:v>61988</c:v>
                </c:pt>
                <c:pt idx="3265">
                  <c:v>61995</c:v>
                </c:pt>
                <c:pt idx="3266">
                  <c:v>62001</c:v>
                </c:pt>
                <c:pt idx="3267">
                  <c:v>62008</c:v>
                </c:pt>
                <c:pt idx="3268">
                  <c:v>62016</c:v>
                </c:pt>
                <c:pt idx="3269">
                  <c:v>62022</c:v>
                </c:pt>
                <c:pt idx="3270">
                  <c:v>62029</c:v>
                </c:pt>
                <c:pt idx="3271">
                  <c:v>62037</c:v>
                </c:pt>
                <c:pt idx="3272">
                  <c:v>62043</c:v>
                </c:pt>
                <c:pt idx="3273">
                  <c:v>62050</c:v>
                </c:pt>
                <c:pt idx="3274">
                  <c:v>62057</c:v>
                </c:pt>
                <c:pt idx="3275">
                  <c:v>62064</c:v>
                </c:pt>
                <c:pt idx="3276">
                  <c:v>62071</c:v>
                </c:pt>
                <c:pt idx="3277">
                  <c:v>62078</c:v>
                </c:pt>
                <c:pt idx="3278">
                  <c:v>62086</c:v>
                </c:pt>
                <c:pt idx="3279">
                  <c:v>62099</c:v>
                </c:pt>
                <c:pt idx="3280">
                  <c:v>62100</c:v>
                </c:pt>
                <c:pt idx="3281">
                  <c:v>62107</c:v>
                </c:pt>
                <c:pt idx="3282">
                  <c:v>62114</c:v>
                </c:pt>
                <c:pt idx="3283">
                  <c:v>62121</c:v>
                </c:pt>
                <c:pt idx="3284">
                  <c:v>62128</c:v>
                </c:pt>
                <c:pt idx="3285">
                  <c:v>62136</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62214</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62463</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62827</c:v>
                </c:pt>
                <c:pt idx="3384">
                  <c:v>62830</c:v>
                </c:pt>
                <c:pt idx="3385">
                  <c:v>62837</c:v>
                </c:pt>
                <c:pt idx="3386">
                  <c:v>62844</c:v>
                </c:pt>
                <c:pt idx="3387">
                  <c:v>62851</c:v>
                </c:pt>
                <c:pt idx="3388">
                  <c:v>62858</c:v>
                </c:pt>
                <c:pt idx="3389">
                  <c:v>62866</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62950</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63090</c:v>
                </c:pt>
                <c:pt idx="3422">
                  <c:v>63096</c:v>
                </c:pt>
                <c:pt idx="3423">
                  <c:v>63103</c:v>
                </c:pt>
                <c:pt idx="3424">
                  <c:v>63110</c:v>
                </c:pt>
                <c:pt idx="3425">
                  <c:v>63117</c:v>
                </c:pt>
                <c:pt idx="3426">
                  <c:v>63124</c:v>
                </c:pt>
                <c:pt idx="3427">
                  <c:v>63132</c:v>
                </c:pt>
                <c:pt idx="3428">
                  <c:v>63138</c:v>
                </c:pt>
                <c:pt idx="3429">
                  <c:v>63145</c:v>
                </c:pt>
                <c:pt idx="3430">
                  <c:v>63152</c:v>
                </c:pt>
                <c:pt idx="3431">
                  <c:v>63159</c:v>
                </c:pt>
                <c:pt idx="3432">
                  <c:v>63166</c:v>
                </c:pt>
                <c:pt idx="3433">
                  <c:v>63173</c:v>
                </c:pt>
                <c:pt idx="3434">
                  <c:v>63180</c:v>
                </c:pt>
                <c:pt idx="3435">
                  <c:v>63188</c:v>
                </c:pt>
                <c:pt idx="3436">
                  <c:v>63195</c:v>
                </c:pt>
                <c:pt idx="3437">
                  <c:v>63202</c:v>
                </c:pt>
                <c:pt idx="3438">
                  <c:v>63209</c:v>
                </c:pt>
                <c:pt idx="3439">
                  <c:v>63216</c:v>
                </c:pt>
                <c:pt idx="3440">
                  <c:v>63223</c:v>
                </c:pt>
                <c:pt idx="3441">
                  <c:v>63230</c:v>
                </c:pt>
                <c:pt idx="3442">
                  <c:v>63237</c:v>
                </c:pt>
                <c:pt idx="3443">
                  <c:v>63244</c:v>
                </c:pt>
                <c:pt idx="3444">
                  <c:v>63251</c:v>
                </c:pt>
                <c:pt idx="3445">
                  <c:v>63258</c:v>
                </c:pt>
                <c:pt idx="3446">
                  <c:v>63265</c:v>
                </c:pt>
                <c:pt idx="3447">
                  <c:v>63276</c:v>
                </c:pt>
                <c:pt idx="3448">
                  <c:v>63279</c:v>
                </c:pt>
                <c:pt idx="3449">
                  <c:v>63286</c:v>
                </c:pt>
                <c:pt idx="3450">
                  <c:v>63293</c:v>
                </c:pt>
                <c:pt idx="3451">
                  <c:v>63300</c:v>
                </c:pt>
                <c:pt idx="3452">
                  <c:v>63307</c:v>
                </c:pt>
                <c:pt idx="3453">
                  <c:v>63317</c:v>
                </c:pt>
                <c:pt idx="3454">
                  <c:v>63321</c:v>
                </c:pt>
                <c:pt idx="3455">
                  <c:v>63328</c:v>
                </c:pt>
                <c:pt idx="3456">
                  <c:v>63335</c:v>
                </c:pt>
                <c:pt idx="3457">
                  <c:v>63342</c:v>
                </c:pt>
                <c:pt idx="3458">
                  <c:v>63349</c:v>
                </c:pt>
                <c:pt idx="3459">
                  <c:v>63356</c:v>
                </c:pt>
                <c:pt idx="3460">
                  <c:v>63363</c:v>
                </c:pt>
                <c:pt idx="3461">
                  <c:v>63370</c:v>
                </c:pt>
                <c:pt idx="3462">
                  <c:v>63377</c:v>
                </c:pt>
                <c:pt idx="3463">
                  <c:v>63384</c:v>
                </c:pt>
                <c:pt idx="3464">
                  <c:v>63391</c:v>
                </c:pt>
                <c:pt idx="3465">
                  <c:v>63398</c:v>
                </c:pt>
                <c:pt idx="3466">
                  <c:v>63405</c:v>
                </c:pt>
                <c:pt idx="3467">
                  <c:v>63412</c:v>
                </c:pt>
                <c:pt idx="3468">
                  <c:v>63419</c:v>
                </c:pt>
                <c:pt idx="3469">
                  <c:v>63426</c:v>
                </c:pt>
                <c:pt idx="3470">
                  <c:v>63433</c:v>
                </c:pt>
                <c:pt idx="3471">
                  <c:v>63440</c:v>
                </c:pt>
                <c:pt idx="3472">
                  <c:v>63447</c:v>
                </c:pt>
                <c:pt idx="3473">
                  <c:v>63457</c:v>
                </c:pt>
                <c:pt idx="3474">
                  <c:v>63461</c:v>
                </c:pt>
                <c:pt idx="3475">
                  <c:v>63468</c:v>
                </c:pt>
                <c:pt idx="3476">
                  <c:v>63475</c:v>
                </c:pt>
                <c:pt idx="3477">
                  <c:v>63482</c:v>
                </c:pt>
                <c:pt idx="3478">
                  <c:v>63489</c:v>
                </c:pt>
                <c:pt idx="3479">
                  <c:v>63499</c:v>
                </c:pt>
                <c:pt idx="3480">
                  <c:v>63503</c:v>
                </c:pt>
                <c:pt idx="3481">
                  <c:v>63510</c:v>
                </c:pt>
                <c:pt idx="3482">
                  <c:v>63517</c:v>
                </c:pt>
                <c:pt idx="3483">
                  <c:v>63524</c:v>
                </c:pt>
                <c:pt idx="3484">
                  <c:v>63531</c:v>
                </c:pt>
                <c:pt idx="3485">
                  <c:v>63538</c:v>
                </c:pt>
                <c:pt idx="3486">
                  <c:v>63545</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63682</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Monitor!$AA$19:$AA$3552</c:f>
              <c:numCache>
                <c:formatCode>0.0000%</c:formatCode>
                <c:ptCount val="3534"/>
                <c:pt idx="0">
                  <c:v>2.0583248218308814E-3</c:v>
                </c:pt>
                <c:pt idx="1">
                  <c:v>2.0579710129142725E-3</c:v>
                </c:pt>
                <c:pt idx="2">
                  <c:v>2.0572633952431474E-3</c:v>
                </c:pt>
                <c:pt idx="3">
                  <c:v>2.0546803631223596E-3</c:v>
                </c:pt>
                <c:pt idx="4">
                  <c:v>2.0508948357977896E-3</c:v>
                </c:pt>
                <c:pt idx="5">
                  <c:v>2.0484181737867591E-3</c:v>
                </c:pt>
                <c:pt idx="6">
                  <c:v>2.0455877030212122E-3</c:v>
                </c:pt>
                <c:pt idx="7">
                  <c:v>2.0424034234201027E-3</c:v>
                </c:pt>
                <c:pt idx="8">
                  <c:v>2.0348668456697068E-3</c:v>
                </c:pt>
                <c:pt idx="9">
                  <c:v>2.0261282168221317E-3</c:v>
                </c:pt>
                <c:pt idx="10">
                  <c:v>2.0211748932863483E-3</c:v>
                </c:pt>
                <c:pt idx="11">
                  <c:v>2.0158677609150022E-3</c:v>
                </c:pt>
                <c:pt idx="12">
                  <c:v>2.0102068198701861E-3</c:v>
                </c:pt>
                <c:pt idx="13">
                  <c:v>1.9977165090841651E-3</c:v>
                </c:pt>
                <c:pt idx="14">
                  <c:v>1.9765949840577779E-3</c:v>
                </c:pt>
                <c:pt idx="15">
                  <c:v>1.9765949840577779E-3</c:v>
                </c:pt>
                <c:pt idx="16">
                  <c:v>1.9688111908910955E-3</c:v>
                </c:pt>
                <c:pt idx="17">
                  <c:v>1.9606735892130356E-3</c:v>
                </c:pt>
                <c:pt idx="18">
                  <c:v>1.943229369304837E-3</c:v>
                </c:pt>
                <c:pt idx="19">
                  <c:v>1.9245850968196976E-3</c:v>
                </c:pt>
                <c:pt idx="20">
                  <c:v>1.9146784524226579E-3</c:v>
                </c:pt>
                <c:pt idx="21">
                  <c:v>1.9044179996763333E-3</c:v>
                </c:pt>
                <c:pt idx="22">
                  <c:v>1.8938940753587818E-3</c:v>
                </c:pt>
                <c:pt idx="23">
                  <c:v>1.8733025430843027E-3</c:v>
                </c:pt>
                <c:pt idx="24">
                  <c:v>1.8533191581382447E-3</c:v>
                </c:pt>
                <c:pt idx="25">
                  <c:v>1.8436459606641087E-3</c:v>
                </c:pt>
                <c:pt idx="26">
                  <c:v>1.8341609758332211E-3</c:v>
                </c:pt>
                <c:pt idx="27">
                  <c:v>1.8248642038076746E-3</c:v>
                </c:pt>
                <c:pt idx="28">
                  <c:v>1.8069069799879027E-3</c:v>
                </c:pt>
                <c:pt idx="29">
                  <c:v>1.7895592420569262E-3</c:v>
                </c:pt>
                <c:pt idx="30">
                  <c:v>1.7812035331665754E-3</c:v>
                </c:pt>
                <c:pt idx="31">
                  <c:v>1.7730360368384268E-3</c:v>
                </c:pt>
                <c:pt idx="32">
                  <c:v>1.7650567532345729E-3</c:v>
                </c:pt>
                <c:pt idx="33">
                  <c:v>1.7497339488218671E-3</c:v>
                </c:pt>
                <c:pt idx="34">
                  <c:v>1.7350217441169935E-3</c:v>
                </c:pt>
                <c:pt idx="35">
                  <c:v>1.7082023365566634E-3</c:v>
                </c:pt>
                <c:pt idx="36">
                  <c:v>1.7082023365566634E-3</c:v>
                </c:pt>
                <c:pt idx="37">
                  <c:v>1.6897066604282251E-3</c:v>
                </c:pt>
                <c:pt idx="38">
                  <c:v>1.6839859269224267E-3</c:v>
                </c:pt>
                <c:pt idx="39">
                  <c:v>1.6535686573482256E-3</c:v>
                </c:pt>
                <c:pt idx="40">
                  <c:v>1.6535686573482256E-3</c:v>
                </c:pt>
                <c:pt idx="41">
                  <c:v>1.6535686573482256E-3</c:v>
                </c:pt>
                <c:pt idx="42">
                  <c:v>1.6488934311575942E-3</c:v>
                </c:pt>
                <c:pt idx="43">
                  <c:v>1.6441344375572875E-3</c:v>
                </c:pt>
                <c:pt idx="44">
                  <c:v>1.6392916767093979E-3</c:v>
                </c:pt>
                <c:pt idx="45">
                  <c:v>1.6293342035160012E-3</c:v>
                </c:pt>
                <c:pt idx="46">
                  <c:v>1.6138213620542352E-3</c:v>
                </c:pt>
                <c:pt idx="47">
                  <c:v>1.6138213620542352E-3</c:v>
                </c:pt>
                <c:pt idx="48">
                  <c:v>1.6084759971535245E-3</c:v>
                </c:pt>
                <c:pt idx="49">
                  <c:v>1.6030468649241847E-3</c:v>
                </c:pt>
                <c:pt idx="50">
                  <c:v>1.5919163190284784E-3</c:v>
                </c:pt>
                <c:pt idx="51">
                  <c:v>1.5804926628826266E-3</c:v>
                </c:pt>
                <c:pt idx="52">
                  <c:v>1.5746446941722336E-3</c:v>
                </c:pt>
                <c:pt idx="53">
                  <c:v>1.5687129581332115E-3</c:v>
                </c:pt>
                <c:pt idx="54">
                  <c:v>1.5626974547655603E-3</c:v>
                </c:pt>
                <c:pt idx="55">
                  <c:v>1.5503938092061484E-3</c:v>
                </c:pt>
                <c:pt idx="56">
                  <c:v>1.5377977684949418E-3</c:v>
                </c:pt>
                <c:pt idx="57">
                  <c:v>1.53136342880833E-3</c:v>
                </c:pt>
                <c:pt idx="58">
                  <c:v>1.5248453217120428E-3</c:v>
                </c:pt>
                <c:pt idx="59">
                  <c:v>1.518243447449219E-3</c:v>
                </c:pt>
                <c:pt idx="60">
                  <c:v>1.5047666782634177E-3</c:v>
                </c:pt>
                <c:pt idx="61">
                  <c:v>1.4909982778410491E-3</c:v>
                </c:pt>
                <c:pt idx="62">
                  <c:v>1.4839775673403111E-3</c:v>
                </c:pt>
                <c:pt idx="63">
                  <c:v>1.4769577364348585E-3</c:v>
                </c:pt>
                <c:pt idx="64">
                  <c:v>1.4702773726582574E-3</c:v>
                </c:pt>
                <c:pt idx="65">
                  <c:v>1.4583361846531864E-3</c:v>
                </c:pt>
                <c:pt idx="66">
                  <c:v>1.4477970562964959E-3</c:v>
                </c:pt>
                <c:pt idx="67">
                  <c:v>1.44323726181117E-3</c:v>
                </c:pt>
                <c:pt idx="68">
                  <c:v>1.4353900143504461E-3</c:v>
                </c:pt>
                <c:pt idx="69">
                  <c:v>1.4353900143504461E-3</c:v>
                </c:pt>
                <c:pt idx="70">
                  <c:v>1.4293861909135213E-3</c:v>
                </c:pt>
                <c:pt idx="71">
                  <c:v>1.4247848847392941E-3</c:v>
                </c:pt>
                <c:pt idx="72">
                  <c:v>1.4231938867592664E-3</c:v>
                </c:pt>
                <c:pt idx="73">
                  <c:v>1.4220270025078197E-3</c:v>
                </c:pt>
                <c:pt idx="74">
                  <c:v>1.4212842319849539E-3</c:v>
                </c:pt>
                <c:pt idx="75">
                  <c:v>1.4212179373159404E-3</c:v>
                </c:pt>
                <c:pt idx="76">
                  <c:v>1.4225542873413932E-3</c:v>
                </c:pt>
                <c:pt idx="77">
                  <c:v>1.4239320856235249E-3</c:v>
                </c:pt>
                <c:pt idx="78">
                  <c:v>1.4257339975531913E-3</c:v>
                </c:pt>
                <c:pt idx="79">
                  <c:v>1.4279600232924849E-3</c:v>
                </c:pt>
                <c:pt idx="80">
                  <c:v>1.4338314197000677E-3</c:v>
                </c:pt>
                <c:pt idx="81">
                  <c:v>1.4411052638596544E-3</c:v>
                </c:pt>
                <c:pt idx="82">
                  <c:v>1.4454518584849918E-3</c:v>
                </c:pt>
                <c:pt idx="83">
                  <c:v>1.450124565189892E-3</c:v>
                </c:pt>
                <c:pt idx="84">
                  <c:v>1.4547313772161896E-3</c:v>
                </c:pt>
                <c:pt idx="85">
                  <c:v>1.4634045469819059E-3</c:v>
                </c:pt>
                <c:pt idx="86">
                  <c:v>1.4715196608294789E-3</c:v>
                </c:pt>
                <c:pt idx="87">
                  <c:v>1.4753069905693028E-3</c:v>
                </c:pt>
                <c:pt idx="88">
                  <c:v>1.4789304238194134E-3</c:v>
                </c:pt>
                <c:pt idx="89">
                  <c:v>1.482389960660857E-3</c:v>
                </c:pt>
                <c:pt idx="90">
                  <c:v>1.4887687850769402E-3</c:v>
                </c:pt>
                <c:pt idx="91">
                  <c:v>1.4945891431294989E-3</c:v>
                </c:pt>
                <c:pt idx="92">
                  <c:v>1.4972291975223762E-3</c:v>
                </c:pt>
                <c:pt idx="93">
                  <c:v>1.4997053553444939E-3</c:v>
                </c:pt>
                <c:pt idx="94">
                  <c:v>1.5020176167579447E-3</c:v>
                </c:pt>
                <c:pt idx="95">
                  <c:v>1.5061020324732186E-3</c:v>
                </c:pt>
                <c:pt idx="96">
                  <c:v>1.5096276971904299E-3</c:v>
                </c:pt>
                <c:pt idx="97">
                  <c:v>1.511120476074268E-3</c:v>
                </c:pt>
                <c:pt idx="98">
                  <c:v>1.5124493583873466E-3</c:v>
                </c:pt>
                <c:pt idx="99">
                  <c:v>1.5136143442107119E-3</c:v>
                </c:pt>
                <c:pt idx="100">
                  <c:v>1.515404285685751E-3</c:v>
                </c:pt>
                <c:pt idx="101">
                  <c:v>1.5166353222018092E-3</c:v>
                </c:pt>
                <c:pt idx="102">
                  <c:v>1.5169808254145156E-3</c:v>
                </c:pt>
                <c:pt idx="103">
                  <c:v>1.5171624320564625E-3</c:v>
                </c:pt>
                <c:pt idx="104">
                  <c:v>1.5165725789592077E-3</c:v>
                </c:pt>
                <c:pt idx="105">
                  <c:v>1.5148614282955997E-3</c:v>
                </c:pt>
                <c:pt idx="106">
                  <c:v>1.5142028585368728E-3</c:v>
                </c:pt>
                <c:pt idx="107">
                  <c:v>1.5136874916399368E-3</c:v>
                </c:pt>
                <c:pt idx="108">
                  <c:v>1.5131403730794803E-3</c:v>
                </c:pt>
                <c:pt idx="109">
                  <c:v>1.5130580514544079E-3</c:v>
                </c:pt>
                <c:pt idx="110">
                  <c:v>1.5132586982991025E-3</c:v>
                </c:pt>
                <c:pt idx="111">
                  <c:v>1.5136025479245419E-3</c:v>
                </c:pt>
                <c:pt idx="112">
                  <c:v>1.5140896002496795E-3</c:v>
                </c:pt>
                <c:pt idx="113">
                  <c:v>1.5155473403679252E-3</c:v>
                </c:pt>
                <c:pt idx="114">
                  <c:v>1.517469837438723E-3</c:v>
                </c:pt>
                <c:pt idx="115">
                  <c:v>1.5186729035865376E-3</c:v>
                </c:pt>
                <c:pt idx="116">
                  <c:v>1.5200191725961432E-3</c:v>
                </c:pt>
                <c:pt idx="117">
                  <c:v>1.5215086443054471E-3</c:v>
                </c:pt>
                <c:pt idx="118">
                  <c:v>1.5249713016178095E-3</c:v>
                </c:pt>
                <c:pt idx="119">
                  <c:v>1.5288985589501092E-3</c:v>
                </c:pt>
                <c:pt idx="120">
                  <c:v>1.5311040445631363E-3</c:v>
                </c:pt>
                <c:pt idx="121">
                  <c:v>1.5359446240503782E-3</c:v>
                </c:pt>
                <c:pt idx="122">
                  <c:v>1.5359446240503782E-3</c:v>
                </c:pt>
                <c:pt idx="123">
                  <c:v>1.5429001489261629E-3</c:v>
                </c:pt>
                <c:pt idx="124">
                  <c:v>1.5573888530251434E-3</c:v>
                </c:pt>
                <c:pt idx="125">
                  <c:v>1.5573888530251434E-3</c:v>
                </c:pt>
                <c:pt idx="126">
                  <c:v>1.5573888530251434E-3</c:v>
                </c:pt>
                <c:pt idx="127">
                  <c:v>1.5648414074757404E-3</c:v>
                </c:pt>
                <c:pt idx="128">
                  <c:v>1.5727487423788933E-3</c:v>
                </c:pt>
                <c:pt idx="129">
                  <c:v>1.576939863168203E-3</c:v>
                </c:pt>
                <c:pt idx="130">
                  <c:v>1.5812714434026987E-3</c:v>
                </c:pt>
                <c:pt idx="131">
                  <c:v>1.5857434830013339E-3</c:v>
                </c:pt>
                <c:pt idx="132">
                  <c:v>1.5951627315990982E-3</c:v>
                </c:pt>
                <c:pt idx="133">
                  <c:v>1.6050362356856418E-3</c:v>
                </c:pt>
                <c:pt idx="134">
                  <c:v>1.6102105724291604E-3</c:v>
                </c:pt>
                <c:pt idx="135">
                  <c:v>1.615525368617865E-3</c:v>
                </c:pt>
                <c:pt idx="136">
                  <c:v>1.6209806241707092E-3</c:v>
                </c:pt>
                <c:pt idx="137">
                  <c:v>1.6353320506609648E-3</c:v>
                </c:pt>
                <c:pt idx="138">
                  <c:v>1.6503637941800431E-3</c:v>
                </c:pt>
                <c:pt idx="139">
                  <c:v>1.6566618066471417E-3</c:v>
                </c:pt>
                <c:pt idx="140">
                  <c:v>1.6631002784783799E-3</c:v>
                </c:pt>
                <c:pt idx="141">
                  <c:v>1.6764531205796611E-3</c:v>
                </c:pt>
                <c:pt idx="142">
                  <c:v>1.6902587612277475E-3</c:v>
                </c:pt>
                <c:pt idx="143">
                  <c:v>1.6973995307711931E-3</c:v>
                </c:pt>
                <c:pt idx="144">
                  <c:v>1.7046807597598246E-3</c:v>
                </c:pt>
                <c:pt idx="145">
                  <c:v>1.712014925261407E-3</c:v>
                </c:pt>
                <c:pt idx="146">
                  <c:v>1.7255841963226273E-3</c:v>
                </c:pt>
                <c:pt idx="147">
                  <c:v>1.7378548877888811E-3</c:v>
                </c:pt>
                <c:pt idx="148">
                  <c:v>1.7433531802946156E-3</c:v>
                </c:pt>
                <c:pt idx="149">
                  <c:v>1.7484667935985243E-3</c:v>
                </c:pt>
                <c:pt idx="150">
                  <c:v>1.7531957277006072E-3</c:v>
                </c:pt>
                <c:pt idx="151">
                  <c:v>1.761379831276185E-3</c:v>
                </c:pt>
                <c:pt idx="152">
                  <c:v>1.7682646707939398E-3</c:v>
                </c:pt>
                <c:pt idx="153">
                  <c:v>1.7710702084006158E-3</c:v>
                </c:pt>
                <c:pt idx="154">
                  <c:v>1.7734910664002346E-3</c:v>
                </c:pt>
                <c:pt idx="155">
                  <c:v>1.7755272452790738E-3</c:v>
                </c:pt>
                <c:pt idx="156">
                  <c:v>1.7783260024188212E-3</c:v>
                </c:pt>
                <c:pt idx="157">
                  <c:v>1.7798251667500153E-3</c:v>
                </c:pt>
                <c:pt idx="158">
                  <c:v>1.77993794864717E-3</c:v>
                </c:pt>
                <c:pt idx="159">
                  <c:v>1.7796660512614526E-3</c:v>
                </c:pt>
                <c:pt idx="160">
                  <c:v>1.7790094745118168E-3</c:v>
                </c:pt>
                <c:pt idx="161">
                  <c:v>1.7764227019160621E-3</c:v>
                </c:pt>
                <c:pt idx="162">
                  <c:v>1.7725363736309507E-3</c:v>
                </c:pt>
                <c:pt idx="163">
                  <c:v>1.7699563999806767E-3</c:v>
                </c:pt>
                <c:pt idx="164">
                  <c:v>1.7669917470475305E-3</c:v>
                </c:pt>
                <c:pt idx="165">
                  <c:v>1.7636424147504659E-3</c:v>
                </c:pt>
                <c:pt idx="166">
                  <c:v>1.7556699306324013E-3</c:v>
                </c:pt>
                <c:pt idx="167">
                  <c:v>1.7463394025607482E-3</c:v>
                </c:pt>
                <c:pt idx="168">
                  <c:v>1.7407133337044023E-3</c:v>
                </c:pt>
                <c:pt idx="169">
                  <c:v>1.7343492455823561E-3</c:v>
                </c:pt>
                <c:pt idx="170">
                  <c:v>1.7272471380325172E-3</c:v>
                </c:pt>
                <c:pt idx="171">
                  <c:v>1.7105908757038732E-3</c:v>
                </c:pt>
                <c:pt idx="172">
                  <c:v>1.6914585162297602E-3</c:v>
                </c:pt>
                <c:pt idx="173">
                  <c:v>1.6806663130808364E-3</c:v>
                </c:pt>
                <c:pt idx="174">
                  <c:v>1.6691360909093511E-3</c:v>
                </c:pt>
                <c:pt idx="175">
                  <c:v>1.6568678497963507E-3</c:v>
                </c:pt>
                <c:pt idx="176">
                  <c:v>1.629878583036352E-3</c:v>
                </c:pt>
                <c:pt idx="177">
                  <c:v>1.5844563639988429E-3</c:v>
                </c:pt>
                <c:pt idx="178">
                  <c:v>1.5844563639988429E-3</c:v>
                </c:pt>
                <c:pt idx="179">
                  <c:v>1.5677600113439549E-3</c:v>
                </c:pt>
                <c:pt idx="180">
                  <c:v>1.5503256403148757E-3</c:v>
                </c:pt>
                <c:pt idx="181">
                  <c:v>1.5130031093431771E-3</c:v>
                </c:pt>
                <c:pt idx="182">
                  <c:v>1.4732079758605909E-3</c:v>
                </c:pt>
                <c:pt idx="183">
                  <c:v>1.4520835151488054E-3</c:v>
                </c:pt>
                <c:pt idx="184">
                  <c:v>1.4302210368732915E-3</c:v>
                </c:pt>
                <c:pt idx="185">
                  <c:v>1.4076205411150955E-3</c:v>
                </c:pt>
                <c:pt idx="186">
                  <c:v>1.3599645588228497E-3</c:v>
                </c:pt>
                <c:pt idx="187">
                  <c:v>1.3098383866594343E-3</c:v>
                </c:pt>
                <c:pt idx="188">
                  <c:v>1.2839407127773761E-3</c:v>
                </c:pt>
                <c:pt idx="189">
                  <c:v>1.2592695567570367E-3</c:v>
                </c:pt>
                <c:pt idx="190">
                  <c:v>1.2362178252944833E-3</c:v>
                </c:pt>
                <c:pt idx="191">
                  <c:v>1.1955163579805788E-3</c:v>
                </c:pt>
                <c:pt idx="192">
                  <c:v>1.1602051387005208E-3</c:v>
                </c:pt>
                <c:pt idx="193">
                  <c:v>1.1452505255693524E-3</c:v>
                </c:pt>
                <c:pt idx="194">
                  <c:v>1.1319153354560907E-3</c:v>
                </c:pt>
                <c:pt idx="195">
                  <c:v>1.1201995681986432E-3</c:v>
                </c:pt>
                <c:pt idx="196">
                  <c:v>1.1021694369817148E-3</c:v>
                </c:pt>
                <c:pt idx="197">
                  <c:v>1.0895307243230512E-3</c:v>
                </c:pt>
                <c:pt idx="198">
                  <c:v>1.0859120692374713E-3</c:v>
                </c:pt>
                <c:pt idx="199">
                  <c:v>1.083912836278289E-3</c:v>
                </c:pt>
                <c:pt idx="200">
                  <c:v>1.0835330255265507E-3</c:v>
                </c:pt>
                <c:pt idx="201">
                  <c:v>1.0881747221143843E-3</c:v>
                </c:pt>
                <c:pt idx="202">
                  <c:v>1.0982080045129905E-3</c:v>
                </c:pt>
                <c:pt idx="203">
                  <c:v>1.1059253049605644E-3</c:v>
                </c:pt>
                <c:pt idx="204">
                  <c:v>1.1152620279397674E-3</c:v>
                </c:pt>
                <c:pt idx="205">
                  <c:v>1.1262181735316457E-3</c:v>
                </c:pt>
                <c:pt idx="206">
                  <c:v>1.1617111974024374E-3</c:v>
                </c:pt>
                <c:pt idx="207">
                  <c:v>1.2052902459491754E-3</c:v>
                </c:pt>
                <c:pt idx="208">
                  <c:v>1.2259629308641884E-3</c:v>
                </c:pt>
                <c:pt idx="209">
                  <c:v>1.2482550398507097E-3</c:v>
                </c:pt>
                <c:pt idx="210">
                  <c:v>1.2945080978388204E-3</c:v>
                </c:pt>
                <c:pt idx="211">
                  <c:v>1.3382675216710993E-3</c:v>
                </c:pt>
                <c:pt idx="212">
                  <c:v>1.3586998670822581E-3</c:v>
                </c:pt>
                <c:pt idx="213">
                  <c:v>1.378262414973852E-3</c:v>
                </c:pt>
                <c:pt idx="214">
                  <c:v>1.3969551654269274E-3</c:v>
                </c:pt>
                <c:pt idx="215">
                  <c:v>1.4314469540199772E-3</c:v>
                </c:pt>
                <c:pt idx="216">
                  <c:v>1.4630281892069608E-3</c:v>
                </c:pt>
                <c:pt idx="217">
                  <c:v>1.4773719501981475E-3</c:v>
                </c:pt>
                <c:pt idx="218">
                  <c:v>1.4908459128593066E-3</c:v>
                </c:pt>
                <c:pt idx="219">
                  <c:v>1.5034500772714843E-3</c:v>
                </c:pt>
                <c:pt idx="220">
                  <c:v>1.5257654556447935E-3</c:v>
                </c:pt>
                <c:pt idx="221">
                  <c:v>1.5673248679459739E-3</c:v>
                </c:pt>
                <c:pt idx="222">
                  <c:v>1.5673248679459739E-3</c:v>
                </c:pt>
                <c:pt idx="223">
                  <c:v>1.5673248679459739E-3</c:v>
                </c:pt>
                <c:pt idx="224">
                  <c:v>1.5673248679459739E-3</c:v>
                </c:pt>
                <c:pt idx="225">
                  <c:v>1.5774635035936682E-3</c:v>
                </c:pt>
                <c:pt idx="226">
                  <c:v>1.5846891745463498E-3</c:v>
                </c:pt>
                <c:pt idx="227">
                  <c:v>1.5868557537301875E-3</c:v>
                </c:pt>
                <c:pt idx="228">
                  <c:v>1.5881525339356273E-3</c:v>
                </c:pt>
                <c:pt idx="229">
                  <c:v>1.5885795151626692E-3</c:v>
                </c:pt>
                <c:pt idx="230">
                  <c:v>1.5865410435655927E-3</c:v>
                </c:pt>
                <c:pt idx="231">
                  <c:v>1.5815894496384875E-3</c:v>
                </c:pt>
                <c:pt idx="232">
                  <c:v>1.5776674358114473E-3</c:v>
                </c:pt>
                <c:pt idx="233">
                  <c:v>1.5730462390428634E-3</c:v>
                </c:pt>
                <c:pt idx="234">
                  <c:v>1.568408323561199E-3</c:v>
                </c:pt>
                <c:pt idx="235">
                  <c:v>1.5596521480047236E-3</c:v>
                </c:pt>
                <c:pt idx="236">
                  <c:v>1.5475272057663414E-3</c:v>
                </c:pt>
                <c:pt idx="237">
                  <c:v>1.5475272057663414E-3</c:v>
                </c:pt>
                <c:pt idx="238">
                  <c:v>1.5438126739841795E-3</c:v>
                </c:pt>
                <c:pt idx="239">
                  <c:v>1.5402520396068375E-3</c:v>
                </c:pt>
                <c:pt idx="240">
                  <c:v>1.5336502057050618E-3</c:v>
                </c:pt>
                <c:pt idx="241">
                  <c:v>1.5275484746868351E-3</c:v>
                </c:pt>
                <c:pt idx="242">
                  <c:v>1.5247573266041758E-3</c:v>
                </c:pt>
                <c:pt idx="243">
                  <c:v>1.5221200757642439E-3</c:v>
                </c:pt>
                <c:pt idx="244">
                  <c:v>1.5196367221670393E-3</c:v>
                </c:pt>
                <c:pt idx="245">
                  <c:v>1.5151892956755122E-3</c:v>
                </c:pt>
                <c:pt idx="246">
                  <c:v>1.5112422803675862E-3</c:v>
                </c:pt>
                <c:pt idx="247">
                  <c:v>1.5095284129840181E-3</c:v>
                </c:pt>
                <c:pt idx="248">
                  <c:v>1.5079684428431772E-3</c:v>
                </c:pt>
                <c:pt idx="249">
                  <c:v>1.5065623699450637E-3</c:v>
                </c:pt>
                <c:pt idx="250">
                  <c:v>1.5042694144581001E-3</c:v>
                </c:pt>
                <c:pt idx="251">
                  <c:v>1.5024770506988361E-3</c:v>
                </c:pt>
                <c:pt idx="252">
                  <c:v>1.5013577744915629E-3</c:v>
                </c:pt>
                <c:pt idx="253">
                  <c:v>1.5013577744915629E-3</c:v>
                </c:pt>
                <c:pt idx="254">
                  <c:v>1.5010039736795822E-3</c:v>
                </c:pt>
                <c:pt idx="255">
                  <c:v>1.5003653763989713E-3</c:v>
                </c:pt>
                <c:pt idx="256">
                  <c:v>1.4997272643424431E-3</c:v>
                </c:pt>
                <c:pt idx="257">
                  <c:v>1.4994177019134192E-3</c:v>
                </c:pt>
                <c:pt idx="258">
                  <c:v>1.4991119854546042E-3</c:v>
                </c:pt>
                <c:pt idx="259">
                  <c:v>1.4988101150470445E-3</c:v>
                </c:pt>
                <c:pt idx="260">
                  <c:v>1.4982253438703779E-3</c:v>
                </c:pt>
                <c:pt idx="261">
                  <c:v>1.4976410930378492E-3</c:v>
                </c:pt>
                <c:pt idx="262">
                  <c:v>1.4973584524813344E-3</c:v>
                </c:pt>
                <c:pt idx="263">
                  <c:v>1.4970796578950285E-3</c:v>
                </c:pt>
                <c:pt idx="264">
                  <c:v>1.4968047092789316E-3</c:v>
                </c:pt>
                <c:pt idx="265">
                  <c:v>1.4962737657460887E-3</c:v>
                </c:pt>
                <c:pt idx="266">
                  <c:v>1.4954876559136743E-3</c:v>
                </c:pt>
                <c:pt idx="267">
                  <c:v>1.4954876559136743E-3</c:v>
                </c:pt>
                <c:pt idx="268">
                  <c:v>1.4952357831998775E-3</c:v>
                </c:pt>
                <c:pt idx="269">
                  <c:v>1.4949877563752434E-3</c:v>
                </c:pt>
                <c:pt idx="270">
                  <c:v>1.4945106420801344E-3</c:v>
                </c:pt>
                <c:pt idx="271">
                  <c:v>1.4940341091029818E-3</c:v>
                </c:pt>
                <c:pt idx="272">
                  <c:v>1.4938053122104389E-3</c:v>
                </c:pt>
                <c:pt idx="273">
                  <c:v>1.4935803612881049E-3</c:v>
                </c:pt>
                <c:pt idx="274">
                  <c:v>1.4933592563359799E-3</c:v>
                </c:pt>
                <c:pt idx="275">
                  <c:v>1.4929359728184841E-3</c:v>
                </c:pt>
                <c:pt idx="276">
                  <c:v>1.4925132963916621E-3</c:v>
                </c:pt>
                <c:pt idx="277">
                  <c:v>1.4923114213716282E-3</c:v>
                </c:pt>
                <c:pt idx="278">
                  <c:v>1.492113392240757E-3</c:v>
                </c:pt>
                <c:pt idx="279">
                  <c:v>1.4919192091611411E-3</c:v>
                </c:pt>
                <c:pt idx="280">
                  <c:v>1.4915497579881534E-3</c:v>
                </c:pt>
                <c:pt idx="281">
                  <c:v>1.491180936544767E-3</c:v>
                </c:pt>
                <c:pt idx="282">
                  <c:v>1.4910059833161959E-3</c:v>
                </c:pt>
                <c:pt idx="283">
                  <c:v>1.4908348760578338E-3</c:v>
                </c:pt>
                <c:pt idx="284">
                  <c:v>1.490667614850727E-3</c:v>
                </c:pt>
                <c:pt idx="285">
                  <c:v>1.4903519975351112E-3</c:v>
                </c:pt>
                <c:pt idx="286">
                  <c:v>1.4900370295622967E-3</c:v>
                </c:pt>
                <c:pt idx="287">
                  <c:v>1.4898889982062347E-3</c:v>
                </c:pt>
                <c:pt idx="288">
                  <c:v>1.4893513326084129E-3</c:v>
                </c:pt>
                <c:pt idx="289">
                  <c:v>1.4893513326084129E-3</c:v>
                </c:pt>
                <c:pt idx="290">
                  <c:v>1.4889604659606981E-3</c:v>
                </c:pt>
                <c:pt idx="291">
                  <c:v>1.4888432023663078E-3</c:v>
                </c:pt>
                <c:pt idx="292">
                  <c:v>1.4883145741906301E-3</c:v>
                </c:pt>
                <c:pt idx="293">
                  <c:v>1.4883145741906301E-3</c:v>
                </c:pt>
                <c:pt idx="294">
                  <c:v>1.4882203864174937E-3</c:v>
                </c:pt>
                <c:pt idx="295">
                  <c:v>1.4881300446956125E-3</c:v>
                </c:pt>
                <c:pt idx="296">
                  <c:v>1.4880435490249866E-3</c:v>
                </c:pt>
                <c:pt idx="297">
                  <c:v>1.4878894426018088E-3</c:v>
                </c:pt>
                <c:pt idx="298">
                  <c:v>1.4876687598197602E-3</c:v>
                </c:pt>
                <c:pt idx="299">
                  <c:v>1.4876687598197602E-3</c:v>
                </c:pt>
                <c:pt idx="300">
                  <c:v>1.4876053399703881E-3</c:v>
                </c:pt>
                <c:pt idx="301">
                  <c:v>1.487545766091225E-3</c:v>
                </c:pt>
                <c:pt idx="302">
                  <c:v>1.4874454997389672E-3</c:v>
                </c:pt>
                <c:pt idx="303">
                  <c:v>1.4873459301145697E-3</c:v>
                </c:pt>
                <c:pt idx="304">
                  <c:v>1.4873055861674978E-3</c:v>
                </c:pt>
                <c:pt idx="305">
                  <c:v>1.4872690880285422E-3</c:v>
                </c:pt>
                <c:pt idx="306">
                  <c:v>1.4872364360218882E-3</c:v>
                </c:pt>
                <c:pt idx="307">
                  <c:v>1.4871900112534144E-3</c:v>
                </c:pt>
                <c:pt idx="308">
                  <c:v>1.4871442874542229E-3</c:v>
                </c:pt>
                <c:pt idx="309">
                  <c:v>1.4871308652175674E-3</c:v>
                </c:pt>
                <c:pt idx="310">
                  <c:v>1.4871212890321672E-3</c:v>
                </c:pt>
                <c:pt idx="311">
                  <c:v>1.4871155587359297E-3</c:v>
                </c:pt>
                <c:pt idx="312">
                  <c:v>1.4871229771451502E-3</c:v>
                </c:pt>
                <c:pt idx="313">
                  <c:v>1.4871310975772545E-3</c:v>
                </c:pt>
                <c:pt idx="314">
                  <c:v>1.4871445972131081E-3</c:v>
                </c:pt>
                <c:pt idx="315">
                  <c:v>1.4871619428191707E-3</c:v>
                </c:pt>
                <c:pt idx="316">
                  <c:v>1.4871831343954423E-3</c:v>
                </c:pt>
                <c:pt idx="317">
                  <c:v>1.48724439744119E-3</c:v>
                </c:pt>
                <c:pt idx="318">
                  <c:v>1.4873063604836645E-3</c:v>
                </c:pt>
                <c:pt idx="319">
                  <c:v>1.4873467819920272E-3</c:v>
                </c:pt>
                <c:pt idx="320">
                  <c:v>1.4873910494705989E-3</c:v>
                </c:pt>
                <c:pt idx="321">
                  <c:v>1.4875542721145183E-3</c:v>
                </c:pt>
                <c:pt idx="322">
                  <c:v>1.4875542721145183E-3</c:v>
                </c:pt>
                <c:pt idx="323">
                  <c:v>1.4876700763355455E-3</c:v>
                </c:pt>
                <c:pt idx="324">
                  <c:v>1.487737419635371E-3</c:v>
                </c:pt>
                <c:pt idx="325">
                  <c:v>1.4878086089054054E-3</c:v>
                </c:pt>
                <c:pt idx="326">
                  <c:v>1.4878836441456489E-3</c:v>
                </c:pt>
                <c:pt idx="327">
                  <c:v>1.4880526011651354E-3</c:v>
                </c:pt>
                <c:pt idx="328">
                  <c:v>1.4882222450518512E-3</c:v>
                </c:pt>
                <c:pt idx="329">
                  <c:v>1.4883165101431395E-3</c:v>
                </c:pt>
                <c:pt idx="330">
                  <c:v>1.4884146212046367E-3</c:v>
                </c:pt>
                <c:pt idx="331">
                  <c:v>1.4885165783984355E-3</c:v>
                </c:pt>
                <c:pt idx="332">
                  <c:v>1.4887393846200563E-3</c:v>
                </c:pt>
                <c:pt idx="333">
                  <c:v>1.488962866470489E-3</c:v>
                </c:pt>
                <c:pt idx="334">
                  <c:v>1.4890840535153327E-3</c:v>
                </c:pt>
                <c:pt idx="335">
                  <c:v>1.489209086449339E-3</c:v>
                </c:pt>
                <c:pt idx="336">
                  <c:v>1.4893379653535543E-3</c:v>
                </c:pt>
                <c:pt idx="337">
                  <c:v>1.4896146224522659E-3</c:v>
                </c:pt>
                <c:pt idx="338">
                  <c:v>1.4898919409156441E-3</c:v>
                </c:pt>
                <c:pt idx="339">
                  <c:v>1.4900400496709043E-3</c:v>
                </c:pt>
                <c:pt idx="340">
                  <c:v>1.4901920044774197E-3</c:v>
                </c:pt>
                <c:pt idx="341">
                  <c:v>1.4903478052541441E-3</c:v>
                </c:pt>
                <c:pt idx="342">
                  <c:v>1.4906783146887796E-3</c:v>
                </c:pt>
                <c:pt idx="343">
                  <c:v>1.4910094680631314E-3</c:v>
                </c:pt>
                <c:pt idx="344">
                  <c:v>1.4911844987719469E-3</c:v>
                </c:pt>
                <c:pt idx="345">
                  <c:v>1.4913633753699251E-3</c:v>
                </c:pt>
                <c:pt idx="346">
                  <c:v>1.4915460979381123E-3</c:v>
                </c:pt>
                <c:pt idx="347">
                  <c:v>1.4919304613025821E-3</c:v>
                </c:pt>
                <c:pt idx="348">
                  <c:v>1.492517400656368E-3</c:v>
                </c:pt>
                <c:pt idx="349">
                  <c:v>1.492517400656368E-3</c:v>
                </c:pt>
                <c:pt idx="350">
                  <c:v>1.4927231991268552E-3</c:v>
                </c:pt>
                <c:pt idx="351">
                  <c:v>1.4933797363907431E-3</c:v>
                </c:pt>
                <c:pt idx="352">
                  <c:v>1.4940387554052137E-3</c:v>
                </c:pt>
                <c:pt idx="353">
                  <c:v>1.4942714756671638E-3</c:v>
                </c:pt>
                <c:pt idx="354">
                  <c:v>1.4945080420614154E-3</c:v>
                </c:pt>
                <c:pt idx="355">
                  <c:v>1.4950001177971297E-3</c:v>
                </c:pt>
                <c:pt idx="356">
                  <c:v>1.4954927668542339E-3</c:v>
                </c:pt>
                <c:pt idx="357">
                  <c:v>1.4957485630184841E-3</c:v>
                </c:pt>
                <c:pt idx="358">
                  <c:v>1.4960082051529433E-3</c:v>
                </c:pt>
                <c:pt idx="359">
                  <c:v>1.4962716933386577E-3</c:v>
                </c:pt>
                <c:pt idx="360">
                  <c:v>1.4968176276778748E-3</c:v>
                </c:pt>
                <c:pt idx="361">
                  <c:v>1.4973641055404663E-3</c:v>
                </c:pt>
                <c:pt idx="362">
                  <c:v>1.4976468235772256E-3</c:v>
                </c:pt>
                <c:pt idx="363">
                  <c:v>1.4979333875031475E-3</c:v>
                </c:pt>
                <c:pt idx="364">
                  <c:v>1.4982237974803247E-3</c:v>
                </c:pt>
                <c:pt idx="365">
                  <c:v>1.4988235919629242E-3</c:v>
                </c:pt>
                <c:pt idx="366">
                  <c:v>1.4994238970911233E-3</c:v>
                </c:pt>
                <c:pt idx="367">
                  <c:v>1.4997335369193454E-3</c:v>
                </c:pt>
                <c:pt idx="368">
                  <c:v>1.5000470227177765E-3</c:v>
                </c:pt>
                <c:pt idx="369">
                  <c:v>1.5003643544864165E-3</c:v>
                </c:pt>
                <c:pt idx="370">
                  <c:v>1.5010180107063085E-3</c:v>
                </c:pt>
                <c:pt idx="371">
                  <c:v>1.5016721414251588E-3</c:v>
                </c:pt>
                <c:pt idx="372">
                  <c:v>1.50200870312589E-3</c:v>
                </c:pt>
                <c:pt idx="373">
                  <c:v>1.5023491107157838E-3</c:v>
                </c:pt>
                <c:pt idx="374">
                  <c:v>1.5026933644379792E-3</c:v>
                </c:pt>
                <c:pt idx="375">
                  <c:v>1.5059598244545245E-3</c:v>
                </c:pt>
                <c:pt idx="376">
                  <c:v>1.5059598244545245E-3</c:v>
                </c:pt>
                <c:pt idx="377">
                  <c:v>1.5059598244545245E-3</c:v>
                </c:pt>
                <c:pt idx="378">
                  <c:v>1.5059598244545245E-3</c:v>
                </c:pt>
                <c:pt idx="379">
                  <c:v>1.5059598244545245E-3</c:v>
                </c:pt>
                <c:pt idx="380">
                  <c:v>1.5067050857997533E-3</c:v>
                </c:pt>
                <c:pt idx="381">
                  <c:v>1.5070840569930688E-3</c:v>
                </c:pt>
                <c:pt idx="382">
                  <c:v>1.5074649685153929E-3</c:v>
                </c:pt>
                <c:pt idx="383">
                  <c:v>1.5078478202856793E-3</c:v>
                </c:pt>
                <c:pt idx="384">
                  <c:v>1.5086262268852273E-3</c:v>
                </c:pt>
                <c:pt idx="385">
                  <c:v>1.5093986302516793E-3</c:v>
                </c:pt>
                <c:pt idx="386">
                  <c:v>1.5097911834238698E-3</c:v>
                </c:pt>
                <c:pt idx="387">
                  <c:v>1.5101856769250688E-3</c:v>
                </c:pt>
                <c:pt idx="388">
                  <c:v>1.5105821106742301E-3</c:v>
                </c:pt>
                <c:pt idx="389">
                  <c:v>1.5113877041135946E-3</c:v>
                </c:pt>
                <c:pt idx="390">
                  <c:v>1.512187248636776E-3</c:v>
                </c:pt>
                <c:pt idx="391">
                  <c:v>1.5125933837878414E-3</c:v>
                </c:pt>
                <c:pt idx="392">
                  <c:v>1.5130014593489616E-3</c:v>
                </c:pt>
                <c:pt idx="393">
                  <c:v>1.5134114750769978E-3</c:v>
                </c:pt>
                <c:pt idx="394">
                  <c:v>1.5144556414611876E-3</c:v>
                </c:pt>
                <c:pt idx="395">
                  <c:v>1.5154906581660299E-3</c:v>
                </c:pt>
                <c:pt idx="396">
                  <c:v>1.515912315706025E-3</c:v>
                </c:pt>
                <c:pt idx="397">
                  <c:v>1.5163359134129362E-3</c:v>
                </c:pt>
                <c:pt idx="398">
                  <c:v>1.5171958830443681E-3</c:v>
                </c:pt>
                <c:pt idx="399">
                  <c:v>1.5180497072875276E-3</c:v>
                </c:pt>
                <c:pt idx="400">
                  <c:v>1.5184830064773891E-3</c:v>
                </c:pt>
                <c:pt idx="401">
                  <c:v>1.5189182459962591E-3</c:v>
                </c:pt>
                <c:pt idx="402">
                  <c:v>1.5193554257630915E-3</c:v>
                </c:pt>
                <c:pt idx="403">
                  <c:v>1.5202425847197591E-3</c:v>
                </c:pt>
                <c:pt idx="404">
                  <c:v>1.5211235476342289E-3</c:v>
                </c:pt>
                <c:pt idx="405">
                  <c:v>1.5215704288029652E-3</c:v>
                </c:pt>
                <c:pt idx="406">
                  <c:v>1.5220192503007102E-3</c:v>
                </c:pt>
                <c:pt idx="407">
                  <c:v>1.5224700120464174E-3</c:v>
                </c:pt>
                <c:pt idx="408">
                  <c:v>1.5233843612468454E-3</c:v>
                </c:pt>
                <c:pt idx="409">
                  <c:v>1.5242924619141007E-3</c:v>
                </c:pt>
                <c:pt idx="410">
                  <c:v>1.5247529251427583E-3</c:v>
                </c:pt>
                <c:pt idx="411">
                  <c:v>1.5252153286193781E-3</c:v>
                </c:pt>
                <c:pt idx="412">
                  <c:v>1.5256796724250066E-3</c:v>
                </c:pt>
                <c:pt idx="413">
                  <c:v>1.5266212125715959E-3</c:v>
                </c:pt>
                <c:pt idx="414">
                  <c:v>1.5275564502892358E-3</c:v>
                </c:pt>
                <c:pt idx="415">
                  <c:v>1.528030495415722E-3</c:v>
                </c:pt>
                <c:pt idx="416">
                  <c:v>1.5285064808712168E-3</c:v>
                </c:pt>
                <c:pt idx="417">
                  <c:v>1.5289844066557201E-3</c:v>
                </c:pt>
                <c:pt idx="418">
                  <c:v>1.5299531387750569E-3</c:v>
                </c:pt>
                <c:pt idx="419">
                  <c:v>1.5309155125164953E-3</c:v>
                </c:pt>
                <c:pt idx="420">
                  <c:v>1.5314031397029026E-3</c:v>
                </c:pt>
                <c:pt idx="421">
                  <c:v>1.5318927072183186E-3</c:v>
                </c:pt>
                <c:pt idx="422">
                  <c:v>1.5323842149006506E-3</c:v>
                </c:pt>
                <c:pt idx="423">
                  <c:v>1.5333801398031979E-3</c:v>
                </c:pt>
                <c:pt idx="424">
                  <c:v>1.5343696488390179E-3</c:v>
                </c:pt>
                <c:pt idx="425">
                  <c:v>1.5348708580043002E-3</c:v>
                </c:pt>
                <c:pt idx="426">
                  <c:v>1.5353740074985911E-3</c:v>
                </c:pt>
                <c:pt idx="427">
                  <c:v>1.5358790972408443E-3</c:v>
                </c:pt>
                <c:pt idx="428">
                  <c:v>1.5369022157370646E-3</c:v>
                </c:pt>
                <c:pt idx="429">
                  <c:v>1.5384336502388685E-3</c:v>
                </c:pt>
                <c:pt idx="430">
                  <c:v>1.5384336502388685E-3</c:v>
                </c:pt>
                <c:pt idx="431">
                  <c:v>1.5389503817930805E-3</c:v>
                </c:pt>
                <c:pt idx="432">
                  <c:v>1.5394690535142086E-3</c:v>
                </c:pt>
                <c:pt idx="433">
                  <c:v>1.5405193664956112E-3</c:v>
                </c:pt>
                <c:pt idx="434">
                  <c:v>1.5415631433646215E-3</c:v>
                </c:pt>
                <c:pt idx="435">
                  <c:v>1.5420915165686999E-3</c:v>
                </c:pt>
                <c:pt idx="436">
                  <c:v>1.5426218300207406E-3</c:v>
                </c:pt>
                <c:pt idx="437">
                  <c:v>1.5431540837207436E-3</c:v>
                </c:pt>
                <c:pt idx="438">
                  <c:v>1.5442315921598839E-3</c:v>
                </c:pt>
                <c:pt idx="439">
                  <c:v>1.5453025016487487E-3</c:v>
                </c:pt>
                <c:pt idx="440">
                  <c:v>1.545844456831702E-3</c:v>
                </c:pt>
                <c:pt idx="441">
                  <c:v>1.5463883522626176E-3</c:v>
                </c:pt>
                <c:pt idx="442">
                  <c:v>1.5469341881035881E-3</c:v>
                </c:pt>
                <c:pt idx="443">
                  <c:v>1.5480388926488362E-3</c:v>
                </c:pt>
                <c:pt idx="444">
                  <c:v>1.5491369339470928E-3</c:v>
                </c:pt>
                <c:pt idx="445">
                  <c:v>1.5496924711089211E-3</c:v>
                </c:pt>
                <c:pt idx="446">
                  <c:v>1.5502499485997578E-3</c:v>
                </c:pt>
                <c:pt idx="447">
                  <c:v>1.5508093663385569E-3</c:v>
                </c:pt>
                <c:pt idx="448">
                  <c:v>1.5519412680975455E-3</c:v>
                </c:pt>
                <c:pt idx="449">
                  <c:v>1.5530664401786076E-3</c:v>
                </c:pt>
                <c:pt idx="450">
                  <c:v>1.553635559400357E-3</c:v>
                </c:pt>
                <c:pt idx="451">
                  <c:v>1.5542066188700687E-3</c:v>
                </c:pt>
                <c:pt idx="452">
                  <c:v>1.554779618668789E-3</c:v>
                </c:pt>
                <c:pt idx="453">
                  <c:v>1.5559387183979498E-3</c:v>
                </c:pt>
                <c:pt idx="454">
                  <c:v>1.5570910205053856E-3</c:v>
                </c:pt>
                <c:pt idx="455">
                  <c:v>1.5576737216249636E-3</c:v>
                </c:pt>
                <c:pt idx="456">
                  <c:v>1.5582583631545965E-3</c:v>
                </c:pt>
                <c:pt idx="457">
                  <c:v>1.5588449449321917E-3</c:v>
                </c:pt>
                <c:pt idx="458">
                  <c:v>1.5603311059617098E-3</c:v>
                </c:pt>
                <c:pt idx="459">
                  <c:v>1.5618069579448335E-3</c:v>
                </c:pt>
                <c:pt idx="460">
                  <c:v>1.5624051814533413E-3</c:v>
                </c:pt>
                <c:pt idx="461">
                  <c:v>1.5630053452098114E-3</c:v>
                </c:pt>
                <c:pt idx="462">
                  <c:v>1.5642188437969831E-3</c:v>
                </c:pt>
                <c:pt idx="463">
                  <c:v>1.5654254031205461E-3</c:v>
                </c:pt>
                <c:pt idx="464">
                  <c:v>1.5660352682789203E-3</c:v>
                </c:pt>
                <c:pt idx="465">
                  <c:v>1.566647073766303E-3</c:v>
                </c:pt>
                <c:pt idx="466">
                  <c:v>1.567260819501648E-3</c:v>
                </c:pt>
                <c:pt idx="467">
                  <c:v>1.5685015188956117E-3</c:v>
                </c:pt>
                <c:pt idx="468">
                  <c:v>1.5697352054089286E-3</c:v>
                </c:pt>
                <c:pt idx="469">
                  <c:v>1.570358652627224E-3</c:v>
                </c:pt>
                <c:pt idx="470">
                  <c:v>1.5709840400934816E-3</c:v>
                </c:pt>
                <c:pt idx="471">
                  <c:v>1.5716113678887478E-3</c:v>
                </c:pt>
                <c:pt idx="472">
                  <c:v>1.5728792689269819E-3</c:v>
                </c:pt>
                <c:pt idx="473">
                  <c:v>1.5747771109897446E-3</c:v>
                </c:pt>
                <c:pt idx="474">
                  <c:v>1.5747771109897446E-3</c:v>
                </c:pt>
                <c:pt idx="475">
                  <c:v>1.5754160805159234E-3</c:v>
                </c:pt>
                <c:pt idx="476">
                  <c:v>1.5773520939181089E-3</c:v>
                </c:pt>
                <c:pt idx="477">
                  <c:v>1.5773520939181089E-3</c:v>
                </c:pt>
                <c:pt idx="478">
                  <c:v>1.578640032190437E-3</c:v>
                </c:pt>
                <c:pt idx="479">
                  <c:v>1.5792906433664822E-3</c:v>
                </c:pt>
                <c:pt idx="480">
                  <c:v>1.5799431948715359E-3</c:v>
                </c:pt>
                <c:pt idx="481">
                  <c:v>1.5805976867055982E-3</c:v>
                </c:pt>
                <c:pt idx="482">
                  <c:v>1.5819199938419775E-3</c:v>
                </c:pt>
                <c:pt idx="483">
                  <c:v>1.5832350566025166E-3</c:v>
                </c:pt>
                <c:pt idx="484">
                  <c:v>1.583899249838483E-3</c:v>
                </c:pt>
                <c:pt idx="485">
                  <c:v>1.5845653833224116E-3</c:v>
                </c:pt>
                <c:pt idx="486">
                  <c:v>1.5852334570543025E-3</c:v>
                </c:pt>
                <c:pt idx="487">
                  <c:v>1.5865829687796338E-3</c:v>
                </c:pt>
                <c:pt idx="488">
                  <c:v>1.5886029302436544E-3</c:v>
                </c:pt>
                <c:pt idx="489">
                  <c:v>1.5886029302436544E-3</c:v>
                </c:pt>
                <c:pt idx="490">
                  <c:v>1.5892826457875042E-3</c:v>
                </c:pt>
                <c:pt idx="491">
                  <c:v>1.5899643014982701E-3</c:v>
                </c:pt>
                <c:pt idx="492">
                  <c:v>1.5913410186770469E-3</c:v>
                </c:pt>
                <c:pt idx="493">
                  <c:v>1.5927103274693266E-3</c:v>
                </c:pt>
                <c:pt idx="494">
                  <c:v>1.5934016847440891E-3</c:v>
                </c:pt>
                <c:pt idx="495">
                  <c:v>1.5940949822668138E-3</c:v>
                </c:pt>
                <c:pt idx="496">
                  <c:v>1.5947902200375008E-3</c:v>
                </c:pt>
                <c:pt idx="497">
                  <c:v>1.5961941435612323E-3</c:v>
                </c:pt>
                <c:pt idx="498">
                  <c:v>1.5975905740861496E-3</c:v>
                </c:pt>
                <c:pt idx="499">
                  <c:v>1.5982955132587406E-3</c:v>
                </c:pt>
                <c:pt idx="500">
                  <c:v>1.5990023928413866E-3</c:v>
                </c:pt>
                <c:pt idx="501">
                  <c:v>1.5997112125909485E-3</c:v>
                </c:pt>
                <c:pt idx="502">
                  <c:v>1.6011423434592056E-3</c:v>
                </c:pt>
                <c:pt idx="503">
                  <c:v>1.6025658946361432E-3</c:v>
                </c:pt>
                <c:pt idx="504">
                  <c:v>1.6032844158686554E-3</c:v>
                </c:pt>
                <c:pt idx="505">
                  <c:v>1.60400487734913E-3</c:v>
                </c:pt>
                <c:pt idx="506">
                  <c:v>1.6061900902886175E-3</c:v>
                </c:pt>
                <c:pt idx="507">
                  <c:v>1.6061900902886175E-3</c:v>
                </c:pt>
                <c:pt idx="508">
                  <c:v>1.6076546735765973E-3</c:v>
                </c:pt>
                <c:pt idx="509">
                  <c:v>1.6083987017756485E-3</c:v>
                </c:pt>
                <c:pt idx="510">
                  <c:v>1.6091476515101011E-3</c:v>
                </c:pt>
                <c:pt idx="511">
                  <c:v>1.6099015227799551E-3</c:v>
                </c:pt>
                <c:pt idx="512">
                  <c:v>1.6114327846531811E-3</c:v>
                </c:pt>
                <c:pt idx="513">
                  <c:v>1.6129662231323394E-3</c:v>
                </c:pt>
                <c:pt idx="514">
                  <c:v>1.6137447020792006E-3</c:v>
                </c:pt>
                <c:pt idx="515">
                  <c:v>1.6145281025614633E-3</c:v>
                </c:pt>
                <c:pt idx="516">
                  <c:v>1.6153164244980811E-3</c:v>
                </c:pt>
                <c:pt idx="517">
                  <c:v>1.6169166363055878E-3</c:v>
                </c:pt>
                <c:pt idx="518">
                  <c:v>1.6226416452728525E-3</c:v>
                </c:pt>
                <c:pt idx="519">
                  <c:v>1.6286078115279603E-3</c:v>
                </c:pt>
                <c:pt idx="520">
                  <c:v>1.6348151351789724E-3</c:v>
                </c:pt>
                <c:pt idx="521">
                  <c:v>1.6412636162258891E-3</c:v>
                </c:pt>
                <c:pt idx="522">
                  <c:v>1.6518750636917989E-3</c:v>
                </c:pt>
                <c:pt idx="523">
                  <c:v>1.6553935248264651E-3</c:v>
                </c:pt>
                <c:pt idx="524">
                  <c:v>1.6620560041743135E-3</c:v>
                </c:pt>
                <c:pt idx="525">
                  <c:v>1.6694691152370953E-3</c:v>
                </c:pt>
                <c:pt idx="526">
                  <c:v>1.6771233839119051E-3</c:v>
                </c:pt>
                <c:pt idx="527">
                  <c:v>1.6850188102527734E-3</c:v>
                </c:pt>
                <c:pt idx="528">
                  <c:v>1.6931553942597008E-3</c:v>
                </c:pt>
                <c:pt idx="529">
                  <c:v>1.7015331360407486E-3</c:v>
                </c:pt>
                <c:pt idx="530">
                  <c:v>1.7101520356229325E-3</c:v>
                </c:pt>
                <c:pt idx="531">
                  <c:v>1.719012093060283E-3</c:v>
                </c:pt>
                <c:pt idx="532">
                  <c:v>1.7281133084068314E-3</c:v>
                </c:pt>
                <c:pt idx="533">
                  <c:v>1.7374556816895927E-3</c:v>
                </c:pt>
                <c:pt idx="534">
                  <c:v>1.7470392130166288E-3</c:v>
                </c:pt>
                <c:pt idx="535">
                  <c:v>1.7568639023879398E-3</c:v>
                </c:pt>
                <c:pt idx="536">
                  <c:v>1.7669297498845717E-3</c:v>
                </c:pt>
                <c:pt idx="537">
                  <c:v>1.777236755587571E-3</c:v>
                </c:pt>
                <c:pt idx="538">
                  <c:v>1.792368943092093E-3</c:v>
                </c:pt>
                <c:pt idx="539">
                  <c:v>1.7985742418017796E-3</c:v>
                </c:pt>
                <c:pt idx="540">
                  <c:v>1.8104077671710073E-3</c:v>
                </c:pt>
                <c:pt idx="541">
                  <c:v>1.8241303674215725E-3</c:v>
                </c:pt>
                <c:pt idx="542">
                  <c:v>1.8323891591431887E-3</c:v>
                </c:pt>
                <c:pt idx="543">
                  <c:v>1.8441431153000862E-3</c:v>
                </c:pt>
                <c:pt idx="544">
                  <c:v>1.857010411422666E-3</c:v>
                </c:pt>
                <c:pt idx="545">
                  <c:v>1.8683745036648012E-3</c:v>
                </c:pt>
                <c:pt idx="546">
                  <c:v>1.8808519360076956E-3</c:v>
                </c:pt>
                <c:pt idx="547">
                  <c:v>1.8935705272053278E-3</c:v>
                </c:pt>
                <c:pt idx="548">
                  <c:v>1.9065302773387436E-3</c:v>
                </c:pt>
                <c:pt idx="549">
                  <c:v>1.9197311864889897E-3</c:v>
                </c:pt>
                <c:pt idx="550">
                  <c:v>1.9331732547641276E-3</c:v>
                </c:pt>
                <c:pt idx="551">
                  <c:v>1.9468564821911729E-3</c:v>
                </c:pt>
                <c:pt idx="552">
                  <c:v>1.9607808689052026E-3</c:v>
                </c:pt>
                <c:pt idx="553">
                  <c:v>1.9749464149332319E-3</c:v>
                </c:pt>
                <c:pt idx="554">
                  <c:v>1.9893531204103385E-3</c:v>
                </c:pt>
                <c:pt idx="555">
                  <c:v>2.0040009853905527E-3</c:v>
                </c:pt>
                <c:pt idx="556">
                  <c:v>2.0188900099549212E-3</c:v>
                </c:pt>
                <c:pt idx="557">
                  <c:v>2.0351172587129707E-3</c:v>
                </c:pt>
                <c:pt idx="558">
                  <c:v>2.0493915382683676E-3</c:v>
                </c:pt>
                <c:pt idx="559">
                  <c:v>2.065004042206553E-3</c:v>
                </c:pt>
                <c:pt idx="560">
                  <c:v>2.0808577060800935E-3</c:v>
                </c:pt>
                <c:pt idx="561">
                  <c:v>2.0969525299970502E-3</c:v>
                </c:pt>
                <c:pt idx="562">
                  <c:v>2.1132885140654851E-3</c:v>
                </c:pt>
                <c:pt idx="563">
                  <c:v>2.1298656584204751E-3</c:v>
                </c:pt>
                <c:pt idx="564">
                  <c:v>2.1466839630890355E-3</c:v>
                </c:pt>
                <c:pt idx="565">
                  <c:v>2.163743428206244E-3</c:v>
                </c:pt>
                <c:pt idx="566">
                  <c:v>2.1810440538801621E-3</c:v>
                </c:pt>
                <c:pt idx="567">
                  <c:v>2.203626995446184E-3</c:v>
                </c:pt>
                <c:pt idx="568">
                  <c:v>2.2163563311113541E-3</c:v>
                </c:pt>
                <c:pt idx="569">
                  <c:v>2.2343298106538199E-3</c:v>
                </c:pt>
                <c:pt idx="570">
                  <c:v>2.2525050734719296E-3</c:v>
                </c:pt>
                <c:pt idx="571">
                  <c:v>2.2708821197007607E-3</c:v>
                </c:pt>
                <c:pt idx="572">
                  <c:v>2.2894609493943436E-3</c:v>
                </c:pt>
                <c:pt idx="573">
                  <c:v>2.3082415626607404E-3</c:v>
                </c:pt>
                <c:pt idx="574">
                  <c:v>2.3299698211307618E-3</c:v>
                </c:pt>
                <c:pt idx="575">
                  <c:v>2.3477949120773167E-3</c:v>
                </c:pt>
                <c:pt idx="576">
                  <c:v>2.3657941047883217E-3</c:v>
                </c:pt>
                <c:pt idx="577">
                  <c:v>2.3853818532915132E-3</c:v>
                </c:pt>
                <c:pt idx="578">
                  <c:v>2.4051713858267805E-3</c:v>
                </c:pt>
                <c:pt idx="579">
                  <c:v>2.4251627025292008E-3</c:v>
                </c:pt>
                <c:pt idx="580">
                  <c:v>2.4453558034528053E-3</c:v>
                </c:pt>
                <c:pt idx="581">
                  <c:v>2.4657506887326712E-3</c:v>
                </c:pt>
                <c:pt idx="582">
                  <c:v>2.4863473584498439E-3</c:v>
                </c:pt>
                <c:pt idx="583">
                  <c:v>2.5071458127394015E-3</c:v>
                </c:pt>
                <c:pt idx="584">
                  <c:v>2.5281460516553742E-3</c:v>
                </c:pt>
                <c:pt idx="585">
                  <c:v>2.5493480753328397E-3</c:v>
                </c:pt>
                <c:pt idx="586">
                  <c:v>2.5707518838798591E-3</c:v>
                </c:pt>
                <c:pt idx="587">
                  <c:v>2.5923574774044948E-3</c:v>
                </c:pt>
                <c:pt idx="588">
                  <c:v>2.6235524160300727E-3</c:v>
                </c:pt>
                <c:pt idx="589">
                  <c:v>2.6361740197648293E-3</c:v>
                </c:pt>
                <c:pt idx="590">
                  <c:v>2.6583849688706826E-3</c:v>
                </c:pt>
                <c:pt idx="591">
                  <c:v>2.680797703332368E-3</c:v>
                </c:pt>
                <c:pt idx="592">
                  <c:v>2.7034122233389932E-3</c:v>
                </c:pt>
                <c:pt idx="593">
                  <c:v>2.7360468345705158E-3</c:v>
                </c:pt>
                <c:pt idx="594">
                  <c:v>2.7492466203382642E-3</c:v>
                </c:pt>
                <c:pt idx="595">
                  <c:v>2.7724664975740483E-3</c:v>
                </c:pt>
                <c:pt idx="596">
                  <c:v>2.7975807802468888E-3</c:v>
                </c:pt>
                <c:pt idx="597">
                  <c:v>2.8195116100852386E-3</c:v>
                </c:pt>
                <c:pt idx="598">
                  <c:v>2.843336845576768E-3</c:v>
                </c:pt>
                <c:pt idx="599">
                  <c:v>2.8673638674237005E-3</c:v>
                </c:pt>
                <c:pt idx="600">
                  <c:v>2.8915926756800663E-3</c:v>
                </c:pt>
                <c:pt idx="601">
                  <c:v>2.9160232705349736E-3</c:v>
                </c:pt>
                <c:pt idx="602">
                  <c:v>2.9406556520424529E-3</c:v>
                </c:pt>
                <c:pt idx="603">
                  <c:v>2.9654898203916131E-3</c:v>
                </c:pt>
                <c:pt idx="604">
                  <c:v>2.9905257756364842E-3</c:v>
                </c:pt>
                <c:pt idx="605">
                  <c:v>3.0157635179931903E-3</c:v>
                </c:pt>
                <c:pt idx="606">
                  <c:v>3.0412030475157619E-3</c:v>
                </c:pt>
                <c:pt idx="607">
                  <c:v>3.0668443643122605E-3</c:v>
                </c:pt>
                <c:pt idx="608">
                  <c:v>3.0926874685988097E-3</c:v>
                </c:pt>
                <c:pt idx="609">
                  <c:v>3.1206149722548537E-3</c:v>
                </c:pt>
                <c:pt idx="610">
                  <c:v>3.1449790399392294E-3</c:v>
                </c:pt>
                <c:pt idx="611">
                  <c:v>3.1714275072902702E-3</c:v>
                </c:pt>
                <c:pt idx="612">
                  <c:v>3.1980777626176389E-3</c:v>
                </c:pt>
                <c:pt idx="613">
                  <c:v>3.2249298060293978E-3</c:v>
                </c:pt>
                <c:pt idx="614">
                  <c:v>3.2519836376336082E-3</c:v>
                </c:pt>
                <c:pt idx="615">
                  <c:v>3.2792392576193783E-3</c:v>
                </c:pt>
                <c:pt idx="616">
                  <c:v>3.3066966660947701E-3</c:v>
                </c:pt>
                <c:pt idx="617">
                  <c:v>3.3343558632218757E-3</c:v>
                </c:pt>
                <c:pt idx="618">
                  <c:v>3.3622168491087572E-3</c:v>
                </c:pt>
                <c:pt idx="619">
                  <c:v>3.3902796238904913E-3</c:v>
                </c:pt>
                <c:pt idx="620">
                  <c:v>3.4185185066211896E-3</c:v>
                </c:pt>
                <c:pt idx="621">
                  <c:v>3.4468804783368188E-3</c:v>
                </c:pt>
                <c:pt idx="622">
                  <c:v>3.4834890180768241E-3</c:v>
                </c:pt>
                <c:pt idx="623">
                  <c:v>3.5039662332484829E-3</c:v>
                </c:pt>
                <c:pt idx="624">
                  <c:v>3.5326900166336257E-3</c:v>
                </c:pt>
                <c:pt idx="625">
                  <c:v>3.5615344040436834E-3</c:v>
                </c:pt>
                <c:pt idx="626">
                  <c:v>3.5904993956407489E-3</c:v>
                </c:pt>
                <c:pt idx="627">
                  <c:v>3.6487911915579949E-3</c:v>
                </c:pt>
                <c:pt idx="628">
                  <c:v>3.6571205089697134E-3</c:v>
                </c:pt>
                <c:pt idx="629">
                  <c:v>3.6906854075580142E-3</c:v>
                </c:pt>
                <c:pt idx="630">
                  <c:v>3.7159624507421274E-3</c:v>
                </c:pt>
                <c:pt idx="631">
                  <c:v>3.7455643176564912E-3</c:v>
                </c:pt>
                <c:pt idx="632">
                  <c:v>3.7752867819229596E-3</c:v>
                </c:pt>
                <c:pt idx="633">
                  <c:v>3.8094029829238707E-3</c:v>
                </c:pt>
                <c:pt idx="634">
                  <c:v>3.8350935029174416E-3</c:v>
                </c:pt>
                <c:pt idx="635">
                  <c:v>3.8651777595644088E-3</c:v>
                </c:pt>
                <c:pt idx="636">
                  <c:v>3.8953826137255732E-3</c:v>
                </c:pt>
                <c:pt idx="637">
                  <c:v>3.9257080654819809E-3</c:v>
                </c:pt>
                <c:pt idx="638">
                  <c:v>3.9561541147525858E-3</c:v>
                </c:pt>
                <c:pt idx="639">
                  <c:v>3.9867207616994804E-3</c:v>
                </c:pt>
                <c:pt idx="640">
                  <c:v>4.0174080062416184E-3</c:v>
                </c:pt>
                <c:pt idx="641">
                  <c:v>4.0482158484600461E-3</c:v>
                </c:pt>
                <c:pt idx="642">
                  <c:v>4.0791442883547635E-3</c:v>
                </c:pt>
                <c:pt idx="643">
                  <c:v>4.1190866301954454E-3</c:v>
                </c:pt>
                <c:pt idx="644">
                  <c:v>4.1458256110737945E-3</c:v>
                </c:pt>
                <c:pt idx="645">
                  <c:v>4.1771330724915678E-3</c:v>
                </c:pt>
                <c:pt idx="646">
                  <c:v>4.2040640255069928E-3</c:v>
                </c:pt>
                <c:pt idx="647">
                  <c:v>4.2355954542694363E-3</c:v>
                </c:pt>
                <c:pt idx="648">
                  <c:v>4.2717790438562275E-3</c:v>
                </c:pt>
                <c:pt idx="649">
                  <c:v>4.2990201056336552E-3</c:v>
                </c:pt>
                <c:pt idx="650">
                  <c:v>4.3309133282354306E-3</c:v>
                </c:pt>
                <c:pt idx="651">
                  <c:v>4.3629271487566346E-3</c:v>
                </c:pt>
                <c:pt idx="652">
                  <c:v>4.3950615672783133E-3</c:v>
                </c:pt>
                <c:pt idx="653">
                  <c:v>4.4273165839625594E-3</c:v>
                </c:pt>
                <c:pt idx="654">
                  <c:v>4.4596921985662341E-3</c:v>
                </c:pt>
                <c:pt idx="655">
                  <c:v>4.4968405721568239E-3</c:v>
                </c:pt>
                <c:pt idx="656">
                  <c:v>4.5248052221802393E-3</c:v>
                </c:pt>
                <c:pt idx="657">
                  <c:v>4.5575426312716161E-3</c:v>
                </c:pt>
                <c:pt idx="658">
                  <c:v>4.5904006385255602E-3</c:v>
                </c:pt>
                <c:pt idx="659">
                  <c:v>4.6233792441041643E-3</c:v>
                </c:pt>
                <c:pt idx="660">
                  <c:v>4.6564784478453358E-3</c:v>
                </c:pt>
                <c:pt idx="661">
                  <c:v>4.6944537806470343E-3</c:v>
                </c:pt>
                <c:pt idx="662">
                  <c:v>4.7230386503016586E-3</c:v>
                </c:pt>
                <c:pt idx="663">
                  <c:v>4.7564996490168099E-3</c:v>
                </c:pt>
                <c:pt idx="664">
                  <c:v>4.7948884619508636E-3</c:v>
                </c:pt>
                <c:pt idx="665">
                  <c:v>4.8286078858905679E-3</c:v>
                </c:pt>
                <c:pt idx="666">
                  <c:v>4.8576062357585936E-3</c:v>
                </c:pt>
                <c:pt idx="667">
                  <c:v>4.8915496283397086E-3</c:v>
                </c:pt>
                <c:pt idx="668">
                  <c:v>4.9304897486301957E-3</c:v>
                </c:pt>
                <c:pt idx="669">
                  <c:v>4.9597982089621961E-3</c:v>
                </c:pt>
                <c:pt idx="670">
                  <c:v>4.9941033972467075E-3</c:v>
                </c:pt>
                <c:pt idx="671">
                  <c:v>5.0334567777099437E-3</c:v>
                </c:pt>
                <c:pt idx="672">
                  <c:v>5.0630702407261641E-3</c:v>
                </c:pt>
                <c:pt idx="673">
                  <c:v>5.0977226572124223E-3</c:v>
                </c:pt>
                <c:pt idx="674">
                  <c:v>5.1324864021118355E-3</c:v>
                </c:pt>
                <c:pt idx="675">
                  <c:v>5.1673614753433572E-3</c:v>
                </c:pt>
                <c:pt idx="676">
                  <c:v>5.2023478770690801E-3</c:v>
                </c:pt>
                <c:pt idx="677">
                  <c:v>5.2374456072079578E-3</c:v>
                </c:pt>
                <c:pt idx="678">
                  <c:v>5.282812061028209E-3</c:v>
                </c:pt>
                <c:pt idx="679">
                  <c:v>5.3434067686708442E-3</c:v>
                </c:pt>
                <c:pt idx="680">
                  <c:v>5.348477530455753E-3</c:v>
                </c:pt>
                <c:pt idx="681">
                  <c:v>5.3840364788504402E-3</c:v>
                </c:pt>
                <c:pt idx="682">
                  <c:v>5.4197067559014211E-3</c:v>
                </c:pt>
                <c:pt idx="683">
                  <c:v>5.4554883616086958E-3</c:v>
                </c:pt>
                <c:pt idx="684">
                  <c:v>5.4913812958912178E-3</c:v>
                </c:pt>
                <c:pt idx="685">
                  <c:v>5.5325381132509399E-3</c:v>
                </c:pt>
                <c:pt idx="686">
                  <c:v>5.5635011508303744E-3</c:v>
                </c:pt>
                <c:pt idx="687">
                  <c:v>5.5997280715680553E-3</c:v>
                </c:pt>
                <c:pt idx="688">
                  <c:v>5.6360663209620299E-3</c:v>
                </c:pt>
                <c:pt idx="689">
                  <c:v>5.672515899255437E-3</c:v>
                </c:pt>
                <c:pt idx="690">
                  <c:v>5.7090768064482766E-3</c:v>
                </c:pt>
                <c:pt idx="691">
                  <c:v>5.7457490426215951E-3</c:v>
                </c:pt>
                <c:pt idx="692">
                  <c:v>5.7825326077753925E-3</c:v>
                </c:pt>
                <c:pt idx="693">
                  <c:v>5.8194275018286223E-3</c:v>
                </c:pt>
                <c:pt idx="694">
                  <c:v>5.8670273796979089E-3</c:v>
                </c:pt>
                <c:pt idx="695">
                  <c:v>5.9041767401890599E-3</c:v>
                </c:pt>
                <c:pt idx="696">
                  <c:v>5.9414374297417361E-3</c:v>
                </c:pt>
                <c:pt idx="697">
                  <c:v>5.9788094484369836E-3</c:v>
                </c:pt>
                <c:pt idx="698">
                  <c:v>6.0162927962748025E-3</c:v>
                </c:pt>
                <c:pt idx="699">
                  <c:v>6.0538874733362391E-3</c:v>
                </c:pt>
                <c:pt idx="700">
                  <c:v>6.0915934797023397E-3</c:v>
                </c:pt>
                <c:pt idx="701">
                  <c:v>6.1294108152920579E-3</c:v>
                </c:pt>
                <c:pt idx="702">
                  <c:v>6.1673394801053938E-3</c:v>
                </c:pt>
                <c:pt idx="703">
                  <c:v>6.2053794743854862E-3</c:v>
                </c:pt>
                <c:pt idx="704">
                  <c:v>6.2435307980512889E-3</c:v>
                </c:pt>
                <c:pt idx="705">
                  <c:v>6.2817934510217555E-3</c:v>
                </c:pt>
                <c:pt idx="706">
                  <c:v>6.3201674335400249E-3</c:v>
                </c:pt>
                <c:pt idx="707">
                  <c:v>6.3586527454440045E-3</c:v>
                </c:pt>
                <c:pt idx="708">
                  <c:v>6.3972493869768332E-3</c:v>
                </c:pt>
                <c:pt idx="709">
                  <c:v>6.4359573579764184E-3</c:v>
                </c:pt>
                <c:pt idx="710">
                  <c:v>6.4747766586048527E-3</c:v>
                </c:pt>
                <c:pt idx="711">
                  <c:v>6.5137072887810898E-3</c:v>
                </c:pt>
                <c:pt idx="712">
                  <c:v>6.5527492487482686E-3</c:v>
                </c:pt>
                <c:pt idx="713">
                  <c:v>6.5919025382632501E-3</c:v>
                </c:pt>
                <c:pt idx="714">
                  <c:v>6.6311671575691733E-3</c:v>
                </c:pt>
                <c:pt idx="715">
                  <c:v>6.6705431066660381E-3</c:v>
                </c:pt>
                <c:pt idx="716">
                  <c:v>6.7100303855538446E-3</c:v>
                </c:pt>
                <c:pt idx="717">
                  <c:v>6.7496289943136389E-3</c:v>
                </c:pt>
                <c:pt idx="718">
                  <c:v>6.789338932864375E-3</c:v>
                </c:pt>
                <c:pt idx="719">
                  <c:v>6.8291602013681452E-3</c:v>
                </c:pt>
                <c:pt idx="720">
                  <c:v>6.8690927999059959E-3</c:v>
                </c:pt>
                <c:pt idx="721">
                  <c:v>6.9091367283158345E-3</c:v>
                </c:pt>
                <c:pt idx="722">
                  <c:v>6.9492919868407999E-3</c:v>
                </c:pt>
                <c:pt idx="723">
                  <c:v>6.9895492757443556E-3</c:v>
                </c:pt>
                <c:pt idx="724">
                  <c:v>7.0296482079956757E-3</c:v>
                </c:pt>
                <c:pt idx="725">
                  <c:v>7.0694678892080365E-3</c:v>
                </c:pt>
                <c:pt idx="726">
                  <c:v>7.1090083195435305E-3</c:v>
                </c:pt>
                <c:pt idx="727">
                  <c:v>7.1482694985969264E-3</c:v>
                </c:pt>
                <c:pt idx="728">
                  <c:v>7.1872514265303167E-3</c:v>
                </c:pt>
                <c:pt idx="729">
                  <c:v>7.2259541031005625E-3</c:v>
                </c:pt>
                <c:pt idx="730">
                  <c:v>7.275588692732704E-3</c:v>
                </c:pt>
                <c:pt idx="731">
                  <c:v>7.3241929946010753E-3</c:v>
                </c:pt>
                <c:pt idx="732">
                  <c:v>7.3403866243082483E-3</c:v>
                </c:pt>
                <c:pt idx="733">
                  <c:v>7.3779722948585924E-3</c:v>
                </c:pt>
                <c:pt idx="734">
                  <c:v>7.4152787136405607E-3</c:v>
                </c:pt>
                <c:pt idx="735">
                  <c:v>7.4523058806541531E-3</c:v>
                </c:pt>
                <c:pt idx="736">
                  <c:v>7.4890537957372771E-3</c:v>
                </c:pt>
                <c:pt idx="737">
                  <c:v>7.5360444749998194E-3</c:v>
                </c:pt>
                <c:pt idx="738">
                  <c:v>7.5617118697879349E-3</c:v>
                </c:pt>
                <c:pt idx="739">
                  <c:v>7.5976220286744223E-3</c:v>
                </c:pt>
                <c:pt idx="740">
                  <c:v>7.6332529352252099E-3</c:v>
                </c:pt>
                <c:pt idx="741">
                  <c:v>7.6686045895213439E-3</c:v>
                </c:pt>
                <c:pt idx="742">
                  <c:v>7.7036769914007319E-3</c:v>
                </c:pt>
                <c:pt idx="743">
                  <c:v>7.7384701408633738E-3</c:v>
                </c:pt>
                <c:pt idx="744">
                  <c:v>7.7831200679352452E-3</c:v>
                </c:pt>
                <c:pt idx="745">
                  <c:v>7.8072186818090028E-3</c:v>
                </c:pt>
                <c:pt idx="746">
                  <c:v>7.8411740732919899E-3</c:v>
                </c:pt>
                <c:pt idx="747">
                  <c:v>7.8748502119529995E-3</c:v>
                </c:pt>
                <c:pt idx="748">
                  <c:v>7.9203611090888915E-3</c:v>
                </c:pt>
                <c:pt idx="749">
                  <c:v>7.9413647305659474E-3</c:v>
                </c:pt>
                <c:pt idx="750">
                  <c:v>7.9742031103557931E-3</c:v>
                </c:pt>
                <c:pt idx="751">
                  <c:v>8.0067622369994762E-3</c:v>
                </c:pt>
                <c:pt idx="752">
                  <c:v>8.039042110578043E-3</c:v>
                </c:pt>
                <c:pt idx="753">
                  <c:v>8.0710427308483546E-3</c:v>
                </c:pt>
                <c:pt idx="754">
                  <c:v>8.1027640977293647E-3</c:v>
                </c:pt>
                <c:pt idx="755">
                  <c:v>8.1342062113021196E-3</c:v>
                </c:pt>
                <c:pt idx="756">
                  <c:v>8.1653690713234806E-3</c:v>
                </c:pt>
                <c:pt idx="757">
                  <c:v>8.1962526778744937E-3</c:v>
                </c:pt>
                <c:pt idx="758">
                  <c:v>8.2268570307930666E-3</c:v>
                </c:pt>
                <c:pt idx="759">
                  <c:v>8.2571821299981529E-3</c:v>
                </c:pt>
                <c:pt idx="760">
                  <c:v>8.2872279754897527E-3</c:v>
                </c:pt>
                <c:pt idx="761">
                  <c:v>8.3169945671057732E-3</c:v>
                </c:pt>
                <c:pt idx="762">
                  <c:v>8.3464819048462147E-3</c:v>
                </c:pt>
                <c:pt idx="763">
                  <c:v>8.3756899886300307E-3</c:v>
                </c:pt>
                <c:pt idx="764">
                  <c:v>8.404618818376175E-3</c:v>
                </c:pt>
                <c:pt idx="765">
                  <c:v>8.4332683940846476E-3</c:v>
                </c:pt>
                <c:pt idx="766">
                  <c:v>8.4616387155123096E-3</c:v>
                </c:pt>
                <c:pt idx="767">
                  <c:v>8.4897297828212537E-3</c:v>
                </c:pt>
                <c:pt idx="768">
                  <c:v>8.5175415957683409E-3</c:v>
                </c:pt>
                <c:pt idx="769">
                  <c:v>8.5530878261375065E-3</c:v>
                </c:pt>
                <c:pt idx="770">
                  <c:v>8.5723274587390375E-3</c:v>
                </c:pt>
                <c:pt idx="771">
                  <c:v>8.5993015084384616E-3</c:v>
                </c:pt>
                <c:pt idx="772">
                  <c:v>8.6259963036139364E-3</c:v>
                </c:pt>
                <c:pt idx="773">
                  <c:v>8.6524118442654618E-3</c:v>
                </c:pt>
                <c:pt idx="774">
                  <c:v>8.6785481302309453E-3</c:v>
                </c:pt>
                <c:pt idx="775">
                  <c:v>8.7044072845987586E-3</c:v>
                </c:pt>
                <c:pt idx="776">
                  <c:v>8.7303417518713733E-3</c:v>
                </c:pt>
                <c:pt idx="777">
                  <c:v>8.7566211735112809E-3</c:v>
                </c:pt>
                <c:pt idx="778">
                  <c:v>8.7832455494374351E-3</c:v>
                </c:pt>
                <c:pt idx="779">
                  <c:v>8.8102148797308821E-3</c:v>
                </c:pt>
                <c:pt idx="780">
                  <c:v>8.8375291646347609E-3</c:v>
                </c:pt>
                <c:pt idx="781">
                  <c:v>8.8651884040680251E-3</c:v>
                </c:pt>
                <c:pt idx="782">
                  <c:v>8.9057415896360848E-3</c:v>
                </c:pt>
                <c:pt idx="783">
                  <c:v>8.9420023358333101E-3</c:v>
                </c:pt>
                <c:pt idx="784">
                  <c:v>8.9587197493908501E-3</c:v>
                </c:pt>
                <c:pt idx="785">
                  <c:v>8.9878587991413621E-3</c:v>
                </c:pt>
                <c:pt idx="786">
                  <c:v>9.0173428256009238E-3</c:v>
                </c:pt>
                <c:pt idx="787">
                  <c:v>9.0471718289856611E-3</c:v>
                </c:pt>
                <c:pt idx="788">
                  <c:v>9.0773458095927424E-3</c:v>
                </c:pt>
                <c:pt idx="789">
                  <c:v>9.1164177885350028E-3</c:v>
                </c:pt>
                <c:pt idx="790">
                  <c:v>9.1387287034464908E-3</c:v>
                </c:pt>
                <c:pt idx="791">
                  <c:v>9.169937617233467E-3</c:v>
                </c:pt>
                <c:pt idx="792">
                  <c:v>9.2014915092423592E-3</c:v>
                </c:pt>
                <c:pt idx="793">
                  <c:v>9.233390379770336E-3</c:v>
                </c:pt>
                <c:pt idx="794">
                  <c:v>9.2656342291145659E-3</c:v>
                </c:pt>
                <c:pt idx="795">
                  <c:v>9.2982230575181894E-3</c:v>
                </c:pt>
                <c:pt idx="796">
                  <c:v>9.3311568652243455E-3</c:v>
                </c:pt>
                <c:pt idx="797">
                  <c:v>9.3644356525842323E-3</c:v>
                </c:pt>
                <c:pt idx="798">
                  <c:v>9.4123301454629438E-3</c:v>
                </c:pt>
                <c:pt idx="799">
                  <c:v>9.4320281672917918E-3</c:v>
                </c:pt>
                <c:pt idx="800">
                  <c:v>9.501000603910164E-3</c:v>
                </c:pt>
                <c:pt idx="801">
                  <c:v>9.501000603910164E-3</c:v>
                </c:pt>
                <c:pt idx="802">
                  <c:v>9.5360042936720752E-3</c:v>
                </c:pt>
                <c:pt idx="803">
                  <c:v>9.5713529647896891E-3</c:v>
                </c:pt>
                <c:pt idx="804">
                  <c:v>9.6097379157131235E-3</c:v>
                </c:pt>
                <c:pt idx="805">
                  <c:v>9.6430852523347425E-3</c:v>
                </c:pt>
                <c:pt idx="806">
                  <c:v>9.6794688693565192E-3</c:v>
                </c:pt>
                <c:pt idx="807">
                  <c:v>9.7161974689496961E-3</c:v>
                </c:pt>
                <c:pt idx="808">
                  <c:v>9.7532710514654699E-3</c:v>
                </c:pt>
                <c:pt idx="809">
                  <c:v>9.7906896171739994E-3</c:v>
                </c:pt>
                <c:pt idx="810">
                  <c:v>9.8284531664264811E-3</c:v>
                </c:pt>
                <c:pt idx="811">
                  <c:v>9.8665616995200871E-3</c:v>
                </c:pt>
                <c:pt idx="812">
                  <c:v>9.9050152167790024E-3</c:v>
                </c:pt>
                <c:pt idx="813">
                  <c:v>9.9438137185544253E-3</c:v>
                </c:pt>
                <c:pt idx="814">
                  <c:v>9.9829572051705444E-3</c:v>
                </c:pt>
                <c:pt idx="815">
                  <c:v>1.0022445676924526E-2</c:v>
                </c:pt>
                <c:pt idx="816">
                  <c:v>1.0062279134167575E-2</c:v>
                </c:pt>
                <c:pt idx="817">
                  <c:v>1.0105482605516358E-2</c:v>
                </c:pt>
                <c:pt idx="818">
                  <c:v>1.0142981006579696E-2</c:v>
                </c:pt>
                <c:pt idx="819">
                  <c:v>1.0183849422370125E-2</c:v>
                </c:pt>
                <c:pt idx="820">
                  <c:v>1.0225062825081437E-2</c:v>
                </c:pt>
                <c:pt idx="821">
                  <c:v>1.0278266624019761E-2</c:v>
                </c:pt>
                <c:pt idx="822">
                  <c:v>1.0308524592482401E-2</c:v>
                </c:pt>
                <c:pt idx="823">
                  <c:v>1.0350772957874456E-2</c:v>
                </c:pt>
                <c:pt idx="824">
                  <c:v>1.0393366311592194E-2</c:v>
                </c:pt>
                <c:pt idx="825">
                  <c:v>1.0436304653959802E-2</c:v>
                </c:pt>
                <c:pt idx="826">
                  <c:v>1.0479587985328481E-2</c:v>
                </c:pt>
                <c:pt idx="827">
                  <c:v>1.0523190872591867E-2</c:v>
                </c:pt>
                <c:pt idx="828">
                  <c:v>1.0566570733755073E-2</c:v>
                </c:pt>
                <c:pt idx="829">
                  <c:v>1.0609464755234612E-2</c:v>
                </c:pt>
                <c:pt idx="830">
                  <c:v>1.0651872936517186E-2</c:v>
                </c:pt>
                <c:pt idx="831">
                  <c:v>1.0693795277062492E-2</c:v>
                </c:pt>
                <c:pt idx="832">
                  <c:v>1.0735231776411263E-2</c:v>
                </c:pt>
                <c:pt idx="833">
                  <c:v>1.0776182434023193E-2</c:v>
                </c:pt>
                <c:pt idx="834">
                  <c:v>1.083923328205616E-2</c:v>
                </c:pt>
                <c:pt idx="835">
                  <c:v>1.0859621922044704E-2</c:v>
                </c:pt>
                <c:pt idx="836">
                  <c:v>1.0896119351791283E-2</c:v>
                </c:pt>
                <c:pt idx="837">
                  <c:v>1.0935126637728148E-2</c:v>
                </c:pt>
                <c:pt idx="838">
                  <c:v>1.0973648079577829E-2</c:v>
                </c:pt>
                <c:pt idx="839">
                  <c:v>1.101168367685405E-2</c:v>
                </c:pt>
                <c:pt idx="840">
                  <c:v>1.1049233429070531E-2</c:v>
                </c:pt>
                <c:pt idx="841">
                  <c:v>1.1086297335849057E-2</c:v>
                </c:pt>
                <c:pt idx="842">
                  <c:v>1.1122875396703352E-2</c:v>
                </c:pt>
                <c:pt idx="843">
                  <c:v>1.1158967611201167E-2</c:v>
                </c:pt>
                <c:pt idx="844">
                  <c:v>1.1194573978910254E-2</c:v>
                </c:pt>
                <c:pt idx="845">
                  <c:v>1.1229694499425385E-2</c:v>
                </c:pt>
                <c:pt idx="846">
                  <c:v>1.1264329172260281E-2</c:v>
                </c:pt>
                <c:pt idx="847">
                  <c:v>1.1298477997090755E-2</c:v>
                </c:pt>
                <c:pt idx="848">
                  <c:v>1.1332140973430532E-2</c:v>
                </c:pt>
                <c:pt idx="849">
                  <c:v>1.1379036695493561E-2</c:v>
                </c:pt>
                <c:pt idx="850">
                  <c:v>1.1398009379179157E-2</c:v>
                </c:pt>
                <c:pt idx="851">
                  <c:v>1.1430214807750529E-2</c:v>
                </c:pt>
                <c:pt idx="852">
                  <c:v>1.146435862101669E-2</c:v>
                </c:pt>
                <c:pt idx="853">
                  <c:v>1.1501643667853889E-2</c:v>
                </c:pt>
                <c:pt idx="854">
                  <c:v>1.1523915991795327E-2</c:v>
                </c:pt>
                <c:pt idx="855">
                  <c:v>1.1554178017975094E-2</c:v>
                </c:pt>
                <c:pt idx="856">
                  <c:v>1.1586243461066681E-2</c:v>
                </c:pt>
                <c:pt idx="857">
                  <c:v>1.161324451540713E-2</c:v>
                </c:pt>
                <c:pt idx="858">
                  <c:v>1.1642048985957E-2</c:v>
                </c:pt>
                <c:pt idx="859">
                  <c:v>1.1670367603936842E-2</c:v>
                </c:pt>
                <c:pt idx="860">
                  <c:v>1.1698200369022473E-2</c:v>
                </c:pt>
                <c:pt idx="861">
                  <c:v>1.1725547280835674E-2</c:v>
                </c:pt>
                <c:pt idx="862">
                  <c:v>1.1752408339079276E-2</c:v>
                </c:pt>
                <c:pt idx="863">
                  <c:v>1.177878354340208E-2</c:v>
                </c:pt>
                <c:pt idx="864">
                  <c:v>1.1804672893560946E-2</c:v>
                </c:pt>
                <c:pt idx="865">
                  <c:v>1.1830076389177659E-2</c:v>
                </c:pt>
                <c:pt idx="866">
                  <c:v>1.1854994029955048E-2</c:v>
                </c:pt>
                <c:pt idx="867">
                  <c:v>1.1879425815622959E-2</c:v>
                </c:pt>
                <c:pt idx="868">
                  <c:v>1.1903371745857207E-2</c:v>
                </c:pt>
                <c:pt idx="869">
                  <c:v>1.1928680968467109E-2</c:v>
                </c:pt>
                <c:pt idx="870">
                  <c:v>1.1949806038971113E-2</c:v>
                </c:pt>
                <c:pt idx="871">
                  <c:v>1.1972294401256431E-2</c:v>
                </c:pt>
                <c:pt idx="872">
                  <c:v>1.199429690702747E-2</c:v>
                </c:pt>
                <c:pt idx="873">
                  <c:v>1.2015813556014074E-2</c:v>
                </c:pt>
                <c:pt idx="874">
                  <c:v>1.2036844347919075E-2</c:v>
                </c:pt>
                <c:pt idx="875">
                  <c:v>1.2057389282526348E-2</c:v>
                </c:pt>
                <c:pt idx="876">
                  <c:v>1.2077448359619771E-2</c:v>
                </c:pt>
                <c:pt idx="877">
                  <c:v>1.2097021578875157E-2</c:v>
                </c:pt>
                <c:pt idx="878">
                  <c:v>1.211610894015743E-2</c:v>
                </c:pt>
                <c:pt idx="879">
                  <c:v>1.2139538874845757E-2</c:v>
                </c:pt>
                <c:pt idx="880">
                  <c:v>1.2153142679916334E-2</c:v>
                </c:pt>
                <c:pt idx="881">
                  <c:v>1.2172059260313619E-2</c:v>
                </c:pt>
                <c:pt idx="882">
                  <c:v>1.2191490822556958E-2</c:v>
                </c:pt>
                <c:pt idx="883">
                  <c:v>1.2211437366862478E-2</c:v>
                </c:pt>
                <c:pt idx="884">
                  <c:v>1.2231898893473316E-2</c:v>
                </c:pt>
                <c:pt idx="885">
                  <c:v>1.2252875402659626E-2</c:v>
                </c:pt>
                <c:pt idx="886">
                  <c:v>1.2277899126340364E-2</c:v>
                </c:pt>
                <c:pt idx="887">
                  <c:v>1.229817520574078E-2</c:v>
                </c:pt>
                <c:pt idx="888">
                  <c:v>1.2318894828426965E-2</c:v>
                </c:pt>
                <c:pt idx="889">
                  <c:v>1.2341931270670738E-2</c:v>
                </c:pt>
                <c:pt idx="890">
                  <c:v>1.2365482696867771E-2</c:v>
                </c:pt>
                <c:pt idx="891">
                  <c:v>1.2389549107369262E-2</c:v>
                </c:pt>
                <c:pt idx="892">
                  <c:v>1.2414130502445369E-2</c:v>
                </c:pt>
                <c:pt idx="893">
                  <c:v>1.2439226882420275E-2</c:v>
                </c:pt>
                <c:pt idx="894">
                  <c:v>1.246483824759115E-2</c:v>
                </c:pt>
                <c:pt idx="895">
                  <c:v>1.2490964598309192E-2</c:v>
                </c:pt>
                <c:pt idx="896">
                  <c:v>1.2517605934925607E-2</c:v>
                </c:pt>
                <c:pt idx="897">
                  <c:v>1.2544762257710545E-2</c:v>
                </c:pt>
                <c:pt idx="898">
                  <c:v>1.2572433567069238E-2</c:v>
                </c:pt>
                <c:pt idx="899">
                  <c:v>1.2600619863325873E-2</c:v>
                </c:pt>
                <c:pt idx="900">
                  <c:v>1.2641338020257242E-2</c:v>
                </c:pt>
                <c:pt idx="901">
                  <c:v>1.2658537417964782E-2</c:v>
                </c:pt>
                <c:pt idx="902">
                  <c:v>1.2688268677103489E-2</c:v>
                </c:pt>
                <c:pt idx="903">
                  <c:v>1.2718514924625984E-2</c:v>
                </c:pt>
                <c:pt idx="904">
                  <c:v>1.2749276160883468E-2</c:v>
                </c:pt>
                <c:pt idx="905">
                  <c:v>1.2793662191955546E-2</c:v>
                </c:pt>
                <c:pt idx="906">
                  <c:v>1.2812343601278366E-2</c:v>
                </c:pt>
                <c:pt idx="907">
                  <c:v>1.2844649806199223E-2</c:v>
                </c:pt>
                <c:pt idx="908">
                  <c:v>1.288006538575609E-2</c:v>
                </c:pt>
                <c:pt idx="909">
                  <c:v>1.2910807187513919E-2</c:v>
                </c:pt>
                <c:pt idx="910">
                  <c:v>1.2944658364772248E-2</c:v>
                </c:pt>
                <c:pt idx="911">
                  <c:v>1.2979024533656219E-2</c:v>
                </c:pt>
                <c:pt idx="912">
                  <c:v>1.3013905694598076E-2</c:v>
                </c:pt>
                <c:pt idx="913">
                  <c:v>1.3049301848057084E-2</c:v>
                </c:pt>
                <c:pt idx="914">
                  <c:v>1.3085212994465486E-2</c:v>
                </c:pt>
                <c:pt idx="915">
                  <c:v>1.3121639134309564E-2</c:v>
                </c:pt>
                <c:pt idx="916">
                  <c:v>1.3158580268021563E-2</c:v>
                </c:pt>
                <c:pt idx="917">
                  <c:v>1.3196036396060744E-2</c:v>
                </c:pt>
                <c:pt idx="918">
                  <c:v>1.3234007518940402E-2</c:v>
                </c:pt>
                <c:pt idx="919">
                  <c:v>1.3272493637119799E-2</c:v>
                </c:pt>
                <c:pt idx="920">
                  <c:v>1.3311494751085211E-2</c:v>
                </c:pt>
                <c:pt idx="921">
                  <c:v>1.33541004880533E-2</c:v>
                </c:pt>
                <c:pt idx="922">
                  <c:v>1.3391041968400243E-2</c:v>
                </c:pt>
                <c:pt idx="923">
                  <c:v>1.3431588072722416E-2</c:v>
                </c:pt>
                <c:pt idx="924">
                  <c:v>1.3472649174883779E-2</c:v>
                </c:pt>
                <c:pt idx="925">
                  <c:v>1.3514225275370608E-2</c:v>
                </c:pt>
                <c:pt idx="926">
                  <c:v>1.3556316374723211E-2</c:v>
                </c:pt>
                <c:pt idx="927">
                  <c:v>1.3598922473481897E-2</c:v>
                </c:pt>
                <c:pt idx="928">
                  <c:v>1.3642043572159961E-2</c:v>
                </c:pt>
                <c:pt idx="929">
                  <c:v>1.3685679671324726E-2</c:v>
                </c:pt>
                <c:pt idx="930">
                  <c:v>1.3729830771543513E-2</c:v>
                </c:pt>
                <c:pt idx="931">
                  <c:v>1.3774496873356636E-2</c:v>
                </c:pt>
                <c:pt idx="932">
                  <c:v>1.381948686844529E-2</c:v>
                </c:pt>
                <c:pt idx="933">
                  <c:v>1.3864406209763704E-2</c:v>
                </c:pt>
                <c:pt idx="934">
                  <c:v>1.3909236402739705E-2</c:v>
                </c:pt>
                <c:pt idx="935">
                  <c:v>1.3953977447319263E-2</c:v>
                </c:pt>
                <c:pt idx="936">
                  <c:v>1.3998629343421333E-2</c:v>
                </c:pt>
                <c:pt idx="937">
                  <c:v>1.4043192090883821E-2</c:v>
                </c:pt>
                <c:pt idx="938">
                  <c:v>1.4087665689679712E-2</c:v>
                </c:pt>
                <c:pt idx="939">
                  <c:v>1.4188433927380117E-2</c:v>
                </c:pt>
                <c:pt idx="940">
                  <c:v>1.4194750420182256E-2</c:v>
                </c:pt>
                <c:pt idx="941">
                  <c:v>1.4238914924996626E-2</c:v>
                </c:pt>
                <c:pt idx="942">
                  <c:v>1.4282990277038055E-2</c:v>
                </c:pt>
                <c:pt idx="943">
                  <c:v>1.4326976476144448E-2</c:v>
                </c:pt>
                <c:pt idx="944">
                  <c:v>1.4370873522396854E-2</c:v>
                </c:pt>
                <c:pt idx="945">
                  <c:v>1.4420932408371057E-2</c:v>
                </c:pt>
                <c:pt idx="946">
                  <c:v>1.4458400156015516E-2</c:v>
                </c:pt>
                <c:pt idx="947">
                  <c:v>1.4502029743300726E-2</c:v>
                </c:pt>
                <c:pt idx="948">
                  <c:v>1.4545570177569855E-2</c:v>
                </c:pt>
                <c:pt idx="949">
                  <c:v>1.4589021458822904E-2</c:v>
                </c:pt>
                <c:pt idx="950">
                  <c:v>1.4632383586978825E-2</c:v>
                </c:pt>
                <c:pt idx="951">
                  <c:v>1.4675656561875527E-2</c:v>
                </c:pt>
                <c:pt idx="952">
                  <c:v>1.4718840383756149E-2</c:v>
                </c:pt>
                <c:pt idx="953">
                  <c:v>1.4761935052377551E-2</c:v>
                </c:pt>
                <c:pt idx="954">
                  <c:v>1.4804940567820779E-2</c:v>
                </c:pt>
                <c:pt idx="955">
                  <c:v>1.4860102372555861E-2</c:v>
                </c:pt>
                <c:pt idx="956">
                  <c:v>1.4902904109039827E-2</c:v>
                </c:pt>
                <c:pt idx="957">
                  <c:v>1.4945616692183528E-2</c:v>
                </c:pt>
                <c:pt idx="958">
                  <c:v>1.4988240121986962E-2</c:v>
                </c:pt>
                <c:pt idx="959">
                  <c:v>1.5030774398369084E-2</c:v>
                </c:pt>
                <c:pt idx="960">
                  <c:v>1.5073219521410941E-2</c:v>
                </c:pt>
                <c:pt idx="961">
                  <c:v>1.5115575490869393E-2</c:v>
                </c:pt>
                <c:pt idx="962">
                  <c:v>1.5157842306906533E-2</c:v>
                </c:pt>
                <c:pt idx="963">
                  <c:v>1.5200019969441314E-2</c:v>
                </c:pt>
                <c:pt idx="964">
                  <c:v>1.5242108478473737E-2</c:v>
                </c:pt>
                <c:pt idx="965">
                  <c:v>1.5284107833841709E-2</c:v>
                </c:pt>
                <c:pt idx="966">
                  <c:v>1.5326018035626277E-2</c:v>
                </c:pt>
                <c:pt idx="967">
                  <c:v>1.5367839083827439E-2</c:v>
                </c:pt>
                <c:pt idx="968">
                  <c:v>1.5409570978283105E-2</c:v>
                </c:pt>
                <c:pt idx="969">
                  <c:v>1.5451213719074319E-2</c:v>
                </c:pt>
                <c:pt idx="970">
                  <c:v>1.5492767306120037E-2</c:v>
                </c:pt>
                <c:pt idx="971">
                  <c:v>1.5534231739420257E-2</c:v>
                </c:pt>
                <c:pt idx="972">
                  <c:v>1.5575607018893933E-2</c:v>
                </c:pt>
                <c:pt idx="973">
                  <c:v>1.5616893144622113E-2</c:v>
                </c:pt>
                <c:pt idx="974">
                  <c:v>1.5658090116442702E-2</c:v>
                </c:pt>
                <c:pt idx="975">
                  <c:v>1.5699197934436748E-2</c:v>
                </c:pt>
                <c:pt idx="976">
                  <c:v>1.5740216598442158E-2</c:v>
                </c:pt>
                <c:pt idx="977">
                  <c:v>1.5781146108458932E-2</c:v>
                </c:pt>
                <c:pt idx="978">
                  <c:v>1.5821986464649163E-2</c:v>
                </c:pt>
                <c:pt idx="979">
                  <c:v>1.5862737666769711E-2</c:v>
                </c:pt>
                <c:pt idx="980">
                  <c:v>1.5903399714820576E-2</c:v>
                </c:pt>
                <c:pt idx="981">
                  <c:v>1.5943972608882806E-2</c:v>
                </c:pt>
                <c:pt idx="982">
                  <c:v>1.5984456348794307E-2</c:v>
                </c:pt>
                <c:pt idx="983">
                  <c:v>1.6024850934636126E-2</c:v>
                </c:pt>
                <c:pt idx="984">
                  <c:v>1.6065156366327216E-2</c:v>
                </c:pt>
                <c:pt idx="985">
                  <c:v>1.6105372643705484E-2</c:v>
                </c:pt>
                <c:pt idx="986">
                  <c:v>1.6145499767014071E-2</c:v>
                </c:pt>
                <c:pt idx="987">
                  <c:v>1.6185537736090883E-2</c:v>
                </c:pt>
                <c:pt idx="988">
                  <c:v>1.6225486550773827E-2</c:v>
                </c:pt>
                <c:pt idx="989">
                  <c:v>1.6265346211224996E-2</c:v>
                </c:pt>
                <c:pt idx="990">
                  <c:v>1.6327802692390758E-2</c:v>
                </c:pt>
                <c:pt idx="991">
                  <c:v>1.6367433098848361E-2</c:v>
                </c:pt>
                <c:pt idx="992">
                  <c:v>1.638439026662053E-2</c:v>
                </c:pt>
                <c:pt idx="993">
                  <c:v>1.6423893309577275E-2</c:v>
                </c:pt>
                <c:pt idx="994">
                  <c:v>1.6463307198140154E-2</c:v>
                </c:pt>
                <c:pt idx="995">
                  <c:v>1.6502631932147072E-2</c:v>
                </c:pt>
                <c:pt idx="996">
                  <c:v>1.6541867511760122E-2</c:v>
                </c:pt>
                <c:pt idx="997">
                  <c:v>1.6581013936736166E-2</c:v>
                </c:pt>
                <c:pt idx="998">
                  <c:v>1.6620071207237297E-2</c:v>
                </c:pt>
                <c:pt idx="999">
                  <c:v>1.6659039323182467E-2</c:v>
                </c:pt>
                <c:pt idx="1000">
                  <c:v>1.6697918284328539E-2</c:v>
                </c:pt>
                <c:pt idx="1001">
                  <c:v>1.6736708090999697E-2</c:v>
                </c:pt>
                <c:pt idx="1002">
                  <c:v>1.6775408742952802E-2</c:v>
                </c:pt>
                <c:pt idx="1003">
                  <c:v>1.6814020240268901E-2</c:v>
                </c:pt>
                <c:pt idx="1004">
                  <c:v>1.6865089082688245E-2</c:v>
                </c:pt>
                <c:pt idx="1005">
                  <c:v>1.6890975770503802E-2</c:v>
                </c:pt>
                <c:pt idx="1006">
                  <c:v>1.6929319803503651E-2</c:v>
                </c:pt>
                <c:pt idx="1007">
                  <c:v>1.69675746817044E-2</c:v>
                </c:pt>
                <c:pt idx="1008">
                  <c:v>1.7005740405025005E-2</c:v>
                </c:pt>
                <c:pt idx="1009">
                  <c:v>1.7043816973465464E-2</c:v>
                </c:pt>
                <c:pt idx="1010">
                  <c:v>1.7081804387025779E-2</c:v>
                </c:pt>
                <c:pt idx="1011">
                  <c:v>1.7119702645624901E-2</c:v>
                </c:pt>
                <c:pt idx="1012">
                  <c:v>1.7157511749343879E-2</c:v>
                </c:pt>
                <c:pt idx="1013">
                  <c:v>1.7195231698020619E-2</c:v>
                </c:pt>
                <c:pt idx="1014">
                  <c:v>1.7232862491736167E-2</c:v>
                </c:pt>
                <c:pt idx="1015">
                  <c:v>1.7270404130328432E-2</c:v>
                </c:pt>
                <c:pt idx="1016">
                  <c:v>1.7307856613959505E-2</c:v>
                </c:pt>
                <c:pt idx="1017">
                  <c:v>1.7345219942467294E-2</c:v>
                </c:pt>
                <c:pt idx="1018">
                  <c:v>1.7382494115851799E-2</c:v>
                </c:pt>
                <c:pt idx="1019">
                  <c:v>1.741967913411302E-2</c:v>
                </c:pt>
                <c:pt idx="1020">
                  <c:v>1.745677499716991E-2</c:v>
                </c:pt>
                <c:pt idx="1021">
                  <c:v>1.7493781705022471E-2</c:v>
                </c:pt>
                <c:pt idx="1022">
                  <c:v>1.7530699257670701E-2</c:v>
                </c:pt>
                <c:pt idx="1023">
                  <c:v>1.7567527655114601E-2</c:v>
                </c:pt>
                <c:pt idx="1024">
                  <c:v>1.7604266897111032E-2</c:v>
                </c:pt>
                <c:pt idx="1025">
                  <c:v>1.7640916983903132E-2</c:v>
                </c:pt>
                <c:pt idx="1026">
                  <c:v>1.7677477915409856E-2</c:v>
                </c:pt>
                <c:pt idx="1027">
                  <c:v>1.7713949691469111E-2</c:v>
                </c:pt>
                <c:pt idx="1028">
                  <c:v>1.7750332312161943E-2</c:v>
                </c:pt>
                <c:pt idx="1029">
                  <c:v>1.7786625777488352E-2</c:v>
                </c:pt>
                <c:pt idx="1030">
                  <c:v>1.7822830087286246E-2</c:v>
                </c:pt>
                <c:pt idx="1031">
                  <c:v>1.7858945241717716E-2</c:v>
                </c:pt>
                <c:pt idx="1032">
                  <c:v>1.7894971240539626E-2</c:v>
                </c:pt>
                <c:pt idx="1033">
                  <c:v>1.7930908083914066E-2</c:v>
                </c:pt>
                <c:pt idx="1034">
                  <c:v>1.796675577175999E-2</c:v>
                </c:pt>
                <c:pt idx="1035">
                  <c:v>1.8002513729378222E-2</c:v>
                </c:pt>
                <c:pt idx="1036">
                  <c:v>1.8038165868838885E-2</c:v>
                </c:pt>
                <c:pt idx="1037">
                  <c:v>1.8073704720511508E-2</c:v>
                </c:pt>
                <c:pt idx="1038">
                  <c:v>1.8109130284315045E-2</c:v>
                </c:pt>
                <c:pt idx="1039">
                  <c:v>1.8144442560330543E-2</c:v>
                </c:pt>
                <c:pt idx="1040">
                  <c:v>1.8179641548476955E-2</c:v>
                </c:pt>
                <c:pt idx="1041">
                  <c:v>1.8214727248754281E-2</c:v>
                </c:pt>
                <c:pt idx="1042">
                  <c:v>1.8261495684450901E-2</c:v>
                </c:pt>
                <c:pt idx="1043">
                  <c:v>1.8304427421081959E-2</c:v>
                </c:pt>
                <c:pt idx="1044">
                  <c:v>1.8319304621804422E-2</c:v>
                </c:pt>
                <c:pt idx="1045">
                  <c:v>1.8353937170119128E-2</c:v>
                </c:pt>
                <c:pt idx="1046">
                  <c:v>1.8388456430402655E-2</c:v>
                </c:pt>
                <c:pt idx="1047">
                  <c:v>1.8422862402655005E-2</c:v>
                </c:pt>
                <c:pt idx="1048">
                  <c:v>1.8457155086714083E-2</c:v>
                </c:pt>
                <c:pt idx="1049">
                  <c:v>1.8502016241989848E-2</c:v>
                </c:pt>
                <c:pt idx="1050">
                  <c:v>1.852540059041452E-2</c:v>
                </c:pt>
                <c:pt idx="1051">
                  <c:v>1.8559353409893786E-2</c:v>
                </c:pt>
                <c:pt idx="1052">
                  <c:v>1.8593192941179781E-2</c:v>
                </c:pt>
                <c:pt idx="1053">
                  <c:v>1.8626919184110413E-2</c:v>
                </c:pt>
                <c:pt idx="1054">
                  <c:v>1.8660532138766728E-2</c:v>
                </c:pt>
                <c:pt idx="1055">
                  <c:v>1.8705496959767531E-2</c:v>
                </c:pt>
                <c:pt idx="1056">
                  <c:v>1.8727418183094313E-2</c:v>
                </c:pt>
                <c:pt idx="1057">
                  <c:v>1.8760691272603491E-2</c:v>
                </c:pt>
                <c:pt idx="1058">
                  <c:v>1.879385107367626E-2</c:v>
                </c:pt>
                <c:pt idx="1059">
                  <c:v>1.8826897586393665E-2</c:v>
                </c:pt>
                <c:pt idx="1060">
                  <c:v>1.8873027398842446E-2</c:v>
                </c:pt>
                <c:pt idx="1061">
                  <c:v>1.8892650746114015E-2</c:v>
                </c:pt>
                <c:pt idx="1062">
                  <c:v>1.8925357393198006E-2</c:v>
                </c:pt>
                <c:pt idx="1063">
                  <c:v>1.8957950751683494E-2</c:v>
                </c:pt>
                <c:pt idx="1064">
                  <c:v>1.8990430821489435E-2</c:v>
                </c:pt>
                <c:pt idx="1065">
                  <c:v>1.9022797602696873E-2</c:v>
                </c:pt>
                <c:pt idx="1066">
                  <c:v>1.9055051095224762E-2</c:v>
                </c:pt>
                <c:pt idx="1067">
                  <c:v>1.9087191298992057E-2</c:v>
                </c:pt>
                <c:pt idx="1068">
                  <c:v>1.9119218214079803E-2</c:v>
                </c:pt>
                <c:pt idx="1069">
                  <c:v>1.9151131840325908E-2</c:v>
                </c:pt>
                <c:pt idx="1070">
                  <c:v>1.9182932177811418E-2</c:v>
                </c:pt>
                <c:pt idx="1071">
                  <c:v>1.9214619226536334E-2</c:v>
                </c:pt>
                <c:pt idx="1072">
                  <c:v>1.9246192986338562E-2</c:v>
                </c:pt>
                <c:pt idx="1073">
                  <c:v>1.9277653457218102E-2</c:v>
                </c:pt>
                <c:pt idx="1074">
                  <c:v>1.9309000639256002E-2</c:v>
                </c:pt>
                <c:pt idx="1075">
                  <c:v>1.9340234532290168E-2</c:v>
                </c:pt>
                <c:pt idx="1076">
                  <c:v>1.93713551363206E-2</c:v>
                </c:pt>
                <c:pt idx="1077">
                  <c:v>1.9402362451428345E-2</c:v>
                </c:pt>
                <c:pt idx="1078">
                  <c:v>1.9433256477451311E-2</c:v>
                </c:pt>
                <c:pt idx="1079">
                  <c:v>1.9464037214470542E-2</c:v>
                </c:pt>
                <c:pt idx="1080">
                  <c:v>1.9494704662242901E-2</c:v>
                </c:pt>
                <c:pt idx="1081">
                  <c:v>1.9535012433740121E-2</c:v>
                </c:pt>
                <c:pt idx="1082">
                  <c:v>1.9555699690614325E-2</c:v>
                </c:pt>
                <c:pt idx="1083">
                  <c:v>1.9586027271051298E-2</c:v>
                </c:pt>
                <c:pt idx="1084">
                  <c:v>1.9616241562241399E-2</c:v>
                </c:pt>
                <c:pt idx="1085">
                  <c:v>1.9646342564265673E-2</c:v>
                </c:pt>
                <c:pt idx="1086">
                  <c:v>1.9676330276962029E-2</c:v>
                </c:pt>
                <c:pt idx="1087">
                  <c:v>1.9706204700411512E-2</c:v>
                </c:pt>
                <c:pt idx="1088">
                  <c:v>1.9735965834533076E-2</c:v>
                </c:pt>
                <c:pt idx="1089">
                  <c:v>1.9765613679326721E-2</c:v>
                </c:pt>
                <c:pt idx="1090">
                  <c:v>1.9795148234711402E-2</c:v>
                </c:pt>
                <c:pt idx="1091">
                  <c:v>1.9824569500687117E-2</c:v>
                </c:pt>
                <c:pt idx="1092">
                  <c:v>1.9853877477334914E-2</c:v>
                </c:pt>
                <c:pt idx="1093">
                  <c:v>1.9883072164411653E-2</c:v>
                </c:pt>
                <c:pt idx="1094">
                  <c:v>1.9926755425974108E-2</c:v>
                </c:pt>
                <c:pt idx="1095">
                  <c:v>1.9961743815116728E-2</c:v>
                </c:pt>
                <c:pt idx="1096">
                  <c:v>1.99792926662327E-2</c:v>
                </c:pt>
                <c:pt idx="1097">
                  <c:v>2.0008004971924603E-2</c:v>
                </c:pt>
                <c:pt idx="1098">
                  <c:v>2.0036603980102912E-2</c:v>
                </c:pt>
                <c:pt idx="1099">
                  <c:v>2.0065089690686582E-2</c:v>
                </c:pt>
                <c:pt idx="1100">
                  <c:v>2.0093462103594566E-2</c:v>
                </c:pt>
                <c:pt idx="1101">
                  <c:v>2.0128665156103898E-2</c:v>
                </c:pt>
                <c:pt idx="1102">
                  <c:v>2.0149867036059293E-2</c:v>
                </c:pt>
                <c:pt idx="1103">
                  <c:v>2.0177899555480959E-2</c:v>
                </c:pt>
                <c:pt idx="1104">
                  <c:v>2.0205818776848721E-2</c:v>
                </c:pt>
                <c:pt idx="1105">
                  <c:v>2.0233624700216616E-2</c:v>
                </c:pt>
                <c:pt idx="1106">
                  <c:v>2.0261317325368514E-2</c:v>
                </c:pt>
                <c:pt idx="1107">
                  <c:v>2.0288896652331433E-2</c:v>
                </c:pt>
                <c:pt idx="1108">
                  <c:v>2.0316362680997312E-2</c:v>
                </c:pt>
                <c:pt idx="1109">
                  <c:v>2.0343715411285105E-2</c:v>
                </c:pt>
                <c:pt idx="1110">
                  <c:v>2.0381456859108749E-2</c:v>
                </c:pt>
                <c:pt idx="1111">
                  <c:v>2.0398080976402243E-2</c:v>
                </c:pt>
                <c:pt idx="1112">
                  <c:v>2.0427589861356787E-2</c:v>
                </c:pt>
                <c:pt idx="1113">
                  <c:v>2.0458512153830322E-2</c:v>
                </c:pt>
                <c:pt idx="1114">
                  <c:v>2.0478779584324206E-2</c:v>
                </c:pt>
                <c:pt idx="1115">
                  <c:v>2.050545252272255E-2</c:v>
                </c:pt>
                <c:pt idx="1116">
                  <c:v>2.053448183852391E-2</c:v>
                </c:pt>
                <c:pt idx="1117">
                  <c:v>2.0558458502710025E-2</c:v>
                </c:pt>
                <c:pt idx="1118">
                  <c:v>2.0584791544191093E-2</c:v>
                </c:pt>
                <c:pt idx="1119">
                  <c:v>2.0611011286510626E-2</c:v>
                </c:pt>
                <c:pt idx="1120">
                  <c:v>2.0637117729641611E-2</c:v>
                </c:pt>
                <c:pt idx="1121">
                  <c:v>2.0663110873475981E-2</c:v>
                </c:pt>
                <c:pt idx="1122">
                  <c:v>2.0688990718013743E-2</c:v>
                </c:pt>
                <c:pt idx="1123">
                  <c:v>2.0714757263092801E-2</c:v>
                </c:pt>
                <c:pt idx="1124">
                  <c:v>2.0740410508659123E-2</c:v>
                </c:pt>
                <c:pt idx="1125">
                  <c:v>2.0765950454685694E-2</c:v>
                </c:pt>
                <c:pt idx="1126">
                  <c:v>2.0791377101064455E-2</c:v>
                </c:pt>
                <c:pt idx="1127">
                  <c:v>2.0816690447741374E-2</c:v>
                </c:pt>
                <c:pt idx="1128">
                  <c:v>2.0841890494662417E-2</c:v>
                </c:pt>
                <c:pt idx="1129">
                  <c:v>2.0869360702223116E-2</c:v>
                </c:pt>
                <c:pt idx="1130">
                  <c:v>2.0891950688858667E-2</c:v>
                </c:pt>
                <c:pt idx="1131">
                  <c:v>2.0916810835998799E-2</c:v>
                </c:pt>
                <c:pt idx="1132">
                  <c:v>2.0941557683112903E-2</c:v>
                </c:pt>
                <c:pt idx="1133">
                  <c:v>2.0972004323940308E-2</c:v>
                </c:pt>
                <c:pt idx="1134">
                  <c:v>2.0990711476830775E-2</c:v>
                </c:pt>
                <c:pt idx="1135">
                  <c:v>2.1015118423326488E-2</c:v>
                </c:pt>
                <c:pt idx="1136">
                  <c:v>2.1039412069526014E-2</c:v>
                </c:pt>
                <c:pt idx="1137">
                  <c:v>2.1063592415321301E-2</c:v>
                </c:pt>
                <c:pt idx="1138">
                  <c:v>2.1087659460631295E-2</c:v>
                </c:pt>
                <c:pt idx="1139">
                  <c:v>2.1117215324785166E-2</c:v>
                </c:pt>
                <c:pt idx="1140">
                  <c:v>2.1135453649579288E-2</c:v>
                </c:pt>
                <c:pt idx="1141">
                  <c:v>2.1159180793082214E-2</c:v>
                </c:pt>
                <c:pt idx="1142">
                  <c:v>2.1182794635856709E-2</c:v>
                </c:pt>
                <c:pt idx="1143">
                  <c:v>2.1206295177821726E-2</c:v>
                </c:pt>
                <c:pt idx="1144">
                  <c:v>2.122968241892324E-2</c:v>
                </c:pt>
                <c:pt idx="1145">
                  <c:v>2.1252956359107216E-2</c:v>
                </c:pt>
                <c:pt idx="1146">
                  <c:v>2.1280655431204387E-2</c:v>
                </c:pt>
                <c:pt idx="1147">
                  <c:v>2.1301427080877844E-2</c:v>
                </c:pt>
                <c:pt idx="1148">
                  <c:v>2.1322098373397495E-2</c:v>
                </c:pt>
                <c:pt idx="1149">
                  <c:v>2.134491910920892E-2</c:v>
                </c:pt>
                <c:pt idx="1150">
                  <c:v>2.136762654375161E-2</c:v>
                </c:pt>
                <c:pt idx="1151">
                  <c:v>2.1390220676998549E-2</c:v>
                </c:pt>
                <c:pt idx="1152">
                  <c:v>2.1412701508841673E-2</c:v>
                </c:pt>
                <c:pt idx="1153">
                  <c:v>2.1435069039253966E-2</c:v>
                </c:pt>
                <c:pt idx="1154">
                  <c:v>2.1457323268181398E-2</c:v>
                </c:pt>
                <c:pt idx="1155">
                  <c:v>2.1479464195515906E-2</c:v>
                </c:pt>
                <c:pt idx="1156">
                  <c:v>2.1501491821230477E-2</c:v>
                </c:pt>
                <c:pt idx="1157">
                  <c:v>2.1523406145271078E-2</c:v>
                </c:pt>
                <c:pt idx="1158">
                  <c:v>2.154520716752965E-2</c:v>
                </c:pt>
                <c:pt idx="1159">
                  <c:v>2.1566894887979176E-2</c:v>
                </c:pt>
                <c:pt idx="1160">
                  <c:v>2.1596403726379387E-2</c:v>
                </c:pt>
                <c:pt idx="1161">
                  <c:v>2.1609930423207951E-2</c:v>
                </c:pt>
                <c:pt idx="1162">
                  <c:v>2.1631278237906153E-2</c:v>
                </c:pt>
                <c:pt idx="1163">
                  <c:v>2.1652512750471125E-2</c:v>
                </c:pt>
                <c:pt idx="1164">
                  <c:v>2.1673633960983912E-2</c:v>
                </c:pt>
                <c:pt idx="1165">
                  <c:v>2.1702320933850716E-2</c:v>
                </c:pt>
                <c:pt idx="1166">
                  <c:v>2.1715536475420686E-2</c:v>
                </c:pt>
                <c:pt idx="1167">
                  <c:v>2.1736317779209594E-2</c:v>
                </c:pt>
                <c:pt idx="1168">
                  <c:v>2.1759105565608283E-2</c:v>
                </c:pt>
                <c:pt idx="1169">
                  <c:v>2.1777540479739347E-2</c:v>
                </c:pt>
                <c:pt idx="1170">
                  <c:v>2.1797981876318099E-2</c:v>
                </c:pt>
                <c:pt idx="1171">
                  <c:v>2.1818309970385402E-2</c:v>
                </c:pt>
                <c:pt idx="1172">
                  <c:v>2.1838524761887228E-2</c:v>
                </c:pt>
                <c:pt idx="1173">
                  <c:v>2.1858626250769547E-2</c:v>
                </c:pt>
                <c:pt idx="1174">
                  <c:v>2.187861443695131E-2</c:v>
                </c:pt>
                <c:pt idx="1175">
                  <c:v>2.1898489320405504E-2</c:v>
                </c:pt>
                <c:pt idx="1176">
                  <c:v>2.1918250901051078E-2</c:v>
                </c:pt>
                <c:pt idx="1177">
                  <c:v>2.193789917880699E-2</c:v>
                </c:pt>
                <c:pt idx="1178">
                  <c:v>2.1957434153700255E-2</c:v>
                </c:pt>
                <c:pt idx="1179">
                  <c:v>2.1976855825595797E-2</c:v>
                </c:pt>
                <c:pt idx="1180">
                  <c:v>2.1996164194493611E-2</c:v>
                </c:pt>
                <c:pt idx="1181">
                  <c:v>2.2017389321912773E-2</c:v>
                </c:pt>
                <c:pt idx="1182">
                  <c:v>2.20344410229989E-2</c:v>
                </c:pt>
                <c:pt idx="1183">
                  <c:v>2.2053409482525325E-2</c:v>
                </c:pt>
                <c:pt idx="1184">
                  <c:v>2.2072264638810884E-2</c:v>
                </c:pt>
                <c:pt idx="1185">
                  <c:v>2.2091006491828567E-2</c:v>
                </c:pt>
                <c:pt idx="1186">
                  <c:v>2.2109635041470309E-2</c:v>
                </c:pt>
                <c:pt idx="1187">
                  <c:v>2.2128150287736108E-2</c:v>
                </c:pt>
                <c:pt idx="1188">
                  <c:v>2.214655223057194E-2</c:v>
                </c:pt>
                <c:pt idx="1189">
                  <c:v>2.2164840869923767E-2</c:v>
                </c:pt>
                <c:pt idx="1190">
                  <c:v>2.2183016205737559E-2</c:v>
                </c:pt>
                <c:pt idx="1191">
                  <c:v>2.2201078237932274E-2</c:v>
                </c:pt>
                <c:pt idx="1192">
                  <c:v>2.2219031556428941E-2</c:v>
                </c:pt>
                <c:pt idx="1193">
                  <c:v>2.2236885637293795E-2</c:v>
                </c:pt>
                <c:pt idx="1194">
                  <c:v>2.2258339010126083E-2</c:v>
                </c:pt>
                <c:pt idx="1195">
                  <c:v>2.2272297418393837E-2</c:v>
                </c:pt>
                <c:pt idx="1196">
                  <c:v>2.2289855118547978E-2</c:v>
                </c:pt>
                <c:pt idx="1197">
                  <c:v>2.2307314025014811E-2</c:v>
                </c:pt>
                <c:pt idx="1198">
                  <c:v>2.2324674137821358E-2</c:v>
                </c:pt>
                <c:pt idx="1199">
                  <c:v>2.235909798215641E-2</c:v>
                </c:pt>
                <c:pt idx="1200">
                  <c:v>2.2362613959060473E-2</c:v>
                </c:pt>
                <c:pt idx="1201">
                  <c:v>2.238207265692238E-2</c:v>
                </c:pt>
                <c:pt idx="1202">
                  <c:v>2.2396582008999966E-2</c:v>
                </c:pt>
                <c:pt idx="1203">
                  <c:v>2.2413417858837548E-2</c:v>
                </c:pt>
                <c:pt idx="1204">
                  <c:v>2.2430154925334733E-2</c:v>
                </c:pt>
                <c:pt idx="1205">
                  <c:v>2.2449162042073034E-2</c:v>
                </c:pt>
                <c:pt idx="1206">
                  <c:v>2.2463332708226869E-2</c:v>
                </c:pt>
                <c:pt idx="1207">
                  <c:v>2.2479773424540772E-2</c:v>
                </c:pt>
                <c:pt idx="1208">
                  <c:v>2.2496115357433233E-2</c:v>
                </c:pt>
                <c:pt idx="1209">
                  <c:v>2.2512358506904251E-2</c:v>
                </c:pt>
                <c:pt idx="1210">
                  <c:v>2.2528502872953826E-2</c:v>
                </c:pt>
                <c:pt idx="1211">
                  <c:v>2.2544548455500912E-2</c:v>
                </c:pt>
                <c:pt idx="1212">
                  <c:v>2.2560495254626556E-2</c:v>
                </c:pt>
                <c:pt idx="1213">
                  <c:v>2.2576343270087618E-2</c:v>
                </c:pt>
                <c:pt idx="1214">
                  <c:v>2.2592092502208283E-2</c:v>
                </c:pt>
                <c:pt idx="1215">
                  <c:v>2.2612196363558379E-2</c:v>
                </c:pt>
                <c:pt idx="1216">
                  <c:v>2.2625508218340196E-2</c:v>
                </c:pt>
                <c:pt idx="1217">
                  <c:v>2.2640946987850796E-2</c:v>
                </c:pt>
                <c:pt idx="1218">
                  <c:v>2.2654101595260823E-2</c:v>
                </c:pt>
                <c:pt idx="1219">
                  <c:v>2.2669356909625904E-2</c:v>
                </c:pt>
                <c:pt idx="1220">
                  <c:v>2.2686670595124525E-2</c:v>
                </c:pt>
                <c:pt idx="1221">
                  <c:v>2.2699571187686507E-2</c:v>
                </c:pt>
                <c:pt idx="1222">
                  <c:v>2.2714530151219936E-2</c:v>
                </c:pt>
                <c:pt idx="1223">
                  <c:v>2.2729390331250876E-2</c:v>
                </c:pt>
                <c:pt idx="1224">
                  <c:v>2.2744151727617234E-2</c:v>
                </c:pt>
                <c:pt idx="1225">
                  <c:v>2.2758814340319011E-2</c:v>
                </c:pt>
                <c:pt idx="1226">
                  <c:v>2.2773378169356207E-2</c:v>
                </c:pt>
                <c:pt idx="1227">
                  <c:v>2.278990158586236E-2</c:v>
                </c:pt>
                <c:pt idx="1228">
                  <c:v>2.2802209476517898E-2</c:v>
                </c:pt>
                <c:pt idx="1229">
                  <c:v>2.2816476954561349E-2</c:v>
                </c:pt>
                <c:pt idx="1230">
                  <c:v>2.2830645648940218E-2</c:v>
                </c:pt>
                <c:pt idx="1231">
                  <c:v>2.2844715559573459E-2</c:v>
                </c:pt>
                <c:pt idx="1232">
                  <c:v>2.2858686686542118E-2</c:v>
                </c:pt>
                <c:pt idx="1233">
                  <c:v>2.287453272901252E-2</c:v>
                </c:pt>
                <c:pt idx="1234">
                  <c:v>2.2886332589161507E-2</c:v>
                </c:pt>
                <c:pt idx="1235">
                  <c:v>2.2900007364812236E-2</c:v>
                </c:pt>
                <c:pt idx="1236">
                  <c:v>2.2915514720224239E-2</c:v>
                </c:pt>
                <c:pt idx="1237">
                  <c:v>2.2928977816443208E-2</c:v>
                </c:pt>
                <c:pt idx="1238">
                  <c:v>2.2940438989290657E-2</c:v>
                </c:pt>
                <c:pt idx="1239">
                  <c:v>2.2953718629877828E-2</c:v>
                </c:pt>
                <c:pt idx="1240">
                  <c:v>2.2968774402221115E-2</c:v>
                </c:pt>
                <c:pt idx="1241">
                  <c:v>2.2979981559572149E-2</c:v>
                </c:pt>
                <c:pt idx="1242">
                  <c:v>2.2992964848598252E-2</c:v>
                </c:pt>
                <c:pt idx="1243">
                  <c:v>2.3007681933558954E-2</c:v>
                </c:pt>
                <c:pt idx="1244">
                  <c:v>2.3018635075413574E-2</c:v>
                </c:pt>
                <c:pt idx="1245">
                  <c:v>2.3031322012878608E-2</c:v>
                </c:pt>
                <c:pt idx="1246">
                  <c:v>2.3043910166516968E-2</c:v>
                </c:pt>
                <c:pt idx="1247">
                  <c:v>2.3056399536328653E-2</c:v>
                </c:pt>
                <c:pt idx="1248">
                  <c:v>2.3068790122313665E-2</c:v>
                </c:pt>
                <c:pt idx="1249">
                  <c:v>2.3081081924228863E-2</c:v>
                </c:pt>
                <c:pt idx="1250">
                  <c:v>2.3098201409249935E-2</c:v>
                </c:pt>
                <c:pt idx="1251">
                  <c:v>2.3117364626771275E-2</c:v>
                </c:pt>
                <c:pt idx="1252">
                  <c:v>2.311907019850068E-2</c:v>
                </c:pt>
                <c:pt idx="1253">
                  <c:v>2.3130952752844491E-2</c:v>
                </c:pt>
                <c:pt idx="1254">
                  <c:v>2.314273652311849E-2</c:v>
                </c:pt>
                <c:pt idx="1255">
                  <c:v>2.3154421509565815E-2</c:v>
                </c:pt>
                <c:pt idx="1256">
                  <c:v>2.3166007712024372E-2</c:v>
                </c:pt>
                <c:pt idx="1257">
                  <c:v>2.3179128126170623E-2</c:v>
                </c:pt>
                <c:pt idx="1258">
                  <c:v>2.3188883764894141E-2</c:v>
                </c:pt>
                <c:pt idx="1259">
                  <c:v>2.3200173615305353E-2</c:v>
                </c:pt>
                <c:pt idx="1260">
                  <c:v>2.3211364681646751E-2</c:v>
                </c:pt>
                <c:pt idx="1261">
                  <c:v>2.3222456964080429E-2</c:v>
                </c:pt>
                <c:pt idx="1262">
                  <c:v>2.3233450462444294E-2</c:v>
                </c:pt>
                <c:pt idx="1263">
                  <c:v>2.3244345176900438E-2</c:v>
                </c:pt>
                <c:pt idx="1264">
                  <c:v>2.3255141107124677E-2</c:v>
                </c:pt>
                <c:pt idx="1265">
                  <c:v>2.3265838253360149E-2</c:v>
                </c:pt>
                <c:pt idx="1266">
                  <c:v>2.3279446575112939E-2</c:v>
                </c:pt>
                <c:pt idx="1267">
                  <c:v>2.3289917929165682E-2</c:v>
                </c:pt>
                <c:pt idx="1268">
                  <c:v>2.3300290499229659E-2</c:v>
                </c:pt>
                <c:pt idx="1269">
                  <c:v>2.3310564285142776E-2</c:v>
                </c:pt>
                <c:pt idx="1270">
                  <c:v>2.3320739286905035E-2</c:v>
                </c:pt>
                <c:pt idx="1271">
                  <c:v>2.333081550459748E-2</c:v>
                </c:pt>
                <c:pt idx="1272">
                  <c:v>2.3340792938301158E-2</c:v>
                </c:pt>
                <c:pt idx="1273">
                  <c:v>2.3350671587691885E-2</c:v>
                </c:pt>
                <c:pt idx="1274">
                  <c:v>2.3360451453093845E-2</c:v>
                </c:pt>
                <c:pt idx="1275">
                  <c:v>2.3370132534263899E-2</c:v>
                </c:pt>
                <c:pt idx="1276">
                  <c:v>2.337971483136414E-2</c:v>
                </c:pt>
                <c:pt idx="1277">
                  <c:v>2.3389198344232476E-2</c:v>
                </c:pt>
                <c:pt idx="1278">
                  <c:v>2.3398583072949952E-2</c:v>
                </c:pt>
                <c:pt idx="1279">
                  <c:v>2.3407869017597616E-2</c:v>
                </c:pt>
                <c:pt idx="1280">
                  <c:v>2.3417056177932327E-2</c:v>
                </c:pt>
                <c:pt idx="1281">
                  <c:v>2.3426144554116179E-2</c:v>
                </c:pt>
                <c:pt idx="1282">
                  <c:v>2.3435134146149172E-2</c:v>
                </c:pt>
                <c:pt idx="1283">
                  <c:v>2.344402495395026E-2</c:v>
                </c:pt>
                <c:pt idx="1284">
                  <c:v>2.3452816977600488E-2</c:v>
                </c:pt>
                <c:pt idx="1285">
                  <c:v>2.3461510216937764E-2</c:v>
                </c:pt>
                <c:pt idx="1286">
                  <c:v>2.3470104672124181E-2</c:v>
                </c:pt>
                <c:pt idx="1287">
                  <c:v>2.3478600343159739E-2</c:v>
                </c:pt>
                <c:pt idx="1288">
                  <c:v>2.3486997229801299E-2</c:v>
                </c:pt>
                <c:pt idx="1289">
                  <c:v>2.3495295332210953E-2</c:v>
                </c:pt>
                <c:pt idx="1290">
                  <c:v>2.3503494650469747E-2</c:v>
                </c:pt>
                <c:pt idx="1291">
                  <c:v>2.351159518441559E-2</c:v>
                </c:pt>
                <c:pt idx="1292">
                  <c:v>2.3519596934129527E-2</c:v>
                </c:pt>
                <c:pt idx="1293">
                  <c:v>2.3527499899611559E-2</c:v>
                </c:pt>
                <c:pt idx="1294">
                  <c:v>2.3535304080780639E-2</c:v>
                </c:pt>
                <c:pt idx="1295">
                  <c:v>2.3543009477636767E-2</c:v>
                </c:pt>
                <c:pt idx="1296">
                  <c:v>2.3550616090179943E-2</c:v>
                </c:pt>
                <c:pt idx="1297">
                  <c:v>2.3558123918491214E-2</c:v>
                </c:pt>
                <c:pt idx="1298">
                  <c:v>2.3565532962489533E-2</c:v>
                </c:pt>
                <c:pt idx="1299">
                  <c:v>2.35728432221749E-2</c:v>
                </c:pt>
                <c:pt idx="1300">
                  <c:v>2.3580054697547315E-2</c:v>
                </c:pt>
                <c:pt idx="1301">
                  <c:v>2.3587167388606778E-2</c:v>
                </c:pt>
                <c:pt idx="1302">
                  <c:v>2.3598144889893646E-2</c:v>
                </c:pt>
                <c:pt idx="1303">
                  <c:v>2.3605003564078908E-2</c:v>
                </c:pt>
                <c:pt idx="1304">
                  <c:v>2.360791275582641E-2</c:v>
                </c:pt>
                <c:pt idx="1305">
                  <c:v>2.361463030955302E-2</c:v>
                </c:pt>
                <c:pt idx="1306">
                  <c:v>2.3621249078966677E-2</c:v>
                </c:pt>
                <c:pt idx="1307">
                  <c:v>2.3627769063986337E-2</c:v>
                </c:pt>
                <c:pt idx="1308">
                  <c:v>2.3634190264693045E-2</c:v>
                </c:pt>
                <c:pt idx="1309">
                  <c:v>2.3640512681005754E-2</c:v>
                </c:pt>
                <c:pt idx="1310">
                  <c:v>2.3646736312843419E-2</c:v>
                </c:pt>
                <c:pt idx="1311">
                  <c:v>2.3652861160530225E-2</c:v>
                </c:pt>
                <c:pt idx="1312">
                  <c:v>2.365888722366094E-2</c:v>
                </c:pt>
                <c:pt idx="1313">
                  <c:v>2.366481450255975E-2</c:v>
                </c:pt>
                <c:pt idx="1314">
                  <c:v>2.3670642996902469E-2</c:v>
                </c:pt>
                <c:pt idx="1315">
                  <c:v>2.3681061845624685E-2</c:v>
                </c:pt>
                <c:pt idx="1316">
                  <c:v>2.3682003632649051E-2</c:v>
                </c:pt>
                <c:pt idx="1317">
                  <c:v>2.3687535773890822E-2</c:v>
                </c:pt>
                <c:pt idx="1318">
                  <c:v>2.3692969130738595E-2</c:v>
                </c:pt>
                <c:pt idx="1319">
                  <c:v>2.3698303703111323E-2</c:v>
                </c:pt>
                <c:pt idx="1320">
                  <c:v>2.3707693679352604E-2</c:v>
                </c:pt>
                <c:pt idx="1321">
                  <c:v>2.3708676494836878E-2</c:v>
                </c:pt>
                <c:pt idx="1322">
                  <c:v>2.3713714713946565E-2</c:v>
                </c:pt>
                <c:pt idx="1323">
                  <c:v>2.3718654148662255E-2</c:v>
                </c:pt>
                <c:pt idx="1324">
                  <c:v>2.3723494799064992E-2</c:v>
                </c:pt>
                <c:pt idx="1325">
                  <c:v>2.3728236664911639E-2</c:v>
                </c:pt>
                <c:pt idx="1326">
                  <c:v>2.3732879746364288E-2</c:v>
                </c:pt>
                <c:pt idx="1327">
                  <c:v>2.3737424043341893E-2</c:v>
                </c:pt>
                <c:pt idx="1328">
                  <c:v>2.3741869555925499E-2</c:v>
                </c:pt>
                <c:pt idx="1329">
                  <c:v>2.3746216284034061E-2</c:v>
                </c:pt>
                <c:pt idx="1330">
                  <c:v>2.3750464227748624E-2</c:v>
                </c:pt>
                <c:pt idx="1331">
                  <c:v>2.3754613386907097E-2</c:v>
                </c:pt>
                <c:pt idx="1332">
                  <c:v>2.3758663761671572E-2</c:v>
                </c:pt>
                <c:pt idx="1333">
                  <c:v>2.3762615351961003E-2</c:v>
                </c:pt>
                <c:pt idx="1334">
                  <c:v>2.3766468157775389E-2</c:v>
                </c:pt>
                <c:pt idx="1335">
                  <c:v>2.3770222179114731E-2</c:v>
                </c:pt>
                <c:pt idx="1336">
                  <c:v>2.3773877415979028E-2</c:v>
                </c:pt>
                <c:pt idx="1337">
                  <c:v>2.3777433868368281E-2</c:v>
                </c:pt>
                <c:pt idx="1338">
                  <c:v>2.3780891536282489E-2</c:v>
                </c:pt>
                <c:pt idx="1339">
                  <c:v>2.3784250419802699E-2</c:v>
                </c:pt>
                <c:pt idx="1340">
                  <c:v>2.3787510518685773E-2</c:v>
                </c:pt>
                <c:pt idx="1341">
                  <c:v>2.3790671833174848E-2</c:v>
                </c:pt>
                <c:pt idx="1342">
                  <c:v>2.3793734363188879E-2</c:v>
                </c:pt>
                <c:pt idx="1343">
                  <c:v>2.3796698108646819E-2</c:v>
                </c:pt>
                <c:pt idx="1344">
                  <c:v>2.3799563069710761E-2</c:v>
                </c:pt>
                <c:pt idx="1345">
                  <c:v>2.3802329246137566E-2</c:v>
                </c:pt>
                <c:pt idx="1346">
                  <c:v>2.3804996638170373E-2</c:v>
                </c:pt>
                <c:pt idx="1347">
                  <c:v>2.3807565245647089E-2</c:v>
                </c:pt>
                <c:pt idx="1348">
                  <c:v>2.3810035068648761E-2</c:v>
                </c:pt>
                <c:pt idx="1349">
                  <c:v>2.3812406107175388E-2</c:v>
                </c:pt>
                <c:pt idx="1350">
                  <c:v>2.3814678361145925E-2</c:v>
                </c:pt>
                <c:pt idx="1351">
                  <c:v>2.3816851830641417E-2</c:v>
                </c:pt>
                <c:pt idx="1352">
                  <c:v>2.3818926515661865E-2</c:v>
                </c:pt>
                <c:pt idx="1353">
                  <c:v>2.3820902416045175E-2</c:v>
                </c:pt>
                <c:pt idx="1354">
                  <c:v>2.3826661883805444E-2</c:v>
                </c:pt>
                <c:pt idx="1355">
                  <c:v>2.3825767619904958E-2</c:v>
                </c:pt>
                <c:pt idx="1356">
                  <c:v>2.3828253872824799E-2</c:v>
                </c:pt>
                <c:pt idx="1357">
                  <c:v>2.3829806613772469E-2</c:v>
                </c:pt>
                <c:pt idx="1358">
                  <c:v>2.3831260557358739E-2</c:v>
                </c:pt>
                <c:pt idx="1359">
                  <c:v>2.383261570347554E-2</c:v>
                </c:pt>
                <c:pt idx="1360">
                  <c:v>2.3833872052230941E-2</c:v>
                </c:pt>
                <c:pt idx="1361">
                  <c:v>2.3833786524604106E-2</c:v>
                </c:pt>
                <c:pt idx="1362">
                  <c:v>2.3836088357441408E-2</c:v>
                </c:pt>
                <c:pt idx="1363">
                  <c:v>2.3837048313923491E-2</c:v>
                </c:pt>
                <c:pt idx="1364">
                  <c:v>2.3837909472990141E-2</c:v>
                </c:pt>
                <c:pt idx="1365">
                  <c:v>2.3838671834641355E-2</c:v>
                </c:pt>
                <c:pt idx="1366">
                  <c:v>2.3839335398823106E-2</c:v>
                </c:pt>
                <c:pt idx="1367">
                  <c:v>2.3839900165616438E-2</c:v>
                </c:pt>
                <c:pt idx="1368">
                  <c:v>2.384036613496732E-2</c:v>
                </c:pt>
                <c:pt idx="1369">
                  <c:v>2.3840733306875753E-2</c:v>
                </c:pt>
                <c:pt idx="1370">
                  <c:v>2.3839530043218149E-2</c:v>
                </c:pt>
                <c:pt idx="1371">
                  <c:v>2.3841171258419301E-2</c:v>
                </c:pt>
                <c:pt idx="1372">
                  <c:v>2.3841214020247085E-2</c:v>
                </c:pt>
                <c:pt idx="1373">
                  <c:v>2.3841214020247085E-2</c:v>
                </c:pt>
                <c:pt idx="1374">
                  <c:v>2.3841087204997301E-2</c:v>
                </c:pt>
                <c:pt idx="1375">
                  <c:v>2.3840861592332084E-2</c:v>
                </c:pt>
                <c:pt idx="1376">
                  <c:v>2.3841288196477795E-2</c:v>
                </c:pt>
                <c:pt idx="1377">
                  <c:v>2.3840113974674303E-2</c:v>
                </c:pt>
                <c:pt idx="1378">
                  <c:v>2.3839591969708755E-2</c:v>
                </c:pt>
                <c:pt idx="1379">
                  <c:v>2.3838971167300754E-2</c:v>
                </c:pt>
                <c:pt idx="1380">
                  <c:v>2.3838251567477323E-2</c:v>
                </c:pt>
                <c:pt idx="1381">
                  <c:v>2.3837433170238457E-2</c:v>
                </c:pt>
                <c:pt idx="1382">
                  <c:v>2.3836515975557141E-2</c:v>
                </c:pt>
                <c:pt idx="1383">
                  <c:v>2.3835499983487406E-2</c:v>
                </c:pt>
                <c:pt idx="1384">
                  <c:v>2.3834385193948208E-2</c:v>
                </c:pt>
                <c:pt idx="1385">
                  <c:v>2.383317160702059E-2</c:v>
                </c:pt>
                <c:pt idx="1386">
                  <c:v>2.3831859222677537E-2</c:v>
                </c:pt>
                <c:pt idx="1387">
                  <c:v>2.3830448040919053E-2</c:v>
                </c:pt>
                <c:pt idx="1388">
                  <c:v>2.3828938061772147E-2</c:v>
                </c:pt>
                <c:pt idx="1389">
                  <c:v>2.3827987690606678E-2</c:v>
                </c:pt>
                <c:pt idx="1390">
                  <c:v>2.382562171123204E-2</c:v>
                </c:pt>
                <c:pt idx="1391">
                  <c:v>2.3823815339865849E-2</c:v>
                </c:pt>
                <c:pt idx="1392">
                  <c:v>2.3821910171111241E-2</c:v>
                </c:pt>
                <c:pt idx="1393">
                  <c:v>2.3817761927532599E-2</c:v>
                </c:pt>
                <c:pt idx="1394">
                  <c:v>2.3817803441490797E-2</c:v>
                </c:pt>
                <c:pt idx="1395">
                  <c:v>2.3815601880597951E-2</c:v>
                </c:pt>
                <c:pt idx="1396">
                  <c:v>2.3813301522343698E-2</c:v>
                </c:pt>
                <c:pt idx="1397">
                  <c:v>2.3810902366701029E-2</c:v>
                </c:pt>
                <c:pt idx="1398">
                  <c:v>2.3808404413696953E-2</c:v>
                </c:pt>
                <c:pt idx="1399">
                  <c:v>2.3805807663385508E-2</c:v>
                </c:pt>
                <c:pt idx="1400">
                  <c:v>2.3803112115685646E-2</c:v>
                </c:pt>
                <c:pt idx="1401">
                  <c:v>2.3800317770678408E-2</c:v>
                </c:pt>
                <c:pt idx="1402">
                  <c:v>2.379742462830977E-2</c:v>
                </c:pt>
                <c:pt idx="1403">
                  <c:v>2.3794432688633758E-2</c:v>
                </c:pt>
                <c:pt idx="1404">
                  <c:v>2.3791341951623361E-2</c:v>
                </c:pt>
                <c:pt idx="1405">
                  <c:v>2.3788152417332602E-2</c:v>
                </c:pt>
                <c:pt idx="1406">
                  <c:v>2.3781391854911238E-2</c:v>
                </c:pt>
                <c:pt idx="1407">
                  <c:v>2.3782005338583434E-2</c:v>
                </c:pt>
                <c:pt idx="1408">
                  <c:v>2.3777991030589089E-2</c:v>
                </c:pt>
                <c:pt idx="1409">
                  <c:v>2.3774406307095857E-2</c:v>
                </c:pt>
                <c:pt idx="1410">
                  <c:v>2.3770722786349289E-2</c:v>
                </c:pt>
                <c:pt idx="1411">
                  <c:v>2.3766940468349377E-2</c:v>
                </c:pt>
                <c:pt idx="1412">
                  <c:v>2.3763059353069108E-2</c:v>
                </c:pt>
                <c:pt idx="1413">
                  <c:v>2.3759079440589529E-2</c:v>
                </c:pt>
                <c:pt idx="1414">
                  <c:v>2.3755000730829593E-2</c:v>
                </c:pt>
                <c:pt idx="1415">
                  <c:v>2.3750823223870347E-2</c:v>
                </c:pt>
                <c:pt idx="1416">
                  <c:v>2.3746546919684773E-2</c:v>
                </c:pt>
                <c:pt idx="1417">
                  <c:v>2.3742171818326906E-2</c:v>
                </c:pt>
                <c:pt idx="1418">
                  <c:v>2.3737697919742711E-2</c:v>
                </c:pt>
                <c:pt idx="1419">
                  <c:v>2.3733125224013239E-2</c:v>
                </c:pt>
                <c:pt idx="1420">
                  <c:v>2.3728453731084457E-2</c:v>
                </c:pt>
                <c:pt idx="1421">
                  <c:v>2.3720067941785938E-2</c:v>
                </c:pt>
                <c:pt idx="1422">
                  <c:v>2.371881435379105E-2</c:v>
                </c:pt>
                <c:pt idx="1423">
                  <c:v>2.3713846469426429E-2</c:v>
                </c:pt>
                <c:pt idx="1424">
                  <c:v>2.3709183464974415E-2</c:v>
                </c:pt>
                <c:pt idx="1425">
                  <c:v>2.3700581998433723E-2</c:v>
                </c:pt>
                <c:pt idx="1426">
                  <c:v>2.3698350033704022E-2</c:v>
                </c:pt>
                <c:pt idx="1427">
                  <c:v>2.3692986960893357E-2</c:v>
                </c:pt>
                <c:pt idx="1428">
                  <c:v>2.3687899158628123E-2</c:v>
                </c:pt>
                <c:pt idx="1429">
                  <c:v>2.3681964424160377E-2</c:v>
                </c:pt>
                <c:pt idx="1430">
                  <c:v>2.3676304960238058E-2</c:v>
                </c:pt>
                <c:pt idx="1431">
                  <c:v>2.3670546699224491E-2</c:v>
                </c:pt>
                <c:pt idx="1432">
                  <c:v>2.3664689641254753E-2</c:v>
                </c:pt>
                <c:pt idx="1433">
                  <c:v>2.3658733786247797E-2</c:v>
                </c:pt>
                <c:pt idx="1434">
                  <c:v>2.365267913423064E-2</c:v>
                </c:pt>
                <c:pt idx="1435">
                  <c:v>2.364652568531134E-2</c:v>
                </c:pt>
                <c:pt idx="1436">
                  <c:v>2.3640273439381836E-2</c:v>
                </c:pt>
                <c:pt idx="1437">
                  <c:v>2.3633922396523181E-2</c:v>
                </c:pt>
                <c:pt idx="1438">
                  <c:v>2.362747255670835E-2</c:v>
                </c:pt>
                <c:pt idx="1439">
                  <c:v>2.3620923920018393E-2</c:v>
                </c:pt>
                <c:pt idx="1440">
                  <c:v>2.3614276486399282E-2</c:v>
                </c:pt>
                <c:pt idx="1441">
                  <c:v>2.3607807395256142E-2</c:v>
                </c:pt>
                <c:pt idx="1442">
                  <c:v>2.3600685228589716E-2</c:v>
                </c:pt>
                <c:pt idx="1443">
                  <c:v>2.3593741404399259E-2</c:v>
                </c:pt>
                <c:pt idx="1444">
                  <c:v>2.3586698783387709E-2</c:v>
                </c:pt>
                <c:pt idx="1445">
                  <c:v>2.3579557365528046E-2</c:v>
                </c:pt>
                <c:pt idx="1446">
                  <c:v>2.3572317150928338E-2</c:v>
                </c:pt>
                <c:pt idx="1447">
                  <c:v>2.3564978139507534E-2</c:v>
                </c:pt>
                <c:pt idx="1448">
                  <c:v>2.3557540331346681E-2</c:v>
                </c:pt>
                <c:pt idx="1449">
                  <c:v>2.3550003726418765E-2</c:v>
                </c:pt>
                <c:pt idx="1450">
                  <c:v>2.3542368324804833E-2</c:v>
                </c:pt>
                <c:pt idx="1451">
                  <c:v>2.3530890197399623E-2</c:v>
                </c:pt>
                <c:pt idx="1452">
                  <c:v>2.3526833006183672E-2</c:v>
                </c:pt>
                <c:pt idx="1453">
                  <c:v>2.3519030769855179E-2</c:v>
                </c:pt>
                <c:pt idx="1454">
                  <c:v>2.3511230502086814E-2</c:v>
                </c:pt>
                <c:pt idx="1455">
                  <c:v>2.3503432202959623E-2</c:v>
                </c:pt>
                <c:pt idx="1456">
                  <c:v>2.3495635872446595E-2</c:v>
                </c:pt>
                <c:pt idx="1457">
                  <c:v>2.3487841510520711E-2</c:v>
                </c:pt>
                <c:pt idx="1458">
                  <c:v>2.348044637584179E-2</c:v>
                </c:pt>
                <c:pt idx="1459">
                  <c:v>2.3472456974331091E-2</c:v>
                </c:pt>
                <c:pt idx="1460">
                  <c:v>2.3464470236401008E-2</c:v>
                </c:pt>
                <c:pt idx="1461">
                  <c:v>2.3456683748904753E-2</c:v>
                </c:pt>
                <c:pt idx="1462">
                  <c:v>2.3448899229995639E-2</c:v>
                </c:pt>
                <c:pt idx="1463">
                  <c:v>2.344111667970069E-2</c:v>
                </c:pt>
                <c:pt idx="1464">
                  <c:v>2.34333360980199E-2</c:v>
                </c:pt>
                <c:pt idx="1465">
                  <c:v>2.3425557484899238E-2</c:v>
                </c:pt>
                <c:pt idx="1466">
                  <c:v>2.3417780840392737E-2</c:v>
                </c:pt>
                <c:pt idx="1467">
                  <c:v>2.34100061645004E-2</c:v>
                </c:pt>
                <c:pt idx="1468">
                  <c:v>2.3402233457195203E-2</c:v>
                </c:pt>
                <c:pt idx="1469">
                  <c:v>2.3394462718504171E-2</c:v>
                </c:pt>
                <c:pt idx="1470">
                  <c:v>2.3386693948427299E-2</c:v>
                </c:pt>
                <c:pt idx="1471">
                  <c:v>2.337410222940095E-2</c:v>
                </c:pt>
                <c:pt idx="1472">
                  <c:v>2.337116231400797E-2</c:v>
                </c:pt>
                <c:pt idx="1473">
                  <c:v>2.336339944971955E-2</c:v>
                </c:pt>
                <c:pt idx="1474">
                  <c:v>2.3355638553991257E-2</c:v>
                </c:pt>
                <c:pt idx="1475">
                  <c:v>2.3347879626904138E-2</c:v>
                </c:pt>
                <c:pt idx="1476">
                  <c:v>2.3340122668404167E-2</c:v>
                </c:pt>
                <c:pt idx="1477">
                  <c:v>2.3327553779115551E-2</c:v>
                </c:pt>
                <c:pt idx="1478">
                  <c:v>2.3324614657165659E-2</c:v>
                </c:pt>
                <c:pt idx="1479">
                  <c:v>2.331686360445414E-2</c:v>
                </c:pt>
                <c:pt idx="1480">
                  <c:v>2.3309305301214833E-2</c:v>
                </c:pt>
                <c:pt idx="1481">
                  <c:v>2.3301367404819549E-2</c:v>
                </c:pt>
                <c:pt idx="1482">
                  <c:v>2.3293622257869465E-2</c:v>
                </c:pt>
                <c:pt idx="1483">
                  <c:v>2.3285879079533538E-2</c:v>
                </c:pt>
                <c:pt idx="1484">
                  <c:v>2.3278137869784759E-2</c:v>
                </c:pt>
                <c:pt idx="1485">
                  <c:v>2.3270398628623127E-2</c:v>
                </c:pt>
                <c:pt idx="1486">
                  <c:v>2.3262661356102669E-2</c:v>
                </c:pt>
                <c:pt idx="1487">
                  <c:v>2.3254926052115325E-2</c:v>
                </c:pt>
                <c:pt idx="1488">
                  <c:v>2.3247192716742141E-2</c:v>
                </c:pt>
                <c:pt idx="1489">
                  <c:v>2.3239461349956102E-2</c:v>
                </c:pt>
                <c:pt idx="1490">
                  <c:v>2.3231731951784223E-2</c:v>
                </c:pt>
                <c:pt idx="1491">
                  <c:v>2.3224004522172475E-2</c:v>
                </c:pt>
                <c:pt idx="1492">
                  <c:v>2.3216279061174887E-2</c:v>
                </c:pt>
                <c:pt idx="1493">
                  <c:v>2.3208741770386065E-2</c:v>
                </c:pt>
                <c:pt idx="1494">
                  <c:v>2.3200834044914135E-2</c:v>
                </c:pt>
                <c:pt idx="1495">
                  <c:v>2.3193114489704996E-2</c:v>
                </c:pt>
                <c:pt idx="1496">
                  <c:v>2.3185396903028975E-2</c:v>
                </c:pt>
                <c:pt idx="1497">
                  <c:v>2.3177681284994128E-2</c:v>
                </c:pt>
                <c:pt idx="1498">
                  <c:v>2.3169967635519411E-2</c:v>
                </c:pt>
                <c:pt idx="1499">
                  <c:v>2.3162255954631842E-2</c:v>
                </c:pt>
                <c:pt idx="1500">
                  <c:v>2.315454624235843E-2</c:v>
                </c:pt>
                <c:pt idx="1501">
                  <c:v>2.3146838498618132E-2</c:v>
                </c:pt>
                <c:pt idx="1502">
                  <c:v>2.3139132723519012E-2</c:v>
                </c:pt>
                <c:pt idx="1503">
                  <c:v>2.3131428916980022E-2</c:v>
                </c:pt>
                <c:pt idx="1504">
                  <c:v>2.3123727079055193E-2</c:v>
                </c:pt>
                <c:pt idx="1505">
                  <c:v>2.3116027209690491E-2</c:v>
                </c:pt>
                <c:pt idx="1506">
                  <c:v>2.3104667689978209E-2</c:v>
                </c:pt>
                <c:pt idx="1507">
                  <c:v>2.310063337674954E-2</c:v>
                </c:pt>
                <c:pt idx="1508">
                  <c:v>2.3092939413146277E-2</c:v>
                </c:pt>
                <c:pt idx="1509">
                  <c:v>2.3085247418103142E-2</c:v>
                </c:pt>
                <c:pt idx="1510">
                  <c:v>2.307755739170118E-2</c:v>
                </c:pt>
                <c:pt idx="1511">
                  <c:v>2.3062183244577653E-2</c:v>
                </c:pt>
                <c:pt idx="1512">
                  <c:v>2.3058530835661228E-2</c:v>
                </c:pt>
                <c:pt idx="1513">
                  <c:v>2.3049750896092513E-2</c:v>
                </c:pt>
                <c:pt idx="1514">
                  <c:v>2.3043167628353789E-2</c:v>
                </c:pt>
                <c:pt idx="1515">
                  <c:v>2.3035488976608232E-2</c:v>
                </c:pt>
                <c:pt idx="1516">
                  <c:v>2.3027812292990557E-2</c:v>
                </c:pt>
                <c:pt idx="1517">
                  <c:v>2.3019041350126335E-2</c:v>
                </c:pt>
                <c:pt idx="1518">
                  <c:v>2.3012464829733625E-2</c:v>
                </c:pt>
                <c:pt idx="1519">
                  <c:v>2.3004794050094368E-2</c:v>
                </c:pt>
                <c:pt idx="1520">
                  <c:v>2.2997125238501948E-2</c:v>
                </c:pt>
                <c:pt idx="1521">
                  <c:v>2.2989458394956364E-2</c:v>
                </c:pt>
                <c:pt idx="1522">
                  <c:v>2.2981793519295524E-2</c:v>
                </c:pt>
                <c:pt idx="1523">
                  <c:v>2.2974130611762567E-2</c:v>
                </c:pt>
                <c:pt idx="1524">
                  <c:v>2.29664696721954E-2</c:v>
                </c:pt>
                <c:pt idx="1525">
                  <c:v>2.2958810700594023E-2</c:v>
                </c:pt>
                <c:pt idx="1526">
                  <c:v>2.2948966343262489E-2</c:v>
                </c:pt>
                <c:pt idx="1527">
                  <c:v>2.2943498661612827E-2</c:v>
                </c:pt>
                <c:pt idx="1528">
                  <c:v>2.2935845593989868E-2</c:v>
                </c:pt>
                <c:pt idx="1529">
                  <c:v>2.2926008827534039E-2</c:v>
                </c:pt>
                <c:pt idx="1530">
                  <c:v>2.2920545363046552E-2</c:v>
                </c:pt>
                <c:pt idx="1531">
                  <c:v>2.2912898199483056E-2</c:v>
                </c:pt>
                <c:pt idx="1532">
                  <c:v>2.2904160993916234E-2</c:v>
                </c:pt>
                <c:pt idx="1533">
                  <c:v>2.2897609776496575E-2</c:v>
                </c:pt>
                <c:pt idx="1534">
                  <c:v>2.2889968517073589E-2</c:v>
                </c:pt>
                <c:pt idx="1535">
                  <c:v>2.2882329225616393E-2</c:v>
                </c:pt>
                <c:pt idx="1536">
                  <c:v>2.2874691902124988E-2</c:v>
                </c:pt>
                <c:pt idx="1537">
                  <c:v>2.286705654668042E-2</c:v>
                </c:pt>
                <c:pt idx="1538">
                  <c:v>2.2859423159201642E-2</c:v>
                </c:pt>
                <c:pt idx="1539">
                  <c:v>2.28517917397697E-2</c:v>
                </c:pt>
                <c:pt idx="1540">
                  <c:v>2.2843072527368724E-2</c:v>
                </c:pt>
                <c:pt idx="1541">
                  <c:v>2.2836534804965281E-2</c:v>
                </c:pt>
                <c:pt idx="1542">
                  <c:v>2.2828909289511756E-2</c:v>
                </c:pt>
                <c:pt idx="1543">
                  <c:v>2.2821285742105069E-2</c:v>
                </c:pt>
                <c:pt idx="1544">
                  <c:v>2.2813664162664171E-2</c:v>
                </c:pt>
                <c:pt idx="1545">
                  <c:v>2.280495619600198E-2</c:v>
                </c:pt>
                <c:pt idx="1546">
                  <c:v>2.279842690784184E-2</c:v>
                </c:pt>
                <c:pt idx="1547">
                  <c:v>2.2790811232541452E-2</c:v>
                </c:pt>
                <c:pt idx="1548">
                  <c:v>2.2782110013387369E-2</c:v>
                </c:pt>
                <c:pt idx="1549">
                  <c:v>2.2774498555087064E-2</c:v>
                </c:pt>
                <c:pt idx="1550">
                  <c:v>2.2767976014435032E-2</c:v>
                </c:pt>
                <c:pt idx="1551">
                  <c:v>2.2760368211078852E-2</c:v>
                </c:pt>
                <c:pt idx="1552">
                  <c:v>2.2751675988467168E-2</c:v>
                </c:pt>
                <c:pt idx="1553">
                  <c:v>2.2745158508425956E-2</c:v>
                </c:pt>
                <c:pt idx="1554">
                  <c:v>2.2737556609048193E-2</c:v>
                </c:pt>
                <c:pt idx="1555">
                  <c:v>2.2728871133944617E-2</c:v>
                </c:pt>
                <c:pt idx="1556">
                  <c:v>2.2722358714352131E-2</c:v>
                </c:pt>
                <c:pt idx="1557">
                  <c:v>2.2714762719114878E-2</c:v>
                </c:pt>
                <c:pt idx="1558">
                  <c:v>2.2706083991357318E-2</c:v>
                </c:pt>
                <c:pt idx="1559">
                  <c:v>2.2699576632456697E-2</c:v>
                </c:pt>
                <c:pt idx="1560">
                  <c:v>2.2691986541116815E-2</c:v>
                </c:pt>
                <c:pt idx="1561">
                  <c:v>2.268439841782377E-2</c:v>
                </c:pt>
                <c:pt idx="1562">
                  <c:v>2.2676812262577561E-2</c:v>
                </c:pt>
                <c:pt idx="1563">
                  <c:v>2.2661645855982515E-2</c:v>
                </c:pt>
                <c:pt idx="1564">
                  <c:v>2.2659479869165944E-2</c:v>
                </c:pt>
                <c:pt idx="1565">
                  <c:v>2.2651900180116202E-2</c:v>
                </c:pt>
                <c:pt idx="1566">
                  <c:v>2.2644322459113297E-2</c:v>
                </c:pt>
                <c:pt idx="1567">
                  <c:v>2.2636746706157229E-2</c:v>
                </c:pt>
                <c:pt idx="1568">
                  <c:v>2.2629172921166951E-2</c:v>
                </c:pt>
                <c:pt idx="1569">
                  <c:v>2.2620519576699305E-2</c:v>
                </c:pt>
                <c:pt idx="1570">
                  <c:v>2.2614031255164813E-2</c:v>
                </c:pt>
                <c:pt idx="1571">
                  <c:v>2.2606463374233998E-2</c:v>
                </c:pt>
                <c:pt idx="1572">
                  <c:v>2.2598897461268974E-2</c:v>
                </c:pt>
                <c:pt idx="1573">
                  <c:v>2.2591333516350787E-2</c:v>
                </c:pt>
                <c:pt idx="1574">
                  <c:v>2.258377153939839E-2</c:v>
                </c:pt>
                <c:pt idx="1575">
                  <c:v>2.2576211530330736E-2</c:v>
                </c:pt>
                <c:pt idx="1576">
                  <c:v>2.2568653489390966E-2</c:v>
                </c:pt>
                <c:pt idx="1577">
                  <c:v>2.2560018138089166E-2</c:v>
                </c:pt>
                <c:pt idx="1578">
                  <c:v>2.2552464314311571E-2</c:v>
                </c:pt>
                <c:pt idx="1579">
                  <c:v>2.2544912458580812E-2</c:v>
                </c:pt>
                <c:pt idx="1580">
                  <c:v>2.2537362570734798E-2</c:v>
                </c:pt>
                <c:pt idx="1581">
                  <c:v>2.252981465093562E-2</c:v>
                </c:pt>
                <c:pt idx="1582">
                  <c:v>2.2522268699183279E-2</c:v>
                </c:pt>
                <c:pt idx="1583">
                  <c:v>2.2514724715396728E-2</c:v>
                </c:pt>
                <c:pt idx="1584">
                  <c:v>2.2507182699575967E-2</c:v>
                </c:pt>
                <c:pt idx="1585">
                  <c:v>2.2499642651802043E-2</c:v>
                </c:pt>
                <c:pt idx="1586">
                  <c:v>2.2492104572074956E-2</c:v>
                </c:pt>
                <c:pt idx="1587">
                  <c:v>2.2484568460232612E-2</c:v>
                </c:pt>
                <c:pt idx="1588">
                  <c:v>2.2477034316437106E-2</c:v>
                </c:pt>
                <c:pt idx="1589">
                  <c:v>2.2469502140688435E-2</c:v>
                </c:pt>
                <c:pt idx="1590">
                  <c:v>2.2461971932905556E-2</c:v>
                </c:pt>
                <c:pt idx="1591">
                  <c:v>2.2454443693088466E-2</c:v>
                </c:pt>
                <c:pt idx="1592">
                  <c:v>2.2446917421318213E-2</c:v>
                </c:pt>
                <c:pt idx="1593">
                  <c:v>2.2439393117513751E-2</c:v>
                </c:pt>
                <c:pt idx="1594">
                  <c:v>2.2431870781837171E-2</c:v>
                </c:pt>
                <c:pt idx="1595">
                  <c:v>2.2424350414045335E-2</c:v>
                </c:pt>
                <c:pt idx="1596">
                  <c:v>2.2416832014300336E-2</c:v>
                </c:pt>
                <c:pt idx="1597">
                  <c:v>2.2409315582440081E-2</c:v>
                </c:pt>
                <c:pt idx="1598">
                  <c:v>2.2401801118707709E-2</c:v>
                </c:pt>
                <c:pt idx="1599">
                  <c:v>2.2394288622941128E-2</c:v>
                </c:pt>
                <c:pt idx="1600">
                  <c:v>2.2386778095221382E-2</c:v>
                </c:pt>
                <c:pt idx="1601">
                  <c:v>2.2379269535386381E-2</c:v>
                </c:pt>
                <c:pt idx="1602">
                  <c:v>2.2371762943598217E-2</c:v>
                </c:pt>
                <c:pt idx="1603">
                  <c:v>2.2364258319856889E-2</c:v>
                </c:pt>
                <c:pt idx="1604">
                  <c:v>2.2356755664162398E-2</c:v>
                </c:pt>
                <c:pt idx="1605">
                  <c:v>2.234925497635265E-2</c:v>
                </c:pt>
                <c:pt idx="1606">
                  <c:v>2.234175625658974E-2</c:v>
                </c:pt>
                <c:pt idx="1607">
                  <c:v>2.2334259504873666E-2</c:v>
                </c:pt>
                <c:pt idx="1608">
                  <c:v>2.2326764721042336E-2</c:v>
                </c:pt>
                <c:pt idx="1609">
                  <c:v>2.2319271905176796E-2</c:v>
                </c:pt>
                <c:pt idx="1610">
                  <c:v>2.231178105743914E-2</c:v>
                </c:pt>
                <c:pt idx="1611">
                  <c:v>2.2304292177748319E-2</c:v>
                </c:pt>
                <c:pt idx="1612">
                  <c:v>2.2296805265942243E-2</c:v>
                </c:pt>
                <c:pt idx="1613">
                  <c:v>2.2289320322183004E-2</c:v>
                </c:pt>
                <c:pt idx="1614">
                  <c:v>2.2282419838879797E-2</c:v>
                </c:pt>
                <c:pt idx="1615">
                  <c:v>2.227008236059369E-2</c:v>
                </c:pt>
                <c:pt idx="1616">
                  <c:v>2.226687729886212E-2</c:v>
                </c:pt>
                <c:pt idx="1617">
                  <c:v>2.2259400227047088E-2</c:v>
                </c:pt>
                <c:pt idx="1618">
                  <c:v>2.2251925123278893E-2</c:v>
                </c:pt>
                <c:pt idx="1619">
                  <c:v>2.2244451987476488E-2</c:v>
                </c:pt>
                <c:pt idx="1620">
                  <c:v>2.2236980819639873E-2</c:v>
                </c:pt>
                <c:pt idx="1621">
                  <c:v>2.2228731544102397E-2</c:v>
                </c:pt>
                <c:pt idx="1622">
                  <c:v>2.2222044388107154E-2</c:v>
                </c:pt>
                <c:pt idx="1623">
                  <c:v>2.2214579124248957E-2</c:v>
                </c:pt>
                <c:pt idx="1624">
                  <c:v>2.2207115828437596E-2</c:v>
                </c:pt>
                <c:pt idx="1625">
                  <c:v>2.2199654500673072E-2</c:v>
                </c:pt>
                <c:pt idx="1626">
                  <c:v>2.2192195140874338E-2</c:v>
                </c:pt>
                <c:pt idx="1627">
                  <c:v>2.2184737749041394E-2</c:v>
                </c:pt>
                <c:pt idx="1628">
                  <c:v>2.2177282325255288E-2</c:v>
                </c:pt>
                <c:pt idx="1629">
                  <c:v>2.2169828869434971E-2</c:v>
                </c:pt>
                <c:pt idx="1630">
                  <c:v>2.2162377381661491E-2</c:v>
                </c:pt>
                <c:pt idx="1631">
                  <c:v>2.2155489014517915E-2</c:v>
                </c:pt>
                <c:pt idx="1632">
                  <c:v>2.2146836367648026E-2</c:v>
                </c:pt>
                <c:pt idx="1633">
                  <c:v>2.2140034726135793E-2</c:v>
                </c:pt>
                <c:pt idx="1634">
                  <c:v>2.2132591110306521E-2</c:v>
                </c:pt>
                <c:pt idx="1635">
                  <c:v>2.2125149462443039E-2</c:v>
                </c:pt>
                <c:pt idx="1636">
                  <c:v>2.2117709782545347E-2</c:v>
                </c:pt>
                <c:pt idx="1637">
                  <c:v>2.2110272070775538E-2</c:v>
                </c:pt>
                <c:pt idx="1638">
                  <c:v>2.2102836326890474E-2</c:v>
                </c:pt>
                <c:pt idx="1639">
                  <c:v>2.2095402551052246E-2</c:v>
                </c:pt>
                <c:pt idx="1640">
                  <c:v>2.2087970743179808E-2</c:v>
                </c:pt>
                <c:pt idx="1641">
                  <c:v>2.2080540903354207E-2</c:v>
                </c:pt>
                <c:pt idx="1642">
                  <c:v>2.2073113031413349E-2</c:v>
                </c:pt>
                <c:pt idx="1643">
                  <c:v>2.2065687127600375E-2</c:v>
                </c:pt>
                <c:pt idx="1644">
                  <c:v>2.2058263191753191E-2</c:v>
                </c:pt>
                <c:pt idx="1645">
                  <c:v>2.2050841223790751E-2</c:v>
                </c:pt>
                <c:pt idx="1646">
                  <c:v>2.2043421223956194E-2</c:v>
                </c:pt>
                <c:pt idx="1647">
                  <c:v>2.2036003192006381E-2</c:v>
                </c:pt>
                <c:pt idx="1648">
                  <c:v>2.2028587128184451E-2</c:v>
                </c:pt>
                <c:pt idx="1649">
                  <c:v>2.2021173032166219E-2</c:v>
                </c:pt>
                <c:pt idx="1650">
                  <c:v>2.201376090427587E-2</c:v>
                </c:pt>
                <c:pt idx="1651">
                  <c:v>2.2006350744351311E-2</c:v>
                </c:pt>
                <c:pt idx="1652">
                  <c:v>2.1998942552473588E-2</c:v>
                </c:pt>
                <c:pt idx="1653">
                  <c:v>2.1990745418412064E-2</c:v>
                </c:pt>
                <c:pt idx="1654">
                  <c:v>2.1984132072615514E-2</c:v>
                </c:pt>
                <c:pt idx="1655">
                  <c:v>2.1976729784635163E-2</c:v>
                </c:pt>
                <c:pt idx="1656">
                  <c:v>2.1969329464620602E-2</c:v>
                </c:pt>
                <c:pt idx="1657">
                  <c:v>2.1961931112733923E-2</c:v>
                </c:pt>
                <c:pt idx="1658">
                  <c:v>2.1954534728731989E-2</c:v>
                </c:pt>
                <c:pt idx="1659">
                  <c:v>2.1947140312776892E-2</c:v>
                </c:pt>
                <c:pt idx="1660">
                  <c:v>2.1939747864787584E-2</c:v>
                </c:pt>
                <c:pt idx="1661">
                  <c:v>2.1932357384845114E-2</c:v>
                </c:pt>
                <c:pt idx="1662">
                  <c:v>2.1924968872787387E-2</c:v>
                </c:pt>
                <c:pt idx="1663">
                  <c:v>2.1917582328857543E-2</c:v>
                </c:pt>
                <c:pt idx="1664">
                  <c:v>2.1910197752812444E-2</c:v>
                </c:pt>
                <c:pt idx="1665">
                  <c:v>2.1902815144814181E-2</c:v>
                </c:pt>
                <c:pt idx="1666">
                  <c:v>2.1894898319105183E-2</c:v>
                </c:pt>
                <c:pt idx="1667">
                  <c:v>2.188278655770981E-2</c:v>
                </c:pt>
                <c:pt idx="1668">
                  <c:v>2.187988332994199E-2</c:v>
                </c:pt>
                <c:pt idx="1669">
                  <c:v>2.1872508272296292E-2</c:v>
                </c:pt>
                <c:pt idx="1670">
                  <c:v>2.1865135183129679E-2</c:v>
                </c:pt>
                <c:pt idx="1671">
                  <c:v>2.185776406249618E-2</c:v>
                </c:pt>
                <c:pt idx="1672">
                  <c:v>2.1850394910368779E-2</c:v>
                </c:pt>
                <c:pt idx="1673">
                  <c:v>2.1839616375350923E-2</c:v>
                </c:pt>
                <c:pt idx="1674">
                  <c:v>2.1835662511767349E-2</c:v>
                </c:pt>
                <c:pt idx="1675">
                  <c:v>2.1828299265239291E-2</c:v>
                </c:pt>
                <c:pt idx="1676">
                  <c:v>2.1820937987244347E-2</c:v>
                </c:pt>
                <c:pt idx="1677">
                  <c:v>2.1813578677755501E-2</c:v>
                </c:pt>
                <c:pt idx="1678">
                  <c:v>2.1806221336799773E-2</c:v>
                </c:pt>
                <c:pt idx="1679">
                  <c:v>2.1798865964350139E-2</c:v>
                </c:pt>
                <c:pt idx="1680">
                  <c:v>2.1791512560433622E-2</c:v>
                </c:pt>
                <c:pt idx="1681">
                  <c:v>2.1779711468246088E-2</c:v>
                </c:pt>
                <c:pt idx="1682">
                  <c:v>2.1776811658172916E-2</c:v>
                </c:pt>
                <c:pt idx="1683">
                  <c:v>2.1769464159828725E-2</c:v>
                </c:pt>
                <c:pt idx="1684">
                  <c:v>2.1754775068685655E-2</c:v>
                </c:pt>
                <c:pt idx="1685">
                  <c:v>2.1754775068685655E-2</c:v>
                </c:pt>
                <c:pt idx="1686">
                  <c:v>2.1747433475886778E-2</c:v>
                </c:pt>
                <c:pt idx="1687">
                  <c:v>2.1740093851621015E-2</c:v>
                </c:pt>
                <c:pt idx="1688">
                  <c:v>2.1732879111441006E-2</c:v>
                </c:pt>
                <c:pt idx="1689">
                  <c:v>2.17254205086348E-2</c:v>
                </c:pt>
                <c:pt idx="1690">
                  <c:v>2.171808678988733E-2</c:v>
                </c:pt>
                <c:pt idx="1691">
                  <c:v>2.1710755039727008E-2</c:v>
                </c:pt>
                <c:pt idx="1692">
                  <c:v>2.1703425258018754E-2</c:v>
                </c:pt>
                <c:pt idx="1693">
                  <c:v>2.1696097444870631E-2</c:v>
                </c:pt>
                <c:pt idx="1694">
                  <c:v>2.1688771600228605E-2</c:v>
                </c:pt>
                <c:pt idx="1695">
                  <c:v>2.1681447724119694E-2</c:v>
                </c:pt>
                <c:pt idx="1696">
                  <c:v>2.1674125816489868E-2</c:v>
                </c:pt>
                <c:pt idx="1697">
                  <c:v>2.1666805877393152E-2</c:v>
                </c:pt>
                <c:pt idx="1698">
                  <c:v>2.1659487906829554E-2</c:v>
                </c:pt>
                <c:pt idx="1699">
                  <c:v>2.1652171904718024E-2</c:v>
                </c:pt>
                <c:pt idx="1700">
                  <c:v>2.1644857871193638E-2</c:v>
                </c:pt>
                <c:pt idx="1701">
                  <c:v>2.1637664893641995E-2</c:v>
                </c:pt>
                <c:pt idx="1702">
                  <c:v>2.1630235709636146E-2</c:v>
                </c:pt>
                <c:pt idx="1703">
                  <c:v>2.162292758160304E-2</c:v>
                </c:pt>
                <c:pt idx="1704">
                  <c:v>2.1615621422130065E-2</c:v>
                </c:pt>
                <c:pt idx="1705">
                  <c:v>2.1604951809639505E-2</c:v>
                </c:pt>
                <c:pt idx="1706">
                  <c:v>2.1601015008675398E-2</c:v>
                </c:pt>
                <c:pt idx="1707">
                  <c:v>2.159371475472072E-2</c:v>
                </c:pt>
                <c:pt idx="1708">
                  <c:v>2.1586416469245123E-2</c:v>
                </c:pt>
                <c:pt idx="1709">
                  <c:v>2.157912015232966E-2</c:v>
                </c:pt>
                <c:pt idx="1710">
                  <c:v>2.1571825803893278E-2</c:v>
                </c:pt>
                <c:pt idx="1711">
                  <c:v>2.1564534218999992E-2</c:v>
                </c:pt>
                <c:pt idx="1712">
                  <c:v>2.1557262357529604E-2</c:v>
                </c:pt>
                <c:pt idx="1713">
                  <c:v>2.1550018434522238E-2</c:v>
                </c:pt>
                <c:pt idx="1714">
                  <c:v>2.1542802449923869E-2</c:v>
                </c:pt>
                <c:pt idx="1715">
                  <c:v>2.1535614403707475E-2</c:v>
                </c:pt>
                <c:pt idx="1716">
                  <c:v>2.1528454295954107E-2</c:v>
                </c:pt>
                <c:pt idx="1717">
                  <c:v>2.1521322126582719E-2</c:v>
                </c:pt>
                <c:pt idx="1718">
                  <c:v>2.1508903176533645E-2</c:v>
                </c:pt>
                <c:pt idx="1719">
                  <c:v>2.1507270974300274E-2</c:v>
                </c:pt>
                <c:pt idx="1720">
                  <c:v>2.1500093248922512E-2</c:v>
                </c:pt>
                <c:pt idx="1721">
                  <c:v>2.1493072833133068E-2</c:v>
                </c:pt>
                <c:pt idx="1722">
                  <c:v>2.1486080355752616E-2</c:v>
                </c:pt>
                <c:pt idx="1723">
                  <c:v>2.147911581675414E-2</c:v>
                </c:pt>
                <c:pt idx="1724">
                  <c:v>2.1472179216083614E-2</c:v>
                </c:pt>
                <c:pt idx="1725">
                  <c:v>2.1465270553822084E-2</c:v>
                </c:pt>
                <c:pt idx="1726">
                  <c:v>2.1458389829915513E-2</c:v>
                </c:pt>
                <c:pt idx="1727">
                  <c:v>2.1451537044390921E-2</c:v>
                </c:pt>
                <c:pt idx="1728">
                  <c:v>2.1444712197194276E-2</c:v>
                </c:pt>
                <c:pt idx="1729">
                  <c:v>2.1437915288406627E-2</c:v>
                </c:pt>
                <c:pt idx="1730">
                  <c:v>2.1431146317892894E-2</c:v>
                </c:pt>
                <c:pt idx="1731">
                  <c:v>2.1424405285761138E-2</c:v>
                </c:pt>
                <c:pt idx="1732">
                  <c:v>2.1413567213361961E-2</c:v>
                </c:pt>
                <c:pt idx="1733">
                  <c:v>2.141100703648147E-2</c:v>
                </c:pt>
                <c:pt idx="1734">
                  <c:v>2.1404349819333555E-2</c:v>
                </c:pt>
                <c:pt idx="1735">
                  <c:v>2.1397720540486574E-2</c:v>
                </c:pt>
                <c:pt idx="1736">
                  <c:v>2.1391119199994556E-2</c:v>
                </c:pt>
                <c:pt idx="1737">
                  <c:v>2.1380484565917124E-2</c:v>
                </c:pt>
                <c:pt idx="1738">
                  <c:v>2.1378000333913315E-2</c:v>
                </c:pt>
                <c:pt idx="1739">
                  <c:v>2.1371482808378122E-2</c:v>
                </c:pt>
                <c:pt idx="1740">
                  <c:v>2.1365156154756482E-2</c:v>
                </c:pt>
                <c:pt idx="1741">
                  <c:v>2.1358531572102473E-2</c:v>
                </c:pt>
                <c:pt idx="1742">
                  <c:v>2.1352097861416047E-2</c:v>
                </c:pt>
                <c:pt idx="1743">
                  <c:v>2.1345692089030553E-2</c:v>
                </c:pt>
                <c:pt idx="1744">
                  <c:v>2.133931425494599E-2</c:v>
                </c:pt>
                <c:pt idx="1745">
                  <c:v>2.1332964359108329E-2</c:v>
                </c:pt>
                <c:pt idx="1746">
                  <c:v>2.1326642401517569E-2</c:v>
                </c:pt>
                <c:pt idx="1747">
                  <c:v>2.1320348382254755E-2</c:v>
                </c:pt>
                <c:pt idx="1748">
                  <c:v>2.1314082301211828E-2</c:v>
                </c:pt>
                <c:pt idx="1749">
                  <c:v>2.1307844158469834E-2</c:v>
                </c:pt>
                <c:pt idx="1750">
                  <c:v>2.1301633953947723E-2</c:v>
                </c:pt>
                <c:pt idx="1751">
                  <c:v>2.1295451687699533E-2</c:v>
                </c:pt>
                <c:pt idx="1752">
                  <c:v>2.1289297359698239E-2</c:v>
                </c:pt>
                <c:pt idx="1753">
                  <c:v>2.1283355067941712E-2</c:v>
                </c:pt>
                <c:pt idx="1754">
                  <c:v>2.1277072518409344E-2</c:v>
                </c:pt>
                <c:pt idx="1755">
                  <c:v>2.1271002005148757E-2</c:v>
                </c:pt>
                <c:pt idx="1756">
                  <c:v>2.1264959430081037E-2</c:v>
                </c:pt>
                <c:pt idx="1757">
                  <c:v>2.125894479326022E-2</c:v>
                </c:pt>
                <c:pt idx="1758">
                  <c:v>2.125295809465929E-2</c:v>
                </c:pt>
                <c:pt idx="1759">
                  <c:v>2.1246999334278243E-2</c:v>
                </c:pt>
                <c:pt idx="1760">
                  <c:v>2.1241068512117083E-2</c:v>
                </c:pt>
                <c:pt idx="1761">
                  <c:v>2.1235165628148794E-2</c:v>
                </c:pt>
                <c:pt idx="1762">
                  <c:v>2.1229290682400391E-2</c:v>
                </c:pt>
                <c:pt idx="1763">
                  <c:v>2.1223443674871872E-2</c:v>
                </c:pt>
                <c:pt idx="1764">
                  <c:v>2.121762460550921E-2</c:v>
                </c:pt>
                <c:pt idx="1765">
                  <c:v>2.1211833474366431E-2</c:v>
                </c:pt>
                <c:pt idx="1766">
                  <c:v>2.1203196858634588E-2</c:v>
                </c:pt>
                <c:pt idx="1767">
                  <c:v>2.1200335026632471E-2</c:v>
                </c:pt>
                <c:pt idx="1768">
                  <c:v>2.119462771004129E-2</c:v>
                </c:pt>
                <c:pt idx="1769">
                  <c:v>2.118894833164298E-2</c:v>
                </c:pt>
                <c:pt idx="1770">
                  <c:v>2.1183296891410523E-2</c:v>
                </c:pt>
                <c:pt idx="1771">
                  <c:v>2.1172077825443173E-2</c:v>
                </c:pt>
                <c:pt idx="1772">
                  <c:v>2.116925623686372E-2</c:v>
                </c:pt>
                <c:pt idx="1773">
                  <c:v>2.1162905375980978E-2</c:v>
                </c:pt>
                <c:pt idx="1774">
                  <c:v>2.1158166174287674E-2</c:v>
                </c:pt>
                <c:pt idx="1775">
                  <c:v>2.115266304518304E-2</c:v>
                </c:pt>
                <c:pt idx="1776">
                  <c:v>2.1147187850786286E-2</c:v>
                </c:pt>
                <c:pt idx="1777">
                  <c:v>2.1140964691610531E-2</c:v>
                </c:pt>
                <c:pt idx="1778">
                  <c:v>2.1136321266197466E-2</c:v>
                </c:pt>
                <c:pt idx="1779">
                  <c:v>2.1130929876086446E-2</c:v>
                </c:pt>
                <c:pt idx="1780">
                  <c:v>2.1125566420683306E-2</c:v>
                </c:pt>
                <c:pt idx="1781">
                  <c:v>2.1120230899988046E-2</c:v>
                </c:pt>
                <c:pt idx="1782">
                  <c:v>2.1114923314081713E-2</c:v>
                </c:pt>
                <c:pt idx="1783">
                  <c:v>2.110964366288326E-2</c:v>
                </c:pt>
                <c:pt idx="1784">
                  <c:v>2.1104391946392687E-2</c:v>
                </c:pt>
                <c:pt idx="1785">
                  <c:v>2.109916816469104E-2</c:v>
                </c:pt>
                <c:pt idx="1786">
                  <c:v>2.1093972317697274E-2</c:v>
                </c:pt>
                <c:pt idx="1787">
                  <c:v>2.1087332989921936E-2</c:v>
                </c:pt>
                <c:pt idx="1788">
                  <c:v>2.1082932425848799E-2</c:v>
                </c:pt>
                <c:pt idx="1789">
                  <c:v>2.107782437369754E-2</c:v>
                </c:pt>
                <c:pt idx="1790">
                  <c:v>2.1073468277044149E-2</c:v>
                </c:pt>
                <c:pt idx="1791">
                  <c:v>2.1068412103670831E-2</c:v>
                </c:pt>
                <c:pt idx="1792">
                  <c:v>2.1062667825653136E-2</c:v>
                </c:pt>
                <c:pt idx="1793">
                  <c:v>2.1058383561290972E-2</c:v>
                </c:pt>
                <c:pt idx="1794">
                  <c:v>2.105341119212234E-2</c:v>
                </c:pt>
                <c:pt idx="1795">
                  <c:v>2.1048466757742634E-2</c:v>
                </c:pt>
                <c:pt idx="1796">
                  <c:v>2.1043550257989763E-2</c:v>
                </c:pt>
                <c:pt idx="1797">
                  <c:v>2.1038661693025817E-2</c:v>
                </c:pt>
                <c:pt idx="1798">
                  <c:v>2.1033801062769752E-2</c:v>
                </c:pt>
                <c:pt idx="1799">
                  <c:v>2.1028280262577193E-2</c:v>
                </c:pt>
                <c:pt idx="1800">
                  <c:v>2.1024163606462309E-2</c:v>
                </c:pt>
                <c:pt idx="1801">
                  <c:v>2.1019386780329885E-2</c:v>
                </c:pt>
                <c:pt idx="1802">
                  <c:v>2.1014637888986387E-2</c:v>
                </c:pt>
                <c:pt idx="1803">
                  <c:v>2.100991693235077E-2</c:v>
                </c:pt>
                <c:pt idx="1804">
                  <c:v>2.1005223910423032E-2</c:v>
                </c:pt>
                <c:pt idx="1805">
                  <c:v>2.0999894662547813E-2</c:v>
                </c:pt>
                <c:pt idx="1806">
                  <c:v>2.0995921670610151E-2</c:v>
                </c:pt>
                <c:pt idx="1807">
                  <c:v>2.0991312452806055E-2</c:v>
                </c:pt>
                <c:pt idx="1808">
                  <c:v>2.098607898113003E-2</c:v>
                </c:pt>
                <c:pt idx="1809">
                  <c:v>2.098152962346056E-2</c:v>
                </c:pt>
                <c:pt idx="1810">
                  <c:v>2.0977652407722092E-2</c:v>
                </c:pt>
                <c:pt idx="1811">
                  <c:v>2.0973154928749516E-2</c:v>
                </c:pt>
                <c:pt idx="1812">
                  <c:v>2.0968049158537339E-2</c:v>
                </c:pt>
                <c:pt idx="1813">
                  <c:v>2.096424377500905E-2</c:v>
                </c:pt>
                <c:pt idx="1814">
                  <c:v>2.0959830100160115E-2</c:v>
                </c:pt>
                <c:pt idx="1815">
                  <c:v>2.0954820106066085E-2</c:v>
                </c:pt>
                <c:pt idx="1816">
                  <c:v>2.0951086554504839E-2</c:v>
                </c:pt>
                <c:pt idx="1817">
                  <c:v>2.0946756683779544E-2</c:v>
                </c:pt>
                <c:pt idx="1818">
                  <c:v>2.0942454747762129E-2</c:v>
                </c:pt>
                <c:pt idx="1819">
                  <c:v>2.0938180746452595E-2</c:v>
                </c:pt>
                <c:pt idx="1820">
                  <c:v>2.0933934679769894E-2</c:v>
                </c:pt>
                <c:pt idx="1821">
                  <c:v>2.0929716547795074E-2</c:v>
                </c:pt>
                <c:pt idx="1822">
                  <c:v>2.0925534023314617E-2</c:v>
                </c:pt>
                <c:pt idx="1823">
                  <c:v>2.0917229760198941E-2</c:v>
                </c:pt>
                <c:pt idx="1824">
                  <c:v>2.0916641422310533E-2</c:v>
                </c:pt>
                <c:pt idx="1825">
                  <c:v>2.0912539019805054E-2</c:v>
                </c:pt>
                <c:pt idx="1826">
                  <c:v>2.0908464552007455E-2</c:v>
                </c:pt>
                <c:pt idx="1827">
                  <c:v>2.0904418018917736E-2</c:v>
                </c:pt>
                <c:pt idx="1828">
                  <c:v>2.0900399420535898E-2</c:v>
                </c:pt>
                <c:pt idx="1829">
                  <c:v>2.0895840942404265E-2</c:v>
                </c:pt>
                <c:pt idx="1830">
                  <c:v>2.0892446027733769E-2</c:v>
                </c:pt>
                <c:pt idx="1831">
                  <c:v>2.0888511233394524E-2</c:v>
                </c:pt>
                <c:pt idx="1832">
                  <c:v>2.088460437376316E-2</c:v>
                </c:pt>
                <c:pt idx="1833">
                  <c:v>2.088072544875863E-2</c:v>
                </c:pt>
                <c:pt idx="1834">
                  <c:v>2.0876874458543027E-2</c:v>
                </c:pt>
                <c:pt idx="1835">
                  <c:v>2.0873051402873211E-2</c:v>
                </c:pt>
                <c:pt idx="1836">
                  <c:v>2.0869256281992321E-2</c:v>
                </c:pt>
                <c:pt idx="1837">
                  <c:v>2.0864417887755948E-2</c:v>
                </c:pt>
                <c:pt idx="1838">
                  <c:v>2.0860686617404367E-2</c:v>
                </c:pt>
                <c:pt idx="1839">
                  <c:v>2.0856983281922759E-2</c:v>
                </c:pt>
                <c:pt idx="1840">
                  <c:v>2.0853307881067984E-2</c:v>
                </c:pt>
                <c:pt idx="1841">
                  <c:v>2.084966041492109E-2</c:v>
                </c:pt>
                <c:pt idx="1842">
                  <c:v>2.0846040883401029E-2</c:v>
                </c:pt>
                <c:pt idx="1843">
                  <c:v>2.0842449286588849E-2</c:v>
                </c:pt>
                <c:pt idx="1844">
                  <c:v>2.0838885624484549E-2</c:v>
                </c:pt>
                <c:pt idx="1845">
                  <c:v>2.0835349897007083E-2</c:v>
                </c:pt>
                <c:pt idx="1846">
                  <c:v>2.0831842104237497E-2</c:v>
                </c:pt>
                <c:pt idx="1847">
                  <c:v>2.0828362246094745E-2</c:v>
                </c:pt>
                <c:pt idx="1848">
                  <c:v>2.0824910322659873E-2</c:v>
                </c:pt>
                <c:pt idx="1849">
                  <c:v>2.0821486333851835E-2</c:v>
                </c:pt>
                <c:pt idx="1850">
                  <c:v>2.0818090279832724E-2</c:v>
                </c:pt>
                <c:pt idx="1851">
                  <c:v>2.08147221603594E-2</c:v>
                </c:pt>
                <c:pt idx="1852">
                  <c:v>2.0811381975593957E-2</c:v>
                </c:pt>
                <c:pt idx="1853">
                  <c:v>2.0808069725536393E-2</c:v>
                </c:pt>
                <c:pt idx="1854">
                  <c:v>2.0804785410105664E-2</c:v>
                </c:pt>
                <c:pt idx="1855">
                  <c:v>2.0801529029382815E-2</c:v>
                </c:pt>
                <c:pt idx="1856">
                  <c:v>2.07983005832868E-2</c:v>
                </c:pt>
                <c:pt idx="1857">
                  <c:v>2.0795100071898664E-2</c:v>
                </c:pt>
                <c:pt idx="1858">
                  <c:v>2.0791927495137363E-2</c:v>
                </c:pt>
                <c:pt idx="1859">
                  <c:v>2.0788782853002896E-2</c:v>
                </c:pt>
                <c:pt idx="1860">
                  <c:v>2.0785666145576309E-2</c:v>
                </c:pt>
                <c:pt idx="1861">
                  <c:v>2.0782577372857602E-2</c:v>
                </c:pt>
                <c:pt idx="1862">
                  <c:v>2.077951653476573E-2</c:v>
                </c:pt>
                <c:pt idx="1863">
                  <c:v>2.0776483631381737E-2</c:v>
                </c:pt>
                <c:pt idx="1864">
                  <c:v>2.0773478662624578E-2</c:v>
                </c:pt>
                <c:pt idx="1865">
                  <c:v>2.0770501628494253E-2</c:v>
                </c:pt>
                <c:pt idx="1866">
                  <c:v>2.0767552529071809E-2</c:v>
                </c:pt>
                <c:pt idx="1867">
                  <c:v>2.0764631364276198E-2</c:v>
                </c:pt>
                <c:pt idx="1868">
                  <c:v>2.0761738134107421E-2</c:v>
                </c:pt>
                <c:pt idx="1869">
                  <c:v>2.0758872838646525E-2</c:v>
                </c:pt>
                <c:pt idx="1870">
                  <c:v>2.0756035477812462E-2</c:v>
                </c:pt>
                <c:pt idx="1871">
                  <c:v>2.075322605168628E-2</c:v>
                </c:pt>
                <c:pt idx="1872">
                  <c:v>2.0750444560186931E-2</c:v>
                </c:pt>
                <c:pt idx="1873">
                  <c:v>2.0747691003395463E-2</c:v>
                </c:pt>
                <c:pt idx="1874">
                  <c:v>2.0743420424913506E-2</c:v>
                </c:pt>
                <c:pt idx="1875">
                  <c:v>2.0740738700008032E-2</c:v>
                </c:pt>
                <c:pt idx="1876">
                  <c:v>2.0739597940782062E-2</c:v>
                </c:pt>
                <c:pt idx="1877">
                  <c:v>2.0736956122578976E-2</c:v>
                </c:pt>
                <c:pt idx="1878">
                  <c:v>2.0734342238921677E-2</c:v>
                </c:pt>
                <c:pt idx="1879">
                  <c:v>2.0731756290053305E-2</c:v>
                </c:pt>
                <c:pt idx="1880">
                  <c:v>2.0729198275811767E-2</c:v>
                </c:pt>
                <c:pt idx="1881">
                  <c:v>2.0726668196197062E-2</c:v>
                </c:pt>
                <c:pt idx="1882">
                  <c:v>2.0724166051290238E-2</c:v>
                </c:pt>
                <c:pt idx="1883">
                  <c:v>2.0721691840848155E-2</c:v>
                </c:pt>
                <c:pt idx="1884">
                  <c:v>2.0719245565194999E-2</c:v>
                </c:pt>
                <c:pt idx="1885">
                  <c:v>2.0716827224168677E-2</c:v>
                </c:pt>
                <c:pt idx="1886">
                  <c:v>2.0714436817850235E-2</c:v>
                </c:pt>
                <c:pt idx="1887">
                  <c:v>2.0713755666847078E-2</c:v>
                </c:pt>
                <c:pt idx="1888">
                  <c:v>2.0709739809012806E-2</c:v>
                </c:pt>
                <c:pt idx="1889">
                  <c:v>2.0707433206574866E-2</c:v>
                </c:pt>
                <c:pt idx="1890">
                  <c:v>2.0705154538763759E-2</c:v>
                </c:pt>
                <c:pt idx="1891">
                  <c:v>2.0702903805660533E-2</c:v>
                </c:pt>
                <c:pt idx="1892">
                  <c:v>2.0700681007103094E-2</c:v>
                </c:pt>
                <c:pt idx="1893">
                  <c:v>2.0698486143334582E-2</c:v>
                </c:pt>
                <c:pt idx="1894">
                  <c:v>2.0696319214111858E-2</c:v>
                </c:pt>
                <c:pt idx="1895">
                  <c:v>2.0694180219515967E-2</c:v>
                </c:pt>
                <c:pt idx="1896">
                  <c:v>2.0692069159627957E-2</c:v>
                </c:pt>
                <c:pt idx="1897">
                  <c:v>2.0689986034285734E-2</c:v>
                </c:pt>
                <c:pt idx="1898">
                  <c:v>2.0687930843651392E-2</c:v>
                </c:pt>
                <c:pt idx="1899">
                  <c:v>2.068590358772493E-2</c:v>
                </c:pt>
                <c:pt idx="1900">
                  <c:v>2.0683904266344255E-2</c:v>
                </c:pt>
                <c:pt idx="1901">
                  <c:v>2.0681932879590414E-2</c:v>
                </c:pt>
                <c:pt idx="1902">
                  <c:v>2.0679989427544454E-2</c:v>
                </c:pt>
                <c:pt idx="1903">
                  <c:v>2.0678073910125327E-2</c:v>
                </c:pt>
                <c:pt idx="1904">
                  <c:v>2.0676186327333035E-2</c:v>
                </c:pt>
                <c:pt idx="1905">
                  <c:v>2.0674326679167576E-2</c:v>
                </c:pt>
                <c:pt idx="1906">
                  <c:v>2.0672494965547905E-2</c:v>
                </c:pt>
                <c:pt idx="1907">
                  <c:v>2.0670691186717161E-2</c:v>
                </c:pt>
                <c:pt idx="1908">
                  <c:v>2.0668915342432204E-2</c:v>
                </c:pt>
                <c:pt idx="1909">
                  <c:v>2.0667167432855127E-2</c:v>
                </c:pt>
                <c:pt idx="1910">
                  <c:v>2.066544745798593E-2</c:v>
                </c:pt>
                <c:pt idx="1911">
                  <c:v>2.0663755417662522E-2</c:v>
                </c:pt>
                <c:pt idx="1912">
                  <c:v>2.06620913118849E-2</c:v>
                </c:pt>
                <c:pt idx="1913">
                  <c:v>2.0660455140896206E-2</c:v>
                </c:pt>
                <c:pt idx="1914">
                  <c:v>2.0658846904453299E-2</c:v>
                </c:pt>
                <c:pt idx="1915">
                  <c:v>2.0657266602637225E-2</c:v>
                </c:pt>
                <c:pt idx="1916">
                  <c:v>2.0655714235447986E-2</c:v>
                </c:pt>
                <c:pt idx="1917">
                  <c:v>2.0654189802966627E-2</c:v>
                </c:pt>
                <c:pt idx="1918">
                  <c:v>2.0652693305031056E-2</c:v>
                </c:pt>
                <c:pt idx="1919">
                  <c:v>2.0651224741803365E-2</c:v>
                </c:pt>
                <c:pt idx="1920">
                  <c:v>2.0649784113202507E-2</c:v>
                </c:pt>
                <c:pt idx="1921">
                  <c:v>2.0648371419147438E-2</c:v>
                </c:pt>
                <c:pt idx="1922">
                  <c:v>2.0646986659881295E-2</c:v>
                </c:pt>
                <c:pt idx="1923">
                  <c:v>2.0645629835079893E-2</c:v>
                </c:pt>
                <c:pt idx="1924">
                  <c:v>2.0644300944986371E-2</c:v>
                </c:pt>
                <c:pt idx="1925">
                  <c:v>2.0642999989519684E-2</c:v>
                </c:pt>
                <c:pt idx="1926">
                  <c:v>2.0643703690272686E-2</c:v>
                </c:pt>
                <c:pt idx="1927">
                  <c:v>2.0639782946716423E-2</c:v>
                </c:pt>
                <c:pt idx="1928">
                  <c:v>2.0639264730880624E-2</c:v>
                </c:pt>
                <c:pt idx="1929">
                  <c:v>2.0638075514002319E-2</c:v>
                </c:pt>
                <c:pt idx="1930">
                  <c:v>2.0636914231669801E-2</c:v>
                </c:pt>
                <c:pt idx="1931">
                  <c:v>2.0635780884045163E-2</c:v>
                </c:pt>
                <c:pt idx="1932">
                  <c:v>2.0634675470885266E-2</c:v>
                </c:pt>
                <c:pt idx="1933">
                  <c:v>2.06344618758166E-2</c:v>
                </c:pt>
                <c:pt idx="1934">
                  <c:v>2.0632548448689114E-2</c:v>
                </c:pt>
                <c:pt idx="1935">
                  <c:v>2.0631526839490766E-2</c:v>
                </c:pt>
                <c:pt idx="1936">
                  <c:v>2.0630533165000298E-2</c:v>
                </c:pt>
                <c:pt idx="1937">
                  <c:v>2.0629567425055617E-2</c:v>
                </c:pt>
                <c:pt idx="1938">
                  <c:v>2.0628629619818817E-2</c:v>
                </c:pt>
                <c:pt idx="1939">
                  <c:v>2.0627719749127804E-2</c:v>
                </c:pt>
                <c:pt idx="1940">
                  <c:v>2.0626837813144672E-2</c:v>
                </c:pt>
                <c:pt idx="1941">
                  <c:v>2.0625983811707327E-2</c:v>
                </c:pt>
                <c:pt idx="1942">
                  <c:v>2.0627258449647412E-2</c:v>
                </c:pt>
                <c:pt idx="1943">
                  <c:v>2.0624359612794185E-2</c:v>
                </c:pt>
                <c:pt idx="1944">
                  <c:v>2.0623589415237342E-2</c:v>
                </c:pt>
                <c:pt idx="1945">
                  <c:v>2.0623805607217958E-2</c:v>
                </c:pt>
                <c:pt idx="1946">
                  <c:v>2.062213282416625E-2</c:v>
                </c:pt>
                <c:pt idx="1947">
                  <c:v>2.0621446430489909E-2</c:v>
                </c:pt>
                <c:pt idx="1948">
                  <c:v>2.0620787971440402E-2</c:v>
                </c:pt>
                <c:pt idx="1949">
                  <c:v>2.0620157447098775E-2</c:v>
                </c:pt>
                <c:pt idx="1950">
                  <c:v>2.0619554857302935E-2</c:v>
                </c:pt>
                <c:pt idx="1951">
                  <c:v>2.0618980202296022E-2</c:v>
                </c:pt>
                <c:pt idx="1952">
                  <c:v>2.0618433481672804E-2</c:v>
                </c:pt>
                <c:pt idx="1953">
                  <c:v>2.0617914695757467E-2</c:v>
                </c:pt>
                <c:pt idx="1954">
                  <c:v>2.0617423844550009E-2</c:v>
                </c:pt>
                <c:pt idx="1955">
                  <c:v>2.0616960927888339E-2</c:v>
                </c:pt>
                <c:pt idx="1956">
                  <c:v>2.0616525945853503E-2</c:v>
                </c:pt>
                <c:pt idx="1957">
                  <c:v>2.0616118898526548E-2</c:v>
                </c:pt>
                <c:pt idx="1958">
                  <c:v>2.0615739785745379E-2</c:v>
                </c:pt>
                <c:pt idx="1959">
                  <c:v>2.0615388607591045E-2</c:v>
                </c:pt>
                <c:pt idx="1960">
                  <c:v>2.0615065364144591E-2</c:v>
                </c:pt>
                <c:pt idx="1961">
                  <c:v>2.0614770055162879E-2</c:v>
                </c:pt>
                <c:pt idx="1962">
                  <c:v>2.0614502680970093E-2</c:v>
                </c:pt>
                <c:pt idx="1963">
                  <c:v>2.0614263241323094E-2</c:v>
                </c:pt>
                <c:pt idx="1964">
                  <c:v>2.061405173630293E-2</c:v>
                </c:pt>
                <c:pt idx="1965">
                  <c:v>2.0614985250733502E-2</c:v>
                </c:pt>
                <c:pt idx="1966">
                  <c:v>2.0613712530143102E-2</c:v>
                </c:pt>
                <c:pt idx="1967">
                  <c:v>2.061358482900344E-2</c:v>
                </c:pt>
                <c:pt idx="1968">
                  <c:v>2.0613485062490611E-2</c:v>
                </c:pt>
                <c:pt idx="1969">
                  <c:v>2.0613413230604616E-2</c:v>
                </c:pt>
                <c:pt idx="1970">
                  <c:v>2.0613369333345455E-2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52037120"/>
        <c:axId val="652051584"/>
      </c:lineChart>
      <c:dateAx>
        <c:axId val="652037120"/>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52051584"/>
        <c:crosses val="autoZero"/>
        <c:auto val="1"/>
        <c:lblOffset val="100"/>
        <c:baseTimeUnit val="days"/>
        <c:majorUnit val="3"/>
        <c:majorTimeUnit val="months"/>
      </c:dateAx>
      <c:valAx>
        <c:axId val="652051584"/>
        <c:scaling>
          <c:orientation val="minMax"/>
          <c:max val="2E-3"/>
          <c:min val="1E-3"/>
        </c:scaling>
        <c:delete val="0"/>
        <c:axPos val="l"/>
        <c:majorGridlines/>
        <c:numFmt formatCode="0.00%" sourceLinked="0"/>
        <c:majorTickMark val="out"/>
        <c:minorTickMark val="none"/>
        <c:tickLblPos val="nextTo"/>
        <c:crossAx val="652037120"/>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36</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46</xdr:row>
          <xdr:rowOff>114300</xdr:rowOff>
        </xdr:from>
        <xdr:to>
          <xdr:col>10</xdr:col>
          <xdr:colOff>209550</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2">
          <cell r="D12" t="str">
            <v>JPY6M#0000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53.7109375" style="75" bestFit="1" customWidth="1"/>
    <col min="14" max="14" width="2.7109375" style="75" customWidth="1"/>
    <col min="15" max="16384" width="8" style="75"/>
  </cols>
  <sheetData>
    <row r="1" spans="2:14" ht="12" thickBot="1" x14ac:dyDescent="0.25">
      <c r="B1" s="75" t="str">
        <f>_xll.qlxlVersion(TRUE,Trigger)</f>
        <v>QuantLibXL 1.5.0 - MS VC++ 9.0 - Multithreaded Dynamic Runtime library - Release Configuration - Oct 13 2014 15:51:57</v>
      </c>
    </row>
    <row r="2" spans="2:14" ht="18.75" thickBot="1" x14ac:dyDescent="0.3">
      <c r="B2" s="263" t="s">
        <v>84</v>
      </c>
      <c r="C2" s="264"/>
      <c r="D2" s="264"/>
      <c r="E2" s="264"/>
      <c r="F2" s="265"/>
      <c r="K2" s="263" t="s">
        <v>95</v>
      </c>
      <c r="L2" s="264"/>
      <c r="M2" s="264"/>
      <c r="N2" s="266"/>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63" t="s">
        <v>91</v>
      </c>
      <c r="L9" s="264"/>
      <c r="M9" s="264"/>
      <c r="N9" s="266"/>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113</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_JPYYC6M#0001</v>
      </c>
      <c r="E14" s="24"/>
      <c r="F14" s="23"/>
      <c r="K14" s="63"/>
      <c r="L14" s="62" t="s">
        <v>108</v>
      </c>
      <c r="M14" s="64" t="s">
        <v>154</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63" t="s">
        <v>158</v>
      </c>
      <c r="L18" s="264"/>
      <c r="M18" s="264"/>
      <c r="N18" s="266"/>
    </row>
    <row r="19" spans="2:14" ht="12.75" x14ac:dyDescent="0.2">
      <c r="B19" s="26"/>
      <c r="C19" s="35" t="s">
        <v>63</v>
      </c>
      <c r="D19" s="42" t="str">
        <f>Currency&amp;"TOY_SYNTH"&amp;IndexTenor&amp;"_Quote"</f>
        <v>JPYTOY_SYNTH6M_Quote</v>
      </c>
      <c r="E19" s="41" t="str">
        <f>Currency&amp;"TOY2_SYNTH"&amp;IndexTenor&amp;"_Quote"</f>
        <v>JPYTOY2_SYNTH6M_Quote</v>
      </c>
      <c r="F19" s="23"/>
      <c r="K19" s="63"/>
      <c r="L19" s="65"/>
      <c r="M19" s="65"/>
      <c r="N19" s="60"/>
    </row>
    <row r="20" spans="2:14" ht="12.75" x14ac:dyDescent="0.2">
      <c r="B20" s="26"/>
      <c r="C20" s="35" t="s">
        <v>62</v>
      </c>
      <c r="D20" s="40">
        <f>DATE(YEAR(_xll.qlCalendarAdvance(Calendar,_xll.qlSettingsEvaluationDate(Trigger),NDays&amp;"D")),12,31)</f>
        <v>42004</v>
      </c>
      <c r="E20" s="39">
        <f>DATE(YEAR(D20+1),12,31)</f>
        <v>42369</v>
      </c>
      <c r="F20" s="23"/>
      <c r="K20" s="63"/>
      <c r="L20" s="62" t="s">
        <v>152</v>
      </c>
      <c r="M20" s="61" t="s">
        <v>112</v>
      </c>
      <c r="N20" s="60"/>
    </row>
    <row r="21" spans="2:14" ht="12.75" x14ac:dyDescent="0.2">
      <c r="B21" s="26"/>
      <c r="C21" s="35" t="s">
        <v>61</v>
      </c>
      <c r="D21" s="38"/>
      <c r="E21" s="37"/>
      <c r="F21" s="23"/>
      <c r="K21" s="63"/>
      <c r="L21" s="62" t="s">
        <v>153</v>
      </c>
      <c r="M21" s="64" t="s">
        <v>151</v>
      </c>
      <c r="N21" s="60"/>
    </row>
    <row r="22" spans="2:14" ht="12.75" x14ac:dyDescent="0.2">
      <c r="B22" s="26"/>
      <c r="C22" s="35" t="s">
        <v>60</v>
      </c>
      <c r="D22" s="36" t="e">
        <f>NA()</f>
        <v>#N/A</v>
      </c>
      <c r="E22" s="24"/>
      <c r="F22" s="23"/>
      <c r="K22" s="63"/>
      <c r="L22" s="62" t="s">
        <v>157</v>
      </c>
      <c r="M22" s="64" t="b">
        <f>_xll.qlCalendarIsHoliday(LocalCalendar,_xll.qlCalendarAdvance(LiborCalendar,_xll.qlSettingsEvaluationDate(Trigger),NDays&amp;"D","f",FALSE,Trigger))</f>
        <v>0</v>
      </c>
      <c r="N22" s="60"/>
    </row>
    <row r="23" spans="2:14" ht="12.75" x14ac:dyDescent="0.2">
      <c r="B23" s="26"/>
      <c r="C23" s="35" t="s">
        <v>59</v>
      </c>
      <c r="D23" s="34" t="s">
        <v>58</v>
      </c>
      <c r="E23" s="24"/>
      <c r="F23" s="23"/>
      <c r="K23" s="63"/>
      <c r="L23" s="62" t="s">
        <v>156</v>
      </c>
      <c r="M23" s="64" t="str">
        <f>IF(M22,LocalCalendar,LiborCalendar)</f>
        <v>UnitedKingdom::Exchange</v>
      </c>
      <c r="N23" s="60"/>
    </row>
    <row r="24" spans="2:14" ht="13.5" thickBot="1" x14ac:dyDescent="0.25">
      <c r="B24" s="26"/>
      <c r="C24" s="33" t="s">
        <v>57</v>
      </c>
      <c r="D24" s="32" t="s">
        <v>56</v>
      </c>
      <c r="E24" s="24"/>
      <c r="F24" s="23"/>
      <c r="K24" s="59"/>
      <c r="L24" s="58"/>
      <c r="M24" s="58"/>
      <c r="N24" s="57"/>
    </row>
    <row r="25" spans="2:14" x14ac:dyDescent="0.2">
      <c r="B25" s="26"/>
      <c r="C25" s="31"/>
      <c r="D25" s="31"/>
      <c r="E25" s="24"/>
      <c r="F25" s="23"/>
    </row>
    <row r="26" spans="2:14" x14ac:dyDescent="0.2">
      <c r="B26" s="26"/>
      <c r="C26" s="30">
        <f>_xll.qlTermStructureReferenceDate(YieldCurve)</f>
        <v>41947</v>
      </c>
      <c r="D26" s="29">
        <f>MAX(_xll.ohPack(Selected!J1:J126))</f>
        <v>1</v>
      </c>
      <c r="E26" s="24"/>
      <c r="F26" s="23"/>
    </row>
    <row r="27" spans="2:14" x14ac:dyDescent="0.2">
      <c r="B27" s="26"/>
      <c r="C27" s="28">
        <f>MAX(_xll.ohPack(Selected!I2:I126))</f>
        <v>52905</v>
      </c>
      <c r="D27" s="27">
        <f>MIN(_xll.ohPack(Selected!J1:J126))</f>
        <v>0.61427590043114888</v>
      </c>
      <c r="E27" s="24"/>
      <c r="F27" s="23"/>
    </row>
    <row r="28" spans="2:14" x14ac:dyDescent="0.2">
      <c r="B28" s="26"/>
      <c r="C28" s="106" t="s">
        <v>47</v>
      </c>
      <c r="D28" s="107" t="str">
        <f>_xll.ohRangeRetrieveError(Selected!J1)</f>
        <v/>
      </c>
      <c r="E28" s="24"/>
      <c r="F28" s="23"/>
    </row>
    <row r="29" spans="2:14" x14ac:dyDescent="0.2">
      <c r="B29" s="26"/>
      <c r="C29" s="25" t="str">
        <f>[1]Libor!$D$12</f>
        <v>JPY6M#0000</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67" t="s">
        <v>46</v>
      </c>
      <c r="C1" s="268"/>
      <c r="D1" s="269"/>
      <c r="E1" s="83" t="s">
        <v>45</v>
      </c>
      <c r="F1" s="83" t="s">
        <v>114</v>
      </c>
      <c r="G1" s="83" t="s">
        <v>44</v>
      </c>
      <c r="H1" s="83" t="s">
        <v>43</v>
      </c>
      <c r="I1" s="83" t="s">
        <v>42</v>
      </c>
      <c r="J1" s="83" t="s">
        <v>41</v>
      </c>
      <c r="K1" s="83" t="s">
        <v>40</v>
      </c>
      <c r="L1" s="83" t="s">
        <v>39</v>
      </c>
      <c r="M1" s="83" t="s">
        <v>38</v>
      </c>
    </row>
    <row r="2" spans="2:13" x14ac:dyDescent="0.2">
      <c r="B2" s="110"/>
      <c r="C2" s="85"/>
      <c r="D2" s="85" t="s">
        <v>115</v>
      </c>
      <c r="E2" s="85" t="str">
        <f>Deposits!E3</f>
        <v>obj_003d3#0001</v>
      </c>
      <c r="F2" s="85" t="str">
        <f>_xll.qlRateHelperQuoteName(E2)</f>
        <v>JPYSND_SYNTH6M_Quote</v>
      </c>
      <c r="G2" s="86">
        <f>_xll.qlRateHelperQuoteValue($E2,Trigger)</f>
        <v>2.0969999999999999E-3</v>
      </c>
      <c r="H2" s="86"/>
      <c r="I2" s="87" t="b">
        <v>0</v>
      </c>
      <c r="J2" s="87">
        <v>10</v>
      </c>
      <c r="K2" s="87">
        <v>1</v>
      </c>
      <c r="L2" s="100">
        <f>_xll.qlRateHelperEarliestDate($E2,Trigger)</f>
        <v>41947</v>
      </c>
      <c r="M2" s="101">
        <f>_xll.qlRateHelperLatestDate($E2,Trigger)</f>
        <v>41948</v>
      </c>
    </row>
    <row r="3" spans="2:13" x14ac:dyDescent="0.2">
      <c r="B3" s="111"/>
      <c r="C3" s="85"/>
      <c r="D3" s="85" t="s">
        <v>116</v>
      </c>
      <c r="E3" s="85" t="str">
        <f>Deposits!E4</f>
        <v>obj_003da#0001</v>
      </c>
      <c r="F3" s="85" t="str">
        <f>_xll.qlRateHelperQuoteName(E3)</f>
        <v>JPYSWD_SYNTH6M_Quote</v>
      </c>
      <c r="G3" s="86">
        <f>_xll.qlRateHelperQuoteValue($E3,Trigger)</f>
        <v>2.0730000000000002E-3</v>
      </c>
      <c r="H3" s="86"/>
      <c r="I3" s="87" t="b">
        <v>0</v>
      </c>
      <c r="J3" s="87">
        <v>10</v>
      </c>
      <c r="K3" s="87">
        <v>1</v>
      </c>
      <c r="L3" s="100">
        <f>_xll.qlRateHelperEarliestDate($E3,Trigger)</f>
        <v>41947</v>
      </c>
      <c r="M3" s="101">
        <f>_xll.qlRateHelperLatestDate($E3,Trigger)</f>
        <v>41954</v>
      </c>
    </row>
    <row r="4" spans="2:13" x14ac:dyDescent="0.2">
      <c r="B4" s="111"/>
      <c r="C4" s="85"/>
      <c r="D4" s="85" t="s">
        <v>117</v>
      </c>
      <c r="E4" s="85" t="str">
        <f>Deposits!E5</f>
        <v>obj_003d6#0001</v>
      </c>
      <c r="F4" s="85" t="str">
        <f>_xll.qlRateHelperQuoteName(E4)</f>
        <v>JPY2WD_SYNTH6M_Quote</v>
      </c>
      <c r="G4" s="86">
        <f>_xll.qlRateHelperQuoteValue($E4,Trigger)</f>
        <v>2.0439999999999998E-3</v>
      </c>
      <c r="H4" s="86"/>
      <c r="I4" s="87" t="b">
        <v>0</v>
      </c>
      <c r="J4" s="87">
        <v>10</v>
      </c>
      <c r="K4" s="87">
        <v>1</v>
      </c>
      <c r="L4" s="100">
        <f>_xll.qlRateHelperEarliestDate($E4,Trigger)</f>
        <v>41947</v>
      </c>
      <c r="M4" s="101">
        <f>_xll.qlRateHelperLatestDate($E4,Trigger)</f>
        <v>41961</v>
      </c>
    </row>
    <row r="5" spans="2:13" x14ac:dyDescent="0.2">
      <c r="B5" s="111"/>
      <c r="C5" s="85"/>
      <c r="D5" s="85" t="s">
        <v>118</v>
      </c>
      <c r="E5" s="85" t="str">
        <f>Deposits!E6</f>
        <v>obj_003d7#0001</v>
      </c>
      <c r="F5" s="85" t="str">
        <f>_xll.qlRateHelperQuoteName(E5)</f>
        <v>JPY3WD_SYNTH6M_Quote</v>
      </c>
      <c r="G5" s="86">
        <f>_xll.qlRateHelperQuoteValue($E5,Trigger)</f>
        <v>2.016E-3</v>
      </c>
      <c r="H5" s="86"/>
      <c r="I5" s="87" t="b">
        <v>0</v>
      </c>
      <c r="J5" s="87">
        <v>10</v>
      </c>
      <c r="K5" s="87">
        <v>1</v>
      </c>
      <c r="L5" s="100">
        <f>_xll.qlRateHelperEarliestDate($E5,Trigger)</f>
        <v>41947</v>
      </c>
      <c r="M5" s="101">
        <f>_xll.qlRateHelperLatestDate($E5,Trigger)</f>
        <v>41968</v>
      </c>
    </row>
    <row r="6" spans="2:13" x14ac:dyDescent="0.2">
      <c r="B6" s="111"/>
      <c r="C6" s="85"/>
      <c r="D6" s="85" t="s">
        <v>119</v>
      </c>
      <c r="E6" s="85" t="str">
        <f>Deposits!E7</f>
        <v>obj_003d9#0001</v>
      </c>
      <c r="F6" s="85" t="str">
        <f>_xll.qlRateHelperQuoteName(E6)</f>
        <v>JPY1MD_SYNTH6M_Quote</v>
      </c>
      <c r="G6" s="86">
        <f>_xll.qlRateHelperQuoteValue($E6,Trigger)</f>
        <v>1.9780000000000002E-3</v>
      </c>
      <c r="H6" s="86"/>
      <c r="I6" s="87" t="b">
        <v>1</v>
      </c>
      <c r="J6" s="87">
        <v>10</v>
      </c>
      <c r="K6" s="87">
        <v>1</v>
      </c>
      <c r="L6" s="100">
        <f>_xll.qlRateHelperEarliestDate($E6,Trigger)</f>
        <v>41947</v>
      </c>
      <c r="M6" s="101">
        <f>_xll.qlRateHelperLatestDate($E6,Trigger)</f>
        <v>41977</v>
      </c>
    </row>
    <row r="7" spans="2:13" x14ac:dyDescent="0.2">
      <c r="B7" s="111"/>
      <c r="C7" s="85"/>
      <c r="D7" s="85" t="s">
        <v>120</v>
      </c>
      <c r="E7" s="85" t="str">
        <f>Deposits!E8</f>
        <v>obj_003d5#0001</v>
      </c>
      <c r="F7" s="85" t="str">
        <f>_xll.qlRateHelperQuoteName(E7)</f>
        <v>JPY2MD_SYNTH6M_Quote</v>
      </c>
      <c r="G7" s="86">
        <f>_xll.qlRateHelperQuoteValue($E7,Trigger)</f>
        <v>1.854E-3</v>
      </c>
      <c r="H7" s="86"/>
      <c r="I7" s="87" t="b">
        <v>1</v>
      </c>
      <c r="J7" s="87">
        <v>10</v>
      </c>
      <c r="K7" s="87">
        <v>1</v>
      </c>
      <c r="L7" s="100">
        <f>_xll.qlRateHelperEarliestDate($E7,Trigger)</f>
        <v>41947</v>
      </c>
      <c r="M7" s="101">
        <f>_xll.qlRateHelperLatestDate($E7,Trigger)</f>
        <v>42009</v>
      </c>
    </row>
    <row r="8" spans="2:13" x14ac:dyDescent="0.2">
      <c r="B8" s="111"/>
      <c r="C8" s="85"/>
      <c r="D8" s="85" t="s">
        <v>121</v>
      </c>
      <c r="E8" s="85" t="str">
        <f>Deposits!E9</f>
        <v>obj_003d8#0001</v>
      </c>
      <c r="F8" s="85" t="str">
        <f>_xll.qlRateHelperQuoteName(E8)</f>
        <v>JPY3MD_SYNTH6M_Quote</v>
      </c>
      <c r="G8" s="86">
        <f>_xll.qlRateHelperQuoteValue($E8,Trigger)</f>
        <v>1.756E-3</v>
      </c>
      <c r="H8" s="86"/>
      <c r="I8" s="87" t="b">
        <v>1</v>
      </c>
      <c r="J8" s="87">
        <v>10</v>
      </c>
      <c r="K8" s="87">
        <v>1</v>
      </c>
      <c r="L8" s="100">
        <f>_xll.qlRateHelperEarliestDate($E8,Trigger)</f>
        <v>41947</v>
      </c>
      <c r="M8" s="101">
        <f>_xll.qlRateHelperLatestDate($E8,Trigger)</f>
        <v>42039</v>
      </c>
    </row>
    <row r="9" spans="2:13" x14ac:dyDescent="0.2">
      <c r="B9" s="111"/>
      <c r="C9" s="85"/>
      <c r="D9" s="85" t="s">
        <v>122</v>
      </c>
      <c r="E9" s="85" t="str">
        <f>Deposits!E10</f>
        <v>obj_003d1#0001</v>
      </c>
      <c r="F9" s="85" t="str">
        <f>_xll.qlRateHelperQuoteName(E9)</f>
        <v>JPY4MD_SYNTH6M_Quote</v>
      </c>
      <c r="G9" s="86">
        <f>_xll.qlRateHelperQuoteValue($E9,Trigger)</f>
        <v>1.6770000000000001E-3</v>
      </c>
      <c r="H9" s="86"/>
      <c r="I9" s="87" t="b">
        <v>1</v>
      </c>
      <c r="J9" s="87">
        <v>10</v>
      </c>
      <c r="K9" s="87">
        <v>1</v>
      </c>
      <c r="L9" s="100">
        <f>_xll.qlRateHelperEarliestDate($E9,Trigger)</f>
        <v>41947</v>
      </c>
      <c r="M9" s="101">
        <f>_xll.qlRateHelperLatestDate($E9,Trigger)</f>
        <v>42067</v>
      </c>
    </row>
    <row r="10" spans="2:13" x14ac:dyDescent="0.2">
      <c r="B10" s="111"/>
      <c r="C10" s="85"/>
      <c r="D10" s="85" t="s">
        <v>123</v>
      </c>
      <c r="E10" s="85" t="str">
        <f>Deposits!E11</f>
        <v>obj_003d4#0001</v>
      </c>
      <c r="F10" s="85" t="str">
        <f>_xll.qlRateHelperQuoteName(E10)</f>
        <v>JPY5MD_SYNTH6M_Quote</v>
      </c>
      <c r="G10" s="86">
        <f>_xll.qlRateHelperQuoteValue($E10,Trigger)</f>
        <v>1.6329999999999999E-3</v>
      </c>
      <c r="H10" s="86"/>
      <c r="I10" s="87" t="b">
        <v>1</v>
      </c>
      <c r="J10" s="87">
        <v>10</v>
      </c>
      <c r="K10" s="87">
        <v>1</v>
      </c>
      <c r="L10" s="100">
        <f>_xll.qlRateHelperEarliestDate($E10,Trigger)</f>
        <v>41947</v>
      </c>
      <c r="M10" s="101">
        <f>_xll.qlRateHelperLatestDate($E10,Trigger)</f>
        <v>42101</v>
      </c>
    </row>
    <row r="11" spans="2:13" x14ac:dyDescent="0.2">
      <c r="B11" s="112"/>
      <c r="C11" s="85"/>
      <c r="D11" s="85" t="s">
        <v>85</v>
      </c>
      <c r="E11" s="85" t="str">
        <f>Deposits!E12</f>
        <v>obj_003d2#0001</v>
      </c>
      <c r="F11" s="85" t="str">
        <f>_xll.qlRateHelperQuoteName(E11)</f>
        <v>JPY6MD_SYNTH6M_Quote</v>
      </c>
      <c r="G11" s="86">
        <f>_xll.qlRateHelperQuoteValue($E11,Trigger)</f>
        <v>1.6130000000000001E-3</v>
      </c>
      <c r="H11" s="86"/>
      <c r="I11" s="87" t="b">
        <v>1</v>
      </c>
      <c r="J11" s="87">
        <v>10</v>
      </c>
      <c r="K11" s="87">
        <v>1</v>
      </c>
      <c r="L11" s="100">
        <f>_xll.qlRateHelperEarliestDate($E11,Trigger)</f>
        <v>41947</v>
      </c>
      <c r="M11" s="101">
        <f>_xll.qlRateHelperLatestDate($E11,Trigger)</f>
        <v>42129</v>
      </c>
    </row>
    <row r="12" spans="2:13" x14ac:dyDescent="0.2">
      <c r="B12" s="88">
        <v>1</v>
      </c>
      <c r="C12" s="89" t="s">
        <v>37</v>
      </c>
      <c r="D12" s="90" t="str">
        <f t="shared" ref="D12:D20" si="0">(B12+Months)&amp;"F"</f>
        <v>7F</v>
      </c>
      <c r="E12" s="90" t="str">
        <f>FRAs!H3</f>
        <v>obj_003eb#0001</v>
      </c>
      <c r="F12" s="90" t="str">
        <f>_xll.qlRateHelperQuoteName(E12)</f>
        <v>JPY1x7F_Quote</v>
      </c>
      <c r="G12" s="91">
        <f>_xll.qlRateHelperQuoteValue($E12,Trigger)</f>
        <v>1.5499999999999999E-3</v>
      </c>
      <c r="H12" s="91"/>
      <c r="I12" s="92" t="b">
        <v>1</v>
      </c>
      <c r="J12" s="92">
        <v>20</v>
      </c>
      <c r="K12" s="92">
        <v>1</v>
      </c>
      <c r="L12" s="102">
        <f>_xll.qlRateHelperEarliestDate($E12,Trigger)</f>
        <v>41977</v>
      </c>
      <c r="M12" s="103">
        <f>_xll.qlRateHelperLatestDate($E12,Trigger)</f>
        <v>42159</v>
      </c>
    </row>
    <row r="13" spans="2:13" x14ac:dyDescent="0.2">
      <c r="B13" s="98">
        <v>2</v>
      </c>
      <c r="C13" s="84" t="s">
        <v>37</v>
      </c>
      <c r="D13" s="85" t="str">
        <f t="shared" si="0"/>
        <v>8F</v>
      </c>
      <c r="E13" s="85" t="str">
        <f>FRAs!H4</f>
        <v>obj_003e3#0001</v>
      </c>
      <c r="F13" s="85" t="str">
        <f>_xll.qlRateHelperQuoteName(E13)</f>
        <v>JPY2x8F_Quote</v>
      </c>
      <c r="G13" s="86">
        <f>_xll.qlRateHelperQuoteValue($E13,Trigger)</f>
        <v>1.5499999999999999E-3</v>
      </c>
      <c r="H13" s="86"/>
      <c r="I13" s="87" t="b">
        <v>1</v>
      </c>
      <c r="J13" s="87">
        <v>20</v>
      </c>
      <c r="K13" s="87">
        <v>1</v>
      </c>
      <c r="L13" s="100">
        <f>_xll.qlRateHelperEarliestDate($E13,Trigger)</f>
        <v>42009</v>
      </c>
      <c r="M13" s="101">
        <f>_xll.qlRateHelperLatestDate($E13,Trigger)</f>
        <v>42191</v>
      </c>
    </row>
    <row r="14" spans="2:13" x14ac:dyDescent="0.2">
      <c r="B14" s="98">
        <v>3</v>
      </c>
      <c r="C14" s="84" t="s">
        <v>37</v>
      </c>
      <c r="D14" s="85" t="str">
        <f t="shared" si="0"/>
        <v>9F</v>
      </c>
      <c r="E14" s="85" t="str">
        <f>FRAs!H5</f>
        <v>obj_00402#0001</v>
      </c>
      <c r="F14" s="85" t="str">
        <f>_xll.qlRateHelperQuoteName(E14)</f>
        <v>JPY3x9F_Quote</v>
      </c>
      <c r="G14" s="86">
        <f>_xll.qlRateHelperQuoteValue($E14,Trigger)</f>
        <v>1.5499999999999999E-3</v>
      </c>
      <c r="H14" s="86"/>
      <c r="I14" s="87" t="b">
        <v>1</v>
      </c>
      <c r="J14" s="87">
        <v>20</v>
      </c>
      <c r="K14" s="87">
        <v>1</v>
      </c>
      <c r="L14" s="100">
        <f>_xll.qlRateHelperEarliestDate($E14,Trigger)</f>
        <v>42039</v>
      </c>
      <c r="M14" s="101">
        <f>_xll.qlRateHelperLatestDate($E14,Trigger)</f>
        <v>42220</v>
      </c>
    </row>
    <row r="15" spans="2:13" x14ac:dyDescent="0.2">
      <c r="B15" s="98">
        <v>4</v>
      </c>
      <c r="C15" s="84" t="s">
        <v>37</v>
      </c>
      <c r="D15" s="85" t="str">
        <f t="shared" si="0"/>
        <v>10F</v>
      </c>
      <c r="E15" s="85" t="str">
        <f>FRAs!H6</f>
        <v>obj_00409#0001</v>
      </c>
      <c r="F15" s="85" t="str">
        <f>_xll.qlRateHelperQuoteName(E15)</f>
        <v>JPY4x10F_Quote</v>
      </c>
      <c r="G15" s="86">
        <f>_xll.qlRateHelperQuoteValue($E15,Trigger)</f>
        <v>1.5000000000000002E-3</v>
      </c>
      <c r="H15" s="86"/>
      <c r="I15" s="87" t="b">
        <v>1</v>
      </c>
      <c r="J15" s="87">
        <v>20</v>
      </c>
      <c r="K15" s="87">
        <v>1</v>
      </c>
      <c r="L15" s="100">
        <f>_xll.qlRateHelperEarliestDate($E15,Trigger)</f>
        <v>42067</v>
      </c>
      <c r="M15" s="101">
        <f>_xll.qlRateHelperLatestDate($E15,Trigger)</f>
        <v>42251</v>
      </c>
    </row>
    <row r="16" spans="2:13" x14ac:dyDescent="0.2">
      <c r="B16" s="98">
        <v>5</v>
      </c>
      <c r="C16" s="84" t="s">
        <v>37</v>
      </c>
      <c r="D16" s="85" t="str">
        <f t="shared" si="0"/>
        <v>11F</v>
      </c>
      <c r="E16" s="85" t="str">
        <f>FRAs!H7</f>
        <v>obj_00406#0001</v>
      </c>
      <c r="F16" s="85" t="str">
        <f>_xll.qlRateHelperQuoteName(E16)</f>
        <v>JPY5x11F_Quote</v>
      </c>
      <c r="G16" s="86">
        <f>_xll.qlRateHelperQuoteValue($E16,Trigger)</f>
        <v>1.5000000000000002E-3</v>
      </c>
      <c r="H16" s="86"/>
      <c r="I16" s="87" t="b">
        <v>1</v>
      </c>
      <c r="J16" s="87">
        <v>20</v>
      </c>
      <c r="K16" s="87">
        <v>1</v>
      </c>
      <c r="L16" s="100">
        <f>_xll.qlRateHelperEarliestDate($E16,Trigger)</f>
        <v>42101</v>
      </c>
      <c r="M16" s="101">
        <f>_xll.qlRateHelperLatestDate($E16,Trigger)</f>
        <v>42284</v>
      </c>
    </row>
    <row r="17" spans="2:15" x14ac:dyDescent="0.2">
      <c r="B17" s="98">
        <v>6</v>
      </c>
      <c r="C17" s="84" t="s">
        <v>37</v>
      </c>
      <c r="D17" s="85" t="str">
        <f t="shared" si="0"/>
        <v>12F</v>
      </c>
      <c r="E17" s="85" t="str">
        <f>FRAs!H8</f>
        <v>obj_003ff#0001</v>
      </c>
      <c r="F17" s="85" t="str">
        <f>_xll.qlRateHelperQuoteName(E17)</f>
        <v>JPY6x12F_Quote</v>
      </c>
      <c r="G17" s="86">
        <f>_xll.qlRateHelperQuoteValue($E17,Trigger)</f>
        <v>1.5000000000000002E-3</v>
      </c>
      <c r="H17" s="86"/>
      <c r="I17" s="87" t="b">
        <v>1</v>
      </c>
      <c r="J17" s="87">
        <v>20</v>
      </c>
      <c r="K17" s="87">
        <v>1</v>
      </c>
      <c r="L17" s="100">
        <f>_xll.qlRateHelperEarliestDate($E17,Trigger)</f>
        <v>42129</v>
      </c>
      <c r="M17" s="101">
        <f>_xll.qlRateHelperLatestDate($E17,Trigger)</f>
        <v>42313</v>
      </c>
    </row>
    <row r="18" spans="2:15" x14ac:dyDescent="0.2">
      <c r="B18" s="98">
        <v>9</v>
      </c>
      <c r="C18" s="84" t="s">
        <v>37</v>
      </c>
      <c r="D18" s="85" t="str">
        <f t="shared" si="0"/>
        <v>15F</v>
      </c>
      <c r="E18" s="85" t="str">
        <f>FRAs!H11</f>
        <v>obj_003fe#0001</v>
      </c>
      <c r="F18" s="85" t="str">
        <f>_xll.qlRateHelperQuoteName(E18)</f>
        <v>JPY9x15F_Quote</v>
      </c>
      <c r="G18" s="86" t="e">
        <f>_xll.qlRateHelperQuoteValue($E18,Trigger)</f>
        <v>#NUM!</v>
      </c>
      <c r="H18" s="86"/>
      <c r="I18" s="87" t="b">
        <v>0</v>
      </c>
      <c r="J18" s="87">
        <v>20</v>
      </c>
      <c r="K18" s="87">
        <v>1</v>
      </c>
      <c r="L18" s="100">
        <f>_xll.qlRateHelperEarliestDate($E18,Trigger)</f>
        <v>42220</v>
      </c>
      <c r="M18" s="101">
        <f>_xll.qlRateHelperLatestDate($E18,Trigger)</f>
        <v>42404</v>
      </c>
    </row>
    <row r="19" spans="2:15" x14ac:dyDescent="0.2">
      <c r="B19" s="98">
        <v>12</v>
      </c>
      <c r="C19" s="84" t="s">
        <v>37</v>
      </c>
      <c r="D19" s="85" t="str">
        <f t="shared" si="0"/>
        <v>18F</v>
      </c>
      <c r="E19" s="85" t="str">
        <f>FRAs!H14</f>
        <v>obj_003e4#0001</v>
      </c>
      <c r="F19" s="85" t="str">
        <f>_xll.qlRateHelperQuoteName(E19)</f>
        <v>JPY12x18F_Quote</v>
      </c>
      <c r="G19" s="86">
        <f>_xll.qlRateHelperQuoteValue($E19,Trigger)</f>
        <v>1.4500000000000001E-3</v>
      </c>
      <c r="H19" s="86"/>
      <c r="I19" s="87" t="b">
        <v>0</v>
      </c>
      <c r="J19" s="87">
        <v>20</v>
      </c>
      <c r="K19" s="87">
        <v>1</v>
      </c>
      <c r="L19" s="100">
        <f>_xll.qlRateHelperEarliestDate($E19,Trigger)</f>
        <v>42312</v>
      </c>
      <c r="M19" s="101">
        <f>_xll.qlRateHelperLatestDate($E19,Trigger)</f>
        <v>42496</v>
      </c>
    </row>
    <row r="20" spans="2:15" x14ac:dyDescent="0.2">
      <c r="B20" s="93">
        <v>18</v>
      </c>
      <c r="C20" s="94" t="s">
        <v>37</v>
      </c>
      <c r="D20" s="95" t="str">
        <f t="shared" si="0"/>
        <v>24F</v>
      </c>
      <c r="E20" s="85" t="str">
        <f>FRAs!H20</f>
        <v>obj_003e1#0001</v>
      </c>
      <c r="F20" s="95" t="str">
        <f>_xll.qlRateHelperQuoteName(E20)</f>
        <v>JPY18x24F_Quote</v>
      </c>
      <c r="G20" s="96">
        <f>_xll.qlRateHelperQuoteValue($E20,Trigger)</f>
        <v>1.5000000000000002E-3</v>
      </c>
      <c r="H20" s="96"/>
      <c r="I20" s="87" t="b">
        <v>0</v>
      </c>
      <c r="J20" s="97">
        <v>20</v>
      </c>
      <c r="K20" s="97">
        <v>1</v>
      </c>
      <c r="L20" s="104">
        <f>_xll.qlRateHelperEarliestDate($E20,Trigger)</f>
        <v>42494</v>
      </c>
      <c r="M20" s="105">
        <f>_xll.qlRateHelperLatestDate($E20,Trigger)</f>
        <v>42678</v>
      </c>
    </row>
    <row r="21" spans="2:15" x14ac:dyDescent="0.2">
      <c r="B21" s="98">
        <f t="shared" ref="B21:B52" si="1">SwapFixedFreq</f>
        <v>0</v>
      </c>
      <c r="C21" s="84" t="str">
        <f t="shared" ref="C21:C57" si="2">IborType</f>
        <v>6L</v>
      </c>
      <c r="D21" s="85" t="s">
        <v>36</v>
      </c>
      <c r="E21" s="85" t="str">
        <f>Swaps!K5</f>
        <v>obj_003e8#0001</v>
      </c>
      <c r="F21" s="85" t="str">
        <f>_xll.qlRateHelperQuoteName(E21)</f>
        <v>JPYSB6L1Y_Quote</v>
      </c>
      <c r="G21" s="86">
        <f>_xll.qlRateHelperQuoteValue($E21,Trigger)</f>
        <v>1.575E-3</v>
      </c>
      <c r="H21" s="86">
        <f>_xll.qlSwapRateHelperSpread($E21,Trigger)</f>
        <v>0</v>
      </c>
      <c r="I21" s="92" t="b">
        <v>0</v>
      </c>
      <c r="J21" s="87">
        <v>50</v>
      </c>
      <c r="K21" s="87">
        <v>1</v>
      </c>
      <c r="L21" s="100">
        <f>_xll.qlRateHelperEarliestDate($E21,Trigger)</f>
        <v>41947</v>
      </c>
      <c r="M21" s="101">
        <f>_xll.qlRateHelperLatestDate($E21,Trigger)</f>
        <v>42312</v>
      </c>
      <c r="O21" s="99"/>
    </row>
    <row r="22" spans="2:15" x14ac:dyDescent="0.2">
      <c r="B22" s="98">
        <f t="shared" si="1"/>
        <v>0</v>
      </c>
      <c r="C22" s="84" t="str">
        <f t="shared" si="2"/>
        <v>6L</v>
      </c>
      <c r="D22" s="85" t="s">
        <v>35</v>
      </c>
      <c r="E22" s="85" t="str">
        <f>Swaps!K6</f>
        <v>obj_003f4#0001</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41947</v>
      </c>
      <c r="M22" s="101">
        <f>_xll.qlRateHelperLatestDate($E22,Trigger)</f>
        <v>42404</v>
      </c>
      <c r="O22" s="99"/>
    </row>
    <row r="23" spans="2:15" x14ac:dyDescent="0.2">
      <c r="B23" s="98">
        <f t="shared" si="1"/>
        <v>0</v>
      </c>
      <c r="C23" s="84" t="str">
        <f t="shared" si="2"/>
        <v>6L</v>
      </c>
      <c r="D23" s="85" t="s">
        <v>34</v>
      </c>
      <c r="E23" s="85" t="str">
        <f>Swaps!K7</f>
        <v>obj_003dc#0001</v>
      </c>
      <c r="F23" s="85" t="str">
        <f>_xll.qlRateHelperQuoteName(E23)</f>
        <v>JPYSB6L18M_Quote</v>
      </c>
      <c r="G23" s="86">
        <f>_xll.qlRateHelperQuoteValue($E23,Trigger)</f>
        <v>1.5499999999999999E-3</v>
      </c>
      <c r="H23" s="86">
        <f>_xll.qlSwapRateHelperSpread($E23,Trigger)</f>
        <v>0</v>
      </c>
      <c r="I23" s="87" t="b">
        <v>1</v>
      </c>
      <c r="J23" s="87">
        <v>50</v>
      </c>
      <c r="K23" s="87">
        <v>1</v>
      </c>
      <c r="L23" s="100">
        <f>_xll.qlRateHelperEarliestDate($E23,Trigger)</f>
        <v>41947</v>
      </c>
      <c r="M23" s="101">
        <f>_xll.qlRateHelperLatestDate($E23,Trigger)</f>
        <v>42494</v>
      </c>
      <c r="O23" s="99"/>
    </row>
    <row r="24" spans="2:15" x14ac:dyDescent="0.2">
      <c r="B24" s="98">
        <f t="shared" si="1"/>
        <v>0</v>
      </c>
      <c r="C24" s="84" t="str">
        <f t="shared" si="2"/>
        <v>6L</v>
      </c>
      <c r="D24" s="85" t="s">
        <v>33</v>
      </c>
      <c r="E24" s="85" t="str">
        <f>Swaps!K8</f>
        <v>obj_003f0#0001</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41947</v>
      </c>
      <c r="M24" s="101">
        <f>_xll.qlRateHelperLatestDate($E24,Trigger)</f>
        <v>42586</v>
      </c>
      <c r="O24" s="99"/>
    </row>
    <row r="25" spans="2:15" x14ac:dyDescent="0.2">
      <c r="B25" s="98">
        <f t="shared" si="1"/>
        <v>0</v>
      </c>
      <c r="C25" s="84" t="str">
        <f t="shared" si="2"/>
        <v>6L</v>
      </c>
      <c r="D25" s="85" t="s">
        <v>32</v>
      </c>
      <c r="E25" s="85" t="str">
        <f>Swaps!K9</f>
        <v>obj_003f2#0001</v>
      </c>
      <c r="F25" s="85" t="str">
        <f>_xll.qlRateHelperQuoteName(E25)</f>
        <v>JPYSB6L2Y_Quote</v>
      </c>
      <c r="G25" s="86">
        <f>_xll.qlRateHelperQuoteValue($E25,Trigger)</f>
        <v>1.5499999999999999E-3</v>
      </c>
      <c r="H25" s="86">
        <f>_xll.qlSwapRateHelperSpread($E25,Trigger)</f>
        <v>0</v>
      </c>
      <c r="I25" s="87" t="b">
        <v>1</v>
      </c>
      <c r="J25" s="87">
        <v>50</v>
      </c>
      <c r="K25" s="87">
        <v>1</v>
      </c>
      <c r="L25" s="100">
        <f>_xll.qlRateHelperEarliestDate($E25,Trigger)</f>
        <v>41947</v>
      </c>
      <c r="M25" s="101">
        <f>_xll.qlRateHelperLatestDate($E25,Trigger)</f>
        <v>42678</v>
      </c>
      <c r="O25" s="99"/>
    </row>
    <row r="26" spans="2:15" x14ac:dyDescent="0.2">
      <c r="B26" s="98">
        <f t="shared" si="1"/>
        <v>0</v>
      </c>
      <c r="C26" s="84" t="str">
        <f t="shared" si="2"/>
        <v>6L</v>
      </c>
      <c r="D26" s="85" t="s">
        <v>31</v>
      </c>
      <c r="E26" s="85" t="str">
        <f>Swaps!K10</f>
        <v>obj_003fa#0001</v>
      </c>
      <c r="F26" s="85" t="str">
        <f>_xll.qlRateHelperQuoteName(E26)</f>
        <v>JPYSB6L3Y_Quote</v>
      </c>
      <c r="G26" s="86">
        <f>_xll.qlRateHelperQuoteValue($E26,Trigger)</f>
        <v>1.65E-3</v>
      </c>
      <c r="H26" s="86">
        <f>_xll.qlSwapRateHelperSpread($E26,Trigger)</f>
        <v>0</v>
      </c>
      <c r="I26" s="87" t="b">
        <f>IF(ISERROR(G26),FALSE,TRUE)</f>
        <v>1</v>
      </c>
      <c r="J26" s="87">
        <v>50</v>
      </c>
      <c r="K26" s="87">
        <v>1</v>
      </c>
      <c r="L26" s="100">
        <f>_xll.qlRateHelperEarliestDate($E26,Trigger)</f>
        <v>41947</v>
      </c>
      <c r="M26" s="101">
        <f>_xll.qlRateHelperLatestDate($E26,Trigger)</f>
        <v>43045</v>
      </c>
      <c r="O26" s="99"/>
    </row>
    <row r="27" spans="2:15" x14ac:dyDescent="0.2">
      <c r="B27" s="98">
        <f t="shared" si="1"/>
        <v>0</v>
      </c>
      <c r="C27" s="84" t="str">
        <f t="shared" si="2"/>
        <v>6L</v>
      </c>
      <c r="D27" s="85" t="s">
        <v>30</v>
      </c>
      <c r="E27" s="85" t="str">
        <f>Swaps!K11</f>
        <v>obj_003f7#0001</v>
      </c>
      <c r="F27" s="85" t="str">
        <f>_xll.qlRateHelperQuoteName(E27)</f>
        <v>JPYSB6L4Y_Quote</v>
      </c>
      <c r="G27" s="86">
        <f>_xll.qlRateHelperQuoteValue($E27,Trigger)</f>
        <v>1.9250000000000001E-3</v>
      </c>
      <c r="H27" s="86">
        <f>_xll.qlSwapRateHelperSpread($E27,Trigger)</f>
        <v>0</v>
      </c>
      <c r="I27" s="87" t="b">
        <f t="shared" ref="I27:I57" si="3">IF(ISERROR(G27),FALSE,TRUE)</f>
        <v>1</v>
      </c>
      <c r="J27" s="87">
        <v>50</v>
      </c>
      <c r="K27" s="87">
        <v>1</v>
      </c>
      <c r="L27" s="100">
        <f>_xll.qlRateHelperEarliestDate($E27,Trigger)</f>
        <v>41947</v>
      </c>
      <c r="M27" s="101">
        <f>_xll.qlRateHelperLatestDate($E27,Trigger)</f>
        <v>43409</v>
      </c>
      <c r="O27" s="99"/>
    </row>
    <row r="28" spans="2:15" x14ac:dyDescent="0.2">
      <c r="B28" s="98">
        <f t="shared" si="1"/>
        <v>0</v>
      </c>
      <c r="C28" s="84" t="str">
        <f t="shared" si="2"/>
        <v>6L</v>
      </c>
      <c r="D28" s="85" t="s">
        <v>29</v>
      </c>
      <c r="E28" s="85" t="str">
        <f>Swaps!K12</f>
        <v>obj_00408#0001</v>
      </c>
      <c r="F28" s="85" t="str">
        <f>_xll.qlRateHelperQuoteName(E28)</f>
        <v>JPYSB6L5Y_Quote</v>
      </c>
      <c r="G28" s="86">
        <f>_xll.qlRateHelperQuoteValue($E28,Trigger)</f>
        <v>2.3749999999999999E-3</v>
      </c>
      <c r="H28" s="86">
        <f>_xll.qlSwapRateHelperSpread($E28,Trigger)</f>
        <v>0</v>
      </c>
      <c r="I28" s="87" t="b">
        <f t="shared" si="3"/>
        <v>1</v>
      </c>
      <c r="J28" s="87">
        <v>50</v>
      </c>
      <c r="K28" s="87">
        <v>1</v>
      </c>
      <c r="L28" s="100">
        <f>_xll.qlRateHelperEarliestDate($E28,Trigger)</f>
        <v>41947</v>
      </c>
      <c r="M28" s="101">
        <f>_xll.qlRateHelperLatestDate($E28,Trigger)</f>
        <v>43773</v>
      </c>
      <c r="O28" s="99"/>
    </row>
    <row r="29" spans="2:15" x14ac:dyDescent="0.2">
      <c r="B29" s="98">
        <f t="shared" si="1"/>
        <v>0</v>
      </c>
      <c r="C29" s="84" t="str">
        <f t="shared" si="2"/>
        <v>6L</v>
      </c>
      <c r="D29" s="85" t="s">
        <v>28</v>
      </c>
      <c r="E29" s="85" t="str">
        <f>Swaps!K13</f>
        <v>obj_003f8#0001</v>
      </c>
      <c r="F29" s="85" t="str">
        <f>_xll.qlRateHelperQuoteName(E29)</f>
        <v>JPYSB6L6Y_Quote</v>
      </c>
      <c r="G29" s="86">
        <f>_xll.qlRateHelperQuoteValue($E29,Trigger)</f>
        <v>2.9749999999999998E-3</v>
      </c>
      <c r="H29" s="86">
        <f>_xll.qlSwapRateHelperSpread($E29,Trigger)</f>
        <v>0</v>
      </c>
      <c r="I29" s="87" t="b">
        <f t="shared" si="3"/>
        <v>1</v>
      </c>
      <c r="J29" s="87">
        <v>50</v>
      </c>
      <c r="K29" s="87">
        <v>1</v>
      </c>
      <c r="L29" s="100">
        <f>_xll.qlRateHelperEarliestDate($E29,Trigger)</f>
        <v>41947</v>
      </c>
      <c r="M29" s="101">
        <f>_xll.qlRateHelperLatestDate($E29,Trigger)</f>
        <v>44139</v>
      </c>
      <c r="O29" s="99"/>
    </row>
    <row r="30" spans="2:15" x14ac:dyDescent="0.2">
      <c r="B30" s="98">
        <f t="shared" si="1"/>
        <v>0</v>
      </c>
      <c r="C30" s="84" t="str">
        <f t="shared" si="2"/>
        <v>6L</v>
      </c>
      <c r="D30" s="85" t="s">
        <v>27</v>
      </c>
      <c r="E30" s="85" t="str">
        <f>Swaps!K14</f>
        <v>obj_003fd#0001</v>
      </c>
      <c r="F30" s="85" t="str">
        <f>_xll.qlRateHelperQuoteName(E30)</f>
        <v>JPYSB6L7Y_Quote</v>
      </c>
      <c r="G30" s="86">
        <f>_xll.qlRateHelperQuoteValue($E30,Trigger)</f>
        <v>3.6750000000000003E-3</v>
      </c>
      <c r="H30" s="86">
        <f>_xll.qlSwapRateHelperSpread($E30,Trigger)</f>
        <v>0</v>
      </c>
      <c r="I30" s="87" t="b">
        <f t="shared" si="3"/>
        <v>1</v>
      </c>
      <c r="J30" s="87">
        <v>50</v>
      </c>
      <c r="K30" s="87">
        <v>1</v>
      </c>
      <c r="L30" s="100">
        <f>_xll.qlRateHelperEarliestDate($E30,Trigger)</f>
        <v>41947</v>
      </c>
      <c r="M30" s="101">
        <f>_xll.qlRateHelperLatestDate($E30,Trigger)</f>
        <v>44504</v>
      </c>
      <c r="O30" s="99"/>
    </row>
    <row r="31" spans="2:15" x14ac:dyDescent="0.2">
      <c r="B31" s="98">
        <f t="shared" si="1"/>
        <v>0</v>
      </c>
      <c r="C31" s="84" t="str">
        <f t="shared" si="2"/>
        <v>6L</v>
      </c>
      <c r="D31" s="85" t="s">
        <v>26</v>
      </c>
      <c r="E31" s="85" t="str">
        <f>Swaps!K15</f>
        <v>obj_003ed#0001</v>
      </c>
      <c r="F31" s="85" t="str">
        <f>_xll.qlRateHelperQuoteName(E31)</f>
        <v>JPYSB6L8Y_Quote</v>
      </c>
      <c r="G31" s="86">
        <f>_xll.qlRateHelperQuoteValue($E31,Trigger)</f>
        <v>4.3999999999999994E-3</v>
      </c>
      <c r="H31" s="86">
        <f>_xll.qlSwapRateHelperSpread($E31,Trigger)</f>
        <v>0</v>
      </c>
      <c r="I31" s="87" t="b">
        <f t="shared" si="3"/>
        <v>1</v>
      </c>
      <c r="J31" s="87">
        <v>50</v>
      </c>
      <c r="K31" s="87">
        <v>1</v>
      </c>
      <c r="L31" s="100">
        <f>_xll.qlRateHelperEarliestDate($E31,Trigger)</f>
        <v>41947</v>
      </c>
      <c r="M31" s="101">
        <f>_xll.qlRateHelperLatestDate($E31,Trigger)</f>
        <v>44869</v>
      </c>
      <c r="O31" s="99"/>
    </row>
    <row r="32" spans="2:15" x14ac:dyDescent="0.2">
      <c r="B32" s="98">
        <f t="shared" si="1"/>
        <v>0</v>
      </c>
      <c r="C32" s="84" t="str">
        <f t="shared" si="2"/>
        <v>6L</v>
      </c>
      <c r="D32" s="85" t="s">
        <v>25</v>
      </c>
      <c r="E32" s="85" t="str">
        <f>Swaps!K16</f>
        <v>obj_003e9#0001</v>
      </c>
      <c r="F32" s="85" t="str">
        <f>_xll.qlRateHelperQuoteName(E32)</f>
        <v>JPYSB6L9Y_Quote</v>
      </c>
      <c r="G32" s="86">
        <f>_xll.qlRateHelperQuoteValue($E32,Trigger)</f>
        <v>5.1749999999999999E-3</v>
      </c>
      <c r="H32" s="86">
        <f>_xll.qlSwapRateHelperSpread($E32,Trigger)</f>
        <v>0</v>
      </c>
      <c r="I32" s="87" t="b">
        <f t="shared" si="3"/>
        <v>1</v>
      </c>
      <c r="J32" s="87">
        <v>50</v>
      </c>
      <c r="K32" s="87">
        <v>1</v>
      </c>
      <c r="L32" s="100">
        <f>_xll.qlRateHelperEarliestDate($E32,Trigger)</f>
        <v>41947</v>
      </c>
      <c r="M32" s="101">
        <f>_xll.qlRateHelperLatestDate($E32,Trigger)</f>
        <v>45236</v>
      </c>
      <c r="O32" s="99"/>
    </row>
    <row r="33" spans="2:15" x14ac:dyDescent="0.2">
      <c r="B33" s="98">
        <f t="shared" si="1"/>
        <v>0</v>
      </c>
      <c r="C33" s="84" t="str">
        <f t="shared" si="2"/>
        <v>6L</v>
      </c>
      <c r="D33" s="85" t="s">
        <v>24</v>
      </c>
      <c r="E33" s="85" t="str">
        <f>Swaps!K17</f>
        <v>obj_00401#0001</v>
      </c>
      <c r="F33" s="85" t="str">
        <f>_xll.qlRateHelperQuoteName(E33)</f>
        <v>JPYSB6L10Y_Quote</v>
      </c>
      <c r="G33" s="86">
        <f>_xll.qlRateHelperQuoteValue($E33,Trigger)</f>
        <v>5.9250000000000006E-3</v>
      </c>
      <c r="H33" s="86">
        <f>_xll.qlSwapRateHelperSpread($E33,Trigger)</f>
        <v>0</v>
      </c>
      <c r="I33" s="87" t="b">
        <f t="shared" si="3"/>
        <v>1</v>
      </c>
      <c r="J33" s="87">
        <v>50</v>
      </c>
      <c r="K33" s="87">
        <v>1</v>
      </c>
      <c r="L33" s="100">
        <f>_xll.qlRateHelperEarliestDate($E33,Trigger)</f>
        <v>41947</v>
      </c>
      <c r="M33" s="101">
        <f>_xll.qlRateHelperLatestDate($E33,Trigger)</f>
        <v>45600</v>
      </c>
      <c r="O33" s="99"/>
    </row>
    <row r="34" spans="2:15" x14ac:dyDescent="0.2">
      <c r="B34" s="98">
        <f t="shared" si="1"/>
        <v>0</v>
      </c>
      <c r="C34" s="84" t="str">
        <f t="shared" si="2"/>
        <v>6L</v>
      </c>
      <c r="D34" s="85" t="s">
        <v>23</v>
      </c>
      <c r="E34" s="85" t="str">
        <f>Swaps!K18</f>
        <v>obj_003dd#0001</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41947</v>
      </c>
      <c r="M34" s="101">
        <f>_xll.qlRateHelperLatestDate($E34,Trigger)</f>
        <v>45965</v>
      </c>
      <c r="O34" s="99"/>
    </row>
    <row r="35" spans="2:15" x14ac:dyDescent="0.2">
      <c r="B35" s="98">
        <f t="shared" si="1"/>
        <v>0</v>
      </c>
      <c r="C35" s="84" t="str">
        <f t="shared" si="2"/>
        <v>6L</v>
      </c>
      <c r="D35" s="85" t="s">
        <v>22</v>
      </c>
      <c r="E35" s="85" t="str">
        <f>Swaps!K19</f>
        <v>obj_003fb#0001</v>
      </c>
      <c r="F35" s="85" t="str">
        <f>_xll.qlRateHelperQuoteName(E35)</f>
        <v>JPYSB6L12Y_Quote</v>
      </c>
      <c r="G35" s="86">
        <f>_xll.qlRateHelperQuoteValue($E35,Trigger)</f>
        <v>7.5500000000000003E-3</v>
      </c>
      <c r="H35" s="86">
        <f>_xll.qlSwapRateHelperSpread($E35,Trigger)</f>
        <v>0</v>
      </c>
      <c r="I35" s="87" t="b">
        <f t="shared" si="3"/>
        <v>1</v>
      </c>
      <c r="J35" s="87">
        <v>50</v>
      </c>
      <c r="K35" s="87">
        <v>1</v>
      </c>
      <c r="L35" s="100">
        <f>_xll.qlRateHelperEarliestDate($E35,Trigger)</f>
        <v>41947</v>
      </c>
      <c r="M35" s="101">
        <f>_xll.qlRateHelperLatestDate($E35,Trigger)</f>
        <v>46330</v>
      </c>
      <c r="O35" s="99"/>
    </row>
    <row r="36" spans="2:15" x14ac:dyDescent="0.2">
      <c r="B36" s="98">
        <f t="shared" si="1"/>
        <v>0</v>
      </c>
      <c r="C36" s="84" t="str">
        <f t="shared" si="2"/>
        <v>6L</v>
      </c>
      <c r="D36" s="85" t="s">
        <v>21</v>
      </c>
      <c r="E36" s="85" t="str">
        <f>Swaps!K20</f>
        <v>obj_003e6#0001</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41947</v>
      </c>
      <c r="M36" s="101">
        <f>_xll.qlRateHelperLatestDate($E36,Trigger)</f>
        <v>46695</v>
      </c>
      <c r="O36" s="99"/>
    </row>
    <row r="37" spans="2:15" x14ac:dyDescent="0.2">
      <c r="B37" s="98">
        <f t="shared" si="1"/>
        <v>0</v>
      </c>
      <c r="C37" s="84" t="str">
        <f t="shared" si="2"/>
        <v>6L</v>
      </c>
      <c r="D37" s="85" t="s">
        <v>20</v>
      </c>
      <c r="E37" s="85" t="str">
        <f>Swaps!K21</f>
        <v>obj_00407#0001</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41947</v>
      </c>
      <c r="M37" s="101">
        <f>_xll.qlRateHelperLatestDate($E37,Trigger)</f>
        <v>47063</v>
      </c>
      <c r="O37" s="99"/>
    </row>
    <row r="38" spans="2:15" x14ac:dyDescent="0.2">
      <c r="B38" s="98">
        <f t="shared" si="1"/>
        <v>0</v>
      </c>
      <c r="C38" s="84" t="str">
        <f t="shared" si="2"/>
        <v>6L</v>
      </c>
      <c r="D38" s="85" t="s">
        <v>19</v>
      </c>
      <c r="E38" s="85" t="str">
        <f>Swaps!K22</f>
        <v>obj_003f1#0001</v>
      </c>
      <c r="F38" s="85" t="str">
        <f>_xll.qlRateHelperQuoteName(E38)</f>
        <v>JPYSB6L15Y_Quote</v>
      </c>
      <c r="G38" s="86">
        <f>_xll.qlRateHelperQuoteValue($E38,Trigger)</f>
        <v>9.9750000000000012E-3</v>
      </c>
      <c r="H38" s="86">
        <f>_xll.qlSwapRateHelperSpread($E38,Trigger)</f>
        <v>0</v>
      </c>
      <c r="I38" s="87" t="b">
        <f t="shared" si="3"/>
        <v>1</v>
      </c>
      <c r="J38" s="87">
        <v>50</v>
      </c>
      <c r="K38" s="87">
        <v>1</v>
      </c>
      <c r="L38" s="100">
        <f>_xll.qlRateHelperEarliestDate($E38,Trigger)</f>
        <v>41947</v>
      </c>
      <c r="M38" s="101">
        <f>_xll.qlRateHelperLatestDate($E38,Trigger)</f>
        <v>47427</v>
      </c>
      <c r="O38" s="99"/>
    </row>
    <row r="39" spans="2:15" x14ac:dyDescent="0.2">
      <c r="B39" s="98">
        <f t="shared" si="1"/>
        <v>0</v>
      </c>
      <c r="C39" s="84" t="str">
        <f t="shared" si="2"/>
        <v>6L</v>
      </c>
      <c r="D39" s="85" t="s">
        <v>18</v>
      </c>
      <c r="E39" s="85" t="str">
        <f>Swaps!K23</f>
        <v>obj_003fc#0001</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41947</v>
      </c>
      <c r="M39" s="101">
        <f>_xll.qlRateHelperLatestDate($E39,Trigger)</f>
        <v>47791</v>
      </c>
      <c r="O39" s="99"/>
    </row>
    <row r="40" spans="2:15" x14ac:dyDescent="0.2">
      <c r="B40" s="98">
        <f t="shared" si="1"/>
        <v>0</v>
      </c>
      <c r="C40" s="84" t="str">
        <f t="shared" si="2"/>
        <v>6L</v>
      </c>
      <c r="D40" s="85" t="s">
        <v>17</v>
      </c>
      <c r="E40" s="85" t="str">
        <f>Swaps!K24</f>
        <v>obj_003df#0001</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41947</v>
      </c>
      <c r="M40" s="101">
        <f>_xll.qlRateHelperLatestDate($E40,Trigger)</f>
        <v>48156</v>
      </c>
      <c r="O40" s="99"/>
    </row>
    <row r="41" spans="2:15" x14ac:dyDescent="0.2">
      <c r="B41" s="98">
        <f t="shared" si="1"/>
        <v>0</v>
      </c>
      <c r="C41" s="84" t="str">
        <f t="shared" si="2"/>
        <v>6L</v>
      </c>
      <c r="D41" s="85" t="s">
        <v>16</v>
      </c>
      <c r="E41" s="85" t="str">
        <f>Swaps!K25</f>
        <v>obj_003f9#0001</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41947</v>
      </c>
      <c r="M41" s="101">
        <f>_xll.qlRateHelperLatestDate($E41,Trigger)</f>
        <v>48522</v>
      </c>
      <c r="O41" s="99"/>
    </row>
    <row r="42" spans="2:15" x14ac:dyDescent="0.2">
      <c r="B42" s="98">
        <f t="shared" si="1"/>
        <v>0</v>
      </c>
      <c r="C42" s="84" t="str">
        <f t="shared" si="2"/>
        <v>6L</v>
      </c>
      <c r="D42" s="85" t="s">
        <v>15</v>
      </c>
      <c r="E42" s="85" t="str">
        <f>Swaps!K26</f>
        <v>obj_003f3#0001</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41947</v>
      </c>
      <c r="M42" s="101">
        <f>_xll.qlRateHelperLatestDate($E42,Trigger)</f>
        <v>48887</v>
      </c>
      <c r="O42" s="99"/>
    </row>
    <row r="43" spans="2:15" x14ac:dyDescent="0.2">
      <c r="B43" s="98">
        <f t="shared" si="1"/>
        <v>0</v>
      </c>
      <c r="C43" s="84" t="str">
        <f t="shared" si="2"/>
        <v>6L</v>
      </c>
      <c r="D43" s="85" t="s">
        <v>14</v>
      </c>
      <c r="E43" s="85" t="str">
        <f>Swaps!K27</f>
        <v>obj_003ef#0001</v>
      </c>
      <c r="F43" s="85" t="str">
        <f>_xll.qlRateHelperQuoteName(E43)</f>
        <v>JPYSB6L20Y_Quote</v>
      </c>
      <c r="G43" s="86">
        <f>_xll.qlRateHelperQuoteValue($E43,Trigger)</f>
        <v>1.3025E-2</v>
      </c>
      <c r="H43" s="86">
        <f>_xll.qlSwapRateHelperSpread($E43,Trigger)</f>
        <v>0</v>
      </c>
      <c r="I43" s="87" t="b">
        <f t="shared" si="3"/>
        <v>1</v>
      </c>
      <c r="J43" s="87">
        <v>50</v>
      </c>
      <c r="K43" s="87">
        <v>1</v>
      </c>
      <c r="L43" s="100">
        <f>_xll.qlRateHelperEarliestDate($E43,Trigger)</f>
        <v>41947</v>
      </c>
      <c r="M43" s="101">
        <f>_xll.qlRateHelperLatestDate($E43,Trigger)</f>
        <v>49254</v>
      </c>
      <c r="O43" s="99"/>
    </row>
    <row r="44" spans="2:15" x14ac:dyDescent="0.2">
      <c r="B44" s="98">
        <f t="shared" si="1"/>
        <v>0</v>
      </c>
      <c r="C44" s="84" t="str">
        <f t="shared" si="2"/>
        <v>6L</v>
      </c>
      <c r="D44" s="85" t="s">
        <v>13</v>
      </c>
      <c r="E44" s="85" t="str">
        <f>Swaps!K28</f>
        <v>obj_00403#0001</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41947</v>
      </c>
      <c r="M44" s="101">
        <f>_xll.qlRateHelperLatestDate($E44,Trigger)</f>
        <v>49618</v>
      </c>
      <c r="O44" s="99"/>
    </row>
    <row r="45" spans="2:15" x14ac:dyDescent="0.2">
      <c r="B45" s="98">
        <f t="shared" si="1"/>
        <v>0</v>
      </c>
      <c r="C45" s="84" t="str">
        <f t="shared" si="2"/>
        <v>6L</v>
      </c>
      <c r="D45" s="85" t="s">
        <v>12</v>
      </c>
      <c r="E45" s="85" t="str">
        <f>Swaps!K29</f>
        <v>obj_003e2#0001</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41947</v>
      </c>
      <c r="M45" s="101">
        <f>_xll.qlRateHelperLatestDate($E45,Trigger)</f>
        <v>49983</v>
      </c>
      <c r="O45" s="99"/>
    </row>
    <row r="46" spans="2:15" x14ac:dyDescent="0.2">
      <c r="B46" s="98">
        <f t="shared" si="1"/>
        <v>0</v>
      </c>
      <c r="C46" s="84" t="str">
        <f t="shared" si="2"/>
        <v>6L</v>
      </c>
      <c r="D46" s="85" t="s">
        <v>11</v>
      </c>
      <c r="E46" s="85" t="str">
        <f>Swaps!K30</f>
        <v>obj_003ee#0001</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41947</v>
      </c>
      <c r="M46" s="101">
        <f>_xll.qlRateHelperLatestDate($E46,Trigger)</f>
        <v>50348</v>
      </c>
      <c r="O46" s="99"/>
    </row>
    <row r="47" spans="2:15" x14ac:dyDescent="0.2">
      <c r="B47" s="98">
        <f t="shared" si="1"/>
        <v>0</v>
      </c>
      <c r="C47" s="84" t="str">
        <f t="shared" si="2"/>
        <v>6L</v>
      </c>
      <c r="D47" s="85" t="s">
        <v>10</v>
      </c>
      <c r="E47" s="85" t="str">
        <f>Swaps!K31</f>
        <v>obj_003e5#0001</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41947</v>
      </c>
      <c r="M47" s="101">
        <f>_xll.qlRateHelperLatestDate($E47,Trigger)</f>
        <v>50713</v>
      </c>
      <c r="O47" s="99"/>
    </row>
    <row r="48" spans="2:15" x14ac:dyDescent="0.2">
      <c r="B48" s="98">
        <f t="shared" si="1"/>
        <v>0</v>
      </c>
      <c r="C48" s="84" t="str">
        <f t="shared" si="2"/>
        <v>6L</v>
      </c>
      <c r="D48" s="85" t="s">
        <v>9</v>
      </c>
      <c r="E48" s="85" t="str">
        <f>Swaps!K32</f>
        <v>obj_00400#0001</v>
      </c>
      <c r="F48" s="85" t="str">
        <f>_xll.qlRateHelperQuoteName(E48)</f>
        <v>JPYSB6L25Y_Quote</v>
      </c>
      <c r="G48" s="86">
        <f>_xll.qlRateHelperQuoteValue($E48,Trigger)</f>
        <v>1.4649999999999998E-2</v>
      </c>
      <c r="H48" s="86">
        <f>_xll.qlSwapRateHelperSpread($E48,Trigger)</f>
        <v>0</v>
      </c>
      <c r="I48" s="87" t="b">
        <f t="shared" si="3"/>
        <v>1</v>
      </c>
      <c r="J48" s="87">
        <v>50</v>
      </c>
      <c r="K48" s="87">
        <v>1</v>
      </c>
      <c r="L48" s="100">
        <f>_xll.qlRateHelperEarliestDate($E48,Trigger)</f>
        <v>41947</v>
      </c>
      <c r="M48" s="101">
        <f>_xll.qlRateHelperLatestDate($E48,Trigger)</f>
        <v>51078</v>
      </c>
      <c r="O48" s="99"/>
    </row>
    <row r="49" spans="2:15" x14ac:dyDescent="0.2">
      <c r="B49" s="98">
        <f t="shared" si="1"/>
        <v>0</v>
      </c>
      <c r="C49" s="84" t="str">
        <f t="shared" si="2"/>
        <v>6L</v>
      </c>
      <c r="D49" s="85" t="s">
        <v>8</v>
      </c>
      <c r="E49" s="85" t="str">
        <f>Swaps!K33</f>
        <v>obj_003f6#0001</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41947</v>
      </c>
      <c r="M49" s="101">
        <f>_xll.qlRateHelperLatestDate($E49,Trigger)</f>
        <v>51445</v>
      </c>
      <c r="O49" s="99"/>
    </row>
    <row r="50" spans="2:15" x14ac:dyDescent="0.2">
      <c r="B50" s="98">
        <f t="shared" si="1"/>
        <v>0</v>
      </c>
      <c r="C50" s="84" t="str">
        <f t="shared" si="2"/>
        <v>6L</v>
      </c>
      <c r="D50" s="85" t="s">
        <v>7</v>
      </c>
      <c r="E50" s="85" t="str">
        <f>Swaps!K34</f>
        <v>obj_003e0#0001</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41947</v>
      </c>
      <c r="M50" s="101">
        <f>_xll.qlRateHelperLatestDate($E50,Trigger)</f>
        <v>51809</v>
      </c>
      <c r="O50" s="99"/>
    </row>
    <row r="51" spans="2:15" x14ac:dyDescent="0.2">
      <c r="B51" s="98">
        <f t="shared" si="1"/>
        <v>0</v>
      </c>
      <c r="C51" s="84" t="str">
        <f t="shared" si="2"/>
        <v>6L</v>
      </c>
      <c r="D51" s="85" t="s">
        <v>6</v>
      </c>
      <c r="E51" s="85" t="str">
        <f>Swaps!K35</f>
        <v>obj_003de#0001</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41947</v>
      </c>
      <c r="M51" s="101">
        <f>_xll.qlRateHelperLatestDate($E51,Trigger)</f>
        <v>52174</v>
      </c>
      <c r="O51" s="99"/>
    </row>
    <row r="52" spans="2:15" x14ac:dyDescent="0.2">
      <c r="B52" s="98">
        <f t="shared" si="1"/>
        <v>0</v>
      </c>
      <c r="C52" s="84" t="str">
        <f t="shared" si="2"/>
        <v>6L</v>
      </c>
      <c r="D52" s="85" t="s">
        <v>5</v>
      </c>
      <c r="E52" s="85" t="str">
        <f>Swaps!K36</f>
        <v>obj_003f5#0001</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41947</v>
      </c>
      <c r="M52" s="101">
        <f>_xll.qlRateHelperLatestDate($E52,Trigger)</f>
        <v>52539</v>
      </c>
      <c r="O52" s="99"/>
    </row>
    <row r="53" spans="2:15" x14ac:dyDescent="0.2">
      <c r="B53" s="98">
        <f t="shared" ref="B53:B57" si="4">SwapFixedFreq</f>
        <v>0</v>
      </c>
      <c r="C53" s="84" t="str">
        <f t="shared" si="2"/>
        <v>6L</v>
      </c>
      <c r="D53" s="85" t="s">
        <v>4</v>
      </c>
      <c r="E53" s="85" t="str">
        <f>Swaps!K37</f>
        <v>obj_003e7#0001</v>
      </c>
      <c r="F53" s="85" t="str">
        <f>_xll.qlRateHelperQuoteName(E53)</f>
        <v>JPYSB6L30Y_Quote</v>
      </c>
      <c r="G53" s="86">
        <f>_xll.qlRateHelperQuoteValue($E53,Trigger)</f>
        <v>1.55E-2</v>
      </c>
      <c r="H53" s="86">
        <f>_xll.qlSwapRateHelperSpread($E53,Trigger)</f>
        <v>0</v>
      </c>
      <c r="I53" s="87" t="b">
        <f t="shared" si="3"/>
        <v>1</v>
      </c>
      <c r="J53" s="87">
        <v>50</v>
      </c>
      <c r="K53" s="87">
        <v>1</v>
      </c>
      <c r="L53" s="100">
        <f>_xll.qlRateHelperEarliestDate($E53,Trigger)</f>
        <v>41947</v>
      </c>
      <c r="M53" s="101">
        <f>_xll.qlRateHelperLatestDate($E53,Trigger)</f>
        <v>52905</v>
      </c>
      <c r="O53" s="99"/>
    </row>
    <row r="54" spans="2:15" x14ac:dyDescent="0.2">
      <c r="B54" s="98">
        <f t="shared" si="4"/>
        <v>0</v>
      </c>
      <c r="C54" s="84" t="str">
        <f t="shared" si="2"/>
        <v>6L</v>
      </c>
      <c r="D54" s="85" t="s">
        <v>3</v>
      </c>
      <c r="E54" s="85" t="str">
        <f>Swaps!K38</f>
        <v>obj_00405#0001</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41947</v>
      </c>
      <c r="M54" s="101">
        <f>_xll.qlRateHelperLatestDate($E54,Trigger)</f>
        <v>54731</v>
      </c>
      <c r="O54" s="99"/>
    </row>
    <row r="55" spans="2:15" x14ac:dyDescent="0.2">
      <c r="B55" s="98">
        <f t="shared" si="4"/>
        <v>0</v>
      </c>
      <c r="C55" s="84" t="str">
        <f t="shared" si="2"/>
        <v>6L</v>
      </c>
      <c r="D55" s="85" t="s">
        <v>2</v>
      </c>
      <c r="E55" s="85" t="str">
        <f>Swaps!K39</f>
        <v>obj_003ea#0001</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41947</v>
      </c>
      <c r="M55" s="101">
        <f>_xll.qlRateHelperLatestDate($E55,Trigger)</f>
        <v>56557</v>
      </c>
      <c r="O55" s="99"/>
    </row>
    <row r="56" spans="2:15" x14ac:dyDescent="0.2">
      <c r="B56" s="98">
        <f t="shared" si="4"/>
        <v>0</v>
      </c>
      <c r="C56" s="84" t="str">
        <f t="shared" si="2"/>
        <v>6L</v>
      </c>
      <c r="D56" s="85" t="s">
        <v>1</v>
      </c>
      <c r="E56" s="85" t="str">
        <f>Swaps!K40</f>
        <v>obj_003ec#0001</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41947</v>
      </c>
      <c r="M56" s="101">
        <f>_xll.qlRateHelperLatestDate($E56,Trigger)</f>
        <v>60210</v>
      </c>
      <c r="O56" s="99"/>
    </row>
    <row r="57" spans="2:15" x14ac:dyDescent="0.2">
      <c r="B57" s="98">
        <f t="shared" si="4"/>
        <v>0</v>
      </c>
      <c r="C57" s="84" t="str">
        <f t="shared" si="2"/>
        <v>6L</v>
      </c>
      <c r="D57" s="85" t="s">
        <v>0</v>
      </c>
      <c r="E57" s="85" t="str">
        <f>Swaps!K41</f>
        <v>obj_00404#0001</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41947</v>
      </c>
      <c r="M57" s="101">
        <f>_xll.qlRateHelperLatestDate($E57,Trigger)</f>
        <v>63863</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0" t="s">
        <v>55</v>
      </c>
      <c r="B1" s="271"/>
      <c r="D1" s="109" t="s">
        <v>54</v>
      </c>
      <c r="E1" s="19" t="s">
        <v>114</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obj_003d9</v>
      </c>
      <c r="E2" s="11" t="str">
        <f>_xll.qlRateHelperQuoteName(D2)</f>
        <v>JPY1MD_SYNTH6M_Quote</v>
      </c>
      <c r="F2" s="10">
        <f>_xll.qlRateHelperRate($D2)</f>
        <v>1.9780000000000002E-3</v>
      </c>
      <c r="G2" s="10" t="str">
        <f>IF(ISERROR(_xll.qlSwapRateHelperSpread($D2)),IF(ISERROR(_xll.qlFuturesRateHelperConvexityAdjustment($D2)),"--",_xll.qlFuturesRateHelperConvexityAdjustment($D2)),_xll.qlSwapRateHelperSpread($D2))</f>
        <v>--</v>
      </c>
      <c r="H2" s="9">
        <f>_xll.qlRateHelperEarliestDate($D2)</f>
        <v>41947</v>
      </c>
      <c r="I2" s="8">
        <f>_xll.qlRateHelperLatestDate($D2)</f>
        <v>41977</v>
      </c>
      <c r="J2" s="3">
        <v>0.99983519383221653</v>
      </c>
    </row>
    <row r="3" spans="1:10" x14ac:dyDescent="0.2">
      <c r="A3" s="12" t="s">
        <v>51</v>
      </c>
      <c r="B3" s="14">
        <v>1</v>
      </c>
      <c r="D3" s="11" t="str">
        <v>obj_003d5</v>
      </c>
      <c r="E3" s="11" t="str">
        <f>_xll.qlRateHelperQuoteName(D3)</f>
        <v>JPY2MD_SYNTH6M_Quote</v>
      </c>
      <c r="F3" s="10">
        <f>_xll.qlRateHelperRate($D3)</f>
        <v>1.854E-3</v>
      </c>
      <c r="G3" s="10" t="str">
        <f>IF(ISERROR(_xll.qlSwapRateHelperSpread($D3)),IF(ISERROR(_xll.qlFuturesRateHelperConvexityAdjustment($D3)),"--",_xll.qlFuturesRateHelperConvexityAdjustment($D3)),_xll.qlSwapRateHelperSpread($D3))</f>
        <v>--</v>
      </c>
      <c r="H3" s="9">
        <f>_xll.qlRateHelperEarliestDate($D3)</f>
        <v>41947</v>
      </c>
      <c r="I3" s="8">
        <f>_xll.qlRateHelperLatestDate($D3)</f>
        <v>42009</v>
      </c>
      <c r="J3" s="3">
        <v>0.99968080191994702</v>
      </c>
    </row>
    <row r="4" spans="1:10" x14ac:dyDescent="0.2">
      <c r="A4" s="12" t="s">
        <v>50</v>
      </c>
      <c r="B4" s="14">
        <v>2</v>
      </c>
      <c r="D4" s="11" t="str">
        <v>obj_003d8</v>
      </c>
      <c r="E4" s="11" t="str">
        <f>_xll.qlRateHelperQuoteName(D4)</f>
        <v>JPY3MD_SYNTH6M_Quote</v>
      </c>
      <c r="F4" s="10">
        <f>_xll.qlRateHelperRate($D4)</f>
        <v>1.756E-3</v>
      </c>
      <c r="G4" s="10" t="str">
        <f>IF(ISERROR(_xll.qlSwapRateHelperSpread($D4)),IF(ISERROR(_xll.qlFuturesRateHelperConvexityAdjustment($D4)),"--",_xll.qlFuturesRateHelperConvexityAdjustment($D4)),_xll.qlSwapRateHelperSpread($D4))</f>
        <v>--</v>
      </c>
      <c r="H4" s="9">
        <f>_xll.qlRateHelperEarliestDate($D4)</f>
        <v>41947</v>
      </c>
      <c r="I4" s="8">
        <f>_xll.qlRateHelperLatestDate($D4)</f>
        <v>42039</v>
      </c>
      <c r="J4" s="3">
        <v>0.99955144573566257</v>
      </c>
    </row>
    <row r="5" spans="1:10" x14ac:dyDescent="0.2">
      <c r="A5" s="12" t="s">
        <v>49</v>
      </c>
      <c r="B5" s="13" t="s">
        <v>48</v>
      </c>
      <c r="D5" s="11" t="str">
        <v>obj_003d1</v>
      </c>
      <c r="E5" s="11" t="str">
        <f>_xll.qlRateHelperQuoteName(D5)</f>
        <v>JPY4MD_SYNTH6M_Quote</v>
      </c>
      <c r="F5" s="10">
        <f>_xll.qlRateHelperRate($D5)</f>
        <v>1.6770000000000001E-3</v>
      </c>
      <c r="G5" s="10" t="str">
        <f>IF(ISERROR(_xll.qlSwapRateHelperSpread($D5)),IF(ISERROR(_xll.qlFuturesRateHelperConvexityAdjustment($D5)),"--",_xll.qlFuturesRateHelperConvexityAdjustment($D5)),_xll.qlSwapRateHelperSpread($D5))</f>
        <v>--</v>
      </c>
      <c r="H5" s="9">
        <f>_xll.qlRateHelperEarliestDate($D5)</f>
        <v>41947</v>
      </c>
      <c r="I5" s="8">
        <f>_xll.qlRateHelperLatestDate($D5)</f>
        <v>42067</v>
      </c>
      <c r="J5" s="3">
        <v>0.99944131230642064</v>
      </c>
    </row>
    <row r="6" spans="1:10" x14ac:dyDescent="0.2">
      <c r="A6" s="56"/>
      <c r="B6" s="56"/>
      <c r="D6" s="11" t="str">
        <v>obj_003d4</v>
      </c>
      <c r="E6" s="11" t="str">
        <f>_xll.qlRateHelperQuoteName(D6)</f>
        <v>JPY5MD_SYNTH6M_Quote</v>
      </c>
      <c r="F6" s="10">
        <f>_xll.qlRateHelperRate($D6)</f>
        <v>1.6329999999999999E-3</v>
      </c>
      <c r="G6" s="10" t="str">
        <f>IF(ISERROR(_xll.qlSwapRateHelperSpread($D6)),IF(ISERROR(_xll.qlFuturesRateHelperConvexityAdjustment($D6)),"--",_xll.qlFuturesRateHelperConvexityAdjustment($D6)),_xll.qlSwapRateHelperSpread($D6))</f>
        <v>--</v>
      </c>
      <c r="H6" s="9">
        <f>_xll.qlRateHelperEarliestDate($D6)</f>
        <v>41947</v>
      </c>
      <c r="I6" s="8">
        <f>_xll.qlRateHelperLatestDate($D6)</f>
        <v>42101</v>
      </c>
      <c r="J6" s="3">
        <v>0.99930192653586358</v>
      </c>
    </row>
    <row r="7" spans="1:10" x14ac:dyDescent="0.2">
      <c r="A7" s="56"/>
      <c r="B7" s="56"/>
      <c r="D7" s="11" t="str">
        <v>obj_003d2</v>
      </c>
      <c r="E7" s="11" t="str">
        <f>_xll.qlRateHelperQuoteName(D7)</f>
        <v>JPY6MD_SYNTH6M_Quote</v>
      </c>
      <c r="F7" s="10">
        <f>_xll.qlRateHelperRate($D7)</f>
        <v>1.6130000000000001E-3</v>
      </c>
      <c r="G7" s="10" t="str">
        <f>IF(ISERROR(_xll.qlSwapRateHelperSpread($D7)),IF(ISERROR(_xll.qlFuturesRateHelperConvexityAdjustment($D7)),"--",_xll.qlFuturesRateHelperConvexityAdjustment($D7)),_xll.qlSwapRateHelperSpread($D7))</f>
        <v>--</v>
      </c>
      <c r="H7" s="9">
        <f>_xll.qlRateHelperEarliestDate($D7)</f>
        <v>41947</v>
      </c>
      <c r="I7" s="8">
        <f>_xll.qlRateHelperLatestDate($D7)</f>
        <v>42129</v>
      </c>
      <c r="J7" s="3">
        <v>0.99918520332389182</v>
      </c>
    </row>
    <row r="8" spans="1:10" x14ac:dyDescent="0.2">
      <c r="D8" s="11" t="str">
        <v>obj_003eb</v>
      </c>
      <c r="E8" s="11" t="str">
        <f>_xll.qlRateHelperQuoteName(D8)</f>
        <v>JPY1x7F_Quote</v>
      </c>
      <c r="F8" s="10">
        <f>_xll.qlRateHelperRate($D8)</f>
        <v>1.5499999999999999E-3</v>
      </c>
      <c r="G8" s="10" t="str">
        <f>IF(ISERROR(_xll.qlSwapRateHelperSpread($D8)),IF(ISERROR(_xll.qlFuturesRateHelperConvexityAdjustment($D8)),"--",_xll.qlFuturesRateHelperConvexityAdjustment($D8)),_xll.qlSwapRateHelperSpread($D8))</f>
        <v>--</v>
      </c>
      <c r="H8" s="9">
        <f>_xll.qlRateHelperEarliestDate($D8)</f>
        <v>41977</v>
      </c>
      <c r="I8" s="8">
        <f>_xll.qlRateHelperLatestDate($D8)</f>
        <v>42159</v>
      </c>
      <c r="J8" s="3">
        <v>0.99905232532966703</v>
      </c>
    </row>
    <row r="9" spans="1:10" x14ac:dyDescent="0.2">
      <c r="D9" s="11" t="str">
        <v>obj_003e3</v>
      </c>
      <c r="E9" s="11" t="str">
        <f>_xll.qlRateHelperQuoteName(D9)</f>
        <v>JPY2x8F_Quote</v>
      </c>
      <c r="F9" s="10">
        <f>_xll.qlRateHelperRate($D9)</f>
        <v>1.5499999999999999E-3</v>
      </c>
      <c r="G9" s="10" t="str">
        <f>IF(ISERROR(_xll.qlSwapRateHelperSpread($D9)),IF(ISERROR(_xll.qlFuturesRateHelperConvexityAdjustment($D9)),"--",_xll.qlFuturesRateHelperConvexityAdjustment($D9)),_xll.qlSwapRateHelperSpread($D9))</f>
        <v>--</v>
      </c>
      <c r="H9" s="9">
        <f>_xll.qlRateHelperEarliestDate($D9)</f>
        <v>42009</v>
      </c>
      <c r="I9" s="8">
        <f>_xll.qlRateHelperLatestDate($D9)</f>
        <v>42191</v>
      </c>
      <c r="J9" s="3">
        <v>0.99889805430572587</v>
      </c>
    </row>
    <row r="10" spans="1:10" x14ac:dyDescent="0.2">
      <c r="D10" s="11" t="str">
        <v>obj_00402</v>
      </c>
      <c r="E10" s="11" t="str">
        <f>_xll.qlRateHelperQuoteName(D10)</f>
        <v>JPY3x9F_Quote</v>
      </c>
      <c r="F10" s="10">
        <f>_xll.qlRateHelperRate($D10)</f>
        <v>1.5499999999999999E-3</v>
      </c>
      <c r="G10" s="10" t="str">
        <f>IF(ISERROR(_xll.qlSwapRateHelperSpread($D10)),IF(ISERROR(_xll.qlFuturesRateHelperConvexityAdjustment($D10)),"--",_xll.qlFuturesRateHelperConvexityAdjustment($D10)),_xll.qlSwapRateHelperSpread($D10))</f>
        <v>--</v>
      </c>
      <c r="H10" s="9">
        <f>_xll.qlRateHelperEarliestDate($D10)</f>
        <v>42039</v>
      </c>
      <c r="I10" s="8">
        <f>_xll.qlRateHelperLatestDate($D10)</f>
        <v>42220</v>
      </c>
      <c r="J10" s="3">
        <v>0.9987730963129664</v>
      </c>
    </row>
    <row r="11" spans="1:10" x14ac:dyDescent="0.2">
      <c r="D11" s="11" t="str">
        <v>obj_00409</v>
      </c>
      <c r="E11" s="11" t="str">
        <f>_xll.qlRateHelperQuoteName(D11)</f>
        <v>JPY4x10F_Quote</v>
      </c>
      <c r="F11" s="10">
        <f>_xll.qlRateHelperRate($D11)</f>
        <v>1.5000000000000002E-3</v>
      </c>
      <c r="G11" s="10" t="str">
        <f>IF(ISERROR(_xll.qlSwapRateHelperSpread($D11)),IF(ISERROR(_xll.qlFuturesRateHelperConvexityAdjustment($D11)),"--",_xll.qlFuturesRateHelperConvexityAdjustment($D11)),_xll.qlSwapRateHelperSpread($D11))</f>
        <v>--</v>
      </c>
      <c r="H11" s="9">
        <f>_xll.qlRateHelperEarliestDate($D11)</f>
        <v>42067</v>
      </c>
      <c r="I11" s="8">
        <f>_xll.qlRateHelperLatestDate($D11)</f>
        <v>42251</v>
      </c>
      <c r="J11" s="3">
        <v>0.99867566096634641</v>
      </c>
    </row>
    <row r="12" spans="1:10" x14ac:dyDescent="0.2">
      <c r="D12" s="11" t="str">
        <v>obj_00406</v>
      </c>
      <c r="E12" s="11" t="str">
        <f>_xll.qlRateHelperQuoteName(D12)</f>
        <v>JPY5x11F_Quote</v>
      </c>
      <c r="F12" s="10">
        <f>_xll.qlRateHelperRate($D12)</f>
        <v>1.5000000000000002E-3</v>
      </c>
      <c r="G12" s="10" t="str">
        <f>IF(ISERROR(_xll.qlSwapRateHelperSpread($D12)),IF(ISERROR(_xll.qlFuturesRateHelperConvexityAdjustment($D12)),"--",_xll.qlFuturesRateHelperConvexityAdjustment($D12)),_xll.qlSwapRateHelperSpread($D12))</f>
        <v>--</v>
      </c>
      <c r="H12" s="9">
        <f>_xll.qlRateHelperEarliestDate($D12)</f>
        <v>42101</v>
      </c>
      <c r="I12" s="8">
        <f>_xll.qlRateHelperLatestDate($D12)</f>
        <v>42284</v>
      </c>
      <c r="J12" s="3">
        <v>0.99854053937459042</v>
      </c>
    </row>
    <row r="13" spans="1:10" x14ac:dyDescent="0.2">
      <c r="D13" s="11" t="str">
        <v>obj_003ff</v>
      </c>
      <c r="E13" s="11" t="str">
        <f>_xll.qlRateHelperQuoteName(D13)</f>
        <v>JPY6x12F_Quote</v>
      </c>
      <c r="F13" s="10">
        <f>_xll.qlRateHelperRate($D13)</f>
        <v>1.5000000000000002E-3</v>
      </c>
      <c r="G13" s="10" t="str">
        <f>IF(ISERROR(_xll.qlSwapRateHelperSpread($D13)),IF(ISERROR(_xll.qlFuturesRateHelperConvexityAdjustment($D13)),"--",_xll.qlFuturesRateHelperConvexityAdjustment($D13)),_xll.qlSwapRateHelperSpread($D13))</f>
        <v>--</v>
      </c>
      <c r="H13" s="9">
        <f>_xll.qlRateHelperEarliestDate($D13)</f>
        <v>42129</v>
      </c>
      <c r="I13" s="8">
        <f>_xll.qlRateHelperLatestDate($D13)</f>
        <v>42313</v>
      </c>
      <c r="J13" s="3">
        <v>0.99841936057846892</v>
      </c>
    </row>
    <row r="14" spans="1:10" x14ac:dyDescent="0.2">
      <c r="D14" s="11" t="str">
        <v>obj_003dc</v>
      </c>
      <c r="E14" s="11" t="str">
        <f>_xll.qlRateHelperQuoteName(D14)</f>
        <v>JPYSB6L18M_Quote</v>
      </c>
      <c r="F14" s="10">
        <f>_xll.qlRateHelperRate($D14)</f>
        <v>1.5499999999999999E-3</v>
      </c>
      <c r="G14" s="10">
        <f>IF(ISERROR(_xll.qlSwapRateHelperSpread($D14)),IF(ISERROR(_xll.qlFuturesRateHelperConvexityAdjustment($D14)),"--",_xll.qlFuturesRateHelperConvexityAdjustment($D14)),_xll.qlSwapRateHelperSpread($D14))</f>
        <v>0</v>
      </c>
      <c r="H14" s="9">
        <f>_xll.qlRateHelperEarliestDate($D14)</f>
        <v>41947</v>
      </c>
      <c r="I14" s="8">
        <f>_xll.qlRateHelperLatestDate($D14)</f>
        <v>42494</v>
      </c>
      <c r="J14" s="3">
        <v>0.99768073257782441</v>
      </c>
    </row>
    <row r="15" spans="1:10" x14ac:dyDescent="0.2">
      <c r="D15" s="11" t="str">
        <v>obj_003f2</v>
      </c>
      <c r="E15" s="11" t="str">
        <f>_xll.qlRateHelperQuoteName(D15)</f>
        <v>JPYSB6L2Y_Quote</v>
      </c>
      <c r="F15" s="10">
        <f>_xll.qlRateHelperRate($D15)</f>
        <v>1.5499999999999999E-3</v>
      </c>
      <c r="G15" s="10">
        <f>IF(ISERROR(_xll.qlSwapRateHelperSpread($D15)),IF(ISERROR(_xll.qlFuturesRateHelperConvexityAdjustment($D15)),"--",_xll.qlFuturesRateHelperConvexityAdjustment($D15)),_xll.qlSwapRateHelperSpread($D15))</f>
        <v>0</v>
      </c>
      <c r="H15" s="9">
        <f>_xll.qlRateHelperEarliestDate($D15)</f>
        <v>41947</v>
      </c>
      <c r="I15" s="8">
        <f>_xll.qlRateHelperLatestDate($D15)</f>
        <v>42678</v>
      </c>
      <c r="J15" s="3">
        <v>0.99690178356775994</v>
      </c>
    </row>
    <row r="16" spans="1:10" x14ac:dyDescent="0.2">
      <c r="D16" s="11" t="str">
        <v>obj_003fa</v>
      </c>
      <c r="E16" s="11" t="str">
        <f>_xll.qlRateHelperQuoteName(D16)</f>
        <v>JPYSB6L3Y_Quote</v>
      </c>
      <c r="F16" s="10">
        <f>_xll.qlRateHelperRate($D16)</f>
        <v>1.65E-3</v>
      </c>
      <c r="G16" s="10">
        <f>IF(ISERROR(_xll.qlSwapRateHelperSpread($D16)),IF(ISERROR(_xll.qlFuturesRateHelperConvexityAdjustment($D16)),"--",_xll.qlFuturesRateHelperConvexityAdjustment($D16)),_xll.qlSwapRateHelperSpread($D16))</f>
        <v>0</v>
      </c>
      <c r="H16" s="9">
        <f>_xll.qlRateHelperEarliestDate($D16)</f>
        <v>41947</v>
      </c>
      <c r="I16" s="8">
        <f>_xll.qlRateHelperLatestDate($D16)</f>
        <v>43045</v>
      </c>
      <c r="J16" s="3">
        <v>0.99505065348560795</v>
      </c>
    </row>
    <row r="17" spans="4:10" x14ac:dyDescent="0.2">
      <c r="D17" s="11" t="str">
        <v>obj_003f7</v>
      </c>
      <c r="E17" s="11" t="str">
        <f>_xll.qlRateHelperQuoteName(D17)</f>
        <v>JPYSB6L4Y_Quote</v>
      </c>
      <c r="F17" s="10">
        <f>_xll.qlRateHelperRate($D17)</f>
        <v>1.9250000000000001E-3</v>
      </c>
      <c r="G17" s="10">
        <f>IF(ISERROR(_xll.qlSwapRateHelperSpread($D17)),IF(ISERROR(_xll.qlFuturesRateHelperConvexityAdjustment($D17)),"--",_xll.qlFuturesRateHelperConvexityAdjustment($D17)),_xll.qlSwapRateHelperSpread($D17))</f>
        <v>0</v>
      </c>
      <c r="H17" s="9">
        <f>_xll.qlRateHelperEarliestDate($D17)</f>
        <v>41947</v>
      </c>
      <c r="I17" s="8">
        <f>_xll.qlRateHelperLatestDate($D17)</f>
        <v>43409</v>
      </c>
      <c r="J17" s="3">
        <v>0.9923216943229155</v>
      </c>
    </row>
    <row r="18" spans="4:10" x14ac:dyDescent="0.2">
      <c r="D18" s="11" t="str">
        <v>obj_00408</v>
      </c>
      <c r="E18" s="11" t="str">
        <f>_xll.qlRateHelperQuoteName(D18)</f>
        <v>JPYSB6L5Y_Quote</v>
      </c>
      <c r="F18" s="10">
        <f>_xll.qlRateHelperRate($D18)</f>
        <v>2.3749999999999999E-3</v>
      </c>
      <c r="G18" s="10">
        <f>IF(ISERROR(_xll.qlSwapRateHelperSpread($D18)),IF(ISERROR(_xll.qlFuturesRateHelperConvexityAdjustment($D18)),"--",_xll.qlFuturesRateHelperConvexityAdjustment($D18)),_xll.qlSwapRateHelperSpread($D18))</f>
        <v>0</v>
      </c>
      <c r="H18" s="9">
        <f>_xll.qlRateHelperEarliestDate($D18)</f>
        <v>41947</v>
      </c>
      <c r="I18" s="8">
        <f>_xll.qlRateHelperLatestDate($D18)</f>
        <v>43773</v>
      </c>
      <c r="J18" s="3">
        <v>0.98818984406358712</v>
      </c>
    </row>
    <row r="19" spans="4:10" x14ac:dyDescent="0.2">
      <c r="D19" s="11" t="str">
        <v>obj_003f8</v>
      </c>
      <c r="E19" s="11" t="str">
        <f>_xll.qlRateHelperQuoteName(D19)</f>
        <v>JPYSB6L6Y_Quote</v>
      </c>
      <c r="F19" s="10">
        <f>_xll.qlRateHelperRate($D19)</f>
        <v>2.9749999999999998E-3</v>
      </c>
      <c r="G19" s="10">
        <f>IF(ISERROR(_xll.qlSwapRateHelperSpread($D19)),IF(ISERROR(_xll.qlFuturesRateHelperConvexityAdjustment($D19)),"--",_xll.qlFuturesRateHelperConvexityAdjustment($D19)),_xll.qlSwapRateHelperSpread($D19))</f>
        <v>0</v>
      </c>
      <c r="H19" s="9">
        <f>_xll.qlRateHelperEarliestDate($D19)</f>
        <v>41947</v>
      </c>
      <c r="I19" s="8">
        <f>_xll.qlRateHelperLatestDate($D19)</f>
        <v>44139</v>
      </c>
      <c r="J19" s="3">
        <v>0.98228389908892166</v>
      </c>
    </row>
    <row r="20" spans="4:10" x14ac:dyDescent="0.2">
      <c r="D20" s="11" t="str">
        <v>obj_003fd</v>
      </c>
      <c r="E20" s="11" t="str">
        <f>_xll.qlRateHelperQuoteName(D20)</f>
        <v>JPYSB6L7Y_Quote</v>
      </c>
      <c r="F20" s="10">
        <f>_xll.qlRateHelperRate($D20)</f>
        <v>3.6750000000000003E-3</v>
      </c>
      <c r="G20" s="10">
        <f>IF(ISERROR(_xll.qlSwapRateHelperSpread($D20)),IF(ISERROR(_xll.qlFuturesRateHelperConvexityAdjustment($D20)),"--",_xll.qlFuturesRateHelperConvexityAdjustment($D20)),_xll.qlSwapRateHelperSpread($D20))</f>
        <v>0</v>
      </c>
      <c r="H20" s="9">
        <f>_xll.qlRateHelperEarliestDate($D20)</f>
        <v>41947</v>
      </c>
      <c r="I20" s="8">
        <f>_xll.qlRateHelperLatestDate($D20)</f>
        <v>44504</v>
      </c>
      <c r="J20" s="3">
        <v>0.97454962391873068</v>
      </c>
    </row>
    <row r="21" spans="4:10" x14ac:dyDescent="0.2">
      <c r="D21" s="11" t="str">
        <v>obj_003ed</v>
      </c>
      <c r="E21" s="11" t="str">
        <f>_xll.qlRateHelperQuoteName(D21)</f>
        <v>JPYSB6L8Y_Quote</v>
      </c>
      <c r="F21" s="10">
        <f>_xll.qlRateHelperRate($D21)</f>
        <v>4.3999999999999994E-3</v>
      </c>
      <c r="G21" s="10">
        <f>IF(ISERROR(_xll.qlSwapRateHelperSpread($D21)),IF(ISERROR(_xll.qlFuturesRateHelperConvexityAdjustment($D21)),"--",_xll.qlFuturesRateHelperConvexityAdjustment($D21)),_xll.qlSwapRateHelperSpread($D21))</f>
        <v>0</v>
      </c>
      <c r="H21" s="9">
        <f>_xll.qlRateHelperEarliestDate($D21)</f>
        <v>41947</v>
      </c>
      <c r="I21" s="8">
        <f>_xll.qlRateHelperLatestDate($D21)</f>
        <v>44869</v>
      </c>
      <c r="J21" s="3">
        <v>0.96530650479146529</v>
      </c>
    </row>
    <row r="22" spans="4:10" x14ac:dyDescent="0.2">
      <c r="D22" s="11" t="str">
        <v>obj_003e9</v>
      </c>
      <c r="E22" s="11" t="str">
        <f>_xll.qlRateHelperQuoteName(D22)</f>
        <v>JPYSB6L9Y_Quote</v>
      </c>
      <c r="F22" s="10">
        <f>_xll.qlRateHelperRate($D22)</f>
        <v>5.1749999999999999E-3</v>
      </c>
      <c r="G22" s="10">
        <f>IF(ISERROR(_xll.qlSwapRateHelperSpread($D22)),IF(ISERROR(_xll.qlFuturesRateHelperConvexityAdjustment($D22)),"--",_xll.qlFuturesRateHelperConvexityAdjustment($D22)),_xll.qlSwapRateHelperSpread($D22))</f>
        <v>0</v>
      </c>
      <c r="H22" s="9">
        <f>_xll.qlRateHelperEarliestDate($D22)</f>
        <v>41947</v>
      </c>
      <c r="I22" s="8">
        <f>_xll.qlRateHelperLatestDate($D22)</f>
        <v>45236</v>
      </c>
      <c r="J22" s="3">
        <v>0.95426939459403215</v>
      </c>
    </row>
    <row r="23" spans="4:10" x14ac:dyDescent="0.2">
      <c r="D23" s="11" t="str">
        <v>obj_00401</v>
      </c>
      <c r="E23" s="11" t="str">
        <f>_xll.qlRateHelperQuoteName(D23)</f>
        <v>JPYSB6L10Y_Quote</v>
      </c>
      <c r="F23" s="10">
        <f>_xll.qlRateHelperRate($D23)</f>
        <v>5.9250000000000006E-3</v>
      </c>
      <c r="G23" s="10">
        <f>IF(ISERROR(_xll.qlSwapRateHelperSpread($D23)),IF(ISERROR(_xll.qlFuturesRateHelperConvexityAdjustment($D23)),"--",_xll.qlFuturesRateHelperConvexityAdjustment($D23)),_xll.qlSwapRateHelperSpread($D23))</f>
        <v>0</v>
      </c>
      <c r="H23" s="9">
        <f>_xll.qlRateHelperEarliestDate($D23)</f>
        <v>41947</v>
      </c>
      <c r="I23" s="8">
        <f>_xll.qlRateHelperLatestDate($D23)</f>
        <v>45600</v>
      </c>
      <c r="J23" s="3">
        <v>0.94212366580374129</v>
      </c>
    </row>
    <row r="24" spans="4:10" x14ac:dyDescent="0.2">
      <c r="D24" s="11" t="str">
        <v>obj_003fb</v>
      </c>
      <c r="E24" s="11" t="str">
        <f>_xll.qlRateHelperQuoteName(D24)</f>
        <v>JPYSB6L12Y_Quote</v>
      </c>
      <c r="F24" s="10">
        <f>_xll.qlRateHelperRate($D24)</f>
        <v>7.5500000000000003E-3</v>
      </c>
      <c r="G24" s="10">
        <f>IF(ISERROR(_xll.qlSwapRateHelperSpread($D24)),IF(ISERROR(_xll.qlFuturesRateHelperConvexityAdjustment($D24)),"--",_xll.qlFuturesRateHelperConvexityAdjustment($D24)),_xll.qlSwapRateHelperSpread($D24))</f>
        <v>0</v>
      </c>
      <c r="H24" s="9">
        <f>_xll.qlRateHelperEarliestDate($D24)</f>
        <v>41947</v>
      </c>
      <c r="I24" s="8">
        <f>_xll.qlRateHelperLatestDate($D24)</f>
        <v>46330</v>
      </c>
      <c r="J24" s="3">
        <v>0.91250829816186807</v>
      </c>
    </row>
    <row r="25" spans="4:10" x14ac:dyDescent="0.2">
      <c r="D25" s="11" t="str">
        <v>obj_003f1</v>
      </c>
      <c r="E25" s="11" t="str">
        <f>_xll.qlRateHelperQuoteName(D25)</f>
        <v>JPYSB6L15Y_Quote</v>
      </c>
      <c r="F25" s="10">
        <f>_xll.qlRateHelperRate($D25)</f>
        <v>9.9750000000000012E-3</v>
      </c>
      <c r="G25" s="10">
        <f>IF(ISERROR(_xll.qlSwapRateHelperSpread($D25)),IF(ISERROR(_xll.qlFuturesRateHelperConvexityAdjustment($D25)),"--",_xll.qlFuturesRateHelperConvexityAdjustment($D25)),_xll.qlSwapRateHelperSpread($D25))</f>
        <v>0</v>
      </c>
      <c r="H25" s="9">
        <f>_xll.qlRateHelperEarliestDate($D25)</f>
        <v>41947</v>
      </c>
      <c r="I25" s="8">
        <f>_xll.qlRateHelperLatestDate($D25)</f>
        <v>47427</v>
      </c>
      <c r="J25" s="3">
        <v>0.85842064062911949</v>
      </c>
    </row>
    <row r="26" spans="4:10" x14ac:dyDescent="0.2">
      <c r="D26" s="11" t="str">
        <v>obj_003ef</v>
      </c>
      <c r="E26" s="11" t="str">
        <f>_xll.qlRateHelperQuoteName(D26)</f>
        <v>JPYSB6L20Y_Quote</v>
      </c>
      <c r="F26" s="10">
        <f>_xll.qlRateHelperRate($D26)</f>
        <v>1.3025E-2</v>
      </c>
      <c r="G26" s="10">
        <f>IF(ISERROR(_xll.qlSwapRateHelperSpread($D26)),IF(ISERROR(_xll.qlFuturesRateHelperConvexityAdjustment($D26)),"--",_xll.qlFuturesRateHelperConvexityAdjustment($D26)),_xll.qlSwapRateHelperSpread($D26))</f>
        <v>0</v>
      </c>
      <c r="H26" s="9">
        <f>_xll.qlRateHelperEarliestDate($D26)</f>
        <v>41947</v>
      </c>
      <c r="I26" s="8">
        <f>_xll.qlRateHelperLatestDate($D26)</f>
        <v>49254</v>
      </c>
      <c r="J26" s="3">
        <v>0.76343514712171356</v>
      </c>
    </row>
    <row r="27" spans="4:10" x14ac:dyDescent="0.2">
      <c r="D27" s="11" t="str">
        <v>obj_00400</v>
      </c>
      <c r="E27" s="11" t="str">
        <f>_xll.qlRateHelperQuoteName(D27)</f>
        <v>JPYSB6L25Y_Quote</v>
      </c>
      <c r="F27" s="10">
        <f>_xll.qlRateHelperRate($D27)</f>
        <v>1.4649999999999998E-2</v>
      </c>
      <c r="G27" s="10">
        <f>IF(ISERROR(_xll.qlSwapRateHelperSpread($D27)),IF(ISERROR(_xll.qlFuturesRateHelperConvexityAdjustment($D27)),"--",_xll.qlFuturesRateHelperConvexityAdjustment($D27)),_xll.qlSwapRateHelperSpread($D27))</f>
        <v>0</v>
      </c>
      <c r="H27" s="9">
        <f>_xll.qlRateHelperEarliestDate($D27)</f>
        <v>41947</v>
      </c>
      <c r="I27" s="8">
        <f>_xll.qlRateHelperLatestDate($D27)</f>
        <v>51078</v>
      </c>
      <c r="J27" s="3">
        <v>0.68212191731774074</v>
      </c>
    </row>
    <row r="28" spans="4:10" x14ac:dyDescent="0.2">
      <c r="D28" s="11" t="str">
        <v>obj_003e7</v>
      </c>
      <c r="E28" s="11" t="str">
        <f>_xll.qlRateHelperQuoteName(D28)</f>
        <v>JPYSB6L30Y_Quote</v>
      </c>
      <c r="F28" s="10">
        <f>_xll.qlRateHelperRate($D28)</f>
        <v>1.55E-2</v>
      </c>
      <c r="G28" s="10">
        <f>IF(ISERROR(_xll.qlSwapRateHelperSpread($D28)),IF(ISERROR(_xll.qlFuturesRateHelperConvexityAdjustment($D28)),"--",_xll.qlFuturesRateHelperConvexityAdjustment($D28)),_xll.qlSwapRateHelperSpread($D28))</f>
        <v>0</v>
      </c>
      <c r="H28" s="9">
        <f>_xll.qlRateHelperEarliestDate($D28)</f>
        <v>41947</v>
      </c>
      <c r="I28" s="8">
        <f>_xll.qlRateHelperLatestDate($D28)</f>
        <v>52905</v>
      </c>
      <c r="J28" s="3">
        <v>0.61427590043114888</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heetViews>
  <sheetFormatPr defaultRowHeight="13.5" x14ac:dyDescent="0.25"/>
  <cols>
    <col min="1" max="1" width="3" style="201" customWidth="1"/>
    <col min="2" max="2" width="11" style="201" bestFit="1" customWidth="1"/>
    <col min="3" max="3" width="15.140625" style="201" bestFit="1" customWidth="1"/>
    <col min="4" max="4" width="21.42578125" style="201" bestFit="1" customWidth="1"/>
    <col min="5" max="5" width="25" style="201" bestFit="1" customWidth="1"/>
    <col min="6" max="6" width="35.7109375" style="201" customWidth="1"/>
    <col min="7" max="7" width="2.7109375" style="201" customWidth="1"/>
    <col min="8" max="16384" width="9.140625" style="201"/>
  </cols>
  <sheetData>
    <row r="1" spans="1:7" x14ac:dyDescent="0.25">
      <c r="A1" s="231"/>
      <c r="B1" s="259" t="str">
        <f>PROPER(Currency)&amp;FamilyName&amp;C1</f>
        <v>JpyLibor6M</v>
      </c>
      <c r="C1" s="87" t="s">
        <v>85</v>
      </c>
      <c r="D1" s="248" t="str">
        <f>Currency&amp;"_YC"&amp;$C$1&amp;"RH"</f>
        <v>JPY_YC6MRH</v>
      </c>
      <c r="E1" s="260" t="str">
        <f>$D$1&amp;"_Deposits.xml"</f>
        <v>JPY_YC6MRH_Deposits.xml</v>
      </c>
      <c r="F1" s="56"/>
      <c r="G1" s="200"/>
    </row>
    <row r="2" spans="1:7" ht="18" customHeight="1" x14ac:dyDescent="0.25">
      <c r="A2" s="202"/>
      <c r="B2" s="203" t="s">
        <v>111</v>
      </c>
      <c r="C2" s="203" t="s">
        <v>87</v>
      </c>
      <c r="D2" s="203" t="s">
        <v>86</v>
      </c>
      <c r="E2" s="204" t="str">
        <f>IF(Serialize,_xll.ohObjectSave(E12:E12,SerializationPath&amp;E1,FileOverwrite,Serialize),"---")</f>
        <v>---</v>
      </c>
      <c r="F2" s="205" t="str">
        <f>_xll.ohRangeRetrieveError(E2)</f>
        <v/>
      </c>
      <c r="G2" s="200"/>
    </row>
    <row r="3" spans="1:7" ht="11.25" customHeight="1" x14ac:dyDescent="0.25">
      <c r="A3" s="202"/>
      <c r="B3" s="206" t="s">
        <v>115</v>
      </c>
      <c r="C3" s="199" t="str">
        <f>_xll.qlIborIndex(,,"1D",NDays,Currency,Calendar,"f",FALSE,"Actual/360",,,Trigger)</f>
        <v>obj_003ce#0001</v>
      </c>
      <c r="D3" s="207" t="str">
        <f t="shared" ref="D3:D12" si="0">Currency&amp;B3&amp;"D"&amp;"_SYNTH"&amp;$C$1&amp;QuoteSuffix</f>
        <v>JPYSND_SYNTH6M_Quote</v>
      </c>
      <c r="E3" s="208" t="str">
        <f>_xll.qlDepositRateHelper(,D3,C3,,Trigger,ObjectOverwrite)</f>
        <v>obj_003d3#0001</v>
      </c>
      <c r="F3" s="209" t="str">
        <f>_xll.ohRangeRetrieveError(E3)</f>
        <v/>
      </c>
      <c r="G3" s="200"/>
    </row>
    <row r="4" spans="1:7" ht="11.25" customHeight="1" x14ac:dyDescent="0.25">
      <c r="A4" s="202"/>
      <c r="B4" s="206" t="s">
        <v>116</v>
      </c>
      <c r="C4" s="199" t="str">
        <f>_xll.qlIborIndex(,,"1W",NDays,Currency,Calendar,"f",FALSE,"Actual/360",,,Trigger)</f>
        <v>obj_003c8#0001</v>
      </c>
      <c r="D4" s="207" t="str">
        <f t="shared" si="0"/>
        <v>JPYSWD_SYNTH6M_Quote</v>
      </c>
      <c r="E4" s="208" t="str">
        <f>_xll.qlDepositRateHelper(,D4,C4,,Trigger,ObjectOverwrite)</f>
        <v>obj_003da#0001</v>
      </c>
      <c r="F4" s="209" t="str">
        <f>_xll.ohRangeRetrieveError(E4)</f>
        <v/>
      </c>
      <c r="G4" s="200"/>
    </row>
    <row r="5" spans="1:7" ht="11.25" customHeight="1" x14ac:dyDescent="0.25">
      <c r="A5" s="202"/>
      <c r="B5" s="206" t="s">
        <v>117</v>
      </c>
      <c r="C5" s="199" t="str">
        <f>_xll.qlIborIndex(,,B5,NDays,Currency,Calendar,"f",FALSE,"Actual/360",,,Trigger)</f>
        <v>obj_003d0#0001</v>
      </c>
      <c r="D5" s="207" t="str">
        <f t="shared" si="0"/>
        <v>JPY2WD_SYNTH6M_Quote</v>
      </c>
      <c r="E5" s="208" t="str">
        <f>_xll.qlDepositRateHelper(,D5,C5,,Trigger,ObjectOverwrite)</f>
        <v>obj_003d6#0001</v>
      </c>
      <c r="F5" s="209" t="str">
        <f>_xll.ohRangeRetrieveError(E5)</f>
        <v/>
      </c>
      <c r="G5" s="200"/>
    </row>
    <row r="6" spans="1:7" ht="11.25" customHeight="1" x14ac:dyDescent="0.25">
      <c r="A6" s="202"/>
      <c r="B6" s="206" t="s">
        <v>118</v>
      </c>
      <c r="C6" s="199" t="str">
        <f>_xll.qlIborIndex(,,B6,NDays,Currency,Calendar,"f",FALSE,"Actual/360",,,Trigger)</f>
        <v>obj_003cf#0001</v>
      </c>
      <c r="D6" s="207" t="str">
        <f t="shared" si="0"/>
        <v>JPY3WD_SYNTH6M_Quote</v>
      </c>
      <c r="E6" s="208" t="str">
        <f>_xll.qlDepositRateHelper(,D6,C6,,Trigger,ObjectOverwrite)</f>
        <v>obj_003d7#0001</v>
      </c>
      <c r="F6" s="209" t="str">
        <f>_xll.ohRangeRetrieveError(E6)</f>
        <v/>
      </c>
      <c r="G6" s="200"/>
    </row>
    <row r="7" spans="1:7" ht="11.25" customHeight="1" x14ac:dyDescent="0.25">
      <c r="A7" s="202"/>
      <c r="B7" s="206" t="s">
        <v>119</v>
      </c>
      <c r="C7" s="199" t="str">
        <f>_xll.qlIborIndex(,,B7,NDays,Currency,Calendar,"mf",TRUE,"Actual/360",,,Trigger)</f>
        <v>obj_003cb#0001</v>
      </c>
      <c r="D7" s="207" t="str">
        <f t="shared" si="0"/>
        <v>JPY1MD_SYNTH6M_Quote</v>
      </c>
      <c r="E7" s="208" t="str">
        <f>_xll.qlDepositRateHelper(,D7,C7,,Trigger,ObjectOverwrite)</f>
        <v>obj_003d9#0001</v>
      </c>
      <c r="F7" s="209" t="str">
        <f>_xll.ohRangeRetrieveError(E7)</f>
        <v/>
      </c>
      <c r="G7" s="200"/>
    </row>
    <row r="8" spans="1:7" ht="11.25" customHeight="1" x14ac:dyDescent="0.25">
      <c r="A8" s="202"/>
      <c r="B8" s="206" t="s">
        <v>120</v>
      </c>
      <c r="C8" s="199" t="str">
        <f>_xll.qlIborIndex(,,B8,NDays,Currency,Calendar,"mf",TRUE,"Actual/360",,,Trigger)</f>
        <v>obj_003c7#0001</v>
      </c>
      <c r="D8" s="207" t="str">
        <f t="shared" si="0"/>
        <v>JPY2MD_SYNTH6M_Quote</v>
      </c>
      <c r="E8" s="208" t="str">
        <f>_xll.qlDepositRateHelper(,D8,C8,,Trigger,ObjectOverwrite)</f>
        <v>obj_003d5#0001</v>
      </c>
      <c r="F8" s="209" t="str">
        <f>_xll.ohRangeRetrieveError(E8)</f>
        <v/>
      </c>
      <c r="G8" s="200"/>
    </row>
    <row r="9" spans="1:7" ht="11.25" customHeight="1" x14ac:dyDescent="0.25">
      <c r="A9" s="202"/>
      <c r="B9" s="206" t="s">
        <v>121</v>
      </c>
      <c r="C9" s="199" t="str">
        <f>_xll.qlIborIndex(,,B9,NDays,Currency,Calendar,"mf",TRUE,"Actual/360",,,Trigger)</f>
        <v>obj_003cd#0001</v>
      </c>
      <c r="D9" s="207" t="str">
        <f t="shared" si="0"/>
        <v>JPY3MD_SYNTH6M_Quote</v>
      </c>
      <c r="E9" s="208" t="str">
        <f>_xll.qlDepositRateHelper(,D9,C9,,Trigger,ObjectOverwrite)</f>
        <v>obj_003d8#0001</v>
      </c>
      <c r="F9" s="209" t="str">
        <f>_xll.ohRangeRetrieveError(E9)</f>
        <v/>
      </c>
      <c r="G9" s="200"/>
    </row>
    <row r="10" spans="1:7" ht="11.25" customHeight="1" x14ac:dyDescent="0.25">
      <c r="A10" s="202"/>
      <c r="B10" s="206" t="s">
        <v>122</v>
      </c>
      <c r="C10" s="199" t="str">
        <f>_xll.qlIborIndex(,,B10,NDays,Currency,Calendar,"mf",TRUE,"Actual/360",,,Trigger)</f>
        <v>obj_003ca#0001</v>
      </c>
      <c r="D10" s="207" t="str">
        <f t="shared" si="0"/>
        <v>JPY4MD_SYNTH6M_Quote</v>
      </c>
      <c r="E10" s="208" t="str">
        <f>_xll.qlDepositRateHelper(,D10,C10,,Trigger,ObjectOverwrite)</f>
        <v>obj_003d1#0001</v>
      </c>
      <c r="F10" s="209" t="str">
        <f>_xll.ohRangeRetrieveError(E10)</f>
        <v/>
      </c>
      <c r="G10" s="200"/>
    </row>
    <row r="11" spans="1:7" ht="11.25" customHeight="1" x14ac:dyDescent="0.25">
      <c r="A11" s="202"/>
      <c r="B11" s="206" t="s">
        <v>123</v>
      </c>
      <c r="C11" s="199" t="str">
        <f>_xll.qlIborIndex(,,B11,NDays,Currency,Calendar,"mf",TRUE,"Actual/360",,,Trigger)</f>
        <v>obj_003c9#0001</v>
      </c>
      <c r="D11" s="207" t="str">
        <f t="shared" si="0"/>
        <v>JPY5MD_SYNTH6M_Quote</v>
      </c>
      <c r="E11" s="208" t="str">
        <f>_xll.qlDepositRateHelper(,D11,C11,,Trigger,ObjectOverwrite)</f>
        <v>obj_003d4#0001</v>
      </c>
      <c r="F11" s="209" t="str">
        <f>_xll.ohRangeRetrieveError(E11)</f>
        <v/>
      </c>
      <c r="G11" s="200"/>
    </row>
    <row r="12" spans="1:7" ht="11.25" customHeight="1" x14ac:dyDescent="0.25">
      <c r="A12" s="202"/>
      <c r="B12" s="210" t="s">
        <v>85</v>
      </c>
      <c r="C12" s="199" t="str">
        <f>_xll.qlIborIndex(,,B12,NDays,Currency,Calendar,"mf",TRUE,"Actual/360",,,Trigger)</f>
        <v>obj_003cc#0001</v>
      </c>
      <c r="D12" s="207" t="str">
        <f t="shared" si="0"/>
        <v>JPY6MD_SYNTH6M_Quote</v>
      </c>
      <c r="E12" s="208" t="str">
        <f>_xll.qlDepositRateHelper(,D12,C12,,Trigger,ObjectOverwrite)</f>
        <v>obj_003d2#0001</v>
      </c>
      <c r="F12" s="211" t="str">
        <f>_xll.ohRangeRetrieveError(E12)</f>
        <v/>
      </c>
      <c r="G12" s="200"/>
    </row>
    <row r="13" spans="1:7" ht="11.25" customHeight="1" thickBot="1" x14ac:dyDescent="0.3">
      <c r="A13" s="212"/>
      <c r="B13" s="213"/>
      <c r="C13" s="213"/>
      <c r="D13" s="213"/>
      <c r="E13" s="213"/>
      <c r="F13" s="213"/>
      <c r="G13" s="214"/>
    </row>
    <row r="18" spans="5:5" x14ac:dyDescent="0.25">
      <c r="E18" s="21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35.7109375" style="56" customWidth="1"/>
    <col min="10" max="10" width="2.7109375" style="56" customWidth="1"/>
    <col min="11" max="16384" width="9.140625" style="56"/>
  </cols>
  <sheetData>
    <row r="1" spans="1:10" ht="12" x14ac:dyDescent="0.2">
      <c r="A1" s="216"/>
      <c r="B1" s="217"/>
      <c r="C1" s="218"/>
      <c r="D1" s="218">
        <v>6</v>
      </c>
      <c r="E1" s="217" t="str">
        <f>_xll.qlPeriodEquivalent(D1&amp;"M")</f>
        <v>6M</v>
      </c>
      <c r="F1" s="87"/>
      <c r="G1" s="219" t="str">
        <f>Currency&amp;"_YC"&amp;$E$1&amp;"RH"</f>
        <v>JPY_YC6MRH</v>
      </c>
      <c r="H1" s="220" t="str">
        <f>$G$1&amp;"_FRAs.xml"</f>
        <v>JPY_YC6MRH_FRAs.xml</v>
      </c>
      <c r="I1" s="221"/>
      <c r="J1" s="222"/>
    </row>
    <row r="2" spans="1:10" ht="18" customHeight="1" x14ac:dyDescent="0.2">
      <c r="A2" s="202"/>
      <c r="B2" s="223"/>
      <c r="C2" s="224"/>
      <c r="D2" s="225"/>
      <c r="E2" s="226" t="s">
        <v>87</v>
      </c>
      <c r="F2" s="226" t="s">
        <v>97</v>
      </c>
      <c r="G2" s="226" t="s">
        <v>86</v>
      </c>
      <c r="H2" s="227" t="str">
        <f>IF(Serialize,_xll.ohObjectSave(H3:H20,SerializationPath&amp;H1,FileOverwrite,Serialize),"---")</f>
        <v>---</v>
      </c>
      <c r="I2" s="228" t="str">
        <f>_xll.ohRangeRetrieveError(H2)</f>
        <v/>
      </c>
      <c r="J2" s="200"/>
    </row>
    <row r="3" spans="1:10" ht="11.25" customHeight="1" x14ac:dyDescent="0.2">
      <c r="A3" s="202"/>
      <c r="B3" s="255" t="str">
        <f t="shared" ref="B3:B20" si="0">C3&amp;"M"</f>
        <v>1M</v>
      </c>
      <c r="C3" s="258">
        <v>1</v>
      </c>
      <c r="D3" s="257" t="str">
        <f t="shared" ref="D3:D20" si="1">"x"&amp;C3+$D$1&amp;"F"</f>
        <v>x7F</v>
      </c>
      <c r="E3" s="255" t="str">
        <f t="shared" ref="E3:E20" si="2">PROPER(Currency)&amp;FamilyName&amp;$E$1</f>
        <v>JpyLibor6M</v>
      </c>
      <c r="F3" s="239" t="b">
        <v>0</v>
      </c>
      <c r="G3" s="255" t="str">
        <f t="shared" ref="G3:G20" si="3">Currency&amp;C3&amp;D3&amp;IF(F3,"_SYNTH"&amp;$E$1,"")&amp;"_Quote"</f>
        <v>JPY1x7F_Quote</v>
      </c>
      <c r="H3" s="255" t="str">
        <f>_xll.qlFraRateHelper(,G3,B3,E3,Permanent,Trigger,ObjectOverwrite)</f>
        <v>obj_003eb#0001</v>
      </c>
      <c r="I3" s="256" t="str">
        <f>_xll.ohRangeRetrieveError(H3)</f>
        <v/>
      </c>
      <c r="J3" s="200"/>
    </row>
    <row r="4" spans="1:10" ht="11.25" customHeight="1" x14ac:dyDescent="0.2">
      <c r="A4" s="202"/>
      <c r="B4" s="255" t="str">
        <f t="shared" si="0"/>
        <v>2M</v>
      </c>
      <c r="C4" s="258">
        <v>2</v>
      </c>
      <c r="D4" s="257" t="str">
        <f t="shared" si="1"/>
        <v>x8F</v>
      </c>
      <c r="E4" s="255" t="str">
        <f t="shared" si="2"/>
        <v>JpyLibor6M</v>
      </c>
      <c r="F4" s="239" t="b">
        <v>0</v>
      </c>
      <c r="G4" s="255" t="str">
        <f t="shared" si="3"/>
        <v>JPY2x8F_Quote</v>
      </c>
      <c r="H4" s="255" t="str">
        <f>_xll.qlFraRateHelper(,G4,B4,E4,Permanent,Trigger,ObjectOverwrite)</f>
        <v>obj_003e3#0001</v>
      </c>
      <c r="I4" s="256" t="str">
        <f>_xll.ohRangeRetrieveError(H4)</f>
        <v/>
      </c>
      <c r="J4" s="200"/>
    </row>
    <row r="5" spans="1:10" ht="11.25" customHeight="1" x14ac:dyDescent="0.2">
      <c r="A5" s="202"/>
      <c r="B5" s="255" t="str">
        <f t="shared" si="0"/>
        <v>3M</v>
      </c>
      <c r="C5" s="258">
        <v>3</v>
      </c>
      <c r="D5" s="257" t="str">
        <f t="shared" si="1"/>
        <v>x9F</v>
      </c>
      <c r="E5" s="255" t="str">
        <f t="shared" si="2"/>
        <v>JpyLibor6M</v>
      </c>
      <c r="F5" s="239" t="b">
        <v>0</v>
      </c>
      <c r="G5" s="255" t="str">
        <f t="shared" si="3"/>
        <v>JPY3x9F_Quote</v>
      </c>
      <c r="H5" s="255" t="str">
        <f>_xll.qlFraRateHelper(,G5,B5,E5,Permanent,Trigger,ObjectOverwrite)</f>
        <v>obj_00402#0001</v>
      </c>
      <c r="I5" s="256" t="str">
        <f>_xll.ohRangeRetrieveError(H5)</f>
        <v/>
      </c>
      <c r="J5" s="200"/>
    </row>
    <row r="6" spans="1:10" ht="11.25" customHeight="1" x14ac:dyDescent="0.2">
      <c r="A6" s="202"/>
      <c r="B6" s="255" t="str">
        <f t="shared" si="0"/>
        <v>4M</v>
      </c>
      <c r="C6" s="258">
        <v>4</v>
      </c>
      <c r="D6" s="257" t="str">
        <f t="shared" si="1"/>
        <v>x10F</v>
      </c>
      <c r="E6" s="255" t="str">
        <f t="shared" si="2"/>
        <v>JpyLibor6M</v>
      </c>
      <c r="F6" s="239" t="b">
        <v>0</v>
      </c>
      <c r="G6" s="255" t="str">
        <f t="shared" si="3"/>
        <v>JPY4x10F_Quote</v>
      </c>
      <c r="H6" s="255" t="str">
        <f>_xll.qlFraRateHelper(,G6,B6,E6,Permanent,Trigger,ObjectOverwrite)</f>
        <v>obj_00409#0001</v>
      </c>
      <c r="I6" s="256" t="str">
        <f>_xll.ohRangeRetrieveError(H6)</f>
        <v/>
      </c>
      <c r="J6" s="200"/>
    </row>
    <row r="7" spans="1:10" ht="11.25" customHeight="1" x14ac:dyDescent="0.2">
      <c r="A7" s="202"/>
      <c r="B7" s="255" t="str">
        <f t="shared" si="0"/>
        <v>5M</v>
      </c>
      <c r="C7" s="258">
        <v>5</v>
      </c>
      <c r="D7" s="257" t="str">
        <f t="shared" si="1"/>
        <v>x11F</v>
      </c>
      <c r="E7" s="255" t="str">
        <f t="shared" si="2"/>
        <v>JpyLibor6M</v>
      </c>
      <c r="F7" s="239" t="b">
        <v>0</v>
      </c>
      <c r="G7" s="255" t="str">
        <f t="shared" si="3"/>
        <v>JPY5x11F_Quote</v>
      </c>
      <c r="H7" s="255" t="str">
        <f>_xll.qlFraRateHelper(,G7,B7,E7,Permanent,Trigger,ObjectOverwrite)</f>
        <v>obj_00406#0001</v>
      </c>
      <c r="I7" s="256" t="str">
        <f>_xll.ohRangeRetrieveError(H7)</f>
        <v/>
      </c>
      <c r="J7" s="200"/>
    </row>
    <row r="8" spans="1:10" ht="11.25" customHeight="1" x14ac:dyDescent="0.2">
      <c r="A8" s="202"/>
      <c r="B8" s="255" t="str">
        <f t="shared" si="0"/>
        <v>6M</v>
      </c>
      <c r="C8" s="258">
        <v>6</v>
      </c>
      <c r="D8" s="257" t="str">
        <f t="shared" si="1"/>
        <v>x12F</v>
      </c>
      <c r="E8" s="255" t="str">
        <f t="shared" si="2"/>
        <v>JpyLibor6M</v>
      </c>
      <c r="F8" s="239" t="b">
        <v>0</v>
      </c>
      <c r="G8" s="255" t="str">
        <f t="shared" si="3"/>
        <v>JPY6x12F_Quote</v>
      </c>
      <c r="H8" s="255" t="str">
        <f>_xll.qlFraRateHelper(,G8,B8,E8,Permanent,Trigger,ObjectOverwrite)</f>
        <v>obj_003ff#0001</v>
      </c>
      <c r="I8" s="256" t="str">
        <f>_xll.ohRangeRetrieveError(H8)</f>
        <v/>
      </c>
      <c r="J8" s="200"/>
    </row>
    <row r="9" spans="1:10" ht="11.25" customHeight="1" x14ac:dyDescent="0.2">
      <c r="A9" s="202"/>
      <c r="B9" s="255" t="str">
        <f t="shared" si="0"/>
        <v>7M</v>
      </c>
      <c r="C9" s="258">
        <v>7</v>
      </c>
      <c r="D9" s="257" t="str">
        <f t="shared" si="1"/>
        <v>x13F</v>
      </c>
      <c r="E9" s="255" t="str">
        <f t="shared" si="2"/>
        <v>JpyLibor6M</v>
      </c>
      <c r="F9" s="239" t="b">
        <v>0</v>
      </c>
      <c r="G9" s="255" t="str">
        <f t="shared" si="3"/>
        <v>JPY7x13F_Quote</v>
      </c>
      <c r="H9" s="255"/>
      <c r="I9" s="256" t="str">
        <f>_xll.ohRangeRetrieveError(H9)</f>
        <v/>
      </c>
      <c r="J9" s="200"/>
    </row>
    <row r="10" spans="1:10" ht="11.25" customHeight="1" x14ac:dyDescent="0.2">
      <c r="A10" s="202"/>
      <c r="B10" s="255" t="str">
        <f t="shared" si="0"/>
        <v>8M</v>
      </c>
      <c r="C10" s="258">
        <v>8</v>
      </c>
      <c r="D10" s="257" t="str">
        <f t="shared" si="1"/>
        <v>x14F</v>
      </c>
      <c r="E10" s="255" t="str">
        <f t="shared" si="2"/>
        <v>JpyLibor6M</v>
      </c>
      <c r="F10" s="239" t="b">
        <v>0</v>
      </c>
      <c r="G10" s="255" t="str">
        <f t="shared" si="3"/>
        <v>JPY8x14F_Quote</v>
      </c>
      <c r="H10" s="255"/>
      <c r="I10" s="256" t="str">
        <f>_xll.ohRangeRetrieveError(H10)</f>
        <v/>
      </c>
      <c r="J10" s="200"/>
    </row>
    <row r="11" spans="1:10" ht="11.25" customHeight="1" x14ac:dyDescent="0.2">
      <c r="A11" s="202"/>
      <c r="B11" s="255" t="str">
        <f t="shared" si="0"/>
        <v>9M</v>
      </c>
      <c r="C11" s="258">
        <v>9</v>
      </c>
      <c r="D11" s="257" t="str">
        <f t="shared" si="1"/>
        <v>x15F</v>
      </c>
      <c r="E11" s="255" t="str">
        <f t="shared" si="2"/>
        <v>JpyLibor6M</v>
      </c>
      <c r="F11" s="239" t="b">
        <v>0</v>
      </c>
      <c r="G11" s="255" t="str">
        <f t="shared" si="3"/>
        <v>JPY9x15F_Quote</v>
      </c>
      <c r="H11" s="255" t="str">
        <f>_xll.qlFraRateHelper(,G11,B11,E11,Permanent,Trigger,ObjectOverwrite)</f>
        <v>obj_003fe#0001</v>
      </c>
      <c r="I11" s="256" t="str">
        <f>_xll.ohRangeRetrieveError(H11)</f>
        <v/>
      </c>
      <c r="J11" s="200"/>
    </row>
    <row r="12" spans="1:10" ht="11.25" customHeight="1" x14ac:dyDescent="0.2">
      <c r="A12" s="202"/>
      <c r="B12" s="255" t="str">
        <f t="shared" si="0"/>
        <v>10M</v>
      </c>
      <c r="C12" s="258">
        <v>10</v>
      </c>
      <c r="D12" s="257" t="str">
        <f t="shared" si="1"/>
        <v>x16F</v>
      </c>
      <c r="E12" s="255" t="str">
        <f t="shared" si="2"/>
        <v>JpyLibor6M</v>
      </c>
      <c r="F12" s="239" t="b">
        <v>0</v>
      </c>
      <c r="G12" s="255" t="str">
        <f t="shared" si="3"/>
        <v>JPY10x16F_Quote</v>
      </c>
      <c r="H12" s="255"/>
      <c r="I12" s="256" t="str">
        <f>_xll.ohRangeRetrieveError(H12)</f>
        <v/>
      </c>
      <c r="J12" s="200"/>
    </row>
    <row r="13" spans="1:10" ht="11.25" customHeight="1" x14ac:dyDescent="0.2">
      <c r="A13" s="202"/>
      <c r="B13" s="255" t="str">
        <f t="shared" si="0"/>
        <v>11M</v>
      </c>
      <c r="C13" s="258">
        <v>11</v>
      </c>
      <c r="D13" s="257" t="str">
        <f t="shared" si="1"/>
        <v>x17F</v>
      </c>
      <c r="E13" s="255" t="str">
        <f t="shared" si="2"/>
        <v>JpyLibor6M</v>
      </c>
      <c r="F13" s="239" t="b">
        <v>0</v>
      </c>
      <c r="G13" s="255" t="str">
        <f t="shared" si="3"/>
        <v>JPY11x17F_Quote</v>
      </c>
      <c r="H13" s="255"/>
      <c r="I13" s="256" t="str">
        <f>_xll.ohRangeRetrieveError(H13)</f>
        <v/>
      </c>
      <c r="J13" s="200"/>
    </row>
    <row r="14" spans="1:10" ht="11.25" customHeight="1" x14ac:dyDescent="0.2">
      <c r="A14" s="202"/>
      <c r="B14" s="255" t="str">
        <f t="shared" si="0"/>
        <v>12M</v>
      </c>
      <c r="C14" s="258">
        <v>12</v>
      </c>
      <c r="D14" s="257" t="str">
        <f t="shared" si="1"/>
        <v>x18F</v>
      </c>
      <c r="E14" s="255" t="str">
        <f t="shared" si="2"/>
        <v>JpyLibor6M</v>
      </c>
      <c r="F14" s="239" t="b">
        <v>0</v>
      </c>
      <c r="G14" s="255" t="str">
        <f t="shared" si="3"/>
        <v>JPY12x18F_Quote</v>
      </c>
      <c r="H14" s="255" t="str">
        <f>_xll.qlFraRateHelper(,G14,B14,E14,Permanent,Trigger,ObjectOverwrite)</f>
        <v>obj_003e4#0001</v>
      </c>
      <c r="I14" s="256" t="str">
        <f>_xll.ohRangeRetrieveError(H14)</f>
        <v/>
      </c>
      <c r="J14" s="200"/>
    </row>
    <row r="15" spans="1:10" ht="11.25" customHeight="1" x14ac:dyDescent="0.2">
      <c r="A15" s="202"/>
      <c r="B15" s="255" t="str">
        <f t="shared" si="0"/>
        <v>13M</v>
      </c>
      <c r="C15" s="258">
        <v>13</v>
      </c>
      <c r="D15" s="257" t="str">
        <f t="shared" si="1"/>
        <v>x19F</v>
      </c>
      <c r="E15" s="255" t="str">
        <f t="shared" si="2"/>
        <v>JpyLibor6M</v>
      </c>
      <c r="F15" s="239" t="b">
        <v>0</v>
      </c>
      <c r="G15" s="255" t="str">
        <f t="shared" si="3"/>
        <v>JPY13x19F_Quote</v>
      </c>
      <c r="H15" s="255"/>
      <c r="I15" s="256" t="str">
        <f>_xll.ohRangeRetrieveError(H15)</f>
        <v/>
      </c>
      <c r="J15" s="200"/>
    </row>
    <row r="16" spans="1:10" ht="11.25" customHeight="1" x14ac:dyDescent="0.2">
      <c r="A16" s="202"/>
      <c r="B16" s="255" t="str">
        <f t="shared" si="0"/>
        <v>14M</v>
      </c>
      <c r="C16" s="258">
        <v>14</v>
      </c>
      <c r="D16" s="257" t="str">
        <f t="shared" si="1"/>
        <v>x20F</v>
      </c>
      <c r="E16" s="255" t="str">
        <f t="shared" si="2"/>
        <v>JpyLibor6M</v>
      </c>
      <c r="F16" s="239" t="b">
        <v>0</v>
      </c>
      <c r="G16" s="255" t="str">
        <f t="shared" si="3"/>
        <v>JPY14x20F_Quote</v>
      </c>
      <c r="H16" s="255"/>
      <c r="I16" s="256" t="str">
        <f>_xll.ohRangeRetrieveError(H16)</f>
        <v/>
      </c>
      <c r="J16" s="200"/>
    </row>
    <row r="17" spans="1:10" ht="11.25" customHeight="1" x14ac:dyDescent="0.2">
      <c r="A17" s="202"/>
      <c r="B17" s="255" t="str">
        <f t="shared" si="0"/>
        <v>15M</v>
      </c>
      <c r="C17" s="258">
        <v>15</v>
      </c>
      <c r="D17" s="257" t="str">
        <f t="shared" si="1"/>
        <v>x21F</v>
      </c>
      <c r="E17" s="255" t="str">
        <f t="shared" si="2"/>
        <v>JpyLibor6M</v>
      </c>
      <c r="F17" s="239" t="b">
        <v>0</v>
      </c>
      <c r="G17" s="255" t="str">
        <f t="shared" si="3"/>
        <v>JPY15x21F_Quote</v>
      </c>
      <c r="H17" s="255"/>
      <c r="I17" s="256" t="str">
        <f>_xll.ohRangeRetrieveError(H17)</f>
        <v/>
      </c>
      <c r="J17" s="200"/>
    </row>
    <row r="18" spans="1:10" ht="11.25" customHeight="1" x14ac:dyDescent="0.2">
      <c r="A18" s="202"/>
      <c r="B18" s="255" t="str">
        <f t="shared" si="0"/>
        <v>16M</v>
      </c>
      <c r="C18" s="258">
        <v>16</v>
      </c>
      <c r="D18" s="257" t="str">
        <f t="shared" si="1"/>
        <v>x22F</v>
      </c>
      <c r="E18" s="255" t="str">
        <f t="shared" si="2"/>
        <v>JpyLibor6M</v>
      </c>
      <c r="F18" s="239" t="b">
        <v>0</v>
      </c>
      <c r="G18" s="255" t="str">
        <f t="shared" si="3"/>
        <v>JPY16x22F_Quote</v>
      </c>
      <c r="H18" s="255"/>
      <c r="I18" s="256" t="str">
        <f>_xll.ohRangeRetrieveError(H18)</f>
        <v/>
      </c>
      <c r="J18" s="200"/>
    </row>
    <row r="19" spans="1:10" ht="11.25" customHeight="1" x14ac:dyDescent="0.2">
      <c r="A19" s="202"/>
      <c r="B19" s="255" t="str">
        <f t="shared" si="0"/>
        <v>17M</v>
      </c>
      <c r="C19" s="258">
        <v>17</v>
      </c>
      <c r="D19" s="257" t="str">
        <f t="shared" si="1"/>
        <v>x23F</v>
      </c>
      <c r="E19" s="255" t="str">
        <f t="shared" si="2"/>
        <v>JpyLibor6M</v>
      </c>
      <c r="F19" s="239" t="b">
        <v>0</v>
      </c>
      <c r="G19" s="255" t="str">
        <f t="shared" si="3"/>
        <v>JPY17x23F_Quote</v>
      </c>
      <c r="H19" s="255"/>
      <c r="I19" s="256" t="str">
        <f>_xll.ohRangeRetrieveError(H19)</f>
        <v/>
      </c>
      <c r="J19" s="200"/>
    </row>
    <row r="20" spans="1:10" ht="11.25" customHeight="1" x14ac:dyDescent="0.2">
      <c r="A20" s="202"/>
      <c r="B20" s="255" t="str">
        <f t="shared" si="0"/>
        <v>18M</v>
      </c>
      <c r="C20" s="258">
        <v>18</v>
      </c>
      <c r="D20" s="257" t="str">
        <f t="shared" si="1"/>
        <v>x24F</v>
      </c>
      <c r="E20" s="255" t="str">
        <f t="shared" si="2"/>
        <v>JpyLibor6M</v>
      </c>
      <c r="F20" s="239" t="b">
        <v>0</v>
      </c>
      <c r="G20" s="255" t="str">
        <f t="shared" si="3"/>
        <v>JPY18x24F_Quote</v>
      </c>
      <c r="H20" s="255" t="str">
        <f>_xll.qlFraRateHelper(,G20,B20,E20,Permanent,Trigger,ObjectOverwrite)</f>
        <v>obj_003e1#0001</v>
      </c>
      <c r="I20" s="256" t="str">
        <f>_xll.ohRangeRetrieveError(H20)</f>
        <v/>
      </c>
      <c r="J20" s="200"/>
    </row>
    <row r="21" spans="1:10" ht="11.25" customHeight="1" thickBot="1" x14ac:dyDescent="0.25">
      <c r="A21" s="212"/>
      <c r="B21" s="229"/>
      <c r="C21" s="229"/>
      <c r="D21" s="229"/>
      <c r="E21" s="229"/>
      <c r="F21" s="229"/>
      <c r="G21" s="229"/>
      <c r="H21" s="230"/>
      <c r="I21" s="230"/>
      <c r="J21" s="214"/>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election activeCell="I33" sqref="I33"/>
    </sheetView>
  </sheetViews>
  <sheetFormatPr defaultRowHeight="13.5" x14ac:dyDescent="0.25"/>
  <cols>
    <col min="1" max="1" width="1.7109375" style="201" customWidth="1"/>
    <col min="2" max="2" width="6.140625" style="201" customWidth="1"/>
    <col min="3" max="3" width="4" style="201" bestFit="1" customWidth="1"/>
    <col min="4" max="5" width="3" style="201" bestFit="1" customWidth="1"/>
    <col min="6" max="6" width="11" style="201" bestFit="1" customWidth="1"/>
    <col min="7" max="8" width="19.28515625" style="201" bestFit="1" customWidth="1"/>
    <col min="9" max="9" width="8" style="201" bestFit="1" customWidth="1"/>
    <col min="10" max="10" width="17.28515625" style="201" bestFit="1" customWidth="1"/>
    <col min="11" max="11" width="22" style="254" bestFit="1" customWidth="1"/>
    <col min="12" max="12" width="35.7109375" style="201" customWidth="1"/>
    <col min="13" max="13" width="2.7109375" style="201" customWidth="1"/>
    <col min="14" max="14" width="2.5703125" style="201" customWidth="1"/>
    <col min="15" max="15" width="4" style="201" bestFit="1" customWidth="1"/>
    <col min="16" max="16" width="3.28515625" style="201" bestFit="1" customWidth="1"/>
    <col min="17" max="17" width="2.7109375" style="201" bestFit="1" customWidth="1"/>
    <col min="18" max="16384" width="9.140625" style="201"/>
  </cols>
  <sheetData>
    <row r="1" spans="1:17" x14ac:dyDescent="0.25">
      <c r="A1" s="202"/>
      <c r="B1" s="231"/>
      <c r="C1" s="231"/>
      <c r="D1" s="231"/>
      <c r="E1" s="231"/>
      <c r="F1" s="231"/>
      <c r="G1" s="231"/>
      <c r="H1" s="87" t="s">
        <v>85</v>
      </c>
      <c r="J1" s="87" t="str">
        <f>Currency&amp;"_YC"&amp;$H$1&amp;"RH"</f>
        <v>JPY_YC6MRH</v>
      </c>
      <c r="K1" s="232" t="str">
        <f>J1&amp;"_Swaps.xml"</f>
        <v>JPY_YC6MRH_Swaps.xml</v>
      </c>
      <c r="L1" s="231"/>
      <c r="M1" s="233"/>
    </row>
    <row r="2" spans="1:17" ht="22.5" customHeight="1" x14ac:dyDescent="0.25">
      <c r="A2" s="202"/>
      <c r="B2" s="203" t="s">
        <v>106</v>
      </c>
      <c r="C2" s="203"/>
      <c r="D2" s="203"/>
      <c r="E2" s="203"/>
      <c r="F2" s="203" t="s">
        <v>105</v>
      </c>
      <c r="G2" s="203" t="s">
        <v>104</v>
      </c>
      <c r="H2" s="203" t="s">
        <v>103</v>
      </c>
      <c r="I2" s="203" t="s">
        <v>102</v>
      </c>
      <c r="J2" s="203" t="s">
        <v>86</v>
      </c>
      <c r="K2" s="234" t="str">
        <f>IF(Serialize,_xll.ohObjectSave(K3:K41,SerializationPath&amp;K1,FileOverwrite,Serialize),"---")</f>
        <v>---</v>
      </c>
      <c r="L2" s="235" t="str">
        <f>_xll.ohRangeRetrieveError(K2)</f>
        <v/>
      </c>
      <c r="M2" s="236"/>
    </row>
    <row r="3" spans="1:17" x14ac:dyDescent="0.25">
      <c r="A3" s="198"/>
      <c r="B3" s="231"/>
      <c r="C3" s="231"/>
      <c r="D3" s="231"/>
      <c r="E3" s="231"/>
      <c r="F3" s="231"/>
      <c r="G3" s="231"/>
      <c r="H3" s="231"/>
      <c r="I3" s="231"/>
      <c r="J3" s="231"/>
      <c r="K3" s="237" t="str">
        <f>_xll.qlLibor(,Currency,$H$1,,Permanent,Trigger,ObjectOverwrite)</f>
        <v>obj_003db#0001</v>
      </c>
      <c r="L3" s="238" t="str">
        <f>_xll.ohRangeRetrieveError(K3)</f>
        <v/>
      </c>
      <c r="M3" s="233"/>
    </row>
    <row r="4" spans="1:17" s="56" customFormat="1" ht="11.25" customHeight="1" thickBot="1" x14ac:dyDescent="0.25">
      <c r="A4" s="198"/>
      <c r="B4" s="231"/>
      <c r="C4" s="231"/>
      <c r="D4" s="231"/>
      <c r="E4" s="231"/>
      <c r="F4" s="231"/>
      <c r="G4" s="231"/>
      <c r="H4" s="231"/>
      <c r="I4" s="231"/>
      <c r="J4" s="231"/>
      <c r="K4" s="231"/>
      <c r="L4" s="231"/>
      <c r="M4" s="233"/>
    </row>
    <row r="5" spans="1:17" ht="11.25" customHeight="1" x14ac:dyDescent="0.25">
      <c r="A5" s="202"/>
      <c r="B5" s="239" t="s">
        <v>96</v>
      </c>
      <c r="C5" s="239" t="s">
        <v>36</v>
      </c>
      <c r="D5" s="239" t="str">
        <f t="array" ref="D5:D41">VLOOKUP(Currency,Conventions,2)</f>
        <v>SB</v>
      </c>
      <c r="E5" s="239" t="str">
        <f t="array" ref="E5:E41">VLOOKUP(Currency,Conventions,3)</f>
        <v>6L</v>
      </c>
      <c r="F5" s="240" t="s">
        <v>155</v>
      </c>
      <c r="G5" s="240" t="s">
        <v>98</v>
      </c>
      <c r="H5" s="240" t="s">
        <v>154</v>
      </c>
      <c r="I5" s="241">
        <v>0</v>
      </c>
      <c r="J5" s="242" t="str">
        <f t="shared" ref="J5:J41" si="0">Currency&amp;$D5&amp;$E5&amp;$C5&amp;QuoteSuffix</f>
        <v>JPYSB6L1Y_Quote</v>
      </c>
      <c r="K5" s="243" t="str">
        <f>_xll.qlSwapRateHelper2(,$J5,$C5,Calendar,$F5,$G5,$H5,$K$3,$I5,B5,Discounting,Permanent,,ObjectOverwrite)</f>
        <v>obj_003e8#0001</v>
      </c>
      <c r="L5" s="235" t="str">
        <f>_xll.ohRangeRetrieveError(K5)</f>
        <v/>
      </c>
      <c r="M5" s="236"/>
      <c r="O5" s="244" t="s">
        <v>82</v>
      </c>
      <c r="P5" s="219" t="s">
        <v>79</v>
      </c>
      <c r="Q5" s="245" t="s">
        <v>99</v>
      </c>
    </row>
    <row r="6" spans="1:17" ht="11.25" customHeight="1" x14ac:dyDescent="0.25">
      <c r="A6" s="202"/>
      <c r="B6" s="239" t="s">
        <v>96</v>
      </c>
      <c r="C6" s="239" t="s">
        <v>35</v>
      </c>
      <c r="D6" s="239" t="str">
        <v>SB</v>
      </c>
      <c r="E6" s="239" t="str">
        <v>6L</v>
      </c>
      <c r="F6" s="240" t="s">
        <v>155</v>
      </c>
      <c r="G6" s="246" t="s">
        <v>98</v>
      </c>
      <c r="H6" s="240" t="s">
        <v>154</v>
      </c>
      <c r="I6" s="241">
        <v>0</v>
      </c>
      <c r="J6" s="247" t="str">
        <f t="shared" si="0"/>
        <v>JPYSB6L15M_Quote</v>
      </c>
      <c r="K6" s="243" t="str">
        <f>_xll.qlSwapRateHelper2(,$J6,$C6,Calendar,$F6,$G6,$H6,$K$3,$I6,B6,Discounting,Permanent,,ObjectOverwrite)</f>
        <v>obj_003f4#0001</v>
      </c>
      <c r="L6" s="235" t="str">
        <f>_xll.ohRangeRetrieveError(K6)</f>
        <v/>
      </c>
      <c r="M6" s="236"/>
      <c r="O6" s="173" t="s">
        <v>80</v>
      </c>
      <c r="P6" s="248" t="s">
        <v>79</v>
      </c>
      <c r="Q6" s="249" t="s">
        <v>101</v>
      </c>
    </row>
    <row r="7" spans="1:17" ht="11.25" customHeight="1" x14ac:dyDescent="0.25">
      <c r="A7" s="202"/>
      <c r="B7" s="239" t="s">
        <v>96</v>
      </c>
      <c r="C7" s="239" t="s">
        <v>34</v>
      </c>
      <c r="D7" s="239" t="str">
        <v>SB</v>
      </c>
      <c r="E7" s="239" t="str">
        <v>6L</v>
      </c>
      <c r="F7" s="240" t="s">
        <v>155</v>
      </c>
      <c r="G7" s="246" t="s">
        <v>98</v>
      </c>
      <c r="H7" s="240" t="s">
        <v>154</v>
      </c>
      <c r="I7" s="241">
        <v>0</v>
      </c>
      <c r="J7" s="247" t="str">
        <f t="shared" si="0"/>
        <v>JPYSB6L18M_Quote</v>
      </c>
      <c r="K7" s="243" t="str">
        <f>_xll.qlSwapRateHelper2(,$J7,$C7,Calendar,$F7,$G7,$H7,$K$3,$I7,B7,Discounting,Permanent,,ObjectOverwrite)</f>
        <v>obj_003dc#0001</v>
      </c>
      <c r="L7" s="235" t="str">
        <f>_xll.ohRangeRetrieveError(K7)</f>
        <v/>
      </c>
      <c r="M7" s="236"/>
      <c r="O7" s="173" t="s">
        <v>77</v>
      </c>
      <c r="P7" s="248" t="s">
        <v>100</v>
      </c>
      <c r="Q7" s="249" t="s">
        <v>99</v>
      </c>
    </row>
    <row r="8" spans="1:17" ht="11.25" customHeight="1" x14ac:dyDescent="0.25">
      <c r="A8" s="202"/>
      <c r="B8" s="239" t="s">
        <v>96</v>
      </c>
      <c r="C8" s="239" t="s">
        <v>33</v>
      </c>
      <c r="D8" s="239" t="str">
        <v>SB</v>
      </c>
      <c r="E8" s="239" t="str">
        <v>6L</v>
      </c>
      <c r="F8" s="240" t="s">
        <v>155</v>
      </c>
      <c r="G8" s="246" t="s">
        <v>98</v>
      </c>
      <c r="H8" s="240" t="s">
        <v>154</v>
      </c>
      <c r="I8" s="241">
        <v>0</v>
      </c>
      <c r="J8" s="247" t="str">
        <f t="shared" si="0"/>
        <v>JPYSB6L21M_Quote</v>
      </c>
      <c r="K8" s="243" t="str">
        <f>_xll.qlSwapRateHelper2(,$J8,$C8,Calendar,$F8,$G8,$H8,$K$3,$I8,B8,Discounting,Permanent,,ObjectOverwrite)</f>
        <v>obj_003f0#0001</v>
      </c>
      <c r="L8" s="235" t="str">
        <f>_xll.ohRangeRetrieveError(K8)</f>
        <v/>
      </c>
      <c r="M8" s="236"/>
      <c r="O8" s="173" t="s">
        <v>75</v>
      </c>
      <c r="P8" s="248" t="s">
        <v>100</v>
      </c>
      <c r="Q8" s="249" t="s">
        <v>99</v>
      </c>
    </row>
    <row r="9" spans="1:17" ht="11.25" customHeight="1" thickBot="1" x14ac:dyDescent="0.3">
      <c r="A9" s="202"/>
      <c r="B9" s="239" t="s">
        <v>96</v>
      </c>
      <c r="C9" s="239" t="s">
        <v>32</v>
      </c>
      <c r="D9" s="239" t="str">
        <v>SB</v>
      </c>
      <c r="E9" s="239" t="str">
        <v>6L</v>
      </c>
      <c r="F9" s="240" t="s">
        <v>155</v>
      </c>
      <c r="G9" s="246" t="s">
        <v>98</v>
      </c>
      <c r="H9" s="240" t="s">
        <v>154</v>
      </c>
      <c r="I9" s="241">
        <v>0</v>
      </c>
      <c r="J9" s="247" t="str">
        <f t="shared" si="0"/>
        <v>JPYSB6L2Y_Quote</v>
      </c>
      <c r="K9" s="243" t="str">
        <f>_xll.qlSwapRateHelper2(,$J9,$C9,Calendar,$F9,$G9,$H9,$K$3,$I9,B9,Discounting,Permanent,,ObjectOverwrite)</f>
        <v>obj_003f2#0001</v>
      </c>
      <c r="L9" s="235" t="str">
        <f>_xll.ohRangeRetrieveError(K9)</f>
        <v/>
      </c>
      <c r="M9" s="236"/>
      <c r="O9" s="182" t="s">
        <v>73</v>
      </c>
      <c r="P9" s="250" t="s">
        <v>72</v>
      </c>
      <c r="Q9" s="251" t="s">
        <v>99</v>
      </c>
    </row>
    <row r="10" spans="1:17" ht="11.25" customHeight="1" x14ac:dyDescent="0.25">
      <c r="A10" s="202"/>
      <c r="B10" s="239" t="s">
        <v>96</v>
      </c>
      <c r="C10" s="239" t="s">
        <v>31</v>
      </c>
      <c r="D10" s="239" t="str">
        <v>SB</v>
      </c>
      <c r="E10" s="239" t="str">
        <v>6L</v>
      </c>
      <c r="F10" s="240" t="s">
        <v>155</v>
      </c>
      <c r="G10" s="246" t="s">
        <v>98</v>
      </c>
      <c r="H10" s="240" t="s">
        <v>154</v>
      </c>
      <c r="I10" s="241">
        <v>0</v>
      </c>
      <c r="J10" s="247" t="str">
        <f t="shared" si="0"/>
        <v>JPYSB6L3Y_Quote</v>
      </c>
      <c r="K10" s="243" t="str">
        <f>_xll.qlSwapRateHelper2(,$J10,$C10,Calendar,$F10,$G10,$H10,$K$3,$I10,B10,Discounting,Permanent,,ObjectOverwrite)</f>
        <v>obj_003fa#0001</v>
      </c>
      <c r="L10" s="235" t="str">
        <f>_xll.ohRangeRetrieveError(K10)</f>
        <v/>
      </c>
      <c r="M10" s="236"/>
    </row>
    <row r="11" spans="1:17" ht="11.25" customHeight="1" x14ac:dyDescent="0.25">
      <c r="A11" s="202"/>
      <c r="B11" s="239" t="s">
        <v>96</v>
      </c>
      <c r="C11" s="239" t="s">
        <v>30</v>
      </c>
      <c r="D11" s="239" t="str">
        <v>SB</v>
      </c>
      <c r="E11" s="239" t="str">
        <v>6L</v>
      </c>
      <c r="F11" s="240" t="s">
        <v>155</v>
      </c>
      <c r="G11" s="246" t="s">
        <v>98</v>
      </c>
      <c r="H11" s="240" t="s">
        <v>154</v>
      </c>
      <c r="I11" s="241">
        <v>0</v>
      </c>
      <c r="J11" s="247" t="str">
        <f t="shared" si="0"/>
        <v>JPYSB6L4Y_Quote</v>
      </c>
      <c r="K11" s="243" t="str">
        <f>_xll.qlSwapRateHelper2(,$J11,$C11,Calendar,$F11,$G11,$H11,$K$3,$I11,B11,Discounting,Permanent,,ObjectOverwrite)</f>
        <v>obj_003f7#0001</v>
      </c>
      <c r="L11" s="235" t="str">
        <f>_xll.ohRangeRetrieveError(K11)</f>
        <v/>
      </c>
      <c r="M11" s="236"/>
    </row>
    <row r="12" spans="1:17" ht="11.25" customHeight="1" x14ac:dyDescent="0.25">
      <c r="A12" s="202"/>
      <c r="B12" s="239" t="s">
        <v>96</v>
      </c>
      <c r="C12" s="239" t="s">
        <v>29</v>
      </c>
      <c r="D12" s="239" t="str">
        <v>SB</v>
      </c>
      <c r="E12" s="239" t="str">
        <v>6L</v>
      </c>
      <c r="F12" s="240" t="s">
        <v>155</v>
      </c>
      <c r="G12" s="246" t="s">
        <v>98</v>
      </c>
      <c r="H12" s="240" t="s">
        <v>154</v>
      </c>
      <c r="I12" s="241">
        <v>0</v>
      </c>
      <c r="J12" s="247" t="str">
        <f t="shared" si="0"/>
        <v>JPYSB6L5Y_Quote</v>
      </c>
      <c r="K12" s="243" t="str">
        <f>_xll.qlSwapRateHelper2(,$J12,$C12,Calendar,$F12,$G12,$H12,$K$3,$I12,B12,Discounting,Permanent,,ObjectOverwrite)</f>
        <v>obj_00408#0001</v>
      </c>
      <c r="L12" s="235" t="str">
        <f>_xll.ohRangeRetrieveError(K12)</f>
        <v/>
      </c>
      <c r="M12" s="236"/>
    </row>
    <row r="13" spans="1:17" ht="11.25" customHeight="1" x14ac:dyDescent="0.25">
      <c r="A13" s="202"/>
      <c r="B13" s="239" t="s">
        <v>96</v>
      </c>
      <c r="C13" s="239" t="s">
        <v>28</v>
      </c>
      <c r="D13" s="239" t="str">
        <v>SB</v>
      </c>
      <c r="E13" s="239" t="str">
        <v>6L</v>
      </c>
      <c r="F13" s="240" t="s">
        <v>155</v>
      </c>
      <c r="G13" s="246" t="s">
        <v>98</v>
      </c>
      <c r="H13" s="240" t="s">
        <v>154</v>
      </c>
      <c r="I13" s="241">
        <v>0</v>
      </c>
      <c r="J13" s="247" t="str">
        <f t="shared" si="0"/>
        <v>JPYSB6L6Y_Quote</v>
      </c>
      <c r="K13" s="243" t="str">
        <f>_xll.qlSwapRateHelper2(,$J13,$C13,Calendar,$F13,$G13,$H13,$K$3,$I13,B13,Discounting,Permanent,,ObjectOverwrite)</f>
        <v>obj_003f8#0001</v>
      </c>
      <c r="L13" s="235" t="str">
        <f>_xll.ohRangeRetrieveError(K13)</f>
        <v/>
      </c>
      <c r="M13" s="236"/>
    </row>
    <row r="14" spans="1:17" ht="11.25" customHeight="1" x14ac:dyDescent="0.25">
      <c r="A14" s="202"/>
      <c r="B14" s="239" t="s">
        <v>96</v>
      </c>
      <c r="C14" s="239" t="s">
        <v>27</v>
      </c>
      <c r="D14" s="239" t="str">
        <v>SB</v>
      </c>
      <c r="E14" s="239" t="str">
        <v>6L</v>
      </c>
      <c r="F14" s="240" t="s">
        <v>155</v>
      </c>
      <c r="G14" s="246" t="s">
        <v>98</v>
      </c>
      <c r="H14" s="240" t="s">
        <v>154</v>
      </c>
      <c r="I14" s="241">
        <v>0</v>
      </c>
      <c r="J14" s="247" t="str">
        <f t="shared" si="0"/>
        <v>JPYSB6L7Y_Quote</v>
      </c>
      <c r="K14" s="243" t="str">
        <f>_xll.qlSwapRateHelper2(,$J14,$C14,Calendar,$F14,$G14,$H14,$K$3,$I14,B14,Discounting,Permanent,,ObjectOverwrite)</f>
        <v>obj_003fd#0001</v>
      </c>
      <c r="L14" s="235" t="str">
        <f>_xll.ohRangeRetrieveError(K14)</f>
        <v/>
      </c>
      <c r="M14" s="236"/>
    </row>
    <row r="15" spans="1:17" ht="11.25" customHeight="1" x14ac:dyDescent="0.25">
      <c r="A15" s="202"/>
      <c r="B15" s="239" t="s">
        <v>96</v>
      </c>
      <c r="C15" s="239" t="s">
        <v>26</v>
      </c>
      <c r="D15" s="239" t="str">
        <v>SB</v>
      </c>
      <c r="E15" s="239" t="str">
        <v>6L</v>
      </c>
      <c r="F15" s="240" t="s">
        <v>155</v>
      </c>
      <c r="G15" s="246" t="s">
        <v>98</v>
      </c>
      <c r="H15" s="240" t="s">
        <v>154</v>
      </c>
      <c r="I15" s="241">
        <v>0</v>
      </c>
      <c r="J15" s="247" t="str">
        <f t="shared" si="0"/>
        <v>JPYSB6L8Y_Quote</v>
      </c>
      <c r="K15" s="243" t="str">
        <f>_xll.qlSwapRateHelper2(,$J15,$C15,Calendar,$F15,$G15,$H15,$K$3,$I15,B15,Discounting,Permanent,,ObjectOverwrite)</f>
        <v>obj_003ed#0001</v>
      </c>
      <c r="L15" s="235" t="str">
        <f>_xll.ohRangeRetrieveError(K15)</f>
        <v/>
      </c>
      <c r="M15" s="236"/>
    </row>
    <row r="16" spans="1:17" ht="11.25" customHeight="1" x14ac:dyDescent="0.25">
      <c r="A16" s="202"/>
      <c r="B16" s="239" t="s">
        <v>96</v>
      </c>
      <c r="C16" s="239" t="s">
        <v>25</v>
      </c>
      <c r="D16" s="239" t="str">
        <v>SB</v>
      </c>
      <c r="E16" s="239" t="str">
        <v>6L</v>
      </c>
      <c r="F16" s="240" t="s">
        <v>155</v>
      </c>
      <c r="G16" s="246" t="s">
        <v>98</v>
      </c>
      <c r="H16" s="240" t="s">
        <v>154</v>
      </c>
      <c r="I16" s="241">
        <v>0</v>
      </c>
      <c r="J16" s="247" t="str">
        <f t="shared" si="0"/>
        <v>JPYSB6L9Y_Quote</v>
      </c>
      <c r="K16" s="243" t="str">
        <f>_xll.qlSwapRateHelper2(,$J16,$C16,Calendar,$F16,$G16,$H16,$K$3,$I16,B16,Discounting,Permanent,,ObjectOverwrite)</f>
        <v>obj_003e9#0001</v>
      </c>
      <c r="L16" s="235" t="str">
        <f>_xll.ohRangeRetrieveError(K16)</f>
        <v/>
      </c>
      <c r="M16" s="236"/>
    </row>
    <row r="17" spans="1:13" ht="11.25" customHeight="1" x14ac:dyDescent="0.25">
      <c r="A17" s="202"/>
      <c r="B17" s="239" t="s">
        <v>96</v>
      </c>
      <c r="C17" s="239" t="s">
        <v>24</v>
      </c>
      <c r="D17" s="239" t="str">
        <v>SB</v>
      </c>
      <c r="E17" s="239" t="str">
        <v>6L</v>
      </c>
      <c r="F17" s="240" t="s">
        <v>155</v>
      </c>
      <c r="G17" s="246" t="s">
        <v>98</v>
      </c>
      <c r="H17" s="240" t="s">
        <v>154</v>
      </c>
      <c r="I17" s="241">
        <v>0</v>
      </c>
      <c r="J17" s="247" t="str">
        <f t="shared" si="0"/>
        <v>JPYSB6L10Y_Quote</v>
      </c>
      <c r="K17" s="243" t="str">
        <f>_xll.qlSwapRateHelper2(,$J17,$C17,Calendar,$F17,$G17,$H17,$K$3,$I17,B17,Discounting,Permanent,,ObjectOverwrite)</f>
        <v>obj_00401#0001</v>
      </c>
      <c r="L17" s="235" t="str">
        <f>_xll.ohRangeRetrieveError(K17)</f>
        <v/>
      </c>
      <c r="M17" s="236"/>
    </row>
    <row r="18" spans="1:13" ht="11.25" customHeight="1" x14ac:dyDescent="0.25">
      <c r="A18" s="202"/>
      <c r="B18" s="239" t="s">
        <v>96</v>
      </c>
      <c r="C18" s="239" t="s">
        <v>23</v>
      </c>
      <c r="D18" s="239" t="str">
        <v>SB</v>
      </c>
      <c r="E18" s="239" t="str">
        <v>6L</v>
      </c>
      <c r="F18" s="240" t="s">
        <v>155</v>
      </c>
      <c r="G18" s="246" t="s">
        <v>98</v>
      </c>
      <c r="H18" s="240" t="s">
        <v>154</v>
      </c>
      <c r="I18" s="241">
        <v>0</v>
      </c>
      <c r="J18" s="247" t="str">
        <f t="shared" si="0"/>
        <v>JPYSB6L11Y_Quote</v>
      </c>
      <c r="K18" s="243" t="str">
        <f>_xll.qlSwapRateHelper2(,$J18,$C18,Calendar,$F18,$G18,$H18,$K$3,$I18,B18,Discounting,Permanent,,ObjectOverwrite)</f>
        <v>obj_003dd#0001</v>
      </c>
      <c r="L18" s="235" t="str">
        <f>_xll.ohRangeRetrieveError(K18)</f>
        <v/>
      </c>
      <c r="M18" s="236"/>
    </row>
    <row r="19" spans="1:13" ht="11.25" customHeight="1" x14ac:dyDescent="0.25">
      <c r="A19" s="202"/>
      <c r="B19" s="239" t="s">
        <v>96</v>
      </c>
      <c r="C19" s="239" t="s">
        <v>22</v>
      </c>
      <c r="D19" s="239" t="str">
        <v>SB</v>
      </c>
      <c r="E19" s="239" t="str">
        <v>6L</v>
      </c>
      <c r="F19" s="240" t="s">
        <v>155</v>
      </c>
      <c r="G19" s="246" t="s">
        <v>98</v>
      </c>
      <c r="H19" s="240" t="s">
        <v>154</v>
      </c>
      <c r="I19" s="241">
        <v>0</v>
      </c>
      <c r="J19" s="247" t="str">
        <f t="shared" si="0"/>
        <v>JPYSB6L12Y_Quote</v>
      </c>
      <c r="K19" s="243" t="str">
        <f>_xll.qlSwapRateHelper2(,$J19,$C19,Calendar,$F19,$G19,$H19,$K$3,$I19,B19,Discounting,Permanent,,ObjectOverwrite)</f>
        <v>obj_003fb#0001</v>
      </c>
      <c r="L19" s="235" t="str">
        <f>_xll.ohRangeRetrieveError(K19)</f>
        <v/>
      </c>
      <c r="M19" s="236"/>
    </row>
    <row r="20" spans="1:13" ht="11.25" customHeight="1" x14ac:dyDescent="0.25">
      <c r="A20" s="202"/>
      <c r="B20" s="239" t="s">
        <v>96</v>
      </c>
      <c r="C20" s="239" t="s">
        <v>21</v>
      </c>
      <c r="D20" s="239" t="str">
        <v>SB</v>
      </c>
      <c r="E20" s="239" t="str">
        <v>6L</v>
      </c>
      <c r="F20" s="240" t="s">
        <v>155</v>
      </c>
      <c r="G20" s="246" t="s">
        <v>98</v>
      </c>
      <c r="H20" s="240" t="s">
        <v>154</v>
      </c>
      <c r="I20" s="241">
        <v>0</v>
      </c>
      <c r="J20" s="247" t="str">
        <f t="shared" si="0"/>
        <v>JPYSB6L13Y_Quote</v>
      </c>
      <c r="K20" s="243" t="str">
        <f>_xll.qlSwapRateHelper2(,$J20,$C20,Calendar,$F20,$G20,$H20,$K$3,$I20,B20,Discounting,Permanent,,ObjectOverwrite)</f>
        <v>obj_003e6#0001</v>
      </c>
      <c r="L20" s="235" t="str">
        <f>_xll.ohRangeRetrieveError(K20)</f>
        <v/>
      </c>
      <c r="M20" s="236"/>
    </row>
    <row r="21" spans="1:13" ht="11.25" customHeight="1" x14ac:dyDescent="0.25">
      <c r="A21" s="202"/>
      <c r="B21" s="239" t="s">
        <v>96</v>
      </c>
      <c r="C21" s="239" t="s">
        <v>20</v>
      </c>
      <c r="D21" s="239" t="str">
        <v>SB</v>
      </c>
      <c r="E21" s="239" t="str">
        <v>6L</v>
      </c>
      <c r="F21" s="240" t="s">
        <v>155</v>
      </c>
      <c r="G21" s="246" t="s">
        <v>98</v>
      </c>
      <c r="H21" s="240" t="s">
        <v>154</v>
      </c>
      <c r="I21" s="241">
        <v>0</v>
      </c>
      <c r="J21" s="247" t="str">
        <f t="shared" si="0"/>
        <v>JPYSB6L14Y_Quote</v>
      </c>
      <c r="K21" s="243" t="str">
        <f>_xll.qlSwapRateHelper2(,$J21,$C21,Calendar,$F21,$G21,$H21,$K$3,$I21,B21,Discounting,Permanent,,ObjectOverwrite)</f>
        <v>obj_00407#0001</v>
      </c>
      <c r="L21" s="235" t="str">
        <f>_xll.ohRangeRetrieveError(K21)</f>
        <v/>
      </c>
      <c r="M21" s="236"/>
    </row>
    <row r="22" spans="1:13" ht="11.25" customHeight="1" x14ac:dyDescent="0.25">
      <c r="A22" s="202"/>
      <c r="B22" s="239" t="s">
        <v>96</v>
      </c>
      <c r="C22" s="239" t="s">
        <v>19</v>
      </c>
      <c r="D22" s="239" t="str">
        <v>SB</v>
      </c>
      <c r="E22" s="239" t="str">
        <v>6L</v>
      </c>
      <c r="F22" s="240" t="s">
        <v>155</v>
      </c>
      <c r="G22" s="246" t="s">
        <v>98</v>
      </c>
      <c r="H22" s="240" t="s">
        <v>154</v>
      </c>
      <c r="I22" s="241">
        <v>0</v>
      </c>
      <c r="J22" s="247" t="str">
        <f t="shared" si="0"/>
        <v>JPYSB6L15Y_Quote</v>
      </c>
      <c r="K22" s="243" t="str">
        <f>_xll.qlSwapRateHelper2(,$J22,$C22,Calendar,$F22,$G22,$H22,$K$3,$I22,B22,Discounting,Permanent,,ObjectOverwrite)</f>
        <v>obj_003f1#0001</v>
      </c>
      <c r="L22" s="235" t="str">
        <f>_xll.ohRangeRetrieveError(K22)</f>
        <v/>
      </c>
      <c r="M22" s="236"/>
    </row>
    <row r="23" spans="1:13" ht="11.25" customHeight="1" x14ac:dyDescent="0.25">
      <c r="A23" s="202"/>
      <c r="B23" s="239" t="s">
        <v>96</v>
      </c>
      <c r="C23" s="239" t="s">
        <v>18</v>
      </c>
      <c r="D23" s="239" t="str">
        <v>SB</v>
      </c>
      <c r="E23" s="239" t="str">
        <v>6L</v>
      </c>
      <c r="F23" s="240" t="s">
        <v>155</v>
      </c>
      <c r="G23" s="246" t="s">
        <v>98</v>
      </c>
      <c r="H23" s="240" t="s">
        <v>154</v>
      </c>
      <c r="I23" s="241">
        <v>0</v>
      </c>
      <c r="J23" s="247" t="str">
        <f t="shared" si="0"/>
        <v>JPYSB6L16Y_Quote</v>
      </c>
      <c r="K23" s="243" t="str">
        <f>_xll.qlSwapRateHelper2(,$J23,$C23,Calendar,$F23,$G23,$H23,$K$3,$I23,B23,Discounting,Permanent,,ObjectOverwrite)</f>
        <v>obj_003fc#0001</v>
      </c>
      <c r="L23" s="235" t="str">
        <f>_xll.ohRangeRetrieveError(K23)</f>
        <v/>
      </c>
      <c r="M23" s="236"/>
    </row>
    <row r="24" spans="1:13" ht="11.25" customHeight="1" x14ac:dyDescent="0.25">
      <c r="A24" s="202"/>
      <c r="B24" s="239" t="s">
        <v>96</v>
      </c>
      <c r="C24" s="239" t="s">
        <v>17</v>
      </c>
      <c r="D24" s="239" t="str">
        <v>SB</v>
      </c>
      <c r="E24" s="239" t="str">
        <v>6L</v>
      </c>
      <c r="F24" s="240" t="s">
        <v>155</v>
      </c>
      <c r="G24" s="246" t="s">
        <v>98</v>
      </c>
      <c r="H24" s="240" t="s">
        <v>154</v>
      </c>
      <c r="I24" s="241">
        <v>0</v>
      </c>
      <c r="J24" s="247" t="str">
        <f t="shared" si="0"/>
        <v>JPYSB6L17Y_Quote</v>
      </c>
      <c r="K24" s="243" t="str">
        <f>_xll.qlSwapRateHelper2(,$J24,$C24,Calendar,$F24,$G24,$H24,$K$3,$I24,B24,Discounting,Permanent,,ObjectOverwrite)</f>
        <v>obj_003df#0001</v>
      </c>
      <c r="L24" s="235" t="str">
        <f>_xll.ohRangeRetrieveError(K24)</f>
        <v/>
      </c>
      <c r="M24" s="236"/>
    </row>
    <row r="25" spans="1:13" ht="11.25" customHeight="1" x14ac:dyDescent="0.25">
      <c r="A25" s="202"/>
      <c r="B25" s="239" t="s">
        <v>96</v>
      </c>
      <c r="C25" s="239" t="s">
        <v>16</v>
      </c>
      <c r="D25" s="239" t="str">
        <v>SB</v>
      </c>
      <c r="E25" s="239" t="str">
        <v>6L</v>
      </c>
      <c r="F25" s="240" t="s">
        <v>155</v>
      </c>
      <c r="G25" s="246" t="s">
        <v>98</v>
      </c>
      <c r="H25" s="240" t="s">
        <v>154</v>
      </c>
      <c r="I25" s="241">
        <v>0</v>
      </c>
      <c r="J25" s="247" t="str">
        <f t="shared" si="0"/>
        <v>JPYSB6L18Y_Quote</v>
      </c>
      <c r="K25" s="243" t="str">
        <f>_xll.qlSwapRateHelper2(,$J25,$C25,Calendar,$F25,$G25,$H25,$K$3,$I25,B25,Discounting,Permanent,,ObjectOverwrite)</f>
        <v>obj_003f9#0001</v>
      </c>
      <c r="L25" s="235" t="str">
        <f>_xll.ohRangeRetrieveError(K25)</f>
        <v/>
      </c>
      <c r="M25" s="236"/>
    </row>
    <row r="26" spans="1:13" ht="11.25" customHeight="1" x14ac:dyDescent="0.25">
      <c r="A26" s="202"/>
      <c r="B26" s="239" t="s">
        <v>96</v>
      </c>
      <c r="C26" s="239" t="s">
        <v>15</v>
      </c>
      <c r="D26" s="239" t="str">
        <v>SB</v>
      </c>
      <c r="E26" s="239" t="str">
        <v>6L</v>
      </c>
      <c r="F26" s="240" t="s">
        <v>155</v>
      </c>
      <c r="G26" s="246" t="s">
        <v>98</v>
      </c>
      <c r="H26" s="240" t="s">
        <v>154</v>
      </c>
      <c r="I26" s="241">
        <v>0</v>
      </c>
      <c r="J26" s="247" t="str">
        <f t="shared" si="0"/>
        <v>JPYSB6L19Y_Quote</v>
      </c>
      <c r="K26" s="243" t="str">
        <f>_xll.qlSwapRateHelper2(,$J26,$C26,Calendar,$F26,$G26,$H26,$K$3,$I26,B26,Discounting,Permanent,,ObjectOverwrite)</f>
        <v>obj_003f3#0001</v>
      </c>
      <c r="L26" s="235" t="str">
        <f>_xll.ohRangeRetrieveError(K26)</f>
        <v/>
      </c>
      <c r="M26" s="236"/>
    </row>
    <row r="27" spans="1:13" ht="11.25" customHeight="1" x14ac:dyDescent="0.25">
      <c r="A27" s="202"/>
      <c r="B27" s="239" t="s">
        <v>96</v>
      </c>
      <c r="C27" s="239" t="s">
        <v>14</v>
      </c>
      <c r="D27" s="239" t="str">
        <v>SB</v>
      </c>
      <c r="E27" s="239" t="str">
        <v>6L</v>
      </c>
      <c r="F27" s="240" t="s">
        <v>155</v>
      </c>
      <c r="G27" s="246" t="s">
        <v>98</v>
      </c>
      <c r="H27" s="240" t="s">
        <v>154</v>
      </c>
      <c r="I27" s="241">
        <v>0</v>
      </c>
      <c r="J27" s="247" t="str">
        <f t="shared" si="0"/>
        <v>JPYSB6L20Y_Quote</v>
      </c>
      <c r="K27" s="243" t="str">
        <f>_xll.qlSwapRateHelper2(,$J27,$C27,Calendar,$F27,$G27,$H27,$K$3,$I27,B27,Discounting,Permanent,,ObjectOverwrite)</f>
        <v>obj_003ef#0001</v>
      </c>
      <c r="L27" s="235" t="str">
        <f>_xll.ohRangeRetrieveError(K27)</f>
        <v/>
      </c>
      <c r="M27" s="236"/>
    </row>
    <row r="28" spans="1:13" ht="11.25" customHeight="1" x14ac:dyDescent="0.25">
      <c r="A28" s="202"/>
      <c r="B28" s="239" t="s">
        <v>96</v>
      </c>
      <c r="C28" s="239" t="s">
        <v>13</v>
      </c>
      <c r="D28" s="239" t="str">
        <v>SB</v>
      </c>
      <c r="E28" s="239" t="str">
        <v>6L</v>
      </c>
      <c r="F28" s="240" t="s">
        <v>155</v>
      </c>
      <c r="G28" s="246" t="s">
        <v>98</v>
      </c>
      <c r="H28" s="240" t="s">
        <v>154</v>
      </c>
      <c r="I28" s="241">
        <v>0</v>
      </c>
      <c r="J28" s="247" t="str">
        <f t="shared" si="0"/>
        <v>JPYSB6L21Y_Quote</v>
      </c>
      <c r="K28" s="243" t="str">
        <f>_xll.qlSwapRateHelper2(,$J28,$C28,Calendar,$F28,$G28,$H28,$K$3,$I28,B28,Discounting,Permanent,,ObjectOverwrite)</f>
        <v>obj_00403#0001</v>
      </c>
      <c r="L28" s="235" t="str">
        <f>_xll.ohRangeRetrieveError(K28)</f>
        <v/>
      </c>
      <c r="M28" s="236"/>
    </row>
    <row r="29" spans="1:13" ht="11.25" customHeight="1" x14ac:dyDescent="0.25">
      <c r="A29" s="202"/>
      <c r="B29" s="239" t="s">
        <v>96</v>
      </c>
      <c r="C29" s="239" t="s">
        <v>12</v>
      </c>
      <c r="D29" s="239" t="str">
        <v>SB</v>
      </c>
      <c r="E29" s="239" t="str">
        <v>6L</v>
      </c>
      <c r="F29" s="240" t="s">
        <v>155</v>
      </c>
      <c r="G29" s="246" t="s">
        <v>98</v>
      </c>
      <c r="H29" s="240" t="s">
        <v>154</v>
      </c>
      <c r="I29" s="241">
        <v>0</v>
      </c>
      <c r="J29" s="247" t="str">
        <f t="shared" si="0"/>
        <v>JPYSB6L22Y_Quote</v>
      </c>
      <c r="K29" s="243" t="str">
        <f>_xll.qlSwapRateHelper2(,$J29,$C29,Calendar,$F29,$G29,$H29,$K$3,$I29,B29,Discounting,Permanent,,ObjectOverwrite)</f>
        <v>obj_003e2#0001</v>
      </c>
      <c r="L29" s="235" t="str">
        <f>_xll.ohRangeRetrieveError(K29)</f>
        <v/>
      </c>
      <c r="M29" s="236"/>
    </row>
    <row r="30" spans="1:13" ht="11.25" customHeight="1" x14ac:dyDescent="0.25">
      <c r="A30" s="202"/>
      <c r="B30" s="239" t="s">
        <v>96</v>
      </c>
      <c r="C30" s="239" t="s">
        <v>11</v>
      </c>
      <c r="D30" s="239" t="str">
        <v>SB</v>
      </c>
      <c r="E30" s="239" t="str">
        <v>6L</v>
      </c>
      <c r="F30" s="240" t="s">
        <v>155</v>
      </c>
      <c r="G30" s="246" t="s">
        <v>98</v>
      </c>
      <c r="H30" s="240" t="s">
        <v>154</v>
      </c>
      <c r="I30" s="241">
        <v>0</v>
      </c>
      <c r="J30" s="247" t="str">
        <f t="shared" si="0"/>
        <v>JPYSB6L23Y_Quote</v>
      </c>
      <c r="K30" s="243" t="str">
        <f>_xll.qlSwapRateHelper2(,$J30,$C30,Calendar,$F30,$G30,$H30,$K$3,$I30,B30,Discounting,Permanent,,ObjectOverwrite)</f>
        <v>obj_003ee#0001</v>
      </c>
      <c r="L30" s="235" t="str">
        <f>_xll.ohRangeRetrieveError(K30)</f>
        <v/>
      </c>
      <c r="M30" s="236"/>
    </row>
    <row r="31" spans="1:13" ht="11.25" customHeight="1" x14ac:dyDescent="0.25">
      <c r="A31" s="202"/>
      <c r="B31" s="239" t="s">
        <v>96</v>
      </c>
      <c r="C31" s="239" t="s">
        <v>10</v>
      </c>
      <c r="D31" s="239" t="str">
        <v>SB</v>
      </c>
      <c r="E31" s="239" t="str">
        <v>6L</v>
      </c>
      <c r="F31" s="240" t="s">
        <v>155</v>
      </c>
      <c r="G31" s="246" t="s">
        <v>98</v>
      </c>
      <c r="H31" s="240" t="s">
        <v>154</v>
      </c>
      <c r="I31" s="241">
        <v>0</v>
      </c>
      <c r="J31" s="247" t="str">
        <f t="shared" si="0"/>
        <v>JPYSB6L24Y_Quote</v>
      </c>
      <c r="K31" s="243" t="str">
        <f>_xll.qlSwapRateHelper2(,$J31,$C31,Calendar,$F31,$G31,$H31,$K$3,$I31,B31,Discounting,Permanent,,ObjectOverwrite)</f>
        <v>obj_003e5#0001</v>
      </c>
      <c r="L31" s="235" t="str">
        <f>_xll.ohRangeRetrieveError(K31)</f>
        <v/>
      </c>
      <c r="M31" s="236"/>
    </row>
    <row r="32" spans="1:13" ht="11.25" customHeight="1" x14ac:dyDescent="0.25">
      <c r="A32" s="202"/>
      <c r="B32" s="239" t="s">
        <v>96</v>
      </c>
      <c r="C32" s="239" t="s">
        <v>9</v>
      </c>
      <c r="D32" s="239" t="str">
        <v>SB</v>
      </c>
      <c r="E32" s="239" t="str">
        <v>6L</v>
      </c>
      <c r="F32" s="240" t="s">
        <v>155</v>
      </c>
      <c r="G32" s="246" t="s">
        <v>98</v>
      </c>
      <c r="H32" s="240" t="s">
        <v>154</v>
      </c>
      <c r="I32" s="241">
        <v>0</v>
      </c>
      <c r="J32" s="247" t="str">
        <f t="shared" si="0"/>
        <v>JPYSB6L25Y_Quote</v>
      </c>
      <c r="K32" s="243" t="str">
        <f>_xll.qlSwapRateHelper2(,$J32,$C32,Calendar,$F32,$G32,$H32,$K$3,$I32,B32,Discounting,Permanent,,ObjectOverwrite)</f>
        <v>obj_00400#0001</v>
      </c>
      <c r="L32" s="235" t="str">
        <f>_xll.ohRangeRetrieveError(K32)</f>
        <v/>
      </c>
      <c r="M32" s="236"/>
    </row>
    <row r="33" spans="1:13" ht="11.25" customHeight="1" x14ac:dyDescent="0.25">
      <c r="A33" s="202"/>
      <c r="B33" s="239" t="s">
        <v>96</v>
      </c>
      <c r="C33" s="239" t="s">
        <v>8</v>
      </c>
      <c r="D33" s="239" t="str">
        <v>SB</v>
      </c>
      <c r="E33" s="239" t="str">
        <v>6L</v>
      </c>
      <c r="F33" s="240" t="s">
        <v>155</v>
      </c>
      <c r="G33" s="246" t="s">
        <v>98</v>
      </c>
      <c r="H33" s="240" t="s">
        <v>154</v>
      </c>
      <c r="I33" s="241">
        <v>0</v>
      </c>
      <c r="J33" s="247" t="str">
        <f t="shared" si="0"/>
        <v>JPYSB6L26Y_Quote</v>
      </c>
      <c r="K33" s="243" t="str">
        <f>_xll.qlSwapRateHelper2(,$J33,$C33,Calendar,$F33,$G33,$H33,$K$3,$I33,B33,Discounting,Permanent,,ObjectOverwrite)</f>
        <v>obj_003f6#0001</v>
      </c>
      <c r="L33" s="235" t="str">
        <f>_xll.ohRangeRetrieveError(K33)</f>
        <v/>
      </c>
      <c r="M33" s="236"/>
    </row>
    <row r="34" spans="1:13" ht="11.25" customHeight="1" x14ac:dyDescent="0.25">
      <c r="A34" s="202"/>
      <c r="B34" s="239" t="s">
        <v>96</v>
      </c>
      <c r="C34" s="239" t="s">
        <v>7</v>
      </c>
      <c r="D34" s="239" t="str">
        <v>SB</v>
      </c>
      <c r="E34" s="239" t="str">
        <v>6L</v>
      </c>
      <c r="F34" s="240" t="s">
        <v>155</v>
      </c>
      <c r="G34" s="246" t="s">
        <v>98</v>
      </c>
      <c r="H34" s="240" t="s">
        <v>154</v>
      </c>
      <c r="I34" s="241">
        <v>0</v>
      </c>
      <c r="J34" s="247" t="str">
        <f t="shared" si="0"/>
        <v>JPYSB6L27Y_Quote</v>
      </c>
      <c r="K34" s="243" t="str">
        <f>_xll.qlSwapRateHelper2(,$J34,$C34,Calendar,$F34,$G34,$H34,$K$3,$I34,B34,Discounting,Permanent,,ObjectOverwrite)</f>
        <v>obj_003e0#0001</v>
      </c>
      <c r="L34" s="235" t="str">
        <f>_xll.ohRangeRetrieveError(K34)</f>
        <v/>
      </c>
      <c r="M34" s="236"/>
    </row>
    <row r="35" spans="1:13" ht="11.25" customHeight="1" x14ac:dyDescent="0.25">
      <c r="A35" s="202"/>
      <c r="B35" s="239" t="s">
        <v>96</v>
      </c>
      <c r="C35" s="239" t="s">
        <v>6</v>
      </c>
      <c r="D35" s="239" t="str">
        <v>SB</v>
      </c>
      <c r="E35" s="239" t="str">
        <v>6L</v>
      </c>
      <c r="F35" s="240" t="s">
        <v>155</v>
      </c>
      <c r="G35" s="246" t="s">
        <v>98</v>
      </c>
      <c r="H35" s="240" t="s">
        <v>154</v>
      </c>
      <c r="I35" s="241">
        <v>0</v>
      </c>
      <c r="J35" s="247" t="str">
        <f t="shared" si="0"/>
        <v>JPYSB6L28Y_Quote</v>
      </c>
      <c r="K35" s="243" t="str">
        <f>_xll.qlSwapRateHelper2(,$J35,$C35,Calendar,$F35,$G35,$H35,$K$3,$I35,B35,Discounting,Permanent,,ObjectOverwrite)</f>
        <v>obj_003de#0001</v>
      </c>
      <c r="L35" s="235" t="str">
        <f>_xll.ohRangeRetrieveError(K35)</f>
        <v/>
      </c>
      <c r="M35" s="236"/>
    </row>
    <row r="36" spans="1:13" ht="11.25" customHeight="1" x14ac:dyDescent="0.25">
      <c r="A36" s="202"/>
      <c r="B36" s="239" t="s">
        <v>96</v>
      </c>
      <c r="C36" s="239" t="s">
        <v>5</v>
      </c>
      <c r="D36" s="239" t="str">
        <v>SB</v>
      </c>
      <c r="E36" s="239" t="str">
        <v>6L</v>
      </c>
      <c r="F36" s="240" t="s">
        <v>155</v>
      </c>
      <c r="G36" s="246" t="s">
        <v>98</v>
      </c>
      <c r="H36" s="240" t="s">
        <v>154</v>
      </c>
      <c r="I36" s="241">
        <v>0</v>
      </c>
      <c r="J36" s="247" t="str">
        <f t="shared" si="0"/>
        <v>JPYSB6L29Y_Quote</v>
      </c>
      <c r="K36" s="243" t="str">
        <f>_xll.qlSwapRateHelper2(,$J36,$C36,Calendar,$F36,$G36,$H36,$K$3,$I36,B36,Discounting,Permanent,,ObjectOverwrite)</f>
        <v>obj_003f5#0001</v>
      </c>
      <c r="L36" s="235" t="str">
        <f>_xll.ohRangeRetrieveError(K36)</f>
        <v/>
      </c>
      <c r="M36" s="236"/>
    </row>
    <row r="37" spans="1:13" ht="11.25" customHeight="1" x14ac:dyDescent="0.25">
      <c r="A37" s="202"/>
      <c r="B37" s="239" t="s">
        <v>96</v>
      </c>
      <c r="C37" s="239" t="s">
        <v>4</v>
      </c>
      <c r="D37" s="239" t="str">
        <v>SB</v>
      </c>
      <c r="E37" s="239" t="str">
        <v>6L</v>
      </c>
      <c r="F37" s="240" t="s">
        <v>155</v>
      </c>
      <c r="G37" s="246" t="s">
        <v>98</v>
      </c>
      <c r="H37" s="240" t="s">
        <v>154</v>
      </c>
      <c r="I37" s="241">
        <v>0</v>
      </c>
      <c r="J37" s="247" t="str">
        <f t="shared" si="0"/>
        <v>JPYSB6L30Y_Quote</v>
      </c>
      <c r="K37" s="243" t="str">
        <f>_xll.qlSwapRateHelper2(,$J37,$C37,Calendar,$F37,$G37,$H37,$K$3,$I37,B37,Discounting,Permanent,,ObjectOverwrite)</f>
        <v>obj_003e7#0001</v>
      </c>
      <c r="L37" s="235" t="str">
        <f>_xll.ohRangeRetrieveError(K37)</f>
        <v/>
      </c>
      <c r="M37" s="236"/>
    </row>
    <row r="38" spans="1:13" ht="11.25" customHeight="1" x14ac:dyDescent="0.25">
      <c r="A38" s="202"/>
      <c r="B38" s="239" t="s">
        <v>96</v>
      </c>
      <c r="C38" s="239" t="s">
        <v>3</v>
      </c>
      <c r="D38" s="239" t="str">
        <v>SB</v>
      </c>
      <c r="E38" s="239" t="str">
        <v>6L</v>
      </c>
      <c r="F38" s="240" t="s">
        <v>155</v>
      </c>
      <c r="G38" s="246" t="s">
        <v>98</v>
      </c>
      <c r="H38" s="240" t="s">
        <v>154</v>
      </c>
      <c r="I38" s="241">
        <v>0</v>
      </c>
      <c r="J38" s="247" t="str">
        <f t="shared" si="0"/>
        <v>JPYSB6L35Y_Quote</v>
      </c>
      <c r="K38" s="243" t="str">
        <f>_xll.qlSwapRateHelper2(,$J38,$C38,Calendar,$F38,$G38,$H38,$K$3,$I38,B38,Discounting,Permanent,,ObjectOverwrite)</f>
        <v>obj_00405#0001</v>
      </c>
      <c r="L38" s="235" t="str">
        <f>_xll.ohRangeRetrieveError(K38)</f>
        <v/>
      </c>
      <c r="M38" s="236"/>
    </row>
    <row r="39" spans="1:13" ht="11.25" customHeight="1" x14ac:dyDescent="0.25">
      <c r="A39" s="202"/>
      <c r="B39" s="239" t="s">
        <v>96</v>
      </c>
      <c r="C39" s="239" t="s">
        <v>2</v>
      </c>
      <c r="D39" s="239" t="str">
        <v>SB</v>
      </c>
      <c r="E39" s="239" t="str">
        <v>6L</v>
      </c>
      <c r="F39" s="240" t="s">
        <v>155</v>
      </c>
      <c r="G39" s="246" t="s">
        <v>98</v>
      </c>
      <c r="H39" s="240" t="s">
        <v>154</v>
      </c>
      <c r="I39" s="241">
        <v>0</v>
      </c>
      <c r="J39" s="247" t="str">
        <f t="shared" si="0"/>
        <v>JPYSB6L40Y_Quote</v>
      </c>
      <c r="K39" s="243" t="str">
        <f>_xll.qlSwapRateHelper2(,$J39,$C39,Calendar,$F39,$G39,$H39,$K$3,$I39,B39,Discounting,Permanent,,ObjectOverwrite)</f>
        <v>obj_003ea#0001</v>
      </c>
      <c r="L39" s="235" t="str">
        <f>_xll.ohRangeRetrieveError(K39)</f>
        <v/>
      </c>
      <c r="M39" s="236"/>
    </row>
    <row r="40" spans="1:13" ht="11.25" customHeight="1" x14ac:dyDescent="0.25">
      <c r="A40" s="202"/>
      <c r="B40" s="239" t="s">
        <v>96</v>
      </c>
      <c r="C40" s="239" t="s">
        <v>1</v>
      </c>
      <c r="D40" s="239" t="str">
        <v>SB</v>
      </c>
      <c r="E40" s="239" t="str">
        <v>6L</v>
      </c>
      <c r="F40" s="240" t="s">
        <v>155</v>
      </c>
      <c r="G40" s="246" t="s">
        <v>98</v>
      </c>
      <c r="H40" s="240" t="s">
        <v>154</v>
      </c>
      <c r="I40" s="241">
        <v>0</v>
      </c>
      <c r="J40" s="247" t="str">
        <f t="shared" si="0"/>
        <v>JPYSB6L50Y_Quote</v>
      </c>
      <c r="K40" s="243" t="str">
        <f>_xll.qlSwapRateHelper2(,$J40,$C40,Calendar,$F40,$G40,$H40,$K$3,$I40,B40,Discounting,Permanent,,ObjectOverwrite)</f>
        <v>obj_003ec#0001</v>
      </c>
      <c r="L40" s="235" t="str">
        <f>_xll.ohRangeRetrieveError(K40)</f>
        <v/>
      </c>
      <c r="M40" s="236"/>
    </row>
    <row r="41" spans="1:13" ht="11.25" customHeight="1" x14ac:dyDescent="0.25">
      <c r="A41" s="202"/>
      <c r="B41" s="239" t="s">
        <v>96</v>
      </c>
      <c r="C41" s="239" t="s">
        <v>0</v>
      </c>
      <c r="D41" s="239" t="str">
        <v>SB</v>
      </c>
      <c r="E41" s="239" t="str">
        <v>6L</v>
      </c>
      <c r="F41" s="240" t="s">
        <v>155</v>
      </c>
      <c r="G41" s="246" t="s">
        <v>98</v>
      </c>
      <c r="H41" s="240" t="s">
        <v>154</v>
      </c>
      <c r="I41" s="241">
        <v>0</v>
      </c>
      <c r="J41" s="247" t="str">
        <f t="shared" si="0"/>
        <v>JPYSB6L60Y_Quote</v>
      </c>
      <c r="K41" s="243" t="str">
        <f>_xll.qlSwapRateHelper2(,$J41,$C41,Calendar,$F41,$G41,$H41,$K$3,$I41,B41,Discounting,Permanent,,ObjectOverwrite)</f>
        <v>obj_00404#0001</v>
      </c>
      <c r="L41" s="235" t="str">
        <f>_xll.ohRangeRetrieveError(K41)</f>
        <v/>
      </c>
      <c r="M41" s="236"/>
    </row>
    <row r="42" spans="1:13" ht="11.25" customHeight="1" thickBot="1" x14ac:dyDescent="0.3">
      <c r="A42" s="212"/>
      <c r="B42" s="213"/>
      <c r="C42" s="213"/>
      <c r="D42" s="213"/>
      <c r="E42" s="213"/>
      <c r="F42" s="213"/>
      <c r="G42" s="213"/>
      <c r="H42" s="213"/>
      <c r="I42" s="213"/>
      <c r="J42" s="213"/>
      <c r="K42" s="252"/>
      <c r="L42" s="252"/>
      <c r="M42" s="253"/>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118" bestFit="1" customWidth="1"/>
    <col min="3" max="3" width="17.28515625" style="118" bestFit="1" customWidth="1"/>
    <col min="4" max="4" width="7" style="56" bestFit="1" customWidth="1"/>
    <col min="5" max="5" width="17.28515625" style="56" bestFit="1" customWidth="1"/>
    <col min="6" max="6" width="20.28515625" style="118" customWidth="1"/>
    <col min="7" max="8" width="7" style="118" customWidth="1"/>
    <col min="9" max="9" width="11"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23"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118" customFormat="1" ht="11.25" hidden="1" customHeight="1" outlineLevel="1" thickBot="1" x14ac:dyDescent="0.25">
      <c r="A1" s="113"/>
      <c r="B1" s="114" t="s">
        <v>125</v>
      </c>
      <c r="C1" s="115"/>
      <c r="D1" s="115"/>
      <c r="E1" s="115"/>
      <c r="F1" s="115"/>
      <c r="G1" s="114" t="s">
        <v>126</v>
      </c>
      <c r="H1" s="115"/>
      <c r="I1" s="115"/>
      <c r="J1" s="115"/>
      <c r="K1" s="115"/>
      <c r="L1" s="116"/>
      <c r="M1" s="117"/>
      <c r="N1" s="56"/>
    </row>
    <row r="2" spans="1:28" ht="11.25" hidden="1" customHeight="1" outlineLevel="1" thickBot="1" x14ac:dyDescent="0.25">
      <c r="A2" s="119"/>
      <c r="B2" s="120" t="s">
        <v>127</v>
      </c>
      <c r="C2" s="120" t="s">
        <v>128</v>
      </c>
      <c r="D2" s="120" t="s">
        <v>81</v>
      </c>
      <c r="E2" s="120" t="s">
        <v>129</v>
      </c>
      <c r="F2" s="121" t="s">
        <v>130</v>
      </c>
      <c r="G2" s="120" t="s">
        <v>128</v>
      </c>
      <c r="H2" s="120" t="s">
        <v>129</v>
      </c>
      <c r="I2" s="120" t="s">
        <v>130</v>
      </c>
      <c r="J2" s="122" t="s">
        <v>131</v>
      </c>
      <c r="K2" s="120" t="s">
        <v>132</v>
      </c>
      <c r="L2" s="116"/>
      <c r="M2" s="117"/>
    </row>
    <row r="3" spans="1:28" ht="11.25" hidden="1" customHeight="1" outlineLevel="1" x14ac:dyDescent="0.2">
      <c r="A3" s="124"/>
      <c r="B3" s="125" t="str">
        <f>_xll.qlPeriodEquivalent(D3&amp;"M")</f>
        <v>1Y</v>
      </c>
      <c r="C3" s="126">
        <f>_xll.qlDateEndOfMonth(EDATE(_xll.qlSettingsEvaluationDate(Trigger),-1))</f>
        <v>41912</v>
      </c>
      <c r="D3" s="127">
        <v>12</v>
      </c>
      <c r="E3" s="126">
        <f t="shared" ref="E3:E16" si="0">EDATE($Y$19,D3)</f>
        <v>42312</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MIN(_xll.ohPack($Z$19:INDEX($Z$19:$Z$3552,MATCH(E3+1,$Y$19:$Y$3552,1),1)))</f>
        <v>1.417134044813444E-3</v>
      </c>
      <c r="K3" s="131">
        <f>MAX(_xll.ohPack($Z$19:INDEX($Z$19:$Z$3552,MATCH(E3+1,$Y$19:$Y$3552,1),1)))</f>
        <v>1.6121218932331543E-3</v>
      </c>
      <c r="L3" s="116"/>
      <c r="M3" s="117"/>
    </row>
    <row r="4" spans="1:28" ht="11.25" hidden="1" customHeight="1" outlineLevel="1" x14ac:dyDescent="0.2">
      <c r="A4" s="132"/>
      <c r="B4" s="133" t="str">
        <f>_xll.qlPeriodEquivalent(D4&amp;"M")</f>
        <v>2Y</v>
      </c>
      <c r="C4" s="134">
        <f>_xll.qlDateEndOfMonth(EDATE(_xll.qlIMMNextDate(_xll.qlSettingsEvaluationDate(Trigger)-1,TRUE),-3))</f>
        <v>41912</v>
      </c>
      <c r="D4" s="135">
        <v>24</v>
      </c>
      <c r="E4" s="134">
        <f t="shared" si="0"/>
        <v>42678</v>
      </c>
      <c r="F4" s="136">
        <f t="shared" ref="F4:F16" si="2">IF(D4&lt;=12,1,IF(D4&lt;=24,3,IF(D4&lt;=120,6,IF(D4&lt;=240,12,IF(D4&lt;=360,36,60)))))</f>
        <v>3</v>
      </c>
      <c r="G4" s="137">
        <f t="shared" si="1"/>
        <v>1E-3</v>
      </c>
      <c r="H4" s="138">
        <f t="shared" ref="H4:H16" si="3">IF(K4-J4&gt;1%,(QUOTIENT(K4*10000,50)+1)*0.5%,(QUOTIENT(K4*10000,10)+1)*0.1%)</f>
        <v>2E-3</v>
      </c>
      <c r="I4" s="139">
        <f t="shared" ref="I4:I16" si="4">IF(H4-G4&lt;0.15%,0.02%,IF(H4-G4&lt;0.5%,0.05%,IF(H4-G4&lt;1%,0.1%,IF(H4-G4&lt;2%,0.25%,0.5%))))</f>
        <v>2.0000000000000001E-4</v>
      </c>
      <c r="J4" s="138">
        <f>MIN(_xll.ohPack($Z$19:INDEX($Z$19:$Z$3552,MATCH(E4+1,$Y$19:$Y$3552,1),1)))</f>
        <v>1.417134044813444E-3</v>
      </c>
      <c r="K4" s="139">
        <f>MAX(_xll.ohPack($Z$19:INDEX($Z$19:$Z$3552,MATCH(E4+1,$Y$19:$Y$3552,1),1)))</f>
        <v>1.6775928857733417E-3</v>
      </c>
      <c r="L4" s="116"/>
      <c r="M4" s="117"/>
    </row>
    <row r="5" spans="1:28"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5">
        <v>60</v>
      </c>
      <c r="E5" s="134">
        <f t="shared" si="0"/>
        <v>43773</v>
      </c>
      <c r="F5" s="136">
        <f t="shared" si="2"/>
        <v>6</v>
      </c>
      <c r="G5" s="137">
        <f t="shared" si="1"/>
        <v>1E-3</v>
      </c>
      <c r="H5" s="138">
        <f t="shared" si="3"/>
        <v>6.0000000000000001E-3</v>
      </c>
      <c r="I5" s="139">
        <f t="shared" si="4"/>
        <v>1E-3</v>
      </c>
      <c r="J5" s="138">
        <f>MIN(_xll.ohPack($Z$19:INDEX($Z$19:$Z$3552,MATCH(E5+1,$Y$19:$Y$3552,1),1)))</f>
        <v>1.417134044813444E-3</v>
      </c>
      <c r="K5" s="139">
        <f>MAX(_xll.ohPack($Z$19:INDEX($Z$19:$Z$3552,MATCH(E5+1,$Y$19:$Y$3552,1),1)))</f>
        <v>5.4293291466758408E-3</v>
      </c>
      <c r="L5" s="116"/>
      <c r="M5" s="117"/>
    </row>
    <row r="6" spans="1:28" ht="11.25" hidden="1" customHeight="1" outlineLevel="1" x14ac:dyDescent="0.2">
      <c r="A6" s="140" t="s">
        <v>133</v>
      </c>
      <c r="B6" s="133" t="str">
        <f>_xll.qlPeriodEquivalent(D6&amp;"M")</f>
        <v>10Y</v>
      </c>
      <c r="C6" s="134">
        <f t="shared" ref="C6:C9" si="5">C5</f>
        <v>41820</v>
      </c>
      <c r="D6" s="135">
        <v>120</v>
      </c>
      <c r="E6" s="134">
        <f t="shared" si="0"/>
        <v>45600</v>
      </c>
      <c r="F6" s="136">
        <f t="shared" si="2"/>
        <v>6</v>
      </c>
      <c r="G6" s="137">
        <f t="shared" si="1"/>
        <v>1E-3</v>
      </c>
      <c r="H6" s="138">
        <f t="shared" si="3"/>
        <v>1.4999999999999999E-2</v>
      </c>
      <c r="I6" s="139">
        <f t="shared" si="4"/>
        <v>2.5000000000000001E-3</v>
      </c>
      <c r="J6" s="138">
        <f>MIN(_xll.ohPack($Z$19:INDEX($Z$19:$Z$3552,MATCH(E6+1,$Y$19:$Y$3552,1),1)))</f>
        <v>1.417134044813444E-3</v>
      </c>
      <c r="K6" s="139">
        <f>MAX(_xll.ohPack($Z$19:INDEX($Z$19:$Z$3552,MATCH(E6+1,$Y$19:$Y$3552,1),1)))</f>
        <v>1.4190753168802528E-2</v>
      </c>
      <c r="L6" s="116"/>
      <c r="M6" s="117"/>
    </row>
    <row r="7" spans="1:28" ht="11.25" hidden="1" customHeight="1" outlineLevel="1" x14ac:dyDescent="0.2">
      <c r="A7" s="132"/>
      <c r="B7" s="133" t="str">
        <f>_xll.qlPeriodEquivalent(D7&amp;"M")</f>
        <v>20Y</v>
      </c>
      <c r="C7" s="134">
        <f>IF(AND(MONTH(C6)=12),C6,_xll.qlDateEndOfMonth(EDATE(C6,-6)))</f>
        <v>41639</v>
      </c>
      <c r="D7" s="135">
        <v>240</v>
      </c>
      <c r="E7" s="134">
        <f t="shared" si="0"/>
        <v>49252</v>
      </c>
      <c r="F7" s="141">
        <f t="shared" si="2"/>
        <v>12</v>
      </c>
      <c r="G7" s="137">
        <f t="shared" si="1"/>
        <v>1E-3</v>
      </c>
      <c r="H7" s="138">
        <f t="shared" si="3"/>
        <v>2.5000000000000001E-2</v>
      </c>
      <c r="I7" s="139">
        <f t="shared" si="4"/>
        <v>5.0000000000000001E-3</v>
      </c>
      <c r="J7" s="142">
        <f>MIN(_xll.ohPack($Z$19:INDEX($Z$19:$Z$3552,MATCH(E7+1,$Y$19:$Y$3552,1),1)))</f>
        <v>1.417134044813444E-3</v>
      </c>
      <c r="K7" s="139">
        <f>MAX(_xll.ohPack($Z$19:INDEX($Z$19:$Z$3552,MATCH(E7+1,$Y$19:$Y$3552,1),1)))</f>
        <v>2.3650971641503832E-2</v>
      </c>
      <c r="L7" s="116"/>
      <c r="M7" s="117"/>
    </row>
    <row r="8" spans="1:28" ht="11.25" hidden="1" customHeight="1" outlineLevel="1" x14ac:dyDescent="0.2">
      <c r="A8" s="132"/>
      <c r="B8" s="133" t="str">
        <f>_xll.qlPeriodEquivalent(D8&amp;"M")</f>
        <v>30Y</v>
      </c>
      <c r="C8" s="134">
        <f t="shared" si="5"/>
        <v>41639</v>
      </c>
      <c r="D8" s="135">
        <v>360</v>
      </c>
      <c r="E8" s="134">
        <f t="shared" si="0"/>
        <v>52905</v>
      </c>
      <c r="F8" s="141">
        <f t="shared" si="2"/>
        <v>36</v>
      </c>
      <c r="G8" s="137">
        <f t="shared" si="1"/>
        <v>1E-3</v>
      </c>
      <c r="H8" s="138">
        <f t="shared" si="3"/>
        <v>2.5000000000000001E-2</v>
      </c>
      <c r="I8" s="139">
        <f t="shared" si="4"/>
        <v>5.0000000000000001E-3</v>
      </c>
      <c r="J8" s="142">
        <f>MIN(_xll.ohPack($Z$19:INDEX($Z$19:$Z$3552,MATCH(E8+1,$Y$19:$Y$3552,1),1)))</f>
        <v>1.417134044813444E-3</v>
      </c>
      <c r="K8" s="139">
        <f>MAX(_xll.ohPack($Z$19:INDEX($Z$19:$Z$3552,MATCH(E8+1,$Y$19:$Y$3552,1),1)))</f>
        <v>2.3650971641503832E-2</v>
      </c>
      <c r="L8" s="116"/>
      <c r="M8" s="117"/>
    </row>
    <row r="9" spans="1:28" ht="11.25" hidden="1" customHeight="1" outlineLevel="1" thickBot="1" x14ac:dyDescent="0.25">
      <c r="A9" s="132"/>
      <c r="B9" s="133" t="str">
        <f>_xll.qlPeriodEquivalent(D9&amp;"M")</f>
        <v>60Y</v>
      </c>
      <c r="C9" s="134">
        <f t="shared" si="5"/>
        <v>41639</v>
      </c>
      <c r="D9" s="135">
        <v>720</v>
      </c>
      <c r="E9" s="134">
        <f t="shared" si="0"/>
        <v>63862</v>
      </c>
      <c r="F9" s="141">
        <f t="shared" si="2"/>
        <v>60</v>
      </c>
      <c r="G9" s="137">
        <f t="shared" si="1"/>
        <v>1E-3</v>
      </c>
      <c r="H9" s="138">
        <f t="shared" si="3"/>
        <v>2.5000000000000001E-2</v>
      </c>
      <c r="I9" s="139">
        <f t="shared" si="4"/>
        <v>5.0000000000000001E-3</v>
      </c>
      <c r="J9" s="142">
        <f>MIN(_xll.ohPack($Z$19:INDEX($Z$19:$Z$3552,MATCH(E9+1,$Y$19:$Y$3552,1),1)))</f>
        <v>1.417134044813444E-3</v>
      </c>
      <c r="K9" s="139">
        <f>MAX(_xll.ohPack($Z$19:INDEX($Z$19:$Z$3552,MATCH(E9+1,$Y$19:$Y$3552,1),1)))</f>
        <v>2.3650971641503832E-2</v>
      </c>
      <c r="L9" s="116"/>
      <c r="M9" s="117"/>
      <c r="AB9" s="143"/>
    </row>
    <row r="10" spans="1:28" ht="11.25" hidden="1" customHeight="1" outlineLevel="1" x14ac:dyDescent="0.2">
      <c r="A10" s="124"/>
      <c r="B10" s="125" t="str">
        <f>_xll.qlPeriodEquivalent(D10&amp;"M")</f>
        <v>1Y</v>
      </c>
      <c r="C10" s="126">
        <f>C3</f>
        <v>41912</v>
      </c>
      <c r="D10" s="127">
        <v>12</v>
      </c>
      <c r="E10" s="126">
        <f t="shared" si="0"/>
        <v>42312</v>
      </c>
      <c r="F10" s="128">
        <f t="shared" si="2"/>
        <v>1</v>
      </c>
      <c r="G10" s="129">
        <f t="shared" si="1"/>
        <v>1E-3</v>
      </c>
      <c r="H10" s="130">
        <f t="shared" si="3"/>
        <v>3.0000000000000001E-3</v>
      </c>
      <c r="I10" s="131">
        <f t="shared" si="4"/>
        <v>5.0000000000000001E-4</v>
      </c>
      <c r="J10" s="130">
        <f>MIN(_xll.ohPack($AA$19:INDEX($AA$19:$AA$3552,MATCH(E10+1,$Y$19:$Y$3552,1),1)))</f>
        <v>1.0835330255265507E-3</v>
      </c>
      <c r="K10" s="131">
        <f>MAX(_xll.ohPack($AA$19:INDEX($AA$19:$AA$3552,MATCH(E10+1,$Y$19:$Y$3552,1),1)))</f>
        <v>2.0583248218308814E-3</v>
      </c>
      <c r="L10" s="116"/>
      <c r="M10" s="117"/>
    </row>
    <row r="11" spans="1:28" ht="11.25" hidden="1" customHeight="1" outlineLevel="1" x14ac:dyDescent="0.2">
      <c r="A11" s="132"/>
      <c r="B11" s="133" t="str">
        <f>_xll.qlPeriodEquivalent(D11&amp;"M")</f>
        <v>2Y</v>
      </c>
      <c r="C11" s="134">
        <f t="shared" ref="C11:C15" si="6">C4</f>
        <v>41912</v>
      </c>
      <c r="D11" s="135">
        <v>24</v>
      </c>
      <c r="E11" s="134">
        <f t="shared" si="0"/>
        <v>42678</v>
      </c>
      <c r="F11" s="136">
        <f t="shared" si="2"/>
        <v>3</v>
      </c>
      <c r="G11" s="137">
        <f t="shared" si="1"/>
        <v>1E-3</v>
      </c>
      <c r="H11" s="138">
        <f t="shared" si="3"/>
        <v>3.0000000000000001E-3</v>
      </c>
      <c r="I11" s="139">
        <f t="shared" si="4"/>
        <v>5.0000000000000001E-4</v>
      </c>
      <c r="J11" s="138">
        <f>MIN(_xll.ohPack($AA$19:INDEX($AA$19:$AA$3552,MATCH(E11+1,$Y$19:$Y$3552,1),1)))</f>
        <v>1.0835330255265507E-3</v>
      </c>
      <c r="K11" s="139">
        <f>MAX(_xll.ohPack($AA$19:INDEX($AA$19:$AA$3552,MATCH(E11+1,$Y$19:$Y$3552,1),1)))</f>
        <v>2.0583248218308814E-3</v>
      </c>
      <c r="L11" s="116"/>
      <c r="M11" s="117"/>
    </row>
    <row r="12" spans="1:28" ht="11.25" hidden="1" customHeight="1" outlineLevel="1" x14ac:dyDescent="0.2">
      <c r="A12" s="132"/>
      <c r="B12" s="133" t="str">
        <f>_xll.qlPeriodEquivalent(D12&amp;"M")</f>
        <v>5Y</v>
      </c>
      <c r="C12" s="134">
        <f t="shared" si="6"/>
        <v>41820</v>
      </c>
      <c r="D12" s="135">
        <v>60</v>
      </c>
      <c r="E12" s="134">
        <f t="shared" si="0"/>
        <v>43773</v>
      </c>
      <c r="F12" s="136">
        <f t="shared" si="2"/>
        <v>6</v>
      </c>
      <c r="G12" s="137">
        <f t="shared" si="1"/>
        <v>1E-3</v>
      </c>
      <c r="H12" s="138">
        <f t="shared" si="3"/>
        <v>6.0000000000000001E-3</v>
      </c>
      <c r="I12" s="139">
        <f t="shared" si="4"/>
        <v>1E-3</v>
      </c>
      <c r="J12" s="138">
        <f>MIN(_xll.ohPack($AA$19:INDEX($AA$19:$AA$3552,MATCH(E12+1,$Y$19:$Y$3552,1),1)))</f>
        <v>1.0835330255265507E-3</v>
      </c>
      <c r="K12" s="139">
        <f>MAX(_xll.ohPack($AA$19:INDEX($AA$19:$AA$3552,MATCH(E12+1,$Y$19:$Y$3552,1),1)))</f>
        <v>5.0334567777099437E-3</v>
      </c>
      <c r="L12" s="116"/>
      <c r="M12" s="117"/>
    </row>
    <row r="13" spans="1:28" ht="11.25" hidden="1" customHeight="1" outlineLevel="1" x14ac:dyDescent="0.2">
      <c r="A13" s="140" t="s">
        <v>134</v>
      </c>
      <c r="B13" s="133" t="str">
        <f>_xll.qlPeriodEquivalent(D13&amp;"M")</f>
        <v>10Y</v>
      </c>
      <c r="C13" s="134">
        <f t="shared" si="6"/>
        <v>41820</v>
      </c>
      <c r="D13" s="135">
        <v>120</v>
      </c>
      <c r="E13" s="134">
        <f t="shared" si="0"/>
        <v>45600</v>
      </c>
      <c r="F13" s="136">
        <f t="shared" si="2"/>
        <v>6</v>
      </c>
      <c r="G13" s="137">
        <f t="shared" si="1"/>
        <v>1E-3</v>
      </c>
      <c r="H13" s="138">
        <f t="shared" si="3"/>
        <v>1.4999999999999999E-2</v>
      </c>
      <c r="I13" s="139">
        <f t="shared" si="4"/>
        <v>2.5000000000000001E-3</v>
      </c>
      <c r="J13" s="138">
        <f>MIN(_xll.ohPack($AA$19:INDEX($AA$19:$AA$3552,MATCH(E13+1,$Y$19:$Y$3552,1),1)))</f>
        <v>1.0835330255265507E-3</v>
      </c>
      <c r="K13" s="139">
        <f>MAX(_xll.ohPack($AA$19:INDEX($AA$19:$AA$3552,MATCH(E13+1,$Y$19:$Y$3552,1),1)))</f>
        <v>1.3774496873356636E-2</v>
      </c>
      <c r="L13" s="116"/>
      <c r="M13" s="117"/>
    </row>
    <row r="14" spans="1:28" ht="11.25" hidden="1" customHeight="1" outlineLevel="1" x14ac:dyDescent="0.2">
      <c r="A14" s="132"/>
      <c r="B14" s="133" t="str">
        <f>_xll.qlPeriodEquivalent(D14&amp;"M")</f>
        <v>20Y</v>
      </c>
      <c r="C14" s="134">
        <f t="shared" si="6"/>
        <v>41639</v>
      </c>
      <c r="D14" s="135">
        <v>240</v>
      </c>
      <c r="E14" s="134">
        <f t="shared" si="0"/>
        <v>49252</v>
      </c>
      <c r="F14" s="141">
        <f>IF(D14&lt;=12,1,IF(D14&lt;=24,3,IF(D14&lt;=120,6,IF(D14&lt;=240,12,IF(D14&lt;=360,36,60)))))</f>
        <v>12</v>
      </c>
      <c r="G14" s="137">
        <f t="shared" si="1"/>
        <v>1E-3</v>
      </c>
      <c r="H14" s="138">
        <f t="shared" si="3"/>
        <v>2.5000000000000001E-2</v>
      </c>
      <c r="I14" s="139">
        <f t="shared" si="4"/>
        <v>5.0000000000000001E-3</v>
      </c>
      <c r="J14" s="142">
        <f>MIN(_xll.ohPack($AA$19:INDEX($AA$19:$AA$3552,MATCH(E14+1,$Y$19:$Y$3552,1),1)))</f>
        <v>1.0835330255265507E-3</v>
      </c>
      <c r="K14" s="139">
        <f>MAX(_xll.ohPack($AA$19:INDEX($AA$19:$AA$3552,MATCH(E14+1,$Y$19:$Y$3552,1),1)))</f>
        <v>2.3841288196477795E-2</v>
      </c>
      <c r="L14" s="116"/>
      <c r="M14" s="117"/>
    </row>
    <row r="15" spans="1:28" ht="11.25" hidden="1" customHeight="1" outlineLevel="1" x14ac:dyDescent="0.2">
      <c r="A15" s="132"/>
      <c r="B15" s="133" t="str">
        <f>_xll.qlPeriodEquivalent(D15&amp;"M")</f>
        <v>30Y</v>
      </c>
      <c r="C15" s="134">
        <f t="shared" si="6"/>
        <v>41639</v>
      </c>
      <c r="D15" s="135">
        <v>360</v>
      </c>
      <c r="E15" s="134">
        <f t="shared" si="0"/>
        <v>52905</v>
      </c>
      <c r="F15" s="141">
        <f t="shared" si="2"/>
        <v>36</v>
      </c>
      <c r="G15" s="137">
        <f t="shared" si="1"/>
        <v>1E-3</v>
      </c>
      <c r="H15" s="138">
        <f t="shared" si="3"/>
        <v>2.5000000000000001E-2</v>
      </c>
      <c r="I15" s="139">
        <f t="shared" si="4"/>
        <v>5.0000000000000001E-3</v>
      </c>
      <c r="J15" s="142">
        <f>MIN(_xll.ohPack($AA$19:INDEX($AA$19:$AA$3552,MATCH(E15+1,$Y$19:$Y$3552,1),1)))</f>
        <v>1.0835330255265507E-3</v>
      </c>
      <c r="K15" s="139">
        <f>MAX(_xll.ohPack($AA$19:INDEX($AA$19:$AA$3552,MATCH(E15+1,$Y$19:$Y$3552,1),1)))</f>
        <v>2.3841288196477795E-2</v>
      </c>
      <c r="L15" s="116"/>
      <c r="M15" s="117"/>
      <c r="O15" s="118"/>
      <c r="P15" s="118"/>
      <c r="Q15" s="118"/>
      <c r="R15" s="118"/>
      <c r="S15" s="118"/>
      <c r="T15" s="144"/>
      <c r="U15" s="118"/>
      <c r="V15" s="118"/>
      <c r="Z15" s="145" t="s">
        <v>135</v>
      </c>
      <c r="AA15" s="145" t="s">
        <v>136</v>
      </c>
    </row>
    <row r="16" spans="1:28" ht="11.25" hidden="1" customHeight="1" outlineLevel="1" thickBot="1" x14ac:dyDescent="0.25">
      <c r="A16" s="146"/>
      <c r="B16" s="147" t="str">
        <f>_xll.qlPeriodEquivalent(D16&amp;"M")</f>
        <v>60Y</v>
      </c>
      <c r="C16" s="148">
        <f>C9</f>
        <v>41639</v>
      </c>
      <c r="D16" s="149">
        <v>720</v>
      </c>
      <c r="E16" s="148">
        <f t="shared" si="0"/>
        <v>63862</v>
      </c>
      <c r="F16" s="150">
        <f t="shared" si="2"/>
        <v>60</v>
      </c>
      <c r="G16" s="151">
        <f t="shared" ref="G16" si="7">ROUNDDOWN(J16*10,2)/10</f>
        <v>1E-3</v>
      </c>
      <c r="H16" s="152">
        <f t="shared" si="3"/>
        <v>2.5000000000000001E-2</v>
      </c>
      <c r="I16" s="153">
        <f t="shared" si="4"/>
        <v>5.0000000000000001E-3</v>
      </c>
      <c r="J16" s="154">
        <f>MIN(_xll.ohPack($AA$19:INDEX($AA$19:$AA$3552,MATCH(E16+1,$Y$19:$Y$3552,1),1)))</f>
        <v>1.0835330255265507E-3</v>
      </c>
      <c r="K16" s="153">
        <f>MAX(_xll.ohPack($AA$19:INDEX($AA$19:$AA$3552,MATCH(E16+1,$Y$19:$Y$3552,1),1)))</f>
        <v>2.3841288196477795E-2</v>
      </c>
      <c r="L16" s="116"/>
      <c r="M16" s="117"/>
      <c r="V16" s="155"/>
      <c r="Z16" s="156" t="str">
        <f>_xll.qlLibor(,Currency,IndexTenor,YieldCurve,,Trigger)</f>
        <v>obj_0040b#0001</v>
      </c>
      <c r="AA16" s="156" t="str">
        <f>_xll.qlOvernightIndex(,"Tonar",0,Currency,Calendar,MoneyMarketDayCounter,YieldCurve,,Trigger)</f>
        <v>obj_00410#0001</v>
      </c>
    </row>
    <row r="17" spans="10:27" ht="12" collapsed="1" thickBot="1" x14ac:dyDescent="0.25"/>
    <row r="18" spans="10:27" ht="12" thickBot="1" x14ac:dyDescent="0.25">
      <c r="M18" s="157" t="s">
        <v>45</v>
      </c>
      <c r="N18" s="157" t="s">
        <v>137</v>
      </c>
      <c r="O18" s="158" t="s">
        <v>138</v>
      </c>
      <c r="P18" s="158" t="s">
        <v>44</v>
      </c>
      <c r="Q18" s="158" t="s">
        <v>139</v>
      </c>
      <c r="R18" s="158" t="s">
        <v>140</v>
      </c>
      <c r="S18" s="158" t="s">
        <v>141</v>
      </c>
      <c r="T18" s="159" t="s">
        <v>142</v>
      </c>
      <c r="U18" s="145" t="s">
        <v>143</v>
      </c>
      <c r="W18" s="160" t="s">
        <v>144</v>
      </c>
      <c r="X18" s="161" t="s">
        <v>140</v>
      </c>
      <c r="Y18" s="161" t="s">
        <v>138</v>
      </c>
      <c r="Z18" s="162" t="s">
        <v>145</v>
      </c>
      <c r="AA18" s="163" t="s">
        <v>134</v>
      </c>
    </row>
    <row r="19" spans="10:27" ht="12" thickBot="1" x14ac:dyDescent="0.25">
      <c r="J19" s="164" t="s">
        <v>146</v>
      </c>
      <c r="M19" s="165" t="str">
        <f t="array" ref="M19:M36">_xll.ohFilter(RateHelpers!E12:E20,IF(ISERROR(RateHelpers!G12:G20),FALSE,TRUE))</f>
        <v>obj_003eb#0001</v>
      </c>
      <c r="N19" s="168" t="str">
        <f>_xll.qlRateHelperQuoteName(M19)</f>
        <v>JPY1x7F_Quote</v>
      </c>
      <c r="O19" s="169">
        <f>_xll.qlRateHelperEarliestDate(M19,Trigger)</f>
        <v>41977</v>
      </c>
      <c r="P19" s="170">
        <f>_xll.qlRateHelperQuoteValue(M19,_xll.ohTrigger(RecalcTrigger,Trigger))</f>
        <v>1.5499999999999999E-3</v>
      </c>
      <c r="Q19" s="170" t="e">
        <f>NA()</f>
        <v>#N/A</v>
      </c>
      <c r="R19" s="169">
        <f>_xll.qlInterestRateIndexFixingDate(IborIndex,O19,_xll.ohTrigger(RecalcTrigger,Trigger))</f>
        <v>41975</v>
      </c>
      <c r="S19" s="170">
        <f>_xll.qlIndexFixing(IborIndex,R19,TRUE,RecalcTrigger)</f>
        <v>1.549999999682724E-3</v>
      </c>
      <c r="T19" s="171">
        <f>S19-P19</f>
        <v>-3.1727593642616458E-13</v>
      </c>
      <c r="U19" s="172">
        <f t="array" ref="U19">MAX(ABS(T19:T26))</f>
        <v>3.0152819780590936E-5</v>
      </c>
      <c r="W19" s="173" t="s">
        <v>124</v>
      </c>
      <c r="X19" s="174">
        <f>_xll.qlCalendarAdvance(Calendar,_xll.qlSettingsEvaluationDate(Trigger),"0D","following",FALSE,Trigger)</f>
        <v>41943</v>
      </c>
      <c r="Y19" s="174">
        <f>_xll.qlInterestRateIndexValueDate(IborIndex,X19)</f>
        <v>41947</v>
      </c>
      <c r="Z19" s="175">
        <f t="array" ref="Z19:Z3552">IFERROR(_xll.qlIndexFixing(IborIndex,X19:X3552,TRUE,RecalcTrigger),NA())</f>
        <v>1.6121218932331543E-3</v>
      </c>
      <c r="AA19" s="177">
        <f t="array" ref="AA19:AA3552">IFERROR(_xll.qlIndexFixing(OverNightIndex,Y19:Y3552,TRUE,RecalcTrigger),NA())</f>
        <v>2.0583248218308814E-3</v>
      </c>
    </row>
    <row r="20" spans="10:27" ht="12" thickBot="1" x14ac:dyDescent="0.25">
      <c r="J20" s="179"/>
      <c r="M20" s="166" t="str">
        <v>obj_003e3#0001</v>
      </c>
      <c r="N20" s="173" t="str">
        <f>_xll.qlRateHelperQuoteName(M20)</f>
        <v>JPY2x8F_Quote</v>
      </c>
      <c r="O20" s="180">
        <f>_xll.qlRateHelperEarliestDate(M20,Trigger)</f>
        <v>42009</v>
      </c>
      <c r="P20" s="175">
        <f>_xll.qlRateHelperQuoteValue(M20,_xll.ohTrigger(RecalcTrigger,Trigger))</f>
        <v>1.5499999999999999E-3</v>
      </c>
      <c r="Q20" s="175" t="e">
        <f>NA()</f>
        <v>#N/A</v>
      </c>
      <c r="R20" s="180">
        <f>_xll.qlInterestRateIndexFixingDate(IborIndex,O20,_xll.ohTrigger(RecalcTrigger,Trigger))</f>
        <v>42004</v>
      </c>
      <c r="S20" s="175">
        <f>_xll.qlIndexFixing(IborIndex,R20,TRUE,RecalcTrigger)</f>
        <v>1.549999999999833E-3</v>
      </c>
      <c r="T20" s="181">
        <f t="shared" ref="T20:T36" si="8">S20-P20</f>
        <v>-1.6696713456276768E-16</v>
      </c>
      <c r="W20" s="173" t="str">
        <f>W19</f>
        <v>1D</v>
      </c>
      <c r="X20" s="180">
        <f>_xll.qlCalendarAdvance(LiborCalendar,X19,W20,"f",FALSE)</f>
        <v>41946</v>
      </c>
      <c r="Y20" s="174">
        <f>_xll.qlInterestRateIndexValueDate(IborIndex,X20)</f>
        <v>41948</v>
      </c>
      <c r="Z20" s="175">
        <v>1.6098286254060074E-3</v>
      </c>
      <c r="AA20" s="177">
        <v>2.0579710129142725E-3</v>
      </c>
    </row>
    <row r="21" spans="10:27" ht="12" thickBot="1" x14ac:dyDescent="0.25">
      <c r="M21" s="166" t="str">
        <v>obj_00402#0001</v>
      </c>
      <c r="N21" s="173" t="str">
        <f>_xll.qlRateHelperQuoteName(M21)</f>
        <v>JPY3x9F_Quote</v>
      </c>
      <c r="O21" s="180">
        <f>_xll.qlRateHelperEarliestDate(M21,Trigger)</f>
        <v>42039</v>
      </c>
      <c r="P21" s="175">
        <f>_xll.qlRateHelperQuoteValue(M21,_xll.ohTrigger(RecalcTrigger,Trigger))</f>
        <v>1.5499999999999999E-3</v>
      </c>
      <c r="Q21" s="175" t="e">
        <f>NA()</f>
        <v>#N/A</v>
      </c>
      <c r="R21" s="180">
        <f>_xll.qlInterestRateIndexFixingDate(IborIndex,O21,_xll.ohTrigger(RecalcTrigger,Trigger))</f>
        <v>42037</v>
      </c>
      <c r="S21" s="175">
        <f>_xll.qlIndexFixing(IborIndex,R21,TRUE,RecalcTrigger)</f>
        <v>1.5500000000001073E-3</v>
      </c>
      <c r="T21" s="181">
        <f t="shared" si="8"/>
        <v>1.0733601507606494E-16</v>
      </c>
      <c r="W21" s="173" t="str">
        <f t="shared" ref="W21:W84" si="9">W20</f>
        <v>1D</v>
      </c>
      <c r="X21" s="180">
        <f>_xll.qlCalendarAdvance(LiborCalendar,X20,W21,"f",FALSE)</f>
        <v>41947</v>
      </c>
      <c r="Y21" s="174">
        <f>_xll.qlInterestRateIndexValueDate(IborIndex,X21)</f>
        <v>41949</v>
      </c>
      <c r="Z21" s="175">
        <v>1.6075121387101479E-3</v>
      </c>
      <c r="AA21" s="177">
        <v>2.0572633952431474E-3</v>
      </c>
    </row>
    <row r="22" spans="10:27" ht="23.25" thickBot="1" x14ac:dyDescent="0.25">
      <c r="J22" s="262" t="s">
        <v>159</v>
      </c>
      <c r="M22" s="166" t="str">
        <v>obj_00409#0001</v>
      </c>
      <c r="N22" s="173" t="str">
        <f>_xll.qlRateHelperQuoteName(M22)</f>
        <v>JPY4x10F_Quote</v>
      </c>
      <c r="O22" s="180">
        <f>_xll.qlRateHelperEarliestDate(M22,Trigger)</f>
        <v>42067</v>
      </c>
      <c r="P22" s="175">
        <f>_xll.qlRateHelperQuoteValue(M22,_xll.ohTrigger(RecalcTrigger,Trigger))</f>
        <v>1.5000000000000002E-3</v>
      </c>
      <c r="Q22" s="175" t="e">
        <f>NA()</f>
        <v>#N/A</v>
      </c>
      <c r="R22" s="180">
        <f>_xll.qlInterestRateIndexFixingDate(IborIndex,O22,_xll.ohTrigger(RecalcTrigger,Trigger))</f>
        <v>42065</v>
      </c>
      <c r="S22" s="175">
        <f>_xll.qlIndexFixing(IborIndex,R22,TRUE,RecalcTrigger)</f>
        <v>1.499999999999835E-3</v>
      </c>
      <c r="T22" s="181">
        <f t="shared" si="8"/>
        <v>-1.6523241108679088E-16</v>
      </c>
      <c r="W22" s="173" t="str">
        <f t="shared" si="9"/>
        <v>1D</v>
      </c>
      <c r="X22" s="180">
        <f>_xll.qlCalendarAdvance(LiborCalendar,X21,W22,"f",FALSE)</f>
        <v>41948</v>
      </c>
      <c r="Y22" s="174">
        <f>_xll.qlInterestRateIndexValueDate(IborIndex,X22)</f>
        <v>41950</v>
      </c>
      <c r="Z22" s="175">
        <v>1.6051739777817871E-3</v>
      </c>
      <c r="AA22" s="177">
        <v>2.0546803631223596E-3</v>
      </c>
    </row>
    <row r="23" spans="10:27" ht="12" thickBot="1" x14ac:dyDescent="0.25">
      <c r="J23" s="261" t="str">
        <f>ROUNDDOWN((_xll.qlTermStructureMaxDate(YieldCurve,Trigger)-_xll.qlTermStructureReferenceDate(YieldCurve,Trigger))/365,)&amp;"Y"</f>
        <v>30Y</v>
      </c>
      <c r="M23" s="166" t="str">
        <v>obj_00406#0001</v>
      </c>
      <c r="N23" s="173" t="str">
        <f>_xll.qlRateHelperQuoteName(M23)</f>
        <v>JPY5x11F_Quote</v>
      </c>
      <c r="O23" s="180">
        <f>_xll.qlRateHelperEarliestDate(M23,Trigger)</f>
        <v>42101</v>
      </c>
      <c r="P23" s="175">
        <f>_xll.qlRateHelperQuoteValue(M23,_xll.ohTrigger(RecalcTrigger,Trigger))</f>
        <v>1.5000000000000002E-3</v>
      </c>
      <c r="Q23" s="175" t="e">
        <f>NA()</f>
        <v>#N/A</v>
      </c>
      <c r="R23" s="180">
        <f>_xll.qlInterestRateIndexFixingDate(IborIndex,O23,_xll.ohTrigger(RecalcTrigger,Trigger))</f>
        <v>42095</v>
      </c>
      <c r="S23" s="175">
        <f>_xll.qlIndexFixing(IborIndex,R23,TRUE,RecalcTrigger)</f>
        <v>1.4999999999999987E-3</v>
      </c>
      <c r="T23" s="181">
        <f t="shared" si="8"/>
        <v>0</v>
      </c>
      <c r="W23" s="173" t="str">
        <f t="shared" si="9"/>
        <v>1D</v>
      </c>
      <c r="X23" s="180">
        <f>_xll.qlCalendarAdvance(LiborCalendar,X22,W23,"f",FALSE)</f>
        <v>41949</v>
      </c>
      <c r="Y23" s="174">
        <f>_xll.qlInterestRateIndexValueDate(IborIndex,X23)</f>
        <v>41953</v>
      </c>
      <c r="Z23" s="175">
        <v>1.5968310246760298E-3</v>
      </c>
      <c r="AA23" s="177">
        <v>2.0508948357977896E-3</v>
      </c>
    </row>
    <row r="24" spans="10:27" x14ac:dyDescent="0.2">
      <c r="M24" s="166" t="str">
        <v>obj_003ff#0001</v>
      </c>
      <c r="N24" s="173" t="str">
        <f>_xll.qlRateHelperQuoteName(M24)</f>
        <v>JPY6x12F_Quote</v>
      </c>
      <c r="O24" s="180">
        <f>_xll.qlRateHelperEarliestDate(M24,Trigger)</f>
        <v>42129</v>
      </c>
      <c r="P24" s="175">
        <f>_xll.qlRateHelperQuoteValue(M24,_xll.ohTrigger(RecalcTrigger,Trigger))</f>
        <v>1.5000000000000002E-3</v>
      </c>
      <c r="Q24" s="175" t="e">
        <f>NA()</f>
        <v>#N/A</v>
      </c>
      <c r="R24" s="180">
        <f>_xll.qlInterestRateIndexFixingDate(IborIndex,O24,_xll.ohTrigger(RecalcTrigger,Trigger))</f>
        <v>42124</v>
      </c>
      <c r="S24" s="175">
        <f>_xll.qlIndexFixing(IborIndex,R24,TRUE,RecalcTrigger)</f>
        <v>1.5000000007670705E-3</v>
      </c>
      <c r="T24" s="181">
        <f t="shared" si="8"/>
        <v>7.6707021810784592E-13</v>
      </c>
      <c r="W24" s="173" t="str">
        <f t="shared" si="9"/>
        <v>1D</v>
      </c>
      <c r="X24" s="180">
        <f>_xll.qlCalendarAdvance(LiborCalendar,X23,W24,"f",FALSE)</f>
        <v>41950</v>
      </c>
      <c r="Y24" s="174">
        <f>_xll.qlInterestRateIndexValueDate(IborIndex,X24)</f>
        <v>41954</v>
      </c>
      <c r="Z24" s="175">
        <v>1.5944686436466012E-3</v>
      </c>
      <c r="AA24" s="177">
        <v>2.0484181737867591E-3</v>
      </c>
    </row>
    <row r="25" spans="10:27" x14ac:dyDescent="0.2">
      <c r="M25" s="166" t="str">
        <v>obj_003e4#0001</v>
      </c>
      <c r="N25" s="173" t="str">
        <f>_xll.qlRateHelperQuoteName(M25)</f>
        <v>JPY12x18F_Quote</v>
      </c>
      <c r="O25" s="180">
        <f>_xll.qlRateHelperEarliestDate(M25,Trigger)</f>
        <v>42312</v>
      </c>
      <c r="P25" s="175">
        <f>_xll.qlRateHelperQuoteValue(M25,_xll.ohTrigger(RecalcTrigger,Trigger))</f>
        <v>1.4500000000000001E-3</v>
      </c>
      <c r="Q25" s="175" t="e">
        <f>NA()</f>
        <v>#N/A</v>
      </c>
      <c r="R25" s="180">
        <f>_xll.qlInterestRateIndexFixingDate(IborIndex,O25,_xll.ohTrigger(RecalcTrigger,Trigger))</f>
        <v>42310</v>
      </c>
      <c r="S25" s="175">
        <f>_xll.qlIndexFixing(IborIndex,R25,TRUE,RecalcTrigger)</f>
        <v>1.4727018445602421E-3</v>
      </c>
      <c r="T25" s="181">
        <f t="shared" si="8"/>
        <v>2.2701844560242025E-5</v>
      </c>
      <c r="W25" s="173" t="str">
        <f t="shared" si="9"/>
        <v>1D</v>
      </c>
      <c r="X25" s="180">
        <f>_xll.qlCalendarAdvance(LiborCalendar,X24,W25,"f",FALSE)</f>
        <v>41953</v>
      </c>
      <c r="Y25" s="174">
        <f>_xll.qlInterestRateIndexValueDate(IborIndex,X25)</f>
        <v>41955</v>
      </c>
      <c r="Z25" s="175">
        <v>1.5918745724871758E-3</v>
      </c>
      <c r="AA25" s="177">
        <v>2.0455877030212122E-3</v>
      </c>
    </row>
    <row r="26" spans="10:27" x14ac:dyDescent="0.2">
      <c r="M26" s="166" t="str">
        <v>obj_003e1#0001</v>
      </c>
      <c r="N26" s="173" t="str">
        <f>_xll.qlRateHelperQuoteName(M26)</f>
        <v>JPY18x24F_Quote</v>
      </c>
      <c r="O26" s="180">
        <f>_xll.qlRateHelperEarliestDate(M26,Trigger)</f>
        <v>42494</v>
      </c>
      <c r="P26" s="175">
        <f>_xll.qlRateHelperQuoteValue(M26,_xll.ohTrigger(RecalcTrigger,Trigger))</f>
        <v>1.5000000000000002E-3</v>
      </c>
      <c r="Q26" s="175" t="e">
        <f>NA()</f>
        <v>#N/A</v>
      </c>
      <c r="R26" s="180">
        <f>_xll.qlInterestRateIndexFixingDate(IborIndex,O26,_xll.ohTrigger(RecalcTrigger,Trigger))</f>
        <v>42489</v>
      </c>
      <c r="S26" s="175">
        <f>_xll.qlIndexFixing(IborIndex,R26,TRUE,RecalcTrigger)</f>
        <v>1.5301528197805912E-3</v>
      </c>
      <c r="T26" s="181">
        <f t="shared" si="8"/>
        <v>3.0152819780590936E-5</v>
      </c>
      <c r="W26" s="173" t="str">
        <f t="shared" si="9"/>
        <v>1D</v>
      </c>
      <c r="X26" s="180">
        <f>_xll.qlCalendarAdvance(LiborCalendar,X25,W26,"f",FALSE)</f>
        <v>41954</v>
      </c>
      <c r="Y26" s="174">
        <f>_xll.qlInterestRateIndexValueDate(IborIndex,X26)</f>
        <v>41956</v>
      </c>
      <c r="Z26" s="175">
        <v>1.589318797004656E-3</v>
      </c>
      <c r="AA26" s="177">
        <v>2.0424034234201027E-3</v>
      </c>
    </row>
    <row r="27" spans="10:27"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80" t="e">
        <f>_xll.qlInterestRateIndexFixingDate(IborIndex,O27,_xll.ohTrigger(RecalcTrigger,Trigger))</f>
        <v>#NUM!</v>
      </c>
      <c r="S27" s="175" t="e">
        <f>_xll.qlIndexFixing(IborIndex,R27,TRUE,RecalcTrigger)</f>
        <v>#NUM!</v>
      </c>
      <c r="T27" s="181" t="e">
        <f t="shared" si="8"/>
        <v>#NUM!</v>
      </c>
      <c r="W27" s="173" t="str">
        <f t="shared" si="9"/>
        <v>1D</v>
      </c>
      <c r="X27" s="180">
        <f>_xll.qlCalendarAdvance(LiborCalendar,X26,W27,"f",FALSE)</f>
        <v>41955</v>
      </c>
      <c r="Y27" s="174">
        <f>_xll.qlInterestRateIndexValueDate(IborIndex,X27)</f>
        <v>41957</v>
      </c>
      <c r="Z27" s="175">
        <v>1.5868040125431007E-3</v>
      </c>
      <c r="AA27" s="177">
        <v>2.0348668456697068E-3</v>
      </c>
    </row>
    <row r="28" spans="10:27"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80" t="e">
        <f>_xll.qlInterestRateIndexFixingDate(IborIndex,O28,_xll.ohTrigger(RecalcTrigger,Trigger))</f>
        <v>#NUM!</v>
      </c>
      <c r="S28" s="175" t="e">
        <f>_xll.qlIndexFixing(IborIndex,R28,TRUE,RecalcTrigger)</f>
        <v>#NUM!</v>
      </c>
      <c r="T28" s="181" t="e">
        <f t="shared" si="8"/>
        <v>#NUM!</v>
      </c>
      <c r="W28" s="173" t="str">
        <f t="shared" si="9"/>
        <v>1D</v>
      </c>
      <c r="X28" s="180">
        <f>_xll.qlCalendarAdvance(LiborCalendar,X27,W28,"f",FALSE)</f>
        <v>41956</v>
      </c>
      <c r="Y28" s="174">
        <f>_xll.qlInterestRateIndexValueDate(IborIndex,X28)</f>
        <v>41960</v>
      </c>
      <c r="Z28" s="175">
        <v>1.5795314882238855E-3</v>
      </c>
      <c r="AA28" s="177">
        <v>2.0261282168221317E-3</v>
      </c>
    </row>
    <row r="29" spans="10:27"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80" t="e">
        <f>_xll.qlInterestRateIndexFixingDate(IborIndex,O29,_xll.ohTrigger(RecalcTrigger,Trigger))</f>
        <v>#NUM!</v>
      </c>
      <c r="S29" s="175" t="e">
        <f>_xll.qlIndexFixing(IborIndex,R29,TRUE,RecalcTrigger)</f>
        <v>#NUM!</v>
      </c>
      <c r="T29" s="181" t="e">
        <f t="shared" si="8"/>
        <v>#NUM!</v>
      </c>
      <c r="W29" s="173" t="str">
        <f t="shared" si="9"/>
        <v>1D</v>
      </c>
      <c r="X29" s="180">
        <f>_xll.qlCalendarAdvance(LiborCalendar,X28,W29,"f",FALSE)</f>
        <v>41957</v>
      </c>
      <c r="Y29" s="174">
        <f>_xll.qlInterestRateIndexValueDate(IborIndex,X29)</f>
        <v>41961</v>
      </c>
      <c r="Z29" s="175">
        <v>1.5772086913818277E-3</v>
      </c>
      <c r="AA29" s="177">
        <v>2.0211748932863483E-3</v>
      </c>
    </row>
    <row r="30" spans="10:27"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80" t="e">
        <f>_xll.qlInterestRateIndexFixingDate(IborIndex,O30,_xll.ohTrigger(RecalcTrigger,Trigger))</f>
        <v>#NUM!</v>
      </c>
      <c r="S30" s="175" t="e">
        <f>_xll.qlIndexFixing(IborIndex,R30,TRUE,RecalcTrigger)</f>
        <v>#NUM!</v>
      </c>
      <c r="T30" s="181" t="e">
        <f t="shared" si="8"/>
        <v>#NUM!</v>
      </c>
      <c r="W30" s="173" t="str">
        <f t="shared" si="9"/>
        <v>1D</v>
      </c>
      <c r="X30" s="180">
        <f>_xll.qlCalendarAdvance(LiborCalendar,X29,W30,"f",FALSE)</f>
        <v>41960</v>
      </c>
      <c r="Y30" s="174">
        <f>_xll.qlInterestRateIndexValueDate(IborIndex,X30)</f>
        <v>41962</v>
      </c>
      <c r="Z30" s="175">
        <v>1.5749392917968894E-3</v>
      </c>
      <c r="AA30" s="177">
        <v>2.0158677609150022E-3</v>
      </c>
    </row>
    <row r="31" spans="10:27"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80" t="e">
        <f>_xll.qlInterestRateIndexFixingDate(IborIndex,O31,_xll.ohTrigger(RecalcTrigger,Trigger))</f>
        <v>#NUM!</v>
      </c>
      <c r="S31" s="175" t="e">
        <f>_xll.qlIndexFixing(IborIndex,R31,TRUE,RecalcTrigger)</f>
        <v>#NUM!</v>
      </c>
      <c r="T31" s="181" t="e">
        <f t="shared" si="8"/>
        <v>#NUM!</v>
      </c>
      <c r="W31" s="173" t="str">
        <f t="shared" si="9"/>
        <v>1D</v>
      </c>
      <c r="X31" s="180">
        <f>_xll.qlCalendarAdvance(LiborCalendar,X30,W31,"f",FALSE)</f>
        <v>41961</v>
      </c>
      <c r="Y31" s="174">
        <f>_xll.qlInterestRateIndexValueDate(IborIndex,X31)</f>
        <v>41963</v>
      </c>
      <c r="Z31" s="175">
        <v>1.5727270550760066E-3</v>
      </c>
      <c r="AA31" s="177">
        <v>2.0102068198701861E-3</v>
      </c>
    </row>
    <row r="32" spans="10:27"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80" t="e">
        <f>_xll.qlInterestRateIndexFixingDate(IborIndex,O32,_xll.ohTrigger(RecalcTrigger,Trigger))</f>
        <v>#NUM!</v>
      </c>
      <c r="S32" s="175" t="e">
        <f>_xll.qlIndexFixing(IborIndex,R32,TRUE,RecalcTrigger)</f>
        <v>#NUM!</v>
      </c>
      <c r="T32" s="181" t="e">
        <f t="shared" si="8"/>
        <v>#NUM!</v>
      </c>
      <c r="W32" s="173" t="str">
        <f t="shared" si="9"/>
        <v>1D</v>
      </c>
      <c r="X32" s="180">
        <f>_xll.qlCalendarAdvance(LiborCalendar,X31,W32,"f",FALSE)</f>
        <v>41962</v>
      </c>
      <c r="Y32" s="174">
        <f>_xll.qlInterestRateIndexValueDate(IborIndex,X32)</f>
        <v>41964</v>
      </c>
      <c r="Z32" s="175">
        <v>1.5705746764978757E-3</v>
      </c>
      <c r="AA32" s="177">
        <v>1.9977165090841651E-3</v>
      </c>
    </row>
    <row r="33" spans="13:27"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80" t="e">
        <f>_xll.qlInterestRateIndexFixingDate(IborIndex,O33,_xll.ohTrigger(RecalcTrigger,Trigger))</f>
        <v>#NUM!</v>
      </c>
      <c r="S33" s="175" t="e">
        <f>_xll.qlIndexFixing(IborIndex,R33,TRUE,RecalcTrigger)</f>
        <v>#NUM!</v>
      </c>
      <c r="T33" s="181" t="e">
        <f t="shared" si="8"/>
        <v>#NUM!</v>
      </c>
      <c r="W33" s="173" t="str">
        <f t="shared" si="9"/>
        <v>1D</v>
      </c>
      <c r="X33" s="180">
        <f>_xll.qlCalendarAdvance(LiborCalendar,X32,W33,"f",FALSE)</f>
        <v>41963</v>
      </c>
      <c r="Y33" s="174">
        <f>_xll.qlInterestRateIndexValueDate(IborIndex,X33)</f>
        <v>41968</v>
      </c>
      <c r="Z33" s="175">
        <v>1.5629491835406622E-3</v>
      </c>
      <c r="AA33" s="177">
        <v>1.9765949840577779E-3</v>
      </c>
    </row>
    <row r="34" spans="13:27"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80" t="e">
        <f>_xll.qlInterestRateIndexFixingDate(IborIndex,O34,_xll.ohTrigger(RecalcTrigger,Trigger))</f>
        <v>#NUM!</v>
      </c>
      <c r="S34" s="175" t="e">
        <f>_xll.qlIndexFixing(IborIndex,R34,TRUE,RecalcTrigger)</f>
        <v>#NUM!</v>
      </c>
      <c r="T34" s="181" t="e">
        <f t="shared" si="8"/>
        <v>#NUM!</v>
      </c>
      <c r="W34" s="173" t="str">
        <f t="shared" si="9"/>
        <v>1D</v>
      </c>
      <c r="X34" s="180">
        <f>_xll.qlCalendarAdvance(LiborCalendar,X33,W34,"f",FALSE)</f>
        <v>41964</v>
      </c>
      <c r="Y34" s="174">
        <f>_xll.qlInterestRateIndexValueDate(IborIndex,X34)</f>
        <v>41968</v>
      </c>
      <c r="Z34" s="175">
        <v>1.5629491835406622E-3</v>
      </c>
      <c r="AA34" s="177">
        <v>1.9765949840577779E-3</v>
      </c>
    </row>
    <row r="35" spans="13:27"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80" t="e">
        <f>_xll.qlInterestRateIndexFixingDate(IborIndex,O35,_xll.ohTrigger(RecalcTrigger,Trigger))</f>
        <v>#NUM!</v>
      </c>
      <c r="S35" s="175" t="e">
        <f>_xll.qlIndexFixing(IborIndex,R35,TRUE,RecalcTrigger)</f>
        <v>#NUM!</v>
      </c>
      <c r="T35" s="181" t="e">
        <f t="shared" si="8"/>
        <v>#NUM!</v>
      </c>
      <c r="W35" s="173" t="str">
        <f t="shared" si="9"/>
        <v>1D</v>
      </c>
      <c r="X35" s="180">
        <f>_xll.qlCalendarAdvance(LiborCalendar,X34,W35,"f",FALSE)</f>
        <v>41967</v>
      </c>
      <c r="Y35" s="174">
        <f>_xll.qlInterestRateIndexValueDate(IborIndex,X35)</f>
        <v>41969</v>
      </c>
      <c r="Z35" s="175">
        <v>1.5608049900705098E-3</v>
      </c>
      <c r="AA35" s="177">
        <v>1.9688111908910955E-3</v>
      </c>
    </row>
    <row r="36" spans="13:27"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83" t="e">
        <f>_xll.qlInterestRateIndexFixingDate(IborIndex,O36,_xll.ohTrigger(RecalcTrigger,Trigger))</f>
        <v>#NUM!</v>
      </c>
      <c r="S36" s="176" t="e">
        <f>_xll.qlIndexFixing(IborIndex,R36,TRUE,RecalcTrigger)</f>
        <v>#NUM!</v>
      </c>
      <c r="T36" s="184" t="e">
        <f t="shared" si="8"/>
        <v>#NUM!</v>
      </c>
      <c r="W36" s="173" t="str">
        <f t="shared" si="9"/>
        <v>1D</v>
      </c>
      <c r="X36" s="180">
        <f>_xll.qlCalendarAdvance(LiborCalendar,X35,W36,"f",FALSE)</f>
        <v>41968</v>
      </c>
      <c r="Y36" s="174">
        <f>_xll.qlInterestRateIndexValueDate(IborIndex,X36)</f>
        <v>41970</v>
      </c>
      <c r="Z36" s="175">
        <v>1.559068360884419E-3</v>
      </c>
      <c r="AA36" s="177">
        <v>1.9606735892130356E-3</v>
      </c>
    </row>
    <row r="37" spans="13:27" ht="12" thickBot="1" x14ac:dyDescent="0.25">
      <c r="N37" s="185"/>
      <c r="W37" s="173" t="str">
        <f t="shared" si="9"/>
        <v>1D</v>
      </c>
      <c r="X37" s="180">
        <f>_xll.qlCalendarAdvance(LiborCalendar,X36,W37,"f",FALSE)</f>
        <v>41969</v>
      </c>
      <c r="Y37" s="174">
        <f>_xll.qlInterestRateIndexValueDate(IborIndex,X37)</f>
        <v>41971</v>
      </c>
      <c r="Z37" s="175">
        <v>1.5578730503192099E-3</v>
      </c>
      <c r="AA37" s="177">
        <v>1.943229369304837E-3</v>
      </c>
    </row>
    <row r="38" spans="13:27" x14ac:dyDescent="0.2">
      <c r="M38" s="157" t="s">
        <v>45</v>
      </c>
      <c r="N38" s="157" t="s">
        <v>147</v>
      </c>
      <c r="O38" s="158" t="s">
        <v>38</v>
      </c>
      <c r="P38" s="158" t="s">
        <v>44</v>
      </c>
      <c r="Q38" s="186" t="s">
        <v>148</v>
      </c>
      <c r="R38" s="158" t="s">
        <v>149</v>
      </c>
      <c r="S38" s="158" t="s">
        <v>141</v>
      </c>
      <c r="T38" s="159" t="s">
        <v>142</v>
      </c>
      <c r="W38" s="173" t="str">
        <f t="shared" si="9"/>
        <v>1D</v>
      </c>
      <c r="X38" s="180">
        <f>_xll.qlCalendarAdvance(LiborCalendar,X37,W38,"f",FALSE)</f>
        <v>41970</v>
      </c>
      <c r="Y38" s="174">
        <f>_xll.qlInterestRateIndexValueDate(IborIndex,X38)</f>
        <v>41974</v>
      </c>
      <c r="Z38" s="175">
        <v>1.553532531534814E-3</v>
      </c>
      <c r="AA38" s="177">
        <v>1.9245850968196976E-3</v>
      </c>
    </row>
    <row r="39" spans="13:27" x14ac:dyDescent="0.2">
      <c r="M39" s="173" t="str">
        <f t="array" ref="M39:M75">_xll.ohFilter(RateHelpers!E21:E57,IF(ISERROR(RateHelpers!G21:G57),FALSE,TRUE))</f>
        <v>obj_003e8#0001</v>
      </c>
      <c r="N39" s="173" t="str">
        <f>_xll.qlRateHelperQuoteName(M39)</f>
        <v>JPYSB6L1Y_Quote</v>
      </c>
      <c r="O39" s="180">
        <f>_xll.qlRateHelperLatestDate(M39,Trigger)</f>
        <v>42312</v>
      </c>
      <c r="P39" s="187">
        <f>_xll.qlRateHelperQuoteValue(M39,_xll.ohTrigger(RecalcTrigger,YieldCurve))</f>
        <v>1.575E-3</v>
      </c>
      <c r="Q39" s="188" t="str">
        <f>SUBSTITUTE(SUBSTITUTE(N39,"_Quote",""),"JPYSB6L","")</f>
        <v>1Y</v>
      </c>
      <c r="R39" s="117" t="str">
        <f>_xll.qlSwapIndex(,FamilyName,Q39,NDays,Currency,Calendar,"6M","modified following","actual/365 (fixed)",IborIndex,Discounting,,Trigger)</f>
        <v>obj_0040d#0001</v>
      </c>
      <c r="S39" s="189">
        <f>_xll.qlIndexFixing(R39,$X$19,TRUE,Trigger)</f>
        <v>1.5784059109197428E-3</v>
      </c>
      <c r="T39" s="190">
        <f>S39-P39</f>
        <v>3.4059109197427922E-6</v>
      </c>
      <c r="U39" s="145" t="s">
        <v>143</v>
      </c>
      <c r="W39" s="173" t="str">
        <f t="shared" si="9"/>
        <v>1D</v>
      </c>
      <c r="X39" s="180">
        <f>_xll.qlCalendarAdvance(LiborCalendar,X38,W39,"f",FALSE)</f>
        <v>41971</v>
      </c>
      <c r="Y39" s="174">
        <f>_xll.qlInterestRateIndexValueDate(IborIndex,X39)</f>
        <v>41975</v>
      </c>
      <c r="Z39" s="175">
        <v>1.5522616706321467E-3</v>
      </c>
      <c r="AA39" s="177">
        <v>1.9146784524226579E-3</v>
      </c>
    </row>
    <row r="40" spans="13:27" x14ac:dyDescent="0.2">
      <c r="M40" s="173" t="str">
        <v>obj_003dc#0001</v>
      </c>
      <c r="N40" s="173" t="str">
        <f>_xll.qlRateHelperQuoteName(M40)</f>
        <v>JPYSB6L18M_Quote</v>
      </c>
      <c r="O40" s="180">
        <f>_xll.qlRateHelperLatestDate(M40,Trigger)</f>
        <v>42494</v>
      </c>
      <c r="P40" s="187">
        <f>_xll.qlRateHelperQuoteValue(M40,_xll.ohTrigger(RecalcTrigger,YieldCurve))</f>
        <v>1.5499999999999999E-3</v>
      </c>
      <c r="Q40" s="188" t="str">
        <f t="shared" ref="Q40:Q75" si="10">SUBSTITUTE(SUBSTITUTE(N40,"_Quote",""),"JPYSB6L","")</f>
        <v>18M</v>
      </c>
      <c r="R40" s="117" t="str">
        <f>_xll.qlSwapIndex(,FamilyName,Q40,NDays,Currency,Calendar,"6M","modified following","actual/365 (fixed)",IborIndex,Discounting,,Trigger)</f>
        <v>obj_0041c#0001</v>
      </c>
      <c r="S40" s="189">
        <f>_xll.qlIndexFixing(R40,$X$19,TRUE,Trigger)</f>
        <v>1.5500000000000589E-3</v>
      </c>
      <c r="T40" s="190">
        <f t="shared" ref="T40:T75" si="11">S40-P40</f>
        <v>5.8980598183211441E-17</v>
      </c>
      <c r="U40" s="192">
        <f t="array" ref="U40">MAX(ABS(T40:T54))</f>
        <v>5.0630376627336382E-13</v>
      </c>
      <c r="W40" s="173" t="str">
        <f t="shared" si="9"/>
        <v>1D</v>
      </c>
      <c r="X40" s="180">
        <f>_xll.qlCalendarAdvance(LiborCalendar,X39,W40,"f",FALSE)</f>
        <v>41974</v>
      </c>
      <c r="Y40" s="174">
        <f>_xll.qlInterestRateIndexValueDate(IborIndex,X40)</f>
        <v>41976</v>
      </c>
      <c r="Z40" s="175">
        <v>1.5510832665224703E-3</v>
      </c>
      <c r="AA40" s="177">
        <v>1.9044179996763333E-3</v>
      </c>
    </row>
    <row r="41" spans="13:27" x14ac:dyDescent="0.2">
      <c r="M41" s="173" t="str">
        <v>obj_003f2#0001</v>
      </c>
      <c r="N41" s="173" t="str">
        <f>_xll.qlRateHelperQuoteName(M41)</f>
        <v>JPYSB6L2Y_Quote</v>
      </c>
      <c r="O41" s="180">
        <f>_xll.qlRateHelperLatestDate(M41,Trigger)</f>
        <v>42678</v>
      </c>
      <c r="P41" s="187">
        <f>_xll.qlRateHelperQuoteValue(M41,_xll.ohTrigger(RecalcTrigger,YieldCurve))</f>
        <v>1.5499999999999999E-3</v>
      </c>
      <c r="Q41" s="188" t="str">
        <f t="shared" si="10"/>
        <v>2Y</v>
      </c>
      <c r="R41" s="117" t="str">
        <f>_xll.qlSwapIndex(,FamilyName,Q41,NDays,Currency,Calendar,"6M","modified following","actual/365 (fixed)",IborIndex,Discounting,,Trigger)</f>
        <v>obj_0040e#0001</v>
      </c>
      <c r="S41" s="189">
        <f>_xll.qlIndexFixing(R41,$X$19,TRUE,Trigger)</f>
        <v>1.5500000000000409E-3</v>
      </c>
      <c r="T41" s="190">
        <f t="shared" si="11"/>
        <v>4.0982842119952068E-17</v>
      </c>
      <c r="U41" s="191"/>
      <c r="W41" s="173" t="str">
        <f t="shared" si="9"/>
        <v>1D</v>
      </c>
      <c r="X41" s="180">
        <f>_xll.qlCalendarAdvance(LiborCalendar,X40,W41,"f",FALSE)</f>
        <v>41975</v>
      </c>
      <c r="Y41" s="174">
        <f>_xll.qlInterestRateIndexValueDate(IborIndex,X41)</f>
        <v>41977</v>
      </c>
      <c r="Z41" s="175">
        <v>1.549999999682724E-3</v>
      </c>
      <c r="AA41" s="177">
        <v>1.8938940753587818E-3</v>
      </c>
    </row>
    <row r="42" spans="13:27" x14ac:dyDescent="0.2">
      <c r="M42" s="173" t="str">
        <v>obj_003fa#0001</v>
      </c>
      <c r="N42" s="173" t="str">
        <f>_xll.qlRateHelperQuoteName(M42)</f>
        <v>JPYSB6L3Y_Quote</v>
      </c>
      <c r="O42" s="180">
        <f>_xll.qlRateHelperLatestDate(M42,Trigger)</f>
        <v>43045</v>
      </c>
      <c r="P42" s="187">
        <f>_xll.qlRateHelperQuoteValue(M42,_xll.ohTrigger(RecalcTrigger,YieldCurve))</f>
        <v>1.65E-3</v>
      </c>
      <c r="Q42" s="188" t="str">
        <f t="shared" si="10"/>
        <v>3Y</v>
      </c>
      <c r="R42" s="117" t="str">
        <f>_xll.qlSwapIndex(,FamilyName,Q42,NDays,Currency,Calendar,"6M","modified following","actual/365 (fixed)",IborIndex,Discounting,,Trigger)</f>
        <v>obj_00416#0001</v>
      </c>
      <c r="S42" s="189">
        <f>_xll.qlIndexFixing(R42,$X$19,TRUE,Trigger)</f>
        <v>1.6499999999521058E-3</v>
      </c>
      <c r="T42" s="190">
        <f t="shared" si="11"/>
        <v>-4.7894197288678164E-14</v>
      </c>
      <c r="U42" s="191"/>
      <c r="W42" s="173" t="str">
        <f t="shared" si="9"/>
        <v>1D</v>
      </c>
      <c r="X42" s="180">
        <f>_xll.qlCalendarAdvance(LiborCalendar,X41,W42,"f",FALSE)</f>
        <v>41976</v>
      </c>
      <c r="Y42" s="174">
        <f>_xll.qlInterestRateIndexValueDate(IborIndex,X42)</f>
        <v>41978</v>
      </c>
      <c r="Z42" s="175">
        <v>1.5490135859821128E-3</v>
      </c>
      <c r="AA42" s="177">
        <v>1.8733025430843027E-3</v>
      </c>
    </row>
    <row r="43" spans="13:27" x14ac:dyDescent="0.2">
      <c r="M43" s="173" t="str">
        <v>obj_003f7#0001</v>
      </c>
      <c r="N43" s="173" t="str">
        <f>_xll.qlRateHelperQuoteName(M43)</f>
        <v>JPYSB6L4Y_Quote</v>
      </c>
      <c r="O43" s="180">
        <f>_xll.qlRateHelperLatestDate(M43,Trigger)</f>
        <v>43409</v>
      </c>
      <c r="P43" s="187">
        <f>_xll.qlRateHelperQuoteValue(M43,_xll.ohTrigger(RecalcTrigger,YieldCurve))</f>
        <v>1.9250000000000001E-3</v>
      </c>
      <c r="Q43" s="188" t="str">
        <f t="shared" si="10"/>
        <v>4Y</v>
      </c>
      <c r="R43" s="117" t="str">
        <f>_xll.qlSwapIndex(,FamilyName,Q43,NDays,Currency,Calendar,"6M","modified following","actual/365 (fixed)",IborIndex,Discounting,,Trigger)</f>
        <v>obj_00417#0001</v>
      </c>
      <c r="S43" s="189">
        <f>_xll.qlIndexFixing(R43,$X$19,TRUE,Trigger)</f>
        <v>1.9249999994936963E-3</v>
      </c>
      <c r="T43" s="190">
        <f t="shared" si="11"/>
        <v>-5.0630376627336382E-13</v>
      </c>
      <c r="W43" s="173" t="str">
        <f t="shared" si="9"/>
        <v>1D</v>
      </c>
      <c r="X43" s="180">
        <f>_xll.qlCalendarAdvance(LiborCalendar,X42,W43,"f",FALSE)</f>
        <v>41977</v>
      </c>
      <c r="Y43" s="174">
        <f>_xll.qlInterestRateIndexValueDate(IborIndex,X43)</f>
        <v>41981</v>
      </c>
      <c r="Z43" s="175">
        <v>1.5466101795284777E-3</v>
      </c>
      <c r="AA43" s="177">
        <v>1.8533191581382447E-3</v>
      </c>
    </row>
    <row r="44" spans="13:27" x14ac:dyDescent="0.2">
      <c r="M44" s="173" t="str">
        <v>obj_00408#0001</v>
      </c>
      <c r="N44" s="173" t="str">
        <f>_xll.qlRateHelperQuoteName(M44)</f>
        <v>JPYSB6L5Y_Quote</v>
      </c>
      <c r="O44" s="180">
        <f>_xll.qlRateHelperLatestDate(M44,Trigger)</f>
        <v>43773</v>
      </c>
      <c r="P44" s="187">
        <f>_xll.qlRateHelperQuoteValue(M44,_xll.ohTrigger(RecalcTrigger,YieldCurve))</f>
        <v>2.3749999999999999E-3</v>
      </c>
      <c r="Q44" s="188" t="str">
        <f t="shared" si="10"/>
        <v>5Y</v>
      </c>
      <c r="R44" s="117" t="str">
        <f>_xll.qlSwapIndex(,FamilyName,Q44,NDays,Currency,Calendar,"6M","modified following","actual/365 (fixed)",IborIndex,Discounting,,Trigger)</f>
        <v>obj_0041a#0001</v>
      </c>
      <c r="S44" s="189">
        <f>_xll.qlIndexFixing(R44,$X$19,TRUE,Trigger)</f>
        <v>2.3750000000001769E-3</v>
      </c>
      <c r="T44" s="190">
        <f t="shared" si="11"/>
        <v>1.7694179454963432E-16</v>
      </c>
      <c r="W44" s="173" t="str">
        <f t="shared" si="9"/>
        <v>1D</v>
      </c>
      <c r="X44" s="180">
        <f>_xll.qlCalendarAdvance(LiborCalendar,X43,W44,"f",FALSE)</f>
        <v>41978</v>
      </c>
      <c r="Y44" s="174">
        <f>_xll.qlInterestRateIndexValueDate(IborIndex,X44)</f>
        <v>41982</v>
      </c>
      <c r="Z44" s="175">
        <v>1.5459839650565524E-3</v>
      </c>
      <c r="AA44" s="177">
        <v>1.8436459606641087E-3</v>
      </c>
    </row>
    <row r="45" spans="13:27" x14ac:dyDescent="0.2">
      <c r="M45" s="173" t="str">
        <v>obj_003f8#0001</v>
      </c>
      <c r="N45" s="173" t="str">
        <f>_xll.qlRateHelperQuoteName(M45)</f>
        <v>JPYSB6L6Y_Quote</v>
      </c>
      <c r="O45" s="180">
        <f>_xll.qlRateHelperLatestDate(M45,Trigger)</f>
        <v>44139</v>
      </c>
      <c r="P45" s="187">
        <f>_xll.qlRateHelperQuoteValue(M45,_xll.ohTrigger(RecalcTrigger,YieldCurve))</f>
        <v>2.9749999999999998E-3</v>
      </c>
      <c r="Q45" s="188" t="str">
        <f t="shared" si="10"/>
        <v>6Y</v>
      </c>
      <c r="R45" s="117" t="str">
        <f>_xll.qlSwapIndex(,FamilyName,Q45,NDays,Currency,Calendar,"6M","modified following","actual/365 (fixed)",IborIndex,Discounting,,Trigger)</f>
        <v>obj_00414#0001</v>
      </c>
      <c r="S45" s="189">
        <f>_xll.qlIndexFixing(R45,$X$19,TRUE,Trigger)</f>
        <v>2.9749999999981662E-3</v>
      </c>
      <c r="T45" s="190">
        <f t="shared" si="11"/>
        <v>-1.8336027141074851E-15</v>
      </c>
      <c r="U45" s="191"/>
      <c r="W45" s="173" t="str">
        <f t="shared" si="9"/>
        <v>1D</v>
      </c>
      <c r="X45" s="180">
        <f>_xll.qlCalendarAdvance(LiborCalendar,X44,W45,"f",FALSE)</f>
        <v>41981</v>
      </c>
      <c r="Y45" s="174">
        <f>_xll.qlInterestRateIndexValueDate(IborIndex,X45)</f>
        <v>41983</v>
      </c>
      <c r="Z45" s="175">
        <v>1.5454400325307185E-3</v>
      </c>
      <c r="AA45" s="177">
        <v>1.8341609758332211E-3</v>
      </c>
    </row>
    <row r="46" spans="13:27" x14ac:dyDescent="0.2">
      <c r="M46" s="173" t="str">
        <v>obj_003fd#0001</v>
      </c>
      <c r="N46" s="173" t="str">
        <f>_xll.qlRateHelperQuoteName(M46)</f>
        <v>JPYSB6L7Y_Quote</v>
      </c>
      <c r="O46" s="180">
        <f>_xll.qlRateHelperLatestDate(M46,Trigger)</f>
        <v>44504</v>
      </c>
      <c r="P46" s="187">
        <f>_xll.qlRateHelperQuoteValue(M46,_xll.ohTrigger(RecalcTrigger,YieldCurve))</f>
        <v>3.6750000000000003E-3</v>
      </c>
      <c r="Q46" s="188" t="str">
        <f t="shared" si="10"/>
        <v>7Y</v>
      </c>
      <c r="R46" s="117" t="str">
        <f>_xll.qlSwapIndex(,FamilyName,Q46,NDays,Currency,Calendar,"6M","modified following","actual/365 (fixed)",IborIndex,Discounting,,Trigger)</f>
        <v>obj_00412#0001</v>
      </c>
      <c r="S46" s="189">
        <f>_xll.qlIndexFixing(R46,$X$19,TRUE,Trigger)</f>
        <v>3.6750000000015867E-3</v>
      </c>
      <c r="T46" s="190">
        <f t="shared" si="11"/>
        <v>1.5864046187807901E-15</v>
      </c>
      <c r="U46" s="191"/>
      <c r="W46" s="173" t="str">
        <f t="shared" si="9"/>
        <v>1D</v>
      </c>
      <c r="X46" s="180">
        <f>_xll.qlCalendarAdvance(LiborCalendar,X45,W46,"f",FALSE)</f>
        <v>41982</v>
      </c>
      <c r="Y46" s="174">
        <f>_xll.qlInterestRateIndexValueDate(IborIndex,X46)</f>
        <v>41984</v>
      </c>
      <c r="Z46" s="175">
        <v>1.5449752748355327E-3</v>
      </c>
      <c r="AA46" s="177">
        <v>1.8248642038076746E-3</v>
      </c>
    </row>
    <row r="47" spans="13:27" x14ac:dyDescent="0.2">
      <c r="M47" s="173" t="str">
        <v>obj_003ed#0001</v>
      </c>
      <c r="N47" s="173" t="str">
        <f>_xll.qlRateHelperQuoteName(M47)</f>
        <v>JPYSB6L8Y_Quote</v>
      </c>
      <c r="O47" s="180">
        <f>_xll.qlRateHelperLatestDate(M47,Trigger)</f>
        <v>44869</v>
      </c>
      <c r="P47" s="187">
        <f>_xll.qlRateHelperQuoteValue(M47,_xll.ohTrigger(RecalcTrigger,YieldCurve))</f>
        <v>4.3999999999999994E-3</v>
      </c>
      <c r="Q47" s="188" t="str">
        <f t="shared" si="10"/>
        <v>8Y</v>
      </c>
      <c r="R47" s="117" t="str">
        <f>_xll.qlSwapIndex(,FamilyName,Q47,NDays,Currency,Calendar,"6M","modified following","actual/365 (fixed)",IborIndex,Discounting,,Trigger)</f>
        <v>obj_00411#0001</v>
      </c>
      <c r="S47" s="189">
        <f>_xll.qlIndexFixing(R47,$X$19,TRUE,Trigger)</f>
        <v>4.3999999999901071E-3</v>
      </c>
      <c r="T47" s="190">
        <f t="shared" si="11"/>
        <v>-9.8922606217577425E-15</v>
      </c>
      <c r="U47" s="191"/>
      <c r="W47" s="173" t="str">
        <f t="shared" si="9"/>
        <v>1D</v>
      </c>
      <c r="X47" s="180">
        <f>_xll.qlCalendarAdvance(LiborCalendar,X46,W47,"f",FALSE)</f>
        <v>41983</v>
      </c>
      <c r="Y47" s="174">
        <f>_xll.qlInterestRateIndexValueDate(IborIndex,X47)</f>
        <v>41985</v>
      </c>
      <c r="Z47" s="175">
        <v>1.5445865848696049E-3</v>
      </c>
      <c r="AA47" s="177">
        <v>1.8069069799879027E-3</v>
      </c>
    </row>
    <row r="48" spans="13:27" x14ac:dyDescent="0.2">
      <c r="M48" s="173" t="str">
        <v>obj_003e9#0001</v>
      </c>
      <c r="N48" s="173" t="str">
        <f>_xll.qlRateHelperQuoteName(M48)</f>
        <v>JPYSB6L9Y_Quote</v>
      </c>
      <c r="O48" s="180">
        <f>_xll.qlRateHelperLatestDate(M48,Trigger)</f>
        <v>45236</v>
      </c>
      <c r="P48" s="187">
        <f>_xll.qlRateHelperQuoteValue(M48,_xll.ohTrigger(RecalcTrigger,YieldCurve))</f>
        <v>5.1749999999999999E-3</v>
      </c>
      <c r="Q48" s="188" t="str">
        <f t="shared" si="10"/>
        <v>9Y</v>
      </c>
      <c r="R48" s="117" t="str">
        <f>_xll.qlSwapIndex(,FamilyName,Q48,NDays,Currency,Calendar,"6M","modified following","actual/365 (fixed)",IborIndex,Discounting,,Trigger)</f>
        <v>obj_0041b#0001</v>
      </c>
      <c r="S48" s="189">
        <f>_xll.qlIndexFixing(R48,$X$19,TRUE,Trigger)</f>
        <v>5.1750000000350101E-3</v>
      </c>
      <c r="T48" s="190">
        <f t="shared" si="11"/>
        <v>3.5010189192163921E-14</v>
      </c>
      <c r="U48" s="191"/>
      <c r="W48" s="173" t="str">
        <f t="shared" si="9"/>
        <v>1D</v>
      </c>
      <c r="X48" s="180">
        <f>_xll.qlCalendarAdvance(LiborCalendar,X47,W48,"f",FALSE)</f>
        <v>41984</v>
      </c>
      <c r="Y48" s="174">
        <f>_xll.qlInterestRateIndexValueDate(IborIndex,X48)</f>
        <v>41988</v>
      </c>
      <c r="Z48" s="175">
        <v>1.5438458504893979E-3</v>
      </c>
      <c r="AA48" s="177">
        <v>1.7895592420569262E-3</v>
      </c>
    </row>
    <row r="49" spans="10:27" x14ac:dyDescent="0.2">
      <c r="J49" s="118" t="b">
        <v>1</v>
      </c>
      <c r="M49" s="173" t="str">
        <v>obj_00401#0001</v>
      </c>
      <c r="N49" s="173" t="str">
        <f>_xll.qlRateHelperQuoteName(M49)</f>
        <v>JPYSB6L10Y_Quote</v>
      </c>
      <c r="O49" s="180">
        <f>_xll.qlRateHelperLatestDate(M49,Trigger)</f>
        <v>45600</v>
      </c>
      <c r="P49" s="187">
        <f>_xll.qlRateHelperQuoteValue(M49,_xll.ohTrigger(RecalcTrigger,YieldCurve))</f>
        <v>5.9250000000000006E-3</v>
      </c>
      <c r="Q49" s="188" t="str">
        <f t="shared" si="10"/>
        <v>10Y</v>
      </c>
      <c r="R49" s="117" t="str">
        <f>_xll.qlSwapIndex(,FamilyName,Q49,NDays,Currency,Calendar,"6M","modified following","actual/365 (fixed)",IborIndex,Discounting,,Trigger)</f>
        <v>obj_00415#0001</v>
      </c>
      <c r="S49" s="189">
        <f>_xll.qlIndexFixing(R49,$X$19,TRUE,Trigger)</f>
        <v>5.9249999998065347E-3</v>
      </c>
      <c r="T49" s="190">
        <f t="shared" si="11"/>
        <v>-1.934659030200514E-13</v>
      </c>
      <c r="U49" s="191"/>
      <c r="W49" s="173" t="str">
        <f t="shared" si="9"/>
        <v>1D</v>
      </c>
      <c r="X49" s="180">
        <f>_xll.qlCalendarAdvance(LiborCalendar,X48,W49,"f",FALSE)</f>
        <v>41985</v>
      </c>
      <c r="Y49" s="174">
        <f>_xll.qlInterestRateIndexValueDate(IborIndex,X49)</f>
        <v>41989</v>
      </c>
      <c r="Z49" s="175">
        <v>1.5437303606299639E-3</v>
      </c>
      <c r="AA49" s="177">
        <v>1.7812035331665754E-3</v>
      </c>
    </row>
    <row r="50" spans="10:27" x14ac:dyDescent="0.2">
      <c r="M50" s="173" t="str">
        <v>obj_003fb#0001</v>
      </c>
      <c r="N50" s="173" t="str">
        <f>_xll.qlRateHelperQuoteName(M50)</f>
        <v>JPYSB6L12Y_Quote</v>
      </c>
      <c r="O50" s="180">
        <f>_xll.qlRateHelperLatestDate(M50,Trigger)</f>
        <v>46330</v>
      </c>
      <c r="P50" s="187">
        <f>_xll.qlRateHelperQuoteValue(M50,_xll.ohTrigger(RecalcTrigger,YieldCurve))</f>
        <v>7.5500000000000003E-3</v>
      </c>
      <c r="Q50" s="188" t="str">
        <f t="shared" si="10"/>
        <v>12Y</v>
      </c>
      <c r="R50" s="117" t="str">
        <f>_xll.qlSwapIndex(,FamilyName,Q50,NDays,Currency,Calendar,"6M","modified following","actual/365 (fixed)",IborIndex,Discounting,,Trigger)</f>
        <v>obj_0040f#0001</v>
      </c>
      <c r="S50" s="189">
        <f>_xll.qlIndexFixing(R50,$X$19,TRUE,Trigger)</f>
        <v>7.5500000000168098E-3</v>
      </c>
      <c r="T50" s="190">
        <f t="shared" si="11"/>
        <v>1.6809470482215261E-14</v>
      </c>
      <c r="U50" s="191"/>
      <c r="W50" s="173" t="str">
        <f t="shared" si="9"/>
        <v>1D</v>
      </c>
      <c r="X50" s="180">
        <f>_xll.qlCalendarAdvance(LiborCalendar,X49,W50,"f",FALSE)</f>
        <v>41988</v>
      </c>
      <c r="Y50" s="174">
        <f>_xll.qlInterestRateIndexValueDate(IborIndex,X50)</f>
        <v>41990</v>
      </c>
      <c r="Z50" s="175">
        <v>1.5436754031382196E-3</v>
      </c>
      <c r="AA50" s="177">
        <v>1.7730360368384268E-3</v>
      </c>
    </row>
    <row r="51" spans="10:27" x14ac:dyDescent="0.2">
      <c r="M51" s="173" t="str">
        <v>obj_003f1#0001</v>
      </c>
      <c r="N51" s="173" t="str">
        <f>_xll.qlRateHelperQuoteName(M51)</f>
        <v>JPYSB6L15Y_Quote</v>
      </c>
      <c r="O51" s="180">
        <f>_xll.qlRateHelperLatestDate(M51,Trigger)</f>
        <v>47427</v>
      </c>
      <c r="P51" s="187">
        <f>_xll.qlRateHelperQuoteValue(M51,_xll.ohTrigger(RecalcTrigger,YieldCurve))</f>
        <v>9.9750000000000012E-3</v>
      </c>
      <c r="Q51" s="188" t="str">
        <f t="shared" si="10"/>
        <v>15Y</v>
      </c>
      <c r="R51" s="117" t="str">
        <f>_xll.qlSwapIndex(,FamilyName,Q51,NDays,Currency,Calendar,"6M","modified following","actual/365 (fixed)",IborIndex,Discounting,,Trigger)</f>
        <v>obj_0040c#0001</v>
      </c>
      <c r="S51" s="189">
        <f>_xll.qlIndexFixing(R51,$X$19,TRUE,Trigger)</f>
        <v>9.9749999999747922E-3</v>
      </c>
      <c r="T51" s="190">
        <f t="shared" si="11"/>
        <v>-2.5209001552894961E-14</v>
      </c>
      <c r="U51" s="191"/>
      <c r="W51" s="173" t="str">
        <f t="shared" si="9"/>
        <v>1D</v>
      </c>
      <c r="X51" s="180">
        <f>_xll.qlCalendarAdvance(LiborCalendar,X50,W51,"f",FALSE)</f>
        <v>41989</v>
      </c>
      <c r="Y51" s="174">
        <f>_xll.qlInterestRateIndexValueDate(IborIndex,X51)</f>
        <v>41991</v>
      </c>
      <c r="Z51" s="175">
        <v>1.5436778709646023E-3</v>
      </c>
      <c r="AA51" s="177">
        <v>1.7650567532345729E-3</v>
      </c>
    </row>
    <row r="52" spans="10:27" x14ac:dyDescent="0.2">
      <c r="M52" s="173" t="str">
        <v>obj_003ef#0001</v>
      </c>
      <c r="N52" s="173" t="str">
        <f>_xll.qlRateHelperQuoteName(M52)</f>
        <v>JPYSB6L20Y_Quote</v>
      </c>
      <c r="O52" s="180">
        <f>_xll.qlRateHelperLatestDate(M52,Trigger)</f>
        <v>49254</v>
      </c>
      <c r="P52" s="187">
        <f>_xll.qlRateHelperQuoteValue(M52,_xll.ohTrigger(RecalcTrigger,YieldCurve))</f>
        <v>1.3025E-2</v>
      </c>
      <c r="Q52" s="188" t="str">
        <f t="shared" si="10"/>
        <v>20Y</v>
      </c>
      <c r="R52" s="117" t="str">
        <f>_xll.qlSwapIndex(,FamilyName,Q52,NDays,Currency,Calendar,"6M","modified following","actual/365 (fixed)",IborIndex,Discounting,,Trigger)</f>
        <v>obj_00419#0001</v>
      </c>
      <c r="S52" s="189">
        <f>_xll.qlIndexFixing(R52,$X$19,TRUE,Trigger)</f>
        <v>1.3024999999982719E-2</v>
      </c>
      <c r="T52" s="190">
        <f t="shared" si="11"/>
        <v>-1.7281315267680952E-14</v>
      </c>
      <c r="U52" s="191"/>
      <c r="W52" s="173" t="str">
        <f t="shared" si="9"/>
        <v>1D</v>
      </c>
      <c r="X52" s="180">
        <f>_xll.qlCalendarAdvance(LiborCalendar,X51,W52,"f",FALSE)</f>
        <v>41990</v>
      </c>
      <c r="Y52" s="174">
        <f>_xll.qlInterestRateIndexValueDate(IborIndex,X52)</f>
        <v>41992</v>
      </c>
      <c r="Z52" s="175">
        <v>1.5437346570639416E-3</v>
      </c>
      <c r="AA52" s="177">
        <v>1.7497339488218671E-3</v>
      </c>
    </row>
    <row r="53" spans="10:27" x14ac:dyDescent="0.2">
      <c r="M53" s="173" t="str">
        <v>obj_00400#0001</v>
      </c>
      <c r="N53" s="173" t="str">
        <f>_xll.qlRateHelperQuoteName(M53)</f>
        <v>JPYSB6L25Y_Quote</v>
      </c>
      <c r="O53" s="180">
        <f>_xll.qlRateHelperLatestDate(M53,Trigger)</f>
        <v>51078</v>
      </c>
      <c r="P53" s="187">
        <f>_xll.qlRateHelperQuoteValue(M53,_xll.ohTrigger(RecalcTrigger,YieldCurve))</f>
        <v>1.4649999999999998E-2</v>
      </c>
      <c r="Q53" s="188" t="str">
        <f t="shared" si="10"/>
        <v>25Y</v>
      </c>
      <c r="R53" s="117" t="str">
        <f>_xll.qlSwapIndex(,FamilyName,Q53,NDays,Currency,Calendar,"6M","modified following","actual/365 (fixed)",IborIndex,Discounting,,Trigger)</f>
        <v>obj_00413#0001</v>
      </c>
      <c r="S53" s="189">
        <f>_xll.qlIndexFixing(R53,$X$19,TRUE,Trigger)</f>
        <v>1.4650000000000928E-2</v>
      </c>
      <c r="T53" s="190">
        <f t="shared" si="11"/>
        <v>9.298117831235686E-16</v>
      </c>
      <c r="U53" s="191"/>
      <c r="W53" s="173" t="str">
        <f t="shared" si="9"/>
        <v>1D</v>
      </c>
      <c r="X53" s="180">
        <f>_xll.qlCalendarAdvance(LiborCalendar,X52,W53,"f",FALSE)</f>
        <v>41991</v>
      </c>
      <c r="Y53" s="174">
        <f>_xll.qlInterestRateIndexValueDate(IborIndex,X53)</f>
        <v>41995</v>
      </c>
      <c r="Z53" s="175">
        <v>1.5441998546116777E-3</v>
      </c>
      <c r="AA53" s="177">
        <v>1.7350217441169935E-3</v>
      </c>
    </row>
    <row r="54" spans="10:27" x14ac:dyDescent="0.2">
      <c r="M54" s="173" t="str">
        <v>obj_003e7#0001</v>
      </c>
      <c r="N54" s="173" t="str">
        <f>_xll.qlRateHelperQuoteName(M54)</f>
        <v>JPYSB6L30Y_Quote</v>
      </c>
      <c r="O54" s="180">
        <f>_xll.qlRateHelperLatestDate(M54,Trigger)</f>
        <v>52905</v>
      </c>
      <c r="P54" s="187">
        <f>_xll.qlRateHelperQuoteValue(M54,_xll.ohTrigger(RecalcTrigger,YieldCurve))</f>
        <v>1.55E-2</v>
      </c>
      <c r="Q54" s="188" t="str">
        <f t="shared" si="10"/>
        <v>30Y</v>
      </c>
      <c r="R54" s="117" t="str">
        <f>_xll.qlSwapIndex(,FamilyName,Q54,NDays,Currency,Calendar,"6M","modified following","actual/365 (fixed)",IborIndex,Discounting,,Trigger)</f>
        <v>obj_00418#0001</v>
      </c>
      <c r="S54" s="189">
        <f>_xll.qlIndexFixing(R54,$X$19,TRUE,Trigger)</f>
        <v>1.5500000000000017E-2</v>
      </c>
      <c r="T54" s="190">
        <f t="shared" si="11"/>
        <v>1.7347234759768071E-17</v>
      </c>
      <c r="U54" s="191"/>
      <c r="W54" s="173" t="str">
        <f t="shared" si="9"/>
        <v>1D</v>
      </c>
      <c r="X54" s="180">
        <f>_xll.qlCalendarAdvance(LiborCalendar,X53,W54,"f",FALSE)</f>
        <v>41992</v>
      </c>
      <c r="Y54" s="174">
        <f>_xll.qlInterestRateIndexValueDate(IborIndex,X54)</f>
        <v>41997</v>
      </c>
      <c r="Z54" s="175">
        <v>1.5447246153445669E-3</v>
      </c>
      <c r="AA54" s="177">
        <v>1.7082023365566634E-3</v>
      </c>
    </row>
    <row r="55" spans="10:27" x14ac:dyDescent="0.2">
      <c r="M55" s="173" t="e">
        <v>#N/A</v>
      </c>
      <c r="N55" s="173" t="e">
        <f>_xll.qlRateHelperQuoteName(M55)</f>
        <v>#VALUE!</v>
      </c>
      <c r="O55" s="180" t="e">
        <f>_xll.qlRateHelperLatestDate(M55,Trigger)</f>
        <v>#VALUE!</v>
      </c>
      <c r="P55" s="187" t="e">
        <f>_xll.qlRateHelperQuoteValue(M55,_xll.ohTrigger(RecalcTrigger,YieldCurve))</f>
        <v>#VALUE!</v>
      </c>
      <c r="Q55" s="188" t="e">
        <f t="shared" si="10"/>
        <v>#VALUE!</v>
      </c>
      <c r="R55" s="117" t="e">
        <f>_xll.qlSwapIndex(,FamilyName,Q55,NDays,Currency,Calendar,"6M","modified following","actual/365 (fixed)",IborIndex,Discounting,,Trigger)</f>
        <v>#VALUE!</v>
      </c>
      <c r="S55" s="189" t="e">
        <f>_xll.qlIndexFixing(R55,$X$19,TRUE,Trigger)</f>
        <v>#VALUE!</v>
      </c>
      <c r="T55" s="190" t="e">
        <f t="shared" si="11"/>
        <v>#VALUE!</v>
      </c>
      <c r="U55" s="191"/>
      <c r="W55" s="173" t="str">
        <f t="shared" si="9"/>
        <v>1D</v>
      </c>
      <c r="X55" s="180">
        <f>_xll.qlCalendarAdvance(LiborCalendar,X54,W55,"f",FALSE)</f>
        <v>41995</v>
      </c>
      <c r="Y55" s="174">
        <f>_xll.qlInterestRateIndexValueDate(IborIndex,X55)</f>
        <v>41997</v>
      </c>
      <c r="Z55" s="175">
        <v>1.5447246153445669E-3</v>
      </c>
      <c r="AA55" s="177">
        <v>1.7082023365566634E-3</v>
      </c>
    </row>
    <row r="56" spans="10:27" x14ac:dyDescent="0.2">
      <c r="M56" s="173" t="e">
        <v>#N/A</v>
      </c>
      <c r="N56" s="173" t="e">
        <f>_xll.qlRateHelperQuoteName(M56)</f>
        <v>#VALUE!</v>
      </c>
      <c r="O56" s="180" t="e">
        <f>_xll.qlRateHelperLatestDate(M56,Trigger)</f>
        <v>#VALUE!</v>
      </c>
      <c r="P56" s="187" t="e">
        <f>_xll.qlRateHelperQuoteValue(M56,_xll.ohTrigger(RecalcTrigger,YieldCurve))</f>
        <v>#VALUE!</v>
      </c>
      <c r="Q56" s="188" t="e">
        <f t="shared" si="10"/>
        <v>#VALUE!</v>
      </c>
      <c r="R56" s="117" t="e">
        <f>_xll.qlSwapIndex(,FamilyName,Q56,NDays,Currency,Calendar,"6M","modified following","actual/365 (fixed)",IborIndex,Discounting,,Trigger)</f>
        <v>#VALUE!</v>
      </c>
      <c r="S56" s="189" t="e">
        <f>_xll.qlIndexFixing(R56,$X$19,TRUE,Trigger)</f>
        <v>#VALUE!</v>
      </c>
      <c r="T56" s="190" t="e">
        <f t="shared" si="11"/>
        <v>#VALUE!</v>
      </c>
      <c r="U56" s="191"/>
      <c r="W56" s="173" t="str">
        <f t="shared" si="9"/>
        <v>1D</v>
      </c>
      <c r="X56" s="180">
        <f>_xll.qlCalendarAdvance(LiborCalendar,X55,W56,"f",FALSE)</f>
        <v>41996</v>
      </c>
      <c r="Y56" s="174">
        <f>_xll.qlInterestRateIndexValueDate(IborIndex,X56)</f>
        <v>42002</v>
      </c>
      <c r="Z56" s="175">
        <v>1.5466064753139601E-3</v>
      </c>
      <c r="AA56" s="177">
        <v>1.6897066604282251E-3</v>
      </c>
    </row>
    <row r="57" spans="10:27" x14ac:dyDescent="0.2">
      <c r="M57" s="173" t="e">
        <v>#N/A</v>
      </c>
      <c r="N57" s="173" t="e">
        <f>_xll.qlRateHelperQuoteName(M57)</f>
        <v>#VALUE!</v>
      </c>
      <c r="O57" s="180" t="e">
        <f>_xll.qlRateHelperLatestDate(M57,Trigger)</f>
        <v>#VALUE!</v>
      </c>
      <c r="P57" s="187" t="e">
        <f>_xll.qlRateHelperQuoteValue(M57,_xll.ohTrigger(RecalcTrigger,YieldCurve))</f>
        <v>#VALUE!</v>
      </c>
      <c r="Q57" s="188" t="e">
        <f t="shared" si="10"/>
        <v>#VALUE!</v>
      </c>
      <c r="R57" s="117" t="e">
        <f>_xll.qlSwapIndex(,FamilyName,Q57,NDays,Currency,Calendar,"6M","modified following","actual/365 (fixed)",IborIndex,Discounting,,Trigger)</f>
        <v>#VALUE!</v>
      </c>
      <c r="S57" s="189" t="e">
        <f>_xll.qlIndexFixing(R57,$X$19,TRUE,Trigger)</f>
        <v>#VALUE!</v>
      </c>
      <c r="T57" s="190" t="e">
        <f t="shared" si="11"/>
        <v>#VALUE!</v>
      </c>
      <c r="U57" s="191"/>
      <c r="W57" s="173" t="str">
        <f t="shared" si="9"/>
        <v>1D</v>
      </c>
      <c r="X57" s="180">
        <f>_xll.qlCalendarAdvance(LiborCalendar,X56,W57,"f",FALSE)</f>
        <v>41997</v>
      </c>
      <c r="Y57" s="174">
        <f>_xll.qlInterestRateIndexValueDate(IborIndex,X57)</f>
        <v>42003</v>
      </c>
      <c r="Z57" s="175">
        <v>1.547055698161013E-3</v>
      </c>
      <c r="AA57" s="177">
        <v>1.6839859269224267E-3</v>
      </c>
    </row>
    <row r="58" spans="10:27" x14ac:dyDescent="0.2">
      <c r="M58" s="173" t="e">
        <v>#N/A</v>
      </c>
      <c r="N58" s="173" t="e">
        <f>_xll.qlRateHelperQuoteName(M58)</f>
        <v>#VALUE!</v>
      </c>
      <c r="O58" s="180" t="e">
        <f>_xll.qlRateHelperLatestDate(M58,Trigger)</f>
        <v>#VALUE!</v>
      </c>
      <c r="P58" s="187" t="e">
        <f>_xll.qlRateHelperQuoteValue(M58,_xll.ohTrigger(RecalcTrigger,YieldCurve))</f>
        <v>#VALUE!</v>
      </c>
      <c r="Q58" s="188" t="e">
        <f t="shared" si="10"/>
        <v>#VALUE!</v>
      </c>
      <c r="R58" s="117" t="e">
        <f>_xll.qlSwapIndex(,FamilyName,Q58,NDays,Currency,Calendar,"6M","modified following","actual/365 (fixed)",IborIndex,Discounting,,Trigger)</f>
        <v>#VALUE!</v>
      </c>
      <c r="S58" s="189" t="e">
        <f>_xll.qlIndexFixing(R58,$X$19,TRUE,Trigger)</f>
        <v>#VALUE!</v>
      </c>
      <c r="T58" s="190" t="e">
        <f t="shared" si="11"/>
        <v>#VALUE!</v>
      </c>
      <c r="U58" s="191"/>
      <c r="W58" s="173" t="str">
        <f t="shared" si="9"/>
        <v>1D</v>
      </c>
      <c r="X58" s="180">
        <f>_xll.qlCalendarAdvance(LiborCalendar,X57,W58,"f",FALSE)</f>
        <v>42002</v>
      </c>
      <c r="Y58" s="174">
        <f>_xll.qlInterestRateIndexValueDate(IborIndex,X58)</f>
        <v>42009</v>
      </c>
      <c r="Z58" s="175">
        <v>1.549999999999833E-3</v>
      </c>
      <c r="AA58" s="177">
        <v>1.6535686573482256E-3</v>
      </c>
    </row>
    <row r="59" spans="10:27" x14ac:dyDescent="0.2">
      <c r="M59" s="173" t="e">
        <v>#N/A</v>
      </c>
      <c r="N59" s="173" t="e">
        <f>_xll.qlRateHelperQuoteName(M59)</f>
        <v>#VALUE!</v>
      </c>
      <c r="O59" s="180" t="e">
        <f>_xll.qlRateHelperLatestDate(M59,Trigger)</f>
        <v>#VALUE!</v>
      </c>
      <c r="P59" s="187" t="e">
        <f>_xll.qlRateHelperQuoteValue(M59,_xll.ohTrigger(RecalcTrigger,YieldCurve))</f>
        <v>#VALUE!</v>
      </c>
      <c r="Q59" s="188" t="e">
        <f t="shared" si="10"/>
        <v>#VALUE!</v>
      </c>
      <c r="R59" s="117" t="e">
        <f>_xll.qlSwapIndex(,FamilyName,Q59,NDays,Currency,Calendar,"6M","modified following","actual/365 (fixed)",IborIndex,Discounting,,Trigger)</f>
        <v>#VALUE!</v>
      </c>
      <c r="S59" s="189" t="e">
        <f>_xll.qlIndexFixing(R59,$X$19,TRUE,Trigger)</f>
        <v>#VALUE!</v>
      </c>
      <c r="T59" s="190" t="e">
        <f t="shared" si="11"/>
        <v>#VALUE!</v>
      </c>
      <c r="U59" s="191"/>
      <c r="W59" s="173" t="str">
        <f t="shared" si="9"/>
        <v>1D</v>
      </c>
      <c r="X59" s="180">
        <f>_xll.qlCalendarAdvance(LiborCalendar,X58,W59,"f",FALSE)</f>
        <v>42003</v>
      </c>
      <c r="Y59" s="174">
        <f>_xll.qlInterestRateIndexValueDate(IborIndex,X59)</f>
        <v>42009</v>
      </c>
      <c r="Z59" s="175">
        <v>1.549999999999833E-3</v>
      </c>
      <c r="AA59" s="177">
        <v>1.6535686573482256E-3</v>
      </c>
    </row>
    <row r="60" spans="10:27" x14ac:dyDescent="0.2">
      <c r="M60" s="173" t="e">
        <v>#N/A</v>
      </c>
      <c r="N60" s="173" t="e">
        <f>_xll.qlRateHelperQuoteName(M60)</f>
        <v>#VALUE!</v>
      </c>
      <c r="O60" s="180" t="e">
        <f>_xll.qlRateHelperLatestDate(M60,Trigger)</f>
        <v>#VALUE!</v>
      </c>
      <c r="P60" s="187" t="e">
        <f>_xll.qlRateHelperQuoteValue(M60,_xll.ohTrigger(RecalcTrigger,YieldCurve))</f>
        <v>#VALUE!</v>
      </c>
      <c r="Q60" s="188" t="e">
        <f t="shared" si="10"/>
        <v>#VALUE!</v>
      </c>
      <c r="R60" s="117" t="e">
        <f>_xll.qlSwapIndex(,FamilyName,Q60,NDays,Currency,Calendar,"6M","modified following","actual/365 (fixed)",IborIndex,Discounting,,Trigger)</f>
        <v>#VALUE!</v>
      </c>
      <c r="S60" s="189" t="e">
        <f>_xll.qlIndexFixing(R60,$X$19,TRUE,Trigger)</f>
        <v>#VALUE!</v>
      </c>
      <c r="T60" s="190" t="e">
        <f t="shared" si="11"/>
        <v>#VALUE!</v>
      </c>
      <c r="U60" s="191"/>
      <c r="W60" s="173" t="str">
        <f t="shared" si="9"/>
        <v>1D</v>
      </c>
      <c r="X60" s="180">
        <f>_xll.qlCalendarAdvance(LiborCalendar,X59,W60,"f",FALSE)</f>
        <v>42004</v>
      </c>
      <c r="Y60" s="174">
        <f>_xll.qlInterestRateIndexValueDate(IborIndex,X60)</f>
        <v>42009</v>
      </c>
      <c r="Z60" s="175">
        <v>1.549999999999833E-3</v>
      </c>
      <c r="AA60" s="177">
        <v>1.6535686573482256E-3</v>
      </c>
    </row>
    <row r="61" spans="10:27" x14ac:dyDescent="0.2">
      <c r="M61" s="173" t="e">
        <v>#N/A</v>
      </c>
      <c r="N61" s="173" t="e">
        <f>_xll.qlRateHelperQuoteName(M61)</f>
        <v>#VALUE!</v>
      </c>
      <c r="O61" s="180" t="e">
        <f>_xll.qlRateHelperLatestDate(M61,Trigger)</f>
        <v>#VALUE!</v>
      </c>
      <c r="P61" s="187" t="e">
        <f>_xll.qlRateHelperQuoteValue(M61,_xll.ohTrigger(RecalcTrigger,YieldCurve))</f>
        <v>#VALUE!</v>
      </c>
      <c r="Q61" s="188" t="e">
        <f t="shared" si="10"/>
        <v>#VALUE!</v>
      </c>
      <c r="R61" s="117" t="e">
        <f>_xll.qlSwapIndex(,FamilyName,Q61,NDays,Currency,Calendar,"6M","modified following","actual/365 (fixed)",IborIndex,Discounting,,Trigger)</f>
        <v>#VALUE!</v>
      </c>
      <c r="S61" s="189" t="e">
        <f>_xll.qlIndexFixing(R61,$X$19,TRUE,Trigger)</f>
        <v>#VALUE!</v>
      </c>
      <c r="T61" s="190" t="e">
        <f t="shared" si="11"/>
        <v>#VALUE!</v>
      </c>
      <c r="U61" s="191"/>
      <c r="W61" s="173" t="str">
        <f t="shared" si="9"/>
        <v>1D</v>
      </c>
      <c r="X61" s="180">
        <f>_xll.qlCalendarAdvance(LiborCalendar,X60,W61,"f",FALSE)</f>
        <v>42006</v>
      </c>
      <c r="Y61" s="174">
        <f>_xll.qlInterestRateIndexValueDate(IborIndex,X61)</f>
        <v>42010</v>
      </c>
      <c r="Z61" s="175">
        <v>1.5495459246278873E-3</v>
      </c>
      <c r="AA61" s="177">
        <v>1.6488934311575942E-3</v>
      </c>
    </row>
    <row r="62" spans="10:27" x14ac:dyDescent="0.2">
      <c r="M62" s="173" t="e">
        <v>#N/A</v>
      </c>
      <c r="N62" s="173" t="e">
        <f>_xll.qlRateHelperQuoteName(M62)</f>
        <v>#VALUE!</v>
      </c>
      <c r="O62" s="180" t="e">
        <f>_xll.qlRateHelperLatestDate(M62,Trigger)</f>
        <v>#VALUE!</v>
      </c>
      <c r="P62" s="187" t="e">
        <f>_xll.qlRateHelperQuoteValue(M62,_xll.ohTrigger(RecalcTrigger,YieldCurve))</f>
        <v>#VALUE!</v>
      </c>
      <c r="Q62" s="188" t="e">
        <f t="shared" si="10"/>
        <v>#VALUE!</v>
      </c>
      <c r="R62" s="117" t="e">
        <f>_xll.qlSwapIndex(,FamilyName,Q62,NDays,Currency,Calendar,"6M","modified following","actual/365 (fixed)",IborIndex,Discounting,,Trigger)</f>
        <v>#VALUE!</v>
      </c>
      <c r="S62" s="189" t="e">
        <f>_xll.qlIndexFixing(R62,$X$19,TRUE,Trigger)</f>
        <v>#VALUE!</v>
      </c>
      <c r="T62" s="190" t="e">
        <f t="shared" si="11"/>
        <v>#VALUE!</v>
      </c>
      <c r="U62" s="191"/>
      <c r="W62" s="173" t="str">
        <f t="shared" si="9"/>
        <v>1D</v>
      </c>
      <c r="X62" s="180">
        <f>_xll.qlCalendarAdvance(LiborCalendar,X61,W62,"f",FALSE)</f>
        <v>42009</v>
      </c>
      <c r="Y62" s="174">
        <f>_xll.qlInterestRateIndexValueDate(IborIndex,X62)</f>
        <v>42011</v>
      </c>
      <c r="Z62" s="175">
        <v>1.5500773364432131E-3</v>
      </c>
      <c r="AA62" s="177">
        <v>1.6441344375572875E-3</v>
      </c>
    </row>
    <row r="63" spans="10:27" x14ac:dyDescent="0.2">
      <c r="M63" s="173" t="e">
        <v>#N/A</v>
      </c>
      <c r="N63" s="173" t="e">
        <f>_xll.qlRateHelperQuoteName(M63)</f>
        <v>#VALUE!</v>
      </c>
      <c r="O63" s="180" t="e">
        <f>_xll.qlRateHelperLatestDate(M63,Trigger)</f>
        <v>#VALUE!</v>
      </c>
      <c r="P63" s="187" t="e">
        <f>_xll.qlRateHelperQuoteValue(M63,_xll.ohTrigger(RecalcTrigger,YieldCurve))</f>
        <v>#VALUE!</v>
      </c>
      <c r="Q63" s="188" t="e">
        <f t="shared" si="10"/>
        <v>#VALUE!</v>
      </c>
      <c r="R63" s="117" t="e">
        <f>_xll.qlSwapIndex(,FamilyName,Q63,NDays,Currency,Calendar,"6M","modified following","actual/365 (fixed)",IborIndex,Discounting,,Trigger)</f>
        <v>#VALUE!</v>
      </c>
      <c r="S63" s="189" t="e">
        <f>_xll.qlIndexFixing(R63,$X$19,TRUE,Trigger)</f>
        <v>#VALUE!</v>
      </c>
      <c r="T63" s="190" t="e">
        <f t="shared" si="11"/>
        <v>#VALUE!</v>
      </c>
      <c r="U63" s="191"/>
      <c r="W63" s="173" t="str">
        <f t="shared" si="9"/>
        <v>1D</v>
      </c>
      <c r="X63" s="180">
        <f>_xll.qlCalendarAdvance(LiborCalendar,X62,W63,"f",FALSE)</f>
        <v>42010</v>
      </c>
      <c r="Y63" s="174">
        <f>_xll.qlInterestRateIndexValueDate(IborIndex,X63)</f>
        <v>42012</v>
      </c>
      <c r="Z63" s="175">
        <v>1.5506040198980731E-3</v>
      </c>
      <c r="AA63" s="177">
        <v>1.6392916767093979E-3</v>
      </c>
    </row>
    <row r="64" spans="10:27" x14ac:dyDescent="0.2">
      <c r="M64" s="173" t="e">
        <v>#N/A</v>
      </c>
      <c r="N64" s="173" t="e">
        <f>_xll.qlRateHelperQuoteName(M64)</f>
        <v>#VALUE!</v>
      </c>
      <c r="O64" s="180" t="e">
        <f>_xll.qlRateHelperLatestDate(M64,Trigger)</f>
        <v>#VALUE!</v>
      </c>
      <c r="P64" s="187" t="e">
        <f>_xll.qlRateHelperQuoteValue(M64,_xll.ohTrigger(RecalcTrigger,YieldCurve))</f>
        <v>#VALUE!</v>
      </c>
      <c r="Q64" s="188" t="e">
        <f t="shared" si="10"/>
        <v>#VALUE!</v>
      </c>
      <c r="R64" s="117" t="e">
        <f>_xll.qlSwapIndex(,FamilyName,Q64,NDays,Currency,Calendar,"6M","modified following","actual/365 (fixed)",IborIndex,Discounting,,Trigger)</f>
        <v>#VALUE!</v>
      </c>
      <c r="S64" s="189" t="e">
        <f>_xll.qlIndexFixing(R64,$X$19,TRUE,Trigger)</f>
        <v>#VALUE!</v>
      </c>
      <c r="T64" s="190" t="e">
        <f t="shared" si="11"/>
        <v>#VALUE!</v>
      </c>
      <c r="U64" s="191"/>
      <c r="W64" s="173" t="str">
        <f t="shared" si="9"/>
        <v>1D</v>
      </c>
      <c r="X64" s="180">
        <f>_xll.qlCalendarAdvance(LiborCalendar,X63,W64,"f",FALSE)</f>
        <v>42011</v>
      </c>
      <c r="Y64" s="174">
        <f>_xll.qlInterestRateIndexValueDate(IborIndex,X64)</f>
        <v>42013</v>
      </c>
      <c r="Z64" s="175">
        <v>1.5511224070893675E-3</v>
      </c>
      <c r="AA64" s="177">
        <v>1.6293342035160012E-3</v>
      </c>
    </row>
    <row r="65" spans="13:27" x14ac:dyDescent="0.2">
      <c r="M65" s="173" t="e">
        <v>#N/A</v>
      </c>
      <c r="N65" s="173" t="e">
        <f>_xll.qlRateHelperQuoteName(M65)</f>
        <v>#VALUE!</v>
      </c>
      <c r="O65" s="180" t="e">
        <f>_xll.qlRateHelperLatestDate(M65,Trigger)</f>
        <v>#VALUE!</v>
      </c>
      <c r="P65" s="187" t="e">
        <f>_xll.qlRateHelperQuoteValue(M65,_xll.ohTrigger(RecalcTrigger,YieldCurve))</f>
        <v>#VALUE!</v>
      </c>
      <c r="Q65" s="188" t="e">
        <f t="shared" si="10"/>
        <v>#VALUE!</v>
      </c>
      <c r="R65" s="117" t="e">
        <f>_xll.qlSwapIndex(,FamilyName,Q65,NDays,Currency,Calendar,"6M","modified following","actual/365 (fixed)",IborIndex,Discounting,,Trigger)</f>
        <v>#VALUE!</v>
      </c>
      <c r="S65" s="189" t="e">
        <f>_xll.qlIndexFixing(R65,$X$19,TRUE,Trigger)</f>
        <v>#VALUE!</v>
      </c>
      <c r="T65" s="190" t="e">
        <f t="shared" si="11"/>
        <v>#VALUE!</v>
      </c>
      <c r="U65" s="191"/>
      <c r="W65" s="173" t="str">
        <f t="shared" si="9"/>
        <v>1D</v>
      </c>
      <c r="X65" s="180">
        <f>_xll.qlCalendarAdvance(LiborCalendar,X64,W65,"f",FALSE)</f>
        <v>42012</v>
      </c>
      <c r="Y65" s="174">
        <f>_xll.qlInterestRateIndexValueDate(IborIndex,X65)</f>
        <v>42017</v>
      </c>
      <c r="Z65" s="175">
        <v>1.5530416350296966E-3</v>
      </c>
      <c r="AA65" s="177">
        <v>1.6138213620542352E-3</v>
      </c>
    </row>
    <row r="66" spans="13:27" x14ac:dyDescent="0.2">
      <c r="M66" s="173" t="e">
        <v>#N/A</v>
      </c>
      <c r="N66" s="173" t="e">
        <f>_xll.qlRateHelperQuoteName(M66)</f>
        <v>#VALUE!</v>
      </c>
      <c r="O66" s="180" t="e">
        <f>_xll.qlRateHelperLatestDate(M66,Trigger)</f>
        <v>#VALUE!</v>
      </c>
      <c r="P66" s="187" t="e">
        <f>_xll.qlRateHelperQuoteValue(M66,_xll.ohTrigger(RecalcTrigger,YieldCurve))</f>
        <v>#VALUE!</v>
      </c>
      <c r="Q66" s="188" t="e">
        <f t="shared" si="10"/>
        <v>#VALUE!</v>
      </c>
      <c r="R66" s="117" t="e">
        <f>_xll.qlSwapIndex(,FamilyName,Q66,NDays,Currency,Calendar,"6M","modified following","actual/365 (fixed)",IborIndex,Discounting,,Trigger)</f>
        <v>#VALUE!</v>
      </c>
      <c r="S66" s="189" t="e">
        <f>_xll.qlIndexFixing(R66,$X$19,TRUE,Trigger)</f>
        <v>#VALUE!</v>
      </c>
      <c r="T66" s="190" t="e">
        <f t="shared" si="11"/>
        <v>#VALUE!</v>
      </c>
      <c r="U66" s="191"/>
      <c r="W66" s="173" t="str">
        <f t="shared" si="9"/>
        <v>1D</v>
      </c>
      <c r="X66" s="180">
        <f>_xll.qlCalendarAdvance(LiborCalendar,X65,W66,"f",FALSE)</f>
        <v>42013</v>
      </c>
      <c r="Y66" s="174">
        <f>_xll.qlInterestRateIndexValueDate(IborIndex,X66)</f>
        <v>42017</v>
      </c>
      <c r="Z66" s="175">
        <v>1.5530416350296966E-3</v>
      </c>
      <c r="AA66" s="177">
        <v>1.6138213620542352E-3</v>
      </c>
    </row>
    <row r="67" spans="13:27" x14ac:dyDescent="0.2">
      <c r="M67" s="173" t="e">
        <v>#N/A</v>
      </c>
      <c r="N67" s="173" t="e">
        <f>_xll.qlRateHelperQuoteName(M67)</f>
        <v>#VALUE!</v>
      </c>
      <c r="O67" s="180" t="e">
        <f>_xll.qlRateHelperLatestDate(M67,Trigger)</f>
        <v>#VALUE!</v>
      </c>
      <c r="P67" s="187" t="e">
        <f>_xll.qlRateHelperQuoteValue(M67,_xll.ohTrigger(RecalcTrigger,YieldCurve))</f>
        <v>#VALUE!</v>
      </c>
      <c r="Q67" s="188" t="e">
        <f t="shared" si="10"/>
        <v>#VALUE!</v>
      </c>
      <c r="R67" s="117" t="e">
        <f>_xll.qlSwapIndex(,FamilyName,Q67,NDays,Currency,Calendar,"6M","modified following","actual/365 (fixed)",IborIndex,Discounting,,Trigger)</f>
        <v>#VALUE!</v>
      </c>
      <c r="S67" s="189" t="e">
        <f>_xll.qlIndexFixing(R67,$X$19,TRUE,Trigger)</f>
        <v>#VALUE!</v>
      </c>
      <c r="T67" s="190" t="e">
        <f t="shared" si="11"/>
        <v>#VALUE!</v>
      </c>
      <c r="U67" s="191"/>
      <c r="W67" s="173" t="str">
        <f t="shared" si="9"/>
        <v>1D</v>
      </c>
      <c r="X67" s="180">
        <f>_xll.qlCalendarAdvance(LiborCalendar,X66,W67,"f",FALSE)</f>
        <v>42016</v>
      </c>
      <c r="Y67" s="174">
        <f>_xll.qlInterestRateIndexValueDate(IborIndex,X67)</f>
        <v>42018</v>
      </c>
      <c r="Z67" s="175">
        <v>1.5534650222343291E-3</v>
      </c>
      <c r="AA67" s="177">
        <v>1.6084759971535245E-3</v>
      </c>
    </row>
    <row r="68" spans="13:27" x14ac:dyDescent="0.2">
      <c r="M68" s="173" t="e">
        <v>#N/A</v>
      </c>
      <c r="N68" s="173" t="e">
        <f>_xll.qlRateHelperQuoteName(M68)</f>
        <v>#VALUE!</v>
      </c>
      <c r="O68" s="180" t="e">
        <f>_xll.qlRateHelperLatestDate(M68,Trigger)</f>
        <v>#VALUE!</v>
      </c>
      <c r="P68" s="187" t="e">
        <f>_xll.qlRateHelperQuoteValue(M68,_xll.ohTrigger(RecalcTrigger,YieldCurve))</f>
        <v>#VALUE!</v>
      </c>
      <c r="Q68" s="188" t="e">
        <f t="shared" si="10"/>
        <v>#VALUE!</v>
      </c>
      <c r="R68" s="117" t="e">
        <f>_xll.qlSwapIndex(,FamilyName,Q68,NDays,Currency,Calendar,"6M","modified following","actual/365 (fixed)",IborIndex,Discounting,,Trigger)</f>
        <v>#VALUE!</v>
      </c>
      <c r="S68" s="189" t="e">
        <f>_xll.qlIndexFixing(R68,$X$19,TRUE,Trigger)</f>
        <v>#VALUE!</v>
      </c>
      <c r="T68" s="190" t="e">
        <f t="shared" si="11"/>
        <v>#VALUE!</v>
      </c>
      <c r="U68" s="191"/>
      <c r="W68" s="173" t="str">
        <f t="shared" si="9"/>
        <v>1D</v>
      </c>
      <c r="X68" s="180">
        <f>_xll.qlCalendarAdvance(LiborCalendar,X67,W68,"f",FALSE)</f>
        <v>42017</v>
      </c>
      <c r="Y68" s="174">
        <f>_xll.qlInterestRateIndexValueDate(IborIndex,X68)</f>
        <v>42019</v>
      </c>
      <c r="Z68" s="175">
        <v>1.5538587056879007E-3</v>
      </c>
      <c r="AA68" s="177">
        <v>1.6030468649241847E-3</v>
      </c>
    </row>
    <row r="69" spans="13:27" x14ac:dyDescent="0.2">
      <c r="M69" s="173" t="e">
        <v>#N/A</v>
      </c>
      <c r="N69" s="173" t="e">
        <f>_xll.qlRateHelperQuoteName(M69)</f>
        <v>#VALUE!</v>
      </c>
      <c r="O69" s="180" t="e">
        <f>_xll.qlRateHelperLatestDate(M69,Trigger)</f>
        <v>#VALUE!</v>
      </c>
      <c r="P69" s="187" t="e">
        <f>_xll.qlRateHelperQuoteValue(M69,_xll.ohTrigger(RecalcTrigger,YieldCurve))</f>
        <v>#VALUE!</v>
      </c>
      <c r="Q69" s="188" t="e">
        <f t="shared" si="10"/>
        <v>#VALUE!</v>
      </c>
      <c r="R69" s="117" t="e">
        <f>_xll.qlSwapIndex(,FamilyName,Q69,NDays,Currency,Calendar,"6M","modified following","actual/365 (fixed)",IborIndex,Discounting,,Trigger)</f>
        <v>#VALUE!</v>
      </c>
      <c r="S69" s="189" t="e">
        <f>_xll.qlIndexFixing(R69,$X$19,TRUE,Trigger)</f>
        <v>#VALUE!</v>
      </c>
      <c r="T69" s="190" t="e">
        <f t="shared" si="11"/>
        <v>#VALUE!</v>
      </c>
      <c r="U69" s="191"/>
      <c r="W69" s="173" t="str">
        <f t="shared" si="9"/>
        <v>1D</v>
      </c>
      <c r="X69" s="180">
        <f>_xll.qlCalendarAdvance(LiborCalendar,X68,W69,"f",FALSE)</f>
        <v>42018</v>
      </c>
      <c r="Y69" s="174">
        <f>_xll.qlInterestRateIndexValueDate(IborIndex,X69)</f>
        <v>42020</v>
      </c>
      <c r="Z69" s="175">
        <v>1.5542191174687625E-3</v>
      </c>
      <c r="AA69" s="177">
        <v>1.5919163190284784E-3</v>
      </c>
    </row>
    <row r="70" spans="13:27" x14ac:dyDescent="0.2">
      <c r="M70" s="173" t="e">
        <v>#N/A</v>
      </c>
      <c r="N70" s="173" t="e">
        <f>_xll.qlRateHelperQuoteName(M70)</f>
        <v>#VALUE!</v>
      </c>
      <c r="O70" s="180" t="e">
        <f>_xll.qlRateHelperLatestDate(M70,Trigger)</f>
        <v>#VALUE!</v>
      </c>
      <c r="P70" s="187" t="e">
        <f>_xll.qlRateHelperQuoteValue(M70,_xll.ohTrigger(RecalcTrigger,YieldCurve))</f>
        <v>#VALUE!</v>
      </c>
      <c r="Q70" s="188" t="e">
        <f t="shared" si="10"/>
        <v>#VALUE!</v>
      </c>
      <c r="R70" s="117" t="e">
        <f>_xll.qlSwapIndex(,FamilyName,Q70,NDays,Currency,Calendar,"6M","modified following","actual/365 (fixed)",IborIndex,Discounting,,Trigger)</f>
        <v>#VALUE!</v>
      </c>
      <c r="S70" s="189" t="e">
        <f>_xll.qlIndexFixing(R70,$X$19,TRUE,Trigger)</f>
        <v>#VALUE!</v>
      </c>
      <c r="T70" s="190" t="e">
        <f t="shared" si="11"/>
        <v>#VALUE!</v>
      </c>
      <c r="U70" s="191"/>
      <c r="W70" s="173" t="str">
        <f t="shared" si="9"/>
        <v>1D</v>
      </c>
      <c r="X70" s="180">
        <f>_xll.qlCalendarAdvance(LiborCalendar,X69,W70,"f",FALSE)</f>
        <v>42019</v>
      </c>
      <c r="Y70" s="174">
        <f>_xll.qlInterestRateIndexValueDate(IborIndex,X70)</f>
        <v>42023</v>
      </c>
      <c r="Z70" s="175">
        <v>1.5554166892842124E-3</v>
      </c>
      <c r="AA70" s="177">
        <v>1.5804926628826266E-3</v>
      </c>
    </row>
    <row r="71" spans="13:27" x14ac:dyDescent="0.2">
      <c r="M71" s="173" t="e">
        <v>#N/A</v>
      </c>
      <c r="N71" s="173" t="e">
        <f>_xll.qlRateHelperQuoteName(M71)</f>
        <v>#VALUE!</v>
      </c>
      <c r="O71" s="180" t="e">
        <f>_xll.qlRateHelperLatestDate(M71,Trigger)</f>
        <v>#VALUE!</v>
      </c>
      <c r="P71" s="187" t="e">
        <f>_xll.qlRateHelperQuoteValue(M71,_xll.ohTrigger(RecalcTrigger,YieldCurve))</f>
        <v>#VALUE!</v>
      </c>
      <c r="Q71" s="188" t="e">
        <f t="shared" si="10"/>
        <v>#VALUE!</v>
      </c>
      <c r="R71" s="117" t="e">
        <f>_xll.qlSwapIndex(,FamilyName,Q71,NDays,Currency,Calendar,"6M","modified following","actual/365 (fixed)",IborIndex,Discounting,,Trigger)</f>
        <v>#VALUE!</v>
      </c>
      <c r="S71" s="189" t="e">
        <f>_xll.qlIndexFixing(R71,$X$19,TRUE,Trigger)</f>
        <v>#VALUE!</v>
      </c>
      <c r="T71" s="190" t="e">
        <f t="shared" si="11"/>
        <v>#VALUE!</v>
      </c>
      <c r="U71" s="191"/>
      <c r="W71" s="173" t="str">
        <f t="shared" si="9"/>
        <v>1D</v>
      </c>
      <c r="X71" s="180">
        <f>_xll.qlCalendarAdvance(LiborCalendar,X70,W71,"f",FALSE)</f>
        <v>42020</v>
      </c>
      <c r="Y71" s="174">
        <f>_xll.qlInterestRateIndexValueDate(IborIndex,X71)</f>
        <v>42024</v>
      </c>
      <c r="Z71" s="175">
        <v>1.5553911334388437E-3</v>
      </c>
      <c r="AA71" s="177">
        <v>1.5746446941722336E-3</v>
      </c>
    </row>
    <row r="72" spans="13:27" x14ac:dyDescent="0.2">
      <c r="M72" s="173" t="e">
        <v>#N/A</v>
      </c>
      <c r="N72" s="173" t="e">
        <f>_xll.qlRateHelperQuoteName(M72)</f>
        <v>#VALUE!</v>
      </c>
      <c r="O72" s="180" t="e">
        <f>_xll.qlRateHelperLatestDate(M72,Trigger)</f>
        <v>#VALUE!</v>
      </c>
      <c r="P72" s="187" t="e">
        <f>_xll.qlRateHelperQuoteValue(M72,_xll.ohTrigger(RecalcTrigger,YieldCurve))</f>
        <v>#VALUE!</v>
      </c>
      <c r="Q72" s="188" t="e">
        <f t="shared" si="10"/>
        <v>#VALUE!</v>
      </c>
      <c r="R72" s="117" t="e">
        <f>_xll.qlSwapIndex(,FamilyName,Q72,NDays,Currency,Calendar,"6M","modified following","actual/365 (fixed)",IborIndex,Discounting,,Trigger)</f>
        <v>#VALUE!</v>
      </c>
      <c r="S72" s="189" t="e">
        <f>_xll.qlIndexFixing(R72,$X$19,TRUE,Trigger)</f>
        <v>#VALUE!</v>
      </c>
      <c r="T72" s="190" t="e">
        <f t="shared" si="11"/>
        <v>#VALUE!</v>
      </c>
      <c r="U72" s="191"/>
      <c r="W72" s="173" t="str">
        <f t="shared" si="9"/>
        <v>1D</v>
      </c>
      <c r="X72" s="180">
        <f>_xll.qlCalendarAdvance(LiborCalendar,X71,W72,"f",FALSE)</f>
        <v>42023</v>
      </c>
      <c r="Y72" s="174">
        <f>_xll.qlInterestRateIndexValueDate(IborIndex,X72)</f>
        <v>42025</v>
      </c>
      <c r="Z72" s="175">
        <v>1.5553972239403667E-3</v>
      </c>
      <c r="AA72" s="177">
        <v>1.5687129581332115E-3</v>
      </c>
    </row>
    <row r="73" spans="13:27" x14ac:dyDescent="0.2">
      <c r="M73" s="173" t="e">
        <v>#N/A</v>
      </c>
      <c r="N73" s="173" t="e">
        <f>_xll.qlRateHelperQuoteName(M73)</f>
        <v>#VALUE!</v>
      </c>
      <c r="O73" s="180" t="e">
        <f>_xll.qlRateHelperLatestDate(M73,Trigger)</f>
        <v>#VALUE!</v>
      </c>
      <c r="P73" s="187" t="e">
        <f>_xll.qlRateHelperQuoteValue(M73,_xll.ohTrigger(RecalcTrigger,YieldCurve))</f>
        <v>#VALUE!</v>
      </c>
      <c r="Q73" s="188" t="e">
        <f t="shared" si="10"/>
        <v>#VALUE!</v>
      </c>
      <c r="R73" s="117" t="e">
        <f>_xll.qlSwapIndex(,FamilyName,Q73,NDays,Currency,Calendar,"6M","modified following","actual/365 (fixed)",IborIndex,Discounting,,Trigger)</f>
        <v>#VALUE!</v>
      </c>
      <c r="S73" s="189" t="e">
        <f>_xll.qlIndexFixing(R73,$X$19,TRUE,Trigger)</f>
        <v>#VALUE!</v>
      </c>
      <c r="T73" s="190" t="e">
        <f t="shared" si="11"/>
        <v>#VALUE!</v>
      </c>
      <c r="U73" s="191"/>
      <c r="W73" s="173" t="str">
        <f t="shared" si="9"/>
        <v>1D</v>
      </c>
      <c r="X73" s="180">
        <f>_xll.qlCalendarAdvance(LiborCalendar,X72,W73,"f",FALSE)</f>
        <v>42024</v>
      </c>
      <c r="Y73" s="174">
        <f>_xll.qlInterestRateIndexValueDate(IborIndex,X73)</f>
        <v>42026</v>
      </c>
      <c r="Z73" s="175">
        <v>1.5554830792936906E-3</v>
      </c>
      <c r="AA73" s="177">
        <v>1.5626974547655603E-3</v>
      </c>
    </row>
    <row r="74" spans="13:27" x14ac:dyDescent="0.2">
      <c r="M74" s="173" t="e">
        <v>#N/A</v>
      </c>
      <c r="N74" s="173" t="e">
        <f>_xll.qlRateHelperQuoteName(M74)</f>
        <v>#VALUE!</v>
      </c>
      <c r="O74" s="180" t="e">
        <f>_xll.qlRateHelperLatestDate(M74,Trigger)</f>
        <v>#VALUE!</v>
      </c>
      <c r="P74" s="187" t="e">
        <f>_xll.qlRateHelperQuoteValue(M74,_xll.ohTrigger(RecalcTrigger,YieldCurve))</f>
        <v>#VALUE!</v>
      </c>
      <c r="Q74" s="188" t="e">
        <f t="shared" si="10"/>
        <v>#VALUE!</v>
      </c>
      <c r="R74" s="117" t="e">
        <f>_xll.qlSwapIndex(,FamilyName,Q74,NDays,Currency,Calendar,"6M","modified following","actual/365 (fixed)",IborIndex,Discounting,,Trigger)</f>
        <v>#VALUE!</v>
      </c>
      <c r="S74" s="189" t="e">
        <f>_xll.qlIndexFixing(R74,$X$19,TRUE,Trigger)</f>
        <v>#VALUE!</v>
      </c>
      <c r="T74" s="190" t="e">
        <f t="shared" si="11"/>
        <v>#VALUE!</v>
      </c>
      <c r="U74" s="191"/>
      <c r="W74" s="173" t="str">
        <f t="shared" si="9"/>
        <v>1D</v>
      </c>
      <c r="X74" s="180">
        <f>_xll.qlCalendarAdvance(LiborCalendar,X73,W74,"f",FALSE)</f>
        <v>42025</v>
      </c>
      <c r="Y74" s="174">
        <f>_xll.qlInterestRateIndexValueDate(IborIndex,X74)</f>
        <v>42027</v>
      </c>
      <c r="Z74" s="175">
        <v>1.5555106875262967E-3</v>
      </c>
      <c r="AA74" s="177">
        <v>1.5503938092061484E-3</v>
      </c>
    </row>
    <row r="75" spans="13:27" ht="12" thickBot="1" x14ac:dyDescent="0.25">
      <c r="M75" s="182" t="e">
        <v>#N/A</v>
      </c>
      <c r="N75" s="182" t="e">
        <f>_xll.qlRateHelperQuoteName(M75)</f>
        <v>#VALUE!</v>
      </c>
      <c r="O75" s="183" t="e">
        <f>_xll.qlRateHelperLatestDate(M75,Trigger)</f>
        <v>#VALUE!</v>
      </c>
      <c r="P75" s="193" t="e">
        <f>_xll.qlRateHelperQuoteValue(M75,_xll.ohTrigger(RecalcTrigger,YieldCurve))</f>
        <v>#VALUE!</v>
      </c>
      <c r="Q75" s="188" t="e">
        <f t="shared" si="10"/>
        <v>#VALUE!</v>
      </c>
      <c r="R75" s="194" t="e">
        <f>_xll.qlSwapIndex(,FamilyName,Q75,NDays,Currency,Calendar,"6M","modified following","actual/365 (fixed)",IborIndex,Discounting,,Trigger)</f>
        <v>#VALUE!</v>
      </c>
      <c r="S75" s="195" t="e">
        <f>_xll.qlIndexFixing(R75,$X$19,TRUE,Trigger)</f>
        <v>#VALUE!</v>
      </c>
      <c r="T75" s="196" t="e">
        <f t="shared" si="11"/>
        <v>#VALUE!</v>
      </c>
      <c r="U75" s="191"/>
      <c r="W75" s="173" t="str">
        <f t="shared" si="9"/>
        <v>1D</v>
      </c>
      <c r="X75" s="180">
        <f>_xll.qlCalendarAdvance(LiborCalendar,X74,W75,"f",FALSE)</f>
        <v>42026</v>
      </c>
      <c r="Y75" s="174">
        <f>_xll.qlInterestRateIndexValueDate(IborIndex,X75)</f>
        <v>42030</v>
      </c>
      <c r="Z75" s="175">
        <v>1.5547637226834064E-3</v>
      </c>
      <c r="AA75" s="177">
        <v>1.5377977684949418E-3</v>
      </c>
    </row>
    <row r="76" spans="13:27" x14ac:dyDescent="0.2">
      <c r="W76" s="173" t="str">
        <f t="shared" si="9"/>
        <v>1D</v>
      </c>
      <c r="X76" s="180">
        <f>_xll.qlCalendarAdvance(LiborCalendar,X75,W76,"f",FALSE)</f>
        <v>42027</v>
      </c>
      <c r="Y76" s="174">
        <f>_xll.qlInterestRateIndexValueDate(IborIndex,X76)</f>
        <v>42031</v>
      </c>
      <c r="Z76" s="175">
        <v>1.5549672911442619E-3</v>
      </c>
      <c r="AA76" s="177">
        <v>1.53136342880833E-3</v>
      </c>
    </row>
    <row r="77" spans="13:27" x14ac:dyDescent="0.2">
      <c r="W77" s="173" t="str">
        <f t="shared" si="9"/>
        <v>1D</v>
      </c>
      <c r="X77" s="180">
        <f>_xll.qlCalendarAdvance(LiborCalendar,X76,W77,"f",FALSE)</f>
        <v>42030</v>
      </c>
      <c r="Y77" s="174">
        <f>_xll.qlInterestRateIndexValueDate(IborIndex,X77)</f>
        <v>42032</v>
      </c>
      <c r="Z77" s="175">
        <v>1.5546501452585761E-3</v>
      </c>
      <c r="AA77" s="177">
        <v>1.5248453217120428E-3</v>
      </c>
    </row>
    <row r="78" spans="13:27" x14ac:dyDescent="0.2">
      <c r="W78" s="173" t="str">
        <f t="shared" si="9"/>
        <v>1D</v>
      </c>
      <c r="X78" s="180">
        <f>_xll.qlCalendarAdvance(LiborCalendar,X77,W78,"f",FALSE)</f>
        <v>42031</v>
      </c>
      <c r="Y78" s="174">
        <f>_xll.qlInterestRateIndexValueDate(IborIndex,X78)</f>
        <v>42033</v>
      </c>
      <c r="Z78" s="175">
        <v>1.5542533449037924E-3</v>
      </c>
      <c r="AA78" s="177">
        <v>1.518243447449219E-3</v>
      </c>
    </row>
    <row r="79" spans="13:27" x14ac:dyDescent="0.2">
      <c r="W79" s="173" t="str">
        <f t="shared" si="9"/>
        <v>1D</v>
      </c>
      <c r="X79" s="180">
        <f>_xll.qlCalendarAdvance(LiborCalendar,X78,W79,"f",FALSE)</f>
        <v>42032</v>
      </c>
      <c r="Y79" s="174">
        <f>_xll.qlInterestRateIndexValueDate(IborIndex,X79)</f>
        <v>42034</v>
      </c>
      <c r="Z79" s="175">
        <v>1.5528702965053628E-3</v>
      </c>
      <c r="AA79" s="177">
        <v>1.5047666782634177E-3</v>
      </c>
    </row>
    <row r="80" spans="13:27" x14ac:dyDescent="0.2">
      <c r="W80" s="173" t="str">
        <f t="shared" si="9"/>
        <v>1D</v>
      </c>
      <c r="X80" s="180">
        <f>_xll.qlCalendarAdvance(LiborCalendar,X79,W80,"f",FALSE)</f>
        <v>42033</v>
      </c>
      <c r="Y80" s="174">
        <f>_xll.qlInterestRateIndexValueDate(IborIndex,X80)</f>
        <v>42037</v>
      </c>
      <c r="Z80" s="175">
        <v>1.5505143259148773E-3</v>
      </c>
      <c r="AA80" s="177">
        <v>1.4909982778410491E-3</v>
      </c>
    </row>
    <row r="81" spans="23:27" x14ac:dyDescent="0.2">
      <c r="W81" s="173" t="str">
        <f t="shared" si="9"/>
        <v>1D</v>
      </c>
      <c r="X81" s="180">
        <f>_xll.qlCalendarAdvance(LiborCalendar,X80,W81,"f",FALSE)</f>
        <v>42034</v>
      </c>
      <c r="Y81" s="174">
        <f>_xll.qlInterestRateIndexValueDate(IborIndex,X81)</f>
        <v>42038</v>
      </c>
      <c r="Z81" s="175">
        <v>1.5509496516259522E-3</v>
      </c>
      <c r="AA81" s="177">
        <v>1.4839775673403111E-3</v>
      </c>
    </row>
    <row r="82" spans="23:27" x14ac:dyDescent="0.2">
      <c r="W82" s="173" t="str">
        <f t="shared" si="9"/>
        <v>1D</v>
      </c>
      <c r="X82" s="180">
        <f>_xll.qlCalendarAdvance(LiborCalendar,X81,W82,"f",FALSE)</f>
        <v>42037</v>
      </c>
      <c r="Y82" s="174">
        <f>_xll.qlInterestRateIndexValueDate(IborIndex,X82)</f>
        <v>42039</v>
      </c>
      <c r="Z82" s="175">
        <v>1.5500000000001073E-3</v>
      </c>
      <c r="AA82" s="177">
        <v>1.4769577364348585E-3</v>
      </c>
    </row>
    <row r="83" spans="23:27" x14ac:dyDescent="0.2">
      <c r="W83" s="173" t="str">
        <f t="shared" si="9"/>
        <v>1D</v>
      </c>
      <c r="X83" s="180">
        <f>_xll.qlCalendarAdvance(LiborCalendar,X82,W83,"f",FALSE)</f>
        <v>42038</v>
      </c>
      <c r="Y83" s="174">
        <f>_xll.qlInterestRateIndexValueDate(IborIndex,X83)</f>
        <v>42040</v>
      </c>
      <c r="Z83" s="175">
        <v>1.5489474003171112E-3</v>
      </c>
      <c r="AA83" s="177">
        <v>1.4702773726582574E-3</v>
      </c>
    </row>
    <row r="84" spans="23:27" x14ac:dyDescent="0.2">
      <c r="W84" s="173" t="str">
        <f t="shared" si="9"/>
        <v>1D</v>
      </c>
      <c r="X84" s="180">
        <f>_xll.qlCalendarAdvance(LiborCalendar,X83,W84,"f",FALSE)</f>
        <v>42039</v>
      </c>
      <c r="Y84" s="174">
        <f>_xll.qlInterestRateIndexValueDate(IborIndex,X84)</f>
        <v>42041</v>
      </c>
      <c r="Z84" s="175">
        <v>1.5477966901751318E-3</v>
      </c>
      <c r="AA84" s="177">
        <v>1.4583361846531864E-3</v>
      </c>
    </row>
    <row r="85" spans="23:27" x14ac:dyDescent="0.2">
      <c r="W85" s="173" t="str">
        <f t="shared" ref="W85:W148" si="12">W84</f>
        <v>1D</v>
      </c>
      <c r="X85" s="180">
        <f>_xll.qlCalendarAdvance(LiborCalendar,X84,W85,"f",FALSE)</f>
        <v>42040</v>
      </c>
      <c r="Y85" s="174">
        <f>_xll.qlInterestRateIndexValueDate(IborIndex,X85)</f>
        <v>42044</v>
      </c>
      <c r="Z85" s="175">
        <v>1.5417207470054433E-3</v>
      </c>
      <c r="AA85" s="177">
        <v>1.4477970562964959E-3</v>
      </c>
    </row>
    <row r="86" spans="23:27" x14ac:dyDescent="0.2">
      <c r="W86" s="173" t="str">
        <f t="shared" si="12"/>
        <v>1D</v>
      </c>
      <c r="X86" s="180">
        <f>_xll.qlCalendarAdvance(LiborCalendar,X85,W86,"f",FALSE)</f>
        <v>42041</v>
      </c>
      <c r="Y86" s="174">
        <f>_xll.qlInterestRateIndexValueDate(IborIndex,X86)</f>
        <v>42045</v>
      </c>
      <c r="Z86" s="175">
        <v>1.5423431182972859E-3</v>
      </c>
      <c r="AA86" s="177">
        <v>1.44323726181117E-3</v>
      </c>
    </row>
    <row r="87" spans="23:27" x14ac:dyDescent="0.2">
      <c r="W87" s="173" t="str">
        <f t="shared" si="12"/>
        <v>1D</v>
      </c>
      <c r="X87" s="180">
        <f>_xll.qlCalendarAdvance(LiborCalendar,X86,W87,"f",FALSE)</f>
        <v>42044</v>
      </c>
      <c r="Y87" s="174">
        <f>_xll.qlInterestRateIndexValueDate(IborIndex,X87)</f>
        <v>42047</v>
      </c>
      <c r="Z87" s="175">
        <v>1.5391971546746387E-3</v>
      </c>
      <c r="AA87" s="177">
        <v>1.4353900143504461E-3</v>
      </c>
    </row>
    <row r="88" spans="23:27" x14ac:dyDescent="0.2">
      <c r="W88" s="173" t="str">
        <f t="shared" si="12"/>
        <v>1D</v>
      </c>
      <c r="X88" s="180">
        <f>_xll.qlCalendarAdvance(LiborCalendar,X87,W88,"f",FALSE)</f>
        <v>42045</v>
      </c>
      <c r="Y88" s="174">
        <f>_xll.qlInterestRateIndexValueDate(IborIndex,X88)</f>
        <v>42047</v>
      </c>
      <c r="Z88" s="175">
        <v>1.5391971546746387E-3</v>
      </c>
      <c r="AA88" s="177">
        <v>1.4353900143504461E-3</v>
      </c>
    </row>
    <row r="89" spans="23:27" x14ac:dyDescent="0.2">
      <c r="W89" s="173" t="str">
        <f t="shared" si="12"/>
        <v>1D</v>
      </c>
      <c r="X89" s="180">
        <f>_xll.qlCalendarAdvance(LiborCalendar,X88,W89,"f",FALSE)</f>
        <v>42046</v>
      </c>
      <c r="Y89" s="174">
        <f>_xll.qlInterestRateIndexValueDate(IborIndex,X89)</f>
        <v>42048</v>
      </c>
      <c r="Z89" s="175">
        <v>1.5375421936383599E-3</v>
      </c>
      <c r="AA89" s="177">
        <v>1.4293861909135213E-3</v>
      </c>
    </row>
    <row r="90" spans="23:27" x14ac:dyDescent="0.2">
      <c r="W90" s="173" t="str">
        <f t="shared" si="12"/>
        <v>1D</v>
      </c>
      <c r="X90" s="180">
        <f>_xll.qlCalendarAdvance(LiborCalendar,X89,W90,"f",FALSE)</f>
        <v>42047</v>
      </c>
      <c r="Y90" s="174">
        <f>_xll.qlInterestRateIndexValueDate(IborIndex,X90)</f>
        <v>42051</v>
      </c>
      <c r="Z90" s="175">
        <v>1.5298456179464509E-3</v>
      </c>
      <c r="AA90" s="177">
        <v>1.4247848847392941E-3</v>
      </c>
    </row>
    <row r="91" spans="23:27" x14ac:dyDescent="0.2">
      <c r="W91" s="173" t="str">
        <f t="shared" si="12"/>
        <v>1D</v>
      </c>
      <c r="X91" s="180">
        <f>_xll.qlCalendarAdvance(LiborCalendar,X90,W91,"f",FALSE)</f>
        <v>42048</v>
      </c>
      <c r="Y91" s="174">
        <f>_xll.qlInterestRateIndexValueDate(IborIndex,X91)</f>
        <v>42052</v>
      </c>
      <c r="Z91" s="175">
        <v>1.5305279215903087E-3</v>
      </c>
      <c r="AA91" s="177">
        <v>1.4231938867592664E-3</v>
      </c>
    </row>
    <row r="92" spans="23:27" x14ac:dyDescent="0.2">
      <c r="W92" s="173" t="str">
        <f t="shared" si="12"/>
        <v>1D</v>
      </c>
      <c r="X92" s="180">
        <f>_xll.qlCalendarAdvance(LiborCalendar,X91,W92,"f",FALSE)</f>
        <v>42051</v>
      </c>
      <c r="Y92" s="174">
        <f>_xll.qlInterestRateIndexValueDate(IborIndex,X92)</f>
        <v>42053</v>
      </c>
      <c r="Z92" s="175">
        <v>1.5287083393154001E-3</v>
      </c>
      <c r="AA92" s="177">
        <v>1.4220270025078197E-3</v>
      </c>
    </row>
    <row r="93" spans="23:27" x14ac:dyDescent="0.2">
      <c r="W93" s="173" t="str">
        <f t="shared" si="12"/>
        <v>1D</v>
      </c>
      <c r="X93" s="180">
        <f>_xll.qlCalendarAdvance(LiborCalendar,X92,W93,"f",FALSE)</f>
        <v>42052</v>
      </c>
      <c r="Y93" s="174">
        <f>_xll.qlInterestRateIndexValueDate(IborIndex,X93)</f>
        <v>42054</v>
      </c>
      <c r="Z93" s="175">
        <v>1.5268753883438445E-3</v>
      </c>
      <c r="AA93" s="177">
        <v>1.4212842319849539E-3</v>
      </c>
    </row>
    <row r="94" spans="23:27" x14ac:dyDescent="0.2">
      <c r="W94" s="173" t="str">
        <f t="shared" si="12"/>
        <v>1D</v>
      </c>
      <c r="X94" s="180">
        <f>_xll.qlCalendarAdvance(LiborCalendar,X93,W94,"f",FALSE)</f>
        <v>42053</v>
      </c>
      <c r="Y94" s="174">
        <f>_xll.qlInterestRateIndexValueDate(IborIndex,X94)</f>
        <v>42055</v>
      </c>
      <c r="Z94" s="175">
        <v>1.5250355871387594E-3</v>
      </c>
      <c r="AA94" s="177">
        <v>1.4212179373159404E-3</v>
      </c>
    </row>
    <row r="95" spans="23:27" x14ac:dyDescent="0.2">
      <c r="W95" s="173" t="str">
        <f t="shared" si="12"/>
        <v>1D</v>
      </c>
      <c r="X95" s="180">
        <f>_xll.qlCalendarAdvance(LiborCalendar,X94,W95,"f",FALSE)</f>
        <v>42054</v>
      </c>
      <c r="Y95" s="174">
        <f>_xll.qlInterestRateIndexValueDate(IborIndex,X95)</f>
        <v>42058</v>
      </c>
      <c r="Z95" s="175">
        <v>1.5171140706798985E-3</v>
      </c>
      <c r="AA95" s="177">
        <v>1.4225542873413932E-3</v>
      </c>
    </row>
    <row r="96" spans="23:27" x14ac:dyDescent="0.2">
      <c r="W96" s="173" t="str">
        <f t="shared" si="12"/>
        <v>1D</v>
      </c>
      <c r="X96" s="180">
        <f>_xll.qlCalendarAdvance(LiborCalendar,X95,W96,"f",FALSE)</f>
        <v>42055</v>
      </c>
      <c r="Y96" s="174">
        <f>_xll.qlInterestRateIndexValueDate(IborIndex,X96)</f>
        <v>42059</v>
      </c>
      <c r="Z96" s="175">
        <v>1.5177382484076866E-3</v>
      </c>
      <c r="AA96" s="177">
        <v>1.4239320856235249E-3</v>
      </c>
    </row>
    <row r="97" spans="23:27" x14ac:dyDescent="0.2">
      <c r="W97" s="173" t="str">
        <f t="shared" si="12"/>
        <v>1D</v>
      </c>
      <c r="X97" s="180">
        <f>_xll.qlCalendarAdvance(LiborCalendar,X96,W97,"f",FALSE)</f>
        <v>42058</v>
      </c>
      <c r="Y97" s="174">
        <f>_xll.qlInterestRateIndexValueDate(IborIndex,X97)</f>
        <v>42060</v>
      </c>
      <c r="Z97" s="175">
        <v>1.5159619721452557E-3</v>
      </c>
      <c r="AA97" s="177">
        <v>1.4257339975531913E-3</v>
      </c>
    </row>
    <row r="98" spans="23:27" x14ac:dyDescent="0.2">
      <c r="W98" s="173" t="str">
        <f t="shared" si="12"/>
        <v>1D</v>
      </c>
      <c r="X98" s="180">
        <f>_xll.qlCalendarAdvance(LiborCalendar,X97,W98,"f",FALSE)</f>
        <v>42059</v>
      </c>
      <c r="Y98" s="174">
        <f>_xll.qlInterestRateIndexValueDate(IborIndex,X98)</f>
        <v>42061</v>
      </c>
      <c r="Z98" s="175">
        <v>1.5142179559293925E-3</v>
      </c>
      <c r="AA98" s="177">
        <v>1.4279600232924849E-3</v>
      </c>
    </row>
    <row r="99" spans="23:27" x14ac:dyDescent="0.2">
      <c r="W99" s="173" t="str">
        <f t="shared" si="12"/>
        <v>1D</v>
      </c>
      <c r="X99" s="180">
        <f>_xll.qlCalendarAdvance(LiborCalendar,X98,W99,"f",FALSE)</f>
        <v>42060</v>
      </c>
      <c r="Y99" s="174">
        <f>_xll.qlInterestRateIndexValueDate(IborIndex,X99)</f>
        <v>42062</v>
      </c>
      <c r="Z99" s="175">
        <v>1.5103100945360812E-3</v>
      </c>
      <c r="AA99" s="177">
        <v>1.4338314197000677E-3</v>
      </c>
    </row>
    <row r="100" spans="23:27" x14ac:dyDescent="0.2">
      <c r="W100" s="173" t="str">
        <f t="shared" si="12"/>
        <v>1D</v>
      </c>
      <c r="X100" s="180">
        <f>_xll.qlCalendarAdvance(LiborCalendar,X99,W100,"f",FALSE)</f>
        <v>42061</v>
      </c>
      <c r="Y100" s="174">
        <f>_xll.qlInterestRateIndexValueDate(IborIndex,X100)</f>
        <v>42065</v>
      </c>
      <c r="Z100" s="175">
        <v>1.50221196305473E-3</v>
      </c>
      <c r="AA100" s="177">
        <v>1.4411052638596544E-3</v>
      </c>
    </row>
    <row r="101" spans="23:27" x14ac:dyDescent="0.2">
      <c r="W101" s="173" t="str">
        <f t="shared" si="12"/>
        <v>1D</v>
      </c>
      <c r="X101" s="180">
        <f>_xll.qlCalendarAdvance(LiborCalendar,X100,W101,"f",FALSE)</f>
        <v>42062</v>
      </c>
      <c r="Y101" s="174">
        <f>_xll.qlInterestRateIndexValueDate(IborIndex,X101)</f>
        <v>42066</v>
      </c>
      <c r="Z101" s="175">
        <v>1.501057847499432E-3</v>
      </c>
      <c r="AA101" s="177">
        <v>1.4454518584849918E-3</v>
      </c>
    </row>
    <row r="102" spans="23:27" x14ac:dyDescent="0.2">
      <c r="W102" s="173" t="str">
        <f t="shared" si="12"/>
        <v>1D</v>
      </c>
      <c r="X102" s="180">
        <f>_xll.qlCalendarAdvance(LiborCalendar,X101,W102,"f",FALSE)</f>
        <v>42065</v>
      </c>
      <c r="Y102" s="174">
        <f>_xll.qlInterestRateIndexValueDate(IborIndex,X102)</f>
        <v>42067</v>
      </c>
      <c r="Z102" s="175">
        <v>1.499999999999835E-3</v>
      </c>
      <c r="AA102" s="177">
        <v>1.450124565189892E-3</v>
      </c>
    </row>
    <row r="103" spans="23:27" x14ac:dyDescent="0.2">
      <c r="W103" s="173" t="str">
        <f t="shared" si="12"/>
        <v>1D</v>
      </c>
      <c r="X103" s="180">
        <f>_xll.qlCalendarAdvance(LiborCalendar,X102,W103,"f",FALSE)</f>
        <v>42066</v>
      </c>
      <c r="Y103" s="174">
        <f>_xll.qlInterestRateIndexValueDate(IborIndex,X103)</f>
        <v>42068</v>
      </c>
      <c r="Z103" s="175">
        <v>1.4967843870592897E-3</v>
      </c>
      <c r="AA103" s="177">
        <v>1.4547313772161896E-3</v>
      </c>
    </row>
    <row r="104" spans="23:27" x14ac:dyDescent="0.2">
      <c r="W104" s="173" t="str">
        <f t="shared" si="12"/>
        <v>1D</v>
      </c>
      <c r="X104" s="180">
        <f>_xll.qlCalendarAdvance(LiborCalendar,X103,W104,"f",FALSE)</f>
        <v>42067</v>
      </c>
      <c r="Y104" s="174">
        <f>_xll.qlInterestRateIndexValueDate(IborIndex,X104)</f>
        <v>42069</v>
      </c>
      <c r="Z104" s="175">
        <v>1.4971134517672337E-3</v>
      </c>
      <c r="AA104" s="177">
        <v>1.4634045469819059E-3</v>
      </c>
    </row>
    <row r="105" spans="23:27" x14ac:dyDescent="0.2">
      <c r="W105" s="173" t="str">
        <f t="shared" si="12"/>
        <v>1D</v>
      </c>
      <c r="X105" s="180">
        <f>_xll.qlCalendarAdvance(LiborCalendar,X104,W105,"f",FALSE)</f>
        <v>42068</v>
      </c>
      <c r="Y105" s="174">
        <f>_xll.qlInterestRateIndexValueDate(IborIndex,X105)</f>
        <v>42072</v>
      </c>
      <c r="Z105" s="175">
        <v>1.4961667263304807E-3</v>
      </c>
      <c r="AA105" s="177">
        <v>1.4715196608294789E-3</v>
      </c>
    </row>
    <row r="106" spans="23:27" x14ac:dyDescent="0.2">
      <c r="W106" s="173" t="str">
        <f t="shared" si="12"/>
        <v>1D</v>
      </c>
      <c r="X106" s="180">
        <f>_xll.qlCalendarAdvance(LiborCalendar,X105,W106,"f",FALSE)</f>
        <v>42069</v>
      </c>
      <c r="Y106" s="174">
        <f>_xll.qlInterestRateIndexValueDate(IborIndex,X106)</f>
        <v>42073</v>
      </c>
      <c r="Z106" s="175">
        <v>1.4956664561356456E-3</v>
      </c>
      <c r="AA106" s="177">
        <v>1.4753069905693028E-3</v>
      </c>
    </row>
    <row r="107" spans="23:27" x14ac:dyDescent="0.2">
      <c r="W107" s="173" t="str">
        <f t="shared" si="12"/>
        <v>1D</v>
      </c>
      <c r="X107" s="180">
        <f>_xll.qlCalendarAdvance(LiborCalendar,X106,W107,"f",FALSE)</f>
        <v>42072</v>
      </c>
      <c r="Y107" s="174">
        <f>_xll.qlInterestRateIndexValueDate(IborIndex,X107)</f>
        <v>42074</v>
      </c>
      <c r="Z107" s="175">
        <v>1.495246144855083E-3</v>
      </c>
      <c r="AA107" s="177">
        <v>1.4789304238194134E-3</v>
      </c>
    </row>
    <row r="108" spans="23:27" x14ac:dyDescent="0.2">
      <c r="W108" s="173" t="str">
        <f t="shared" si="12"/>
        <v>1D</v>
      </c>
      <c r="X108" s="180">
        <f>_xll.qlCalendarAdvance(LiborCalendar,X107,W108,"f",FALSE)</f>
        <v>42073</v>
      </c>
      <c r="Y108" s="174">
        <f>_xll.qlInterestRateIndexValueDate(IborIndex,X108)</f>
        <v>42075</v>
      </c>
      <c r="Z108" s="175">
        <v>1.494108842641873E-3</v>
      </c>
      <c r="AA108" s="177">
        <v>1.482389960660857E-3</v>
      </c>
    </row>
    <row r="109" spans="23:27" x14ac:dyDescent="0.2">
      <c r="W109" s="173" t="str">
        <f t="shared" si="12"/>
        <v>1D</v>
      </c>
      <c r="X109" s="180">
        <f>_xll.qlCalendarAdvance(LiborCalendar,X108,W109,"f",FALSE)</f>
        <v>42074</v>
      </c>
      <c r="Y109" s="174">
        <f>_xll.qlInterestRateIndexValueDate(IborIndex,X109)</f>
        <v>42076</v>
      </c>
      <c r="Z109" s="175">
        <v>1.4942758851937397E-3</v>
      </c>
      <c r="AA109" s="177">
        <v>1.4887687850769402E-3</v>
      </c>
    </row>
    <row r="110" spans="23:27" x14ac:dyDescent="0.2">
      <c r="W110" s="173" t="str">
        <f t="shared" si="12"/>
        <v>1D</v>
      </c>
      <c r="X110" s="180">
        <f>_xll.qlCalendarAdvance(LiborCalendar,X109,W110,"f",FALSE)</f>
        <v>42075</v>
      </c>
      <c r="Y110" s="174">
        <f>_xll.qlInterestRateIndexValueDate(IborIndex,X110)</f>
        <v>42079</v>
      </c>
      <c r="Z110" s="175">
        <v>1.4942114345928295E-3</v>
      </c>
      <c r="AA110" s="177">
        <v>1.4945891431294989E-3</v>
      </c>
    </row>
    <row r="111" spans="23:27" x14ac:dyDescent="0.2">
      <c r="W111" s="173" t="str">
        <f t="shared" si="12"/>
        <v>1D</v>
      </c>
      <c r="X111" s="180">
        <f>_xll.qlCalendarAdvance(LiborCalendar,X110,W111,"f",FALSE)</f>
        <v>42076</v>
      </c>
      <c r="Y111" s="174">
        <f>_xll.qlInterestRateIndexValueDate(IborIndex,X111)</f>
        <v>42080</v>
      </c>
      <c r="Z111" s="175">
        <v>1.4941913543883736E-3</v>
      </c>
      <c r="AA111" s="177">
        <v>1.4972291975223762E-3</v>
      </c>
    </row>
    <row r="112" spans="23:27" x14ac:dyDescent="0.2">
      <c r="W112" s="173" t="str">
        <f t="shared" si="12"/>
        <v>1D</v>
      </c>
      <c r="X112" s="180">
        <f>_xll.qlCalendarAdvance(LiborCalendar,X111,W112,"f",FALSE)</f>
        <v>42079</v>
      </c>
      <c r="Y112" s="174">
        <f>_xll.qlInterestRateIndexValueDate(IborIndex,X112)</f>
        <v>42081</v>
      </c>
      <c r="Z112" s="175">
        <v>1.4942247257079943E-3</v>
      </c>
      <c r="AA112" s="177">
        <v>1.4997053553444939E-3</v>
      </c>
    </row>
    <row r="113" spans="23:27" x14ac:dyDescent="0.2">
      <c r="W113" s="173" t="str">
        <f t="shared" si="12"/>
        <v>1D</v>
      </c>
      <c r="X113" s="180">
        <f>_xll.qlCalendarAdvance(LiborCalendar,X112,W113,"f",FALSE)</f>
        <v>42080</v>
      </c>
      <c r="Y113" s="174">
        <f>_xll.qlInterestRateIndexValueDate(IborIndex,X113)</f>
        <v>42082</v>
      </c>
      <c r="Z113" s="175">
        <v>1.4951017464646214E-3</v>
      </c>
      <c r="AA113" s="177">
        <v>1.5020176167579447E-3</v>
      </c>
    </row>
    <row r="114" spans="23:27" x14ac:dyDescent="0.2">
      <c r="W114" s="173" t="str">
        <f t="shared" si="12"/>
        <v>1D</v>
      </c>
      <c r="X114" s="180">
        <f>_xll.qlCalendarAdvance(LiborCalendar,X113,W114,"f",FALSE)</f>
        <v>42081</v>
      </c>
      <c r="Y114" s="174">
        <f>_xll.qlInterestRateIndexValueDate(IborIndex,X114)</f>
        <v>42083</v>
      </c>
      <c r="Z114" s="175">
        <v>1.4951682517228241E-3</v>
      </c>
      <c r="AA114" s="177">
        <v>1.5061020324732186E-3</v>
      </c>
    </row>
    <row r="115" spans="23:27" x14ac:dyDescent="0.2">
      <c r="W115" s="173" t="str">
        <f t="shared" si="12"/>
        <v>1D</v>
      </c>
      <c r="X115" s="180">
        <f>_xll.qlCalendarAdvance(LiborCalendar,X114,W115,"f",FALSE)</f>
        <v>42082</v>
      </c>
      <c r="Y115" s="174">
        <f>_xll.qlInterestRateIndexValueDate(IborIndex,X115)</f>
        <v>42086</v>
      </c>
      <c r="Z115" s="175">
        <v>1.4953070023106187E-3</v>
      </c>
      <c r="AA115" s="177">
        <v>1.5096276971904299E-3</v>
      </c>
    </row>
    <row r="116" spans="23:27" x14ac:dyDescent="0.2">
      <c r="W116" s="173" t="str">
        <f t="shared" si="12"/>
        <v>1D</v>
      </c>
      <c r="X116" s="180">
        <f>_xll.qlCalendarAdvance(LiborCalendar,X115,W116,"f",FALSE)</f>
        <v>42083</v>
      </c>
      <c r="Y116" s="174">
        <f>_xll.qlInterestRateIndexValueDate(IborIndex,X116)</f>
        <v>42087</v>
      </c>
      <c r="Z116" s="175">
        <v>1.4953353781788565E-3</v>
      </c>
      <c r="AA116" s="177">
        <v>1.511120476074268E-3</v>
      </c>
    </row>
    <row r="117" spans="23:27" x14ac:dyDescent="0.2">
      <c r="W117" s="173" t="str">
        <f t="shared" si="12"/>
        <v>1D</v>
      </c>
      <c r="X117" s="180">
        <f>_xll.qlCalendarAdvance(LiborCalendar,X116,W117,"f",FALSE)</f>
        <v>42086</v>
      </c>
      <c r="Y117" s="174">
        <f>_xll.qlInterestRateIndexValueDate(IborIndex,X117)</f>
        <v>42088</v>
      </c>
      <c r="Z117" s="175">
        <v>1.4956368814755335E-3</v>
      </c>
      <c r="AA117" s="177">
        <v>1.5124493583873466E-3</v>
      </c>
    </row>
    <row r="118" spans="23:27" x14ac:dyDescent="0.2">
      <c r="W118" s="173" t="str">
        <f t="shared" si="12"/>
        <v>1D</v>
      </c>
      <c r="X118" s="180">
        <f>_xll.qlCalendarAdvance(LiborCalendar,X117,W118,"f",FALSE)</f>
        <v>42087</v>
      </c>
      <c r="Y118" s="174">
        <f>_xll.qlInterestRateIndexValueDate(IborIndex,X118)</f>
        <v>42089</v>
      </c>
      <c r="Z118" s="175">
        <v>1.4966421135153758E-3</v>
      </c>
      <c r="AA118" s="177">
        <v>1.5136143442107119E-3</v>
      </c>
    </row>
    <row r="119" spans="23:27" x14ac:dyDescent="0.2">
      <c r="W119" s="173" t="str">
        <f t="shared" si="12"/>
        <v>1D</v>
      </c>
      <c r="X119" s="180">
        <f>_xll.qlCalendarAdvance(LiborCalendar,X118,W119,"f",FALSE)</f>
        <v>42088</v>
      </c>
      <c r="Y119" s="174">
        <f>_xll.qlInterestRateIndexValueDate(IborIndex,X119)</f>
        <v>42090</v>
      </c>
      <c r="Z119" s="175">
        <v>1.4966562433317979E-3</v>
      </c>
      <c r="AA119" s="177">
        <v>1.515404285685751E-3</v>
      </c>
    </row>
    <row r="120" spans="23:27" x14ac:dyDescent="0.2">
      <c r="W120" s="173" t="str">
        <f t="shared" si="12"/>
        <v>1D</v>
      </c>
      <c r="X120" s="180">
        <f>_xll.qlCalendarAdvance(LiborCalendar,X119,W120,"f",FALSE)</f>
        <v>42089</v>
      </c>
      <c r="Y120" s="174">
        <f>_xll.qlInterestRateIndexValueDate(IborIndex,X120)</f>
        <v>42093</v>
      </c>
      <c r="Z120" s="175">
        <v>1.4974160275064684E-3</v>
      </c>
      <c r="AA120" s="177">
        <v>1.5166353222018092E-3</v>
      </c>
    </row>
    <row r="121" spans="23:27" x14ac:dyDescent="0.2">
      <c r="W121" s="173" t="str">
        <f t="shared" si="12"/>
        <v>1D</v>
      </c>
      <c r="X121" s="180">
        <f>_xll.qlCalendarAdvance(LiborCalendar,X120,W121,"f",FALSE)</f>
        <v>42090</v>
      </c>
      <c r="Y121" s="174">
        <f>_xll.qlInterestRateIndexValueDate(IborIndex,X121)</f>
        <v>42094</v>
      </c>
      <c r="Z121" s="175">
        <v>1.4974183111233302E-3</v>
      </c>
      <c r="AA121" s="177">
        <v>1.5169808254145156E-3</v>
      </c>
    </row>
    <row r="122" spans="23:27" x14ac:dyDescent="0.2">
      <c r="W122" s="173" t="str">
        <f t="shared" si="12"/>
        <v>1D</v>
      </c>
      <c r="X122" s="180">
        <f>_xll.qlCalendarAdvance(LiborCalendar,X121,W122,"f",FALSE)</f>
        <v>42093</v>
      </c>
      <c r="Y122" s="174">
        <f>_xll.qlInterestRateIndexValueDate(IborIndex,X122)</f>
        <v>42095</v>
      </c>
      <c r="Z122" s="175">
        <v>1.4978021903284751E-3</v>
      </c>
      <c r="AA122" s="177">
        <v>1.5171624320564625E-3</v>
      </c>
    </row>
    <row r="123" spans="23:27" x14ac:dyDescent="0.2">
      <c r="W123" s="173" t="str">
        <f t="shared" si="12"/>
        <v>1D</v>
      </c>
      <c r="X123" s="180">
        <f>_xll.qlCalendarAdvance(LiborCalendar,X122,W123,"f",FALSE)</f>
        <v>42094</v>
      </c>
      <c r="Y123" s="174">
        <f>_xll.qlInterestRateIndexValueDate(IborIndex,X123)</f>
        <v>42096</v>
      </c>
      <c r="Z123" s="175">
        <v>1.498187393086472E-3</v>
      </c>
      <c r="AA123" s="177">
        <v>1.5165725789592077E-3</v>
      </c>
    </row>
    <row r="124" spans="23:27" x14ac:dyDescent="0.2">
      <c r="W124" s="173" t="str">
        <f t="shared" si="12"/>
        <v>1D</v>
      </c>
      <c r="X124" s="180">
        <f>_xll.qlCalendarAdvance(LiborCalendar,X123,W124,"f",FALSE)</f>
        <v>42095</v>
      </c>
      <c r="Y124" s="174">
        <f>_xll.qlInterestRateIndexValueDate(IborIndex,X124)</f>
        <v>42101</v>
      </c>
      <c r="Z124" s="175">
        <v>1.4999999999999987E-3</v>
      </c>
      <c r="AA124" s="177">
        <v>1.5148614282955997E-3</v>
      </c>
    </row>
    <row r="125" spans="23:27" x14ac:dyDescent="0.2">
      <c r="W125" s="173" t="str">
        <f t="shared" si="12"/>
        <v>1D</v>
      </c>
      <c r="X125" s="180">
        <f>_xll.qlCalendarAdvance(LiborCalendar,X124,W125,"f",FALSE)</f>
        <v>42096</v>
      </c>
      <c r="Y125" s="174">
        <f>_xll.qlInterestRateIndexValueDate(IborIndex,X125)</f>
        <v>42102</v>
      </c>
      <c r="Z125" s="175">
        <v>1.5003138321222555E-3</v>
      </c>
      <c r="AA125" s="177">
        <v>1.5142028585368728E-3</v>
      </c>
    </row>
    <row r="126" spans="23:27" x14ac:dyDescent="0.2">
      <c r="W126" s="173" t="str">
        <f t="shared" si="12"/>
        <v>1D</v>
      </c>
      <c r="X126" s="180">
        <f>_xll.qlCalendarAdvance(LiborCalendar,X125,W126,"f",FALSE)</f>
        <v>42101</v>
      </c>
      <c r="Y126" s="174">
        <f>_xll.qlInterestRateIndexValueDate(IborIndex,X126)</f>
        <v>42103</v>
      </c>
      <c r="Z126" s="175">
        <v>1.5006062008460219E-3</v>
      </c>
      <c r="AA126" s="177">
        <v>1.5136874916399368E-3</v>
      </c>
    </row>
    <row r="127" spans="23:27" x14ac:dyDescent="0.2">
      <c r="W127" s="173" t="str">
        <f t="shared" si="12"/>
        <v>1D</v>
      </c>
      <c r="X127" s="180">
        <f>_xll.qlCalendarAdvance(LiborCalendar,X126,W127,"f",FALSE)</f>
        <v>42102</v>
      </c>
      <c r="Y127" s="174">
        <f>_xll.qlInterestRateIndexValueDate(IborIndex,X127)</f>
        <v>42104</v>
      </c>
      <c r="Z127" s="175">
        <v>1.5014329916388405E-3</v>
      </c>
      <c r="AA127" s="177">
        <v>1.5131403730794803E-3</v>
      </c>
    </row>
    <row r="128" spans="23:27" x14ac:dyDescent="0.2">
      <c r="W128" s="173" t="str">
        <f t="shared" si="12"/>
        <v>1D</v>
      </c>
      <c r="X128" s="180">
        <f>_xll.qlCalendarAdvance(LiborCalendar,X127,W128,"f",FALSE)</f>
        <v>42103</v>
      </c>
      <c r="Y128" s="174">
        <f>_xll.qlInterestRateIndexValueDate(IborIndex,X128)</f>
        <v>42107</v>
      </c>
      <c r="Z128" s="175">
        <v>1.5015621952330629E-3</v>
      </c>
      <c r="AA128" s="177">
        <v>1.5130580514544079E-3</v>
      </c>
    </row>
    <row r="129" spans="23:27" x14ac:dyDescent="0.2">
      <c r="W129" s="173" t="str">
        <f t="shared" si="12"/>
        <v>1D</v>
      </c>
      <c r="X129" s="180">
        <f>_xll.qlCalendarAdvance(LiborCalendar,X128,W129,"f",FALSE)</f>
        <v>42104</v>
      </c>
      <c r="Y129" s="174">
        <f>_xll.qlInterestRateIndexValueDate(IborIndex,X129)</f>
        <v>42108</v>
      </c>
      <c r="Z129" s="175">
        <v>1.5017481120786975E-3</v>
      </c>
      <c r="AA129" s="177">
        <v>1.5132586982991025E-3</v>
      </c>
    </row>
    <row r="130" spans="23:27" x14ac:dyDescent="0.2">
      <c r="W130" s="173" t="str">
        <f t="shared" si="12"/>
        <v>1D</v>
      </c>
      <c r="X130" s="180">
        <f>_xll.qlCalendarAdvance(LiborCalendar,X129,W130,"f",FALSE)</f>
        <v>42107</v>
      </c>
      <c r="Y130" s="174">
        <f>_xll.qlInterestRateIndexValueDate(IborIndex,X130)</f>
        <v>42109</v>
      </c>
      <c r="Z130" s="175">
        <v>1.5019129115768984E-3</v>
      </c>
      <c r="AA130" s="177">
        <v>1.5136025479245419E-3</v>
      </c>
    </row>
    <row r="131" spans="23:27" x14ac:dyDescent="0.2">
      <c r="W131" s="173" t="str">
        <f t="shared" si="12"/>
        <v>1D</v>
      </c>
      <c r="X131" s="180">
        <f>_xll.qlCalendarAdvance(LiborCalendar,X130,W131,"f",FALSE)</f>
        <v>42108</v>
      </c>
      <c r="Y131" s="174">
        <f>_xll.qlInterestRateIndexValueDate(IborIndex,X131)</f>
        <v>42110</v>
      </c>
      <c r="Z131" s="175">
        <v>1.5020566514048076E-3</v>
      </c>
      <c r="AA131" s="177">
        <v>1.5140896002496795E-3</v>
      </c>
    </row>
    <row r="132" spans="23:27" x14ac:dyDescent="0.2">
      <c r="W132" s="173" t="str">
        <f t="shared" si="12"/>
        <v>1D</v>
      </c>
      <c r="X132" s="180">
        <f>_xll.qlCalendarAdvance(LiborCalendar,X131,W132,"f",FALSE)</f>
        <v>42109</v>
      </c>
      <c r="Y132" s="174">
        <f>_xll.qlInterestRateIndexValueDate(IborIndex,X132)</f>
        <v>42111</v>
      </c>
      <c r="Z132" s="175">
        <v>1.502287862103548E-3</v>
      </c>
      <c r="AA132" s="177">
        <v>1.5155473403679252E-3</v>
      </c>
    </row>
    <row r="133" spans="23:27" x14ac:dyDescent="0.2">
      <c r="W133" s="173" t="str">
        <f t="shared" si="12"/>
        <v>1D</v>
      </c>
      <c r="X133" s="180">
        <f>_xll.qlCalendarAdvance(LiborCalendar,X132,W133,"f",FALSE)</f>
        <v>42110</v>
      </c>
      <c r="Y133" s="174">
        <f>_xll.qlInterestRateIndexValueDate(IborIndex,X133)</f>
        <v>42114</v>
      </c>
      <c r="Z133" s="175">
        <v>1.5024221675948002E-3</v>
      </c>
      <c r="AA133" s="177">
        <v>1.517469837438723E-3</v>
      </c>
    </row>
    <row r="134" spans="23:27" x14ac:dyDescent="0.2">
      <c r="W134" s="173" t="str">
        <f t="shared" si="12"/>
        <v>1D</v>
      </c>
      <c r="X134" s="180">
        <f>_xll.qlCalendarAdvance(LiborCalendar,X133,W134,"f",FALSE)</f>
        <v>42111</v>
      </c>
      <c r="Y134" s="174">
        <f>_xll.qlInterestRateIndexValueDate(IborIndex,X134)</f>
        <v>42115</v>
      </c>
      <c r="Z134" s="175">
        <v>1.5024614742620108E-3</v>
      </c>
      <c r="AA134" s="177">
        <v>1.5186729035865376E-3</v>
      </c>
    </row>
    <row r="135" spans="23:27" x14ac:dyDescent="0.2">
      <c r="W135" s="173" t="str">
        <f t="shared" si="12"/>
        <v>1D</v>
      </c>
      <c r="X135" s="180">
        <f>_xll.qlCalendarAdvance(LiborCalendar,X134,W135,"f",FALSE)</f>
        <v>42114</v>
      </c>
      <c r="Y135" s="174">
        <f>_xll.qlInterestRateIndexValueDate(IborIndex,X135)</f>
        <v>42116</v>
      </c>
      <c r="Z135" s="175">
        <v>1.5024800673392527E-3</v>
      </c>
      <c r="AA135" s="177">
        <v>1.5200191725961432E-3</v>
      </c>
    </row>
    <row r="136" spans="23:27" x14ac:dyDescent="0.2">
      <c r="W136" s="173" t="str">
        <f t="shared" si="12"/>
        <v>1D</v>
      </c>
      <c r="X136" s="180">
        <f>_xll.qlCalendarAdvance(LiborCalendar,X135,W136,"f",FALSE)</f>
        <v>42115</v>
      </c>
      <c r="Y136" s="174">
        <f>_xll.qlInterestRateIndexValueDate(IborIndex,X136)</f>
        <v>42117</v>
      </c>
      <c r="Z136" s="175">
        <v>1.5024780045093458E-3</v>
      </c>
      <c r="AA136" s="177">
        <v>1.5215086443054471E-3</v>
      </c>
    </row>
    <row r="137" spans="23:27" x14ac:dyDescent="0.2">
      <c r="W137" s="173" t="str">
        <f t="shared" si="12"/>
        <v>1D</v>
      </c>
      <c r="X137" s="180">
        <f>_xll.qlCalendarAdvance(LiborCalendar,X136,W137,"f",FALSE)</f>
        <v>42116</v>
      </c>
      <c r="Y137" s="174">
        <f>_xll.qlInterestRateIndexValueDate(IborIndex,X137)</f>
        <v>42118</v>
      </c>
      <c r="Z137" s="175">
        <v>1.5023695901164457E-3</v>
      </c>
      <c r="AA137" s="177">
        <v>1.5249713016178095E-3</v>
      </c>
    </row>
    <row r="138" spans="23:27" x14ac:dyDescent="0.2">
      <c r="W138" s="173" t="str">
        <f t="shared" si="12"/>
        <v>1D</v>
      </c>
      <c r="X138" s="180">
        <f>_xll.qlCalendarAdvance(LiborCalendar,X137,W138,"f",FALSE)</f>
        <v>42117</v>
      </c>
      <c r="Y138" s="174">
        <f>_xll.qlInterestRateIndexValueDate(IborIndex,X138)</f>
        <v>42121</v>
      </c>
      <c r="Z138" s="175">
        <v>1.5022643477868676E-3</v>
      </c>
      <c r="AA138" s="177">
        <v>1.5288985589501092E-3</v>
      </c>
    </row>
    <row r="139" spans="23:27" x14ac:dyDescent="0.2">
      <c r="W139" s="173" t="str">
        <f t="shared" si="12"/>
        <v>1D</v>
      </c>
      <c r="X139" s="180">
        <f>_xll.qlCalendarAdvance(LiborCalendar,X138,W139,"f",FALSE)</f>
        <v>42118</v>
      </c>
      <c r="Y139" s="174">
        <f>_xll.qlInterestRateIndexValueDate(IborIndex,X139)</f>
        <v>42122</v>
      </c>
      <c r="Z139" s="175">
        <v>1.502159870678373E-3</v>
      </c>
      <c r="AA139" s="177">
        <v>1.5311040445631363E-3</v>
      </c>
    </row>
    <row r="140" spans="23:27" x14ac:dyDescent="0.2">
      <c r="W140" s="173" t="str">
        <f t="shared" si="12"/>
        <v>1D</v>
      </c>
      <c r="X140" s="180">
        <f>_xll.qlCalendarAdvance(LiborCalendar,X139,W140,"f",FALSE)</f>
        <v>42121</v>
      </c>
      <c r="Y140" s="174">
        <f>_xll.qlInterestRateIndexValueDate(IborIndex,X140)</f>
        <v>42124</v>
      </c>
      <c r="Z140" s="175">
        <v>1.501890044749778E-3</v>
      </c>
      <c r="AA140" s="177">
        <v>1.5359446240503782E-3</v>
      </c>
    </row>
    <row r="141" spans="23:27" x14ac:dyDescent="0.2">
      <c r="W141" s="173" t="str">
        <f t="shared" si="12"/>
        <v>1D</v>
      </c>
      <c r="X141" s="180">
        <f>_xll.qlCalendarAdvance(LiborCalendar,X140,W141,"f",FALSE)</f>
        <v>42122</v>
      </c>
      <c r="Y141" s="174">
        <f>_xll.qlInterestRateIndexValueDate(IborIndex,X141)</f>
        <v>42124</v>
      </c>
      <c r="Z141" s="175">
        <v>1.501890044749778E-3</v>
      </c>
      <c r="AA141" s="177">
        <v>1.5359446240503782E-3</v>
      </c>
    </row>
    <row r="142" spans="23:27" x14ac:dyDescent="0.2">
      <c r="W142" s="173" t="str">
        <f t="shared" si="12"/>
        <v>1D</v>
      </c>
      <c r="X142" s="180">
        <f>_xll.qlCalendarAdvance(LiborCalendar,X141,W142,"f",FALSE)</f>
        <v>42123</v>
      </c>
      <c r="Y142" s="174">
        <f>_xll.qlInterestRateIndexValueDate(IborIndex,X142)</f>
        <v>42125</v>
      </c>
      <c r="Z142" s="175">
        <v>1.5015361733819021E-3</v>
      </c>
      <c r="AA142" s="177">
        <v>1.5429001489261629E-3</v>
      </c>
    </row>
    <row r="143" spans="23:27" x14ac:dyDescent="0.2">
      <c r="W143" s="173" t="str">
        <f t="shared" si="12"/>
        <v>1D</v>
      </c>
      <c r="X143" s="180">
        <f>_xll.qlCalendarAdvance(LiborCalendar,X142,W143,"f",FALSE)</f>
        <v>42124</v>
      </c>
      <c r="Y143" s="174">
        <f>_xll.qlInterestRateIndexValueDate(IborIndex,X143)</f>
        <v>42131</v>
      </c>
      <c r="Z143" s="175">
        <v>1.5000000007670705E-3</v>
      </c>
      <c r="AA143" s="177">
        <v>1.5573888530251434E-3</v>
      </c>
    </row>
    <row r="144" spans="23:27" x14ac:dyDescent="0.2">
      <c r="W144" s="173" t="str">
        <f t="shared" si="12"/>
        <v>1D</v>
      </c>
      <c r="X144" s="180">
        <f>_xll.qlCalendarAdvance(LiborCalendar,X143,W144,"f",FALSE)</f>
        <v>42125</v>
      </c>
      <c r="Y144" s="174">
        <f>_xll.qlInterestRateIndexValueDate(IborIndex,X144)</f>
        <v>42131</v>
      </c>
      <c r="Z144" s="175">
        <v>1.5000000007670705E-3</v>
      </c>
      <c r="AA144" s="177">
        <v>1.5573888530251434E-3</v>
      </c>
    </row>
    <row r="145" spans="23:27" x14ac:dyDescent="0.2">
      <c r="W145" s="173" t="str">
        <f t="shared" si="12"/>
        <v>1D</v>
      </c>
      <c r="X145" s="180">
        <f>_xll.qlCalendarAdvance(LiborCalendar,X144,W145,"f",FALSE)</f>
        <v>42129</v>
      </c>
      <c r="Y145" s="174">
        <f>_xll.qlInterestRateIndexValueDate(IborIndex,X145)</f>
        <v>42131</v>
      </c>
      <c r="Z145" s="175">
        <v>1.5000000007670705E-3</v>
      </c>
      <c r="AA145" s="177">
        <v>1.5573888530251434E-3</v>
      </c>
    </row>
    <row r="146" spans="23:27" x14ac:dyDescent="0.2">
      <c r="W146" s="173" t="str">
        <f t="shared" si="12"/>
        <v>1D</v>
      </c>
      <c r="X146" s="180">
        <f>_xll.qlCalendarAdvance(LiborCalendar,X145,W146,"f",FALSE)</f>
        <v>42130</v>
      </c>
      <c r="Y146" s="174">
        <f>_xll.qlInterestRateIndexValueDate(IborIndex,X146)</f>
        <v>42132</v>
      </c>
      <c r="Z146" s="175">
        <v>1.4997987108119767E-3</v>
      </c>
      <c r="AA146" s="177">
        <v>1.5648414074757404E-3</v>
      </c>
    </row>
    <row r="147" spans="23:27" x14ac:dyDescent="0.2">
      <c r="W147" s="173" t="str">
        <f t="shared" si="12"/>
        <v>1D</v>
      </c>
      <c r="X147" s="180">
        <f>_xll.qlCalendarAdvance(LiborCalendar,X146,W147,"f",FALSE)</f>
        <v>42131</v>
      </c>
      <c r="Y147" s="174">
        <f>_xll.qlInterestRateIndexValueDate(IborIndex,X147)</f>
        <v>42135</v>
      </c>
      <c r="Z147" s="175">
        <v>1.4988551382700689E-3</v>
      </c>
      <c r="AA147" s="177">
        <v>1.5727487423788933E-3</v>
      </c>
    </row>
    <row r="148" spans="23:27" x14ac:dyDescent="0.2">
      <c r="W148" s="173" t="str">
        <f t="shared" si="12"/>
        <v>1D</v>
      </c>
      <c r="X148" s="180">
        <f>_xll.qlCalendarAdvance(LiborCalendar,X147,W148,"f",FALSE)</f>
        <v>42132</v>
      </c>
      <c r="Y148" s="174">
        <f>_xll.qlInterestRateIndexValueDate(IborIndex,X148)</f>
        <v>42136</v>
      </c>
      <c r="Z148" s="175">
        <v>1.4984601200093586E-3</v>
      </c>
      <c r="AA148" s="177">
        <v>1.576939863168203E-3</v>
      </c>
    </row>
    <row r="149" spans="23:27" x14ac:dyDescent="0.2">
      <c r="W149" s="173" t="str">
        <f t="shared" ref="W149:W212" si="13">W148</f>
        <v>1D</v>
      </c>
      <c r="X149" s="180">
        <f>_xll.qlCalendarAdvance(LiborCalendar,X148,W149,"f",FALSE)</f>
        <v>42135</v>
      </c>
      <c r="Y149" s="174">
        <f>_xll.qlInterestRateIndexValueDate(IborIndex,X149)</f>
        <v>42137</v>
      </c>
      <c r="Z149" s="175">
        <v>1.498040999559708E-3</v>
      </c>
      <c r="AA149" s="177">
        <v>1.5812714434026987E-3</v>
      </c>
    </row>
    <row r="150" spans="23:27" x14ac:dyDescent="0.2">
      <c r="W150" s="173" t="str">
        <f t="shared" si="13"/>
        <v>1D</v>
      </c>
      <c r="X150" s="180">
        <f>_xll.qlCalendarAdvance(LiborCalendar,X149,W150,"f",FALSE)</f>
        <v>42136</v>
      </c>
      <c r="Y150" s="174">
        <f>_xll.qlInterestRateIndexValueDate(IborIndex,X150)</f>
        <v>42138</v>
      </c>
      <c r="Z150" s="175">
        <v>1.4973936910360249E-3</v>
      </c>
      <c r="AA150" s="177">
        <v>1.5857434830013339E-3</v>
      </c>
    </row>
    <row r="151" spans="23:27" x14ac:dyDescent="0.2">
      <c r="W151" s="173" t="str">
        <f t="shared" si="13"/>
        <v>1D</v>
      </c>
      <c r="X151" s="180">
        <f>_xll.qlCalendarAdvance(LiborCalendar,X150,W151,"f",FALSE)</f>
        <v>42137</v>
      </c>
      <c r="Y151" s="174">
        <f>_xll.qlInterestRateIndexValueDate(IborIndex,X151)</f>
        <v>42139</v>
      </c>
      <c r="Z151" s="175">
        <v>1.4970270397467757E-3</v>
      </c>
      <c r="AA151" s="177">
        <v>1.5951627315990982E-3</v>
      </c>
    </row>
    <row r="152" spans="23:27" x14ac:dyDescent="0.2">
      <c r="W152" s="173" t="str">
        <f t="shared" si="13"/>
        <v>1D</v>
      </c>
      <c r="X152" s="180">
        <f>_xll.qlCalendarAdvance(LiborCalendar,X151,W152,"f",FALSE)</f>
        <v>42138</v>
      </c>
      <c r="Y152" s="174">
        <f>_xll.qlInterestRateIndexValueDate(IborIndex,X152)</f>
        <v>42142</v>
      </c>
      <c r="Z152" s="175">
        <v>1.4955582153089093E-3</v>
      </c>
      <c r="AA152" s="177">
        <v>1.6050362356856418E-3</v>
      </c>
    </row>
    <row r="153" spans="23:27" x14ac:dyDescent="0.2">
      <c r="W153" s="173" t="str">
        <f t="shared" si="13"/>
        <v>1D</v>
      </c>
      <c r="X153" s="180">
        <f>_xll.qlCalendarAdvance(LiborCalendar,X152,W153,"f",FALSE)</f>
        <v>42139</v>
      </c>
      <c r="Y153" s="174">
        <f>_xll.qlInterestRateIndexValueDate(IborIndex,X153)</f>
        <v>42143</v>
      </c>
      <c r="Z153" s="175">
        <v>1.4949790922480983E-3</v>
      </c>
      <c r="AA153" s="177">
        <v>1.6102105724291604E-3</v>
      </c>
    </row>
    <row r="154" spans="23:27" x14ac:dyDescent="0.2">
      <c r="W154" s="173" t="str">
        <f t="shared" si="13"/>
        <v>1D</v>
      </c>
      <c r="X154" s="180">
        <f>_xll.qlCalendarAdvance(LiborCalendar,X153,W154,"f",FALSE)</f>
        <v>42142</v>
      </c>
      <c r="Y154" s="174">
        <f>_xll.qlInterestRateIndexValueDate(IborIndex,X154)</f>
        <v>42144</v>
      </c>
      <c r="Z154" s="175">
        <v>1.4943707371895955E-3</v>
      </c>
      <c r="AA154" s="177">
        <v>1.615525368617865E-3</v>
      </c>
    </row>
    <row r="155" spans="23:27" x14ac:dyDescent="0.2">
      <c r="W155" s="173" t="str">
        <f t="shared" si="13"/>
        <v>1D</v>
      </c>
      <c r="X155" s="180">
        <f>_xll.qlCalendarAdvance(LiborCalendar,X154,W155,"f",FALSE)</f>
        <v>42143</v>
      </c>
      <c r="Y155" s="174">
        <f>_xll.qlInterestRateIndexValueDate(IborIndex,X155)</f>
        <v>42145</v>
      </c>
      <c r="Z155" s="175">
        <v>1.4934582645756199E-3</v>
      </c>
      <c r="AA155" s="177">
        <v>1.6209806241707092E-3</v>
      </c>
    </row>
    <row r="156" spans="23:27" x14ac:dyDescent="0.2">
      <c r="W156" s="173" t="str">
        <f t="shared" si="13"/>
        <v>1D</v>
      </c>
      <c r="X156" s="180">
        <f>_xll.qlCalendarAdvance(LiborCalendar,X155,W156,"f",FALSE)</f>
        <v>42144</v>
      </c>
      <c r="Y156" s="174">
        <f>_xll.qlInterestRateIndexValueDate(IborIndex,X156)</f>
        <v>42146</v>
      </c>
      <c r="Z156" s="175">
        <v>1.4928854133945007E-3</v>
      </c>
      <c r="AA156" s="177">
        <v>1.6353320506609648E-3</v>
      </c>
    </row>
    <row r="157" spans="23:27" x14ac:dyDescent="0.2">
      <c r="W157" s="173" t="str">
        <f t="shared" si="13"/>
        <v>1D</v>
      </c>
      <c r="X157" s="180">
        <f>_xll.qlCalendarAdvance(LiborCalendar,X156,W157,"f",FALSE)</f>
        <v>42145</v>
      </c>
      <c r="Y157" s="174">
        <f>_xll.qlInterestRateIndexValueDate(IborIndex,X157)</f>
        <v>42150</v>
      </c>
      <c r="Z157" s="175">
        <v>1.4900656970252414E-3</v>
      </c>
      <c r="AA157" s="177">
        <v>1.6503637941800431E-3</v>
      </c>
    </row>
    <row r="158" spans="23:27" x14ac:dyDescent="0.2">
      <c r="W158" s="173" t="str">
        <f t="shared" si="13"/>
        <v>1D</v>
      </c>
      <c r="X158" s="180">
        <f>_xll.qlCalendarAdvance(LiborCalendar,X157,W158,"f",FALSE)</f>
        <v>42146</v>
      </c>
      <c r="Y158" s="174">
        <f>_xll.qlInterestRateIndexValueDate(IborIndex,X158)</f>
        <v>42151</v>
      </c>
      <c r="Z158" s="175">
        <v>1.4892321991058621E-3</v>
      </c>
      <c r="AA158" s="177">
        <v>1.6566618066471417E-3</v>
      </c>
    </row>
    <row r="159" spans="23:27" x14ac:dyDescent="0.2">
      <c r="W159" s="173" t="str">
        <f t="shared" si="13"/>
        <v>1D</v>
      </c>
      <c r="X159" s="180">
        <f>_xll.qlCalendarAdvance(LiborCalendar,X158,W159,"f",FALSE)</f>
        <v>42150</v>
      </c>
      <c r="Y159" s="174">
        <f>_xll.qlInterestRateIndexValueDate(IborIndex,X159)</f>
        <v>42152</v>
      </c>
      <c r="Z159" s="175">
        <v>1.4882203229906312E-3</v>
      </c>
      <c r="AA159" s="177">
        <v>1.6631002784783799E-3</v>
      </c>
    </row>
    <row r="160" spans="23:27" x14ac:dyDescent="0.2">
      <c r="W160" s="173" t="str">
        <f t="shared" si="13"/>
        <v>1D</v>
      </c>
      <c r="X160" s="180">
        <f>_xll.qlCalendarAdvance(LiborCalendar,X159,W160,"f",FALSE)</f>
        <v>42151</v>
      </c>
      <c r="Y160" s="174">
        <f>_xll.qlInterestRateIndexValueDate(IborIndex,X160)</f>
        <v>42153</v>
      </c>
      <c r="Z160" s="175">
        <v>1.4873913957287443E-3</v>
      </c>
      <c r="AA160" s="177">
        <v>1.6764531205796611E-3</v>
      </c>
    </row>
    <row r="161" spans="23:27" x14ac:dyDescent="0.2">
      <c r="W161" s="173" t="str">
        <f t="shared" si="13"/>
        <v>1D</v>
      </c>
      <c r="X161" s="180">
        <f>_xll.qlCalendarAdvance(LiborCalendar,X160,W161,"f",FALSE)</f>
        <v>42152</v>
      </c>
      <c r="Y161" s="174">
        <f>_xll.qlInterestRateIndexValueDate(IborIndex,X161)</f>
        <v>42156</v>
      </c>
      <c r="Z161" s="175">
        <v>1.4845786608181813E-3</v>
      </c>
      <c r="AA161" s="177">
        <v>1.6902587612277475E-3</v>
      </c>
    </row>
    <row r="162" spans="23:27" x14ac:dyDescent="0.2">
      <c r="W162" s="173" t="str">
        <f t="shared" si="13"/>
        <v>1D</v>
      </c>
      <c r="X162" s="180">
        <f>_xll.qlCalendarAdvance(LiborCalendar,X161,W162,"f",FALSE)</f>
        <v>42153</v>
      </c>
      <c r="Y162" s="174">
        <f>_xll.qlInterestRateIndexValueDate(IborIndex,X162)</f>
        <v>42157</v>
      </c>
      <c r="Z162" s="175">
        <v>1.4835190562671947E-3</v>
      </c>
      <c r="AA162" s="177">
        <v>1.6973995307711931E-3</v>
      </c>
    </row>
    <row r="163" spans="23:27" x14ac:dyDescent="0.2">
      <c r="W163" s="173" t="str">
        <f t="shared" si="13"/>
        <v>1D</v>
      </c>
      <c r="X163" s="180">
        <f>_xll.qlCalendarAdvance(LiborCalendar,X162,W163,"f",FALSE)</f>
        <v>42156</v>
      </c>
      <c r="Y163" s="174">
        <f>_xll.qlInterestRateIndexValueDate(IborIndex,X163)</f>
        <v>42158</v>
      </c>
      <c r="Z163" s="175">
        <v>1.4824197240843134E-3</v>
      </c>
      <c r="AA163" s="177">
        <v>1.7046807597598246E-3</v>
      </c>
    </row>
    <row r="164" spans="23:27" x14ac:dyDescent="0.2">
      <c r="W164" s="173" t="str">
        <f t="shared" si="13"/>
        <v>1D</v>
      </c>
      <c r="X164" s="180">
        <f>_xll.qlCalendarAdvance(LiborCalendar,X163,W164,"f",FALSE)</f>
        <v>42157</v>
      </c>
      <c r="Y164" s="174">
        <f>_xll.qlInterestRateIndexValueDate(IborIndex,X164)</f>
        <v>42159</v>
      </c>
      <c r="Z164" s="175">
        <v>1.4812799274892834E-3</v>
      </c>
      <c r="AA164" s="177">
        <v>1.712014925261407E-3</v>
      </c>
    </row>
    <row r="165" spans="23:27" x14ac:dyDescent="0.2">
      <c r="W165" s="173" t="str">
        <f t="shared" si="13"/>
        <v>1D</v>
      </c>
      <c r="X165" s="180">
        <f>_xll.qlCalendarAdvance(LiborCalendar,X164,W165,"f",FALSE)</f>
        <v>42158</v>
      </c>
      <c r="Y165" s="174">
        <f>_xll.qlInterestRateIndexValueDate(IborIndex,X165)</f>
        <v>42160</v>
      </c>
      <c r="Z165" s="175">
        <v>1.4800278943365444E-3</v>
      </c>
      <c r="AA165" s="177">
        <v>1.7255841963226273E-3</v>
      </c>
    </row>
    <row r="166" spans="23:27" x14ac:dyDescent="0.2">
      <c r="W166" s="173" t="str">
        <f t="shared" si="13"/>
        <v>1D</v>
      </c>
      <c r="X166" s="180">
        <f>_xll.qlCalendarAdvance(LiborCalendar,X165,W166,"f",FALSE)</f>
        <v>42159</v>
      </c>
      <c r="Y166" s="174">
        <f>_xll.qlInterestRateIndexValueDate(IborIndex,X166)</f>
        <v>42163</v>
      </c>
      <c r="Z166" s="175">
        <v>1.4763315739385425E-3</v>
      </c>
      <c r="AA166" s="177">
        <v>1.7378548877888811E-3</v>
      </c>
    </row>
    <row r="167" spans="23:27" x14ac:dyDescent="0.2">
      <c r="W167" s="173" t="str">
        <f t="shared" si="13"/>
        <v>1D</v>
      </c>
      <c r="X167" s="180">
        <f>_xll.qlCalendarAdvance(LiborCalendar,X166,W167,"f",FALSE)</f>
        <v>42160</v>
      </c>
      <c r="Y167" s="174">
        <f>_xll.qlInterestRateIndexValueDate(IborIndex,X167)</f>
        <v>42164</v>
      </c>
      <c r="Z167" s="175">
        <v>1.4750071998854953E-3</v>
      </c>
      <c r="AA167" s="177">
        <v>1.7433531802946156E-3</v>
      </c>
    </row>
    <row r="168" spans="23:27" x14ac:dyDescent="0.2">
      <c r="W168" s="173" t="str">
        <f t="shared" si="13"/>
        <v>1D</v>
      </c>
      <c r="X168" s="180">
        <f>_xll.qlCalendarAdvance(LiborCalendar,X167,W168,"f",FALSE)</f>
        <v>42163</v>
      </c>
      <c r="Y168" s="174">
        <f>_xll.qlInterestRateIndexValueDate(IborIndex,X168)</f>
        <v>42165</v>
      </c>
      <c r="Z168" s="175">
        <v>1.4736521028327844E-3</v>
      </c>
      <c r="AA168" s="177">
        <v>1.7484667935985243E-3</v>
      </c>
    </row>
    <row r="169" spans="23:27" x14ac:dyDescent="0.2">
      <c r="W169" s="173" t="str">
        <f t="shared" si="13"/>
        <v>1D</v>
      </c>
      <c r="X169" s="180">
        <f>_xll.qlCalendarAdvance(LiborCalendar,X168,W169,"f",FALSE)</f>
        <v>42164</v>
      </c>
      <c r="Y169" s="174">
        <f>_xll.qlInterestRateIndexValueDate(IborIndex,X169)</f>
        <v>42166</v>
      </c>
      <c r="Z169" s="175">
        <v>1.4722683784076883E-3</v>
      </c>
      <c r="AA169" s="177">
        <v>1.7531957277006072E-3</v>
      </c>
    </row>
    <row r="170" spans="23:27" x14ac:dyDescent="0.2">
      <c r="W170" s="173" t="str">
        <f t="shared" si="13"/>
        <v>1D</v>
      </c>
      <c r="X170" s="180">
        <f>_xll.qlCalendarAdvance(LiborCalendar,X169,W170,"f",FALSE)</f>
        <v>42165</v>
      </c>
      <c r="Y170" s="174">
        <f>_xll.qlInterestRateIndexValueDate(IborIndex,X170)</f>
        <v>42167</v>
      </c>
      <c r="Z170" s="175">
        <v>1.470871797570583E-3</v>
      </c>
      <c r="AA170" s="177">
        <v>1.761379831276185E-3</v>
      </c>
    </row>
    <row r="171" spans="23:27" x14ac:dyDescent="0.2">
      <c r="W171" s="173" t="str">
        <f t="shared" si="13"/>
        <v>1D</v>
      </c>
      <c r="X171" s="180">
        <f>_xll.qlCalendarAdvance(LiborCalendar,X170,W171,"f",FALSE)</f>
        <v>42166</v>
      </c>
      <c r="Y171" s="174">
        <f>_xll.qlInterestRateIndexValueDate(IborIndex,X171)</f>
        <v>42170</v>
      </c>
      <c r="Z171" s="175">
        <v>1.4664891193372585E-3</v>
      </c>
      <c r="AA171" s="177">
        <v>1.7682646707939398E-3</v>
      </c>
    </row>
    <row r="172" spans="23:27" x14ac:dyDescent="0.2">
      <c r="W172" s="173" t="str">
        <f t="shared" si="13"/>
        <v>1D</v>
      </c>
      <c r="X172" s="180">
        <f>_xll.qlCalendarAdvance(LiborCalendar,X171,W172,"f",FALSE)</f>
        <v>42167</v>
      </c>
      <c r="Y172" s="174">
        <f>_xll.qlInterestRateIndexValueDate(IborIndex,X172)</f>
        <v>42171</v>
      </c>
      <c r="Z172" s="175">
        <v>1.4649936922720194E-3</v>
      </c>
      <c r="AA172" s="177">
        <v>1.7710702084006158E-3</v>
      </c>
    </row>
    <row r="173" spans="23:27" x14ac:dyDescent="0.2">
      <c r="W173" s="173" t="str">
        <f t="shared" si="13"/>
        <v>1D</v>
      </c>
      <c r="X173" s="180">
        <f>_xll.qlCalendarAdvance(LiborCalendar,X172,W173,"f",FALSE)</f>
        <v>42170</v>
      </c>
      <c r="Y173" s="174">
        <f>_xll.qlInterestRateIndexValueDate(IborIndex,X173)</f>
        <v>42172</v>
      </c>
      <c r="Z173" s="175">
        <v>1.4634822114858049E-3</v>
      </c>
      <c r="AA173" s="177">
        <v>1.7734910664002346E-3</v>
      </c>
    </row>
    <row r="174" spans="23:27" x14ac:dyDescent="0.2">
      <c r="W174" s="173" t="str">
        <f t="shared" si="13"/>
        <v>1D</v>
      </c>
      <c r="X174" s="180">
        <f>_xll.qlCalendarAdvance(LiborCalendar,X173,W174,"f",FALSE)</f>
        <v>42171</v>
      </c>
      <c r="Y174" s="174">
        <f>_xll.qlInterestRateIndexValueDate(IborIndex,X174)</f>
        <v>42173</v>
      </c>
      <c r="Z174" s="175">
        <v>1.4619567725683274E-3</v>
      </c>
      <c r="AA174" s="177">
        <v>1.7755272452790738E-3</v>
      </c>
    </row>
    <row r="175" spans="23:27" x14ac:dyDescent="0.2">
      <c r="W175" s="173" t="str">
        <f t="shared" si="13"/>
        <v>1D</v>
      </c>
      <c r="X175" s="180">
        <f>_xll.qlCalendarAdvance(LiborCalendar,X174,W175,"f",FALSE)</f>
        <v>42172</v>
      </c>
      <c r="Y175" s="174">
        <f>_xll.qlInterestRateIndexValueDate(IborIndex,X175)</f>
        <v>42174</v>
      </c>
      <c r="Z175" s="175">
        <v>1.4605332751644105E-3</v>
      </c>
      <c r="AA175" s="177">
        <v>1.7783260024188212E-3</v>
      </c>
    </row>
    <row r="176" spans="23:27" x14ac:dyDescent="0.2">
      <c r="W176" s="173" t="str">
        <f t="shared" si="13"/>
        <v>1D</v>
      </c>
      <c r="X176" s="180">
        <f>_xll.qlCalendarAdvance(LiborCalendar,X175,W176,"f",FALSE)</f>
        <v>42173</v>
      </c>
      <c r="Y176" s="174">
        <f>_xll.qlInterestRateIndexValueDate(IborIndex,X176)</f>
        <v>42177</v>
      </c>
      <c r="Z176" s="175">
        <v>1.4557573471393611E-3</v>
      </c>
      <c r="AA176" s="177">
        <v>1.7798251667500153E-3</v>
      </c>
    </row>
    <row r="177" spans="23:27" x14ac:dyDescent="0.2">
      <c r="W177" s="173" t="str">
        <f t="shared" si="13"/>
        <v>1D</v>
      </c>
      <c r="X177" s="180">
        <f>_xll.qlCalendarAdvance(LiborCalendar,X176,W177,"f",FALSE)</f>
        <v>42174</v>
      </c>
      <c r="Y177" s="174">
        <f>_xll.qlInterestRateIndexValueDate(IborIndex,X177)</f>
        <v>42178</v>
      </c>
      <c r="Z177" s="175">
        <v>1.4542817574515815E-3</v>
      </c>
      <c r="AA177" s="177">
        <v>1.77993794864717E-3</v>
      </c>
    </row>
    <row r="178" spans="23:27" x14ac:dyDescent="0.2">
      <c r="W178" s="173" t="str">
        <f t="shared" si="13"/>
        <v>1D</v>
      </c>
      <c r="X178" s="180">
        <f>_xll.qlCalendarAdvance(LiborCalendar,X177,W178,"f",FALSE)</f>
        <v>42177</v>
      </c>
      <c r="Y178" s="174">
        <f>_xll.qlInterestRateIndexValueDate(IborIndex,X178)</f>
        <v>42179</v>
      </c>
      <c r="Z178" s="175">
        <v>1.4526283704808232E-3</v>
      </c>
      <c r="AA178" s="177">
        <v>1.7796660512614526E-3</v>
      </c>
    </row>
    <row r="179" spans="23:27" x14ac:dyDescent="0.2">
      <c r="W179" s="173" t="str">
        <f t="shared" si="13"/>
        <v>1D</v>
      </c>
      <c r="X179" s="180">
        <f>_xll.qlCalendarAdvance(LiborCalendar,X178,W179,"f",FALSE)</f>
        <v>42178</v>
      </c>
      <c r="Y179" s="174">
        <f>_xll.qlInterestRateIndexValueDate(IborIndex,X179)</f>
        <v>42180</v>
      </c>
      <c r="Z179" s="175">
        <v>1.4514681878273444E-3</v>
      </c>
      <c r="AA179" s="177">
        <v>1.7790094745118168E-3</v>
      </c>
    </row>
    <row r="180" spans="23:27" x14ac:dyDescent="0.2">
      <c r="W180" s="173" t="str">
        <f t="shared" si="13"/>
        <v>1D</v>
      </c>
      <c r="X180" s="180">
        <f>_xll.qlCalendarAdvance(LiborCalendar,X179,W180,"f",FALSE)</f>
        <v>42179</v>
      </c>
      <c r="Y180" s="174">
        <f>_xll.qlInterestRateIndexValueDate(IborIndex,X180)</f>
        <v>42181</v>
      </c>
      <c r="Z180" s="175">
        <v>1.4498311681597083E-3</v>
      </c>
      <c r="AA180" s="177">
        <v>1.7764227019160621E-3</v>
      </c>
    </row>
    <row r="181" spans="23:27" x14ac:dyDescent="0.2">
      <c r="W181" s="173" t="str">
        <f t="shared" si="13"/>
        <v>1D</v>
      </c>
      <c r="X181" s="180">
        <f>_xll.qlCalendarAdvance(LiborCalendar,X180,W181,"f",FALSE)</f>
        <v>42180</v>
      </c>
      <c r="Y181" s="174">
        <f>_xll.qlInterestRateIndexValueDate(IborIndex,X181)</f>
        <v>42184</v>
      </c>
      <c r="Z181" s="175">
        <v>1.444855039817955E-3</v>
      </c>
      <c r="AA181" s="177">
        <v>1.7725363736309507E-3</v>
      </c>
    </row>
    <row r="182" spans="23:27" x14ac:dyDescent="0.2">
      <c r="W182" s="173" t="str">
        <f t="shared" si="13"/>
        <v>1D</v>
      </c>
      <c r="X182" s="180">
        <f>_xll.qlCalendarAdvance(LiborCalendar,X181,W182,"f",FALSE)</f>
        <v>42181</v>
      </c>
      <c r="Y182" s="174">
        <f>_xll.qlInterestRateIndexValueDate(IborIndex,X182)</f>
        <v>42185</v>
      </c>
      <c r="Z182" s="175">
        <v>1.4433255569147848E-3</v>
      </c>
      <c r="AA182" s="177">
        <v>1.7699563999806767E-3</v>
      </c>
    </row>
    <row r="183" spans="23:27" x14ac:dyDescent="0.2">
      <c r="W183" s="173" t="str">
        <f t="shared" si="13"/>
        <v>1D</v>
      </c>
      <c r="X183" s="180">
        <f>_xll.qlCalendarAdvance(LiborCalendar,X182,W183,"f",FALSE)</f>
        <v>42184</v>
      </c>
      <c r="Y183" s="174">
        <f>_xll.qlInterestRateIndexValueDate(IborIndex,X183)</f>
        <v>42186</v>
      </c>
      <c r="Z183" s="175">
        <v>1.4423966007291516E-3</v>
      </c>
      <c r="AA183" s="177">
        <v>1.7669917470475305E-3</v>
      </c>
    </row>
    <row r="184" spans="23:27" x14ac:dyDescent="0.2">
      <c r="W184" s="173" t="str">
        <f t="shared" si="13"/>
        <v>1D</v>
      </c>
      <c r="X184" s="180">
        <f>_xll.qlCalendarAdvance(LiborCalendar,X183,W184,"f",FALSE)</f>
        <v>42185</v>
      </c>
      <c r="Y184" s="174">
        <f>_xll.qlInterestRateIndexValueDate(IborIndex,X184)</f>
        <v>42187</v>
      </c>
      <c r="Z184" s="175">
        <v>1.4407746270173047E-3</v>
      </c>
      <c r="AA184" s="177">
        <v>1.7636424147504659E-3</v>
      </c>
    </row>
    <row r="185" spans="23:27" x14ac:dyDescent="0.2">
      <c r="W185" s="173" t="str">
        <f t="shared" si="13"/>
        <v>1D</v>
      </c>
      <c r="X185" s="180">
        <f>_xll.qlCalendarAdvance(LiborCalendar,X184,W185,"f",FALSE)</f>
        <v>42186</v>
      </c>
      <c r="Y185" s="174">
        <f>_xll.qlInterestRateIndexValueDate(IborIndex,X185)</f>
        <v>42188</v>
      </c>
      <c r="Z185" s="175">
        <v>1.4391530337039115E-3</v>
      </c>
      <c r="AA185" s="177">
        <v>1.7556699306324013E-3</v>
      </c>
    </row>
    <row r="186" spans="23:27" x14ac:dyDescent="0.2">
      <c r="W186" s="173" t="str">
        <f t="shared" si="13"/>
        <v>1D</v>
      </c>
      <c r="X186" s="180">
        <f>_xll.qlCalendarAdvance(LiborCalendar,X185,W186,"f",FALSE)</f>
        <v>42187</v>
      </c>
      <c r="Y186" s="174">
        <f>_xll.qlInterestRateIndexValueDate(IborIndex,X186)</f>
        <v>42191</v>
      </c>
      <c r="Z186" s="175">
        <v>1.4346879382296797E-3</v>
      </c>
      <c r="AA186" s="177">
        <v>1.7463394025607482E-3</v>
      </c>
    </row>
    <row r="187" spans="23:27" x14ac:dyDescent="0.2">
      <c r="W187" s="173" t="str">
        <f t="shared" si="13"/>
        <v>1D</v>
      </c>
      <c r="X187" s="180">
        <f>_xll.qlCalendarAdvance(LiborCalendar,X186,W187,"f",FALSE)</f>
        <v>42188</v>
      </c>
      <c r="Y187" s="174">
        <f>_xll.qlInterestRateIndexValueDate(IborIndex,X187)</f>
        <v>42192</v>
      </c>
      <c r="Z187" s="175">
        <v>1.433302841646599E-3</v>
      </c>
      <c r="AA187" s="177">
        <v>1.7407133337044023E-3</v>
      </c>
    </row>
    <row r="188" spans="23:27" x14ac:dyDescent="0.2">
      <c r="W188" s="173" t="str">
        <f t="shared" si="13"/>
        <v>1D</v>
      </c>
      <c r="X188" s="180">
        <f>_xll.qlCalendarAdvance(LiborCalendar,X187,W188,"f",FALSE)</f>
        <v>42191</v>
      </c>
      <c r="Y188" s="174">
        <f>_xll.qlInterestRateIndexValueDate(IborIndex,X188)</f>
        <v>42193</v>
      </c>
      <c r="Z188" s="175">
        <v>1.4319474615927556E-3</v>
      </c>
      <c r="AA188" s="177">
        <v>1.7343492455823561E-3</v>
      </c>
    </row>
    <row r="189" spans="23:27" x14ac:dyDescent="0.2">
      <c r="W189" s="173" t="str">
        <f t="shared" si="13"/>
        <v>1D</v>
      </c>
      <c r="X189" s="180">
        <f>_xll.qlCalendarAdvance(LiborCalendar,X188,W189,"f",FALSE)</f>
        <v>42192</v>
      </c>
      <c r="Y189" s="174">
        <f>_xll.qlInterestRateIndexValueDate(IborIndex,X189)</f>
        <v>42194</v>
      </c>
      <c r="Z189" s="175">
        <v>1.4312334890885239E-3</v>
      </c>
      <c r="AA189" s="177">
        <v>1.7272471380325172E-3</v>
      </c>
    </row>
    <row r="190" spans="23:27" x14ac:dyDescent="0.2">
      <c r="W190" s="173" t="str">
        <f t="shared" si="13"/>
        <v>1D</v>
      </c>
      <c r="X190" s="180">
        <f>_xll.qlCalendarAdvance(LiborCalendar,X189,W190,"f",FALSE)</f>
        <v>42193</v>
      </c>
      <c r="Y190" s="174">
        <f>_xll.qlInterestRateIndexValueDate(IborIndex,X190)</f>
        <v>42195</v>
      </c>
      <c r="Z190" s="175">
        <v>1.429762461204527E-3</v>
      </c>
      <c r="AA190" s="177">
        <v>1.7105908757038732E-3</v>
      </c>
    </row>
    <row r="191" spans="23:27" x14ac:dyDescent="0.2">
      <c r="W191" s="173" t="str">
        <f t="shared" si="13"/>
        <v>1D</v>
      </c>
      <c r="X191" s="180">
        <f>_xll.qlCalendarAdvance(LiborCalendar,X190,W191,"f",FALSE)</f>
        <v>42194</v>
      </c>
      <c r="Y191" s="174">
        <f>_xll.qlInterestRateIndexValueDate(IborIndex,X191)</f>
        <v>42198</v>
      </c>
      <c r="Z191" s="175">
        <v>1.4257555905168888E-3</v>
      </c>
      <c r="AA191" s="177">
        <v>1.6914585162297602E-3</v>
      </c>
    </row>
    <row r="192" spans="23:27" x14ac:dyDescent="0.2">
      <c r="W192" s="173" t="str">
        <f t="shared" si="13"/>
        <v>1D</v>
      </c>
      <c r="X192" s="180">
        <f>_xll.qlCalendarAdvance(LiborCalendar,X191,W192,"f",FALSE)</f>
        <v>42195</v>
      </c>
      <c r="Y192" s="174">
        <f>_xll.qlInterestRateIndexValueDate(IborIndex,X192)</f>
        <v>42199</v>
      </c>
      <c r="Z192" s="175">
        <v>1.4246620782809101E-3</v>
      </c>
      <c r="AA192" s="177">
        <v>1.6806663130808364E-3</v>
      </c>
    </row>
    <row r="193" spans="23:27" x14ac:dyDescent="0.2">
      <c r="W193" s="173" t="str">
        <f t="shared" si="13"/>
        <v>1D</v>
      </c>
      <c r="X193" s="180">
        <f>_xll.qlCalendarAdvance(LiborCalendar,X192,W193,"f",FALSE)</f>
        <v>42198</v>
      </c>
      <c r="Y193" s="174">
        <f>_xll.qlInterestRateIndexValueDate(IborIndex,X193)</f>
        <v>42200</v>
      </c>
      <c r="Z193" s="175">
        <v>1.4236261387224264E-3</v>
      </c>
      <c r="AA193" s="177">
        <v>1.6691360909093511E-3</v>
      </c>
    </row>
    <row r="194" spans="23:27" x14ac:dyDescent="0.2">
      <c r="W194" s="173" t="str">
        <f t="shared" si="13"/>
        <v>1D</v>
      </c>
      <c r="X194" s="180">
        <f>_xll.qlCalendarAdvance(LiborCalendar,X193,W194,"f",FALSE)</f>
        <v>42199</v>
      </c>
      <c r="Y194" s="174">
        <f>_xll.qlInterestRateIndexValueDate(IborIndex,X194)</f>
        <v>42201</v>
      </c>
      <c r="Z194" s="175">
        <v>1.4231405316385505E-3</v>
      </c>
      <c r="AA194" s="177">
        <v>1.6568678497963507E-3</v>
      </c>
    </row>
    <row r="195" spans="23:27" x14ac:dyDescent="0.2">
      <c r="W195" s="173" t="str">
        <f t="shared" si="13"/>
        <v>1D</v>
      </c>
      <c r="X195" s="180">
        <f>_xll.qlCalendarAdvance(LiborCalendar,X194,W195,"f",FALSE)</f>
        <v>42200</v>
      </c>
      <c r="Y195" s="174">
        <f>_xll.qlInterestRateIndexValueDate(IborIndex,X195)</f>
        <v>42202</v>
      </c>
      <c r="Z195" s="175">
        <v>1.4219933712967966E-3</v>
      </c>
      <c r="AA195" s="177">
        <v>1.629878583036352E-3</v>
      </c>
    </row>
    <row r="196" spans="23:27" x14ac:dyDescent="0.2">
      <c r="W196" s="173" t="str">
        <f t="shared" si="13"/>
        <v>1D</v>
      </c>
      <c r="X196" s="180">
        <f>_xll.qlCalendarAdvance(LiborCalendar,X195,W196,"f",FALSE)</f>
        <v>42201</v>
      </c>
      <c r="Y196" s="174">
        <f>_xll.qlInterestRateIndexValueDate(IborIndex,X196)</f>
        <v>42206</v>
      </c>
      <c r="Z196" s="175">
        <v>1.4188423754251981E-3</v>
      </c>
      <c r="AA196" s="177">
        <v>1.5844563639988429E-3</v>
      </c>
    </row>
    <row r="197" spans="23:27" x14ac:dyDescent="0.2">
      <c r="W197" s="173" t="str">
        <f t="shared" si="13"/>
        <v>1D</v>
      </c>
      <c r="X197" s="180">
        <f>_xll.qlCalendarAdvance(LiborCalendar,X196,W197,"f",FALSE)</f>
        <v>42202</v>
      </c>
      <c r="Y197" s="174">
        <f>_xll.qlInterestRateIndexValueDate(IborIndex,X197)</f>
        <v>42206</v>
      </c>
      <c r="Z197" s="175">
        <v>1.4188423754251981E-3</v>
      </c>
      <c r="AA197" s="177">
        <v>1.5844563639988429E-3</v>
      </c>
    </row>
    <row r="198" spans="23:27" x14ac:dyDescent="0.2">
      <c r="W198" s="173" t="str">
        <f t="shared" si="13"/>
        <v>1D</v>
      </c>
      <c r="X198" s="180">
        <f>_xll.qlCalendarAdvance(LiborCalendar,X197,W198,"f",FALSE)</f>
        <v>42205</v>
      </c>
      <c r="Y198" s="174">
        <f>_xll.qlInterestRateIndexValueDate(IborIndex,X198)</f>
        <v>42207</v>
      </c>
      <c r="Z198" s="175">
        <v>1.4183208685323108E-3</v>
      </c>
      <c r="AA198" s="177">
        <v>1.5677600113439549E-3</v>
      </c>
    </row>
    <row r="199" spans="23:27" x14ac:dyDescent="0.2">
      <c r="W199" s="173" t="str">
        <f t="shared" si="13"/>
        <v>1D</v>
      </c>
      <c r="X199" s="180">
        <f>_xll.qlCalendarAdvance(LiborCalendar,X198,W199,"f",FALSE)</f>
        <v>42206</v>
      </c>
      <c r="Y199" s="174">
        <f>_xll.qlInterestRateIndexValueDate(IborIndex,X199)</f>
        <v>42208</v>
      </c>
      <c r="Z199" s="175">
        <v>1.4184261579239152E-3</v>
      </c>
      <c r="AA199" s="177">
        <v>1.5503256403148757E-3</v>
      </c>
    </row>
    <row r="200" spans="23:27" x14ac:dyDescent="0.2">
      <c r="W200" s="173" t="str">
        <f t="shared" si="13"/>
        <v>1D</v>
      </c>
      <c r="X200" s="180">
        <f>_xll.qlCalendarAdvance(LiborCalendar,X199,W200,"f",FALSE)</f>
        <v>42207</v>
      </c>
      <c r="Y200" s="174">
        <f>_xll.qlInterestRateIndexValueDate(IborIndex,X200)</f>
        <v>42209</v>
      </c>
      <c r="Z200" s="175">
        <v>1.4178219620152341E-3</v>
      </c>
      <c r="AA200" s="177">
        <v>1.5130031093431771E-3</v>
      </c>
    </row>
    <row r="201" spans="23:27" x14ac:dyDescent="0.2">
      <c r="W201" s="173" t="str">
        <f t="shared" si="13"/>
        <v>1D</v>
      </c>
      <c r="X201" s="180">
        <f>_xll.qlCalendarAdvance(LiborCalendar,X200,W201,"f",FALSE)</f>
        <v>42208</v>
      </c>
      <c r="Y201" s="174">
        <f>_xll.qlInterestRateIndexValueDate(IborIndex,X201)</f>
        <v>42212</v>
      </c>
      <c r="Z201" s="175">
        <v>1.417134044813444E-3</v>
      </c>
      <c r="AA201" s="177">
        <v>1.4732079758605909E-3</v>
      </c>
    </row>
    <row r="202" spans="23:27" x14ac:dyDescent="0.2">
      <c r="W202" s="173" t="str">
        <f t="shared" si="13"/>
        <v>1D</v>
      </c>
      <c r="X202" s="180">
        <f>_xll.qlCalendarAdvance(LiborCalendar,X201,W202,"f",FALSE)</f>
        <v>42209</v>
      </c>
      <c r="Y202" s="174">
        <f>_xll.qlInterestRateIndexValueDate(IborIndex,X202)</f>
        <v>42213</v>
      </c>
      <c r="Z202" s="175">
        <v>1.4172086785304767E-3</v>
      </c>
      <c r="AA202" s="177">
        <v>1.4520835151488054E-3</v>
      </c>
    </row>
    <row r="203" spans="23:27" x14ac:dyDescent="0.2">
      <c r="W203" s="173" t="str">
        <f t="shared" si="13"/>
        <v>1D</v>
      </c>
      <c r="X203" s="180">
        <f>_xll.qlCalendarAdvance(LiborCalendar,X202,W203,"f",FALSE)</f>
        <v>42212</v>
      </c>
      <c r="Y203" s="174">
        <f>_xll.qlInterestRateIndexValueDate(IborIndex,X203)</f>
        <v>42214</v>
      </c>
      <c r="Z203" s="175">
        <v>1.4173965972423723E-3</v>
      </c>
      <c r="AA203" s="177">
        <v>1.4302210368732915E-3</v>
      </c>
    </row>
    <row r="204" spans="23:27" x14ac:dyDescent="0.2">
      <c r="W204" s="173" t="str">
        <f t="shared" si="13"/>
        <v>1D</v>
      </c>
      <c r="X204" s="180">
        <f>_xll.qlCalendarAdvance(LiborCalendar,X203,W204,"f",FALSE)</f>
        <v>42213</v>
      </c>
      <c r="Y204" s="174">
        <f>_xll.qlInterestRateIndexValueDate(IborIndex,X204)</f>
        <v>42215</v>
      </c>
      <c r="Z204" s="175">
        <v>1.4174280247540607E-3</v>
      </c>
      <c r="AA204" s="177">
        <v>1.4076205411150955E-3</v>
      </c>
    </row>
    <row r="205" spans="23:27" x14ac:dyDescent="0.2">
      <c r="W205" s="173" t="str">
        <f t="shared" si="13"/>
        <v>1D</v>
      </c>
      <c r="X205" s="180">
        <f>_xll.qlCalendarAdvance(LiborCalendar,X204,W205,"f",FALSE)</f>
        <v>42214</v>
      </c>
      <c r="Y205" s="174">
        <f>_xll.qlInterestRateIndexValueDate(IborIndex,X205)</f>
        <v>42216</v>
      </c>
      <c r="Z205" s="175">
        <v>1.4175823927825388E-3</v>
      </c>
      <c r="AA205" s="177">
        <v>1.3599645588228497E-3</v>
      </c>
    </row>
    <row r="206" spans="23:27" x14ac:dyDescent="0.2">
      <c r="W206" s="173" t="str">
        <f t="shared" si="13"/>
        <v>1D</v>
      </c>
      <c r="X206" s="180">
        <f>_xll.qlCalendarAdvance(LiborCalendar,X205,W206,"f",FALSE)</f>
        <v>42215</v>
      </c>
      <c r="Y206" s="174">
        <f>_xll.qlInterestRateIndexValueDate(IborIndex,X206)</f>
        <v>42219</v>
      </c>
      <c r="Z206" s="175">
        <v>1.4201747505171931E-3</v>
      </c>
      <c r="AA206" s="177">
        <v>1.3098383866594343E-3</v>
      </c>
    </row>
    <row r="207" spans="23:27" x14ac:dyDescent="0.2">
      <c r="W207" s="173" t="str">
        <f t="shared" si="13"/>
        <v>1D</v>
      </c>
      <c r="X207" s="180">
        <f>_xll.qlCalendarAdvance(LiborCalendar,X206,W207,"f",FALSE)</f>
        <v>42216</v>
      </c>
      <c r="Y207" s="174">
        <f>_xll.qlInterestRateIndexValueDate(IborIndex,X207)</f>
        <v>42220</v>
      </c>
      <c r="Z207" s="175">
        <v>1.4211259504542698E-3</v>
      </c>
      <c r="AA207" s="177">
        <v>1.2839407127773761E-3</v>
      </c>
    </row>
    <row r="208" spans="23:27" x14ac:dyDescent="0.2">
      <c r="W208" s="173" t="str">
        <f t="shared" si="13"/>
        <v>1D</v>
      </c>
      <c r="X208" s="180">
        <f>_xll.qlCalendarAdvance(LiborCalendar,X207,W208,"f",FALSE)</f>
        <v>42219</v>
      </c>
      <c r="Y208" s="174">
        <f>_xll.qlInterestRateIndexValueDate(IborIndex,X208)</f>
        <v>42221</v>
      </c>
      <c r="Z208" s="175">
        <v>1.4222161851103019E-3</v>
      </c>
      <c r="AA208" s="177">
        <v>1.2592695567570367E-3</v>
      </c>
    </row>
    <row r="209" spans="23:27" x14ac:dyDescent="0.2">
      <c r="W209" s="173" t="str">
        <f t="shared" si="13"/>
        <v>1D</v>
      </c>
      <c r="X209" s="180">
        <f>_xll.qlCalendarAdvance(LiborCalendar,X208,W209,"f",FALSE)</f>
        <v>42220</v>
      </c>
      <c r="Y209" s="174">
        <f>_xll.qlInterestRateIndexValueDate(IborIndex,X209)</f>
        <v>42222</v>
      </c>
      <c r="Z209" s="175">
        <v>1.4239175131241528E-3</v>
      </c>
      <c r="AA209" s="177">
        <v>1.2362178252944833E-3</v>
      </c>
    </row>
    <row r="210" spans="23:27" x14ac:dyDescent="0.2">
      <c r="W210" s="173" t="str">
        <f t="shared" si="13"/>
        <v>1D</v>
      </c>
      <c r="X210" s="180">
        <f>_xll.qlCalendarAdvance(LiborCalendar,X209,W210,"f",FALSE)</f>
        <v>42221</v>
      </c>
      <c r="Y210" s="174">
        <f>_xll.qlInterestRateIndexValueDate(IborIndex,X210)</f>
        <v>42223</v>
      </c>
      <c r="Z210" s="175">
        <v>1.4250188174252314E-3</v>
      </c>
      <c r="AA210" s="177">
        <v>1.1955163579805788E-3</v>
      </c>
    </row>
    <row r="211" spans="23:27" x14ac:dyDescent="0.2">
      <c r="W211" s="173" t="str">
        <f t="shared" si="13"/>
        <v>1D</v>
      </c>
      <c r="X211" s="180">
        <f>_xll.qlCalendarAdvance(LiborCalendar,X210,W211,"f",FALSE)</f>
        <v>42222</v>
      </c>
      <c r="Y211" s="174">
        <f>_xll.qlInterestRateIndexValueDate(IborIndex,X211)</f>
        <v>42226</v>
      </c>
      <c r="Z211" s="175">
        <v>1.4294811814717587E-3</v>
      </c>
      <c r="AA211" s="177">
        <v>1.1602051387005208E-3</v>
      </c>
    </row>
    <row r="212" spans="23:27" x14ac:dyDescent="0.2">
      <c r="W212" s="173" t="str">
        <f t="shared" si="13"/>
        <v>1D</v>
      </c>
      <c r="X212" s="180">
        <f>_xll.qlCalendarAdvance(LiborCalendar,X211,W212,"f",FALSE)</f>
        <v>42223</v>
      </c>
      <c r="Y212" s="174">
        <f>_xll.qlInterestRateIndexValueDate(IborIndex,X212)</f>
        <v>42227</v>
      </c>
      <c r="Z212" s="175">
        <v>1.4314357433654642E-3</v>
      </c>
      <c r="AA212" s="177">
        <v>1.1452505255693524E-3</v>
      </c>
    </row>
    <row r="213" spans="23:27" x14ac:dyDescent="0.2">
      <c r="W213" s="173" t="str">
        <f t="shared" ref="W213:W276" si="14">W212</f>
        <v>1D</v>
      </c>
      <c r="X213" s="180">
        <f>_xll.qlCalendarAdvance(LiborCalendar,X212,W213,"f",FALSE)</f>
        <v>42226</v>
      </c>
      <c r="Y213" s="174">
        <f>_xll.qlInterestRateIndexValueDate(IborIndex,X213)</f>
        <v>42228</v>
      </c>
      <c r="Z213" s="175">
        <v>1.4330718641438226E-3</v>
      </c>
      <c r="AA213" s="177">
        <v>1.1319153354560907E-3</v>
      </c>
    </row>
    <row r="214" spans="23:27" x14ac:dyDescent="0.2">
      <c r="W214" s="173" t="str">
        <f t="shared" si="14"/>
        <v>1D</v>
      </c>
      <c r="X214" s="180">
        <f>_xll.qlCalendarAdvance(LiborCalendar,X213,W214,"f",FALSE)</f>
        <v>42227</v>
      </c>
      <c r="Y214" s="174">
        <f>_xll.qlInterestRateIndexValueDate(IborIndex,X214)</f>
        <v>42229</v>
      </c>
      <c r="Z214" s="175">
        <v>1.4353373108956556E-3</v>
      </c>
      <c r="AA214" s="177">
        <v>1.1201995681986432E-3</v>
      </c>
    </row>
    <row r="215" spans="23:27" x14ac:dyDescent="0.2">
      <c r="W215" s="173" t="str">
        <f t="shared" si="14"/>
        <v>1D</v>
      </c>
      <c r="X215" s="180">
        <f>_xll.qlCalendarAdvance(LiborCalendar,X214,W215,"f",FALSE)</f>
        <v>42228</v>
      </c>
      <c r="Y215" s="174">
        <f>_xll.qlInterestRateIndexValueDate(IborIndex,X215)</f>
        <v>42230</v>
      </c>
      <c r="Z215" s="175">
        <v>1.4371192946015972E-3</v>
      </c>
      <c r="AA215" s="177">
        <v>1.1021694369817148E-3</v>
      </c>
    </row>
    <row r="216" spans="23:27" x14ac:dyDescent="0.2">
      <c r="W216" s="173" t="str">
        <f t="shared" si="14"/>
        <v>1D</v>
      </c>
      <c r="X216" s="180">
        <f>_xll.qlCalendarAdvance(LiborCalendar,X215,W216,"f",FALSE)</f>
        <v>42229</v>
      </c>
      <c r="Y216" s="174">
        <f>_xll.qlInterestRateIndexValueDate(IborIndex,X216)</f>
        <v>42233</v>
      </c>
      <c r="Z216" s="175">
        <v>1.4431536526343901E-3</v>
      </c>
      <c r="AA216" s="177">
        <v>1.0895307243230512E-3</v>
      </c>
    </row>
    <row r="217" spans="23:27" x14ac:dyDescent="0.2">
      <c r="W217" s="173" t="str">
        <f t="shared" si="14"/>
        <v>1D</v>
      </c>
      <c r="X217" s="180">
        <f>_xll.qlCalendarAdvance(LiborCalendar,X216,W217,"f",FALSE)</f>
        <v>42230</v>
      </c>
      <c r="Y217" s="174">
        <f>_xll.qlInterestRateIndexValueDate(IborIndex,X217)</f>
        <v>42234</v>
      </c>
      <c r="Z217" s="175">
        <v>1.4452901232856524E-3</v>
      </c>
      <c r="AA217" s="177">
        <v>1.0859120692374713E-3</v>
      </c>
    </row>
    <row r="218" spans="23:27" x14ac:dyDescent="0.2">
      <c r="W218" s="173" t="str">
        <f t="shared" si="14"/>
        <v>1D</v>
      </c>
      <c r="X218" s="180">
        <f>_xll.qlCalendarAdvance(LiborCalendar,X217,W218,"f",FALSE)</f>
        <v>42233</v>
      </c>
      <c r="Y218" s="174">
        <f>_xll.qlInterestRateIndexValueDate(IborIndex,X218)</f>
        <v>42235</v>
      </c>
      <c r="Z218" s="175">
        <v>1.4474464102689683E-3</v>
      </c>
      <c r="AA218" s="177">
        <v>1.083912836278289E-3</v>
      </c>
    </row>
    <row r="219" spans="23:27" x14ac:dyDescent="0.2">
      <c r="W219" s="173" t="str">
        <f t="shared" si="14"/>
        <v>1D</v>
      </c>
      <c r="X219" s="180">
        <f>_xll.qlCalendarAdvance(LiborCalendar,X218,W219,"f",FALSE)</f>
        <v>42234</v>
      </c>
      <c r="Y219" s="174">
        <f>_xll.qlInterestRateIndexValueDate(IborIndex,X219)</f>
        <v>42236</v>
      </c>
      <c r="Z219" s="175">
        <v>1.4498200875918471E-3</v>
      </c>
      <c r="AA219" s="177">
        <v>1.0835330255265507E-3</v>
      </c>
    </row>
    <row r="220" spans="23:27" x14ac:dyDescent="0.2">
      <c r="W220" s="173" t="str">
        <f t="shared" si="14"/>
        <v>1D</v>
      </c>
      <c r="X220" s="180">
        <f>_xll.qlCalendarAdvance(LiborCalendar,X219,W220,"f",FALSE)</f>
        <v>42235</v>
      </c>
      <c r="Y220" s="174">
        <f>_xll.qlInterestRateIndexValueDate(IborIndex,X220)</f>
        <v>42237</v>
      </c>
      <c r="Z220" s="175">
        <v>1.4518759396318444E-3</v>
      </c>
      <c r="AA220" s="177">
        <v>1.0881747221143843E-3</v>
      </c>
    </row>
    <row r="221" spans="23:27" x14ac:dyDescent="0.2">
      <c r="W221" s="173" t="str">
        <f t="shared" si="14"/>
        <v>1D</v>
      </c>
      <c r="X221" s="180">
        <f>_xll.qlCalendarAdvance(LiborCalendar,X220,W221,"f",FALSE)</f>
        <v>42236</v>
      </c>
      <c r="Y221" s="174">
        <f>_xll.qlInterestRateIndexValueDate(IborIndex,X221)</f>
        <v>42240</v>
      </c>
      <c r="Z221" s="175">
        <v>1.4582217664940843E-3</v>
      </c>
      <c r="AA221" s="177">
        <v>1.0982080045129905E-3</v>
      </c>
    </row>
    <row r="222" spans="23:27" x14ac:dyDescent="0.2">
      <c r="W222" s="173" t="str">
        <f t="shared" si="14"/>
        <v>1D</v>
      </c>
      <c r="X222" s="180">
        <f>_xll.qlCalendarAdvance(LiborCalendar,X221,W222,"f",FALSE)</f>
        <v>42237</v>
      </c>
      <c r="Y222" s="174">
        <f>_xll.qlInterestRateIndexValueDate(IborIndex,X222)</f>
        <v>42241</v>
      </c>
      <c r="Z222" s="175">
        <v>1.4603149567334836E-3</v>
      </c>
      <c r="AA222" s="177">
        <v>1.1059253049605644E-3</v>
      </c>
    </row>
    <row r="223" spans="23:27" x14ac:dyDescent="0.2">
      <c r="W223" s="173" t="str">
        <f t="shared" si="14"/>
        <v>1D</v>
      </c>
      <c r="X223" s="180">
        <f>_xll.qlCalendarAdvance(LiborCalendar,X222,W223,"f",FALSE)</f>
        <v>42240</v>
      </c>
      <c r="Y223" s="174">
        <f>_xll.qlInterestRateIndexValueDate(IborIndex,X223)</f>
        <v>42242</v>
      </c>
      <c r="Z223" s="175">
        <v>1.4623672980425577E-3</v>
      </c>
      <c r="AA223" s="177">
        <v>1.1152620279397674E-3</v>
      </c>
    </row>
    <row r="224" spans="23:27" x14ac:dyDescent="0.2">
      <c r="W224" s="173" t="str">
        <f t="shared" si="14"/>
        <v>1D</v>
      </c>
      <c r="X224" s="180">
        <f>_xll.qlCalendarAdvance(LiborCalendar,X223,W224,"f",FALSE)</f>
        <v>42241</v>
      </c>
      <c r="Y224" s="174">
        <f>_xll.qlInterestRateIndexValueDate(IborIndex,X224)</f>
        <v>42243</v>
      </c>
      <c r="Z224" s="175">
        <v>1.4644252454495874E-3</v>
      </c>
      <c r="AA224" s="177">
        <v>1.1262181735316457E-3</v>
      </c>
    </row>
    <row r="225" spans="23:27" x14ac:dyDescent="0.2">
      <c r="W225" s="173" t="str">
        <f t="shared" si="14"/>
        <v>1D</v>
      </c>
      <c r="X225" s="180">
        <f>_xll.qlCalendarAdvance(LiborCalendar,X224,W225,"f",FALSE)</f>
        <v>42242</v>
      </c>
      <c r="Y225" s="174">
        <f>_xll.qlInterestRateIndexValueDate(IborIndex,X225)</f>
        <v>42244</v>
      </c>
      <c r="Z225" s="175">
        <v>1.4663322600558266E-3</v>
      </c>
      <c r="AA225" s="177">
        <v>1.1617111974024374E-3</v>
      </c>
    </row>
    <row r="226" spans="23:27" x14ac:dyDescent="0.2">
      <c r="W226" s="173" t="str">
        <f t="shared" si="14"/>
        <v>1D</v>
      </c>
      <c r="X226" s="180">
        <f>_xll.qlCalendarAdvance(LiborCalendar,X225,W226,"f",FALSE)</f>
        <v>42243</v>
      </c>
      <c r="Y226" s="174">
        <f>_xll.qlInterestRateIndexValueDate(IborIndex,X226)</f>
        <v>42248</v>
      </c>
      <c r="Z226" s="175">
        <v>1.4733765799874049E-3</v>
      </c>
      <c r="AA226" s="177">
        <v>1.2052902459491754E-3</v>
      </c>
    </row>
    <row r="227" spans="23:27" x14ac:dyDescent="0.2">
      <c r="W227" s="173" t="str">
        <f t="shared" si="14"/>
        <v>1D</v>
      </c>
      <c r="X227" s="180">
        <f>_xll.qlCalendarAdvance(LiborCalendar,X226,W227,"f",FALSE)</f>
        <v>42244</v>
      </c>
      <c r="Y227" s="174">
        <f>_xll.qlInterestRateIndexValueDate(IborIndex,X227)</f>
        <v>42249</v>
      </c>
      <c r="Z227" s="175">
        <v>1.4749156667509351E-3</v>
      </c>
      <c r="AA227" s="177">
        <v>1.2259629308641884E-3</v>
      </c>
    </row>
    <row r="228" spans="23:27" x14ac:dyDescent="0.2">
      <c r="W228" s="173" t="str">
        <f t="shared" si="14"/>
        <v>1D</v>
      </c>
      <c r="X228" s="180">
        <f>_xll.qlCalendarAdvance(LiborCalendar,X227,W228,"f",FALSE)</f>
        <v>42248</v>
      </c>
      <c r="Y228" s="174">
        <f>_xll.qlInterestRateIndexValueDate(IborIndex,X228)</f>
        <v>42250</v>
      </c>
      <c r="Z228" s="175">
        <v>1.4763433193457594E-3</v>
      </c>
      <c r="AA228" s="177">
        <v>1.2482550398507097E-3</v>
      </c>
    </row>
    <row r="229" spans="23:27" x14ac:dyDescent="0.2">
      <c r="W229" s="173" t="str">
        <f t="shared" si="14"/>
        <v>1D</v>
      </c>
      <c r="X229" s="180">
        <f>_xll.qlCalendarAdvance(LiborCalendar,X228,W229,"f",FALSE)</f>
        <v>42249</v>
      </c>
      <c r="Y229" s="174">
        <f>_xll.qlInterestRateIndexValueDate(IborIndex,X229)</f>
        <v>42251</v>
      </c>
      <c r="Z229" s="175">
        <v>1.477650775823349E-3</v>
      </c>
      <c r="AA229" s="177">
        <v>1.2945080978388204E-3</v>
      </c>
    </row>
    <row r="230" spans="23:27" x14ac:dyDescent="0.2">
      <c r="W230" s="173" t="str">
        <f t="shared" si="14"/>
        <v>1D</v>
      </c>
      <c r="X230" s="180">
        <f>_xll.qlCalendarAdvance(LiborCalendar,X229,W230,"f",FALSE)</f>
        <v>42250</v>
      </c>
      <c r="Y230" s="174">
        <f>_xll.qlInterestRateIndexValueDate(IborIndex,X230)</f>
        <v>42254</v>
      </c>
      <c r="Z230" s="175">
        <v>1.4808250978826222E-3</v>
      </c>
      <c r="AA230" s="177">
        <v>1.3382675216710993E-3</v>
      </c>
    </row>
    <row r="231" spans="23:27" x14ac:dyDescent="0.2">
      <c r="W231" s="173" t="str">
        <f t="shared" si="14"/>
        <v>1D</v>
      </c>
      <c r="X231" s="180">
        <f>_xll.qlCalendarAdvance(LiborCalendar,X230,W231,"f",FALSE)</f>
        <v>42251</v>
      </c>
      <c r="Y231" s="174">
        <f>_xll.qlInterestRateIndexValueDate(IborIndex,X231)</f>
        <v>42255</v>
      </c>
      <c r="Z231" s="175">
        <v>1.4816473988751946E-3</v>
      </c>
      <c r="AA231" s="177">
        <v>1.3586998670822581E-3</v>
      </c>
    </row>
    <row r="232" spans="23:27" x14ac:dyDescent="0.2">
      <c r="W232" s="173" t="str">
        <f t="shared" si="14"/>
        <v>1D</v>
      </c>
      <c r="X232" s="180">
        <f>_xll.qlCalendarAdvance(LiborCalendar,X231,W232,"f",FALSE)</f>
        <v>42254</v>
      </c>
      <c r="Y232" s="174">
        <f>_xll.qlInterestRateIndexValueDate(IborIndex,X232)</f>
        <v>42256</v>
      </c>
      <c r="Z232" s="175">
        <v>1.4823596931216373E-3</v>
      </c>
      <c r="AA232" s="177">
        <v>1.378262414973852E-3</v>
      </c>
    </row>
    <row r="233" spans="23:27" x14ac:dyDescent="0.2">
      <c r="W233" s="173" t="str">
        <f t="shared" si="14"/>
        <v>1D</v>
      </c>
      <c r="X233" s="180">
        <f>_xll.qlCalendarAdvance(LiborCalendar,X232,W233,"f",FALSE)</f>
        <v>42255</v>
      </c>
      <c r="Y233" s="174">
        <f>_xll.qlInterestRateIndexValueDate(IborIndex,X233)</f>
        <v>42257</v>
      </c>
      <c r="Z233" s="175">
        <v>1.4829667185225714E-3</v>
      </c>
      <c r="AA233" s="177">
        <v>1.3969551654269274E-3</v>
      </c>
    </row>
    <row r="234" spans="23:27" x14ac:dyDescent="0.2">
      <c r="W234" s="173" t="str">
        <f t="shared" si="14"/>
        <v>1D</v>
      </c>
      <c r="X234" s="180">
        <f>_xll.qlCalendarAdvance(LiborCalendar,X233,W234,"f",FALSE)</f>
        <v>42256</v>
      </c>
      <c r="Y234" s="174">
        <f>_xll.qlInterestRateIndexValueDate(IborIndex,X234)</f>
        <v>42258</v>
      </c>
      <c r="Z234" s="175">
        <v>1.483473213001896E-3</v>
      </c>
      <c r="AA234" s="177">
        <v>1.4314469540199772E-3</v>
      </c>
    </row>
    <row r="235" spans="23:27" x14ac:dyDescent="0.2">
      <c r="W235" s="173" t="str">
        <f t="shared" si="14"/>
        <v>1D</v>
      </c>
      <c r="X235" s="180">
        <f>_xll.qlCalendarAdvance(LiborCalendar,X234,W235,"f",FALSE)</f>
        <v>42257</v>
      </c>
      <c r="Y235" s="174">
        <f>_xll.qlInterestRateIndexValueDate(IborIndex,X235)</f>
        <v>42261</v>
      </c>
      <c r="Z235" s="175">
        <v>1.4844368904417208E-3</v>
      </c>
      <c r="AA235" s="177">
        <v>1.4630281892069608E-3</v>
      </c>
    </row>
    <row r="236" spans="23:27" x14ac:dyDescent="0.2">
      <c r="W236" s="173" t="str">
        <f t="shared" si="14"/>
        <v>1D</v>
      </c>
      <c r="X236" s="180">
        <f>_xll.qlCalendarAdvance(LiborCalendar,X235,W236,"f",FALSE)</f>
        <v>42258</v>
      </c>
      <c r="Y236" s="174">
        <f>_xll.qlInterestRateIndexValueDate(IborIndex,X236)</f>
        <v>42262</v>
      </c>
      <c r="Z236" s="175">
        <v>1.4845886408500041E-3</v>
      </c>
      <c r="AA236" s="177">
        <v>1.4773719501981475E-3</v>
      </c>
    </row>
    <row r="237" spans="23:27" x14ac:dyDescent="0.2">
      <c r="W237" s="173" t="str">
        <f t="shared" si="14"/>
        <v>1D</v>
      </c>
      <c r="X237" s="180">
        <f>_xll.qlCalendarAdvance(LiborCalendar,X236,W237,"f",FALSE)</f>
        <v>42261</v>
      </c>
      <c r="Y237" s="174">
        <f>_xll.qlInterestRateIndexValueDate(IborIndex,X237)</f>
        <v>42263</v>
      </c>
      <c r="Z237" s="175">
        <v>1.4846635502197003E-3</v>
      </c>
      <c r="AA237" s="177">
        <v>1.4908459128593066E-3</v>
      </c>
    </row>
    <row r="238" spans="23:27" x14ac:dyDescent="0.2">
      <c r="W238" s="173" t="str">
        <f t="shared" si="14"/>
        <v>1D</v>
      </c>
      <c r="X238" s="180">
        <f>_xll.qlCalendarAdvance(LiborCalendar,X237,W238,"f",FALSE)</f>
        <v>42262</v>
      </c>
      <c r="Y238" s="174">
        <f>_xll.qlInterestRateIndexValueDate(IborIndex,X238)</f>
        <v>42264</v>
      </c>
      <c r="Z238" s="175">
        <v>1.4846663565656253E-3</v>
      </c>
      <c r="AA238" s="177">
        <v>1.5034500772714843E-3</v>
      </c>
    </row>
    <row r="239" spans="23:27" x14ac:dyDescent="0.2">
      <c r="W239" s="173" t="str">
        <f t="shared" si="14"/>
        <v>1D</v>
      </c>
      <c r="X239" s="180">
        <f>_xll.qlCalendarAdvance(LiborCalendar,X238,W239,"f",FALSE)</f>
        <v>42263</v>
      </c>
      <c r="Y239" s="174">
        <f>_xll.qlInterestRateIndexValueDate(IborIndex,X239)</f>
        <v>42265</v>
      </c>
      <c r="Z239" s="175">
        <v>1.4846017979105001E-3</v>
      </c>
      <c r="AA239" s="177">
        <v>1.5257654556447935E-3</v>
      </c>
    </row>
    <row r="240" spans="23:27" x14ac:dyDescent="0.2">
      <c r="W240" s="173" t="str">
        <f t="shared" si="14"/>
        <v>1D</v>
      </c>
      <c r="X240" s="180">
        <f>_xll.qlCalendarAdvance(LiborCalendar,X239,W240,"f",FALSE)</f>
        <v>42264</v>
      </c>
      <c r="Y240" s="174">
        <f>_xll.qlInterestRateIndexValueDate(IborIndex,X240)</f>
        <v>42271</v>
      </c>
      <c r="Z240" s="175">
        <v>1.483065110898137E-3</v>
      </c>
      <c r="AA240" s="177">
        <v>1.5673248679459739E-3</v>
      </c>
    </row>
    <row r="241" spans="23:27" x14ac:dyDescent="0.2">
      <c r="W241" s="173" t="str">
        <f t="shared" si="14"/>
        <v>1D</v>
      </c>
      <c r="X241" s="180">
        <f>_xll.qlCalendarAdvance(LiborCalendar,X240,W241,"f",FALSE)</f>
        <v>42265</v>
      </c>
      <c r="Y241" s="174">
        <f>_xll.qlInterestRateIndexValueDate(IborIndex,X241)</f>
        <v>42271</v>
      </c>
      <c r="Z241" s="175">
        <v>1.483065110898137E-3</v>
      </c>
      <c r="AA241" s="177">
        <v>1.5673248679459739E-3</v>
      </c>
    </row>
    <row r="242" spans="23:27" x14ac:dyDescent="0.2">
      <c r="W242" s="173" t="str">
        <f t="shared" si="14"/>
        <v>1D</v>
      </c>
      <c r="X242" s="180">
        <f>_xll.qlCalendarAdvance(LiborCalendar,X241,W242,"f",FALSE)</f>
        <v>42268</v>
      </c>
      <c r="Y242" s="174">
        <f>_xll.qlInterestRateIndexValueDate(IborIndex,X242)</f>
        <v>42271</v>
      </c>
      <c r="Z242" s="175">
        <v>1.483065110898137E-3</v>
      </c>
      <c r="AA242" s="177">
        <v>1.5673248679459739E-3</v>
      </c>
    </row>
    <row r="243" spans="23:27" x14ac:dyDescent="0.2">
      <c r="W243" s="173" t="str">
        <f t="shared" si="14"/>
        <v>1D</v>
      </c>
      <c r="X243" s="180">
        <f>_xll.qlCalendarAdvance(LiborCalendar,X242,W243,"f",FALSE)</f>
        <v>42269</v>
      </c>
      <c r="Y243" s="174">
        <f>_xll.qlInterestRateIndexValueDate(IborIndex,X243)</f>
        <v>42271</v>
      </c>
      <c r="Z243" s="175">
        <v>1.483065110898137E-3</v>
      </c>
      <c r="AA243" s="177">
        <v>1.5673248679459739E-3</v>
      </c>
    </row>
    <row r="244" spans="23:27" x14ac:dyDescent="0.2">
      <c r="W244" s="173" t="str">
        <f t="shared" si="14"/>
        <v>1D</v>
      </c>
      <c r="X244" s="180">
        <f>_xll.qlCalendarAdvance(LiborCalendar,X243,W244,"f",FALSE)</f>
        <v>42270</v>
      </c>
      <c r="Y244" s="174">
        <f>_xll.qlInterestRateIndexValueDate(IborIndex,X244)</f>
        <v>42272</v>
      </c>
      <c r="Z244" s="175">
        <v>1.4824782024386843E-3</v>
      </c>
      <c r="AA244" s="177">
        <v>1.5774635035936682E-3</v>
      </c>
    </row>
    <row r="245" spans="23:27" x14ac:dyDescent="0.2">
      <c r="W245" s="173" t="str">
        <f t="shared" si="14"/>
        <v>1D</v>
      </c>
      <c r="X245" s="180">
        <f>_xll.qlCalendarAdvance(LiborCalendar,X244,W245,"f",FALSE)</f>
        <v>42271</v>
      </c>
      <c r="Y245" s="174">
        <f>_xll.qlInterestRateIndexValueDate(IborIndex,X245)</f>
        <v>42275</v>
      </c>
      <c r="Z245" s="175">
        <v>1.4812561085595039E-3</v>
      </c>
      <c r="AA245" s="177">
        <v>1.5846891745463498E-3</v>
      </c>
    </row>
    <row r="246" spans="23:27" x14ac:dyDescent="0.2">
      <c r="W246" s="173" t="str">
        <f t="shared" si="14"/>
        <v>1D</v>
      </c>
      <c r="X246" s="180">
        <f>_xll.qlCalendarAdvance(LiborCalendar,X245,W246,"f",FALSE)</f>
        <v>42272</v>
      </c>
      <c r="Y246" s="174">
        <f>_xll.qlInterestRateIndexValueDate(IborIndex,X246)</f>
        <v>42276</v>
      </c>
      <c r="Z246" s="175">
        <v>1.4808006410596817E-3</v>
      </c>
      <c r="AA246" s="177">
        <v>1.5868557537301875E-3</v>
      </c>
    </row>
    <row r="247" spans="23:27" x14ac:dyDescent="0.2">
      <c r="W247" s="173" t="str">
        <f t="shared" si="14"/>
        <v>1D</v>
      </c>
      <c r="X247" s="180">
        <f>_xll.qlCalendarAdvance(LiborCalendar,X246,W247,"f",FALSE)</f>
        <v>42275</v>
      </c>
      <c r="Y247" s="174">
        <f>_xll.qlInterestRateIndexValueDate(IborIndex,X247)</f>
        <v>42277</v>
      </c>
      <c r="Z247" s="175">
        <v>1.4802678030678513E-3</v>
      </c>
      <c r="AA247" s="177">
        <v>1.5881525339356273E-3</v>
      </c>
    </row>
    <row r="248" spans="23:27" x14ac:dyDescent="0.2">
      <c r="W248" s="173" t="str">
        <f t="shared" si="14"/>
        <v>1D</v>
      </c>
      <c r="X248" s="180">
        <f>_xll.qlCalendarAdvance(LiborCalendar,X247,W248,"f",FALSE)</f>
        <v>42276</v>
      </c>
      <c r="Y248" s="174">
        <f>_xll.qlInterestRateIndexValueDate(IborIndex,X248)</f>
        <v>42278</v>
      </c>
      <c r="Z248" s="175">
        <v>1.4797627167955911E-3</v>
      </c>
      <c r="AA248" s="177">
        <v>1.5885795151626692E-3</v>
      </c>
    </row>
    <row r="249" spans="23:27" x14ac:dyDescent="0.2">
      <c r="W249" s="173" t="str">
        <f t="shared" si="14"/>
        <v>1D</v>
      </c>
      <c r="X249" s="180">
        <f>_xll.qlCalendarAdvance(LiborCalendar,X248,W249,"f",FALSE)</f>
        <v>42277</v>
      </c>
      <c r="Y249" s="174">
        <f>_xll.qlInterestRateIndexValueDate(IborIndex,X249)</f>
        <v>42279</v>
      </c>
      <c r="Z249" s="175">
        <v>1.4792186889216524E-3</v>
      </c>
      <c r="AA249" s="177">
        <v>1.5865410435655927E-3</v>
      </c>
    </row>
    <row r="250" spans="23:27" x14ac:dyDescent="0.2">
      <c r="W250" s="173" t="str">
        <f t="shared" si="14"/>
        <v>1D</v>
      </c>
      <c r="X250" s="180">
        <f>_xll.qlCalendarAdvance(LiborCalendar,X249,W250,"f",FALSE)</f>
        <v>42278</v>
      </c>
      <c r="Y250" s="174">
        <f>_xll.qlInterestRateIndexValueDate(IborIndex,X250)</f>
        <v>42282</v>
      </c>
      <c r="Z250" s="175">
        <v>1.4777794314847475E-3</v>
      </c>
      <c r="AA250" s="177">
        <v>1.5815894496384875E-3</v>
      </c>
    </row>
    <row r="251" spans="23:27" x14ac:dyDescent="0.2">
      <c r="W251" s="173" t="str">
        <f t="shared" si="14"/>
        <v>1D</v>
      </c>
      <c r="X251" s="180">
        <f>_xll.qlCalendarAdvance(LiborCalendar,X250,W251,"f",FALSE)</f>
        <v>42279</v>
      </c>
      <c r="Y251" s="174">
        <f>_xll.qlInterestRateIndexValueDate(IborIndex,X251)</f>
        <v>42283</v>
      </c>
      <c r="Z251" s="175">
        <v>1.4773164357599281E-3</v>
      </c>
      <c r="AA251" s="177">
        <v>1.5776674358114473E-3</v>
      </c>
    </row>
    <row r="252" spans="23:27" x14ac:dyDescent="0.2">
      <c r="W252" s="173" t="str">
        <f t="shared" si="14"/>
        <v>1D</v>
      </c>
      <c r="X252" s="180">
        <f>_xll.qlCalendarAdvance(LiborCalendar,X251,W252,"f",FALSE)</f>
        <v>42282</v>
      </c>
      <c r="Y252" s="174">
        <f>_xll.qlInterestRateIndexValueDate(IborIndex,X252)</f>
        <v>42284</v>
      </c>
      <c r="Z252" s="175">
        <v>1.4768759945236588E-3</v>
      </c>
      <c r="AA252" s="177">
        <v>1.5730462390428634E-3</v>
      </c>
    </row>
    <row r="253" spans="23:27" x14ac:dyDescent="0.2">
      <c r="W253" s="173" t="str">
        <f t="shared" si="14"/>
        <v>1D</v>
      </c>
      <c r="X253" s="180">
        <f>_xll.qlCalendarAdvance(LiborCalendar,X252,W253,"f",FALSE)</f>
        <v>42283</v>
      </c>
      <c r="Y253" s="174">
        <f>_xll.qlInterestRateIndexValueDate(IborIndex,X253)</f>
        <v>42285</v>
      </c>
      <c r="Z253" s="175">
        <v>1.4764618996516055E-3</v>
      </c>
      <c r="AA253" s="177">
        <v>1.568408323561199E-3</v>
      </c>
    </row>
    <row r="254" spans="23:27" x14ac:dyDescent="0.2">
      <c r="W254" s="173" t="str">
        <f t="shared" si="14"/>
        <v>1D</v>
      </c>
      <c r="X254" s="180">
        <f>_xll.qlCalendarAdvance(LiborCalendar,X253,W254,"f",FALSE)</f>
        <v>42284</v>
      </c>
      <c r="Y254" s="174">
        <f>_xll.qlInterestRateIndexValueDate(IborIndex,X254)</f>
        <v>42286</v>
      </c>
      <c r="Z254" s="175">
        <v>1.4760902424239028E-3</v>
      </c>
      <c r="AA254" s="177">
        <v>1.5596521480047236E-3</v>
      </c>
    </row>
    <row r="255" spans="23:27" x14ac:dyDescent="0.2">
      <c r="W255" s="173" t="str">
        <f t="shared" si="14"/>
        <v>1D</v>
      </c>
      <c r="X255" s="180">
        <f>_xll.qlCalendarAdvance(LiborCalendar,X254,W255,"f",FALSE)</f>
        <v>42285</v>
      </c>
      <c r="Y255" s="174">
        <f>_xll.qlInterestRateIndexValueDate(IborIndex,X255)</f>
        <v>42290</v>
      </c>
      <c r="Z255" s="175">
        <v>1.4747720975251833E-3</v>
      </c>
      <c r="AA255" s="177">
        <v>1.5475272057663414E-3</v>
      </c>
    </row>
    <row r="256" spans="23:27" x14ac:dyDescent="0.2">
      <c r="W256" s="173" t="str">
        <f t="shared" si="14"/>
        <v>1D</v>
      </c>
      <c r="X256" s="180">
        <f>_xll.qlCalendarAdvance(LiborCalendar,X255,W256,"f",FALSE)</f>
        <v>42286</v>
      </c>
      <c r="Y256" s="174">
        <f>_xll.qlInterestRateIndexValueDate(IborIndex,X256)</f>
        <v>42290</v>
      </c>
      <c r="Z256" s="175">
        <v>1.4747720975251833E-3</v>
      </c>
      <c r="AA256" s="177">
        <v>1.5475272057663414E-3</v>
      </c>
    </row>
    <row r="257" spans="23:27" x14ac:dyDescent="0.2">
      <c r="W257" s="173" t="str">
        <f t="shared" si="14"/>
        <v>1D</v>
      </c>
      <c r="X257" s="180">
        <f>_xll.qlCalendarAdvance(LiborCalendar,X256,W257,"f",FALSE)</f>
        <v>42289</v>
      </c>
      <c r="Y257" s="174">
        <f>_xll.qlInterestRateIndexValueDate(IborIndex,X257)</f>
        <v>42291</v>
      </c>
      <c r="Z257" s="175">
        <v>1.4745046061955505E-3</v>
      </c>
      <c r="AA257" s="177">
        <v>1.5438126739841795E-3</v>
      </c>
    </row>
    <row r="258" spans="23:27" x14ac:dyDescent="0.2">
      <c r="W258" s="173" t="str">
        <f t="shared" si="14"/>
        <v>1D</v>
      </c>
      <c r="X258" s="180">
        <f>_xll.qlCalendarAdvance(LiborCalendar,X257,W258,"f",FALSE)</f>
        <v>42290</v>
      </c>
      <c r="Y258" s="174">
        <f>_xll.qlInterestRateIndexValueDate(IborIndex,X258)</f>
        <v>42292</v>
      </c>
      <c r="Z258" s="175">
        <v>1.4742587161209102E-3</v>
      </c>
      <c r="AA258" s="177">
        <v>1.5402520396068375E-3</v>
      </c>
    </row>
    <row r="259" spans="23:27" x14ac:dyDescent="0.2">
      <c r="W259" s="173" t="str">
        <f t="shared" si="14"/>
        <v>1D</v>
      </c>
      <c r="X259" s="180">
        <f>_xll.qlCalendarAdvance(LiborCalendar,X258,W259,"f",FALSE)</f>
        <v>42291</v>
      </c>
      <c r="Y259" s="174">
        <f>_xll.qlInterestRateIndexValueDate(IborIndex,X259)</f>
        <v>42293</v>
      </c>
      <c r="Z259" s="175">
        <v>1.474093191416313E-3</v>
      </c>
      <c r="AA259" s="177">
        <v>1.5336502057050618E-3</v>
      </c>
    </row>
    <row r="260" spans="23:27" x14ac:dyDescent="0.2">
      <c r="W260" s="173" t="str">
        <f t="shared" si="14"/>
        <v>1D</v>
      </c>
      <c r="X260" s="180">
        <f>_xll.qlCalendarAdvance(LiborCalendar,X259,W260,"f",FALSE)</f>
        <v>42292</v>
      </c>
      <c r="Y260" s="174">
        <f>_xll.qlInterestRateIndexValueDate(IborIndex,X260)</f>
        <v>42296</v>
      </c>
      <c r="Z260" s="175">
        <v>1.4734749817700498E-3</v>
      </c>
      <c r="AA260" s="177">
        <v>1.5275484746868351E-3</v>
      </c>
    </row>
    <row r="261" spans="23:27" x14ac:dyDescent="0.2">
      <c r="W261" s="173" t="str">
        <f t="shared" si="14"/>
        <v>1D</v>
      </c>
      <c r="X261" s="180">
        <f>_xll.qlCalendarAdvance(LiborCalendar,X260,W261,"f",FALSE)</f>
        <v>42293</v>
      </c>
      <c r="Y261" s="174">
        <f>_xll.qlInterestRateIndexValueDate(IborIndex,X261)</f>
        <v>42297</v>
      </c>
      <c r="Z261" s="175">
        <v>1.4733249580279866E-3</v>
      </c>
      <c r="AA261" s="177">
        <v>1.5247573266041758E-3</v>
      </c>
    </row>
    <row r="262" spans="23:27" x14ac:dyDescent="0.2">
      <c r="W262" s="173" t="str">
        <f t="shared" si="14"/>
        <v>1D</v>
      </c>
      <c r="X262" s="180">
        <f>_xll.qlCalendarAdvance(LiborCalendar,X261,W262,"f",FALSE)</f>
        <v>42296</v>
      </c>
      <c r="Y262" s="174">
        <f>_xll.qlInterestRateIndexValueDate(IborIndex,X262)</f>
        <v>42298</v>
      </c>
      <c r="Z262" s="175">
        <v>1.4731916795708636E-3</v>
      </c>
      <c r="AA262" s="177">
        <v>1.5221200757642439E-3</v>
      </c>
    </row>
    <row r="263" spans="23:27" x14ac:dyDescent="0.2">
      <c r="W263" s="173" t="str">
        <f t="shared" si="14"/>
        <v>1D</v>
      </c>
      <c r="X263" s="180">
        <f>_xll.qlCalendarAdvance(LiborCalendar,X262,W263,"f",FALSE)</f>
        <v>42297</v>
      </c>
      <c r="Y263" s="174">
        <f>_xll.qlInterestRateIndexValueDate(IborIndex,X263)</f>
        <v>42299</v>
      </c>
      <c r="Z263" s="175">
        <v>1.4730743370723041E-3</v>
      </c>
      <c r="AA263" s="177">
        <v>1.5196367221670393E-3</v>
      </c>
    </row>
    <row r="264" spans="23:27" x14ac:dyDescent="0.2">
      <c r="W264" s="173" t="str">
        <f t="shared" si="14"/>
        <v>1D</v>
      </c>
      <c r="X264" s="180">
        <f>_xll.qlCalendarAdvance(LiborCalendar,X263,W264,"f",FALSE)</f>
        <v>42298</v>
      </c>
      <c r="Y264" s="174">
        <f>_xll.qlInterestRateIndexValueDate(IborIndex,X264)</f>
        <v>42300</v>
      </c>
      <c r="Z264" s="175">
        <v>1.4730667211989479E-3</v>
      </c>
      <c r="AA264" s="177">
        <v>1.5151892956755122E-3</v>
      </c>
    </row>
    <row r="265" spans="23:27" x14ac:dyDescent="0.2">
      <c r="W265" s="173" t="str">
        <f t="shared" si="14"/>
        <v>1D</v>
      </c>
      <c r="X265" s="180">
        <f>_xll.qlCalendarAdvance(LiborCalendar,X264,W265,"f",FALSE)</f>
        <v>42299</v>
      </c>
      <c r="Y265" s="174">
        <f>_xll.qlInterestRateIndexValueDate(IborIndex,X265)</f>
        <v>42303</v>
      </c>
      <c r="Z265" s="175">
        <v>1.4727481401759248E-3</v>
      </c>
      <c r="AA265" s="177">
        <v>1.5112422803675862E-3</v>
      </c>
    </row>
    <row r="266" spans="23:27" x14ac:dyDescent="0.2">
      <c r="W266" s="173" t="str">
        <f t="shared" si="14"/>
        <v>1D</v>
      </c>
      <c r="X266" s="180">
        <f>_xll.qlCalendarAdvance(LiborCalendar,X265,W266,"f",FALSE)</f>
        <v>42300</v>
      </c>
      <c r="Y266" s="174">
        <f>_xll.qlInterestRateIndexValueDate(IborIndex,X266)</f>
        <v>42304</v>
      </c>
      <c r="Z266" s="175">
        <v>1.4726983376068615E-3</v>
      </c>
      <c r="AA266" s="177">
        <v>1.5095284129840181E-3</v>
      </c>
    </row>
    <row r="267" spans="23:27" x14ac:dyDescent="0.2">
      <c r="W267" s="173" t="str">
        <f t="shared" si="14"/>
        <v>1D</v>
      </c>
      <c r="X267" s="180">
        <f>_xll.qlCalendarAdvance(LiborCalendar,X266,W267,"f",FALSE)</f>
        <v>42303</v>
      </c>
      <c r="Y267" s="174">
        <f>_xll.qlInterestRateIndexValueDate(IborIndex,X267)</f>
        <v>42305</v>
      </c>
      <c r="Z267" s="175">
        <v>1.4726596150533918E-3</v>
      </c>
      <c r="AA267" s="177">
        <v>1.5079684428431772E-3</v>
      </c>
    </row>
    <row r="268" spans="23:27" x14ac:dyDescent="0.2">
      <c r="W268" s="173" t="str">
        <f t="shared" si="14"/>
        <v>1D</v>
      </c>
      <c r="X268" s="180">
        <f>_xll.qlCalendarAdvance(LiborCalendar,X267,W268,"f",FALSE)</f>
        <v>42304</v>
      </c>
      <c r="Y268" s="174">
        <f>_xll.qlInterestRateIndexValueDate(IborIndex,X268)</f>
        <v>42306</v>
      </c>
      <c r="Z268" s="175">
        <v>1.4725730272470139E-3</v>
      </c>
      <c r="AA268" s="177">
        <v>1.5065623699450637E-3</v>
      </c>
    </row>
    <row r="269" spans="23:27" x14ac:dyDescent="0.2">
      <c r="W269" s="173" t="str">
        <f t="shared" si="14"/>
        <v>1D</v>
      </c>
      <c r="X269" s="180">
        <f>_xll.qlCalendarAdvance(LiborCalendar,X268,W269,"f",FALSE)</f>
        <v>42305</v>
      </c>
      <c r="Y269" s="174">
        <f>_xll.qlInterestRateIndexValueDate(IborIndex,X269)</f>
        <v>42307</v>
      </c>
      <c r="Z269" s="175">
        <v>1.4724931842262561E-3</v>
      </c>
      <c r="AA269" s="177">
        <v>1.5042694144581001E-3</v>
      </c>
    </row>
    <row r="270" spans="23:27" x14ac:dyDescent="0.2">
      <c r="W270" s="173" t="str">
        <f t="shared" si="14"/>
        <v>1D</v>
      </c>
      <c r="X270" s="180">
        <f>_xll.qlCalendarAdvance(LiborCalendar,X269,W270,"f",FALSE)</f>
        <v>42306</v>
      </c>
      <c r="Y270" s="174">
        <f>_xll.qlInterestRateIndexValueDate(IborIndex,X270)</f>
        <v>42310</v>
      </c>
      <c r="Z270" s="175">
        <v>1.472809346215921E-3</v>
      </c>
      <c r="AA270" s="177">
        <v>1.5024770506988361E-3</v>
      </c>
    </row>
    <row r="271" spans="23:27" x14ac:dyDescent="0.2">
      <c r="W271" s="173" t="str">
        <f t="shared" si="14"/>
        <v>1D</v>
      </c>
      <c r="X271" s="180">
        <f>_xll.qlCalendarAdvance(LiborCalendar,X270,W271,"f",FALSE)</f>
        <v>42307</v>
      </c>
      <c r="Y271" s="174">
        <f>_xll.qlInterestRateIndexValueDate(IborIndex,X271)</f>
        <v>42312</v>
      </c>
      <c r="Z271" s="175">
        <v>1.4727018445602421E-3</v>
      </c>
      <c r="AA271" s="177">
        <v>1.5013577744915629E-3</v>
      </c>
    </row>
    <row r="272" spans="23:27" x14ac:dyDescent="0.2">
      <c r="W272" s="173" t="str">
        <f t="shared" si="14"/>
        <v>1D</v>
      </c>
      <c r="X272" s="180">
        <f>_xll.qlCalendarAdvance(LiborCalendar,X271,W272,"f",FALSE)</f>
        <v>42310</v>
      </c>
      <c r="Y272" s="174">
        <f>_xll.qlInterestRateIndexValueDate(IborIndex,X272)</f>
        <v>42312</v>
      </c>
      <c r="Z272" s="175">
        <v>1.4727018445602421E-3</v>
      </c>
      <c r="AA272" s="177">
        <v>1.5013577744915629E-3</v>
      </c>
    </row>
    <row r="273" spans="23:27" x14ac:dyDescent="0.2">
      <c r="W273" s="173" t="str">
        <f t="shared" si="14"/>
        <v>1D</v>
      </c>
      <c r="X273" s="180">
        <f>_xll.qlCalendarAdvance(LiborCalendar,X272,W273,"f",FALSE)</f>
        <v>42311</v>
      </c>
      <c r="Y273" s="174">
        <f>_xll.qlInterestRateIndexValueDate(IborIndex,X273)</f>
        <v>42313</v>
      </c>
      <c r="Z273" s="175">
        <v>1.4726515827996225E-3</v>
      </c>
      <c r="AA273" s="177">
        <v>1.5010039736795822E-3</v>
      </c>
    </row>
    <row r="274" spans="23:27" x14ac:dyDescent="0.2">
      <c r="W274" s="173" t="str">
        <f t="shared" si="14"/>
        <v>1D</v>
      </c>
      <c r="X274" s="180">
        <f>_xll.qlCalendarAdvance(LiborCalendar,X273,W274,"f",FALSE)</f>
        <v>42312</v>
      </c>
      <c r="Y274" s="174">
        <f>_xll.qlInterestRateIndexValueDate(IborIndex,X274)</f>
        <v>42314</v>
      </c>
      <c r="Z274" s="175">
        <v>1.4726027209534087E-3</v>
      </c>
      <c r="AA274" s="177">
        <v>1.5003653763989713E-3</v>
      </c>
    </row>
    <row r="275" spans="23:27" x14ac:dyDescent="0.2">
      <c r="W275" s="173" t="str">
        <f t="shared" si="14"/>
        <v>1D</v>
      </c>
      <c r="X275" s="180">
        <f>_xll.qlCalendarAdvance(LiborCalendar,X274,W275,"f",FALSE)</f>
        <v>42313</v>
      </c>
      <c r="Y275" s="174">
        <f>_xll.qlInterestRateIndexValueDate(IborIndex,X275)</f>
        <v>42317</v>
      </c>
      <c r="Z275" s="175">
        <v>1.4726937404855398E-3</v>
      </c>
      <c r="AA275" s="177">
        <v>1.4997272643424431E-3</v>
      </c>
    </row>
    <row r="276" spans="23:27" x14ac:dyDescent="0.2">
      <c r="W276" s="173" t="str">
        <f t="shared" si="14"/>
        <v>1D</v>
      </c>
      <c r="X276" s="180">
        <f>_xll.qlCalendarAdvance(LiborCalendar,X275,W276,"f",FALSE)</f>
        <v>42314</v>
      </c>
      <c r="Y276" s="174">
        <f>_xll.qlInterestRateIndexValueDate(IborIndex,X276)</f>
        <v>42318</v>
      </c>
      <c r="Z276" s="175">
        <v>1.4727315829615058E-3</v>
      </c>
      <c r="AA276" s="177">
        <v>1.4994177019134192E-3</v>
      </c>
    </row>
    <row r="277" spans="23:27" x14ac:dyDescent="0.2">
      <c r="W277" s="173" t="str">
        <f t="shared" ref="W277:W340" si="15">W276</f>
        <v>1D</v>
      </c>
      <c r="X277" s="180">
        <f>_xll.qlCalendarAdvance(LiborCalendar,X276,W277,"f",FALSE)</f>
        <v>42317</v>
      </c>
      <c r="Y277" s="174">
        <f>_xll.qlInterestRateIndexValueDate(IborIndex,X277)</f>
        <v>42319</v>
      </c>
      <c r="Z277" s="175">
        <v>1.4727731595287497E-3</v>
      </c>
      <c r="AA277" s="177">
        <v>1.4991119854546042E-3</v>
      </c>
    </row>
    <row r="278" spans="23:27" x14ac:dyDescent="0.2">
      <c r="W278" s="173" t="str">
        <f t="shared" si="15"/>
        <v>1D</v>
      </c>
      <c r="X278" s="180">
        <f>_xll.qlCalendarAdvance(LiborCalendar,X277,W278,"f",FALSE)</f>
        <v>42318</v>
      </c>
      <c r="Y278" s="174">
        <f>_xll.qlInterestRateIndexValueDate(IborIndex,X278)</f>
        <v>42320</v>
      </c>
      <c r="Z278" s="175">
        <v>1.4728184598522421E-3</v>
      </c>
      <c r="AA278" s="177">
        <v>1.4988101150470445E-3</v>
      </c>
    </row>
    <row r="279" spans="23:27" x14ac:dyDescent="0.2">
      <c r="W279" s="173" t="str">
        <f t="shared" si="15"/>
        <v>1D</v>
      </c>
      <c r="X279" s="180">
        <f>_xll.qlCalendarAdvance(LiborCalendar,X278,W279,"f",FALSE)</f>
        <v>42319</v>
      </c>
      <c r="Y279" s="174">
        <f>_xll.qlInterestRateIndexValueDate(IborIndex,X279)</f>
        <v>42321</v>
      </c>
      <c r="Z279" s="175">
        <v>1.4728674735973925E-3</v>
      </c>
      <c r="AA279" s="177">
        <v>1.4982253438703779E-3</v>
      </c>
    </row>
    <row r="280" spans="23:27" x14ac:dyDescent="0.2">
      <c r="W280" s="173" t="str">
        <f t="shared" si="15"/>
        <v>1D</v>
      </c>
      <c r="X280" s="180">
        <f>_xll.qlCalendarAdvance(LiborCalendar,X279,W280,"f",FALSE)</f>
        <v>42320</v>
      </c>
      <c r="Y280" s="174">
        <f>_xll.qlInterestRateIndexValueDate(IborIndex,X280)</f>
        <v>42324</v>
      </c>
      <c r="Z280" s="175">
        <v>1.4730366920151323E-3</v>
      </c>
      <c r="AA280" s="177">
        <v>1.4976410930378492E-3</v>
      </c>
    </row>
    <row r="281" spans="23:27" x14ac:dyDescent="0.2">
      <c r="W281" s="173" t="str">
        <f t="shared" si="15"/>
        <v>1D</v>
      </c>
      <c r="X281" s="180">
        <f>_xll.qlCalendarAdvance(LiborCalendar,X280,W281,"f",FALSE)</f>
        <v>42321</v>
      </c>
      <c r="Y281" s="174">
        <f>_xll.qlInterestRateIndexValueDate(IborIndex,X281)</f>
        <v>42325</v>
      </c>
      <c r="Z281" s="175">
        <v>1.4731004560992549E-3</v>
      </c>
      <c r="AA281" s="177">
        <v>1.4973584524813344E-3</v>
      </c>
    </row>
    <row r="282" spans="23:27" x14ac:dyDescent="0.2">
      <c r="W282" s="173" t="str">
        <f t="shared" si="15"/>
        <v>1D</v>
      </c>
      <c r="X282" s="180">
        <f>_xll.qlCalendarAdvance(LiborCalendar,X281,W282,"f",FALSE)</f>
        <v>42324</v>
      </c>
      <c r="Y282" s="174">
        <f>_xll.qlInterestRateIndexValueDate(IborIndex,X282)</f>
        <v>42326</v>
      </c>
      <c r="Z282" s="175">
        <v>1.473167881931645E-3</v>
      </c>
      <c r="AA282" s="177">
        <v>1.4970796578950285E-3</v>
      </c>
    </row>
    <row r="283" spans="23:27" x14ac:dyDescent="0.2">
      <c r="W283" s="173" t="str">
        <f t="shared" si="15"/>
        <v>1D</v>
      </c>
      <c r="X283" s="180">
        <f>_xll.qlCalendarAdvance(LiborCalendar,X282,W283,"f",FALSE)</f>
        <v>42325</v>
      </c>
      <c r="Y283" s="174">
        <f>_xll.qlInterestRateIndexValueDate(IborIndex,X283)</f>
        <v>42327</v>
      </c>
      <c r="Z283" s="175">
        <v>1.4732389591772725E-3</v>
      </c>
      <c r="AA283" s="177">
        <v>1.4968047092789316E-3</v>
      </c>
    </row>
    <row r="284" spans="23:27" x14ac:dyDescent="0.2">
      <c r="W284" s="173" t="str">
        <f t="shared" si="15"/>
        <v>1D</v>
      </c>
      <c r="X284" s="180">
        <f>_xll.qlCalendarAdvance(LiborCalendar,X283,W284,"f",FALSE)</f>
        <v>42326</v>
      </c>
      <c r="Y284" s="174">
        <f>_xll.qlInterestRateIndexValueDate(IborIndex,X284)</f>
        <v>42328</v>
      </c>
      <c r="Z284" s="175">
        <v>1.4733136775015475E-3</v>
      </c>
      <c r="AA284" s="177">
        <v>1.4962737657460887E-3</v>
      </c>
    </row>
    <row r="285" spans="23:27" x14ac:dyDescent="0.2">
      <c r="W285" s="173" t="str">
        <f t="shared" si="15"/>
        <v>1D</v>
      </c>
      <c r="X285" s="180">
        <f>_xll.qlCalendarAdvance(LiborCalendar,X284,W285,"f",FALSE)</f>
        <v>42327</v>
      </c>
      <c r="Y285" s="174">
        <f>_xll.qlInterestRateIndexValueDate(IborIndex,X285)</f>
        <v>42332</v>
      </c>
      <c r="Z285" s="175">
        <v>1.4736487548919971E-3</v>
      </c>
      <c r="AA285" s="177">
        <v>1.4954876559136743E-3</v>
      </c>
    </row>
    <row r="286" spans="23:27" x14ac:dyDescent="0.2">
      <c r="W286" s="173" t="str">
        <f t="shared" si="15"/>
        <v>1D</v>
      </c>
      <c r="X286" s="180">
        <f>_xll.qlCalendarAdvance(LiborCalendar,X285,W286,"f",FALSE)</f>
        <v>42328</v>
      </c>
      <c r="Y286" s="174">
        <f>_xll.qlInterestRateIndexValueDate(IborIndex,X286)</f>
        <v>42332</v>
      </c>
      <c r="Z286" s="175">
        <v>1.4736487548919971E-3</v>
      </c>
      <c r="AA286" s="177">
        <v>1.4954876559136743E-3</v>
      </c>
    </row>
    <row r="287" spans="23:27" x14ac:dyDescent="0.2">
      <c r="W287" s="173" t="str">
        <f t="shared" si="15"/>
        <v>1D</v>
      </c>
      <c r="X287" s="180">
        <f>_xll.qlCalendarAdvance(LiborCalendar,X286,W287,"f",FALSE)</f>
        <v>42331</v>
      </c>
      <c r="Y287" s="174">
        <f>_xll.qlInterestRateIndexValueDate(IborIndex,X287)</f>
        <v>42333</v>
      </c>
      <c r="Z287" s="175">
        <v>1.473741523590215E-3</v>
      </c>
      <c r="AA287" s="177">
        <v>1.4952357831998775E-3</v>
      </c>
    </row>
    <row r="288" spans="23:27" x14ac:dyDescent="0.2">
      <c r="W288" s="173" t="str">
        <f t="shared" si="15"/>
        <v>1D</v>
      </c>
      <c r="X288" s="180">
        <f>_xll.qlCalendarAdvance(LiborCalendar,X287,W288,"f",FALSE)</f>
        <v>42332</v>
      </c>
      <c r="Y288" s="174">
        <f>_xll.qlInterestRateIndexValueDate(IborIndex,X288)</f>
        <v>42334</v>
      </c>
      <c r="Z288" s="175">
        <v>1.4738378713595381E-3</v>
      </c>
      <c r="AA288" s="177">
        <v>1.4949877563752434E-3</v>
      </c>
    </row>
    <row r="289" spans="23:27" x14ac:dyDescent="0.2">
      <c r="W289" s="173" t="str">
        <f t="shared" si="15"/>
        <v>1D</v>
      </c>
      <c r="X289" s="180">
        <f>_xll.qlCalendarAdvance(LiborCalendar,X288,W289,"f",FALSE)</f>
        <v>42333</v>
      </c>
      <c r="Y289" s="174">
        <f>_xll.qlInterestRateIndexValueDate(IborIndex,X289)</f>
        <v>42335</v>
      </c>
      <c r="Z289" s="175">
        <v>1.4739377878653765E-3</v>
      </c>
      <c r="AA289" s="177">
        <v>1.4945106420801344E-3</v>
      </c>
    </row>
    <row r="290" spans="23:27" x14ac:dyDescent="0.2">
      <c r="W290" s="173" t="str">
        <f t="shared" si="15"/>
        <v>1D</v>
      </c>
      <c r="X290" s="180">
        <f>_xll.qlCalendarAdvance(LiborCalendar,X289,W290,"f",FALSE)</f>
        <v>42334</v>
      </c>
      <c r="Y290" s="174">
        <f>_xll.qlInterestRateIndexValueDate(IborIndex,X290)</f>
        <v>42338</v>
      </c>
      <c r="Z290" s="175">
        <v>1.4743745373956669E-3</v>
      </c>
      <c r="AA290" s="177">
        <v>1.4940341091029818E-3</v>
      </c>
    </row>
    <row r="291" spans="23:27" x14ac:dyDescent="0.2">
      <c r="W291" s="173" t="str">
        <f t="shared" si="15"/>
        <v>1D</v>
      </c>
      <c r="X291" s="180">
        <f>_xll.qlCalendarAdvance(LiborCalendar,X290,W291,"f",FALSE)</f>
        <v>42335</v>
      </c>
      <c r="Y291" s="174">
        <f>_xll.qlInterestRateIndexValueDate(IborIndex,X291)</f>
        <v>42339</v>
      </c>
      <c r="Z291" s="175">
        <v>1.4744902663455873E-3</v>
      </c>
      <c r="AA291" s="177">
        <v>1.4938053122104389E-3</v>
      </c>
    </row>
    <row r="292" spans="23:27" x14ac:dyDescent="0.2">
      <c r="W292" s="173" t="str">
        <f t="shared" si="15"/>
        <v>1D</v>
      </c>
      <c r="X292" s="180">
        <f>_xll.qlCalendarAdvance(LiborCalendar,X291,W292,"f",FALSE)</f>
        <v>42338</v>
      </c>
      <c r="Y292" s="174">
        <f>_xll.qlInterestRateIndexValueDate(IborIndex,X292)</f>
        <v>42340</v>
      </c>
      <c r="Z292" s="175">
        <v>1.4746095036213779E-3</v>
      </c>
      <c r="AA292" s="177">
        <v>1.4935803612881049E-3</v>
      </c>
    </row>
    <row r="293" spans="23:27" x14ac:dyDescent="0.2">
      <c r="W293" s="173" t="str">
        <f t="shared" si="15"/>
        <v>1D</v>
      </c>
      <c r="X293" s="180">
        <f>_xll.qlCalendarAdvance(LiborCalendar,X292,W293,"f",FALSE)</f>
        <v>42339</v>
      </c>
      <c r="Y293" s="174">
        <f>_xll.qlInterestRateIndexValueDate(IborIndex,X293)</f>
        <v>42341</v>
      </c>
      <c r="Z293" s="175">
        <v>1.4747322389444849E-3</v>
      </c>
      <c r="AA293" s="177">
        <v>1.4933592563359799E-3</v>
      </c>
    </row>
    <row r="294" spans="23:27" x14ac:dyDescent="0.2">
      <c r="W294" s="173" t="str">
        <f t="shared" si="15"/>
        <v>1D</v>
      </c>
      <c r="X294" s="180">
        <f>_xll.qlCalendarAdvance(LiborCalendar,X293,W294,"f",FALSE)</f>
        <v>42340</v>
      </c>
      <c r="Y294" s="174">
        <f>_xll.qlInterestRateIndexValueDate(IborIndex,X294)</f>
        <v>42342</v>
      </c>
      <c r="Z294" s="175">
        <v>1.4751058564427418E-3</v>
      </c>
      <c r="AA294" s="177">
        <v>1.4929359728184841E-3</v>
      </c>
    </row>
    <row r="295" spans="23:27" x14ac:dyDescent="0.2">
      <c r="W295" s="173" t="str">
        <f t="shared" si="15"/>
        <v>1D</v>
      </c>
      <c r="X295" s="180">
        <f>_xll.qlCalendarAdvance(LiborCalendar,X294,W295,"f",FALSE)</f>
        <v>42341</v>
      </c>
      <c r="Y295" s="174">
        <f>_xll.qlInterestRateIndexValueDate(IborIndex,X295)</f>
        <v>42345</v>
      </c>
      <c r="Z295" s="175">
        <v>1.4752579551490432E-3</v>
      </c>
      <c r="AA295" s="177">
        <v>1.4925132963916621E-3</v>
      </c>
    </row>
    <row r="296" spans="23:27" x14ac:dyDescent="0.2">
      <c r="W296" s="173" t="str">
        <f t="shared" si="15"/>
        <v>1D</v>
      </c>
      <c r="X296" s="180">
        <f>_xll.qlCalendarAdvance(LiborCalendar,X295,W296,"f",FALSE)</f>
        <v>42342</v>
      </c>
      <c r="Y296" s="174">
        <f>_xll.qlInterestRateIndexValueDate(IborIndex,X296)</f>
        <v>42346</v>
      </c>
      <c r="Z296" s="175">
        <v>1.4753980265387215E-3</v>
      </c>
      <c r="AA296" s="177">
        <v>1.4923114213716282E-3</v>
      </c>
    </row>
    <row r="297" spans="23:27" x14ac:dyDescent="0.2">
      <c r="W297" s="173" t="str">
        <f t="shared" si="15"/>
        <v>1D</v>
      </c>
      <c r="X297" s="180">
        <f>_xll.qlCalendarAdvance(LiborCalendar,X296,W297,"f",FALSE)</f>
        <v>42345</v>
      </c>
      <c r="Y297" s="174">
        <f>_xll.qlInterestRateIndexValueDate(IborIndex,X297)</f>
        <v>42347</v>
      </c>
      <c r="Z297" s="175">
        <v>1.4755415343083236E-3</v>
      </c>
      <c r="AA297" s="177">
        <v>1.492113392240757E-3</v>
      </c>
    </row>
    <row r="298" spans="23:27" x14ac:dyDescent="0.2">
      <c r="W298" s="173" t="str">
        <f t="shared" si="15"/>
        <v>1D</v>
      </c>
      <c r="X298" s="180">
        <f>_xll.qlCalendarAdvance(LiborCalendar,X297,W298,"f",FALSE)</f>
        <v>42346</v>
      </c>
      <c r="Y298" s="174">
        <f>_xll.qlInterestRateIndexValueDate(IborIndex,X298)</f>
        <v>42348</v>
      </c>
      <c r="Z298" s="175">
        <v>1.4756884681797324E-3</v>
      </c>
      <c r="AA298" s="177">
        <v>1.4919192091611411E-3</v>
      </c>
    </row>
    <row r="299" spans="23:27" x14ac:dyDescent="0.2">
      <c r="W299" s="173" t="str">
        <f t="shared" si="15"/>
        <v>1D</v>
      </c>
      <c r="X299" s="180">
        <f>_xll.qlCalendarAdvance(LiborCalendar,X298,W299,"f",FALSE)</f>
        <v>42347</v>
      </c>
      <c r="Y299" s="174">
        <f>_xll.qlInterestRateIndexValueDate(IborIndex,X299)</f>
        <v>42349</v>
      </c>
      <c r="Z299" s="175">
        <v>1.4761082047240906E-3</v>
      </c>
      <c r="AA299" s="177">
        <v>1.4915497579881534E-3</v>
      </c>
    </row>
    <row r="300" spans="23:27" x14ac:dyDescent="0.2">
      <c r="W300" s="173" t="str">
        <f t="shared" si="15"/>
        <v>1D</v>
      </c>
      <c r="X300" s="180">
        <f>_xll.qlCalendarAdvance(LiborCalendar,X299,W300,"f",FALSE)</f>
        <v>42348</v>
      </c>
      <c r="Y300" s="174">
        <f>_xll.qlInterestRateIndexValueDate(IborIndex,X300)</f>
        <v>42352</v>
      </c>
      <c r="Z300" s="175">
        <v>1.4763102591263324E-3</v>
      </c>
      <c r="AA300" s="177">
        <v>1.491180936544767E-3</v>
      </c>
    </row>
    <row r="301" spans="23:27" x14ac:dyDescent="0.2">
      <c r="W301" s="173" t="str">
        <f t="shared" si="15"/>
        <v>1D</v>
      </c>
      <c r="X301" s="180">
        <f>_xll.qlCalendarAdvance(LiborCalendar,X300,W301,"f",FALSE)</f>
        <v>42349</v>
      </c>
      <c r="Y301" s="174">
        <f>_xll.qlInterestRateIndexValueDate(IborIndex,X301)</f>
        <v>42353</v>
      </c>
      <c r="Z301" s="175">
        <v>1.4764741693389482E-3</v>
      </c>
      <c r="AA301" s="177">
        <v>1.4910059833161959E-3</v>
      </c>
    </row>
    <row r="302" spans="23:27" x14ac:dyDescent="0.2">
      <c r="W302" s="173" t="str">
        <f t="shared" si="15"/>
        <v>1D</v>
      </c>
      <c r="X302" s="180">
        <f>_xll.qlCalendarAdvance(LiborCalendar,X301,W302,"f",FALSE)</f>
        <v>42352</v>
      </c>
      <c r="Y302" s="174">
        <f>_xll.qlInterestRateIndexValueDate(IborIndex,X302)</f>
        <v>42354</v>
      </c>
      <c r="Z302" s="175">
        <v>1.4766414439868517E-3</v>
      </c>
      <c r="AA302" s="177">
        <v>1.4908348760578338E-3</v>
      </c>
    </row>
    <row r="303" spans="23:27" x14ac:dyDescent="0.2">
      <c r="W303" s="173" t="str">
        <f t="shared" si="15"/>
        <v>1D</v>
      </c>
      <c r="X303" s="180">
        <f>_xll.qlCalendarAdvance(LiborCalendar,X302,W303,"f",FALSE)</f>
        <v>42353</v>
      </c>
      <c r="Y303" s="174">
        <f>_xll.qlInterestRateIndexValueDate(IborIndex,X303)</f>
        <v>42355</v>
      </c>
      <c r="Z303" s="175">
        <v>1.4768120727914891E-3</v>
      </c>
      <c r="AA303" s="177">
        <v>1.490667614850727E-3</v>
      </c>
    </row>
    <row r="304" spans="23:27" x14ac:dyDescent="0.2">
      <c r="W304" s="173" t="str">
        <f t="shared" si="15"/>
        <v>1D</v>
      </c>
      <c r="X304" s="180">
        <f>_xll.qlCalendarAdvance(LiborCalendar,X303,W304,"f",FALSE)</f>
        <v>42354</v>
      </c>
      <c r="Y304" s="174">
        <f>_xll.qlInterestRateIndexValueDate(IborIndex,X304)</f>
        <v>42356</v>
      </c>
      <c r="Z304" s="175">
        <v>1.4772766366711787E-3</v>
      </c>
      <c r="AA304" s="177">
        <v>1.4903519975351112E-3</v>
      </c>
    </row>
    <row r="305" spans="23:27" x14ac:dyDescent="0.2">
      <c r="W305" s="173" t="str">
        <f t="shared" si="15"/>
        <v>1D</v>
      </c>
      <c r="X305" s="180">
        <f>_xll.qlCalendarAdvance(LiborCalendar,X304,W305,"f",FALSE)</f>
        <v>42355</v>
      </c>
      <c r="Y305" s="174">
        <f>_xll.qlInterestRateIndexValueDate(IborIndex,X305)</f>
        <v>42359</v>
      </c>
      <c r="Z305" s="175">
        <v>1.4775279240263905E-3</v>
      </c>
      <c r="AA305" s="177">
        <v>1.4900370295622967E-3</v>
      </c>
    </row>
    <row r="306" spans="23:27" x14ac:dyDescent="0.2">
      <c r="W306" s="173" t="str">
        <f t="shared" si="15"/>
        <v>1D</v>
      </c>
      <c r="X306" s="180">
        <f>_xll.qlCalendarAdvance(LiborCalendar,X305,W306,"f",FALSE)</f>
        <v>42356</v>
      </c>
      <c r="Y306" s="174">
        <f>_xll.qlInterestRateIndexValueDate(IborIndex,X306)</f>
        <v>42360</v>
      </c>
      <c r="Z306" s="175">
        <v>1.4777151694503651E-3</v>
      </c>
      <c r="AA306" s="177">
        <v>1.4898889982062347E-3</v>
      </c>
    </row>
    <row r="307" spans="23:27" x14ac:dyDescent="0.2">
      <c r="W307" s="173" t="str">
        <f t="shared" si="15"/>
        <v>1D</v>
      </c>
      <c r="X307" s="180">
        <f>_xll.qlCalendarAdvance(LiborCalendar,X306,W307,"f",FALSE)</f>
        <v>42359</v>
      </c>
      <c r="Y307" s="174">
        <f>_xll.qlInterestRateIndexValueDate(IborIndex,X307)</f>
        <v>42362</v>
      </c>
      <c r="Z307" s="175">
        <v>1.4780995274930261E-3</v>
      </c>
      <c r="AA307" s="177">
        <v>1.4893513326084129E-3</v>
      </c>
    </row>
    <row r="308" spans="23:27" x14ac:dyDescent="0.2">
      <c r="W308" s="173" t="str">
        <f t="shared" si="15"/>
        <v>1D</v>
      </c>
      <c r="X308" s="180">
        <f>_xll.qlCalendarAdvance(LiborCalendar,X307,W308,"f",FALSE)</f>
        <v>42360</v>
      </c>
      <c r="Y308" s="174">
        <f>_xll.qlInterestRateIndexValueDate(IborIndex,X308)</f>
        <v>42362</v>
      </c>
      <c r="Z308" s="175">
        <v>1.4780995274930261E-3</v>
      </c>
      <c r="AA308" s="177">
        <v>1.4893513326084129E-3</v>
      </c>
    </row>
    <row r="309" spans="23:27" x14ac:dyDescent="0.2">
      <c r="W309" s="173" t="str">
        <f t="shared" si="15"/>
        <v>1D</v>
      </c>
      <c r="X309" s="180">
        <f>_xll.qlCalendarAdvance(LiborCalendar,X308,W309,"f",FALSE)</f>
        <v>42361</v>
      </c>
      <c r="Y309" s="174">
        <f>_xll.qlInterestRateIndexValueDate(IborIndex,X309)</f>
        <v>42367</v>
      </c>
      <c r="Z309" s="175">
        <v>1.4791175016093941E-3</v>
      </c>
      <c r="AA309" s="177">
        <v>1.4889604659606981E-3</v>
      </c>
    </row>
    <row r="310" spans="23:27" x14ac:dyDescent="0.2">
      <c r="W310" s="173" t="str">
        <f t="shared" si="15"/>
        <v>1D</v>
      </c>
      <c r="X310" s="180">
        <f>_xll.qlCalendarAdvance(LiborCalendar,X309,W310,"f",FALSE)</f>
        <v>42362</v>
      </c>
      <c r="Y310" s="174">
        <f>_xll.qlInterestRateIndexValueDate(IborIndex,X310)</f>
        <v>42368</v>
      </c>
      <c r="Z310" s="175">
        <v>1.4793307991844064E-3</v>
      </c>
      <c r="AA310" s="177">
        <v>1.4888432023663078E-3</v>
      </c>
    </row>
    <row r="311" spans="23:27" x14ac:dyDescent="0.2">
      <c r="W311" s="173" t="str">
        <f t="shared" si="15"/>
        <v>1D</v>
      </c>
      <c r="X311" s="180">
        <f>_xll.qlCalendarAdvance(LiborCalendar,X310,W311,"f",FALSE)</f>
        <v>42367</v>
      </c>
      <c r="Y311" s="174">
        <f>_xll.qlInterestRateIndexValueDate(IborIndex,X311)</f>
        <v>42373</v>
      </c>
      <c r="Z311" s="175">
        <v>1.4802769453513445E-3</v>
      </c>
      <c r="AA311" s="177">
        <v>1.4883145741906301E-3</v>
      </c>
    </row>
    <row r="312" spans="23:27" x14ac:dyDescent="0.2">
      <c r="W312" s="173" t="str">
        <f t="shared" si="15"/>
        <v>1D</v>
      </c>
      <c r="X312" s="180">
        <f>_xll.qlCalendarAdvance(LiborCalendar,X311,W312,"f",FALSE)</f>
        <v>42368</v>
      </c>
      <c r="Y312" s="174">
        <f>_xll.qlInterestRateIndexValueDate(IborIndex,X312)</f>
        <v>42373</v>
      </c>
      <c r="Z312" s="175">
        <v>1.4802769453513445E-3</v>
      </c>
      <c r="AA312" s="177">
        <v>1.4883145741906301E-3</v>
      </c>
    </row>
    <row r="313" spans="23:27" x14ac:dyDescent="0.2">
      <c r="W313" s="173" t="str">
        <f t="shared" si="15"/>
        <v>1D</v>
      </c>
      <c r="X313" s="180">
        <f>_xll.qlCalendarAdvance(LiborCalendar,X312,W313,"f",FALSE)</f>
        <v>42369</v>
      </c>
      <c r="Y313" s="174">
        <f>_xll.qlInterestRateIndexValueDate(IborIndex,X313)</f>
        <v>42374</v>
      </c>
      <c r="Z313" s="175">
        <v>1.4805079818160293E-3</v>
      </c>
      <c r="AA313" s="177">
        <v>1.4882203864174937E-3</v>
      </c>
    </row>
    <row r="314" spans="23:27" x14ac:dyDescent="0.2">
      <c r="W314" s="173" t="str">
        <f t="shared" si="15"/>
        <v>1D</v>
      </c>
      <c r="X314" s="180">
        <f>_xll.qlCalendarAdvance(LiborCalendar,X313,W314,"f",FALSE)</f>
        <v>42373</v>
      </c>
      <c r="Y314" s="174">
        <f>_xll.qlInterestRateIndexValueDate(IborIndex,X314)</f>
        <v>42375</v>
      </c>
      <c r="Z314" s="175">
        <v>1.4807421736489886E-3</v>
      </c>
      <c r="AA314" s="177">
        <v>1.4881300446956125E-3</v>
      </c>
    </row>
    <row r="315" spans="23:27" x14ac:dyDescent="0.2">
      <c r="W315" s="173" t="str">
        <f t="shared" si="15"/>
        <v>1D</v>
      </c>
      <c r="X315" s="180">
        <f>_xll.qlCalendarAdvance(LiborCalendar,X314,W315,"f",FALSE)</f>
        <v>42374</v>
      </c>
      <c r="Y315" s="174">
        <f>_xll.qlInterestRateIndexValueDate(IborIndex,X315)</f>
        <v>42376</v>
      </c>
      <c r="Z315" s="175">
        <v>1.4809795105151925E-3</v>
      </c>
      <c r="AA315" s="177">
        <v>1.4880435490249866E-3</v>
      </c>
    </row>
    <row r="316" spans="23:27" x14ac:dyDescent="0.2">
      <c r="W316" s="173" t="str">
        <f t="shared" si="15"/>
        <v>1D</v>
      </c>
      <c r="X316" s="180">
        <f>_xll.qlCalendarAdvance(LiborCalendar,X315,W316,"f",FALSE)</f>
        <v>42375</v>
      </c>
      <c r="Y316" s="174">
        <f>_xll.qlInterestRateIndexValueDate(IborIndex,X316)</f>
        <v>42377</v>
      </c>
      <c r="Z316" s="175">
        <v>1.4812199820809296E-3</v>
      </c>
      <c r="AA316" s="177">
        <v>1.4878894426018088E-3</v>
      </c>
    </row>
    <row r="317" spans="23:27" x14ac:dyDescent="0.2">
      <c r="W317" s="173" t="str">
        <f t="shared" si="15"/>
        <v>1D</v>
      </c>
      <c r="X317" s="180">
        <f>_xll.qlCalendarAdvance(LiborCalendar,X316,W317,"f",FALSE)</f>
        <v>42376</v>
      </c>
      <c r="Y317" s="174">
        <f>_xll.qlInterestRateIndexValueDate(IborIndex,X317)</f>
        <v>42381</v>
      </c>
      <c r="Z317" s="175">
        <v>1.4822130086632114E-3</v>
      </c>
      <c r="AA317" s="177">
        <v>1.4876687598197602E-3</v>
      </c>
    </row>
    <row r="318" spans="23:27" x14ac:dyDescent="0.2">
      <c r="W318" s="173" t="str">
        <f t="shared" si="15"/>
        <v>1D</v>
      </c>
      <c r="X318" s="180">
        <f>_xll.qlCalendarAdvance(LiborCalendar,X317,W318,"f",FALSE)</f>
        <v>42377</v>
      </c>
      <c r="Y318" s="174">
        <f>_xll.qlInterestRateIndexValueDate(IborIndex,X318)</f>
        <v>42381</v>
      </c>
      <c r="Z318" s="175">
        <v>1.4822130086632114E-3</v>
      </c>
      <c r="AA318" s="177">
        <v>1.4876687598197602E-3</v>
      </c>
    </row>
    <row r="319" spans="23:27" x14ac:dyDescent="0.2">
      <c r="W319" s="173" t="str">
        <f t="shared" si="15"/>
        <v>1D</v>
      </c>
      <c r="X319" s="180">
        <f>_xll.qlCalendarAdvance(LiborCalendar,X318,W319,"f",FALSE)</f>
        <v>42380</v>
      </c>
      <c r="Y319" s="174">
        <f>_xll.qlInterestRateIndexValueDate(IborIndex,X319)</f>
        <v>42382</v>
      </c>
      <c r="Z319" s="175">
        <v>1.4824689987187384E-3</v>
      </c>
      <c r="AA319" s="177">
        <v>1.4876053399703881E-3</v>
      </c>
    </row>
    <row r="320" spans="23:27" x14ac:dyDescent="0.2">
      <c r="W320" s="173" t="str">
        <f t="shared" si="15"/>
        <v>1D</v>
      </c>
      <c r="X320" s="180">
        <f>_xll.qlCalendarAdvance(LiborCalendar,X319,W320,"f",FALSE)</f>
        <v>42381</v>
      </c>
      <c r="Y320" s="174">
        <f>_xll.qlInterestRateIndexValueDate(IborIndex,X320)</f>
        <v>42383</v>
      </c>
      <c r="Z320" s="175">
        <v>1.4827280614706482E-3</v>
      </c>
      <c r="AA320" s="177">
        <v>1.487545766091225E-3</v>
      </c>
    </row>
    <row r="321" spans="23:27" x14ac:dyDescent="0.2">
      <c r="W321" s="173" t="str">
        <f t="shared" si="15"/>
        <v>1D</v>
      </c>
      <c r="X321" s="180">
        <f>_xll.qlCalendarAdvance(LiborCalendar,X320,W321,"f",FALSE)</f>
        <v>42382</v>
      </c>
      <c r="Y321" s="174">
        <f>_xll.qlInterestRateIndexValueDate(IborIndex,X321)</f>
        <v>42384</v>
      </c>
      <c r="Z321" s="175">
        <v>1.4829901865843508E-3</v>
      </c>
      <c r="AA321" s="177">
        <v>1.4874454997389672E-3</v>
      </c>
    </row>
    <row r="322" spans="23:27" x14ac:dyDescent="0.2">
      <c r="W322" s="173" t="str">
        <f t="shared" si="15"/>
        <v>1D</v>
      </c>
      <c r="X322" s="180">
        <f>_xll.qlCalendarAdvance(LiborCalendar,X321,W322,"f",FALSE)</f>
        <v>42383</v>
      </c>
      <c r="Y322" s="174">
        <f>_xll.qlInterestRateIndexValueDate(IborIndex,X322)</f>
        <v>42387</v>
      </c>
      <c r="Z322" s="175">
        <v>1.4839816879343775E-3</v>
      </c>
      <c r="AA322" s="177">
        <v>1.4873459301145697E-3</v>
      </c>
    </row>
    <row r="323" spans="23:27" x14ac:dyDescent="0.2">
      <c r="W323" s="173" t="str">
        <f t="shared" si="15"/>
        <v>1D</v>
      </c>
      <c r="X323" s="180">
        <f>_xll.qlCalendarAdvance(LiborCalendar,X322,W323,"f",FALSE)</f>
        <v>42384</v>
      </c>
      <c r="Y323" s="174">
        <f>_xll.qlInterestRateIndexValueDate(IborIndex,X323)</f>
        <v>42388</v>
      </c>
      <c r="Z323" s="175">
        <v>1.4840691039850465E-3</v>
      </c>
      <c r="AA323" s="177">
        <v>1.4873055861674978E-3</v>
      </c>
    </row>
    <row r="324" spans="23:27" x14ac:dyDescent="0.2">
      <c r="W324" s="173" t="str">
        <f t="shared" si="15"/>
        <v>1D</v>
      </c>
      <c r="X324" s="180">
        <f>_xll.qlCalendarAdvance(LiborCalendar,X323,W324,"f",FALSE)</f>
        <v>42387</v>
      </c>
      <c r="Y324" s="174">
        <f>_xll.qlInterestRateIndexValueDate(IborIndex,X324)</f>
        <v>42389</v>
      </c>
      <c r="Z324" s="175">
        <v>1.4843463859020342E-3</v>
      </c>
      <c r="AA324" s="177">
        <v>1.4872690880285422E-3</v>
      </c>
    </row>
    <row r="325" spans="23:27" x14ac:dyDescent="0.2">
      <c r="W325" s="173" t="str">
        <f t="shared" si="15"/>
        <v>1D</v>
      </c>
      <c r="X325" s="180">
        <f>_xll.qlCalendarAdvance(LiborCalendar,X324,W325,"f",FALSE)</f>
        <v>42388</v>
      </c>
      <c r="Y325" s="174">
        <f>_xll.qlInterestRateIndexValueDate(IborIndex,X325)</f>
        <v>42390</v>
      </c>
      <c r="Z325" s="175">
        <v>1.4846266681785431E-3</v>
      </c>
      <c r="AA325" s="177">
        <v>1.4872364360218882E-3</v>
      </c>
    </row>
    <row r="326" spans="23:27" x14ac:dyDescent="0.2">
      <c r="W326" s="173" t="str">
        <f t="shared" si="15"/>
        <v>1D</v>
      </c>
      <c r="X326" s="180">
        <f>_xll.qlCalendarAdvance(LiborCalendar,X325,W326,"f",FALSE)</f>
        <v>42389</v>
      </c>
      <c r="Y326" s="174">
        <f>_xll.qlInterestRateIndexValueDate(IborIndex,X326)</f>
        <v>42391</v>
      </c>
      <c r="Z326" s="175">
        <v>1.4849099404799827E-3</v>
      </c>
      <c r="AA326" s="177">
        <v>1.4871900112534144E-3</v>
      </c>
    </row>
    <row r="327" spans="23:27" x14ac:dyDescent="0.2">
      <c r="W327" s="173" t="str">
        <f t="shared" si="15"/>
        <v>1D</v>
      </c>
      <c r="X327" s="180">
        <f>_xll.qlCalendarAdvance(LiborCalendar,X326,W327,"f",FALSE)</f>
        <v>42390</v>
      </c>
      <c r="Y327" s="174">
        <f>_xll.qlInterestRateIndexValueDate(IborIndex,X327)</f>
        <v>42394</v>
      </c>
      <c r="Z327" s="175">
        <v>1.4857775941976472E-3</v>
      </c>
      <c r="AA327" s="177">
        <v>1.4871442874542229E-3</v>
      </c>
    </row>
    <row r="328" spans="23:27" x14ac:dyDescent="0.2">
      <c r="W328" s="173" t="str">
        <f t="shared" si="15"/>
        <v>1D</v>
      </c>
      <c r="X328" s="180">
        <f>_xll.qlCalendarAdvance(LiborCalendar,X327,W328,"f",FALSE)</f>
        <v>42391</v>
      </c>
      <c r="Y328" s="174">
        <f>_xll.qlInterestRateIndexValueDate(IborIndex,X328)</f>
        <v>42395</v>
      </c>
      <c r="Z328" s="175">
        <v>1.4860727232621309E-3</v>
      </c>
      <c r="AA328" s="177">
        <v>1.4871308652175674E-3</v>
      </c>
    </row>
    <row r="329" spans="23:27" x14ac:dyDescent="0.2">
      <c r="W329" s="173" t="str">
        <f t="shared" si="15"/>
        <v>1D</v>
      </c>
      <c r="X329" s="180">
        <f>_xll.qlCalendarAdvance(LiborCalendar,X328,W329,"f",FALSE)</f>
        <v>42394</v>
      </c>
      <c r="Y329" s="174">
        <f>_xll.qlInterestRateIndexValueDate(IborIndex,X329)</f>
        <v>42396</v>
      </c>
      <c r="Z329" s="175">
        <v>1.4863707906825469E-3</v>
      </c>
      <c r="AA329" s="177">
        <v>1.4871212890321672E-3</v>
      </c>
    </row>
    <row r="330" spans="23:27" x14ac:dyDescent="0.2">
      <c r="W330" s="173" t="str">
        <f t="shared" si="15"/>
        <v>1D</v>
      </c>
      <c r="X330" s="180">
        <f>_xll.qlCalendarAdvance(LiborCalendar,X329,W330,"f",FALSE)</f>
        <v>42395</v>
      </c>
      <c r="Y330" s="174">
        <f>_xll.qlInterestRateIndexValueDate(IborIndex,X330)</f>
        <v>42397</v>
      </c>
      <c r="Z330" s="175">
        <v>1.4866717861256225E-3</v>
      </c>
      <c r="AA330" s="177">
        <v>1.4871155587359297E-3</v>
      </c>
    </row>
    <row r="331" spans="23:27" x14ac:dyDescent="0.2">
      <c r="W331" s="173" t="str">
        <f t="shared" si="15"/>
        <v>1D</v>
      </c>
      <c r="X331" s="180">
        <f>_xll.qlCalendarAdvance(LiborCalendar,X330,W331,"f",FALSE)</f>
        <v>42396</v>
      </c>
      <c r="Y331" s="174">
        <f>_xll.qlInterestRateIndexValueDate(IborIndex,X331)</f>
        <v>42398</v>
      </c>
      <c r="Z331" s="175">
        <v>1.486975699256767E-3</v>
      </c>
      <c r="AA331" s="177">
        <v>1.4871229771451502E-3</v>
      </c>
    </row>
    <row r="332" spans="23:27" x14ac:dyDescent="0.2">
      <c r="W332" s="173" t="str">
        <f t="shared" si="15"/>
        <v>1D</v>
      </c>
      <c r="X332" s="180">
        <f>_xll.qlCalendarAdvance(LiborCalendar,X331,W332,"f",FALSE)</f>
        <v>42397</v>
      </c>
      <c r="Y332" s="174">
        <f>_xll.qlInterestRateIndexValueDate(IborIndex,X332)</f>
        <v>42401</v>
      </c>
      <c r="Z332" s="175">
        <v>1.4879048414458888E-3</v>
      </c>
      <c r="AA332" s="177">
        <v>1.4871310975772545E-3</v>
      </c>
    </row>
    <row r="333" spans="23:27" x14ac:dyDescent="0.2">
      <c r="W333" s="173" t="str">
        <f t="shared" si="15"/>
        <v>1D</v>
      </c>
      <c r="X333" s="180">
        <f>_xll.qlCalendarAdvance(LiborCalendar,X332,W333,"f",FALSE)</f>
        <v>42398</v>
      </c>
      <c r="Y333" s="174">
        <f>_xll.qlInterestRateIndexValueDate(IborIndex,X333)</f>
        <v>42402</v>
      </c>
      <c r="Z333" s="175">
        <v>1.4882203219939479E-3</v>
      </c>
      <c r="AA333" s="177">
        <v>1.4871445972131081E-3</v>
      </c>
    </row>
    <row r="334" spans="23:27" x14ac:dyDescent="0.2">
      <c r="W334" s="173" t="str">
        <f t="shared" si="15"/>
        <v>1D</v>
      </c>
      <c r="X334" s="180">
        <f>_xll.qlCalendarAdvance(LiborCalendar,X333,W334,"f",FALSE)</f>
        <v>42401</v>
      </c>
      <c r="Y334" s="174">
        <f>_xll.qlInterestRateIndexValueDate(IborIndex,X334)</f>
        <v>42403</v>
      </c>
      <c r="Z334" s="175">
        <v>1.4885386685619558E-3</v>
      </c>
      <c r="AA334" s="177">
        <v>1.4871619428191707E-3</v>
      </c>
    </row>
    <row r="335" spans="23:27" x14ac:dyDescent="0.2">
      <c r="W335" s="173" t="str">
        <f t="shared" si="15"/>
        <v>1D</v>
      </c>
      <c r="X335" s="180">
        <f>_xll.qlCalendarAdvance(LiborCalendar,X334,W335,"f",FALSE)</f>
        <v>42402</v>
      </c>
      <c r="Y335" s="174">
        <f>_xll.qlInterestRateIndexValueDate(IborIndex,X335)</f>
        <v>42404</v>
      </c>
      <c r="Z335" s="175">
        <v>1.4888598708162005E-3</v>
      </c>
      <c r="AA335" s="177">
        <v>1.4871831343954423E-3</v>
      </c>
    </row>
    <row r="336" spans="23:27" x14ac:dyDescent="0.2">
      <c r="W336" s="173" t="str">
        <f t="shared" si="15"/>
        <v>1D</v>
      </c>
      <c r="X336" s="180">
        <f>_xll.qlCalendarAdvance(LiborCalendar,X335,W336,"f",FALSE)</f>
        <v>42403</v>
      </c>
      <c r="Y336" s="174">
        <f>_xll.qlInterestRateIndexValueDate(IborIndex,X336)</f>
        <v>42405</v>
      </c>
      <c r="Z336" s="175">
        <v>1.4891839184229703E-3</v>
      </c>
      <c r="AA336" s="177">
        <v>1.48724439744119E-3</v>
      </c>
    </row>
    <row r="337" spans="23:27" x14ac:dyDescent="0.2">
      <c r="W337" s="173" t="str">
        <f t="shared" si="15"/>
        <v>1D</v>
      </c>
      <c r="X337" s="180">
        <f>_xll.qlCalendarAdvance(LiborCalendar,X336,W337,"f",FALSE)</f>
        <v>42404</v>
      </c>
      <c r="Y337" s="174">
        <f>_xll.qlInterestRateIndexValueDate(IborIndex,X337)</f>
        <v>42408</v>
      </c>
      <c r="Z337" s="175">
        <v>1.4901730300186757E-3</v>
      </c>
      <c r="AA337" s="177">
        <v>1.4873063604836645E-3</v>
      </c>
    </row>
    <row r="338" spans="23:27" x14ac:dyDescent="0.2">
      <c r="W338" s="173" t="str">
        <f t="shared" si="15"/>
        <v>1D</v>
      </c>
      <c r="X338" s="180">
        <f>_xll.qlCalendarAdvance(LiborCalendar,X337,W338,"f",FALSE)</f>
        <v>42405</v>
      </c>
      <c r="Y338" s="174">
        <f>_xll.qlInterestRateIndexValueDate(IborIndex,X338)</f>
        <v>42409</v>
      </c>
      <c r="Z338" s="175">
        <v>1.4905083556971089E-3</v>
      </c>
      <c r="AA338" s="177">
        <v>1.4873467819920272E-3</v>
      </c>
    </row>
    <row r="339" spans="23:27" x14ac:dyDescent="0.2">
      <c r="W339" s="173" t="str">
        <f t="shared" si="15"/>
        <v>1D</v>
      </c>
      <c r="X339" s="180">
        <f>_xll.qlCalendarAdvance(LiborCalendar,X338,W339,"f",FALSE)</f>
        <v>42408</v>
      </c>
      <c r="Y339" s="174">
        <f>_xll.qlInterestRateIndexValueDate(IborIndex,X339)</f>
        <v>42410</v>
      </c>
      <c r="Z339" s="175">
        <v>1.4908464750590684E-3</v>
      </c>
      <c r="AA339" s="177">
        <v>1.4873910494705989E-3</v>
      </c>
    </row>
    <row r="340" spans="23:27" x14ac:dyDescent="0.2">
      <c r="W340" s="173" t="str">
        <f t="shared" si="15"/>
        <v>1D</v>
      </c>
      <c r="X340" s="180">
        <f>_xll.qlCalendarAdvance(LiborCalendar,X339,W340,"f",FALSE)</f>
        <v>42409</v>
      </c>
      <c r="Y340" s="174">
        <f>_xll.qlInterestRateIndexValueDate(IborIndex,X340)</f>
        <v>42412</v>
      </c>
      <c r="Z340" s="175">
        <v>1.4915310534995968E-3</v>
      </c>
      <c r="AA340" s="177">
        <v>1.4875542721145183E-3</v>
      </c>
    </row>
    <row r="341" spans="23:27" x14ac:dyDescent="0.2">
      <c r="W341" s="173" t="str">
        <f t="shared" ref="W341:W404" si="16">W340</f>
        <v>1D</v>
      </c>
      <c r="X341" s="180">
        <f>_xll.qlCalendarAdvance(LiborCalendar,X340,W341,"f",FALSE)</f>
        <v>42410</v>
      </c>
      <c r="Y341" s="174">
        <f>_xll.qlInterestRateIndexValueDate(IborIndex,X341)</f>
        <v>42412</v>
      </c>
      <c r="Z341" s="175">
        <v>1.4915310534995968E-3</v>
      </c>
      <c r="AA341" s="177">
        <v>1.4875542721145183E-3</v>
      </c>
    </row>
    <row r="342" spans="23:27" x14ac:dyDescent="0.2">
      <c r="W342" s="173" t="str">
        <f t="shared" si="16"/>
        <v>1D</v>
      </c>
      <c r="X342" s="180">
        <f>_xll.qlCalendarAdvance(LiborCalendar,X341,W342,"f",FALSE)</f>
        <v>42411</v>
      </c>
      <c r="Y342" s="174">
        <f>_xll.qlInterestRateIndexValueDate(IborIndex,X342)</f>
        <v>42415</v>
      </c>
      <c r="Z342" s="175">
        <v>1.4925786154449175E-3</v>
      </c>
      <c r="AA342" s="177">
        <v>1.4876700763355455E-3</v>
      </c>
    </row>
    <row r="343" spans="23:27" x14ac:dyDescent="0.2">
      <c r="W343" s="173" t="str">
        <f t="shared" si="16"/>
        <v>1D</v>
      </c>
      <c r="X343" s="180">
        <f>_xll.qlCalendarAdvance(LiborCalendar,X342,W343,"f",FALSE)</f>
        <v>42412</v>
      </c>
      <c r="Y343" s="174">
        <f>_xll.qlInterestRateIndexValueDate(IborIndex,X343)</f>
        <v>42416</v>
      </c>
      <c r="Z343" s="175">
        <v>1.4929332799014023E-3</v>
      </c>
      <c r="AA343" s="177">
        <v>1.487737419635371E-3</v>
      </c>
    </row>
    <row r="344" spans="23:27" x14ac:dyDescent="0.2">
      <c r="W344" s="173" t="str">
        <f t="shared" si="16"/>
        <v>1D</v>
      </c>
      <c r="X344" s="180">
        <f>_xll.qlCalendarAdvance(LiborCalendar,X343,W344,"f",FALSE)</f>
        <v>42415</v>
      </c>
      <c r="Y344" s="174">
        <f>_xll.qlInterestRateIndexValueDate(IborIndex,X344)</f>
        <v>42417</v>
      </c>
      <c r="Z344" s="175">
        <v>1.4932906657054298E-3</v>
      </c>
      <c r="AA344" s="177">
        <v>1.4878086089054054E-3</v>
      </c>
    </row>
    <row r="345" spans="23:27" x14ac:dyDescent="0.2">
      <c r="W345" s="173" t="str">
        <f t="shared" si="16"/>
        <v>1D</v>
      </c>
      <c r="X345" s="180">
        <f>_xll.qlCalendarAdvance(LiborCalendar,X344,W345,"f",FALSE)</f>
        <v>42416</v>
      </c>
      <c r="Y345" s="174">
        <f>_xll.qlInterestRateIndexValueDate(IborIndex,X345)</f>
        <v>42418</v>
      </c>
      <c r="Z345" s="175">
        <v>1.4936507625237275E-3</v>
      </c>
      <c r="AA345" s="177">
        <v>1.4878836441456489E-3</v>
      </c>
    </row>
    <row r="346" spans="23:27" x14ac:dyDescent="0.2">
      <c r="W346" s="173" t="str">
        <f t="shared" si="16"/>
        <v>1D</v>
      </c>
      <c r="X346" s="180">
        <f>_xll.qlCalendarAdvance(LiborCalendar,X345,W346,"f",FALSE)</f>
        <v>42417</v>
      </c>
      <c r="Y346" s="174">
        <f>_xll.qlInterestRateIndexValueDate(IborIndex,X346)</f>
        <v>42419</v>
      </c>
      <c r="Z346" s="175">
        <v>1.4940135600225836E-3</v>
      </c>
      <c r="AA346" s="177">
        <v>1.4880526011651354E-3</v>
      </c>
    </row>
    <row r="347" spans="23:27" x14ac:dyDescent="0.2">
      <c r="W347" s="173" t="str">
        <f t="shared" si="16"/>
        <v>1D</v>
      </c>
      <c r="X347" s="180">
        <f>_xll.qlCalendarAdvance(LiborCalendar,X346,W347,"f",FALSE)</f>
        <v>42418</v>
      </c>
      <c r="Y347" s="174">
        <f>_xll.qlInterestRateIndexValueDate(IborIndex,X347)</f>
        <v>42422</v>
      </c>
      <c r="Z347" s="175">
        <v>1.4951180532649436E-3</v>
      </c>
      <c r="AA347" s="177">
        <v>1.4882222450518512E-3</v>
      </c>
    </row>
    <row r="348" spans="23:27" x14ac:dyDescent="0.2">
      <c r="W348" s="173" t="str">
        <f t="shared" si="16"/>
        <v>1D</v>
      </c>
      <c r="X348" s="180">
        <f>_xll.qlCalendarAdvance(LiborCalendar,X347,W348,"f",FALSE)</f>
        <v>42419</v>
      </c>
      <c r="Y348" s="174">
        <f>_xll.qlInterestRateIndexValueDate(IborIndex,X348)</f>
        <v>42423</v>
      </c>
      <c r="Z348" s="175">
        <v>1.4954915501489139E-3</v>
      </c>
      <c r="AA348" s="177">
        <v>1.4883165101431395E-3</v>
      </c>
    </row>
    <row r="349" spans="23:27" x14ac:dyDescent="0.2">
      <c r="W349" s="173" t="str">
        <f t="shared" si="16"/>
        <v>1D</v>
      </c>
      <c r="X349" s="180">
        <f>_xll.qlCalendarAdvance(LiborCalendar,X348,W349,"f",FALSE)</f>
        <v>42422</v>
      </c>
      <c r="Y349" s="174">
        <f>_xll.qlInterestRateIndexValueDate(IborIndex,X349)</f>
        <v>42424</v>
      </c>
      <c r="Z349" s="175">
        <v>1.4958676960448829E-3</v>
      </c>
      <c r="AA349" s="177">
        <v>1.4884146212046367E-3</v>
      </c>
    </row>
    <row r="350" spans="23:27" x14ac:dyDescent="0.2">
      <c r="W350" s="173" t="str">
        <f t="shared" si="16"/>
        <v>1D</v>
      </c>
      <c r="X350" s="180">
        <f>_xll.qlCalendarAdvance(LiborCalendar,X349,W350,"f",FALSE)</f>
        <v>42423</v>
      </c>
      <c r="Y350" s="174">
        <f>_xll.qlInterestRateIndexValueDate(IborIndex,X350)</f>
        <v>42425</v>
      </c>
      <c r="Z350" s="175">
        <v>1.4962464806195779E-3</v>
      </c>
      <c r="AA350" s="177">
        <v>1.4885165783984355E-3</v>
      </c>
    </row>
    <row r="351" spans="23:27" x14ac:dyDescent="0.2">
      <c r="W351" s="173" t="str">
        <f t="shared" si="16"/>
        <v>1D</v>
      </c>
      <c r="X351" s="180">
        <f>_xll.qlCalendarAdvance(LiborCalendar,X350,W351,"f",FALSE)</f>
        <v>42424</v>
      </c>
      <c r="Y351" s="174">
        <f>_xll.qlInterestRateIndexValueDate(IborIndex,X351)</f>
        <v>42426</v>
      </c>
      <c r="Z351" s="175">
        <v>1.4966278935384088E-3</v>
      </c>
      <c r="AA351" s="177">
        <v>1.4887393846200563E-3</v>
      </c>
    </row>
    <row r="352" spans="23:27" x14ac:dyDescent="0.2">
      <c r="W352" s="173" t="str">
        <f t="shared" si="16"/>
        <v>1D</v>
      </c>
      <c r="X352" s="180">
        <f>_xll.qlCalendarAdvance(LiborCalendar,X351,W352,"f",FALSE)</f>
        <v>42425</v>
      </c>
      <c r="Y352" s="174">
        <f>_xll.qlInterestRateIndexValueDate(IborIndex,X352)</f>
        <v>42429</v>
      </c>
      <c r="Z352" s="175">
        <v>1.4982606249315101E-3</v>
      </c>
      <c r="AA352" s="177">
        <v>1.488962866470489E-3</v>
      </c>
    </row>
    <row r="353" spans="23:27" x14ac:dyDescent="0.2">
      <c r="W353" s="173" t="str">
        <f t="shared" si="16"/>
        <v>1D</v>
      </c>
      <c r="X353" s="180">
        <f>_xll.qlCalendarAdvance(LiborCalendar,X352,W353,"f",FALSE)</f>
        <v>42426</v>
      </c>
      <c r="Y353" s="174">
        <f>_xll.qlInterestRateIndexValueDate(IborIndex,X353)</f>
        <v>42430</v>
      </c>
      <c r="Z353" s="175">
        <v>1.4986546000957416E-3</v>
      </c>
      <c r="AA353" s="177">
        <v>1.4890840535153327E-3</v>
      </c>
    </row>
    <row r="354" spans="23:27" x14ac:dyDescent="0.2">
      <c r="W354" s="173" t="str">
        <f t="shared" si="16"/>
        <v>1D</v>
      </c>
      <c r="X354" s="180">
        <f>_xll.qlCalendarAdvance(LiborCalendar,X353,W354,"f",FALSE)</f>
        <v>42429</v>
      </c>
      <c r="Y354" s="174">
        <f>_xll.qlInterestRateIndexValueDate(IborIndex,X354)</f>
        <v>42431</v>
      </c>
      <c r="Z354" s="175">
        <v>1.4990511447702298E-3</v>
      </c>
      <c r="AA354" s="177">
        <v>1.489209086449339E-3</v>
      </c>
    </row>
    <row r="355" spans="23:27" x14ac:dyDescent="0.2">
      <c r="W355" s="173" t="str">
        <f t="shared" si="16"/>
        <v>1D</v>
      </c>
      <c r="X355" s="180">
        <f>_xll.qlCalendarAdvance(LiborCalendar,X354,W355,"f",FALSE)</f>
        <v>42430</v>
      </c>
      <c r="Y355" s="174">
        <f>_xll.qlInterestRateIndexValueDate(IborIndex,X355)</f>
        <v>42432</v>
      </c>
      <c r="Z355" s="175">
        <v>1.4999321674225375E-3</v>
      </c>
      <c r="AA355" s="177">
        <v>1.4893379653535543E-3</v>
      </c>
    </row>
    <row r="356" spans="23:27" x14ac:dyDescent="0.2">
      <c r="W356" s="173" t="str">
        <f t="shared" si="16"/>
        <v>1D</v>
      </c>
      <c r="X356" s="180">
        <f>_xll.qlCalendarAdvance(LiborCalendar,X355,W356,"f",FALSE)</f>
        <v>42431</v>
      </c>
      <c r="Y356" s="174">
        <f>_xll.qlInterestRateIndexValueDate(IborIndex,X356)</f>
        <v>42433</v>
      </c>
      <c r="Z356" s="175">
        <v>1.500093592916873E-3</v>
      </c>
      <c r="AA356" s="177">
        <v>1.4896146224522659E-3</v>
      </c>
    </row>
    <row r="357" spans="23:27" x14ac:dyDescent="0.2">
      <c r="W357" s="173" t="str">
        <f t="shared" si="16"/>
        <v>1D</v>
      </c>
      <c r="X357" s="180">
        <f>_xll.qlCalendarAdvance(LiborCalendar,X356,W357,"f",FALSE)</f>
        <v>42432</v>
      </c>
      <c r="Y357" s="174">
        <f>_xll.qlInterestRateIndexValueDate(IborIndex,X357)</f>
        <v>42436</v>
      </c>
      <c r="Z357" s="175">
        <v>1.5010720530539907E-3</v>
      </c>
      <c r="AA357" s="177">
        <v>1.4898919409156441E-3</v>
      </c>
    </row>
    <row r="358" spans="23:27" x14ac:dyDescent="0.2">
      <c r="W358" s="173" t="str">
        <f t="shared" si="16"/>
        <v>1D</v>
      </c>
      <c r="X358" s="180">
        <f>_xll.qlCalendarAdvance(LiborCalendar,X357,W358,"f",FALSE)</f>
        <v>42433</v>
      </c>
      <c r="Y358" s="174">
        <f>_xll.qlInterestRateIndexValueDate(IborIndex,X358)</f>
        <v>42437</v>
      </c>
      <c r="Z358" s="175">
        <v>1.5014838001434579E-3</v>
      </c>
      <c r="AA358" s="177">
        <v>1.4900400496709043E-3</v>
      </c>
    </row>
    <row r="359" spans="23:27" x14ac:dyDescent="0.2">
      <c r="W359" s="173" t="str">
        <f t="shared" si="16"/>
        <v>1D</v>
      </c>
      <c r="X359" s="180">
        <f>_xll.qlCalendarAdvance(LiborCalendar,X358,W359,"f",FALSE)</f>
        <v>42436</v>
      </c>
      <c r="Y359" s="174">
        <f>_xll.qlInterestRateIndexValueDate(IborIndex,X359)</f>
        <v>42438</v>
      </c>
      <c r="Z359" s="175">
        <v>1.5018980451934592E-3</v>
      </c>
      <c r="AA359" s="177">
        <v>1.4901920044774197E-3</v>
      </c>
    </row>
    <row r="360" spans="23:27" x14ac:dyDescent="0.2">
      <c r="W360" s="173" t="str">
        <f t="shared" si="16"/>
        <v>1D</v>
      </c>
      <c r="X360" s="180">
        <f>_xll.qlCalendarAdvance(LiborCalendar,X359,W360,"f",FALSE)</f>
        <v>42437</v>
      </c>
      <c r="Y360" s="174">
        <f>_xll.qlInterestRateIndexValueDate(IborIndex,X360)</f>
        <v>42439</v>
      </c>
      <c r="Z360" s="175">
        <v>1.502811445776772E-3</v>
      </c>
      <c r="AA360" s="177">
        <v>1.4903478052541441E-3</v>
      </c>
    </row>
    <row r="361" spans="23:27" x14ac:dyDescent="0.2">
      <c r="W361" s="173" t="str">
        <f t="shared" si="16"/>
        <v>1D</v>
      </c>
      <c r="X361" s="180">
        <f>_xll.qlCalendarAdvance(LiborCalendar,X360,W361,"f",FALSE)</f>
        <v>42438</v>
      </c>
      <c r="Y361" s="174">
        <f>_xll.qlInterestRateIndexValueDate(IborIndex,X361)</f>
        <v>42440</v>
      </c>
      <c r="Z361" s="175">
        <v>1.5029830351707672E-3</v>
      </c>
      <c r="AA361" s="177">
        <v>1.4906783146887796E-3</v>
      </c>
    </row>
    <row r="362" spans="23:27" x14ac:dyDescent="0.2">
      <c r="W362" s="173" t="str">
        <f t="shared" si="16"/>
        <v>1D</v>
      </c>
      <c r="X362" s="180">
        <f>_xll.qlCalendarAdvance(LiborCalendar,X361,W362,"f",FALSE)</f>
        <v>42439</v>
      </c>
      <c r="Y362" s="174">
        <f>_xll.qlInterestRateIndexValueDate(IborIndex,X362)</f>
        <v>42443</v>
      </c>
      <c r="Z362" s="175">
        <v>1.5040063821132902E-3</v>
      </c>
      <c r="AA362" s="177">
        <v>1.4910094680631314E-3</v>
      </c>
    </row>
    <row r="363" spans="23:27" x14ac:dyDescent="0.2">
      <c r="W363" s="173" t="str">
        <f t="shared" si="16"/>
        <v>1D</v>
      </c>
      <c r="X363" s="180">
        <f>_xll.qlCalendarAdvance(LiborCalendar,X362,W363,"f",FALSE)</f>
        <v>42440</v>
      </c>
      <c r="Y363" s="174">
        <f>_xll.qlInterestRateIndexValueDate(IborIndex,X363)</f>
        <v>42444</v>
      </c>
      <c r="Z363" s="175">
        <v>1.5044354002816723E-3</v>
      </c>
      <c r="AA363" s="177">
        <v>1.4911844987719469E-3</v>
      </c>
    </row>
    <row r="364" spans="23:27" x14ac:dyDescent="0.2">
      <c r="W364" s="173" t="str">
        <f t="shared" si="16"/>
        <v>1D</v>
      </c>
      <c r="X364" s="180">
        <f>_xll.qlCalendarAdvance(LiborCalendar,X363,W364,"f",FALSE)</f>
        <v>42443</v>
      </c>
      <c r="Y364" s="174">
        <f>_xll.qlInterestRateIndexValueDate(IborIndex,X364)</f>
        <v>42445</v>
      </c>
      <c r="Z364" s="175">
        <v>1.5048668448608658E-3</v>
      </c>
      <c r="AA364" s="177">
        <v>1.4913633753699251E-3</v>
      </c>
    </row>
    <row r="365" spans="23:27" x14ac:dyDescent="0.2">
      <c r="W365" s="173" t="str">
        <f t="shared" si="16"/>
        <v>1D</v>
      </c>
      <c r="X365" s="180">
        <f>_xll.qlCalendarAdvance(LiborCalendar,X364,W365,"f",FALSE)</f>
        <v>42444</v>
      </c>
      <c r="Y365" s="174">
        <f>_xll.qlInterestRateIndexValueDate(IborIndex,X365)</f>
        <v>42446</v>
      </c>
      <c r="Z365" s="175">
        <v>1.5060683653851604E-3</v>
      </c>
      <c r="AA365" s="177">
        <v>1.4915460979381123E-3</v>
      </c>
    </row>
    <row r="366" spans="23:27" x14ac:dyDescent="0.2">
      <c r="W366" s="173" t="str">
        <f t="shared" si="16"/>
        <v>1D</v>
      </c>
      <c r="X366" s="180">
        <f>_xll.qlCalendarAdvance(LiborCalendar,X365,W366,"f",FALSE)</f>
        <v>42445</v>
      </c>
      <c r="Y366" s="174">
        <f>_xll.qlInterestRateIndexValueDate(IborIndex,X366)</f>
        <v>42447</v>
      </c>
      <c r="Z366" s="175">
        <v>1.5062501371157588E-3</v>
      </c>
      <c r="AA366" s="177">
        <v>1.4919304613025821E-3</v>
      </c>
    </row>
    <row r="367" spans="23:27" x14ac:dyDescent="0.2">
      <c r="W367" s="173" t="str">
        <f t="shared" si="16"/>
        <v>1D</v>
      </c>
      <c r="X367" s="180">
        <f>_xll.qlCalendarAdvance(LiborCalendar,X366,W367,"f",FALSE)</f>
        <v>42446</v>
      </c>
      <c r="Y367" s="174">
        <f>_xll.qlInterestRateIndexValueDate(IborIndex,X367)</f>
        <v>42451</v>
      </c>
      <c r="Z367" s="175">
        <v>1.5077662134791179E-3</v>
      </c>
      <c r="AA367" s="177">
        <v>1.492517400656368E-3</v>
      </c>
    </row>
    <row r="368" spans="23:27" x14ac:dyDescent="0.2">
      <c r="W368" s="173" t="str">
        <f t="shared" si="16"/>
        <v>1D</v>
      </c>
      <c r="X368" s="180">
        <f>_xll.qlCalendarAdvance(LiborCalendar,X367,W368,"f",FALSE)</f>
        <v>42447</v>
      </c>
      <c r="Y368" s="174">
        <f>_xll.qlInterestRateIndexValueDate(IborIndex,X368)</f>
        <v>42451</v>
      </c>
      <c r="Z368" s="175">
        <v>1.5077662134791179E-3</v>
      </c>
      <c r="AA368" s="177">
        <v>1.492517400656368E-3</v>
      </c>
    </row>
    <row r="369" spans="23:27" x14ac:dyDescent="0.2">
      <c r="W369" s="173" t="str">
        <f t="shared" si="16"/>
        <v>1D</v>
      </c>
      <c r="X369" s="180">
        <f>_xll.qlCalendarAdvance(LiborCalendar,X368,W369,"f",FALSE)</f>
        <v>42450</v>
      </c>
      <c r="Y369" s="174">
        <f>_xll.qlInterestRateIndexValueDate(IborIndex,X369)</f>
        <v>42452</v>
      </c>
      <c r="Z369" s="175">
        <v>1.507954037846465E-3</v>
      </c>
      <c r="AA369" s="177">
        <v>1.4927231991268552E-3</v>
      </c>
    </row>
    <row r="370" spans="23:27" x14ac:dyDescent="0.2">
      <c r="W370" s="173" t="str">
        <f t="shared" si="16"/>
        <v>1D</v>
      </c>
      <c r="X370" s="180">
        <f>_xll.qlCalendarAdvance(LiborCalendar,X369,W370,"f",FALSE)</f>
        <v>42451</v>
      </c>
      <c r="Y370" s="174">
        <f>_xll.qlInterestRateIndexValueDate(IborIndex,X370)</f>
        <v>42453</v>
      </c>
      <c r="Z370" s="175">
        <v>1.5089298440929344E-3</v>
      </c>
      <c r="AA370" s="177">
        <v>1.4933797363907431E-3</v>
      </c>
    </row>
    <row r="371" spans="23:27" x14ac:dyDescent="0.2">
      <c r="W371" s="173" t="str">
        <f t="shared" si="16"/>
        <v>1D</v>
      </c>
      <c r="X371" s="180">
        <f>_xll.qlCalendarAdvance(LiborCalendar,X370,W371,"f",FALSE)</f>
        <v>42452</v>
      </c>
      <c r="Y371" s="174">
        <f>_xll.qlInterestRateIndexValueDate(IborIndex,X371)</f>
        <v>42458</v>
      </c>
      <c r="Z371" s="175">
        <v>1.5106917771247886E-3</v>
      </c>
      <c r="AA371" s="177">
        <v>1.4940387554052137E-3</v>
      </c>
    </row>
    <row r="372" spans="23:27" x14ac:dyDescent="0.2">
      <c r="W372" s="173" t="str">
        <f t="shared" si="16"/>
        <v>1D</v>
      </c>
      <c r="X372" s="180">
        <f>_xll.qlCalendarAdvance(LiborCalendar,X371,W372,"f",FALSE)</f>
        <v>42453</v>
      </c>
      <c r="Y372" s="174">
        <f>_xll.qlInterestRateIndexValueDate(IborIndex,X372)</f>
        <v>42459</v>
      </c>
      <c r="Z372" s="175">
        <v>1.5111561182229692E-3</v>
      </c>
      <c r="AA372" s="177">
        <v>1.4942714756671638E-3</v>
      </c>
    </row>
    <row r="373" spans="23:27" x14ac:dyDescent="0.2">
      <c r="W373" s="173" t="str">
        <f t="shared" si="16"/>
        <v>1D</v>
      </c>
      <c r="X373" s="180">
        <f>_xll.qlCalendarAdvance(LiborCalendar,X372,W373,"f",FALSE)</f>
        <v>42458</v>
      </c>
      <c r="Y373" s="174">
        <f>_xll.qlInterestRateIndexValueDate(IborIndex,X373)</f>
        <v>42460</v>
      </c>
      <c r="Z373" s="175">
        <v>1.5113540517446946E-3</v>
      </c>
      <c r="AA373" s="177">
        <v>1.4945080420614154E-3</v>
      </c>
    </row>
    <row r="374" spans="23:27" x14ac:dyDescent="0.2">
      <c r="W374" s="173" t="str">
        <f t="shared" si="16"/>
        <v>1D</v>
      </c>
      <c r="X374" s="180">
        <f>_xll.qlCalendarAdvance(LiborCalendar,X373,W374,"f",FALSE)</f>
        <v>42459</v>
      </c>
      <c r="Y374" s="174">
        <f>_xll.qlInterestRateIndexValueDate(IborIndex,X374)</f>
        <v>42461</v>
      </c>
      <c r="Z374" s="175">
        <v>1.5123619253978138E-3</v>
      </c>
      <c r="AA374" s="177">
        <v>1.4950001177971297E-3</v>
      </c>
    </row>
    <row r="375" spans="23:27" x14ac:dyDescent="0.2">
      <c r="W375" s="173" t="str">
        <f t="shared" si="16"/>
        <v>1D</v>
      </c>
      <c r="X375" s="180">
        <f>_xll.qlCalendarAdvance(LiborCalendar,X374,W375,"f",FALSE)</f>
        <v>42460</v>
      </c>
      <c r="Y375" s="174">
        <f>_xll.qlInterestRateIndexValueDate(IborIndex,X375)</f>
        <v>42464</v>
      </c>
      <c r="Z375" s="175">
        <v>1.5132390818998326E-3</v>
      </c>
      <c r="AA375" s="177">
        <v>1.4954927668542339E-3</v>
      </c>
    </row>
    <row r="376" spans="23:27" x14ac:dyDescent="0.2">
      <c r="W376" s="173" t="str">
        <f t="shared" si="16"/>
        <v>1D</v>
      </c>
      <c r="X376" s="180">
        <f>_xll.qlCalendarAdvance(LiborCalendar,X375,W376,"f",FALSE)</f>
        <v>42461</v>
      </c>
      <c r="Y376" s="174">
        <f>_xll.qlInterestRateIndexValueDate(IborIndex,X376)</f>
        <v>42465</v>
      </c>
      <c r="Z376" s="175">
        <v>1.5137159242551608E-3</v>
      </c>
      <c r="AA376" s="177">
        <v>1.4957485630184841E-3</v>
      </c>
    </row>
    <row r="377" spans="23:27" x14ac:dyDescent="0.2">
      <c r="W377" s="173" t="str">
        <f t="shared" si="16"/>
        <v>1D</v>
      </c>
      <c r="X377" s="180">
        <f>_xll.qlCalendarAdvance(LiborCalendar,X376,W377,"f",FALSE)</f>
        <v>42464</v>
      </c>
      <c r="Y377" s="174">
        <f>_xll.qlInterestRateIndexValueDate(IborIndex,X377)</f>
        <v>42466</v>
      </c>
      <c r="Z377" s="175">
        <v>1.5141949799827067E-3</v>
      </c>
      <c r="AA377" s="177">
        <v>1.4960082051529433E-3</v>
      </c>
    </row>
    <row r="378" spans="23:27" x14ac:dyDescent="0.2">
      <c r="W378" s="173" t="str">
        <f t="shared" si="16"/>
        <v>1D</v>
      </c>
      <c r="X378" s="180">
        <f>_xll.qlCalendarAdvance(LiborCalendar,X377,W378,"f",FALSE)</f>
        <v>42465</v>
      </c>
      <c r="Y378" s="174">
        <f>_xll.qlInterestRateIndexValueDate(IborIndex,X378)</f>
        <v>42467</v>
      </c>
      <c r="Z378" s="175">
        <v>1.5146762388047901E-3</v>
      </c>
      <c r="AA378" s="177">
        <v>1.4962716933386577E-3</v>
      </c>
    </row>
    <row r="379" spans="23:27" x14ac:dyDescent="0.2">
      <c r="W379" s="173" t="str">
        <f t="shared" si="16"/>
        <v>1D</v>
      </c>
      <c r="X379" s="180">
        <f>_xll.qlCalendarAdvance(LiborCalendar,X378,W379,"f",FALSE)</f>
        <v>42466</v>
      </c>
      <c r="Y379" s="174">
        <f>_xll.qlInterestRateIndexValueDate(IborIndex,X379)</f>
        <v>42468</v>
      </c>
      <c r="Z379" s="175">
        <v>1.5159912985463647E-3</v>
      </c>
      <c r="AA379" s="177">
        <v>1.4968176276778748E-3</v>
      </c>
    </row>
    <row r="380" spans="23:27" x14ac:dyDescent="0.2">
      <c r="W380" s="173" t="str">
        <f t="shared" si="16"/>
        <v>1D</v>
      </c>
      <c r="X380" s="180">
        <f>_xll.qlCalendarAdvance(LiborCalendar,X379,W380,"f",FALSE)</f>
        <v>42467</v>
      </c>
      <c r="Y380" s="174">
        <f>_xll.qlInterestRateIndexValueDate(IborIndex,X380)</f>
        <v>42471</v>
      </c>
      <c r="Z380" s="175">
        <v>1.5166230994993052E-3</v>
      </c>
      <c r="AA380" s="177">
        <v>1.4973641055404663E-3</v>
      </c>
    </row>
    <row r="381" spans="23:27" x14ac:dyDescent="0.2">
      <c r="W381" s="173" t="str">
        <f t="shared" si="16"/>
        <v>1D</v>
      </c>
      <c r="X381" s="180">
        <f>_xll.qlCalendarAdvance(LiborCalendar,X380,W381,"f",FALSE)</f>
        <v>42468</v>
      </c>
      <c r="Y381" s="174">
        <f>_xll.qlInterestRateIndexValueDate(IborIndex,X381)</f>
        <v>42472</v>
      </c>
      <c r="Z381" s="175">
        <v>1.5171152196380433E-3</v>
      </c>
      <c r="AA381" s="177">
        <v>1.4976468235772256E-3</v>
      </c>
    </row>
    <row r="382" spans="23:27" x14ac:dyDescent="0.2">
      <c r="W382" s="173" t="str">
        <f t="shared" si="16"/>
        <v>1D</v>
      </c>
      <c r="X382" s="180">
        <f>_xll.qlCalendarAdvance(LiborCalendar,X381,W382,"f",FALSE)</f>
        <v>42471</v>
      </c>
      <c r="Y382" s="174">
        <f>_xll.qlInterestRateIndexValueDate(IborIndex,X382)</f>
        <v>42473</v>
      </c>
      <c r="Z382" s="175">
        <v>1.5176094812078577E-3</v>
      </c>
      <c r="AA382" s="177">
        <v>1.4979333875031475E-3</v>
      </c>
    </row>
    <row r="383" spans="23:27" x14ac:dyDescent="0.2">
      <c r="W383" s="173" t="str">
        <f t="shared" si="16"/>
        <v>1D</v>
      </c>
      <c r="X383" s="180">
        <f>_xll.qlCalendarAdvance(LiborCalendar,X382,W383,"f",FALSE)</f>
        <v>42472</v>
      </c>
      <c r="Y383" s="174">
        <f>_xll.qlInterestRateIndexValueDate(IborIndex,X383)</f>
        <v>42474</v>
      </c>
      <c r="Z383" s="175">
        <v>1.5181058739323783E-3</v>
      </c>
      <c r="AA383" s="177">
        <v>1.4982237974803247E-3</v>
      </c>
    </row>
    <row r="384" spans="23:27" x14ac:dyDescent="0.2">
      <c r="W384" s="173" t="str">
        <f t="shared" si="16"/>
        <v>1D</v>
      </c>
      <c r="X384" s="180">
        <f>_xll.qlCalendarAdvance(LiborCalendar,X383,W384,"f",FALSE)</f>
        <v>42473</v>
      </c>
      <c r="Y384" s="174">
        <f>_xll.qlInterestRateIndexValueDate(IborIndex,X384)</f>
        <v>42475</v>
      </c>
      <c r="Z384" s="175">
        <v>1.5191717852483207E-3</v>
      </c>
      <c r="AA384" s="177">
        <v>1.4988235919629242E-3</v>
      </c>
    </row>
    <row r="385" spans="23:27" x14ac:dyDescent="0.2">
      <c r="W385" s="173" t="str">
        <f t="shared" si="16"/>
        <v>1D</v>
      </c>
      <c r="X385" s="180">
        <f>_xll.qlCalendarAdvance(LiborCalendar,X384,W385,"f",FALSE)</f>
        <v>42474</v>
      </c>
      <c r="Y385" s="174">
        <f>_xll.qlInterestRateIndexValueDate(IborIndex,X385)</f>
        <v>42478</v>
      </c>
      <c r="Z385" s="175">
        <v>1.520112550829158E-3</v>
      </c>
      <c r="AA385" s="177">
        <v>1.4994238970911233E-3</v>
      </c>
    </row>
    <row r="386" spans="23:27" x14ac:dyDescent="0.2">
      <c r="W386" s="173" t="str">
        <f t="shared" si="16"/>
        <v>1D</v>
      </c>
      <c r="X386" s="180">
        <f>_xll.qlCalendarAdvance(LiborCalendar,X385,W386,"f",FALSE)</f>
        <v>42475</v>
      </c>
      <c r="Y386" s="174">
        <f>_xll.qlInterestRateIndexValueDate(IborIndex,X386)</f>
        <v>42479</v>
      </c>
      <c r="Z386" s="175">
        <v>1.5206194451668096E-3</v>
      </c>
      <c r="AA386" s="177">
        <v>1.4997335369193454E-3</v>
      </c>
    </row>
    <row r="387" spans="23:27" x14ac:dyDescent="0.2">
      <c r="W387" s="173" t="str">
        <f t="shared" si="16"/>
        <v>1D</v>
      </c>
      <c r="X387" s="180">
        <f>_xll.qlCalendarAdvance(LiborCalendar,X386,W387,"f",FALSE)</f>
        <v>42478</v>
      </c>
      <c r="Y387" s="174">
        <f>_xll.qlInterestRateIndexValueDate(IborIndex,X387)</f>
        <v>42480</v>
      </c>
      <c r="Z387" s="175">
        <v>1.5211284089952694E-3</v>
      </c>
      <c r="AA387" s="177">
        <v>1.5000470227177765E-3</v>
      </c>
    </row>
    <row r="388" spans="23:27" x14ac:dyDescent="0.2">
      <c r="W388" s="173" t="str">
        <f t="shared" si="16"/>
        <v>1D</v>
      </c>
      <c r="X388" s="180">
        <f>_xll.qlCalendarAdvance(LiborCalendar,X387,W388,"f",FALSE)</f>
        <v>42479</v>
      </c>
      <c r="Y388" s="174">
        <f>_xll.qlInterestRateIndexValueDate(IborIndex,X388)</f>
        <v>42481</v>
      </c>
      <c r="Z388" s="175">
        <v>1.5216394320372939E-3</v>
      </c>
      <c r="AA388" s="177">
        <v>1.5003643544864165E-3</v>
      </c>
    </row>
    <row r="389" spans="23:27" x14ac:dyDescent="0.2">
      <c r="W389" s="173" t="str">
        <f t="shared" si="16"/>
        <v>1D</v>
      </c>
      <c r="X389" s="180">
        <f>_xll.qlCalendarAdvance(LiborCalendar,X388,W389,"f",FALSE)</f>
        <v>42480</v>
      </c>
      <c r="Y389" s="174">
        <f>_xll.qlInterestRateIndexValueDate(IborIndex,X389)</f>
        <v>42482</v>
      </c>
      <c r="Z389" s="175">
        <v>1.5227334341052442E-3</v>
      </c>
      <c r="AA389" s="177">
        <v>1.5010180107063085E-3</v>
      </c>
    </row>
    <row r="390" spans="23:27" x14ac:dyDescent="0.2">
      <c r="W390" s="173" t="str">
        <f t="shared" si="16"/>
        <v>1D</v>
      </c>
      <c r="X390" s="180">
        <f>_xll.qlCalendarAdvance(LiborCalendar,X389,W390,"f",FALSE)</f>
        <v>42481</v>
      </c>
      <c r="Y390" s="174">
        <f>_xll.qlInterestRateIndexValueDate(IborIndex,X390)</f>
        <v>42485</v>
      </c>
      <c r="Z390" s="175">
        <v>1.5237039107961683E-3</v>
      </c>
      <c r="AA390" s="177">
        <v>1.5016721414251588E-3</v>
      </c>
    </row>
    <row r="391" spans="23:27" x14ac:dyDescent="0.2">
      <c r="W391" s="173" t="str">
        <f t="shared" si="16"/>
        <v>1D</v>
      </c>
      <c r="X391" s="180">
        <f>_xll.qlCalendarAdvance(LiborCalendar,X390,W391,"f",FALSE)</f>
        <v>42482</v>
      </c>
      <c r="Y391" s="174">
        <f>_xll.qlInterestRateIndexValueDate(IborIndex,X391)</f>
        <v>42486</v>
      </c>
      <c r="Z391" s="175">
        <v>1.5242250757469262E-3</v>
      </c>
      <c r="AA391" s="177">
        <v>1.50200870312589E-3</v>
      </c>
    </row>
    <row r="392" spans="23:27" x14ac:dyDescent="0.2">
      <c r="W392" s="173" t="str">
        <f t="shared" si="16"/>
        <v>1D</v>
      </c>
      <c r="X392" s="180">
        <f>_xll.qlCalendarAdvance(LiborCalendar,X391,W392,"f",FALSE)</f>
        <v>42485</v>
      </c>
      <c r="Y392" s="174">
        <f>_xll.qlInterestRateIndexValueDate(IborIndex,X392)</f>
        <v>42487</v>
      </c>
      <c r="Z392" s="175">
        <v>1.5247482382482248E-3</v>
      </c>
      <c r="AA392" s="177">
        <v>1.5023491107157838E-3</v>
      </c>
    </row>
    <row r="393" spans="23:27" x14ac:dyDescent="0.2">
      <c r="W393" s="173" t="str">
        <f t="shared" si="16"/>
        <v>1D</v>
      </c>
      <c r="X393" s="180">
        <f>_xll.qlCalendarAdvance(LiborCalendar,X392,W393,"f",FALSE)</f>
        <v>42486</v>
      </c>
      <c r="Y393" s="174">
        <f>_xll.qlInterestRateIndexValueDate(IborIndex,X393)</f>
        <v>42488</v>
      </c>
      <c r="Z393" s="175">
        <v>1.526163064377279E-3</v>
      </c>
      <c r="AA393" s="177">
        <v>1.5026933644379792E-3</v>
      </c>
    </row>
    <row r="394" spans="23:27" x14ac:dyDescent="0.2">
      <c r="W394" s="173" t="str">
        <f t="shared" si="16"/>
        <v>1D</v>
      </c>
      <c r="X394" s="180">
        <f>_xll.qlCalendarAdvance(LiborCalendar,X393,W394,"f",FALSE)</f>
        <v>42487</v>
      </c>
      <c r="Y394" s="174">
        <f>_xll.qlInterestRateIndexValueDate(IborIndex,X394)</f>
        <v>42496</v>
      </c>
      <c r="Z394" s="175">
        <v>1.5301528197805912E-3</v>
      </c>
      <c r="AA394" s="177">
        <v>1.5059598244545245E-3</v>
      </c>
    </row>
    <row r="395" spans="23:27" x14ac:dyDescent="0.2">
      <c r="W395" s="173" t="str">
        <f t="shared" si="16"/>
        <v>1D</v>
      </c>
      <c r="X395" s="180">
        <f>_xll.qlCalendarAdvance(LiborCalendar,X394,W395,"f",FALSE)</f>
        <v>42488</v>
      </c>
      <c r="Y395" s="174">
        <f>_xll.qlInterestRateIndexValueDate(IborIndex,X395)</f>
        <v>42496</v>
      </c>
      <c r="Z395" s="175">
        <v>1.5301528197805912E-3</v>
      </c>
      <c r="AA395" s="177">
        <v>1.5059598244545245E-3</v>
      </c>
    </row>
    <row r="396" spans="23:27" x14ac:dyDescent="0.2">
      <c r="W396" s="173" t="str">
        <f t="shared" si="16"/>
        <v>1D</v>
      </c>
      <c r="X396" s="180">
        <f>_xll.qlCalendarAdvance(LiborCalendar,X395,W396,"f",FALSE)</f>
        <v>42489</v>
      </c>
      <c r="Y396" s="174">
        <f>_xll.qlInterestRateIndexValueDate(IborIndex,X396)</f>
        <v>42496</v>
      </c>
      <c r="Z396" s="175">
        <v>1.5301528197805912E-3</v>
      </c>
      <c r="AA396" s="177">
        <v>1.5059598244545245E-3</v>
      </c>
    </row>
    <row r="397" spans="23:27" x14ac:dyDescent="0.2">
      <c r="W397" s="173" t="str">
        <f t="shared" si="16"/>
        <v>1D</v>
      </c>
      <c r="X397" s="180">
        <f>_xll.qlCalendarAdvance(LiborCalendar,X396,W397,"f",FALSE)</f>
        <v>42493</v>
      </c>
      <c r="Y397" s="174">
        <f>_xll.qlInterestRateIndexValueDate(IborIndex,X397)</f>
        <v>42496</v>
      </c>
      <c r="Z397" s="175">
        <v>1.5301528197805912E-3</v>
      </c>
      <c r="AA397" s="177">
        <v>1.5059598244545245E-3</v>
      </c>
    </row>
    <row r="398" spans="23:27" x14ac:dyDescent="0.2">
      <c r="W398" s="173" t="str">
        <f t="shared" si="16"/>
        <v>1D</v>
      </c>
      <c r="X398" s="180">
        <f>_xll.qlCalendarAdvance(LiborCalendar,X397,W398,"f",FALSE)</f>
        <v>42494</v>
      </c>
      <c r="Y398" s="174">
        <f>_xll.qlInterestRateIndexValueDate(IborIndex,X398)</f>
        <v>42496</v>
      </c>
      <c r="Z398" s="175">
        <v>1.5301528197805912E-3</v>
      </c>
      <c r="AA398" s="177">
        <v>1.5059598244545245E-3</v>
      </c>
    </row>
    <row r="399" spans="23:27" x14ac:dyDescent="0.2">
      <c r="W399" s="173" t="str">
        <f t="shared" si="16"/>
        <v>1D</v>
      </c>
      <c r="X399" s="180">
        <f>_xll.qlCalendarAdvance(LiborCalendar,X398,W399,"f",FALSE)</f>
        <v>42495</v>
      </c>
      <c r="Y399" s="174">
        <f>_xll.qlInterestRateIndexValueDate(IborIndex,X399)</f>
        <v>42499</v>
      </c>
      <c r="Z399" s="175">
        <v>1.5314852828980955E-3</v>
      </c>
      <c r="AA399" s="177">
        <v>1.5067050857997533E-3</v>
      </c>
    </row>
    <row r="400" spans="23:27" x14ac:dyDescent="0.2">
      <c r="W400" s="173" t="str">
        <f t="shared" si="16"/>
        <v>1D</v>
      </c>
      <c r="X400" s="180">
        <f>_xll.qlCalendarAdvance(LiborCalendar,X399,W400,"f",FALSE)</f>
        <v>42496</v>
      </c>
      <c r="Y400" s="174">
        <f>_xll.qlInterestRateIndexValueDate(IborIndex,X400)</f>
        <v>42500</v>
      </c>
      <c r="Z400" s="175">
        <v>1.5320348367835373E-3</v>
      </c>
      <c r="AA400" s="177">
        <v>1.5070840569930688E-3</v>
      </c>
    </row>
    <row r="401" spans="23:27" x14ac:dyDescent="0.2">
      <c r="W401" s="173" t="str">
        <f t="shared" si="16"/>
        <v>1D</v>
      </c>
      <c r="X401" s="180">
        <f>_xll.qlCalendarAdvance(LiborCalendar,X400,W401,"f",FALSE)</f>
        <v>42499</v>
      </c>
      <c r="Y401" s="174">
        <f>_xll.qlInterestRateIndexValueDate(IborIndex,X401)</f>
        <v>42501</v>
      </c>
      <c r="Z401" s="175">
        <v>1.5325864019770557E-3</v>
      </c>
      <c r="AA401" s="177">
        <v>1.5074649685153929E-3</v>
      </c>
    </row>
    <row r="402" spans="23:27" x14ac:dyDescent="0.2">
      <c r="W402" s="173" t="str">
        <f t="shared" si="16"/>
        <v>1D</v>
      </c>
      <c r="X402" s="180">
        <f>_xll.qlCalendarAdvance(LiborCalendar,X401,W402,"f",FALSE)</f>
        <v>42500</v>
      </c>
      <c r="Y402" s="174">
        <f>_xll.qlInterestRateIndexValueDate(IborIndex,X402)</f>
        <v>42502</v>
      </c>
      <c r="Z402" s="175">
        <v>1.5337619086566812E-3</v>
      </c>
      <c r="AA402" s="177">
        <v>1.5078478202856793E-3</v>
      </c>
    </row>
    <row r="403" spans="23:27" x14ac:dyDescent="0.2">
      <c r="W403" s="173" t="str">
        <f t="shared" si="16"/>
        <v>1D</v>
      </c>
      <c r="X403" s="180">
        <f>_xll.qlCalendarAdvance(LiborCalendar,X402,W403,"f",FALSE)</f>
        <v>42501</v>
      </c>
      <c r="Y403" s="174">
        <f>_xll.qlInterestRateIndexValueDate(IborIndex,X403)</f>
        <v>42503</v>
      </c>
      <c r="Z403" s="175">
        <v>1.5340072987669567E-3</v>
      </c>
      <c r="AA403" s="177">
        <v>1.5086262268852273E-3</v>
      </c>
    </row>
    <row r="404" spans="23:27" x14ac:dyDescent="0.2">
      <c r="W404" s="173" t="str">
        <f t="shared" si="16"/>
        <v>1D</v>
      </c>
      <c r="X404" s="180">
        <f>_xll.qlCalendarAdvance(LiborCalendar,X403,W404,"f",FALSE)</f>
        <v>42502</v>
      </c>
      <c r="Y404" s="174">
        <f>_xll.qlInterestRateIndexValueDate(IborIndex,X404)</f>
        <v>42506</v>
      </c>
      <c r="Z404" s="175">
        <v>1.5353749573819033E-3</v>
      </c>
      <c r="AA404" s="177">
        <v>1.5093986302516793E-3</v>
      </c>
    </row>
    <row r="405" spans="23:27" x14ac:dyDescent="0.2">
      <c r="W405" s="173" t="str">
        <f t="shared" ref="W405:W468" si="17">W404</f>
        <v>1D</v>
      </c>
      <c r="X405" s="180">
        <f>_xll.qlCalendarAdvance(LiborCalendar,X404,W405,"f",FALSE)</f>
        <v>42503</v>
      </c>
      <c r="Y405" s="174">
        <f>_xll.qlInterestRateIndexValueDate(IborIndex,X405)</f>
        <v>42507</v>
      </c>
      <c r="Z405" s="175">
        <v>1.5359389263134584E-3</v>
      </c>
      <c r="AA405" s="177">
        <v>1.5097911834238698E-3</v>
      </c>
    </row>
    <row r="406" spans="23:27" x14ac:dyDescent="0.2">
      <c r="W406" s="173" t="str">
        <f t="shared" si="17"/>
        <v>1D</v>
      </c>
      <c r="X406" s="180">
        <f>_xll.qlCalendarAdvance(LiborCalendar,X405,W406,"f",FALSE)</f>
        <v>42506</v>
      </c>
      <c r="Y406" s="174">
        <f>_xll.qlInterestRateIndexValueDate(IborIndex,X406)</f>
        <v>42508</v>
      </c>
      <c r="Z406" s="175">
        <v>1.5365050185157032E-3</v>
      </c>
      <c r="AA406" s="177">
        <v>1.5101856769250688E-3</v>
      </c>
    </row>
    <row r="407" spans="23:27" x14ac:dyDescent="0.2">
      <c r="W407" s="173" t="str">
        <f t="shared" si="17"/>
        <v>1D</v>
      </c>
      <c r="X407" s="180">
        <f>_xll.qlCalendarAdvance(LiborCalendar,X406,W407,"f",FALSE)</f>
        <v>42507</v>
      </c>
      <c r="Y407" s="174">
        <f>_xll.qlInterestRateIndexValueDate(IborIndex,X407)</f>
        <v>42509</v>
      </c>
      <c r="Z407" s="175">
        <v>1.5377112921113607E-3</v>
      </c>
      <c r="AA407" s="177">
        <v>1.5105821106742301E-3</v>
      </c>
    </row>
    <row r="408" spans="23:27" x14ac:dyDescent="0.2">
      <c r="W408" s="173" t="str">
        <f t="shared" si="17"/>
        <v>1D</v>
      </c>
      <c r="X408" s="180">
        <f>_xll.qlCalendarAdvance(LiborCalendar,X407,W408,"f",FALSE)</f>
        <v>42508</v>
      </c>
      <c r="Y408" s="174">
        <f>_xll.qlInterestRateIndexValueDate(IborIndex,X408)</f>
        <v>42510</v>
      </c>
      <c r="Z408" s="175">
        <v>1.5379634248928924E-3</v>
      </c>
      <c r="AA408" s="177">
        <v>1.5113877041135946E-3</v>
      </c>
    </row>
    <row r="409" spans="23:27" x14ac:dyDescent="0.2">
      <c r="W409" s="173" t="str">
        <f t="shared" si="17"/>
        <v>1D</v>
      </c>
      <c r="X409" s="180">
        <f>_xll.qlCalendarAdvance(LiborCalendar,X408,W409,"f",FALSE)</f>
        <v>42509</v>
      </c>
      <c r="Y409" s="174">
        <f>_xll.qlInterestRateIndexValueDate(IborIndex,X409)</f>
        <v>42513</v>
      </c>
      <c r="Z409" s="175">
        <v>1.5396913762022819E-3</v>
      </c>
      <c r="AA409" s="177">
        <v>1.512187248636776E-3</v>
      </c>
    </row>
    <row r="410" spans="23:27" x14ac:dyDescent="0.2">
      <c r="W410" s="173" t="str">
        <f t="shared" si="17"/>
        <v>1D</v>
      </c>
      <c r="X410" s="180">
        <f>_xll.qlCalendarAdvance(LiborCalendar,X409,W410,"f",FALSE)</f>
        <v>42510</v>
      </c>
      <c r="Y410" s="174">
        <f>_xll.qlInterestRateIndexValueDate(IborIndex,X410)</f>
        <v>42514</v>
      </c>
      <c r="Z410" s="175">
        <v>1.5399470561332411E-3</v>
      </c>
      <c r="AA410" s="177">
        <v>1.5125933837878414E-3</v>
      </c>
    </row>
    <row r="411" spans="23:27" x14ac:dyDescent="0.2">
      <c r="W411" s="173" t="str">
        <f t="shared" si="17"/>
        <v>1D</v>
      </c>
      <c r="X411" s="180">
        <f>_xll.qlCalendarAdvance(LiborCalendar,X410,W411,"f",FALSE)</f>
        <v>42513</v>
      </c>
      <c r="Y411" s="174">
        <f>_xll.qlInterestRateIndexValueDate(IborIndex,X411)</f>
        <v>42515</v>
      </c>
      <c r="Z411" s="175">
        <v>1.5405284590890205E-3</v>
      </c>
      <c r="AA411" s="177">
        <v>1.5130014593489616E-3</v>
      </c>
    </row>
    <row r="412" spans="23:27" x14ac:dyDescent="0.2">
      <c r="W412" s="173" t="str">
        <f t="shared" si="17"/>
        <v>1D</v>
      </c>
      <c r="X412" s="180">
        <f>_xll.qlCalendarAdvance(LiborCalendar,X411,W412,"f",FALSE)</f>
        <v>42514</v>
      </c>
      <c r="Y412" s="174">
        <f>_xll.qlInterestRateIndexValueDate(IborIndex,X412)</f>
        <v>42516</v>
      </c>
      <c r="Z412" s="175">
        <v>1.5417677085124174E-3</v>
      </c>
      <c r="AA412" s="177">
        <v>1.5134114750769978E-3</v>
      </c>
    </row>
    <row r="413" spans="23:27" x14ac:dyDescent="0.2">
      <c r="W413" s="173" t="str">
        <f t="shared" si="17"/>
        <v>1D</v>
      </c>
      <c r="X413" s="180">
        <f>_xll.qlCalendarAdvance(LiborCalendar,X412,W413,"f",FALSE)</f>
        <v>42515</v>
      </c>
      <c r="Y413" s="174">
        <f>_xll.qlInterestRateIndexValueDate(IborIndex,X413)</f>
        <v>42517</v>
      </c>
      <c r="Z413" s="175">
        <v>1.5420266547432038E-3</v>
      </c>
      <c r="AA413" s="177">
        <v>1.5144556414611876E-3</v>
      </c>
    </row>
    <row r="414" spans="23:27" x14ac:dyDescent="0.2">
      <c r="W414" s="173" t="str">
        <f t="shared" si="17"/>
        <v>1D</v>
      </c>
      <c r="X414" s="180">
        <f>_xll.qlCalendarAdvance(LiborCalendar,X413,W414,"f",FALSE)</f>
        <v>42516</v>
      </c>
      <c r="Y414" s="174">
        <f>_xll.qlInterestRateIndexValueDate(IborIndex,X414)</f>
        <v>42521</v>
      </c>
      <c r="Z414" s="175">
        <v>1.5437317501001014E-3</v>
      </c>
      <c r="AA414" s="177">
        <v>1.5154906581660299E-3</v>
      </c>
    </row>
    <row r="415" spans="23:27" x14ac:dyDescent="0.2">
      <c r="W415" s="173" t="str">
        <f t="shared" si="17"/>
        <v>1D</v>
      </c>
      <c r="X415" s="180">
        <f>_xll.qlCalendarAdvance(LiborCalendar,X414,W415,"f",FALSE)</f>
        <v>42517</v>
      </c>
      <c r="Y415" s="174">
        <f>_xll.qlInterestRateIndexValueDate(IborIndex,X415)</f>
        <v>42522</v>
      </c>
      <c r="Z415" s="175">
        <v>1.5443278861804917E-3</v>
      </c>
      <c r="AA415" s="177">
        <v>1.515912315706025E-3</v>
      </c>
    </row>
    <row r="416" spans="23:27" x14ac:dyDescent="0.2">
      <c r="W416" s="173" t="str">
        <f t="shared" si="17"/>
        <v>1D</v>
      </c>
      <c r="X416" s="180">
        <f>_xll.qlCalendarAdvance(LiborCalendar,X415,W416,"f",FALSE)</f>
        <v>42521</v>
      </c>
      <c r="Y416" s="174">
        <f>_xll.qlInterestRateIndexValueDate(IborIndex,X416)</f>
        <v>42523</v>
      </c>
      <c r="Z416" s="175">
        <v>1.5449263718109447E-3</v>
      </c>
      <c r="AA416" s="177">
        <v>1.5163359134129362E-3</v>
      </c>
    </row>
    <row r="417" spans="23:27" x14ac:dyDescent="0.2">
      <c r="W417" s="173" t="str">
        <f t="shared" si="17"/>
        <v>1D</v>
      </c>
      <c r="X417" s="180">
        <f>_xll.qlCalendarAdvance(LiborCalendar,X416,W417,"f",FALSE)</f>
        <v>42522</v>
      </c>
      <c r="Y417" s="174">
        <f>_xll.qlInterestRateIndexValueDate(IborIndex,X417)</f>
        <v>42524</v>
      </c>
      <c r="Z417" s="175">
        <v>1.5462024449636213E-3</v>
      </c>
      <c r="AA417" s="177">
        <v>1.5171958830443681E-3</v>
      </c>
    </row>
    <row r="418" spans="23:27" x14ac:dyDescent="0.2">
      <c r="W418" s="173" t="str">
        <f t="shared" si="17"/>
        <v>1D</v>
      </c>
      <c r="X418" s="180">
        <f>_xll.qlCalendarAdvance(LiborCalendar,X417,W418,"f",FALSE)</f>
        <v>42523</v>
      </c>
      <c r="Y418" s="174">
        <f>_xll.qlInterestRateIndexValueDate(IborIndex,X418)</f>
        <v>42527</v>
      </c>
      <c r="Z418" s="175">
        <v>1.5473441314821027E-3</v>
      </c>
      <c r="AA418" s="177">
        <v>1.5180497072875276E-3</v>
      </c>
    </row>
    <row r="419" spans="23:27" x14ac:dyDescent="0.2">
      <c r="W419" s="173" t="str">
        <f t="shared" si="17"/>
        <v>1D</v>
      </c>
      <c r="X419" s="180">
        <f>_xll.qlCalendarAdvance(LiborCalendar,X418,W419,"f",FALSE)</f>
        <v>42524</v>
      </c>
      <c r="Y419" s="174">
        <f>_xll.qlInterestRateIndexValueDate(IborIndex,X419)</f>
        <v>42528</v>
      </c>
      <c r="Z419" s="175">
        <v>1.547954606099845E-3</v>
      </c>
      <c r="AA419" s="177">
        <v>1.5184830064773891E-3</v>
      </c>
    </row>
    <row r="420" spans="23:27" x14ac:dyDescent="0.2">
      <c r="W420" s="173" t="str">
        <f t="shared" si="17"/>
        <v>1D</v>
      </c>
      <c r="X420" s="180">
        <f>_xll.qlCalendarAdvance(LiborCalendar,X419,W420,"f",FALSE)</f>
        <v>42527</v>
      </c>
      <c r="Y420" s="174">
        <f>_xll.qlInterestRateIndexValueDate(IborIndex,X420)</f>
        <v>42529</v>
      </c>
      <c r="Z420" s="175">
        <v>1.5485675267631394E-3</v>
      </c>
      <c r="AA420" s="177">
        <v>1.5189182459962591E-3</v>
      </c>
    </row>
    <row r="421" spans="23:27" x14ac:dyDescent="0.2">
      <c r="W421" s="173" t="str">
        <f t="shared" si="17"/>
        <v>1D</v>
      </c>
      <c r="X421" s="180">
        <f>_xll.qlCalendarAdvance(LiborCalendar,X420,W421,"f",FALSE)</f>
        <v>42528</v>
      </c>
      <c r="Y421" s="174">
        <f>_xll.qlInterestRateIndexValueDate(IborIndex,X421)</f>
        <v>42530</v>
      </c>
      <c r="Z421" s="175">
        <v>1.5491829095544214E-3</v>
      </c>
      <c r="AA421" s="177">
        <v>1.5193554257630915E-3</v>
      </c>
    </row>
    <row r="422" spans="23:27" x14ac:dyDescent="0.2">
      <c r="W422" s="173" t="str">
        <f t="shared" si="17"/>
        <v>1D</v>
      </c>
      <c r="X422" s="180">
        <f>_xll.qlCalendarAdvance(LiborCalendar,X421,W422,"f",FALSE)</f>
        <v>42529</v>
      </c>
      <c r="Y422" s="174">
        <f>_xll.qlInterestRateIndexValueDate(IborIndex,X422)</f>
        <v>42531</v>
      </c>
      <c r="Z422" s="175">
        <v>1.5504962522672795E-3</v>
      </c>
      <c r="AA422" s="177">
        <v>1.5202425847197591E-3</v>
      </c>
    </row>
    <row r="423" spans="23:27" x14ac:dyDescent="0.2">
      <c r="W423" s="173" t="str">
        <f t="shared" si="17"/>
        <v>1D</v>
      </c>
      <c r="X423" s="180">
        <f>_xll.qlCalendarAdvance(LiborCalendar,X422,W423,"f",FALSE)</f>
        <v>42530</v>
      </c>
      <c r="Y423" s="174">
        <f>_xll.qlInterestRateIndexValueDate(IborIndex,X423)</f>
        <v>42534</v>
      </c>
      <c r="Z423" s="175">
        <v>1.5516693836516412E-3</v>
      </c>
      <c r="AA423" s="177">
        <v>1.5211235476342289E-3</v>
      </c>
    </row>
    <row r="424" spans="23:27" x14ac:dyDescent="0.2">
      <c r="W424" s="173" t="str">
        <f t="shared" si="17"/>
        <v>1D</v>
      </c>
      <c r="X424" s="180">
        <f>_xll.qlCalendarAdvance(LiborCalendar,X423,W424,"f",FALSE)</f>
        <v>42531</v>
      </c>
      <c r="Y424" s="174">
        <f>_xll.qlInterestRateIndexValueDate(IborIndex,X424)</f>
        <v>42535</v>
      </c>
      <c r="Z424" s="175">
        <v>1.5522973183228958E-3</v>
      </c>
      <c r="AA424" s="177">
        <v>1.5215704288029652E-3</v>
      </c>
    </row>
    <row r="425" spans="23:27" x14ac:dyDescent="0.2">
      <c r="W425" s="173" t="str">
        <f t="shared" si="17"/>
        <v>1D</v>
      </c>
      <c r="X425" s="180">
        <f>_xll.qlCalendarAdvance(LiborCalendar,X424,W425,"f",FALSE)</f>
        <v>42534</v>
      </c>
      <c r="Y425" s="174">
        <f>_xll.qlInterestRateIndexValueDate(IborIndex,X425)</f>
        <v>42536</v>
      </c>
      <c r="Z425" s="175">
        <v>1.5529278116189378E-3</v>
      </c>
      <c r="AA425" s="177">
        <v>1.5220192503007102E-3</v>
      </c>
    </row>
    <row r="426" spans="23:27" x14ac:dyDescent="0.2">
      <c r="W426" s="173" t="str">
        <f t="shared" si="17"/>
        <v>1D</v>
      </c>
      <c r="X426" s="180">
        <f>_xll.qlCalendarAdvance(LiborCalendar,X425,W426,"f",FALSE)</f>
        <v>42535</v>
      </c>
      <c r="Y426" s="174">
        <f>_xll.qlInterestRateIndexValueDate(IborIndex,X426)</f>
        <v>42537</v>
      </c>
      <c r="Z426" s="175">
        <v>1.5535608796217665E-3</v>
      </c>
      <c r="AA426" s="177">
        <v>1.5224700120464174E-3</v>
      </c>
    </row>
    <row r="427" spans="23:27" x14ac:dyDescent="0.2">
      <c r="W427" s="173" t="str">
        <f t="shared" si="17"/>
        <v>1D</v>
      </c>
      <c r="X427" s="180">
        <f>_xll.qlCalendarAdvance(LiborCalendar,X426,W427,"f",FALSE)</f>
        <v>42536</v>
      </c>
      <c r="Y427" s="174">
        <f>_xll.qlInterestRateIndexValueDate(IborIndex,X427)</f>
        <v>42538</v>
      </c>
      <c r="Z427" s="175">
        <v>1.5549135334338559E-3</v>
      </c>
      <c r="AA427" s="177">
        <v>1.5233843612468454E-3</v>
      </c>
    </row>
    <row r="428" spans="23:27" x14ac:dyDescent="0.2">
      <c r="W428" s="173" t="str">
        <f t="shared" si="17"/>
        <v>1D</v>
      </c>
      <c r="X428" s="180">
        <f>_xll.qlCalendarAdvance(LiborCalendar,X427,W428,"f",FALSE)</f>
        <v>42537</v>
      </c>
      <c r="Y428" s="174">
        <f>_xll.qlInterestRateIndexValueDate(IborIndex,X428)</f>
        <v>42541</v>
      </c>
      <c r="Z428" s="175">
        <v>1.5561192203653906E-3</v>
      </c>
      <c r="AA428" s="177">
        <v>1.5242924619141007E-3</v>
      </c>
    </row>
    <row r="429" spans="23:27" x14ac:dyDescent="0.2">
      <c r="W429" s="173" t="str">
        <f t="shared" si="17"/>
        <v>1D</v>
      </c>
      <c r="X429" s="180">
        <f>_xll.qlCalendarAdvance(LiborCalendar,X428,W429,"f",FALSE)</f>
        <v>42538</v>
      </c>
      <c r="Y429" s="174">
        <f>_xll.qlInterestRateIndexValueDate(IborIndex,X429)</f>
        <v>42542</v>
      </c>
      <c r="Z429" s="175">
        <v>1.5567654031487376E-3</v>
      </c>
      <c r="AA429" s="177">
        <v>1.5247529251427583E-3</v>
      </c>
    </row>
    <row r="430" spans="23:27" x14ac:dyDescent="0.2">
      <c r="W430" s="173" t="str">
        <f t="shared" si="17"/>
        <v>1D</v>
      </c>
      <c r="X430" s="180">
        <f>_xll.qlCalendarAdvance(LiborCalendar,X429,W430,"f",FALSE)</f>
        <v>42541</v>
      </c>
      <c r="Y430" s="174">
        <f>_xll.qlInterestRateIndexValueDate(IborIndex,X430)</f>
        <v>42543</v>
      </c>
      <c r="Z430" s="175">
        <v>1.5574142571374181E-3</v>
      </c>
      <c r="AA430" s="177">
        <v>1.5252153286193781E-3</v>
      </c>
    </row>
    <row r="431" spans="23:27" x14ac:dyDescent="0.2">
      <c r="W431" s="173" t="str">
        <f t="shared" si="17"/>
        <v>1D</v>
      </c>
      <c r="X431" s="180">
        <f>_xll.qlCalendarAdvance(LiborCalendar,X430,W431,"f",FALSE)</f>
        <v>42542</v>
      </c>
      <c r="Y431" s="174">
        <f>_xll.qlInterestRateIndexValueDate(IborIndex,X431)</f>
        <v>42544</v>
      </c>
      <c r="Z431" s="175">
        <v>1.5599161554061092E-3</v>
      </c>
      <c r="AA431" s="177">
        <v>1.5256796724250066E-3</v>
      </c>
    </row>
    <row r="432" spans="23:27" x14ac:dyDescent="0.2">
      <c r="W432" s="173" t="str">
        <f t="shared" si="17"/>
        <v>1D</v>
      </c>
      <c r="X432" s="180">
        <f>_xll.qlCalendarAdvance(LiborCalendar,X431,W432,"f",FALSE)</f>
        <v>42543</v>
      </c>
      <c r="Y432" s="174">
        <f>_xll.qlInterestRateIndexValueDate(IborIndex,X432)</f>
        <v>42545</v>
      </c>
      <c r="Z432" s="175">
        <v>1.5602044798517067E-3</v>
      </c>
      <c r="AA432" s="177">
        <v>1.5266212125715959E-3</v>
      </c>
    </row>
    <row r="433" spans="23:27" x14ac:dyDescent="0.2">
      <c r="W433" s="173" t="str">
        <f t="shared" si="17"/>
        <v>1D</v>
      </c>
      <c r="X433" s="180">
        <f>_xll.qlCalendarAdvance(LiborCalendar,X432,W433,"f",FALSE)</f>
        <v>42544</v>
      </c>
      <c r="Y433" s="174">
        <f>_xll.qlInterestRateIndexValueDate(IborIndex,X433)</f>
        <v>42548</v>
      </c>
      <c r="Z433" s="175">
        <v>1.561073412061812E-3</v>
      </c>
      <c r="AA433" s="177">
        <v>1.5275564502892358E-3</v>
      </c>
    </row>
    <row r="434" spans="23:27" x14ac:dyDescent="0.2">
      <c r="W434" s="173" t="str">
        <f t="shared" si="17"/>
        <v>1D</v>
      </c>
      <c r="X434" s="180">
        <f>_xll.qlCalendarAdvance(LiborCalendar,X433,W434,"f",FALSE)</f>
        <v>42545</v>
      </c>
      <c r="Y434" s="174">
        <f>_xll.qlInterestRateIndexValueDate(IborIndex,X434)</f>
        <v>42549</v>
      </c>
      <c r="Z434" s="175">
        <v>1.5613643770306758E-3</v>
      </c>
      <c r="AA434" s="177">
        <v>1.528030495415722E-3</v>
      </c>
    </row>
    <row r="435" spans="23:27" x14ac:dyDescent="0.2">
      <c r="W435" s="173" t="str">
        <f t="shared" si="17"/>
        <v>1D</v>
      </c>
      <c r="X435" s="180">
        <f>_xll.qlCalendarAdvance(LiborCalendar,X434,W435,"f",FALSE)</f>
        <v>42548</v>
      </c>
      <c r="Y435" s="174">
        <f>_xll.qlInterestRateIndexValueDate(IborIndex,X435)</f>
        <v>42550</v>
      </c>
      <c r="Z435" s="175">
        <v>1.5620323797828056E-3</v>
      </c>
      <c r="AA435" s="177">
        <v>1.5285064808712168E-3</v>
      </c>
    </row>
    <row r="436" spans="23:27" x14ac:dyDescent="0.2">
      <c r="W436" s="173" t="str">
        <f t="shared" si="17"/>
        <v>1D</v>
      </c>
      <c r="X436" s="180">
        <f>_xll.qlCalendarAdvance(LiborCalendar,X435,W436,"f",FALSE)</f>
        <v>42549</v>
      </c>
      <c r="Y436" s="174">
        <f>_xll.qlInterestRateIndexValueDate(IborIndex,X436)</f>
        <v>42551</v>
      </c>
      <c r="Z436" s="175">
        <v>1.5627031824058714E-3</v>
      </c>
      <c r="AA436" s="177">
        <v>1.5289844066557201E-3</v>
      </c>
    </row>
    <row r="437" spans="23:27" x14ac:dyDescent="0.2">
      <c r="W437" s="173" t="str">
        <f t="shared" si="17"/>
        <v>1D</v>
      </c>
      <c r="X437" s="180">
        <f>_xll.qlCalendarAdvance(LiborCalendar,X436,W437,"f",FALSE)</f>
        <v>42550</v>
      </c>
      <c r="Y437" s="174">
        <f>_xll.qlInterestRateIndexValueDate(IborIndex,X437)</f>
        <v>42552</v>
      </c>
      <c r="Z437" s="175">
        <v>1.5649091397967497E-3</v>
      </c>
      <c r="AA437" s="177">
        <v>1.5299531387750569E-3</v>
      </c>
    </row>
    <row r="438" spans="23:27" x14ac:dyDescent="0.2">
      <c r="W438" s="173" t="str">
        <f t="shared" si="17"/>
        <v>1D</v>
      </c>
      <c r="X438" s="180">
        <f>_xll.qlCalendarAdvance(LiborCalendar,X437,W438,"f",FALSE)</f>
        <v>42551</v>
      </c>
      <c r="Y438" s="174">
        <f>_xll.qlInterestRateIndexValueDate(IborIndex,X438)</f>
        <v>42555</v>
      </c>
      <c r="Z438" s="175">
        <v>1.5658010955104495E-3</v>
      </c>
      <c r="AA438" s="177">
        <v>1.5309155125164953E-3</v>
      </c>
    </row>
    <row r="439" spans="23:27" x14ac:dyDescent="0.2">
      <c r="W439" s="173" t="str">
        <f t="shared" si="17"/>
        <v>1D</v>
      </c>
      <c r="X439" s="180">
        <f>_xll.qlCalendarAdvance(LiborCalendar,X438,W439,"f",FALSE)</f>
        <v>42552</v>
      </c>
      <c r="Y439" s="174">
        <f>_xll.qlInterestRateIndexValueDate(IborIndex,X439)</f>
        <v>42556</v>
      </c>
      <c r="Z439" s="175">
        <v>1.566487915102084E-3</v>
      </c>
      <c r="AA439" s="177">
        <v>1.5314031397029026E-3</v>
      </c>
    </row>
    <row r="440" spans="23:27" x14ac:dyDescent="0.2">
      <c r="W440" s="173" t="str">
        <f t="shared" si="17"/>
        <v>1D</v>
      </c>
      <c r="X440" s="180">
        <f>_xll.qlCalendarAdvance(LiborCalendar,X439,W440,"f",FALSE)</f>
        <v>42555</v>
      </c>
      <c r="Y440" s="174">
        <f>_xll.qlInterestRateIndexValueDate(IborIndex,X440)</f>
        <v>42557</v>
      </c>
      <c r="Z440" s="175">
        <v>1.5671776417431026E-3</v>
      </c>
      <c r="AA440" s="177">
        <v>1.5318927072183186E-3</v>
      </c>
    </row>
    <row r="441" spans="23:27" x14ac:dyDescent="0.2">
      <c r="W441" s="173" t="str">
        <f t="shared" si="17"/>
        <v>1D</v>
      </c>
      <c r="X441" s="180">
        <f>_xll.qlCalendarAdvance(LiborCalendar,X440,W441,"f",FALSE)</f>
        <v>42556</v>
      </c>
      <c r="Y441" s="174">
        <f>_xll.qlInterestRateIndexValueDate(IborIndex,X441)</f>
        <v>42558</v>
      </c>
      <c r="Z441" s="175">
        <v>1.5690536429882977E-3</v>
      </c>
      <c r="AA441" s="177">
        <v>1.5323842149006506E-3</v>
      </c>
    </row>
    <row r="442" spans="23:27" x14ac:dyDescent="0.2">
      <c r="W442" s="173" t="str">
        <f t="shared" si="17"/>
        <v>1D</v>
      </c>
      <c r="X442" s="180">
        <f>_xll.qlCalendarAdvance(LiborCalendar,X441,W442,"f",FALSE)</f>
        <v>42557</v>
      </c>
      <c r="Y442" s="174">
        <f>_xll.qlInterestRateIndexValueDate(IborIndex,X442)</f>
        <v>42559</v>
      </c>
      <c r="Z442" s="175">
        <v>1.5693570596730573E-3</v>
      </c>
      <c r="AA442" s="177">
        <v>1.5333801398031979E-3</v>
      </c>
    </row>
    <row r="443" spans="23:27" x14ac:dyDescent="0.2">
      <c r="W443" s="173" t="str">
        <f t="shared" si="17"/>
        <v>1D</v>
      </c>
      <c r="X443" s="180">
        <f>_xll.qlCalendarAdvance(LiborCalendar,X442,W443,"f",FALSE)</f>
        <v>42558</v>
      </c>
      <c r="Y443" s="174">
        <f>_xll.qlInterestRateIndexValueDate(IborIndex,X443)</f>
        <v>42562</v>
      </c>
      <c r="Z443" s="175">
        <v>1.5706704405541499E-3</v>
      </c>
      <c r="AA443" s="177">
        <v>1.5343696488390179E-3</v>
      </c>
    </row>
    <row r="444" spans="23:27" x14ac:dyDescent="0.2">
      <c r="W444" s="173" t="str">
        <f t="shared" si="17"/>
        <v>1D</v>
      </c>
      <c r="X444" s="180">
        <f>_xll.qlCalendarAdvance(LiborCalendar,X443,W444,"f",FALSE)</f>
        <v>42559</v>
      </c>
      <c r="Y444" s="174">
        <f>_xll.qlInterestRateIndexValueDate(IborIndex,X444)</f>
        <v>42563</v>
      </c>
      <c r="Z444" s="175">
        <v>1.5713779454118932E-3</v>
      </c>
      <c r="AA444" s="177">
        <v>1.5348708580043002E-3</v>
      </c>
    </row>
    <row r="445" spans="23:27" x14ac:dyDescent="0.2">
      <c r="W445" s="173" t="str">
        <f t="shared" si="17"/>
        <v>1D</v>
      </c>
      <c r="X445" s="180">
        <f>_xll.qlCalendarAdvance(LiborCalendar,X444,W445,"f",FALSE)</f>
        <v>42562</v>
      </c>
      <c r="Y445" s="174">
        <f>_xll.qlInterestRateIndexValueDate(IborIndex,X445)</f>
        <v>42564</v>
      </c>
      <c r="Z445" s="175">
        <v>1.5720884692937977E-3</v>
      </c>
      <c r="AA445" s="177">
        <v>1.5353740074985911E-3</v>
      </c>
    </row>
    <row r="446" spans="23:27" x14ac:dyDescent="0.2">
      <c r="W446" s="173" t="str">
        <f t="shared" si="17"/>
        <v>1D</v>
      </c>
      <c r="X446" s="180">
        <f>_xll.qlCalendarAdvance(LiborCalendar,X445,W446,"f",FALSE)</f>
        <v>42563</v>
      </c>
      <c r="Y446" s="174">
        <f>_xll.qlInterestRateIndexValueDate(IborIndex,X446)</f>
        <v>42565</v>
      </c>
      <c r="Z446" s="175">
        <v>1.5736154508830347E-3</v>
      </c>
      <c r="AA446" s="177">
        <v>1.5358790972408443E-3</v>
      </c>
    </row>
    <row r="447" spans="23:27" x14ac:dyDescent="0.2">
      <c r="W447" s="173" t="str">
        <f t="shared" si="17"/>
        <v>1D</v>
      </c>
      <c r="X447" s="180">
        <f>_xll.qlCalendarAdvance(LiborCalendar,X446,W447,"f",FALSE)</f>
        <v>42564</v>
      </c>
      <c r="Y447" s="174">
        <f>_xll.qlInterestRateIndexValueDate(IborIndex,X447)</f>
        <v>42566</v>
      </c>
      <c r="Z447" s="175">
        <v>1.5739265349676787E-3</v>
      </c>
      <c r="AA447" s="177">
        <v>1.5369022157370646E-3</v>
      </c>
    </row>
    <row r="448" spans="23:27" x14ac:dyDescent="0.2">
      <c r="W448" s="173" t="str">
        <f t="shared" si="17"/>
        <v>1D</v>
      </c>
      <c r="X448" s="180">
        <f>_xll.qlCalendarAdvance(LiborCalendar,X447,W448,"f",FALSE)</f>
        <v>42565</v>
      </c>
      <c r="Y448" s="174">
        <f>_xll.qlInterestRateIndexValueDate(IborIndex,X448)</f>
        <v>42570</v>
      </c>
      <c r="Z448" s="175">
        <v>1.5764159078890878E-3</v>
      </c>
      <c r="AA448" s="177">
        <v>1.5384336502388685E-3</v>
      </c>
    </row>
    <row r="449" spans="23:27" x14ac:dyDescent="0.2">
      <c r="W449" s="173" t="str">
        <f t="shared" si="17"/>
        <v>1D</v>
      </c>
      <c r="X449" s="180">
        <f>_xll.qlCalendarAdvance(LiborCalendar,X448,W449,"f",FALSE)</f>
        <v>42566</v>
      </c>
      <c r="Y449" s="174">
        <f>_xll.qlInterestRateIndexValueDate(IborIndex,X449)</f>
        <v>42570</v>
      </c>
      <c r="Z449" s="175">
        <v>1.5764159078890878E-3</v>
      </c>
      <c r="AA449" s="177">
        <v>1.5384336502388685E-3</v>
      </c>
    </row>
    <row r="450" spans="23:27" x14ac:dyDescent="0.2">
      <c r="W450" s="173" t="str">
        <f t="shared" si="17"/>
        <v>1D</v>
      </c>
      <c r="X450" s="180">
        <f>_xll.qlCalendarAdvance(LiborCalendar,X449,W450,"f",FALSE)</f>
        <v>42569</v>
      </c>
      <c r="Y450" s="174">
        <f>_xll.qlInterestRateIndexValueDate(IborIndex,X450)</f>
        <v>42571</v>
      </c>
      <c r="Z450" s="175">
        <v>1.5771480128414011E-3</v>
      </c>
      <c r="AA450" s="177">
        <v>1.5389503817930805E-3</v>
      </c>
    </row>
    <row r="451" spans="23:27" x14ac:dyDescent="0.2">
      <c r="W451" s="173" t="str">
        <f t="shared" si="17"/>
        <v>1D</v>
      </c>
      <c r="X451" s="180">
        <f>_xll.qlCalendarAdvance(LiborCalendar,X450,W451,"f",FALSE)</f>
        <v>42570</v>
      </c>
      <c r="Y451" s="174">
        <f>_xll.qlInterestRateIndexValueDate(IborIndex,X451)</f>
        <v>42572</v>
      </c>
      <c r="Z451" s="175">
        <v>1.5787235209587728E-3</v>
      </c>
      <c r="AA451" s="177">
        <v>1.5394690535142086E-3</v>
      </c>
    </row>
    <row r="452" spans="23:27" x14ac:dyDescent="0.2">
      <c r="W452" s="173" t="str">
        <f t="shared" si="17"/>
        <v>1D</v>
      </c>
      <c r="X452" s="180">
        <f>_xll.qlCalendarAdvance(LiborCalendar,X451,W452,"f",FALSE)</f>
        <v>42571</v>
      </c>
      <c r="Y452" s="174">
        <f>_xll.qlInterestRateIndexValueDate(IborIndex,X452)</f>
        <v>42573</v>
      </c>
      <c r="Z452" s="175">
        <v>1.579043039827687E-3</v>
      </c>
      <c r="AA452" s="177">
        <v>1.5405193664956112E-3</v>
      </c>
    </row>
    <row r="453" spans="23:27" x14ac:dyDescent="0.2">
      <c r="W453" s="173" t="str">
        <f t="shared" si="17"/>
        <v>1D</v>
      </c>
      <c r="X453" s="180">
        <f>_xll.qlCalendarAdvance(LiborCalendar,X452,W453,"f",FALSE)</f>
        <v>42572</v>
      </c>
      <c r="Y453" s="174">
        <f>_xll.qlInterestRateIndexValueDate(IborIndex,X453)</f>
        <v>42576</v>
      </c>
      <c r="Z453" s="175">
        <v>1.5808560624922096E-3</v>
      </c>
      <c r="AA453" s="177">
        <v>1.5415631433646215E-3</v>
      </c>
    </row>
    <row r="454" spans="23:27" x14ac:dyDescent="0.2">
      <c r="W454" s="173" t="str">
        <f t="shared" si="17"/>
        <v>1D</v>
      </c>
      <c r="X454" s="180">
        <f>_xll.qlCalendarAdvance(LiborCalendar,X453,W454,"f",FALSE)</f>
        <v>42573</v>
      </c>
      <c r="Y454" s="174">
        <f>_xll.qlInterestRateIndexValueDate(IborIndex,X454)</f>
        <v>42577</v>
      </c>
      <c r="Z454" s="175">
        <v>1.5816072893785592E-3</v>
      </c>
      <c r="AA454" s="177">
        <v>1.5420915165686999E-3</v>
      </c>
    </row>
    <row r="455" spans="23:27" x14ac:dyDescent="0.2">
      <c r="W455" s="173" t="str">
        <f t="shared" si="17"/>
        <v>1D</v>
      </c>
      <c r="X455" s="180">
        <f>_xll.qlCalendarAdvance(LiborCalendar,X454,W455,"f",FALSE)</f>
        <v>42576</v>
      </c>
      <c r="Y455" s="174">
        <f>_xll.qlInterestRateIndexValueDate(IborIndex,X455)</f>
        <v>42578</v>
      </c>
      <c r="Z455" s="175">
        <v>1.5823617592438377E-3</v>
      </c>
      <c r="AA455" s="177">
        <v>1.5426218300207406E-3</v>
      </c>
    </row>
    <row r="456" spans="23:27" x14ac:dyDescent="0.2">
      <c r="W456" s="173" t="str">
        <f t="shared" si="17"/>
        <v>1D</v>
      </c>
      <c r="X456" s="180">
        <f>_xll.qlCalendarAdvance(LiborCalendar,X455,W456,"f",FALSE)</f>
        <v>42577</v>
      </c>
      <c r="Y456" s="174">
        <f>_xll.qlInterestRateIndexValueDate(IborIndex,X456)</f>
        <v>42579</v>
      </c>
      <c r="Z456" s="175">
        <v>1.5839874726762994E-3</v>
      </c>
      <c r="AA456" s="177">
        <v>1.5431540837207436E-3</v>
      </c>
    </row>
    <row r="457" spans="23:27" x14ac:dyDescent="0.2">
      <c r="W457" s="173" t="str">
        <f t="shared" si="17"/>
        <v>1D</v>
      </c>
      <c r="X457" s="180">
        <f>_xll.qlCalendarAdvance(LiborCalendar,X456,W457,"f",FALSE)</f>
        <v>42578</v>
      </c>
      <c r="Y457" s="174">
        <f>_xll.qlInterestRateIndexValueDate(IborIndex,X457)</f>
        <v>42580</v>
      </c>
      <c r="Z457" s="175">
        <v>1.5847525073145192E-3</v>
      </c>
      <c r="AA457" s="177">
        <v>1.5442315921598839E-3</v>
      </c>
    </row>
    <row r="458" spans="23:27" x14ac:dyDescent="0.2">
      <c r="W458" s="173" t="str">
        <f t="shared" si="17"/>
        <v>1D</v>
      </c>
      <c r="X458" s="180">
        <f>_xll.qlCalendarAdvance(LiborCalendar,X457,W458,"f",FALSE)</f>
        <v>42579</v>
      </c>
      <c r="Y458" s="174">
        <f>_xll.qlInterestRateIndexValueDate(IborIndex,X458)</f>
        <v>42583</v>
      </c>
      <c r="Z458" s="175">
        <v>1.5861833131441238E-3</v>
      </c>
      <c r="AA458" s="177">
        <v>1.5453025016487487E-3</v>
      </c>
    </row>
    <row r="459" spans="23:27" x14ac:dyDescent="0.2">
      <c r="W459" s="173" t="str">
        <f t="shared" si="17"/>
        <v>1D</v>
      </c>
      <c r="X459" s="180">
        <f>_xll.qlCalendarAdvance(LiborCalendar,X458,W459,"f",FALSE)</f>
        <v>42580</v>
      </c>
      <c r="Y459" s="174">
        <f>_xll.qlInterestRateIndexValueDate(IborIndex,X459)</f>
        <v>42584</v>
      </c>
      <c r="Z459" s="175">
        <v>1.586957576819906E-3</v>
      </c>
      <c r="AA459" s="177">
        <v>1.545844456831702E-3</v>
      </c>
    </row>
    <row r="460" spans="23:27" x14ac:dyDescent="0.2">
      <c r="W460" s="173" t="str">
        <f t="shared" si="17"/>
        <v>1D</v>
      </c>
      <c r="X460" s="180">
        <f>_xll.qlCalendarAdvance(LiborCalendar,X459,W460,"f",FALSE)</f>
        <v>42583</v>
      </c>
      <c r="Y460" s="174">
        <f>_xll.qlInterestRateIndexValueDate(IborIndex,X460)</f>
        <v>42585</v>
      </c>
      <c r="Z460" s="175">
        <v>1.5877351954541731E-3</v>
      </c>
      <c r="AA460" s="177">
        <v>1.5463883522626176E-3</v>
      </c>
    </row>
    <row r="461" spans="23:27" x14ac:dyDescent="0.2">
      <c r="W461" s="173" t="str">
        <f t="shared" si="17"/>
        <v>1D</v>
      </c>
      <c r="X461" s="180">
        <f>_xll.qlCalendarAdvance(LiborCalendar,X460,W461,"f",FALSE)</f>
        <v>42584</v>
      </c>
      <c r="Y461" s="174">
        <f>_xll.qlInterestRateIndexValueDate(IborIndex,X461)</f>
        <v>42586</v>
      </c>
      <c r="Z461" s="175">
        <v>1.589412734093617E-3</v>
      </c>
      <c r="AA461" s="177">
        <v>1.5469341881035881E-3</v>
      </c>
    </row>
    <row r="462" spans="23:27" x14ac:dyDescent="0.2">
      <c r="W462" s="173" t="str">
        <f t="shared" si="17"/>
        <v>1D</v>
      </c>
      <c r="X462" s="180">
        <f>_xll.qlCalendarAdvance(LiborCalendar,X461,W462,"f",FALSE)</f>
        <v>42585</v>
      </c>
      <c r="Y462" s="174">
        <f>_xll.qlInterestRateIndexValueDate(IborIndex,X462)</f>
        <v>42587</v>
      </c>
      <c r="Z462" s="175">
        <v>1.5897501555086806E-3</v>
      </c>
      <c r="AA462" s="177">
        <v>1.5480388926488362E-3</v>
      </c>
    </row>
    <row r="463" spans="23:27" x14ac:dyDescent="0.2">
      <c r="W463" s="173" t="str">
        <f t="shared" si="17"/>
        <v>1D</v>
      </c>
      <c r="X463" s="180">
        <f>_xll.qlCalendarAdvance(LiborCalendar,X462,W463,"f",FALSE)</f>
        <v>42586</v>
      </c>
      <c r="Y463" s="174">
        <f>_xll.qlInterestRateIndexValueDate(IborIndex,X463)</f>
        <v>42590</v>
      </c>
      <c r="Z463" s="175">
        <v>1.5916741729166371E-3</v>
      </c>
      <c r="AA463" s="177">
        <v>1.5491369339470928E-3</v>
      </c>
    </row>
    <row r="464" spans="23:27" x14ac:dyDescent="0.2">
      <c r="W464" s="173" t="str">
        <f t="shared" si="17"/>
        <v>1D</v>
      </c>
      <c r="X464" s="180">
        <f>_xll.qlCalendarAdvance(LiborCalendar,X463,W464,"f",FALSE)</f>
        <v>42587</v>
      </c>
      <c r="Y464" s="174">
        <f>_xll.qlInterestRateIndexValueDate(IborIndex,X464)</f>
        <v>42591</v>
      </c>
      <c r="Z464" s="175">
        <v>1.5924722572496052E-3</v>
      </c>
      <c r="AA464" s="177">
        <v>1.5496924711089211E-3</v>
      </c>
    </row>
    <row r="465" spans="23:27" x14ac:dyDescent="0.2">
      <c r="W465" s="173" t="str">
        <f t="shared" si="17"/>
        <v>1D</v>
      </c>
      <c r="X465" s="180">
        <f>_xll.qlCalendarAdvance(LiborCalendar,X464,W465,"f",FALSE)</f>
        <v>42590</v>
      </c>
      <c r="Y465" s="174">
        <f>_xll.qlInterestRateIndexValueDate(IborIndex,X465)</f>
        <v>42592</v>
      </c>
      <c r="Z465" s="175">
        <v>1.5932738085236552E-3</v>
      </c>
      <c r="AA465" s="177">
        <v>1.5502499485997578E-3</v>
      </c>
    </row>
    <row r="466" spans="23:27" x14ac:dyDescent="0.2">
      <c r="W466" s="173" t="str">
        <f t="shared" si="17"/>
        <v>1D</v>
      </c>
      <c r="X466" s="180">
        <f>_xll.qlCalendarAdvance(LiborCalendar,X465,W466,"f",FALSE)</f>
        <v>42591</v>
      </c>
      <c r="Y466" s="174">
        <f>_xll.qlInterestRateIndexValueDate(IborIndex,X466)</f>
        <v>42593</v>
      </c>
      <c r="Z466" s="175">
        <v>1.5950047333688638E-3</v>
      </c>
      <c r="AA466" s="177">
        <v>1.5508093663385569E-3</v>
      </c>
    </row>
    <row r="467" spans="23:27" x14ac:dyDescent="0.2">
      <c r="W467" s="173" t="str">
        <f t="shared" si="17"/>
        <v>1D</v>
      </c>
      <c r="X467" s="180">
        <f>_xll.qlCalendarAdvance(LiborCalendar,X466,W467,"f",FALSE)</f>
        <v>42592</v>
      </c>
      <c r="Y467" s="174">
        <f>_xll.qlInterestRateIndexValueDate(IborIndex,X467)</f>
        <v>42594</v>
      </c>
      <c r="Z467" s="175">
        <v>1.5953516811632433E-3</v>
      </c>
      <c r="AA467" s="177">
        <v>1.5519412680975455E-3</v>
      </c>
    </row>
    <row r="468" spans="23:27" x14ac:dyDescent="0.2">
      <c r="W468" s="173" t="str">
        <f t="shared" si="17"/>
        <v>1D</v>
      </c>
      <c r="X468" s="180">
        <f>_xll.qlCalendarAdvance(LiborCalendar,X467,W468,"f",FALSE)</f>
        <v>42593</v>
      </c>
      <c r="Y468" s="174">
        <f>_xll.qlInterestRateIndexValueDate(IborIndex,X468)</f>
        <v>42597</v>
      </c>
      <c r="Z468" s="175">
        <v>1.5973341289326796E-3</v>
      </c>
      <c r="AA468" s="177">
        <v>1.5530664401786076E-3</v>
      </c>
    </row>
    <row r="469" spans="23:27" x14ac:dyDescent="0.2">
      <c r="W469" s="173" t="str">
        <f t="shared" ref="W469:W532" si="18">W468</f>
        <v>1D</v>
      </c>
      <c r="X469" s="180">
        <f>_xll.qlCalendarAdvance(LiborCalendar,X468,W469,"f",FALSE)</f>
        <v>42594</v>
      </c>
      <c r="Y469" s="174">
        <f>_xll.qlInterestRateIndexValueDate(IborIndex,X469)</f>
        <v>42598</v>
      </c>
      <c r="Z469" s="175">
        <v>1.598156817806661E-3</v>
      </c>
      <c r="AA469" s="177">
        <v>1.553635559400357E-3</v>
      </c>
    </row>
    <row r="470" spans="23:27" x14ac:dyDescent="0.2">
      <c r="W470" s="173" t="str">
        <f t="shared" si="18"/>
        <v>1D</v>
      </c>
      <c r="X470" s="180">
        <f>_xll.qlCalendarAdvance(LiborCalendar,X469,W470,"f",FALSE)</f>
        <v>42597</v>
      </c>
      <c r="Y470" s="174">
        <f>_xll.qlInterestRateIndexValueDate(IborIndex,X470)</f>
        <v>42599</v>
      </c>
      <c r="Z470" s="175">
        <v>1.5989830856064937E-3</v>
      </c>
      <c r="AA470" s="177">
        <v>1.5542066188700687E-3</v>
      </c>
    </row>
    <row r="471" spans="23:27" x14ac:dyDescent="0.2">
      <c r="W471" s="173" t="str">
        <f t="shared" si="18"/>
        <v>1D</v>
      </c>
      <c r="X471" s="180">
        <f>_xll.qlCalendarAdvance(LiborCalendar,X470,W471,"f",FALSE)</f>
        <v>42598</v>
      </c>
      <c r="Y471" s="174">
        <f>_xll.qlInterestRateIndexValueDate(IborIndex,X471)</f>
        <v>42600</v>
      </c>
      <c r="Z471" s="175">
        <v>1.6007688987650405E-3</v>
      </c>
      <c r="AA471" s="177">
        <v>1.554779618668789E-3</v>
      </c>
    </row>
    <row r="472" spans="23:27" x14ac:dyDescent="0.2">
      <c r="W472" s="173" t="str">
        <f t="shared" si="18"/>
        <v>1D</v>
      </c>
      <c r="X472" s="180">
        <f>_xll.qlCalendarAdvance(LiborCalendar,X471,W472,"f",FALSE)</f>
        <v>42599</v>
      </c>
      <c r="Y472" s="174">
        <f>_xll.qlInterestRateIndexValueDate(IborIndex,X472)</f>
        <v>42601</v>
      </c>
      <c r="Z472" s="175">
        <v>1.6011257954219708E-3</v>
      </c>
      <c r="AA472" s="177">
        <v>1.5559387183979498E-3</v>
      </c>
    </row>
    <row r="473" spans="23:27" x14ac:dyDescent="0.2">
      <c r="W473" s="173" t="str">
        <f t="shared" si="18"/>
        <v>1D</v>
      </c>
      <c r="X473" s="180">
        <f>_xll.qlCalendarAdvance(LiborCalendar,X472,W473,"f",FALSE)</f>
        <v>42600</v>
      </c>
      <c r="Y473" s="174">
        <f>_xll.qlInterestRateIndexValueDate(IborIndex,X473)</f>
        <v>42604</v>
      </c>
      <c r="Z473" s="175">
        <v>1.6031686684233556E-3</v>
      </c>
      <c r="AA473" s="177">
        <v>1.5570910205053856E-3</v>
      </c>
    </row>
    <row r="474" spans="23:27" x14ac:dyDescent="0.2">
      <c r="W474" s="173" t="str">
        <f t="shared" si="18"/>
        <v>1D</v>
      </c>
      <c r="X474" s="180">
        <f>_xll.qlCalendarAdvance(LiborCalendar,X473,W474,"f",FALSE)</f>
        <v>42601</v>
      </c>
      <c r="Y474" s="174">
        <f>_xll.qlInterestRateIndexValueDate(IborIndex,X474)</f>
        <v>42605</v>
      </c>
      <c r="Z474" s="175">
        <v>1.6040167457373831E-3</v>
      </c>
      <c r="AA474" s="177">
        <v>1.5576737216249636E-3</v>
      </c>
    </row>
    <row r="475" spans="23:27" x14ac:dyDescent="0.2">
      <c r="W475" s="173" t="str">
        <f t="shared" si="18"/>
        <v>1D</v>
      </c>
      <c r="X475" s="180">
        <f>_xll.qlCalendarAdvance(LiborCalendar,X474,W475,"f",FALSE)</f>
        <v>42604</v>
      </c>
      <c r="Y475" s="174">
        <f>_xll.qlInterestRateIndexValueDate(IborIndex,X475)</f>
        <v>42606</v>
      </c>
      <c r="Z475" s="175">
        <v>1.604868513964203E-3</v>
      </c>
      <c r="AA475" s="177">
        <v>1.5582583631545965E-3</v>
      </c>
    </row>
    <row r="476" spans="23:27" x14ac:dyDescent="0.2">
      <c r="W476" s="173" t="str">
        <f t="shared" si="18"/>
        <v>1D</v>
      </c>
      <c r="X476" s="180">
        <f>_xll.qlCalendarAdvance(LiborCalendar,X475,W476,"f",FALSE)</f>
        <v>42605</v>
      </c>
      <c r="Y476" s="174">
        <f>_xll.qlInterestRateIndexValueDate(IborIndex,X476)</f>
        <v>42607</v>
      </c>
      <c r="Z476" s="175">
        <v>1.6067106586551666E-3</v>
      </c>
      <c r="AA476" s="177">
        <v>1.5588449449321917E-3</v>
      </c>
    </row>
    <row r="477" spans="23:27" x14ac:dyDescent="0.2">
      <c r="W477" s="173" t="str">
        <f t="shared" si="18"/>
        <v>1D</v>
      </c>
      <c r="X477" s="180">
        <f>_xll.qlCalendarAdvance(LiborCalendar,X476,W477,"f",FALSE)</f>
        <v>42606</v>
      </c>
      <c r="Y477" s="174">
        <f>_xll.qlInterestRateIndexValueDate(IborIndex,X477)</f>
        <v>42608</v>
      </c>
      <c r="Z477" s="175">
        <v>1.6070779559667371E-3</v>
      </c>
      <c r="AA477" s="177">
        <v>1.5603311059617098E-3</v>
      </c>
    </row>
    <row r="478" spans="23:27" x14ac:dyDescent="0.2">
      <c r="W478" s="173" t="str">
        <f t="shared" si="18"/>
        <v>1D</v>
      </c>
      <c r="X478" s="180">
        <f>_xll.qlCalendarAdvance(LiborCalendar,X477,W478,"f",FALSE)</f>
        <v>42607</v>
      </c>
      <c r="Y478" s="174">
        <f>_xll.qlInterestRateIndexValueDate(IborIndex,X478)</f>
        <v>42612</v>
      </c>
      <c r="Z478" s="175">
        <v>1.609054860334003E-3</v>
      </c>
      <c r="AA478" s="177">
        <v>1.5618069579448335E-3</v>
      </c>
    </row>
    <row r="479" spans="23:27" x14ac:dyDescent="0.2">
      <c r="W479" s="173" t="str">
        <f t="shared" si="18"/>
        <v>1D</v>
      </c>
      <c r="X479" s="180">
        <f>_xll.qlCalendarAdvance(LiborCalendar,X478,W479,"f",FALSE)</f>
        <v>42608</v>
      </c>
      <c r="Y479" s="174">
        <f>_xll.qlInterestRateIndexValueDate(IborIndex,X479)</f>
        <v>42613</v>
      </c>
      <c r="Z479" s="175">
        <v>1.6094272141508545E-3</v>
      </c>
      <c r="AA479" s="177">
        <v>1.5624051814533413E-3</v>
      </c>
    </row>
    <row r="480" spans="23:27" x14ac:dyDescent="0.2">
      <c r="W480" s="173" t="str">
        <f t="shared" si="18"/>
        <v>1D</v>
      </c>
      <c r="X480" s="180">
        <f>_xll.qlCalendarAdvance(LiborCalendar,X479,W480,"f",FALSE)</f>
        <v>42612</v>
      </c>
      <c r="Y480" s="174">
        <f>_xll.qlInterestRateIndexValueDate(IborIndex,X480)</f>
        <v>42614</v>
      </c>
      <c r="Z480" s="175">
        <v>1.6103023375098266E-3</v>
      </c>
      <c r="AA480" s="177">
        <v>1.5630053452098114E-3</v>
      </c>
    </row>
    <row r="481" spans="23:27" x14ac:dyDescent="0.2">
      <c r="W481" s="173" t="str">
        <f t="shared" si="18"/>
        <v>1D</v>
      </c>
      <c r="X481" s="180">
        <f>_xll.qlCalendarAdvance(LiborCalendar,X480,W481,"f",FALSE)</f>
        <v>42613</v>
      </c>
      <c r="Y481" s="174">
        <f>_xll.qlInterestRateIndexValueDate(IborIndex,X481)</f>
        <v>42615</v>
      </c>
      <c r="Z481" s="175">
        <v>1.6111812787363679E-3</v>
      </c>
      <c r="AA481" s="177">
        <v>1.5642188437969831E-3</v>
      </c>
    </row>
    <row r="482" spans="23:27" x14ac:dyDescent="0.2">
      <c r="W482" s="173" t="str">
        <f t="shared" si="18"/>
        <v>1D</v>
      </c>
      <c r="X482" s="180">
        <f>_xll.qlCalendarAdvance(LiborCalendar,X481,W482,"f",FALSE)</f>
        <v>42614</v>
      </c>
      <c r="Y482" s="174">
        <f>_xll.qlInterestRateIndexValueDate(IborIndex,X482)</f>
        <v>42618</v>
      </c>
      <c r="Z482" s="175">
        <v>1.6143536748262407E-3</v>
      </c>
      <c r="AA482" s="177">
        <v>1.5654254031205461E-3</v>
      </c>
    </row>
    <row r="483" spans="23:27" x14ac:dyDescent="0.2">
      <c r="W483" s="173" t="str">
        <f t="shared" si="18"/>
        <v>1D</v>
      </c>
      <c r="X483" s="180">
        <f>_xll.qlCalendarAdvance(LiborCalendar,X482,W483,"f",FALSE)</f>
        <v>42615</v>
      </c>
      <c r="Y483" s="174">
        <f>_xll.qlInterestRateIndexValueDate(IborIndex,X483)</f>
        <v>42619</v>
      </c>
      <c r="Z483" s="175">
        <v>1.6147355475846668E-3</v>
      </c>
      <c r="AA483" s="177">
        <v>1.5660352682789203E-3</v>
      </c>
    </row>
    <row r="484" spans="23:27" x14ac:dyDescent="0.2">
      <c r="W484" s="173" t="str">
        <f t="shared" si="18"/>
        <v>1D</v>
      </c>
      <c r="X484" s="180">
        <f>_xll.qlCalendarAdvance(LiborCalendar,X483,W484,"f",FALSE)</f>
        <v>42618</v>
      </c>
      <c r="Y484" s="174">
        <f>_xll.qlInterestRateIndexValueDate(IborIndex,X484)</f>
        <v>42620</v>
      </c>
      <c r="Z484" s="175">
        <v>1.6156338221006525E-3</v>
      </c>
      <c r="AA484" s="177">
        <v>1.566647073766303E-3</v>
      </c>
    </row>
    <row r="485" spans="23:27" x14ac:dyDescent="0.2">
      <c r="W485" s="173" t="str">
        <f t="shared" si="18"/>
        <v>1D</v>
      </c>
      <c r="X485" s="180">
        <f>_xll.qlCalendarAdvance(LiborCalendar,X484,W485,"f",FALSE)</f>
        <v>42619</v>
      </c>
      <c r="Y485" s="174">
        <f>_xll.qlInterestRateIndexValueDate(IborIndex,X485)</f>
        <v>42621</v>
      </c>
      <c r="Z485" s="175">
        <v>1.6165360120649352E-3</v>
      </c>
      <c r="AA485" s="177">
        <v>1.567260819501648E-3</v>
      </c>
    </row>
    <row r="486" spans="23:27" x14ac:dyDescent="0.2">
      <c r="W486" s="173" t="str">
        <f t="shared" si="18"/>
        <v>1D</v>
      </c>
      <c r="X486" s="180">
        <f>_xll.qlCalendarAdvance(LiborCalendar,X485,W486,"f",FALSE)</f>
        <v>42620</v>
      </c>
      <c r="Y486" s="174">
        <f>_xll.qlInterestRateIndexValueDate(IborIndex,X486)</f>
        <v>42622</v>
      </c>
      <c r="Z486" s="175">
        <v>1.6174421337420738E-3</v>
      </c>
      <c r="AA486" s="177">
        <v>1.5685015188956117E-3</v>
      </c>
    </row>
    <row r="487" spans="23:27" x14ac:dyDescent="0.2">
      <c r="W487" s="173" t="str">
        <f t="shared" si="18"/>
        <v>1D</v>
      </c>
      <c r="X487" s="180">
        <f>_xll.qlCalendarAdvance(LiborCalendar,X486,W487,"f",FALSE)</f>
        <v>42621</v>
      </c>
      <c r="Y487" s="174">
        <f>_xll.qlInterestRateIndexValueDate(IborIndex,X487)</f>
        <v>42625</v>
      </c>
      <c r="Z487" s="175">
        <v>1.6207127882212219E-3</v>
      </c>
      <c r="AA487" s="177">
        <v>1.5697352054089286E-3</v>
      </c>
    </row>
    <row r="488" spans="23:27" x14ac:dyDescent="0.2">
      <c r="W488" s="173" t="str">
        <f t="shared" si="18"/>
        <v>1D</v>
      </c>
      <c r="X488" s="180">
        <f>_xll.qlCalendarAdvance(LiborCalendar,X487,W488,"f",FALSE)</f>
        <v>42622</v>
      </c>
      <c r="Y488" s="174">
        <f>_xll.qlInterestRateIndexValueDate(IborIndex,X488)</f>
        <v>42626</v>
      </c>
      <c r="Z488" s="175">
        <v>1.6211062628549047E-3</v>
      </c>
      <c r="AA488" s="177">
        <v>1.570358652627224E-3</v>
      </c>
    </row>
    <row r="489" spans="23:27" x14ac:dyDescent="0.2">
      <c r="W489" s="173" t="str">
        <f t="shared" si="18"/>
        <v>1D</v>
      </c>
      <c r="X489" s="180">
        <f>_xll.qlCalendarAdvance(LiborCalendar,X488,W489,"f",FALSE)</f>
        <v>42625</v>
      </c>
      <c r="Y489" s="174">
        <f>_xll.qlInterestRateIndexValueDate(IborIndex,X489)</f>
        <v>42627</v>
      </c>
      <c r="Z489" s="175">
        <v>1.6220322870541047E-3</v>
      </c>
      <c r="AA489" s="177">
        <v>1.5709840400934816E-3</v>
      </c>
    </row>
    <row r="490" spans="23:27" x14ac:dyDescent="0.2">
      <c r="W490" s="173" t="str">
        <f t="shared" si="18"/>
        <v>1D</v>
      </c>
      <c r="X490" s="180">
        <f>_xll.qlCalendarAdvance(LiborCalendar,X489,W490,"f",FALSE)</f>
        <v>42626</v>
      </c>
      <c r="Y490" s="174">
        <f>_xll.qlInterestRateIndexValueDate(IborIndex,X490)</f>
        <v>42628</v>
      </c>
      <c r="Z490" s="175">
        <v>1.6229623405495384E-3</v>
      </c>
      <c r="AA490" s="177">
        <v>1.5716113678887478E-3</v>
      </c>
    </row>
    <row r="491" spans="23:27" x14ac:dyDescent="0.2">
      <c r="W491" s="173" t="str">
        <f t="shared" si="18"/>
        <v>1D</v>
      </c>
      <c r="X491" s="180">
        <f>_xll.qlCalendarAdvance(LiborCalendar,X490,W491,"f",FALSE)</f>
        <v>42627</v>
      </c>
      <c r="Y491" s="174">
        <f>_xll.qlInterestRateIndexValueDate(IborIndex,X491)</f>
        <v>42629</v>
      </c>
      <c r="Z491" s="175">
        <v>1.6238964396053227E-3</v>
      </c>
      <c r="AA491" s="177">
        <v>1.5728792689269819E-3</v>
      </c>
    </row>
    <row r="492" spans="23:27" x14ac:dyDescent="0.2">
      <c r="W492" s="173" t="str">
        <f t="shared" si="18"/>
        <v>1D</v>
      </c>
      <c r="X492" s="180">
        <f>_xll.qlCalendarAdvance(LiborCalendar,X491,W492,"f",FALSE)</f>
        <v>42628</v>
      </c>
      <c r="Y492" s="174">
        <f>_xll.qlInterestRateIndexValueDate(IborIndex,X492)</f>
        <v>42633</v>
      </c>
      <c r="Z492" s="175">
        <v>1.6282207614884932E-3</v>
      </c>
      <c r="AA492" s="177">
        <v>1.5747771109897446E-3</v>
      </c>
    </row>
    <row r="493" spans="23:27" x14ac:dyDescent="0.2">
      <c r="W493" s="173" t="str">
        <f t="shared" si="18"/>
        <v>1D</v>
      </c>
      <c r="X493" s="180">
        <f>_xll.qlCalendarAdvance(LiborCalendar,X492,W493,"f",FALSE)</f>
        <v>42629</v>
      </c>
      <c r="Y493" s="174">
        <f>_xll.qlInterestRateIndexValueDate(IborIndex,X493)</f>
        <v>42633</v>
      </c>
      <c r="Z493" s="175">
        <v>1.6282207614884932E-3</v>
      </c>
      <c r="AA493" s="177">
        <v>1.5747771109897446E-3</v>
      </c>
    </row>
    <row r="494" spans="23:27" x14ac:dyDescent="0.2">
      <c r="W494" s="173" t="str">
        <f t="shared" si="18"/>
        <v>1D</v>
      </c>
      <c r="X494" s="180">
        <f>_xll.qlCalendarAdvance(LiborCalendar,X493,W494,"f",FALSE)</f>
        <v>42632</v>
      </c>
      <c r="Y494" s="174">
        <f>_xll.qlInterestRateIndexValueDate(IborIndex,X494)</f>
        <v>42634</v>
      </c>
      <c r="Z494" s="175">
        <v>1.628628187546414E-3</v>
      </c>
      <c r="AA494" s="177">
        <v>1.5754160805159234E-3</v>
      </c>
    </row>
    <row r="495" spans="23:27" x14ac:dyDescent="0.2">
      <c r="W495" s="173" t="str">
        <f t="shared" si="18"/>
        <v>1D</v>
      </c>
      <c r="X495" s="180">
        <f>_xll.qlCalendarAdvance(LiborCalendar,X494,W495,"f",FALSE)</f>
        <v>42633</v>
      </c>
      <c r="Y495" s="174">
        <f>_xll.qlInterestRateIndexValueDate(IborIndex,X495)</f>
        <v>42636</v>
      </c>
      <c r="Z495" s="175">
        <v>1.6305497748992982E-3</v>
      </c>
      <c r="AA495" s="177">
        <v>1.5773520939181089E-3</v>
      </c>
    </row>
    <row r="496" spans="23:27" x14ac:dyDescent="0.2">
      <c r="W496" s="173" t="str">
        <f t="shared" si="18"/>
        <v>1D</v>
      </c>
      <c r="X496" s="180">
        <f>_xll.qlCalendarAdvance(LiborCalendar,X495,W496,"f",FALSE)</f>
        <v>42634</v>
      </c>
      <c r="Y496" s="174">
        <f>_xll.qlInterestRateIndexValueDate(IborIndex,X496)</f>
        <v>42636</v>
      </c>
      <c r="Z496" s="175">
        <v>1.6305497748992982E-3</v>
      </c>
      <c r="AA496" s="177">
        <v>1.5773520939181089E-3</v>
      </c>
    </row>
    <row r="497" spans="23:27" x14ac:dyDescent="0.2">
      <c r="W497" s="173" t="str">
        <f t="shared" si="18"/>
        <v>1D</v>
      </c>
      <c r="X497" s="180">
        <f>_xll.qlCalendarAdvance(LiborCalendar,X496,W497,"f",FALSE)</f>
        <v>42635</v>
      </c>
      <c r="Y497" s="174">
        <f>_xll.qlInterestRateIndexValueDate(IborIndex,X497)</f>
        <v>42639</v>
      </c>
      <c r="Z497" s="175">
        <v>1.6340247874700776E-3</v>
      </c>
      <c r="AA497" s="177">
        <v>1.578640032190437E-3</v>
      </c>
    </row>
    <row r="498" spans="23:27" x14ac:dyDescent="0.2">
      <c r="W498" s="173" t="str">
        <f t="shared" si="18"/>
        <v>1D</v>
      </c>
      <c r="X498" s="180">
        <f>_xll.qlCalendarAdvance(LiborCalendar,X497,W498,"f",FALSE)</f>
        <v>42636</v>
      </c>
      <c r="Y498" s="174">
        <f>_xll.qlInterestRateIndexValueDate(IborIndex,X498)</f>
        <v>42640</v>
      </c>
      <c r="Z498" s="175">
        <v>1.634443187834996E-3</v>
      </c>
      <c r="AA498" s="177">
        <v>1.5792906433664822E-3</v>
      </c>
    </row>
    <row r="499" spans="23:27" x14ac:dyDescent="0.2">
      <c r="W499" s="173" t="str">
        <f t="shared" si="18"/>
        <v>1D</v>
      </c>
      <c r="X499" s="180">
        <f>_xll.qlCalendarAdvance(LiborCalendar,X498,W499,"f",FALSE)</f>
        <v>42639</v>
      </c>
      <c r="Y499" s="174">
        <f>_xll.qlInterestRateIndexValueDate(IborIndex,X499)</f>
        <v>42641</v>
      </c>
      <c r="Z499" s="175">
        <v>1.6354271022448322E-3</v>
      </c>
      <c r="AA499" s="177">
        <v>1.5799431948715359E-3</v>
      </c>
    </row>
    <row r="500" spans="23:27" x14ac:dyDescent="0.2">
      <c r="W500" s="173" t="str">
        <f t="shared" si="18"/>
        <v>1D</v>
      </c>
      <c r="X500" s="180">
        <f>_xll.qlCalendarAdvance(LiborCalendar,X499,W500,"f",FALSE)</f>
        <v>42640</v>
      </c>
      <c r="Y500" s="174">
        <f>_xll.qlInterestRateIndexValueDate(IborIndex,X500)</f>
        <v>42642</v>
      </c>
      <c r="Z500" s="175">
        <v>1.636415273654283E-3</v>
      </c>
      <c r="AA500" s="177">
        <v>1.5805976867055982E-3</v>
      </c>
    </row>
    <row r="501" spans="23:27" x14ac:dyDescent="0.2">
      <c r="W501" s="173" t="str">
        <f t="shared" si="18"/>
        <v>1D</v>
      </c>
      <c r="X501" s="180">
        <f>_xll.qlCalendarAdvance(LiborCalendar,X500,W501,"f",FALSE)</f>
        <v>42641</v>
      </c>
      <c r="Y501" s="174">
        <f>_xll.qlInterestRateIndexValueDate(IborIndex,X501)</f>
        <v>42643</v>
      </c>
      <c r="Z501" s="175">
        <v>1.6379784820435689E-3</v>
      </c>
      <c r="AA501" s="177">
        <v>1.5819199938419775E-3</v>
      </c>
    </row>
    <row r="502" spans="23:27" x14ac:dyDescent="0.2">
      <c r="W502" s="173" t="str">
        <f t="shared" si="18"/>
        <v>1D</v>
      </c>
      <c r="X502" s="180">
        <f>_xll.qlCalendarAdvance(LiborCalendar,X501,W502,"f",FALSE)</f>
        <v>42642</v>
      </c>
      <c r="Y502" s="174">
        <f>_xll.qlInterestRateIndexValueDate(IborIndex,X502)</f>
        <v>42646</v>
      </c>
      <c r="Z502" s="175">
        <v>1.6409887695248335E-3</v>
      </c>
      <c r="AA502" s="177">
        <v>1.5832350566025166E-3</v>
      </c>
    </row>
    <row r="503" spans="23:27" x14ac:dyDescent="0.2">
      <c r="W503" s="173" t="str">
        <f t="shared" si="18"/>
        <v>1D</v>
      </c>
      <c r="X503" s="180">
        <f>_xll.qlCalendarAdvance(LiborCalendar,X502,W503,"f",FALSE)</f>
        <v>42643</v>
      </c>
      <c r="Y503" s="174">
        <f>_xll.qlInterestRateIndexValueDate(IborIndex,X503)</f>
        <v>42647</v>
      </c>
      <c r="Z503" s="175">
        <v>1.6420008595379495E-3</v>
      </c>
      <c r="AA503" s="177">
        <v>1.583899249838483E-3</v>
      </c>
    </row>
    <row r="504" spans="23:27" x14ac:dyDescent="0.2">
      <c r="W504" s="173" t="str">
        <f t="shared" si="18"/>
        <v>1D</v>
      </c>
      <c r="X504" s="180">
        <f>_xll.qlCalendarAdvance(LiborCalendar,X503,W504,"f",FALSE)</f>
        <v>42646</v>
      </c>
      <c r="Y504" s="174">
        <f>_xll.qlInterestRateIndexValueDate(IborIndex,X504)</f>
        <v>42648</v>
      </c>
      <c r="Z504" s="175">
        <v>1.6430173069371657E-3</v>
      </c>
      <c r="AA504" s="177">
        <v>1.5845653833224116E-3</v>
      </c>
    </row>
    <row r="505" spans="23:27" x14ac:dyDescent="0.2">
      <c r="W505" s="173" t="str">
        <f t="shared" si="18"/>
        <v>1D</v>
      </c>
      <c r="X505" s="180">
        <f>_xll.qlCalendarAdvance(LiborCalendar,X504,W505,"f",FALSE)</f>
        <v>42647</v>
      </c>
      <c r="Y505" s="174">
        <f>_xll.qlInterestRateIndexValueDate(IborIndex,X505)</f>
        <v>42649</v>
      </c>
      <c r="Z505" s="175">
        <v>1.6440381278994319E-3</v>
      </c>
      <c r="AA505" s="177">
        <v>1.5852334570543025E-3</v>
      </c>
    </row>
    <row r="506" spans="23:27" x14ac:dyDescent="0.2">
      <c r="W506" s="173" t="str">
        <f t="shared" si="18"/>
        <v>1D</v>
      </c>
      <c r="X506" s="180">
        <f>_xll.qlCalendarAdvance(LiborCalendar,X505,W506,"f",FALSE)</f>
        <v>42648</v>
      </c>
      <c r="Y506" s="174">
        <f>_xll.qlInterestRateIndexValueDate(IborIndex,X506)</f>
        <v>42650</v>
      </c>
      <c r="Z506" s="175">
        <v>1.6450633386008199E-3</v>
      </c>
      <c r="AA506" s="177">
        <v>1.5865829687796338E-3</v>
      </c>
    </row>
    <row r="507" spans="23:27" x14ac:dyDescent="0.2">
      <c r="W507" s="173" t="str">
        <f t="shared" si="18"/>
        <v>1D</v>
      </c>
      <c r="X507" s="180">
        <f>_xll.qlCalendarAdvance(LiborCalendar,X506,W507,"f",FALSE)</f>
        <v>42649</v>
      </c>
      <c r="Y507" s="174">
        <f>_xll.qlInterestRateIndexValueDate(IborIndex,X507)</f>
        <v>42654</v>
      </c>
      <c r="Z507" s="175">
        <v>1.6492084023181394E-3</v>
      </c>
      <c r="AA507" s="177">
        <v>1.5886029302436544E-3</v>
      </c>
    </row>
    <row r="508" spans="23:27" x14ac:dyDescent="0.2">
      <c r="W508" s="173" t="str">
        <f t="shared" si="18"/>
        <v>1D</v>
      </c>
      <c r="X508" s="180">
        <f>_xll.qlCalendarAdvance(LiborCalendar,X507,W508,"f",FALSE)</f>
        <v>42650</v>
      </c>
      <c r="Y508" s="174">
        <f>_xll.qlInterestRateIndexValueDate(IborIndex,X508)</f>
        <v>42654</v>
      </c>
      <c r="Z508" s="175">
        <v>1.6492084023181394E-3</v>
      </c>
      <c r="AA508" s="177">
        <v>1.5886029302436544E-3</v>
      </c>
    </row>
    <row r="509" spans="23:27" x14ac:dyDescent="0.2">
      <c r="W509" s="173" t="str">
        <f t="shared" si="18"/>
        <v>1D</v>
      </c>
      <c r="X509" s="180">
        <f>_xll.qlCalendarAdvance(LiborCalendar,X508,W509,"f",FALSE)</f>
        <v>42653</v>
      </c>
      <c r="Y509" s="174">
        <f>_xll.qlInterestRateIndexValueDate(IborIndex,X509)</f>
        <v>42655</v>
      </c>
      <c r="Z509" s="175">
        <v>1.6502558043579646E-3</v>
      </c>
      <c r="AA509" s="177">
        <v>1.5892826457875042E-3</v>
      </c>
    </row>
    <row r="510" spans="23:27" x14ac:dyDescent="0.2">
      <c r="W510" s="173" t="str">
        <f t="shared" si="18"/>
        <v>1D</v>
      </c>
      <c r="X510" s="180">
        <f>_xll.qlCalendarAdvance(LiborCalendar,X509,W510,"f",FALSE)</f>
        <v>42654</v>
      </c>
      <c r="Y510" s="174">
        <f>_xll.qlInterestRateIndexValueDate(IborIndex,X510)</f>
        <v>42656</v>
      </c>
      <c r="Z510" s="175">
        <v>1.6513076931955364E-3</v>
      </c>
      <c r="AA510" s="177">
        <v>1.5899643014982701E-3</v>
      </c>
    </row>
    <row r="511" spans="23:27" x14ac:dyDescent="0.2">
      <c r="W511" s="173" t="str">
        <f t="shared" si="18"/>
        <v>1D</v>
      </c>
      <c r="X511" s="180">
        <f>_xll.qlCalendarAdvance(LiborCalendar,X510,W511,"f",FALSE)</f>
        <v>42655</v>
      </c>
      <c r="Y511" s="174">
        <f>_xll.qlInterestRateIndexValueDate(IborIndex,X511)</f>
        <v>42657</v>
      </c>
      <c r="Z511" s="175">
        <v>1.654797680942698E-3</v>
      </c>
      <c r="AA511" s="177">
        <v>1.5913410186770469E-3</v>
      </c>
    </row>
    <row r="512" spans="23:27" x14ac:dyDescent="0.2">
      <c r="W512" s="173" t="str">
        <f t="shared" si="18"/>
        <v>1D</v>
      </c>
      <c r="X512" s="180">
        <f>_xll.qlCalendarAdvance(LiborCalendar,X511,W512,"f",FALSE)</f>
        <v>42656</v>
      </c>
      <c r="Y512" s="174">
        <f>_xll.qlInterestRateIndexValueDate(IborIndex,X512)</f>
        <v>42660</v>
      </c>
      <c r="Z512" s="175">
        <v>1.6561736559501735E-3</v>
      </c>
      <c r="AA512" s="177">
        <v>1.5927103274693266E-3</v>
      </c>
    </row>
    <row r="513" spans="23:27" x14ac:dyDescent="0.2">
      <c r="W513" s="173" t="str">
        <f t="shared" si="18"/>
        <v>1D</v>
      </c>
      <c r="X513" s="180">
        <f>_xll.qlCalendarAdvance(LiborCalendar,X512,W513,"f",FALSE)</f>
        <v>42657</v>
      </c>
      <c r="Y513" s="174">
        <f>_xll.qlInterestRateIndexValueDate(IborIndex,X513)</f>
        <v>42661</v>
      </c>
      <c r="Z513" s="175">
        <v>1.6566350055257097E-3</v>
      </c>
      <c r="AA513" s="177">
        <v>1.5934016847440891E-3</v>
      </c>
    </row>
    <row r="514" spans="23:27" x14ac:dyDescent="0.2">
      <c r="W514" s="173" t="str">
        <f t="shared" si="18"/>
        <v>1D</v>
      </c>
      <c r="X514" s="180">
        <f>_xll.qlCalendarAdvance(LiborCalendar,X513,W514,"f",FALSE)</f>
        <v>42660</v>
      </c>
      <c r="Y514" s="174">
        <f>_xll.qlInterestRateIndexValueDate(IborIndex,X514)</f>
        <v>42662</v>
      </c>
      <c r="Z514" s="175">
        <v>1.6577141548582417E-3</v>
      </c>
      <c r="AA514" s="177">
        <v>1.5940949822668138E-3</v>
      </c>
    </row>
    <row r="515" spans="23:27" x14ac:dyDescent="0.2">
      <c r="W515" s="173" t="str">
        <f t="shared" si="18"/>
        <v>1D</v>
      </c>
      <c r="X515" s="180">
        <f>_xll.qlCalendarAdvance(LiborCalendar,X514,W515,"f",FALSE)</f>
        <v>42661</v>
      </c>
      <c r="Y515" s="174">
        <f>_xll.qlInterestRateIndexValueDate(IborIndex,X515)</f>
        <v>42663</v>
      </c>
      <c r="Z515" s="175">
        <v>1.6587979042258518E-3</v>
      </c>
      <c r="AA515" s="177">
        <v>1.5947902200375008E-3</v>
      </c>
    </row>
    <row r="516" spans="23:27" x14ac:dyDescent="0.2">
      <c r="W516" s="173" t="str">
        <f t="shared" si="18"/>
        <v>1D</v>
      </c>
      <c r="X516" s="180">
        <f>_xll.qlCalendarAdvance(LiborCalendar,X515,W516,"f",FALSE)</f>
        <v>42662</v>
      </c>
      <c r="Y516" s="174">
        <f>_xll.qlInterestRateIndexValueDate(IborIndex,X516)</f>
        <v>42664</v>
      </c>
      <c r="Z516" s="175">
        <v>1.6598862698063684E-3</v>
      </c>
      <c r="AA516" s="177">
        <v>1.5961941435612323E-3</v>
      </c>
    </row>
    <row r="517" spans="23:27" x14ac:dyDescent="0.2">
      <c r="W517" s="173" t="str">
        <f t="shared" si="18"/>
        <v>1D</v>
      </c>
      <c r="X517" s="180">
        <f>_xll.qlCalendarAdvance(LiborCalendar,X516,W517,"f",FALSE)</f>
        <v>42663</v>
      </c>
      <c r="Y517" s="174">
        <f>_xll.qlInterestRateIndexValueDate(IborIndex,X517)</f>
        <v>42667</v>
      </c>
      <c r="Z517" s="175">
        <v>1.6631792255922201E-3</v>
      </c>
      <c r="AA517" s="177">
        <v>1.5975905740861496E-3</v>
      </c>
    </row>
    <row r="518" spans="23:27" x14ac:dyDescent="0.2">
      <c r="W518" s="173" t="str">
        <f t="shared" si="18"/>
        <v>1D</v>
      </c>
      <c r="X518" s="180">
        <f>_xll.qlCalendarAdvance(LiborCalendar,X517,W518,"f",FALSE)</f>
        <v>42664</v>
      </c>
      <c r="Y518" s="174">
        <f>_xll.qlInterestRateIndexValueDate(IborIndex,X518)</f>
        <v>42668</v>
      </c>
      <c r="Z518" s="175">
        <v>1.6642862177938614E-3</v>
      </c>
      <c r="AA518" s="177">
        <v>1.5982955132587406E-3</v>
      </c>
    </row>
    <row r="519" spans="23:27" x14ac:dyDescent="0.2">
      <c r="W519" s="173" t="str">
        <f t="shared" si="18"/>
        <v>1D</v>
      </c>
      <c r="X519" s="180">
        <f>_xll.qlCalendarAdvance(LiborCalendar,X518,W519,"f",FALSE)</f>
        <v>42667</v>
      </c>
      <c r="Y519" s="174">
        <f>_xll.qlInterestRateIndexValueDate(IborIndex,X519)</f>
        <v>42669</v>
      </c>
      <c r="Z519" s="175">
        <v>1.665397907094476E-3</v>
      </c>
      <c r="AA519" s="177">
        <v>1.5990023928413866E-3</v>
      </c>
    </row>
    <row r="520" spans="23:27" x14ac:dyDescent="0.2">
      <c r="W520" s="173" t="str">
        <f t="shared" si="18"/>
        <v>1D</v>
      </c>
      <c r="X520" s="180">
        <f>_xll.qlCalendarAdvance(LiborCalendar,X519,W520,"f",FALSE)</f>
        <v>42668</v>
      </c>
      <c r="Y520" s="174">
        <f>_xll.qlInterestRateIndexValueDate(IborIndex,X520)</f>
        <v>42670</v>
      </c>
      <c r="Z520" s="175">
        <v>1.6665143096714532E-3</v>
      </c>
      <c r="AA520" s="177">
        <v>1.5997112125909485E-3</v>
      </c>
    </row>
    <row r="521" spans="23:27" x14ac:dyDescent="0.2">
      <c r="W521" s="173" t="str">
        <f t="shared" si="18"/>
        <v>1D</v>
      </c>
      <c r="X521" s="180">
        <f>_xll.qlCalendarAdvance(LiborCalendar,X520,W521,"f",FALSE)</f>
        <v>42669</v>
      </c>
      <c r="Y521" s="174">
        <f>_xll.qlInterestRateIndexValueDate(IborIndex,X521)</f>
        <v>42671</v>
      </c>
      <c r="Z521" s="175">
        <v>1.6676354417021822E-3</v>
      </c>
      <c r="AA521" s="177">
        <v>1.6011423434592056E-3</v>
      </c>
    </row>
    <row r="522" spans="23:27" x14ac:dyDescent="0.2">
      <c r="W522" s="173" t="str">
        <f t="shared" si="18"/>
        <v>1D</v>
      </c>
      <c r="X522" s="180">
        <f>_xll.qlCalendarAdvance(LiborCalendar,X521,W522,"f",FALSE)</f>
        <v>42670</v>
      </c>
      <c r="Y522" s="174">
        <f>_xll.qlInterestRateIndexValueDate(IborIndex,X522)</f>
        <v>42674</v>
      </c>
      <c r="Z522" s="175">
        <v>1.6690954855835827E-3</v>
      </c>
      <c r="AA522" s="177">
        <v>1.6025658946361432E-3</v>
      </c>
    </row>
    <row r="523" spans="23:27" x14ac:dyDescent="0.2">
      <c r="W523" s="173" t="str">
        <f t="shared" si="18"/>
        <v>1D</v>
      </c>
      <c r="X523" s="180">
        <f>_xll.qlCalendarAdvance(LiborCalendar,X522,W523,"f",FALSE)</f>
        <v>42671</v>
      </c>
      <c r="Y523" s="174">
        <f>_xll.qlInterestRateIndexValueDate(IborIndex,X523)</f>
        <v>42675</v>
      </c>
      <c r="Z523" s="175">
        <v>1.6721675879191814E-3</v>
      </c>
      <c r="AA523" s="177">
        <v>1.6032844158686554E-3</v>
      </c>
    </row>
    <row r="524" spans="23:27" x14ac:dyDescent="0.2">
      <c r="W524" s="173" t="str">
        <f t="shared" si="18"/>
        <v>1D</v>
      </c>
      <c r="X524" s="180">
        <f>_xll.qlCalendarAdvance(LiborCalendar,X523,W524,"f",FALSE)</f>
        <v>42674</v>
      </c>
      <c r="Y524" s="174">
        <f>_xll.qlInterestRateIndexValueDate(IborIndex,X524)</f>
        <v>42676</v>
      </c>
      <c r="Z524" s="175">
        <v>1.6726621520993046E-3</v>
      </c>
      <c r="AA524" s="177">
        <v>1.60400487734913E-3</v>
      </c>
    </row>
    <row r="525" spans="23:27" x14ac:dyDescent="0.2">
      <c r="W525" s="173" t="str">
        <f t="shared" si="18"/>
        <v>1D</v>
      </c>
      <c r="X525" s="180">
        <f>_xll.qlCalendarAdvance(LiborCalendar,X524,W525,"f",FALSE)</f>
        <v>42675</v>
      </c>
      <c r="Y525" s="174">
        <f>_xll.qlInterestRateIndexValueDate(IborIndex,X525)</f>
        <v>42678</v>
      </c>
      <c r="Z525" s="175">
        <v>1.6775928857733417E-3</v>
      </c>
      <c r="AA525" s="177">
        <v>1.6061900902886175E-3</v>
      </c>
    </row>
    <row r="526" spans="23:27" x14ac:dyDescent="0.2">
      <c r="W526" s="173" t="str">
        <f t="shared" si="18"/>
        <v>1D</v>
      </c>
      <c r="X526" s="180">
        <f>_xll.qlCalendarAdvance(LiborCalendar,X525,W526,"f",FALSE)</f>
        <v>42676</v>
      </c>
      <c r="Y526" s="174">
        <f>_xll.qlInterestRateIndexValueDate(IborIndex,X526)</f>
        <v>42678</v>
      </c>
      <c r="Z526" s="175">
        <v>1.6775928857733417E-3</v>
      </c>
      <c r="AA526" s="177">
        <v>1.6061900902886175E-3</v>
      </c>
    </row>
    <row r="527" spans="23:27" x14ac:dyDescent="0.2">
      <c r="W527" s="173" t="str">
        <f t="shared" si="18"/>
        <v>1D</v>
      </c>
      <c r="X527" s="180">
        <f>_xll.qlCalendarAdvance(LiborCalendar,X526,W527,"f",FALSE)</f>
        <v>42677</v>
      </c>
      <c r="Y527" s="174">
        <f>_xll.qlInterestRateIndexValueDate(IborIndex,X527)</f>
        <v>42681</v>
      </c>
      <c r="Z527" s="175">
        <v>1.6791103683343723E-3</v>
      </c>
      <c r="AA527" s="177">
        <v>1.6076546735765973E-3</v>
      </c>
    </row>
    <row r="528" spans="23:27" x14ac:dyDescent="0.2">
      <c r="W528" s="173" t="str">
        <f t="shared" si="18"/>
        <v>1D</v>
      </c>
      <c r="X528" s="180">
        <f>_xll.qlCalendarAdvance(LiborCalendar,X527,W528,"f",FALSE)</f>
        <v>42678</v>
      </c>
      <c r="Y528" s="174">
        <f>_xll.qlInterestRateIndexValueDate(IborIndex,X528)</f>
        <v>42682</v>
      </c>
      <c r="Z528" s="175">
        <v>1.6796194254308909E-3</v>
      </c>
      <c r="AA528" s="177">
        <v>1.6083987017756485E-3</v>
      </c>
    </row>
    <row r="529" spans="23:27" x14ac:dyDescent="0.2">
      <c r="W529" s="173" t="str">
        <f t="shared" si="18"/>
        <v>1D</v>
      </c>
      <c r="X529" s="180">
        <f>_xll.qlCalendarAdvance(LiborCalendar,X528,W529,"f",FALSE)</f>
        <v>42681</v>
      </c>
      <c r="Y529" s="174">
        <f>_xll.qlInterestRateIndexValueDate(IborIndex,X529)</f>
        <v>42683</v>
      </c>
      <c r="Z529" s="175">
        <v>1.6807959734050756E-3</v>
      </c>
      <c r="AA529" s="177">
        <v>1.6091476515101011E-3</v>
      </c>
    </row>
    <row r="530" spans="23:27" x14ac:dyDescent="0.2">
      <c r="W530" s="173" t="str">
        <f t="shared" si="18"/>
        <v>1D</v>
      </c>
      <c r="X530" s="180">
        <f>_xll.qlCalendarAdvance(LiborCalendar,X529,W530,"f",FALSE)</f>
        <v>42682</v>
      </c>
      <c r="Y530" s="174">
        <f>_xll.qlInterestRateIndexValueDate(IborIndex,X530)</f>
        <v>42684</v>
      </c>
      <c r="Z530" s="175">
        <v>1.6819773802686836E-3</v>
      </c>
      <c r="AA530" s="177">
        <v>1.6099015227799551E-3</v>
      </c>
    </row>
    <row r="531" spans="23:27" x14ac:dyDescent="0.2">
      <c r="W531" s="173" t="str">
        <f t="shared" si="18"/>
        <v>1D</v>
      </c>
      <c r="X531" s="180">
        <f>_xll.qlCalendarAdvance(LiborCalendar,X530,W531,"f",FALSE)</f>
        <v>42683</v>
      </c>
      <c r="Y531" s="174">
        <f>_xll.qlInterestRateIndexValueDate(IborIndex,X531)</f>
        <v>42685</v>
      </c>
      <c r="Z531" s="175">
        <v>1.6831636460301063E-3</v>
      </c>
      <c r="AA531" s="177">
        <v>1.6114327846531811E-3</v>
      </c>
    </row>
    <row r="532" spans="23:27" x14ac:dyDescent="0.2">
      <c r="W532" s="173" t="str">
        <f t="shared" si="18"/>
        <v>1D</v>
      </c>
      <c r="X532" s="180">
        <f>_xll.qlCalendarAdvance(LiborCalendar,X531,W532,"f",FALSE)</f>
        <v>42684</v>
      </c>
      <c r="Y532" s="174">
        <f>_xll.qlInterestRateIndexValueDate(IborIndex,X532)</f>
        <v>42688</v>
      </c>
      <c r="Z532" s="175">
        <v>1.6874312741492954E-3</v>
      </c>
      <c r="AA532" s="177">
        <v>1.6129662231323394E-3</v>
      </c>
    </row>
    <row r="533" spans="23:27" x14ac:dyDescent="0.2">
      <c r="W533" s="173" t="str">
        <f t="shared" ref="W533:W596" si="19">W532</f>
        <v>1D</v>
      </c>
      <c r="X533" s="180">
        <f>_xll.qlCalendarAdvance(LiborCalendar,X532,W533,"f",FALSE)</f>
        <v>42685</v>
      </c>
      <c r="Y533" s="174">
        <f>_xll.qlInterestRateIndexValueDate(IborIndex,X533)</f>
        <v>42689</v>
      </c>
      <c r="Z533" s="175">
        <v>1.6879572982292706E-3</v>
      </c>
      <c r="AA533" s="177">
        <v>1.6137447020792006E-3</v>
      </c>
    </row>
    <row r="534" spans="23:27" x14ac:dyDescent="0.2">
      <c r="W534" s="173" t="str">
        <f t="shared" si="19"/>
        <v>1D</v>
      </c>
      <c r="X534" s="180">
        <f>_xll.qlCalendarAdvance(LiborCalendar,X533,W534,"f",FALSE)</f>
        <v>42688</v>
      </c>
      <c r="Y534" s="174">
        <f>_xll.qlInterestRateIndexValueDate(IborIndex,X534)</f>
        <v>42690</v>
      </c>
      <c r="Z534" s="175">
        <v>1.6891678586113729E-3</v>
      </c>
      <c r="AA534" s="177">
        <v>1.6145281025614633E-3</v>
      </c>
    </row>
    <row r="535" spans="23:27" x14ac:dyDescent="0.2">
      <c r="W535" s="173" t="str">
        <f t="shared" si="19"/>
        <v>1D</v>
      </c>
      <c r="X535" s="180">
        <f>_xll.qlCalendarAdvance(LiborCalendar,X534,W535,"f",FALSE)</f>
        <v>42689</v>
      </c>
      <c r="Y535" s="174">
        <f>_xll.qlInterestRateIndexValueDate(IborIndex,X535)</f>
        <v>42691</v>
      </c>
      <c r="Z535" s="175">
        <v>1.6903832779434028E-3</v>
      </c>
      <c r="AA535" s="177">
        <v>1.6153164244980811E-3</v>
      </c>
    </row>
    <row r="536" spans="23:27" x14ac:dyDescent="0.2">
      <c r="W536" s="173" t="str">
        <f t="shared" si="19"/>
        <v>1D</v>
      </c>
      <c r="X536" s="180">
        <f>_xll.qlCalendarAdvance(LiborCalendar,X535,W536,"f",FALSE)</f>
        <v>42690</v>
      </c>
      <c r="Y536" s="174">
        <f>_xll.qlInterestRateIndexValueDate(IborIndex,X536)</f>
        <v>42692</v>
      </c>
      <c r="Z536" s="175">
        <v>1.6916035562350763E-3</v>
      </c>
      <c r="AA536" s="177">
        <v>1.6169166363055878E-3</v>
      </c>
    </row>
    <row r="537" spans="23:27" x14ac:dyDescent="0.2">
      <c r="W537" s="173" t="s">
        <v>150</v>
      </c>
      <c r="X537" s="180">
        <f>_xll.qlCalendarAdvance(LiborCalendar,X536,W537,"f",FALSE)</f>
        <v>42697</v>
      </c>
      <c r="Y537" s="174">
        <f>_xll.qlInterestRateIndexValueDate(IborIndex,X537)</f>
        <v>42699</v>
      </c>
      <c r="Z537" s="175">
        <v>1.7002815558962629E-3</v>
      </c>
      <c r="AA537" s="177">
        <v>1.6226416452728525E-3</v>
      </c>
    </row>
    <row r="538" spans="23:27" x14ac:dyDescent="0.2">
      <c r="W538" s="173" t="str">
        <f t="shared" si="19"/>
        <v>1w</v>
      </c>
      <c r="X538" s="180">
        <f>_xll.qlCalendarAdvance(LiborCalendar,X537,W538,"f",FALSE)</f>
        <v>42704</v>
      </c>
      <c r="Y538" s="174">
        <f>_xll.qlInterestRateIndexValueDate(IborIndex,X538)</f>
        <v>42706</v>
      </c>
      <c r="Z538" s="175">
        <v>1.7099211635383362E-3</v>
      </c>
      <c r="AA538" s="177">
        <v>1.6286078115279603E-3</v>
      </c>
    </row>
    <row r="539" spans="23:27" x14ac:dyDescent="0.2">
      <c r="W539" s="173" t="str">
        <f t="shared" si="19"/>
        <v>1w</v>
      </c>
      <c r="X539" s="180">
        <f>_xll.qlCalendarAdvance(LiborCalendar,X538,W539,"f",FALSE)</f>
        <v>42711</v>
      </c>
      <c r="Y539" s="174">
        <f>_xll.qlInterestRateIndexValueDate(IborIndex,X539)</f>
        <v>42713</v>
      </c>
      <c r="Z539" s="175">
        <v>1.7190924025004513E-3</v>
      </c>
      <c r="AA539" s="177">
        <v>1.6348151351789724E-3</v>
      </c>
    </row>
    <row r="540" spans="23:27" x14ac:dyDescent="0.2">
      <c r="W540" s="173" t="str">
        <f t="shared" si="19"/>
        <v>1w</v>
      </c>
      <c r="X540" s="180">
        <f>_xll.qlCalendarAdvance(LiborCalendar,X539,W540,"f",FALSE)</f>
        <v>42718</v>
      </c>
      <c r="Y540" s="174">
        <f>_xll.qlInterestRateIndexValueDate(IborIndex,X540)</f>
        <v>42720</v>
      </c>
      <c r="Z540" s="175">
        <v>1.7285017421384454E-3</v>
      </c>
      <c r="AA540" s="177">
        <v>1.6412636162258891E-3</v>
      </c>
    </row>
    <row r="541" spans="23:27" x14ac:dyDescent="0.2">
      <c r="W541" s="173" t="str">
        <f t="shared" si="19"/>
        <v>1w</v>
      </c>
      <c r="X541" s="180">
        <f>_xll.qlCalendarAdvance(LiborCalendar,X540,W541,"f",FALSE)</f>
        <v>42725</v>
      </c>
      <c r="Y541" s="174">
        <f>_xll.qlInterestRateIndexValueDate(IborIndex,X541)</f>
        <v>42732</v>
      </c>
      <c r="Z541" s="175">
        <v>1.7451859969926113E-3</v>
      </c>
      <c r="AA541" s="177">
        <v>1.6518750636917989E-3</v>
      </c>
    </row>
    <row r="542" spans="23:27" x14ac:dyDescent="0.2">
      <c r="W542" s="173" t="str">
        <f t="shared" si="19"/>
        <v>1w</v>
      </c>
      <c r="X542" s="180">
        <f>_xll.qlCalendarAdvance(LiborCalendar,X541,W542,"f",FALSE)</f>
        <v>42732</v>
      </c>
      <c r="Y542" s="174">
        <f>_xll.qlInterestRateIndexValueDate(IborIndex,X542)</f>
        <v>42734</v>
      </c>
      <c r="Z542" s="175">
        <v>1.7480347371049872E-3</v>
      </c>
      <c r="AA542" s="177">
        <v>1.6553935248264651E-3</v>
      </c>
    </row>
    <row r="543" spans="23:27" x14ac:dyDescent="0.2">
      <c r="W543" s="173" t="str">
        <f t="shared" si="19"/>
        <v>1w</v>
      </c>
      <c r="X543" s="180">
        <f>_xll.qlCalendarAdvance(LiborCalendar,X542,W543,"f",FALSE)</f>
        <v>42739</v>
      </c>
      <c r="Y543" s="174">
        <f>_xll.qlInterestRateIndexValueDate(IborIndex,X543)</f>
        <v>42741</v>
      </c>
      <c r="Z543" s="175">
        <v>1.7573496127765891E-3</v>
      </c>
      <c r="AA543" s="177">
        <v>1.6620560041743135E-3</v>
      </c>
    </row>
    <row r="544" spans="23:27" x14ac:dyDescent="0.2">
      <c r="W544" s="173" t="str">
        <f t="shared" si="19"/>
        <v>1w</v>
      </c>
      <c r="X544" s="180">
        <f>_xll.qlCalendarAdvance(LiborCalendar,X543,W544,"f",FALSE)</f>
        <v>42746</v>
      </c>
      <c r="Y544" s="174">
        <f>_xll.qlInterestRateIndexValueDate(IborIndex,X544)</f>
        <v>42748</v>
      </c>
      <c r="Z544" s="175">
        <v>1.7676943305922066E-3</v>
      </c>
      <c r="AA544" s="177">
        <v>1.6694691152370953E-3</v>
      </c>
    </row>
    <row r="545" spans="23:27" x14ac:dyDescent="0.2">
      <c r="W545" s="173" t="str">
        <f t="shared" si="19"/>
        <v>1w</v>
      </c>
      <c r="X545" s="180">
        <f>_xll.qlCalendarAdvance(LiborCalendar,X544,W545,"f",FALSE)</f>
        <v>42753</v>
      </c>
      <c r="Y545" s="174">
        <f>_xll.qlInterestRateIndexValueDate(IborIndex,X545)</f>
        <v>42755</v>
      </c>
      <c r="Z545" s="175">
        <v>1.7782771651637505E-3</v>
      </c>
      <c r="AA545" s="177">
        <v>1.6771233839119051E-3</v>
      </c>
    </row>
    <row r="546" spans="23:27" x14ac:dyDescent="0.2">
      <c r="W546" s="173" t="str">
        <f t="shared" si="19"/>
        <v>1w</v>
      </c>
      <c r="X546" s="180">
        <f>_xll.qlCalendarAdvance(LiborCalendar,X545,W546,"f",FALSE)</f>
        <v>42760</v>
      </c>
      <c r="Y546" s="174">
        <f>_xll.qlInterestRateIndexValueDate(IborIndex,X546)</f>
        <v>42762</v>
      </c>
      <c r="Z546" s="175">
        <v>1.7890981202884038E-3</v>
      </c>
      <c r="AA546" s="177">
        <v>1.6850188102527734E-3</v>
      </c>
    </row>
    <row r="547" spans="23:27" x14ac:dyDescent="0.2">
      <c r="W547" s="173" t="str">
        <f t="shared" si="19"/>
        <v>1w</v>
      </c>
      <c r="X547" s="180">
        <f>_xll.qlCalendarAdvance(LiborCalendar,X546,W547,"f",FALSE)</f>
        <v>42767</v>
      </c>
      <c r="Y547" s="174">
        <f>_xll.qlInterestRateIndexValueDate(IborIndex,X547)</f>
        <v>42769</v>
      </c>
      <c r="Z547" s="175">
        <v>1.8001571998485864E-3</v>
      </c>
      <c r="AA547" s="177">
        <v>1.6931553942597008E-3</v>
      </c>
    </row>
    <row r="548" spans="23:27" x14ac:dyDescent="0.2">
      <c r="W548" s="173" t="str">
        <f t="shared" si="19"/>
        <v>1w</v>
      </c>
      <c r="X548" s="180">
        <f>_xll.qlCalendarAdvance(LiborCalendar,X547,W548,"f",FALSE)</f>
        <v>42774</v>
      </c>
      <c r="Y548" s="174">
        <f>_xll.qlInterestRateIndexValueDate(IborIndex,X548)</f>
        <v>42776</v>
      </c>
      <c r="Z548" s="175">
        <v>1.8114544078119527E-3</v>
      </c>
      <c r="AA548" s="177">
        <v>1.7015331360407486E-3</v>
      </c>
    </row>
    <row r="549" spans="23:27" x14ac:dyDescent="0.2">
      <c r="W549" s="173" t="str">
        <f t="shared" si="19"/>
        <v>1w</v>
      </c>
      <c r="X549" s="180">
        <f>_xll.qlCalendarAdvance(LiborCalendar,X548,W549,"f",FALSE)</f>
        <v>42781</v>
      </c>
      <c r="Y549" s="174">
        <f>_xll.qlInterestRateIndexValueDate(IborIndex,X549)</f>
        <v>42783</v>
      </c>
      <c r="Z549" s="175">
        <v>1.8229897482322768E-3</v>
      </c>
      <c r="AA549" s="177">
        <v>1.7101520356229325E-3</v>
      </c>
    </row>
    <row r="550" spans="23:27" x14ac:dyDescent="0.2">
      <c r="W550" s="173" t="str">
        <f t="shared" si="19"/>
        <v>1w</v>
      </c>
      <c r="X550" s="180">
        <f>_xll.qlCalendarAdvance(LiborCalendar,X549,W550,"f",FALSE)</f>
        <v>42788</v>
      </c>
      <c r="Y550" s="174">
        <f>_xll.qlInterestRateIndexValueDate(IborIndex,X550)</f>
        <v>42790</v>
      </c>
      <c r="Z550" s="175">
        <v>1.834763225247685E-3</v>
      </c>
      <c r="AA550" s="177">
        <v>1.719012093060283E-3</v>
      </c>
    </row>
    <row r="551" spans="23:27" x14ac:dyDescent="0.2">
      <c r="W551" s="173" t="str">
        <f t="shared" si="19"/>
        <v>1w</v>
      </c>
      <c r="X551" s="180">
        <f>_xll.qlCalendarAdvance(LiborCalendar,X550,W551,"f",FALSE)</f>
        <v>42795</v>
      </c>
      <c r="Y551" s="174">
        <f>_xll.qlInterestRateIndexValueDate(IborIndex,X551)</f>
        <v>42797</v>
      </c>
      <c r="Z551" s="175">
        <v>1.8505658689049443E-3</v>
      </c>
      <c r="AA551" s="177">
        <v>1.7281133084068314E-3</v>
      </c>
    </row>
    <row r="552" spans="23:27" x14ac:dyDescent="0.2">
      <c r="W552" s="173" t="str">
        <f t="shared" si="19"/>
        <v>1w</v>
      </c>
      <c r="X552" s="180">
        <f>_xll.qlCalendarAdvance(LiborCalendar,X551,W552,"f",FALSE)</f>
        <v>42802</v>
      </c>
      <c r="Y552" s="174">
        <f>_xll.qlInterestRateIndexValueDate(IborIndex,X552)</f>
        <v>42804</v>
      </c>
      <c r="Z552" s="175">
        <v>1.8628839299738352E-3</v>
      </c>
      <c r="AA552" s="177">
        <v>1.7374556816895927E-3</v>
      </c>
    </row>
    <row r="553" spans="23:27" x14ac:dyDescent="0.2">
      <c r="W553" s="173" t="str">
        <f t="shared" si="19"/>
        <v>1w</v>
      </c>
      <c r="X553" s="180">
        <f>_xll.qlCalendarAdvance(LiborCalendar,X552,W553,"f",FALSE)</f>
        <v>42809</v>
      </c>
      <c r="Y553" s="174">
        <f>_xll.qlInterestRateIndexValueDate(IborIndex,X553)</f>
        <v>42811</v>
      </c>
      <c r="Z553" s="175">
        <v>1.8764261316943855E-3</v>
      </c>
      <c r="AA553" s="177">
        <v>1.7470392130166288E-3</v>
      </c>
    </row>
    <row r="554" spans="23:27" x14ac:dyDescent="0.2">
      <c r="W554" s="173" t="str">
        <f t="shared" si="19"/>
        <v>1w</v>
      </c>
      <c r="X554" s="180">
        <f>_xll.qlCalendarAdvance(LiborCalendar,X553,W554,"f",FALSE)</f>
        <v>42816</v>
      </c>
      <c r="Y554" s="174">
        <f>_xll.qlInterestRateIndexValueDate(IborIndex,X554)</f>
        <v>42818</v>
      </c>
      <c r="Z554" s="175">
        <v>1.888234529143101E-3</v>
      </c>
      <c r="AA554" s="177">
        <v>1.7568639023879398E-3</v>
      </c>
    </row>
    <row r="555" spans="23:27" x14ac:dyDescent="0.2">
      <c r="W555" s="173" t="str">
        <f t="shared" si="19"/>
        <v>1w</v>
      </c>
      <c r="X555" s="180">
        <f>_xll.qlCalendarAdvance(LiborCalendar,X554,W555,"f",FALSE)</f>
        <v>42823</v>
      </c>
      <c r="Y555" s="174">
        <f>_xll.qlInterestRateIndexValueDate(IborIndex,X555)</f>
        <v>42825</v>
      </c>
      <c r="Z555" s="175">
        <v>1.8982164305379181E-3</v>
      </c>
      <c r="AA555" s="177">
        <v>1.7669297498845717E-3</v>
      </c>
    </row>
    <row r="556" spans="23:27" x14ac:dyDescent="0.2">
      <c r="W556" s="173" t="str">
        <f t="shared" si="19"/>
        <v>1w</v>
      </c>
      <c r="X556" s="180">
        <f>_xll.qlCalendarAdvance(LiborCalendar,X555,W556,"f",FALSE)</f>
        <v>42830</v>
      </c>
      <c r="Y556" s="174">
        <f>_xll.qlInterestRateIndexValueDate(IborIndex,X556)</f>
        <v>42832</v>
      </c>
      <c r="Z556" s="175">
        <v>1.9155750225469293E-3</v>
      </c>
      <c r="AA556" s="177">
        <v>1.777236755587571E-3</v>
      </c>
    </row>
    <row r="557" spans="23:27" x14ac:dyDescent="0.2">
      <c r="W557" s="173" t="str">
        <f t="shared" si="19"/>
        <v>1w</v>
      </c>
      <c r="X557" s="180">
        <f>_xll.qlCalendarAdvance(LiborCalendar,X556,W557,"f",FALSE)</f>
        <v>42837</v>
      </c>
      <c r="Y557" s="174">
        <f>_xll.qlInterestRateIndexValueDate(IborIndex,X557)</f>
        <v>42843</v>
      </c>
      <c r="Z557" s="175">
        <v>1.933749739333286E-3</v>
      </c>
      <c r="AA557" s="177">
        <v>1.792368943092093E-3</v>
      </c>
    </row>
    <row r="558" spans="23:27" x14ac:dyDescent="0.2">
      <c r="W558" s="173" t="str">
        <f t="shared" si="19"/>
        <v>1w</v>
      </c>
      <c r="X558" s="180">
        <f>_xll.qlCalendarAdvance(LiborCalendar,X557,W558,"f",FALSE)</f>
        <v>42844</v>
      </c>
      <c r="Y558" s="174">
        <f>_xll.qlInterestRateIndexValueDate(IborIndex,X558)</f>
        <v>42846</v>
      </c>
      <c r="Z558" s="175">
        <v>1.94179376759842E-3</v>
      </c>
      <c r="AA558" s="177">
        <v>1.7985742418017796E-3</v>
      </c>
    </row>
    <row r="559" spans="23:27" x14ac:dyDescent="0.2">
      <c r="W559" s="173" t="str">
        <f t="shared" si="19"/>
        <v>1w</v>
      </c>
      <c r="X559" s="180">
        <f>_xll.qlCalendarAdvance(LiborCalendar,X558,W559,"f",FALSE)</f>
        <v>42851</v>
      </c>
      <c r="Y559" s="174">
        <f>_xll.qlInterestRateIndexValueDate(IborIndex,X559)</f>
        <v>42853</v>
      </c>
      <c r="Z559" s="175">
        <v>1.9568675208265197E-3</v>
      </c>
      <c r="AA559" s="177">
        <v>1.8104077671710073E-3</v>
      </c>
    </row>
    <row r="560" spans="23:27" x14ac:dyDescent="0.2">
      <c r="W560" s="173" t="str">
        <f t="shared" si="19"/>
        <v>1w</v>
      </c>
      <c r="X560" s="180">
        <f>_xll.qlCalendarAdvance(LiborCalendar,X559,W560,"f",FALSE)</f>
        <v>42858</v>
      </c>
      <c r="Y560" s="174">
        <f>_xll.qlInterestRateIndexValueDate(IborIndex,X560)</f>
        <v>42863</v>
      </c>
      <c r="Z560" s="175">
        <v>1.9750598875170251E-3</v>
      </c>
      <c r="AA560" s="177">
        <v>1.8241303674215725E-3</v>
      </c>
    </row>
    <row r="561" spans="23:27" x14ac:dyDescent="0.2">
      <c r="W561" s="173" t="str">
        <f t="shared" si="19"/>
        <v>1w</v>
      </c>
      <c r="X561" s="180">
        <f>_xll.qlCalendarAdvance(LiborCalendar,X560,W561,"f",FALSE)</f>
        <v>42865</v>
      </c>
      <c r="Y561" s="174">
        <f>_xll.qlInterestRateIndexValueDate(IborIndex,X561)</f>
        <v>42867</v>
      </c>
      <c r="Z561" s="175">
        <v>1.9844638917403644E-3</v>
      </c>
      <c r="AA561" s="177">
        <v>1.8323891591431887E-3</v>
      </c>
    </row>
    <row r="562" spans="23:27" x14ac:dyDescent="0.2">
      <c r="W562" s="173" t="str">
        <f t="shared" si="19"/>
        <v>1w</v>
      </c>
      <c r="X562" s="180">
        <f>_xll.qlCalendarAdvance(LiborCalendar,X561,W562,"f",FALSE)</f>
        <v>42872</v>
      </c>
      <c r="Y562" s="174">
        <f>_xll.qlInterestRateIndexValueDate(IborIndex,X562)</f>
        <v>42874</v>
      </c>
      <c r="Z562" s="175">
        <v>1.9991620290504292E-3</v>
      </c>
      <c r="AA562" s="177">
        <v>1.8441431153000862E-3</v>
      </c>
    </row>
    <row r="563" spans="23:27" x14ac:dyDescent="0.2">
      <c r="W563" s="173" t="str">
        <f t="shared" si="19"/>
        <v>1w</v>
      </c>
      <c r="X563" s="180">
        <f>_xll.qlCalendarAdvance(LiborCalendar,X562,W563,"f",FALSE)</f>
        <v>42879</v>
      </c>
      <c r="Y563" s="174">
        <f>_xll.qlInterestRateIndexValueDate(IborIndex,X563)</f>
        <v>42881</v>
      </c>
      <c r="Z563" s="175">
        <v>2.0140954316907383E-3</v>
      </c>
      <c r="AA563" s="177">
        <v>1.857010411422666E-3</v>
      </c>
    </row>
    <row r="564" spans="23:27" x14ac:dyDescent="0.2">
      <c r="W564" s="173" t="str">
        <f t="shared" si="19"/>
        <v>1w</v>
      </c>
      <c r="X564" s="180">
        <f>_xll.qlCalendarAdvance(LiborCalendar,X563,W564,"f",FALSE)</f>
        <v>42886</v>
      </c>
      <c r="Y564" s="174">
        <f>_xll.qlInterestRateIndexValueDate(IborIndex,X564)</f>
        <v>42888</v>
      </c>
      <c r="Z564" s="175">
        <v>2.0292626340103399E-3</v>
      </c>
      <c r="AA564" s="177">
        <v>1.8683745036648012E-3</v>
      </c>
    </row>
    <row r="565" spans="23:27" x14ac:dyDescent="0.2">
      <c r="W565" s="173" t="str">
        <f t="shared" si="19"/>
        <v>1w</v>
      </c>
      <c r="X565" s="180">
        <f>_xll.qlCalendarAdvance(LiborCalendar,X564,W565,"f",FALSE)</f>
        <v>42893</v>
      </c>
      <c r="Y565" s="174">
        <f>_xll.qlInterestRateIndexValueDate(IborIndex,X565)</f>
        <v>42895</v>
      </c>
      <c r="Z565" s="175">
        <v>2.0446621703976019E-3</v>
      </c>
      <c r="AA565" s="177">
        <v>1.8808519360076956E-3</v>
      </c>
    </row>
    <row r="566" spans="23:27" x14ac:dyDescent="0.2">
      <c r="W566" s="173" t="str">
        <f t="shared" si="19"/>
        <v>1w</v>
      </c>
      <c r="X566" s="180">
        <f>_xll.qlCalendarAdvance(LiborCalendar,X565,W566,"f",FALSE)</f>
        <v>42900</v>
      </c>
      <c r="Y566" s="174">
        <f>_xll.qlInterestRateIndexValueDate(IborIndex,X566)</f>
        <v>42902</v>
      </c>
      <c r="Z566" s="175">
        <v>2.0602925752763236E-3</v>
      </c>
      <c r="AA566" s="177">
        <v>1.8935705272053278E-3</v>
      </c>
    </row>
    <row r="567" spans="23:27" x14ac:dyDescent="0.2">
      <c r="W567" s="173" t="str">
        <f t="shared" si="19"/>
        <v>1w</v>
      </c>
      <c r="X567" s="180">
        <f>_xll.qlCalendarAdvance(LiborCalendar,X566,W567,"f",FALSE)</f>
        <v>42907</v>
      </c>
      <c r="Y567" s="174">
        <f>_xll.qlInterestRateIndexValueDate(IborIndex,X567)</f>
        <v>42909</v>
      </c>
      <c r="Z567" s="175">
        <v>2.0785948909794105E-3</v>
      </c>
      <c r="AA567" s="177">
        <v>1.9065302773387436E-3</v>
      </c>
    </row>
    <row r="568" spans="23:27" x14ac:dyDescent="0.2">
      <c r="W568" s="173" t="str">
        <f t="shared" si="19"/>
        <v>1w</v>
      </c>
      <c r="X568" s="180">
        <f>_xll.qlCalendarAdvance(LiborCalendar,X567,W568,"f",FALSE)</f>
        <v>42914</v>
      </c>
      <c r="Y568" s="174">
        <f>_xll.qlInterestRateIndexValueDate(IborIndex,X568)</f>
        <v>42916</v>
      </c>
      <c r="Z568" s="175">
        <v>2.0885400898333858E-3</v>
      </c>
      <c r="AA568" s="177">
        <v>1.9197311864889897E-3</v>
      </c>
    </row>
    <row r="569" spans="23:27" x14ac:dyDescent="0.2">
      <c r="W569" s="173" t="str">
        <f t="shared" si="19"/>
        <v>1w</v>
      </c>
      <c r="X569" s="180">
        <f>_xll.qlCalendarAdvance(LiborCalendar,X568,W569,"f",FALSE)</f>
        <v>42921</v>
      </c>
      <c r="Y569" s="174">
        <f>_xll.qlInterestRateIndexValueDate(IborIndex,X569)</f>
        <v>42923</v>
      </c>
      <c r="Z569" s="175">
        <v>2.1098062214851589E-3</v>
      </c>
      <c r="AA569" s="177">
        <v>1.9331732547641276E-3</v>
      </c>
    </row>
    <row r="570" spans="23:27" x14ac:dyDescent="0.2">
      <c r="W570" s="173" t="str">
        <f t="shared" si="19"/>
        <v>1w</v>
      </c>
      <c r="X570" s="180">
        <f>_xll.qlCalendarAdvance(LiborCalendar,X569,W570,"f",FALSE)</f>
        <v>42928</v>
      </c>
      <c r="Y570" s="174">
        <f>_xll.qlInterestRateIndexValueDate(IborIndex,X570)</f>
        <v>42930</v>
      </c>
      <c r="Z570" s="175">
        <v>2.125093569396812E-3</v>
      </c>
      <c r="AA570" s="177">
        <v>1.9468564821911729E-3</v>
      </c>
    </row>
    <row r="571" spans="23:27" x14ac:dyDescent="0.2">
      <c r="W571" s="173" t="str">
        <f t="shared" si="19"/>
        <v>1w</v>
      </c>
      <c r="X571" s="180">
        <f>_xll.qlCalendarAdvance(LiborCalendar,X570,W571,"f",FALSE)</f>
        <v>42935</v>
      </c>
      <c r="Y571" s="174">
        <f>_xll.qlInterestRateIndexValueDate(IborIndex,X571)</f>
        <v>42937</v>
      </c>
      <c r="Z571" s="175">
        <v>2.1418563342754625E-3</v>
      </c>
      <c r="AA571" s="177">
        <v>1.9607808689052026E-3</v>
      </c>
    </row>
    <row r="572" spans="23:27" x14ac:dyDescent="0.2">
      <c r="W572" s="173" t="str">
        <f t="shared" si="19"/>
        <v>1w</v>
      </c>
      <c r="X572" s="180">
        <f>_xll.qlCalendarAdvance(LiborCalendar,X571,W572,"f",FALSE)</f>
        <v>42942</v>
      </c>
      <c r="Y572" s="174">
        <f>_xll.qlInterestRateIndexValueDate(IborIndex,X572)</f>
        <v>42944</v>
      </c>
      <c r="Z572" s="175">
        <v>2.15884117487236E-3</v>
      </c>
      <c r="AA572" s="177">
        <v>1.9749464149332319E-3</v>
      </c>
    </row>
    <row r="573" spans="23:27" x14ac:dyDescent="0.2">
      <c r="W573" s="173" t="str">
        <f t="shared" si="19"/>
        <v>1w</v>
      </c>
      <c r="X573" s="180">
        <f>_xll.qlCalendarAdvance(LiborCalendar,X572,W573,"f",FALSE)</f>
        <v>42949</v>
      </c>
      <c r="Y573" s="174">
        <f>_xll.qlInterestRateIndexValueDate(IborIndex,X573)</f>
        <v>42951</v>
      </c>
      <c r="Z573" s="175">
        <v>2.1760466258230263E-3</v>
      </c>
      <c r="AA573" s="177">
        <v>1.9893531204103385E-3</v>
      </c>
    </row>
    <row r="574" spans="23:27" x14ac:dyDescent="0.2">
      <c r="W574" s="173" t="str">
        <f t="shared" si="19"/>
        <v>1w</v>
      </c>
      <c r="X574" s="180">
        <f>_xll.qlCalendarAdvance(LiborCalendar,X573,W574,"f",FALSE)</f>
        <v>42956</v>
      </c>
      <c r="Y574" s="174">
        <f>_xll.qlInterestRateIndexValueDate(IborIndex,X574)</f>
        <v>42958</v>
      </c>
      <c r="Z574" s="175">
        <v>2.1947992640516676E-3</v>
      </c>
      <c r="AA574" s="177">
        <v>2.0040009853905527E-3</v>
      </c>
    </row>
    <row r="575" spans="23:27" x14ac:dyDescent="0.2">
      <c r="W575" s="173" t="str">
        <f t="shared" si="19"/>
        <v>1w</v>
      </c>
      <c r="X575" s="180">
        <f>_xll.qlCalendarAdvance(LiborCalendar,X574,W575,"f",FALSE)</f>
        <v>42963</v>
      </c>
      <c r="Y575" s="174">
        <f>_xll.qlInterestRateIndexValueDate(IborIndex,X575)</f>
        <v>42965</v>
      </c>
      <c r="Z575" s="175">
        <v>2.2111134974405261E-3</v>
      </c>
      <c r="AA575" s="177">
        <v>2.0188900099549212E-3</v>
      </c>
    </row>
    <row r="576" spans="23:27" x14ac:dyDescent="0.2">
      <c r="W576" s="173" t="str">
        <f t="shared" si="19"/>
        <v>1w</v>
      </c>
      <c r="X576" s="180">
        <f>_xll.qlCalendarAdvance(LiborCalendar,X575,W576,"f",FALSE)</f>
        <v>42970</v>
      </c>
      <c r="Y576" s="174">
        <f>_xll.qlInterestRateIndexValueDate(IborIndex,X576)</f>
        <v>42972</v>
      </c>
      <c r="Z576" s="175">
        <v>2.2289719874872887E-3</v>
      </c>
      <c r="AA576" s="177">
        <v>2.0351172587129707E-3</v>
      </c>
    </row>
    <row r="577" spans="23:27" x14ac:dyDescent="0.2">
      <c r="W577" s="173" t="str">
        <f t="shared" si="19"/>
        <v>1w</v>
      </c>
      <c r="X577" s="180">
        <f>_xll.qlCalendarAdvance(LiborCalendar,X576,W577,"f",FALSE)</f>
        <v>42977</v>
      </c>
      <c r="Y577" s="174">
        <f>_xll.qlInterestRateIndexValueDate(IborIndex,X577)</f>
        <v>42979</v>
      </c>
      <c r="Z577" s="175">
        <v>2.2415689618464668E-3</v>
      </c>
      <c r="AA577" s="177">
        <v>2.0493915382683676E-3</v>
      </c>
    </row>
    <row r="578" spans="23:27" x14ac:dyDescent="0.2">
      <c r="W578" s="173" t="str">
        <f t="shared" si="19"/>
        <v>1w</v>
      </c>
      <c r="X578" s="180">
        <f>_xll.qlCalendarAdvance(LiborCalendar,X577,W578,"f",FALSE)</f>
        <v>42984</v>
      </c>
      <c r="Y578" s="174">
        <f>_xll.qlInterestRateIndexValueDate(IborIndex,X578)</f>
        <v>42986</v>
      </c>
      <c r="Z578" s="175">
        <v>2.259796753952218E-3</v>
      </c>
      <c r="AA578" s="177">
        <v>2.065004042206553E-3</v>
      </c>
    </row>
    <row r="579" spans="23:27" x14ac:dyDescent="0.2">
      <c r="W579" s="173" t="str">
        <f t="shared" si="19"/>
        <v>1w</v>
      </c>
      <c r="X579" s="180">
        <f>_xll.qlCalendarAdvance(LiborCalendar,X578,W579,"f",FALSE)</f>
        <v>42991</v>
      </c>
      <c r="Y579" s="174">
        <f>_xll.qlInterestRateIndexValueDate(IborIndex,X579)</f>
        <v>42993</v>
      </c>
      <c r="Z579" s="175">
        <v>2.2782366279494653E-3</v>
      </c>
      <c r="AA579" s="177">
        <v>2.0808577060800935E-3</v>
      </c>
    </row>
    <row r="580" spans="23:27" x14ac:dyDescent="0.2">
      <c r="W580" s="173" t="str">
        <f t="shared" si="19"/>
        <v>1w</v>
      </c>
      <c r="X580" s="180">
        <f>_xll.qlCalendarAdvance(LiborCalendar,X579,W580,"f",FALSE)</f>
        <v>42998</v>
      </c>
      <c r="Y580" s="174">
        <f>_xll.qlInterestRateIndexValueDate(IborIndex,X580)</f>
        <v>43000</v>
      </c>
      <c r="Z580" s="175">
        <v>2.2968870859892921E-3</v>
      </c>
      <c r="AA580" s="177">
        <v>2.0969525299970502E-3</v>
      </c>
    </row>
    <row r="581" spans="23:27" x14ac:dyDescent="0.2">
      <c r="W581" s="173" t="str">
        <f t="shared" si="19"/>
        <v>1w</v>
      </c>
      <c r="X581" s="180">
        <f>_xll.qlCalendarAdvance(LiborCalendar,X580,W581,"f",FALSE)</f>
        <v>43005</v>
      </c>
      <c r="Y581" s="174">
        <f>_xll.qlInterestRateIndexValueDate(IborIndex,X581)</f>
        <v>43007</v>
      </c>
      <c r="Z581" s="175">
        <v>2.3157466302324977E-3</v>
      </c>
      <c r="AA581" s="177">
        <v>2.1132885140654851E-3</v>
      </c>
    </row>
    <row r="582" spans="23:27" x14ac:dyDescent="0.2">
      <c r="W582" s="173" t="str">
        <f t="shared" si="19"/>
        <v>1w</v>
      </c>
      <c r="X582" s="180">
        <f>_xll.qlCalendarAdvance(LiborCalendar,X581,W582,"f",FALSE)</f>
        <v>43012</v>
      </c>
      <c r="Y582" s="174">
        <f>_xll.qlInterestRateIndexValueDate(IborIndex,X582)</f>
        <v>43014</v>
      </c>
      <c r="Z582" s="175">
        <v>2.3362536013540546E-3</v>
      </c>
      <c r="AA582" s="177">
        <v>2.1298656584204751E-3</v>
      </c>
    </row>
    <row r="583" spans="23:27" x14ac:dyDescent="0.2">
      <c r="W583" s="173" t="str">
        <f t="shared" si="19"/>
        <v>1w</v>
      </c>
      <c r="X583" s="180">
        <f>_xll.qlCalendarAdvance(LiborCalendar,X582,W583,"f",FALSE)</f>
        <v>43019</v>
      </c>
      <c r="Y583" s="174">
        <f>_xll.qlInterestRateIndexValueDate(IborIndex,X583)</f>
        <v>43021</v>
      </c>
      <c r="Z583" s="175">
        <v>2.355541260141971E-3</v>
      </c>
      <c r="AA583" s="177">
        <v>2.1466839630890355E-3</v>
      </c>
    </row>
    <row r="584" spans="23:27" x14ac:dyDescent="0.2">
      <c r="W584" s="173" t="str">
        <f t="shared" si="19"/>
        <v>1w</v>
      </c>
      <c r="X584" s="180">
        <f>_xll.qlCalendarAdvance(LiborCalendar,X583,W584,"f",FALSE)</f>
        <v>43026</v>
      </c>
      <c r="Y584" s="174">
        <f>_xll.qlInterestRateIndexValueDate(IborIndex,X584)</f>
        <v>43028</v>
      </c>
      <c r="Z584" s="175">
        <v>2.375033486147119E-3</v>
      </c>
      <c r="AA584" s="177">
        <v>2.163743428206244E-3</v>
      </c>
    </row>
    <row r="585" spans="23:27" x14ac:dyDescent="0.2">
      <c r="W585" s="173" t="str">
        <f t="shared" si="19"/>
        <v>1w</v>
      </c>
      <c r="X585" s="180">
        <f>_xll.qlCalendarAdvance(LiborCalendar,X584,W585,"f",FALSE)</f>
        <v>43033</v>
      </c>
      <c r="Y585" s="174">
        <f>_xll.qlInterestRateIndexValueDate(IborIndex,X585)</f>
        <v>43035</v>
      </c>
      <c r="Z585" s="175">
        <v>2.3947287898467081E-3</v>
      </c>
      <c r="AA585" s="177">
        <v>2.1810440538801621E-3</v>
      </c>
    </row>
    <row r="586" spans="23:27" x14ac:dyDescent="0.2">
      <c r="W586" s="173" t="str">
        <f t="shared" si="19"/>
        <v>1w</v>
      </c>
      <c r="X586" s="180">
        <f>_xll.qlCalendarAdvance(LiborCalendar,X585,W586,"f",FALSE)</f>
        <v>43040</v>
      </c>
      <c r="Y586" s="174">
        <f>_xll.qlInterestRateIndexValueDate(IborIndex,X586)</f>
        <v>43045</v>
      </c>
      <c r="Z586" s="175">
        <v>2.4247192642709082E-3</v>
      </c>
      <c r="AA586" s="177">
        <v>2.203626995446184E-3</v>
      </c>
    </row>
    <row r="587" spans="23:27" x14ac:dyDescent="0.2">
      <c r="W587" s="173" t="str">
        <f t="shared" si="19"/>
        <v>1w</v>
      </c>
      <c r="X587" s="180">
        <f>_xll.qlCalendarAdvance(LiborCalendar,X586,W587,"f",FALSE)</f>
        <v>43047</v>
      </c>
      <c r="Y587" s="174">
        <f>_xll.qlInterestRateIndexValueDate(IborIndex,X587)</f>
        <v>43049</v>
      </c>
      <c r="Z587" s="175">
        <v>2.4332108747630197E-3</v>
      </c>
      <c r="AA587" s="177">
        <v>2.2163563311113541E-3</v>
      </c>
    </row>
    <row r="588" spans="23:27" x14ac:dyDescent="0.2">
      <c r="W588" s="173" t="str">
        <f t="shared" si="19"/>
        <v>1w</v>
      </c>
      <c r="X588" s="180">
        <f>_xll.qlCalendarAdvance(LiborCalendar,X587,W588,"f",FALSE)</f>
        <v>43054</v>
      </c>
      <c r="Y588" s="174">
        <f>_xll.qlInterestRateIndexValueDate(IborIndex,X588)</f>
        <v>43056</v>
      </c>
      <c r="Z588" s="175">
        <v>2.4534930093832153E-3</v>
      </c>
      <c r="AA588" s="177">
        <v>2.2343298106538199E-3</v>
      </c>
    </row>
    <row r="589" spans="23:27" x14ac:dyDescent="0.2">
      <c r="W589" s="173" t="str">
        <f t="shared" si="19"/>
        <v>1w</v>
      </c>
      <c r="X589" s="180">
        <f>_xll.qlCalendarAdvance(LiborCalendar,X588,W589,"f",FALSE)</f>
        <v>43061</v>
      </c>
      <c r="Y589" s="174">
        <f>_xll.qlInterestRateIndexValueDate(IborIndex,X589)</f>
        <v>43063</v>
      </c>
      <c r="Z589" s="175">
        <v>2.4739746109480295E-3</v>
      </c>
      <c r="AA589" s="177">
        <v>2.2525050734719296E-3</v>
      </c>
    </row>
    <row r="590" spans="23:27" x14ac:dyDescent="0.2">
      <c r="W590" s="173" t="str">
        <f t="shared" si="19"/>
        <v>1w</v>
      </c>
      <c r="X590" s="180">
        <f>_xll.qlCalendarAdvance(LiborCalendar,X589,W590,"f",FALSE)</f>
        <v>43068</v>
      </c>
      <c r="Y590" s="174">
        <f>_xll.qlInterestRateIndexValueDate(IborIndex,X590)</f>
        <v>43070</v>
      </c>
      <c r="Z590" s="175">
        <v>2.4962106959708903E-3</v>
      </c>
      <c r="AA590" s="177">
        <v>2.2708821197007607E-3</v>
      </c>
    </row>
    <row r="591" spans="23:27" x14ac:dyDescent="0.2">
      <c r="W591" s="173" t="str">
        <f t="shared" si="19"/>
        <v>1w</v>
      </c>
      <c r="X591" s="180">
        <f>_xll.qlCalendarAdvance(LiborCalendar,X590,W591,"f",FALSE)</f>
        <v>43075</v>
      </c>
      <c r="Y591" s="174">
        <f>_xll.qlInterestRateIndexValueDate(IborIndex,X591)</f>
        <v>43077</v>
      </c>
      <c r="Z591" s="175">
        <v>2.5171056447403552E-3</v>
      </c>
      <c r="AA591" s="177">
        <v>2.2894609493943436E-3</v>
      </c>
    </row>
    <row r="592" spans="23:27" x14ac:dyDescent="0.2">
      <c r="W592" s="173" t="str">
        <f t="shared" si="19"/>
        <v>1w</v>
      </c>
      <c r="X592" s="180">
        <f>_xll.qlCalendarAdvance(LiborCalendar,X591,W592,"f",FALSE)</f>
        <v>43082</v>
      </c>
      <c r="Y592" s="174">
        <f>_xll.qlInterestRateIndexValueDate(IborIndex,X592)</f>
        <v>43084</v>
      </c>
      <c r="Z592" s="175">
        <v>2.5382000821582776E-3</v>
      </c>
      <c r="AA592" s="177">
        <v>2.3082415626607404E-3</v>
      </c>
    </row>
    <row r="593" spans="23:27" x14ac:dyDescent="0.2">
      <c r="W593" s="173" t="str">
        <f t="shared" si="19"/>
        <v>1w</v>
      </c>
      <c r="X593" s="180">
        <f>_xll.qlCalendarAdvance(LiborCalendar,X592,W593,"f",FALSE)</f>
        <v>43089</v>
      </c>
      <c r="Y593" s="174">
        <f>_xll.qlInterestRateIndexValueDate(IborIndex,X593)</f>
        <v>43091</v>
      </c>
      <c r="Z593" s="175">
        <v>2.5594940145940675E-3</v>
      </c>
      <c r="AA593" s="177">
        <v>2.3299698211307618E-3</v>
      </c>
    </row>
    <row r="594" spans="23:27" x14ac:dyDescent="0.2">
      <c r="W594" s="173" t="str">
        <f t="shared" si="19"/>
        <v>1w</v>
      </c>
      <c r="X594" s="180">
        <f>_xll.qlCalendarAdvance(LiborCalendar,X593,W594,"f",FALSE)</f>
        <v>43096</v>
      </c>
      <c r="Y594" s="174">
        <f>_xll.qlInterestRateIndexValueDate(IborIndex,X594)</f>
        <v>43098</v>
      </c>
      <c r="Z594" s="175">
        <v>2.5809874484773077E-3</v>
      </c>
      <c r="AA594" s="177">
        <v>2.3477949120773167E-3</v>
      </c>
    </row>
    <row r="595" spans="23:27" x14ac:dyDescent="0.2">
      <c r="W595" s="173" t="str">
        <f t="shared" si="19"/>
        <v>1w</v>
      </c>
      <c r="X595" s="180">
        <f>_xll.qlCalendarAdvance(LiborCalendar,X594,W595,"f",FALSE)</f>
        <v>43103</v>
      </c>
      <c r="Y595" s="174">
        <f>_xll.qlInterestRateIndexValueDate(IborIndex,X595)</f>
        <v>43105</v>
      </c>
      <c r="Z595" s="175">
        <v>2.601053374789635E-3</v>
      </c>
      <c r="AA595" s="177">
        <v>2.3657941047883217E-3</v>
      </c>
    </row>
    <row r="596" spans="23:27" x14ac:dyDescent="0.2">
      <c r="W596" s="173" t="str">
        <f t="shared" si="19"/>
        <v>1w</v>
      </c>
      <c r="X596" s="180">
        <f>_xll.qlCalendarAdvance(LiborCalendar,X595,W596,"f",FALSE)</f>
        <v>43110</v>
      </c>
      <c r="Y596" s="174">
        <f>_xll.qlInterestRateIndexValueDate(IborIndex,X596)</f>
        <v>43112</v>
      </c>
      <c r="Z596" s="175">
        <v>2.6229314205324212E-3</v>
      </c>
      <c r="AA596" s="177">
        <v>2.3853818532915132E-3</v>
      </c>
    </row>
    <row r="597" spans="23:27" x14ac:dyDescent="0.2">
      <c r="W597" s="173" t="str">
        <f t="shared" ref="W597:W660" si="20">W596</f>
        <v>1w</v>
      </c>
      <c r="X597" s="180">
        <f>_xll.qlCalendarAdvance(LiborCalendar,X596,W597,"f",FALSE)</f>
        <v>43117</v>
      </c>
      <c r="Y597" s="174">
        <f>_xll.qlInterestRateIndexValueDate(IborIndex,X597)</f>
        <v>43119</v>
      </c>
      <c r="Z597" s="175">
        <v>2.6450089841011143E-3</v>
      </c>
      <c r="AA597" s="177">
        <v>2.4051713858267805E-3</v>
      </c>
    </row>
    <row r="598" spans="23:27" x14ac:dyDescent="0.2">
      <c r="W598" s="173" t="str">
        <f t="shared" si="20"/>
        <v>1w</v>
      </c>
      <c r="X598" s="180">
        <f>_xll.qlCalendarAdvance(LiborCalendar,X597,W598,"f",FALSE)</f>
        <v>43124</v>
      </c>
      <c r="Y598" s="174">
        <f>_xll.qlInterestRateIndexValueDate(IborIndex,X598)</f>
        <v>43126</v>
      </c>
      <c r="Z598" s="175">
        <v>2.6672860721255495E-3</v>
      </c>
      <c r="AA598" s="177">
        <v>2.4251627025292008E-3</v>
      </c>
    </row>
    <row r="599" spans="23:27" x14ac:dyDescent="0.2">
      <c r="W599" s="173" t="str">
        <f t="shared" si="20"/>
        <v>1w</v>
      </c>
      <c r="X599" s="180">
        <f>_xll.qlCalendarAdvance(LiborCalendar,X598,W599,"f",FALSE)</f>
        <v>43131</v>
      </c>
      <c r="Y599" s="174">
        <f>_xll.qlInterestRateIndexValueDate(IborIndex,X599)</f>
        <v>43133</v>
      </c>
      <c r="Z599" s="175">
        <v>2.6897626912947403E-3</v>
      </c>
      <c r="AA599" s="177">
        <v>2.4453558034528053E-3</v>
      </c>
    </row>
    <row r="600" spans="23:27" x14ac:dyDescent="0.2">
      <c r="W600" s="173" t="str">
        <f t="shared" si="20"/>
        <v>1w</v>
      </c>
      <c r="X600" s="180">
        <f>_xll.qlCalendarAdvance(LiborCalendar,X599,W600,"f",FALSE)</f>
        <v>43138</v>
      </c>
      <c r="Y600" s="174">
        <f>_xll.qlInterestRateIndexValueDate(IborIndex,X600)</f>
        <v>43140</v>
      </c>
      <c r="Z600" s="175">
        <v>2.7124388483595304E-3</v>
      </c>
      <c r="AA600" s="177">
        <v>2.4657506887326712E-3</v>
      </c>
    </row>
    <row r="601" spans="23:27" x14ac:dyDescent="0.2">
      <c r="W601" s="173" t="str">
        <f t="shared" si="20"/>
        <v>1w</v>
      </c>
      <c r="X601" s="180">
        <f>_xll.qlCalendarAdvance(LiborCalendar,X600,W601,"f",FALSE)</f>
        <v>43145</v>
      </c>
      <c r="Y601" s="174">
        <f>_xll.qlInterestRateIndexValueDate(IborIndex,X601)</f>
        <v>43147</v>
      </c>
      <c r="Z601" s="175">
        <v>2.7353145501290577E-3</v>
      </c>
      <c r="AA601" s="177">
        <v>2.4863473584498439E-3</v>
      </c>
    </row>
    <row r="602" spans="23:27" x14ac:dyDescent="0.2">
      <c r="W602" s="173" t="str">
        <f t="shared" si="20"/>
        <v>1w</v>
      </c>
      <c r="X602" s="180">
        <f>_xll.qlCalendarAdvance(LiborCalendar,X601,W602,"f",FALSE)</f>
        <v>43152</v>
      </c>
      <c r="Y602" s="174">
        <f>_xll.qlInterestRateIndexValueDate(IborIndex,X602)</f>
        <v>43154</v>
      </c>
      <c r="Z602" s="175">
        <v>2.7583898034738495E-3</v>
      </c>
      <c r="AA602" s="177">
        <v>2.5071458127394015E-3</v>
      </c>
    </row>
    <row r="603" spans="23:27" x14ac:dyDescent="0.2">
      <c r="W603" s="173" t="str">
        <f t="shared" si="20"/>
        <v>1w</v>
      </c>
      <c r="X603" s="180">
        <f>_xll.qlCalendarAdvance(LiborCalendar,X602,W603,"f",FALSE)</f>
        <v>43159</v>
      </c>
      <c r="Y603" s="174">
        <f>_xll.qlInterestRateIndexValueDate(IborIndex,X603)</f>
        <v>43161</v>
      </c>
      <c r="Z603" s="175">
        <v>2.788642496022902E-3</v>
      </c>
      <c r="AA603" s="177">
        <v>2.5281460516553742E-3</v>
      </c>
    </row>
    <row r="604" spans="23:27" x14ac:dyDescent="0.2">
      <c r="W604" s="173" t="str">
        <f t="shared" si="20"/>
        <v>1w</v>
      </c>
      <c r="X604" s="180">
        <f>_xll.qlCalendarAdvance(LiborCalendar,X603,W604,"f",FALSE)</f>
        <v>43166</v>
      </c>
      <c r="Y604" s="174">
        <f>_xll.qlInterestRateIndexValueDate(IborIndex,X604)</f>
        <v>43168</v>
      </c>
      <c r="Z604" s="175">
        <v>2.8121746279822736E-3</v>
      </c>
      <c r="AA604" s="177">
        <v>2.5493480753328397E-3</v>
      </c>
    </row>
    <row r="605" spans="23:27" x14ac:dyDescent="0.2">
      <c r="W605" s="173" t="str">
        <f t="shared" si="20"/>
        <v>1w</v>
      </c>
      <c r="X605" s="180">
        <f>_xll.qlCalendarAdvance(LiborCalendar,X604,W605,"f",FALSE)</f>
        <v>43173</v>
      </c>
      <c r="Y605" s="174">
        <f>_xll.qlInterestRateIndexValueDate(IborIndex,X605)</f>
        <v>43175</v>
      </c>
      <c r="Z605" s="175">
        <v>2.837683161025434E-3</v>
      </c>
      <c r="AA605" s="177">
        <v>2.5707518838798591E-3</v>
      </c>
    </row>
    <row r="606" spans="23:27" x14ac:dyDescent="0.2">
      <c r="W606" s="173" t="str">
        <f t="shared" si="20"/>
        <v>1w</v>
      </c>
      <c r="X606" s="180">
        <f>_xll.qlCalendarAdvance(LiborCalendar,X605,W606,"f",FALSE)</f>
        <v>43180</v>
      </c>
      <c r="Y606" s="174">
        <f>_xll.qlInterestRateIndexValueDate(IborIndex,X606)</f>
        <v>43182</v>
      </c>
      <c r="Z606" s="175">
        <v>2.8616289215100199E-3</v>
      </c>
      <c r="AA606" s="177">
        <v>2.5923574774044948E-3</v>
      </c>
    </row>
    <row r="607" spans="23:27" x14ac:dyDescent="0.2">
      <c r="W607" s="173" t="str">
        <f t="shared" si="20"/>
        <v>1w</v>
      </c>
      <c r="X607" s="180">
        <f>_xll.qlCalendarAdvance(LiborCalendar,X606,W607,"f",FALSE)</f>
        <v>43187</v>
      </c>
      <c r="Y607" s="174">
        <f>_xll.qlInterestRateIndexValueDate(IborIndex,X607)</f>
        <v>43193</v>
      </c>
      <c r="Z607" s="175">
        <v>2.8942235058959653E-3</v>
      </c>
      <c r="AA607" s="177">
        <v>2.6235524160300727E-3</v>
      </c>
    </row>
    <row r="608" spans="23:27" x14ac:dyDescent="0.2">
      <c r="W608" s="173" t="str">
        <f t="shared" si="20"/>
        <v>1w</v>
      </c>
      <c r="X608" s="180">
        <f>_xll.qlCalendarAdvance(LiborCalendar,X607,W608,"f",FALSE)</f>
        <v>43194</v>
      </c>
      <c r="Y608" s="174">
        <f>_xll.qlInterestRateIndexValueDate(IborIndex,X608)</f>
        <v>43196</v>
      </c>
      <c r="Z608" s="175">
        <v>2.9101192660583018E-3</v>
      </c>
      <c r="AA608" s="177">
        <v>2.6361740197648293E-3</v>
      </c>
    </row>
    <row r="609" spans="23:27" x14ac:dyDescent="0.2">
      <c r="W609" s="173" t="str">
        <f t="shared" si="20"/>
        <v>1w</v>
      </c>
      <c r="X609" s="180">
        <f>_xll.qlCalendarAdvance(LiborCalendar,X608,W609,"f",FALSE)</f>
        <v>43201</v>
      </c>
      <c r="Y609" s="174">
        <f>_xll.qlInterestRateIndexValueDate(IborIndex,X609)</f>
        <v>43203</v>
      </c>
      <c r="Z609" s="175">
        <v>2.9328292397238732E-3</v>
      </c>
      <c r="AA609" s="177">
        <v>2.6583849688706826E-3</v>
      </c>
    </row>
    <row r="610" spans="23:27" x14ac:dyDescent="0.2">
      <c r="W610" s="173" t="str">
        <f t="shared" si="20"/>
        <v>1w</v>
      </c>
      <c r="X610" s="180">
        <f>_xll.qlCalendarAdvance(LiborCalendar,X609,W610,"f",FALSE)</f>
        <v>43208</v>
      </c>
      <c r="Y610" s="174">
        <f>_xll.qlInterestRateIndexValueDate(IborIndex,X610)</f>
        <v>43210</v>
      </c>
      <c r="Z610" s="175">
        <v>2.9575590043128537E-3</v>
      </c>
      <c r="AA610" s="177">
        <v>2.680797703332368E-3</v>
      </c>
    </row>
    <row r="611" spans="23:27" x14ac:dyDescent="0.2">
      <c r="W611" s="173" t="str">
        <f t="shared" si="20"/>
        <v>1w</v>
      </c>
      <c r="X611" s="180">
        <f>_xll.qlCalendarAdvance(LiborCalendar,X610,W611,"f",FALSE)</f>
        <v>43215</v>
      </c>
      <c r="Y611" s="174">
        <f>_xll.qlInterestRateIndexValueDate(IborIndex,X611)</f>
        <v>43217</v>
      </c>
      <c r="Z611" s="175">
        <v>2.9862168969419607E-3</v>
      </c>
      <c r="AA611" s="177">
        <v>2.7034122233389932E-3</v>
      </c>
    </row>
    <row r="612" spans="23:27" x14ac:dyDescent="0.2">
      <c r="W612" s="173" t="str">
        <f t="shared" si="20"/>
        <v>1w</v>
      </c>
      <c r="X612" s="180">
        <f>_xll.qlCalendarAdvance(LiborCalendar,X611,W612,"f",FALSE)</f>
        <v>43222</v>
      </c>
      <c r="Y612" s="174">
        <f>_xll.qlInterestRateIndexValueDate(IborIndex,X612)</f>
        <v>43228</v>
      </c>
      <c r="Z612" s="175">
        <v>3.0201815764435945E-3</v>
      </c>
      <c r="AA612" s="177">
        <v>2.7360468345705158E-3</v>
      </c>
    </row>
    <row r="613" spans="23:27" x14ac:dyDescent="0.2">
      <c r="W613" s="173" t="str">
        <f t="shared" si="20"/>
        <v>1w</v>
      </c>
      <c r="X613" s="180">
        <f>_xll.qlCalendarAdvance(LiborCalendar,X612,W613,"f",FALSE)</f>
        <v>43229</v>
      </c>
      <c r="Y613" s="174">
        <f>_xll.qlInterestRateIndexValueDate(IborIndex,X613)</f>
        <v>43231</v>
      </c>
      <c r="Z613" s="175">
        <v>3.0329456129130194E-3</v>
      </c>
      <c r="AA613" s="177">
        <v>2.7492466203382642E-3</v>
      </c>
    </row>
    <row r="614" spans="23:27" x14ac:dyDescent="0.2">
      <c r="W614" s="173" t="str">
        <f t="shared" si="20"/>
        <v>1w</v>
      </c>
      <c r="X614" s="180">
        <f>_xll.qlCalendarAdvance(LiborCalendar,X613,W614,"f",FALSE)</f>
        <v>43236</v>
      </c>
      <c r="Y614" s="174">
        <f>_xll.qlInterestRateIndexValueDate(IborIndex,X614)</f>
        <v>43238</v>
      </c>
      <c r="Z614" s="175">
        <v>3.0584704100334844E-3</v>
      </c>
      <c r="AA614" s="177">
        <v>2.7724664975740483E-3</v>
      </c>
    </row>
    <row r="615" spans="23:27" x14ac:dyDescent="0.2">
      <c r="W615" s="173" t="str">
        <f t="shared" si="20"/>
        <v>1w</v>
      </c>
      <c r="X615" s="180">
        <f>_xll.qlCalendarAdvance(LiborCalendar,X614,W615,"f",FALSE)</f>
        <v>43243</v>
      </c>
      <c r="Y615" s="174">
        <f>_xll.qlInterestRateIndexValueDate(IborIndex,X615)</f>
        <v>43245</v>
      </c>
      <c r="Z615" s="175">
        <v>3.0841888006540984E-3</v>
      </c>
      <c r="AA615" s="177">
        <v>2.7975807802468888E-3</v>
      </c>
    </row>
    <row r="616" spans="23:27" x14ac:dyDescent="0.2">
      <c r="W616" s="173" t="str">
        <f t="shared" si="20"/>
        <v>1w</v>
      </c>
      <c r="X616" s="180">
        <f>_xll.qlCalendarAdvance(LiborCalendar,X615,W616,"f",FALSE)</f>
        <v>43250</v>
      </c>
      <c r="Y616" s="174">
        <f>_xll.qlInterestRateIndexValueDate(IborIndex,X616)</f>
        <v>43252</v>
      </c>
      <c r="Z616" s="175">
        <v>3.110097757872458E-3</v>
      </c>
      <c r="AA616" s="177">
        <v>2.8195116100852386E-3</v>
      </c>
    </row>
    <row r="617" spans="23:27" x14ac:dyDescent="0.2">
      <c r="W617" s="173" t="str">
        <f t="shared" si="20"/>
        <v>1w</v>
      </c>
      <c r="X617" s="180">
        <f>_xll.qlCalendarAdvance(LiborCalendar,X616,W617,"f",FALSE)</f>
        <v>43257</v>
      </c>
      <c r="Y617" s="174">
        <f>_xll.qlInterestRateIndexValueDate(IborIndex,X617)</f>
        <v>43259</v>
      </c>
      <c r="Z617" s="175">
        <v>3.1361942546794331E-3</v>
      </c>
      <c r="AA617" s="177">
        <v>2.843336845576768E-3</v>
      </c>
    </row>
    <row r="618" spans="23:27" x14ac:dyDescent="0.2">
      <c r="W618" s="173" t="str">
        <f t="shared" si="20"/>
        <v>1w</v>
      </c>
      <c r="X618" s="180">
        <f>_xll.qlCalendarAdvance(LiborCalendar,X617,W618,"f",FALSE)</f>
        <v>43264</v>
      </c>
      <c r="Y618" s="174">
        <f>_xll.qlInterestRateIndexValueDate(IborIndex,X618)</f>
        <v>43266</v>
      </c>
      <c r="Z618" s="175">
        <v>3.1624752639596004E-3</v>
      </c>
      <c r="AA618" s="177">
        <v>2.8673638674237005E-3</v>
      </c>
    </row>
    <row r="619" spans="23:27" x14ac:dyDescent="0.2">
      <c r="W619" s="173" t="str">
        <f t="shared" si="20"/>
        <v>1w</v>
      </c>
      <c r="X619" s="180">
        <f>_xll.qlCalendarAdvance(LiborCalendar,X618,W619,"f",FALSE)</f>
        <v>43271</v>
      </c>
      <c r="Y619" s="174">
        <f>_xll.qlInterestRateIndexValueDate(IborIndex,X619)</f>
        <v>43273</v>
      </c>
      <c r="Z619" s="175">
        <v>3.1948496755187655E-3</v>
      </c>
      <c r="AA619" s="177">
        <v>2.8915926756800663E-3</v>
      </c>
    </row>
    <row r="620" spans="23:27" x14ac:dyDescent="0.2">
      <c r="W620" s="173" t="str">
        <f t="shared" si="20"/>
        <v>1w</v>
      </c>
      <c r="X620" s="180">
        <f>_xll.qlCalendarAdvance(LiborCalendar,X619,W620,"f",FALSE)</f>
        <v>43278</v>
      </c>
      <c r="Y620" s="174">
        <f>_xll.qlInterestRateIndexValueDate(IborIndex,X620)</f>
        <v>43280</v>
      </c>
      <c r="Z620" s="175">
        <v>3.2096410879366689E-3</v>
      </c>
      <c r="AA620" s="177">
        <v>2.9160232705349736E-3</v>
      </c>
    </row>
    <row r="621" spans="23:27" x14ac:dyDescent="0.2">
      <c r="W621" s="173" t="str">
        <f t="shared" si="20"/>
        <v>1w</v>
      </c>
      <c r="X621" s="180">
        <f>_xll.qlCalendarAdvance(LiborCalendar,X620,W621,"f",FALSE)</f>
        <v>43285</v>
      </c>
      <c r="Y621" s="174">
        <f>_xll.qlInterestRateIndexValueDate(IborIndex,X621)</f>
        <v>43287</v>
      </c>
      <c r="Z621" s="175">
        <v>3.2423950938050691E-3</v>
      </c>
      <c r="AA621" s="177">
        <v>2.9406556520424529E-3</v>
      </c>
    </row>
    <row r="622" spans="23:27" x14ac:dyDescent="0.2">
      <c r="W622" s="173" t="str">
        <f t="shared" si="20"/>
        <v>1w</v>
      </c>
      <c r="X622" s="180">
        <f>_xll.qlCalendarAdvance(LiborCalendar,X621,W622,"f",FALSE)</f>
        <v>43292</v>
      </c>
      <c r="Y622" s="174">
        <f>_xll.qlInterestRateIndexValueDate(IborIndex,X622)</f>
        <v>43294</v>
      </c>
      <c r="Z622" s="175">
        <v>3.2713876772636555E-3</v>
      </c>
      <c r="AA622" s="177">
        <v>2.9654898203916131E-3</v>
      </c>
    </row>
    <row r="623" spans="23:27" x14ac:dyDescent="0.2">
      <c r="W623" s="173" t="str">
        <f t="shared" si="20"/>
        <v>1w</v>
      </c>
      <c r="X623" s="180">
        <f>_xll.qlCalendarAdvance(LiborCalendar,X622,W623,"f",FALSE)</f>
        <v>43299</v>
      </c>
      <c r="Y623" s="174">
        <f>_xll.qlInterestRateIndexValueDate(IborIndex,X623)</f>
        <v>43301</v>
      </c>
      <c r="Z623" s="175">
        <v>3.2965420405018124E-3</v>
      </c>
      <c r="AA623" s="177">
        <v>2.9905257756364842E-3</v>
      </c>
    </row>
    <row r="624" spans="23:27" x14ac:dyDescent="0.2">
      <c r="W624" s="173" t="str">
        <f t="shared" si="20"/>
        <v>1w</v>
      </c>
      <c r="X624" s="180">
        <f>_xll.qlCalendarAdvance(LiborCalendar,X623,W624,"f",FALSE)</f>
        <v>43306</v>
      </c>
      <c r="Y624" s="174">
        <f>_xll.qlInterestRateIndexValueDate(IborIndex,X624)</f>
        <v>43308</v>
      </c>
      <c r="Z624" s="175">
        <v>3.3238665487954474E-3</v>
      </c>
      <c r="AA624" s="177">
        <v>3.0157635179931903E-3</v>
      </c>
    </row>
    <row r="625" spans="23:27" x14ac:dyDescent="0.2">
      <c r="W625" s="173" t="str">
        <f t="shared" si="20"/>
        <v>1w</v>
      </c>
      <c r="X625" s="180">
        <f>_xll.qlCalendarAdvance(LiborCalendar,X624,W625,"f",FALSE)</f>
        <v>43313</v>
      </c>
      <c r="Y625" s="174">
        <f>_xll.qlInterestRateIndexValueDate(IborIndex,X625)</f>
        <v>43315</v>
      </c>
      <c r="Z625" s="175">
        <v>3.3513543764968103E-3</v>
      </c>
      <c r="AA625" s="177">
        <v>3.0412030475157619E-3</v>
      </c>
    </row>
    <row r="626" spans="23:27" x14ac:dyDescent="0.2">
      <c r="W626" s="173" t="str">
        <f t="shared" si="20"/>
        <v>1w</v>
      </c>
      <c r="X626" s="180">
        <f>_xll.qlCalendarAdvance(LiborCalendar,X625,W626,"f",FALSE)</f>
        <v>43320</v>
      </c>
      <c r="Y626" s="174">
        <f>_xll.qlInterestRateIndexValueDate(IborIndex,X626)</f>
        <v>43322</v>
      </c>
      <c r="Z626" s="175">
        <v>3.3810482972401203E-3</v>
      </c>
      <c r="AA626" s="177">
        <v>3.0668443643122605E-3</v>
      </c>
    </row>
    <row r="627" spans="23:27" x14ac:dyDescent="0.2">
      <c r="W627" s="173" t="str">
        <f t="shared" si="20"/>
        <v>1w</v>
      </c>
      <c r="X627" s="180">
        <f>_xll.qlCalendarAdvance(LiborCalendar,X626,W627,"f",FALSE)</f>
        <v>43327</v>
      </c>
      <c r="Y627" s="174">
        <f>_xll.qlInterestRateIndexValueDate(IborIndex,X627)</f>
        <v>43329</v>
      </c>
      <c r="Z627" s="175">
        <v>3.4068078776750242E-3</v>
      </c>
      <c r="AA627" s="177">
        <v>3.0926874685988097E-3</v>
      </c>
    </row>
    <row r="628" spans="23:27" x14ac:dyDescent="0.2">
      <c r="W628" s="173" t="str">
        <f t="shared" si="20"/>
        <v>1w</v>
      </c>
      <c r="X628" s="180">
        <f>_xll.qlCalendarAdvance(LiborCalendar,X627,W628,"f",FALSE)</f>
        <v>43334</v>
      </c>
      <c r="Y628" s="174">
        <f>_xll.qlInterestRateIndexValueDate(IborIndex,X628)</f>
        <v>43336</v>
      </c>
      <c r="Z628" s="175">
        <v>3.4347674945972668E-3</v>
      </c>
      <c r="AA628" s="177">
        <v>3.1206149722548537E-3</v>
      </c>
    </row>
    <row r="629" spans="23:27" x14ac:dyDescent="0.2">
      <c r="W629" s="173" t="str">
        <f t="shared" si="20"/>
        <v>1w</v>
      </c>
      <c r="X629" s="180">
        <f>_xll.qlCalendarAdvance(LiborCalendar,X628,W629,"f",FALSE)</f>
        <v>43341</v>
      </c>
      <c r="Y629" s="174">
        <f>_xll.qlInterestRateIndexValueDate(IborIndex,X629)</f>
        <v>43343</v>
      </c>
      <c r="Z629" s="175">
        <v>3.4545864501071841E-3</v>
      </c>
      <c r="AA629" s="177">
        <v>3.1449790399392294E-3</v>
      </c>
    </row>
    <row r="630" spans="23:27" x14ac:dyDescent="0.2">
      <c r="W630" s="173" t="str">
        <f t="shared" si="20"/>
        <v>1w</v>
      </c>
      <c r="X630" s="180">
        <f>_xll.qlCalendarAdvance(LiborCalendar,X629,W630,"f",FALSE)</f>
        <v>43348</v>
      </c>
      <c r="Y630" s="174">
        <f>_xll.qlInterestRateIndexValueDate(IborIndex,X630)</f>
        <v>43350</v>
      </c>
      <c r="Z630" s="175">
        <v>3.4828075244385318E-3</v>
      </c>
      <c r="AA630" s="177">
        <v>3.1714275072902702E-3</v>
      </c>
    </row>
    <row r="631" spans="23:27" x14ac:dyDescent="0.2">
      <c r="W631" s="173" t="str">
        <f t="shared" si="20"/>
        <v>1w</v>
      </c>
      <c r="X631" s="180">
        <f>_xll.qlCalendarAdvance(LiborCalendar,X630,W631,"f",FALSE)</f>
        <v>43355</v>
      </c>
      <c r="Y631" s="174">
        <f>_xll.qlInterestRateIndexValueDate(IborIndex,X631)</f>
        <v>43357</v>
      </c>
      <c r="Z631" s="175">
        <v>3.5111742968347627E-3</v>
      </c>
      <c r="AA631" s="177">
        <v>3.1980777626176389E-3</v>
      </c>
    </row>
    <row r="632" spans="23:27" x14ac:dyDescent="0.2">
      <c r="W632" s="173" t="str">
        <f t="shared" si="20"/>
        <v>1w</v>
      </c>
      <c r="X632" s="180">
        <f>_xll.qlCalendarAdvance(LiborCalendar,X631,W632,"f",FALSE)</f>
        <v>43362</v>
      </c>
      <c r="Y632" s="174">
        <f>_xll.qlInterestRateIndexValueDate(IborIndex,X632)</f>
        <v>43364</v>
      </c>
      <c r="Z632" s="175">
        <v>3.5417833950235713E-3</v>
      </c>
      <c r="AA632" s="177">
        <v>3.2249298060293978E-3</v>
      </c>
    </row>
    <row r="633" spans="23:27" x14ac:dyDescent="0.2">
      <c r="W633" s="173" t="str">
        <f t="shared" si="20"/>
        <v>1w</v>
      </c>
      <c r="X633" s="180">
        <f>_xll.qlCalendarAdvance(LiborCalendar,X632,W633,"f",FALSE)</f>
        <v>43369</v>
      </c>
      <c r="Y633" s="174">
        <f>_xll.qlInterestRateIndexValueDate(IborIndex,X633)</f>
        <v>43371</v>
      </c>
      <c r="Z633" s="175">
        <v>3.5704413996188998E-3</v>
      </c>
      <c r="AA633" s="177">
        <v>3.2519836376336082E-3</v>
      </c>
    </row>
    <row r="634" spans="23:27" x14ac:dyDescent="0.2">
      <c r="W634" s="173" t="str">
        <f t="shared" si="20"/>
        <v>1w</v>
      </c>
      <c r="X634" s="180">
        <f>_xll.qlCalendarAdvance(LiborCalendar,X633,W634,"f",FALSE)</f>
        <v>43376</v>
      </c>
      <c r="Y634" s="174">
        <f>_xll.qlInterestRateIndexValueDate(IborIndex,X634)</f>
        <v>43378</v>
      </c>
      <c r="Z634" s="175">
        <v>3.5992357254296431E-3</v>
      </c>
      <c r="AA634" s="177">
        <v>3.2792392576193783E-3</v>
      </c>
    </row>
    <row r="635" spans="23:27" x14ac:dyDescent="0.2">
      <c r="W635" s="173" t="str">
        <f t="shared" si="20"/>
        <v>1w</v>
      </c>
      <c r="X635" s="180">
        <f>_xll.qlCalendarAdvance(LiborCalendar,X634,W635,"f",FALSE)</f>
        <v>43383</v>
      </c>
      <c r="Y635" s="174">
        <f>_xll.qlInterestRateIndexValueDate(IborIndex,X635)</f>
        <v>43385</v>
      </c>
      <c r="Z635" s="175">
        <v>3.6281632930825615E-3</v>
      </c>
      <c r="AA635" s="177">
        <v>3.3066966660947701E-3</v>
      </c>
    </row>
    <row r="636" spans="23:27" x14ac:dyDescent="0.2">
      <c r="W636" s="173" t="str">
        <f t="shared" si="20"/>
        <v>1w</v>
      </c>
      <c r="X636" s="180">
        <f>_xll.qlCalendarAdvance(LiborCalendar,X635,W636,"f",FALSE)</f>
        <v>43390</v>
      </c>
      <c r="Y636" s="174">
        <f>_xll.qlInterestRateIndexValueDate(IborIndex,X636)</f>
        <v>43392</v>
      </c>
      <c r="Z636" s="175">
        <v>3.6657726176232202E-3</v>
      </c>
      <c r="AA636" s="177">
        <v>3.3343558632218757E-3</v>
      </c>
    </row>
    <row r="637" spans="23:27" x14ac:dyDescent="0.2">
      <c r="W637" s="173" t="str">
        <f t="shared" si="20"/>
        <v>1w</v>
      </c>
      <c r="X637" s="180">
        <f>_xll.qlCalendarAdvance(LiborCalendar,X636,W637,"f",FALSE)</f>
        <v>43397</v>
      </c>
      <c r="Y637" s="174">
        <f>_xll.qlInterestRateIndexValueDate(IborIndex,X637)</f>
        <v>43399</v>
      </c>
      <c r="Z637" s="175">
        <v>3.6864058356489548E-3</v>
      </c>
      <c r="AA637" s="177">
        <v>3.3622168491087572E-3</v>
      </c>
    </row>
    <row r="638" spans="23:27" x14ac:dyDescent="0.2">
      <c r="W638" s="173" t="str">
        <f t="shared" si="20"/>
        <v>1w</v>
      </c>
      <c r="X638" s="180">
        <f>_xll.qlCalendarAdvance(LiborCalendar,X637,W638,"f",FALSE)</f>
        <v>43404</v>
      </c>
      <c r="Y638" s="174">
        <f>_xll.qlInterestRateIndexValueDate(IborIndex,X638)</f>
        <v>43406</v>
      </c>
      <c r="Z638" s="175">
        <v>3.7135611691963858E-3</v>
      </c>
      <c r="AA638" s="177">
        <v>3.3902796238904913E-3</v>
      </c>
    </row>
    <row r="639" spans="23:27" x14ac:dyDescent="0.2">
      <c r="W639" s="173" t="str">
        <f t="shared" si="20"/>
        <v>1w</v>
      </c>
      <c r="X639" s="180">
        <f>_xll.qlCalendarAdvance(LiborCalendar,X638,W639,"f",FALSE)</f>
        <v>43411</v>
      </c>
      <c r="Y639" s="174">
        <f>_xll.qlInterestRateIndexValueDate(IborIndex,X639)</f>
        <v>43413</v>
      </c>
      <c r="Z639" s="175">
        <v>3.7429821550896678E-3</v>
      </c>
      <c r="AA639" s="177">
        <v>3.4185185066211896E-3</v>
      </c>
    </row>
    <row r="640" spans="23:27" x14ac:dyDescent="0.2">
      <c r="W640" s="173" t="str">
        <f t="shared" si="20"/>
        <v>1w</v>
      </c>
      <c r="X640" s="180">
        <f>_xll.qlCalendarAdvance(LiborCalendar,X639,W640,"f",FALSE)</f>
        <v>43418</v>
      </c>
      <c r="Y640" s="174">
        <f>_xll.qlInterestRateIndexValueDate(IborIndex,X640)</f>
        <v>43420</v>
      </c>
      <c r="Z640" s="175">
        <v>3.7725227834525827E-3</v>
      </c>
      <c r="AA640" s="177">
        <v>3.4468804783368188E-3</v>
      </c>
    </row>
    <row r="641" spans="23:27" x14ac:dyDescent="0.2">
      <c r="W641" s="173" t="str">
        <f t="shared" si="20"/>
        <v>1w</v>
      </c>
      <c r="X641" s="180">
        <f>_xll.qlCalendarAdvance(LiborCalendar,X640,W641,"f",FALSE)</f>
        <v>43425</v>
      </c>
      <c r="Y641" s="174">
        <f>_xll.qlInterestRateIndexValueDate(IborIndex,X641)</f>
        <v>43430</v>
      </c>
      <c r="Z641" s="175">
        <v>3.8192996931489739E-3</v>
      </c>
      <c r="AA641" s="177">
        <v>3.4834890180768241E-3</v>
      </c>
    </row>
    <row r="642" spans="23:27" x14ac:dyDescent="0.2">
      <c r="W642" s="173" t="str">
        <f t="shared" si="20"/>
        <v>1w</v>
      </c>
      <c r="X642" s="180">
        <f>_xll.qlCalendarAdvance(LiborCalendar,X641,W642,"f",FALSE)</f>
        <v>43432</v>
      </c>
      <c r="Y642" s="174">
        <f>_xll.qlInterestRateIndexValueDate(IborIndex,X642)</f>
        <v>43434</v>
      </c>
      <c r="Z642" s="175">
        <v>3.8341517652213867E-3</v>
      </c>
      <c r="AA642" s="177">
        <v>3.5039662332484829E-3</v>
      </c>
    </row>
    <row r="643" spans="23:27" x14ac:dyDescent="0.2">
      <c r="W643" s="173" t="str">
        <f t="shared" si="20"/>
        <v>1w</v>
      </c>
      <c r="X643" s="180">
        <f>_xll.qlCalendarAdvance(LiborCalendar,X642,W643,"f",FALSE)</f>
        <v>43439</v>
      </c>
      <c r="Y643" s="174">
        <f>_xll.qlInterestRateIndexValueDate(IborIndex,X643)</f>
        <v>43441</v>
      </c>
      <c r="Z643" s="175">
        <v>3.8640600951579994E-3</v>
      </c>
      <c r="AA643" s="177">
        <v>3.5326900166336257E-3</v>
      </c>
    </row>
    <row r="644" spans="23:27" x14ac:dyDescent="0.2">
      <c r="W644" s="173" t="str">
        <f t="shared" si="20"/>
        <v>1w</v>
      </c>
      <c r="X644" s="180">
        <f>_xll.qlCalendarAdvance(LiborCalendar,X643,W644,"f",FALSE)</f>
        <v>43446</v>
      </c>
      <c r="Y644" s="174">
        <f>_xll.qlInterestRateIndexValueDate(IborIndex,X644)</f>
        <v>43448</v>
      </c>
      <c r="Z644" s="175">
        <v>3.8940880523754408E-3</v>
      </c>
      <c r="AA644" s="177">
        <v>3.5615344040436834E-3</v>
      </c>
    </row>
    <row r="645" spans="23:27" x14ac:dyDescent="0.2">
      <c r="W645" s="173" t="str">
        <f t="shared" si="20"/>
        <v>1w</v>
      </c>
      <c r="X645" s="180">
        <f>_xll.qlCalendarAdvance(LiborCalendar,X644,W645,"f",FALSE)</f>
        <v>43453</v>
      </c>
      <c r="Y645" s="174">
        <f>_xll.qlInterestRateIndexValueDate(IborIndex,X645)</f>
        <v>43455</v>
      </c>
      <c r="Z645" s="175">
        <v>3.9242356422975033E-3</v>
      </c>
      <c r="AA645" s="177">
        <v>3.5904993956407489E-3</v>
      </c>
    </row>
    <row r="646" spans="23:27" x14ac:dyDescent="0.2">
      <c r="W646" s="173" t="str">
        <f t="shared" si="20"/>
        <v>1w</v>
      </c>
      <c r="X646" s="180">
        <f>_xll.qlCalendarAdvance(LiborCalendar,X645,W646,"f",FALSE)</f>
        <v>43461</v>
      </c>
      <c r="Y646" s="174">
        <f>_xll.qlInterestRateIndexValueDate(IborIndex,X646)</f>
        <v>43469</v>
      </c>
      <c r="Z646" s="175">
        <v>3.9826564799126576E-3</v>
      </c>
      <c r="AA646" s="177">
        <v>3.6487911915579949E-3</v>
      </c>
    </row>
    <row r="647" spans="23:27" x14ac:dyDescent="0.2">
      <c r="W647" s="173" t="str">
        <f t="shared" si="20"/>
        <v>1w</v>
      </c>
      <c r="X647" s="180">
        <f>_xll.qlCalendarAdvance(LiborCalendar,X646,W647,"f",FALSE)</f>
        <v>43468</v>
      </c>
      <c r="Y647" s="174">
        <f>_xll.qlInterestRateIndexValueDate(IborIndex,X647)</f>
        <v>43472</v>
      </c>
      <c r="Z647" s="175">
        <v>3.9979493140232187E-3</v>
      </c>
      <c r="AA647" s="177">
        <v>3.6571205089697134E-3</v>
      </c>
    </row>
    <row r="648" spans="23:27" x14ac:dyDescent="0.2">
      <c r="W648" s="173" t="str">
        <f t="shared" si="20"/>
        <v>1w</v>
      </c>
      <c r="X648" s="180">
        <f>_xll.qlCalendarAdvance(LiborCalendar,X647,W648,"f",FALSE)</f>
        <v>43475</v>
      </c>
      <c r="Y648" s="174">
        <f>_xll.qlInterestRateIndexValueDate(IborIndex,X648)</f>
        <v>43480</v>
      </c>
      <c r="Z648" s="175">
        <v>4.0328822825744636E-3</v>
      </c>
      <c r="AA648" s="177">
        <v>3.6906854075580142E-3</v>
      </c>
    </row>
    <row r="649" spans="23:27" x14ac:dyDescent="0.2">
      <c r="W649" s="173" t="str">
        <f t="shared" si="20"/>
        <v>1w</v>
      </c>
      <c r="X649" s="180">
        <f>_xll.qlCalendarAdvance(LiborCalendar,X648,W649,"f",FALSE)</f>
        <v>43482</v>
      </c>
      <c r="Y649" s="174">
        <f>_xll.qlInterestRateIndexValueDate(IborIndex,X649)</f>
        <v>43486</v>
      </c>
      <c r="Z649" s="175">
        <v>4.0591845723435072E-3</v>
      </c>
      <c r="AA649" s="177">
        <v>3.7159624507421274E-3</v>
      </c>
    </row>
    <row r="650" spans="23:27" x14ac:dyDescent="0.2">
      <c r="W650" s="173" t="str">
        <f t="shared" si="20"/>
        <v>1w</v>
      </c>
      <c r="X650" s="180">
        <f>_xll.qlCalendarAdvance(LiborCalendar,X649,W650,"f",FALSE)</f>
        <v>43489</v>
      </c>
      <c r="Y650" s="174">
        <f>_xll.qlInterestRateIndexValueDate(IborIndex,X650)</f>
        <v>43493</v>
      </c>
      <c r="Z650" s="175">
        <v>4.0899816925215248E-3</v>
      </c>
      <c r="AA650" s="177">
        <v>3.7455643176564912E-3</v>
      </c>
    </row>
    <row r="651" spans="23:27" x14ac:dyDescent="0.2">
      <c r="W651" s="173" t="str">
        <f t="shared" si="20"/>
        <v>1w</v>
      </c>
      <c r="X651" s="180">
        <f>_xll.qlCalendarAdvance(LiborCalendar,X650,W651,"f",FALSE)</f>
        <v>43496</v>
      </c>
      <c r="Y651" s="174">
        <f>_xll.qlInterestRateIndexValueDate(IborIndex,X651)</f>
        <v>43500</v>
      </c>
      <c r="Z651" s="175">
        <v>4.1208984807881667E-3</v>
      </c>
      <c r="AA651" s="177">
        <v>3.7752867819229596E-3</v>
      </c>
    </row>
    <row r="652" spans="23:27" x14ac:dyDescent="0.2">
      <c r="W652" s="173" t="str">
        <f t="shared" si="20"/>
        <v>1w</v>
      </c>
      <c r="X652" s="180">
        <f>_xll.qlCalendarAdvance(LiborCalendar,X651,W652,"f",FALSE)</f>
        <v>43503</v>
      </c>
      <c r="Y652" s="174">
        <f>_xll.qlInterestRateIndexValueDate(IborIndex,X652)</f>
        <v>43508</v>
      </c>
      <c r="Z652" s="175">
        <v>4.1540956702890213E-3</v>
      </c>
      <c r="AA652" s="177">
        <v>3.8094029829238707E-3</v>
      </c>
    </row>
    <row r="653" spans="23:27" x14ac:dyDescent="0.2">
      <c r="W653" s="173" t="str">
        <f t="shared" si="20"/>
        <v>1w</v>
      </c>
      <c r="X653" s="180">
        <f>_xll.qlCalendarAdvance(LiborCalendar,X652,W653,"f",FALSE)</f>
        <v>43510</v>
      </c>
      <c r="Y653" s="174">
        <f>_xll.qlInterestRateIndexValueDate(IborIndex,X653)</f>
        <v>43514</v>
      </c>
      <c r="Z653" s="175">
        <v>4.1830910839496587E-3</v>
      </c>
      <c r="AA653" s="177">
        <v>3.8350935029174416E-3</v>
      </c>
    </row>
    <row r="654" spans="23:27" x14ac:dyDescent="0.2">
      <c r="W654" s="173" t="str">
        <f t="shared" si="20"/>
        <v>1w</v>
      </c>
      <c r="X654" s="180">
        <f>_xll.qlCalendarAdvance(LiborCalendar,X653,W654,"f",FALSE)</f>
        <v>43517</v>
      </c>
      <c r="Y654" s="174">
        <f>_xll.qlInterestRateIndexValueDate(IborIndex,X654)</f>
        <v>43521</v>
      </c>
      <c r="Z654" s="175">
        <v>4.2166671498513027E-3</v>
      </c>
      <c r="AA654" s="177">
        <v>3.8651777595644088E-3</v>
      </c>
    </row>
    <row r="655" spans="23:27" x14ac:dyDescent="0.2">
      <c r="W655" s="173" t="str">
        <f t="shared" si="20"/>
        <v>1w</v>
      </c>
      <c r="X655" s="180">
        <f>_xll.qlCalendarAdvance(LiborCalendar,X654,W655,"f",FALSE)</f>
        <v>43524</v>
      </c>
      <c r="Y655" s="174">
        <f>_xll.qlInterestRateIndexValueDate(IborIndex,X655)</f>
        <v>43528</v>
      </c>
      <c r="Z655" s="175">
        <v>4.250381611764836E-3</v>
      </c>
      <c r="AA655" s="177">
        <v>3.8953826137255732E-3</v>
      </c>
    </row>
    <row r="656" spans="23:27" x14ac:dyDescent="0.2">
      <c r="W656" s="173" t="str">
        <f t="shared" si="20"/>
        <v>1w</v>
      </c>
      <c r="X656" s="180">
        <f>_xll.qlCalendarAdvance(LiborCalendar,X655,W656,"f",FALSE)</f>
        <v>43531</v>
      </c>
      <c r="Y656" s="174">
        <f>_xll.qlInterestRateIndexValueDate(IborIndex,X656)</f>
        <v>43535</v>
      </c>
      <c r="Z656" s="175">
        <v>4.2819146723240544E-3</v>
      </c>
      <c r="AA656" s="177">
        <v>3.9257080654819809E-3</v>
      </c>
    </row>
    <row r="657" spans="23:27" x14ac:dyDescent="0.2">
      <c r="W657" s="173" t="str">
        <f t="shared" si="20"/>
        <v>1w</v>
      </c>
      <c r="X657" s="180">
        <f>_xll.qlCalendarAdvance(LiborCalendar,X656,W657,"f",FALSE)</f>
        <v>43538</v>
      </c>
      <c r="Y657" s="174">
        <f>_xll.qlInterestRateIndexValueDate(IborIndex,X657)</f>
        <v>43542</v>
      </c>
      <c r="Z657" s="175">
        <v>4.3135674440029853E-3</v>
      </c>
      <c r="AA657" s="177">
        <v>3.9561541147525858E-3</v>
      </c>
    </row>
    <row r="658" spans="23:27" x14ac:dyDescent="0.2">
      <c r="W658" s="173" t="str">
        <f t="shared" si="20"/>
        <v>1w</v>
      </c>
      <c r="X658" s="180">
        <f>_xll.qlCalendarAdvance(LiborCalendar,X657,W658,"f",FALSE)</f>
        <v>43545</v>
      </c>
      <c r="Y658" s="174">
        <f>_xll.qlInterestRateIndexValueDate(IborIndex,X658)</f>
        <v>43549</v>
      </c>
      <c r="Z658" s="175">
        <v>4.3453399325817888E-3</v>
      </c>
      <c r="AA658" s="177">
        <v>3.9867207616994804E-3</v>
      </c>
    </row>
    <row r="659" spans="23:27" x14ac:dyDescent="0.2">
      <c r="W659" s="173" t="str">
        <f t="shared" si="20"/>
        <v>1w</v>
      </c>
      <c r="X659" s="180">
        <f>_xll.qlCalendarAdvance(LiborCalendar,X658,W659,"f",FALSE)</f>
        <v>43552</v>
      </c>
      <c r="Y659" s="174">
        <f>_xll.qlInterestRateIndexValueDate(IborIndex,X659)</f>
        <v>43556</v>
      </c>
      <c r="Z659" s="175">
        <v>4.3748863932735653E-3</v>
      </c>
      <c r="AA659" s="177">
        <v>4.0174080062416184E-3</v>
      </c>
    </row>
    <row r="660" spans="23:27" x14ac:dyDescent="0.2">
      <c r="W660" s="173" t="str">
        <f t="shared" si="20"/>
        <v>1w</v>
      </c>
      <c r="X660" s="180">
        <f>_xll.qlCalendarAdvance(LiborCalendar,X659,W660,"f",FALSE)</f>
        <v>43559</v>
      </c>
      <c r="Y660" s="174">
        <f>_xll.qlInterestRateIndexValueDate(IborIndex,X660)</f>
        <v>43563</v>
      </c>
      <c r="Z660" s="175">
        <v>4.4068893903412704E-3</v>
      </c>
      <c r="AA660" s="177">
        <v>4.0482158484600461E-3</v>
      </c>
    </row>
    <row r="661" spans="23:27" x14ac:dyDescent="0.2">
      <c r="W661" s="173" t="str">
        <f t="shared" ref="W661:W724" si="21">W660</f>
        <v>1w</v>
      </c>
      <c r="X661" s="180">
        <f>_xll.qlCalendarAdvance(LiborCalendar,X660,W661,"f",FALSE)</f>
        <v>43566</v>
      </c>
      <c r="Y661" s="174">
        <f>_xll.qlInterestRateIndexValueDate(IborIndex,X661)</f>
        <v>43570</v>
      </c>
      <c r="Z661" s="175">
        <v>4.4390121170498212E-3</v>
      </c>
      <c r="AA661" s="177">
        <v>4.0791442883547635E-3</v>
      </c>
    </row>
    <row r="662" spans="23:27" x14ac:dyDescent="0.2">
      <c r="W662" s="173" t="str">
        <f t="shared" si="21"/>
        <v>1w</v>
      </c>
      <c r="X662" s="180">
        <f>_xll.qlCalendarAdvance(LiborCalendar,X661,W662,"f",FALSE)</f>
        <v>43573</v>
      </c>
      <c r="Y662" s="174">
        <f>_xll.qlInterestRateIndexValueDate(IborIndex,X662)</f>
        <v>43579</v>
      </c>
      <c r="Z662" s="175">
        <v>4.4804887043367108E-3</v>
      </c>
      <c r="AA662" s="177">
        <v>4.1190866301954454E-3</v>
      </c>
    </row>
    <row r="663" spans="23:27" x14ac:dyDescent="0.2">
      <c r="W663" s="173" t="str">
        <f t="shared" si="21"/>
        <v>1w</v>
      </c>
      <c r="X663" s="180">
        <f>_xll.qlCalendarAdvance(LiborCalendar,X662,W663,"f",FALSE)</f>
        <v>43580</v>
      </c>
      <c r="Y663" s="174">
        <f>_xll.qlInterestRateIndexValueDate(IborIndex,X663)</f>
        <v>43585</v>
      </c>
      <c r="Z663" s="175">
        <v>4.510632559905069E-3</v>
      </c>
      <c r="AA663" s="177">
        <v>4.1458256110737945E-3</v>
      </c>
    </row>
    <row r="664" spans="23:27" x14ac:dyDescent="0.2">
      <c r="W664" s="173" t="str">
        <f t="shared" si="21"/>
        <v>1w</v>
      </c>
      <c r="X664" s="180">
        <f>_xll.qlCalendarAdvance(LiborCalendar,X663,W664,"f",FALSE)</f>
        <v>43587</v>
      </c>
      <c r="Y664" s="174">
        <f>_xll.qlInterestRateIndexValueDate(IborIndex,X664)</f>
        <v>43592</v>
      </c>
      <c r="Z664" s="175">
        <v>4.5431405758620067E-3</v>
      </c>
      <c r="AA664" s="177">
        <v>4.1771330724915678E-3</v>
      </c>
    </row>
    <row r="665" spans="23:27" x14ac:dyDescent="0.2">
      <c r="W665" s="173" t="str">
        <f t="shared" si="21"/>
        <v>1w</v>
      </c>
      <c r="X665" s="180">
        <f>_xll.qlCalendarAdvance(LiborCalendar,X664,W665,"f",FALSE)</f>
        <v>43594</v>
      </c>
      <c r="Y665" s="174">
        <f>_xll.qlInterestRateIndexValueDate(IborIndex,X665)</f>
        <v>43598</v>
      </c>
      <c r="Z665" s="175">
        <v>4.5710997925590734E-3</v>
      </c>
      <c r="AA665" s="177">
        <v>4.2040640255069928E-3</v>
      </c>
    </row>
    <row r="666" spans="23:27" x14ac:dyDescent="0.2">
      <c r="W666" s="173" t="str">
        <f t="shared" si="21"/>
        <v>1w</v>
      </c>
      <c r="X666" s="180">
        <f>_xll.qlCalendarAdvance(LiborCalendar,X665,W666,"f",FALSE)</f>
        <v>43601</v>
      </c>
      <c r="Y666" s="174">
        <f>_xll.qlInterestRateIndexValueDate(IborIndex,X666)</f>
        <v>43605</v>
      </c>
      <c r="Z666" s="175">
        <v>4.6038296566628199E-3</v>
      </c>
      <c r="AA666" s="177">
        <v>4.2355954542694363E-3</v>
      </c>
    </row>
    <row r="667" spans="23:27" x14ac:dyDescent="0.2">
      <c r="W667" s="173" t="str">
        <f t="shared" si="21"/>
        <v>1w</v>
      </c>
      <c r="X667" s="180">
        <f>_xll.qlCalendarAdvance(LiborCalendar,X666,W667,"f",FALSE)</f>
        <v>43608</v>
      </c>
      <c r="Y667" s="174">
        <f>_xll.qlInterestRateIndexValueDate(IborIndex,X667)</f>
        <v>43613</v>
      </c>
      <c r="Z667" s="175">
        <v>4.6413808768157499E-3</v>
      </c>
      <c r="AA667" s="177">
        <v>4.2717790438562275E-3</v>
      </c>
    </row>
    <row r="668" spans="23:27" x14ac:dyDescent="0.2">
      <c r="W668" s="173" t="str">
        <f t="shared" si="21"/>
        <v>1w</v>
      </c>
      <c r="X668" s="180">
        <f>_xll.qlCalendarAdvance(LiborCalendar,X667,W668,"f",FALSE)</f>
        <v>43615</v>
      </c>
      <c r="Y668" s="174">
        <f>_xll.qlInterestRateIndexValueDate(IborIndex,X668)</f>
        <v>43619</v>
      </c>
      <c r="Z668" s="175">
        <v>4.6672199723031618E-3</v>
      </c>
      <c r="AA668" s="177">
        <v>4.2990201056336552E-3</v>
      </c>
    </row>
    <row r="669" spans="23:27" x14ac:dyDescent="0.2">
      <c r="W669" s="173" t="str">
        <f t="shared" si="21"/>
        <v>1w</v>
      </c>
      <c r="X669" s="180">
        <f>_xll.qlCalendarAdvance(LiborCalendar,X668,W669,"f",FALSE)</f>
        <v>43622</v>
      </c>
      <c r="Y669" s="174">
        <f>_xll.qlInterestRateIndexValueDate(IborIndex,X669)</f>
        <v>43626</v>
      </c>
      <c r="Z669" s="175">
        <v>4.700296954817453E-3</v>
      </c>
      <c r="AA669" s="177">
        <v>4.3309133282354306E-3</v>
      </c>
    </row>
    <row r="670" spans="23:27" x14ac:dyDescent="0.2">
      <c r="W670" s="173" t="str">
        <f t="shared" si="21"/>
        <v>1w</v>
      </c>
      <c r="X670" s="180">
        <f>_xll.qlCalendarAdvance(LiborCalendar,X669,W670,"f",FALSE)</f>
        <v>43629</v>
      </c>
      <c r="Y670" s="174">
        <f>_xll.qlInterestRateIndexValueDate(IborIndex,X670)</f>
        <v>43633</v>
      </c>
      <c r="Z670" s="175">
        <v>4.7334919171469507E-3</v>
      </c>
      <c r="AA670" s="177">
        <v>4.3629271487566346E-3</v>
      </c>
    </row>
    <row r="671" spans="23:27" x14ac:dyDescent="0.2">
      <c r="W671" s="173" t="str">
        <f t="shared" si="21"/>
        <v>1w</v>
      </c>
      <c r="X671" s="180">
        <f>_xll.qlCalendarAdvance(LiborCalendar,X670,W671,"f",FALSE)</f>
        <v>43636</v>
      </c>
      <c r="Y671" s="174">
        <f>_xll.qlInterestRateIndexValueDate(IborIndex,X671)</f>
        <v>43640</v>
      </c>
      <c r="Z671" s="175">
        <v>4.7668045146418824E-3</v>
      </c>
      <c r="AA671" s="177">
        <v>4.3950615672783133E-3</v>
      </c>
    </row>
    <row r="672" spans="23:27" x14ac:dyDescent="0.2">
      <c r="W672" s="173" t="str">
        <f t="shared" si="21"/>
        <v>1w</v>
      </c>
      <c r="X672" s="180">
        <f>_xll.qlCalendarAdvance(LiborCalendar,X671,W672,"f",FALSE)</f>
        <v>43643</v>
      </c>
      <c r="Y672" s="174">
        <f>_xll.qlInterestRateIndexValueDate(IborIndex,X672)</f>
        <v>43647</v>
      </c>
      <c r="Z672" s="175">
        <v>4.8150122037223953E-3</v>
      </c>
      <c r="AA672" s="177">
        <v>4.4273165839625594E-3</v>
      </c>
    </row>
    <row r="673" spans="23:27" x14ac:dyDescent="0.2">
      <c r="W673" s="173" t="str">
        <f t="shared" si="21"/>
        <v>1w</v>
      </c>
      <c r="X673" s="180">
        <f>_xll.qlCalendarAdvance(LiborCalendar,X672,W673,"f",FALSE)</f>
        <v>43650</v>
      </c>
      <c r="Y673" s="174">
        <f>_xll.qlInterestRateIndexValueDate(IborIndex,X673)</f>
        <v>43654</v>
      </c>
      <c r="Z673" s="175">
        <v>4.8362507559680627E-3</v>
      </c>
      <c r="AA673" s="177">
        <v>4.4596921985662341E-3</v>
      </c>
    </row>
    <row r="674" spans="23:27" x14ac:dyDescent="0.2">
      <c r="W674" s="173" t="str">
        <f t="shared" si="21"/>
        <v>1w</v>
      </c>
      <c r="X674" s="180">
        <f>_xll.qlCalendarAdvance(LiborCalendar,X673,W674,"f",FALSE)</f>
        <v>43657</v>
      </c>
      <c r="Y674" s="174">
        <f>_xll.qlInterestRateIndexValueDate(IborIndex,X674)</f>
        <v>43662</v>
      </c>
      <c r="Z674" s="175">
        <v>4.8747425969739386E-3</v>
      </c>
      <c r="AA674" s="177">
        <v>4.4968405721568239E-3</v>
      </c>
    </row>
    <row r="675" spans="23:27" x14ac:dyDescent="0.2">
      <c r="W675" s="173" t="str">
        <f t="shared" si="21"/>
        <v>1w</v>
      </c>
      <c r="X675" s="180">
        <f>_xll.qlCalendarAdvance(LiborCalendar,X674,W675,"f",FALSE)</f>
        <v>43664</v>
      </c>
      <c r="Y675" s="174">
        <f>_xll.qlInterestRateIndexValueDate(IborIndex,X675)</f>
        <v>43668</v>
      </c>
      <c r="Z675" s="175">
        <v>4.9037110904774821E-3</v>
      </c>
      <c r="AA675" s="177">
        <v>4.5248052221802393E-3</v>
      </c>
    </row>
    <row r="676" spans="23:27" x14ac:dyDescent="0.2">
      <c r="W676" s="173" t="str">
        <f t="shared" si="21"/>
        <v>1w</v>
      </c>
      <c r="X676" s="180">
        <f>_xll.qlCalendarAdvance(LiborCalendar,X675,W676,"f",FALSE)</f>
        <v>43671</v>
      </c>
      <c r="Y676" s="174">
        <f>_xll.qlInterestRateIndexValueDate(IborIndex,X676)</f>
        <v>43675</v>
      </c>
      <c r="Z676" s="175">
        <v>4.9376152617931351E-3</v>
      </c>
      <c r="AA676" s="177">
        <v>4.5575426312716161E-3</v>
      </c>
    </row>
    <row r="677" spans="23:27" x14ac:dyDescent="0.2">
      <c r="W677" s="173" t="str">
        <f t="shared" si="21"/>
        <v>1w</v>
      </c>
      <c r="X677" s="180">
        <f>_xll.qlCalendarAdvance(LiborCalendar,X676,W677,"f",FALSE)</f>
        <v>43678</v>
      </c>
      <c r="Y677" s="174">
        <f>_xll.qlInterestRateIndexValueDate(IborIndex,X677)</f>
        <v>43682</v>
      </c>
      <c r="Z677" s="175">
        <v>4.9716349788356869E-3</v>
      </c>
      <c r="AA677" s="177">
        <v>4.5904006385255602E-3</v>
      </c>
    </row>
    <row r="678" spans="23:27" x14ac:dyDescent="0.2">
      <c r="W678" s="173" t="str">
        <f t="shared" si="21"/>
        <v>1w</v>
      </c>
      <c r="X678" s="180">
        <f>_xll.qlCalendarAdvance(LiborCalendar,X677,W678,"f",FALSE)</f>
        <v>43685</v>
      </c>
      <c r="Y678" s="174">
        <f>_xll.qlInterestRateIndexValueDate(IborIndex,X678)</f>
        <v>43689</v>
      </c>
      <c r="Z678" s="175">
        <v>5.0057698988671268E-3</v>
      </c>
      <c r="AA678" s="177">
        <v>4.6233792441041643E-3</v>
      </c>
    </row>
    <row r="679" spans="23:27" x14ac:dyDescent="0.2">
      <c r="W679" s="173" t="str">
        <f t="shared" si="21"/>
        <v>1w</v>
      </c>
      <c r="X679" s="180">
        <f>_xll.qlCalendarAdvance(LiborCalendar,X678,W679,"f",FALSE)</f>
        <v>43692</v>
      </c>
      <c r="Y679" s="174">
        <f>_xll.qlInterestRateIndexValueDate(IborIndex,X679)</f>
        <v>43696</v>
      </c>
      <c r="Z679" s="175">
        <v>5.0400196791433594E-3</v>
      </c>
      <c r="AA679" s="177">
        <v>4.6564784478453358E-3</v>
      </c>
    </row>
    <row r="680" spans="23:27" x14ac:dyDescent="0.2">
      <c r="W680" s="173" t="str">
        <f t="shared" si="21"/>
        <v>1w</v>
      </c>
      <c r="X680" s="180">
        <f>_xll.qlCalendarAdvance(LiborCalendar,X679,W680,"f",FALSE)</f>
        <v>43699</v>
      </c>
      <c r="Y680" s="174">
        <f>_xll.qlInterestRateIndexValueDate(IborIndex,X680)</f>
        <v>43704</v>
      </c>
      <c r="Z680" s="175">
        <v>5.0793024906952535E-3</v>
      </c>
      <c r="AA680" s="177">
        <v>4.6944537806470343E-3</v>
      </c>
    </row>
    <row r="681" spans="23:27" x14ac:dyDescent="0.2">
      <c r="W681" s="173" t="str">
        <f t="shared" si="21"/>
        <v>1w</v>
      </c>
      <c r="X681" s="180">
        <f>_xll.qlCalendarAdvance(LiborCalendar,X680,W681,"f",FALSE)</f>
        <v>43706</v>
      </c>
      <c r="Y681" s="174">
        <f>_xll.qlInterestRateIndexValueDate(IborIndex,X681)</f>
        <v>43710</v>
      </c>
      <c r="Z681" s="175">
        <v>5.103787573592815E-3</v>
      </c>
      <c r="AA681" s="177">
        <v>4.7230386503016586E-3</v>
      </c>
    </row>
    <row r="682" spans="23:27" x14ac:dyDescent="0.2">
      <c r="W682" s="173" t="str">
        <f t="shared" si="21"/>
        <v>1w</v>
      </c>
      <c r="X682" s="180">
        <f>_xll.qlCalendarAdvance(LiborCalendar,X681,W682,"f",FALSE)</f>
        <v>43713</v>
      </c>
      <c r="Y682" s="174">
        <f>_xll.qlInterestRateIndexValueDate(IborIndex,X682)</f>
        <v>43717</v>
      </c>
      <c r="Z682" s="175">
        <v>5.1383629421526827E-3</v>
      </c>
      <c r="AA682" s="177">
        <v>4.7564996490168099E-3</v>
      </c>
    </row>
    <row r="683" spans="23:27" x14ac:dyDescent="0.2">
      <c r="W683" s="173" t="str">
        <f t="shared" si="21"/>
        <v>1w</v>
      </c>
      <c r="X683" s="180">
        <f>_xll.qlCalendarAdvance(LiborCalendar,X682,W683,"f",FALSE)</f>
        <v>43720</v>
      </c>
      <c r="Y683" s="174">
        <f>_xll.qlInterestRateIndexValueDate(IborIndex,X683)</f>
        <v>43725</v>
      </c>
      <c r="Z683" s="175">
        <v>5.1780166196691993E-3</v>
      </c>
      <c r="AA683" s="177">
        <v>4.7948884619508636E-3</v>
      </c>
    </row>
    <row r="684" spans="23:27" x14ac:dyDescent="0.2">
      <c r="W684" s="173" t="str">
        <f t="shared" si="21"/>
        <v>1w</v>
      </c>
      <c r="X684" s="180">
        <f>_xll.qlCalendarAdvance(LiborCalendar,X683,W684,"f",FALSE)</f>
        <v>43727</v>
      </c>
      <c r="Y684" s="174">
        <f>_xll.qlInterestRateIndexValueDate(IborIndex,X684)</f>
        <v>43732</v>
      </c>
      <c r="Z684" s="175">
        <v>5.2128347976609681E-3</v>
      </c>
      <c r="AA684" s="177">
        <v>4.8286078858905679E-3</v>
      </c>
    </row>
    <row r="685" spans="23:27" x14ac:dyDescent="0.2">
      <c r="W685" s="173" t="str">
        <f t="shared" si="21"/>
        <v>1w</v>
      </c>
      <c r="X685" s="180">
        <f>_xll.qlCalendarAdvance(LiborCalendar,X684,W685,"f",FALSE)</f>
        <v>43734</v>
      </c>
      <c r="Y685" s="174">
        <f>_xll.qlInterestRateIndexValueDate(IborIndex,X685)</f>
        <v>43738</v>
      </c>
      <c r="Z685" s="175">
        <v>5.2453395606204475E-3</v>
      </c>
      <c r="AA685" s="177">
        <v>4.8576062357585936E-3</v>
      </c>
    </row>
    <row r="686" spans="23:27" x14ac:dyDescent="0.2">
      <c r="W686" s="173" t="str">
        <f t="shared" si="21"/>
        <v>1w</v>
      </c>
      <c r="X686" s="180">
        <f>_xll.qlCalendarAdvance(LiborCalendar,X685,W686,"f",FALSE)</f>
        <v>43741</v>
      </c>
      <c r="Y686" s="174">
        <f>_xll.qlInterestRateIndexValueDate(IborIndex,X686)</f>
        <v>43745</v>
      </c>
      <c r="Z686" s="175">
        <v>5.2803753253710404E-3</v>
      </c>
      <c r="AA686" s="177">
        <v>4.8915496283397086E-3</v>
      </c>
    </row>
    <row r="687" spans="23:27" x14ac:dyDescent="0.2">
      <c r="W687" s="173" t="str">
        <f t="shared" si="21"/>
        <v>1w</v>
      </c>
      <c r="X687" s="180">
        <f>_xll.qlCalendarAdvance(LiborCalendar,X686,W687,"f",FALSE)</f>
        <v>43748</v>
      </c>
      <c r="Y687" s="174">
        <f>_xll.qlInterestRateIndexValueDate(IborIndex,X687)</f>
        <v>43753</v>
      </c>
      <c r="Z687" s="175">
        <v>5.3205534694055583E-3</v>
      </c>
      <c r="AA687" s="177">
        <v>4.9304897486301957E-3</v>
      </c>
    </row>
    <row r="688" spans="23:27" x14ac:dyDescent="0.2">
      <c r="W688" s="173" t="str">
        <f t="shared" si="21"/>
        <v>1w</v>
      </c>
      <c r="X688" s="180">
        <f>_xll.qlCalendarAdvance(LiborCalendar,X687,W688,"f",FALSE)</f>
        <v>43755</v>
      </c>
      <c r="Y688" s="174">
        <f>_xll.qlInterestRateIndexValueDate(IborIndex,X688)</f>
        <v>43759</v>
      </c>
      <c r="Z688" s="175">
        <v>5.3507828709802785E-3</v>
      </c>
      <c r="AA688" s="177">
        <v>4.9597982089621961E-3</v>
      </c>
    </row>
    <row r="689" spans="23:27" x14ac:dyDescent="0.2">
      <c r="W689" s="173" t="str">
        <f t="shared" si="21"/>
        <v>1w</v>
      </c>
      <c r="X689" s="180">
        <f>_xll.qlCalendarAdvance(LiborCalendar,X688,W689,"f",FALSE)</f>
        <v>43762</v>
      </c>
      <c r="Y689" s="174">
        <f>_xll.qlInterestRateIndexValueDate(IborIndex,X689)</f>
        <v>43766</v>
      </c>
      <c r="Z689" s="175">
        <v>5.3861539623899883E-3</v>
      </c>
      <c r="AA689" s="177">
        <v>4.9941033972467075E-3</v>
      </c>
    </row>
    <row r="690" spans="23:27" x14ac:dyDescent="0.2">
      <c r="W690" s="173" t="str">
        <f t="shared" si="21"/>
        <v>1w</v>
      </c>
      <c r="X690" s="180">
        <f>_xll.qlCalendarAdvance(LiborCalendar,X689,W690,"f",FALSE)</f>
        <v>43769</v>
      </c>
      <c r="Y690" s="174">
        <f>_xll.qlInterestRateIndexValueDate(IborIndex,X690)</f>
        <v>43774</v>
      </c>
      <c r="Z690" s="175">
        <v>5.4293291466758408E-3</v>
      </c>
      <c r="AA690" s="177">
        <v>5.0334567777099437E-3</v>
      </c>
    </row>
    <row r="691" spans="23:27" x14ac:dyDescent="0.2">
      <c r="W691" s="173" t="str">
        <f t="shared" si="21"/>
        <v>1w</v>
      </c>
      <c r="X691" s="180">
        <f>_xll.qlCalendarAdvance(LiborCalendar,X690,W691,"f",FALSE)</f>
        <v>43776</v>
      </c>
      <c r="Y691" s="174">
        <f>_xll.qlInterestRateIndexValueDate(IborIndex,X691)</f>
        <v>43780</v>
      </c>
      <c r="Z691" s="175">
        <v>5.454607630357604E-3</v>
      </c>
      <c r="AA691" s="177">
        <v>5.0630702407261641E-3</v>
      </c>
    </row>
    <row r="692" spans="23:27" x14ac:dyDescent="0.2">
      <c r="W692" s="173" t="str">
        <f t="shared" si="21"/>
        <v>1w</v>
      </c>
      <c r="X692" s="180">
        <f>_xll.qlCalendarAdvance(LiborCalendar,X691,W692,"f",FALSE)</f>
        <v>43783</v>
      </c>
      <c r="Y692" s="174">
        <f>_xll.qlInterestRateIndexValueDate(IborIndex,X692)</f>
        <v>43787</v>
      </c>
      <c r="Z692" s="175">
        <v>5.4903029017846165E-3</v>
      </c>
      <c r="AA692" s="177">
        <v>5.0977226572124223E-3</v>
      </c>
    </row>
    <row r="693" spans="23:27" x14ac:dyDescent="0.2">
      <c r="W693" s="173" t="str">
        <f t="shared" si="21"/>
        <v>1w</v>
      </c>
      <c r="X693" s="180">
        <f>_xll.qlCalendarAdvance(LiborCalendar,X692,W693,"f",FALSE)</f>
        <v>43790</v>
      </c>
      <c r="Y693" s="174">
        <f>_xll.qlInterestRateIndexValueDate(IborIndex,X693)</f>
        <v>43794</v>
      </c>
      <c r="Z693" s="175">
        <v>5.5287473197888929E-3</v>
      </c>
      <c r="AA693" s="177">
        <v>5.1324864021118355E-3</v>
      </c>
    </row>
    <row r="694" spans="23:27" x14ac:dyDescent="0.2">
      <c r="W694" s="173" t="str">
        <f t="shared" si="21"/>
        <v>1w</v>
      </c>
      <c r="X694" s="180">
        <f>_xll.qlCalendarAdvance(LiborCalendar,X693,W694,"f",FALSE)</f>
        <v>43797</v>
      </c>
      <c r="Y694" s="174">
        <f>_xll.qlInterestRateIndexValueDate(IborIndex,X694)</f>
        <v>43801</v>
      </c>
      <c r="Z694" s="175">
        <v>5.5646725570665939E-3</v>
      </c>
      <c r="AA694" s="177">
        <v>5.1673614753433572E-3</v>
      </c>
    </row>
    <row r="695" spans="23:27" x14ac:dyDescent="0.2">
      <c r="W695" s="173" t="str">
        <f t="shared" si="21"/>
        <v>1w</v>
      </c>
      <c r="X695" s="180">
        <f>_xll.qlCalendarAdvance(LiborCalendar,X694,W695,"f",FALSE)</f>
        <v>43804</v>
      </c>
      <c r="Y695" s="174">
        <f>_xll.qlInterestRateIndexValueDate(IborIndex,X695)</f>
        <v>43808</v>
      </c>
      <c r="Z695" s="175">
        <v>5.600708559696594E-3</v>
      </c>
      <c r="AA695" s="177">
        <v>5.2023478770690801E-3</v>
      </c>
    </row>
    <row r="696" spans="23:27" x14ac:dyDescent="0.2">
      <c r="W696" s="173" t="str">
        <f t="shared" si="21"/>
        <v>1w</v>
      </c>
      <c r="X696" s="180">
        <f>_xll.qlCalendarAdvance(LiborCalendar,X695,W696,"f",FALSE)</f>
        <v>43811</v>
      </c>
      <c r="Y696" s="174">
        <f>_xll.qlInterestRateIndexValueDate(IborIndex,X696)</f>
        <v>43815</v>
      </c>
      <c r="Z696" s="175">
        <v>5.6368553337256431E-3</v>
      </c>
      <c r="AA696" s="177">
        <v>5.2374456072079578E-3</v>
      </c>
    </row>
    <row r="697" spans="23:27" x14ac:dyDescent="0.2">
      <c r="W697" s="173" t="str">
        <f t="shared" si="21"/>
        <v>1w</v>
      </c>
      <c r="X697" s="180">
        <f>_xll.qlCalendarAdvance(LiborCalendar,X696,W697,"f",FALSE)</f>
        <v>43818</v>
      </c>
      <c r="Y697" s="174">
        <f>_xll.qlInterestRateIndexValueDate(IborIndex,X697)</f>
        <v>43823</v>
      </c>
      <c r="Z697" s="175">
        <v>5.6783015788439738E-3</v>
      </c>
      <c r="AA697" s="177">
        <v>5.282812061028209E-3</v>
      </c>
    </row>
    <row r="698" spans="23:27" x14ac:dyDescent="0.2">
      <c r="W698" s="173" t="str">
        <f t="shared" si="21"/>
        <v>1w</v>
      </c>
      <c r="X698" s="180">
        <f>_xll.qlCalendarAdvance(LiborCalendar,X697,W698,"f",FALSE)</f>
        <v>43826</v>
      </c>
      <c r="Y698" s="174">
        <f>_xll.qlInterestRateIndexValueDate(IborIndex,X698)</f>
        <v>43836</v>
      </c>
      <c r="Z698" s="175">
        <v>5.7432710720924963E-3</v>
      </c>
      <c r="AA698" s="177">
        <v>5.3434067686708442E-3</v>
      </c>
    </row>
    <row r="699" spans="23:27" x14ac:dyDescent="0.2">
      <c r="W699" s="173" t="str">
        <f t="shared" si="21"/>
        <v>1w</v>
      </c>
      <c r="X699" s="180">
        <f>_xll.qlCalendarAdvance(LiborCalendar,X698,W699,"f",FALSE)</f>
        <v>43833</v>
      </c>
      <c r="Y699" s="174">
        <f>_xll.qlInterestRateIndexValueDate(IborIndex,X699)</f>
        <v>43837</v>
      </c>
      <c r="Z699" s="175">
        <v>5.7484902061861916E-3</v>
      </c>
      <c r="AA699" s="177">
        <v>5.348477530455753E-3</v>
      </c>
    </row>
    <row r="700" spans="23:27" x14ac:dyDescent="0.2">
      <c r="W700" s="173" t="str">
        <f t="shared" si="21"/>
        <v>1w</v>
      </c>
      <c r="X700" s="180">
        <f>_xll.qlCalendarAdvance(LiborCalendar,X699,W700,"f",FALSE)</f>
        <v>43840</v>
      </c>
      <c r="Y700" s="174">
        <f>_xll.qlInterestRateIndexValueDate(IborIndex,X700)</f>
        <v>43844</v>
      </c>
      <c r="Z700" s="175">
        <v>5.785087454829637E-3</v>
      </c>
      <c r="AA700" s="177">
        <v>5.3840364788504402E-3</v>
      </c>
    </row>
    <row r="701" spans="23:27" x14ac:dyDescent="0.2">
      <c r="W701" s="173" t="str">
        <f t="shared" si="21"/>
        <v>1w</v>
      </c>
      <c r="X701" s="180">
        <f>_xll.qlCalendarAdvance(LiborCalendar,X700,W701,"f",FALSE)</f>
        <v>43847</v>
      </c>
      <c r="Y701" s="174">
        <f>_xll.qlInterestRateIndexValueDate(IborIndex,X701)</f>
        <v>43851</v>
      </c>
      <c r="Z701" s="175">
        <v>5.8217955003199446E-3</v>
      </c>
      <c r="AA701" s="177">
        <v>5.4197067559014211E-3</v>
      </c>
    </row>
    <row r="702" spans="23:27" x14ac:dyDescent="0.2">
      <c r="W702" s="173" t="str">
        <f t="shared" si="21"/>
        <v>1w</v>
      </c>
      <c r="X702" s="180">
        <f>_xll.qlCalendarAdvance(LiborCalendar,X701,W702,"f",FALSE)</f>
        <v>43854</v>
      </c>
      <c r="Y702" s="174">
        <f>_xll.qlInterestRateIndexValueDate(IborIndex,X702)</f>
        <v>43858</v>
      </c>
      <c r="Z702" s="175">
        <v>5.8586143487832027E-3</v>
      </c>
      <c r="AA702" s="177">
        <v>5.4554883616086958E-3</v>
      </c>
    </row>
    <row r="703" spans="23:27" x14ac:dyDescent="0.2">
      <c r="W703" s="173" t="str">
        <f t="shared" si="21"/>
        <v>1w</v>
      </c>
      <c r="X703" s="180">
        <f>_xll.qlCalendarAdvance(LiborCalendar,X702,W703,"f",FALSE)</f>
        <v>43861</v>
      </c>
      <c r="Y703" s="174">
        <f>_xll.qlInterestRateIndexValueDate(IborIndex,X703)</f>
        <v>43865</v>
      </c>
      <c r="Z703" s="175">
        <v>5.8955440063630689E-3</v>
      </c>
      <c r="AA703" s="177">
        <v>5.4913812958912178E-3</v>
      </c>
    </row>
    <row r="704" spans="23:27" x14ac:dyDescent="0.2">
      <c r="W704" s="173" t="str">
        <f t="shared" si="21"/>
        <v>1w</v>
      </c>
      <c r="X704" s="180">
        <f>_xll.qlCalendarAdvance(LiborCalendar,X703,W704,"f",FALSE)</f>
        <v>43868</v>
      </c>
      <c r="Y704" s="174">
        <f>_xll.qlInterestRateIndexValueDate(IborIndex,X704)</f>
        <v>43873</v>
      </c>
      <c r="Z704" s="175">
        <v>5.9378850218501991E-3</v>
      </c>
      <c r="AA704" s="177">
        <v>5.5325381132509399E-3</v>
      </c>
    </row>
    <row r="705" spans="23:27" x14ac:dyDescent="0.2">
      <c r="W705" s="173" t="str">
        <f t="shared" si="21"/>
        <v>1w</v>
      </c>
      <c r="X705" s="180">
        <f>_xll.qlCalendarAdvance(LiborCalendar,X704,W705,"f",FALSE)</f>
        <v>43875</v>
      </c>
      <c r="Y705" s="174">
        <f>_xll.qlInterestRateIndexValueDate(IborIndex,X705)</f>
        <v>43879</v>
      </c>
      <c r="Z705" s="175">
        <v>5.9697357735421213E-3</v>
      </c>
      <c r="AA705" s="177">
        <v>5.5635011508303744E-3</v>
      </c>
    </row>
    <row r="706" spans="23:27" x14ac:dyDescent="0.2">
      <c r="W706" s="173" t="str">
        <f t="shared" si="21"/>
        <v>1w</v>
      </c>
      <c r="X706" s="180">
        <f>_xll.qlCalendarAdvance(LiborCalendar,X705,W706,"f",FALSE)</f>
        <v>43882</v>
      </c>
      <c r="Y706" s="174">
        <f>_xll.qlInterestRateIndexValueDate(IborIndex,X706)</f>
        <v>43886</v>
      </c>
      <c r="Z706" s="175">
        <v>6.0069978955217341E-3</v>
      </c>
      <c r="AA706" s="177">
        <v>5.5997280715680553E-3</v>
      </c>
    </row>
    <row r="707" spans="23:27" x14ac:dyDescent="0.2">
      <c r="W707" s="173" t="str">
        <f t="shared" si="21"/>
        <v>1w</v>
      </c>
      <c r="X707" s="180">
        <f>_xll.qlCalendarAdvance(LiborCalendar,X706,W707,"f",FALSE)</f>
        <v>43889</v>
      </c>
      <c r="Y707" s="174">
        <f>_xll.qlInterestRateIndexValueDate(IborIndex,X707)</f>
        <v>43893</v>
      </c>
      <c r="Z707" s="175">
        <v>6.0498890102249053E-3</v>
      </c>
      <c r="AA707" s="177">
        <v>5.6360663209620299E-3</v>
      </c>
    </row>
    <row r="708" spans="23:27" x14ac:dyDescent="0.2">
      <c r="W708" s="173" t="str">
        <f t="shared" si="21"/>
        <v>1w</v>
      </c>
      <c r="X708" s="180">
        <f>_xll.qlCalendarAdvance(LiborCalendar,X707,W708,"f",FALSE)</f>
        <v>43896</v>
      </c>
      <c r="Y708" s="174">
        <f>_xll.qlInterestRateIndexValueDate(IborIndex,X708)</f>
        <v>43900</v>
      </c>
      <c r="Z708" s="175">
        <v>6.0873899046590251E-3</v>
      </c>
      <c r="AA708" s="177">
        <v>5.672515899255437E-3</v>
      </c>
    </row>
    <row r="709" spans="23:27" x14ac:dyDescent="0.2">
      <c r="W709" s="173" t="str">
        <f t="shared" si="21"/>
        <v>1w</v>
      </c>
      <c r="X709" s="180">
        <f>_xll.qlCalendarAdvance(LiborCalendar,X708,W709,"f",FALSE)</f>
        <v>43903</v>
      </c>
      <c r="Y709" s="174">
        <f>_xll.qlInterestRateIndexValueDate(IborIndex,X709)</f>
        <v>43907</v>
      </c>
      <c r="Z709" s="175">
        <v>6.1250016579174407E-3</v>
      </c>
      <c r="AA709" s="177">
        <v>5.7090768064482766E-3</v>
      </c>
    </row>
    <row r="710" spans="23:27" x14ac:dyDescent="0.2">
      <c r="W710" s="173" t="str">
        <f t="shared" si="21"/>
        <v>1w</v>
      </c>
      <c r="X710" s="180">
        <f>_xll.qlCalendarAdvance(LiborCalendar,X709,W710,"f",FALSE)</f>
        <v>43910</v>
      </c>
      <c r="Y710" s="174">
        <f>_xll.qlInterestRateIndexValueDate(IborIndex,X710)</f>
        <v>43914</v>
      </c>
      <c r="Z710" s="175">
        <v>6.1627242763463777E-3</v>
      </c>
      <c r="AA710" s="177">
        <v>5.7457490426215951E-3</v>
      </c>
    </row>
    <row r="711" spans="23:27" x14ac:dyDescent="0.2">
      <c r="W711" s="173" t="str">
        <f t="shared" si="21"/>
        <v>1w</v>
      </c>
      <c r="X711" s="180">
        <f>_xll.qlCalendarAdvance(LiborCalendar,X710,W711,"f",FALSE)</f>
        <v>43917</v>
      </c>
      <c r="Y711" s="174">
        <f>_xll.qlInterestRateIndexValueDate(IborIndex,X711)</f>
        <v>43921</v>
      </c>
      <c r="Z711" s="175">
        <v>6.1977640285163999E-3</v>
      </c>
      <c r="AA711" s="177">
        <v>5.7825326077753925E-3</v>
      </c>
    </row>
    <row r="712" spans="23:27" x14ac:dyDescent="0.2">
      <c r="W712" s="173" t="str">
        <f t="shared" si="21"/>
        <v>1w</v>
      </c>
      <c r="X712" s="180">
        <f>_xll.qlCalendarAdvance(LiborCalendar,X711,W712,"f",FALSE)</f>
        <v>43924</v>
      </c>
      <c r="Y712" s="174">
        <f>_xll.qlInterestRateIndexValueDate(IborIndex,X712)</f>
        <v>43928</v>
      </c>
      <c r="Z712" s="175">
        <v>6.2356998215976935E-3</v>
      </c>
      <c r="AA712" s="177">
        <v>5.8194275018286223E-3</v>
      </c>
    </row>
    <row r="713" spans="23:27" x14ac:dyDescent="0.2">
      <c r="W713" s="173" t="str">
        <f t="shared" si="21"/>
        <v>1w</v>
      </c>
      <c r="X713" s="180">
        <f>_xll.qlCalendarAdvance(LiborCalendar,X712,W713,"f",FALSE)</f>
        <v>43935</v>
      </c>
      <c r="Y713" s="174">
        <f>_xll.qlInterestRateIndexValueDate(IborIndex,X713)</f>
        <v>43937</v>
      </c>
      <c r="Z713" s="175">
        <v>6.2846373362931479E-3</v>
      </c>
      <c r="AA713" s="177">
        <v>5.8670273796979089E-3</v>
      </c>
    </row>
    <row r="714" spans="23:27" x14ac:dyDescent="0.2">
      <c r="W714" s="173" t="str">
        <f t="shared" si="21"/>
        <v>1w</v>
      </c>
      <c r="X714" s="180">
        <f>_xll.qlCalendarAdvance(LiborCalendar,X713,W714,"f",FALSE)</f>
        <v>43942</v>
      </c>
      <c r="Y714" s="174">
        <f>_xll.qlInterestRateIndexValueDate(IborIndex,X714)</f>
        <v>43944</v>
      </c>
      <c r="Z714" s="175">
        <v>6.3228265740674335E-3</v>
      </c>
      <c r="AA714" s="177">
        <v>5.9041767401890599E-3</v>
      </c>
    </row>
    <row r="715" spans="23:27" x14ac:dyDescent="0.2">
      <c r="W715" s="173" t="str">
        <f t="shared" si="21"/>
        <v>1w</v>
      </c>
      <c r="X715" s="180">
        <f>_xll.qlCalendarAdvance(LiborCalendar,X714,W715,"f",FALSE)</f>
        <v>43949</v>
      </c>
      <c r="Y715" s="174">
        <f>_xll.qlInterestRateIndexValueDate(IborIndex,X715)</f>
        <v>43951</v>
      </c>
      <c r="Z715" s="175">
        <v>6.3611267044094153E-3</v>
      </c>
      <c r="AA715" s="177">
        <v>5.9414374297417361E-3</v>
      </c>
    </row>
    <row r="716" spans="23:27" x14ac:dyDescent="0.2">
      <c r="W716" s="173" t="str">
        <f t="shared" si="21"/>
        <v>1w</v>
      </c>
      <c r="X716" s="180">
        <f>_xll.qlCalendarAdvance(LiborCalendar,X715,W716,"f",FALSE)</f>
        <v>43956</v>
      </c>
      <c r="Y716" s="174">
        <f>_xll.qlInterestRateIndexValueDate(IborIndex,X716)</f>
        <v>43958</v>
      </c>
      <c r="Z716" s="175">
        <v>6.4080568119919967E-3</v>
      </c>
      <c r="AA716" s="177">
        <v>5.9788094484369836E-3</v>
      </c>
    </row>
    <row r="717" spans="23:27" x14ac:dyDescent="0.2">
      <c r="W717" s="173" t="str">
        <f t="shared" si="21"/>
        <v>1w</v>
      </c>
      <c r="X717" s="180">
        <f>_xll.qlCalendarAdvance(LiborCalendar,X716,W717,"f",FALSE)</f>
        <v>43963</v>
      </c>
      <c r="Y717" s="174">
        <f>_xll.qlInterestRateIndexValueDate(IborIndex,X717)</f>
        <v>43965</v>
      </c>
      <c r="Z717" s="175">
        <v>6.4465932462627468E-3</v>
      </c>
      <c r="AA717" s="177">
        <v>6.0162927962748025E-3</v>
      </c>
    </row>
    <row r="718" spans="23:27" x14ac:dyDescent="0.2">
      <c r="W718" s="173" t="str">
        <f t="shared" si="21"/>
        <v>1w</v>
      </c>
      <c r="X718" s="180">
        <f>_xll.qlCalendarAdvance(LiborCalendar,X717,W718,"f",FALSE)</f>
        <v>43970</v>
      </c>
      <c r="Y718" s="174">
        <f>_xll.qlInterestRateIndexValueDate(IborIndex,X718)</f>
        <v>43972</v>
      </c>
      <c r="Z718" s="175">
        <v>6.488066834983491E-3</v>
      </c>
      <c r="AA718" s="177">
        <v>6.0538874733362391E-3</v>
      </c>
    </row>
    <row r="719" spans="23:27" x14ac:dyDescent="0.2">
      <c r="W719" s="173" t="str">
        <f t="shared" si="21"/>
        <v>1w</v>
      </c>
      <c r="X719" s="180">
        <f>_xll.qlCalendarAdvance(LiborCalendar,X718,W719,"f",FALSE)</f>
        <v>43977</v>
      </c>
      <c r="Y719" s="174">
        <f>_xll.qlInterestRateIndexValueDate(IborIndex,X719)</f>
        <v>43979</v>
      </c>
      <c r="Z719" s="175">
        <v>6.5239095577805609E-3</v>
      </c>
      <c r="AA719" s="177">
        <v>6.0915934797023397E-3</v>
      </c>
    </row>
    <row r="720" spans="23:27" x14ac:dyDescent="0.2">
      <c r="W720" s="173" t="str">
        <f t="shared" si="21"/>
        <v>1w</v>
      </c>
      <c r="X720" s="180">
        <f>_xll.qlCalendarAdvance(LiborCalendar,X719,W720,"f",FALSE)</f>
        <v>43984</v>
      </c>
      <c r="Y720" s="174">
        <f>_xll.qlInterestRateIndexValueDate(IborIndex,X720)</f>
        <v>43986</v>
      </c>
      <c r="Z720" s="175">
        <v>6.5540970057772546E-3</v>
      </c>
      <c r="AA720" s="177">
        <v>6.1294108152920579E-3</v>
      </c>
    </row>
    <row r="721" spans="23:27" x14ac:dyDescent="0.2">
      <c r="W721" s="173" t="str">
        <f t="shared" si="21"/>
        <v>1w</v>
      </c>
      <c r="X721" s="180">
        <f>_xll.qlCalendarAdvance(LiborCalendar,X720,W721,"f",FALSE)</f>
        <v>43991</v>
      </c>
      <c r="Y721" s="174">
        <f>_xll.qlInterestRateIndexValueDate(IborIndex,X721)</f>
        <v>43993</v>
      </c>
      <c r="Z721" s="175">
        <v>6.5928926999177587E-3</v>
      </c>
      <c r="AA721" s="177">
        <v>6.1673394801053938E-3</v>
      </c>
    </row>
    <row r="722" spans="23:27" x14ac:dyDescent="0.2">
      <c r="W722" s="173" t="str">
        <f t="shared" si="21"/>
        <v>1w</v>
      </c>
      <c r="X722" s="180">
        <f>_xll.qlCalendarAdvance(LiborCalendar,X721,W722,"f",FALSE)</f>
        <v>43998</v>
      </c>
      <c r="Y722" s="174">
        <f>_xll.qlInterestRateIndexValueDate(IborIndex,X722)</f>
        <v>44000</v>
      </c>
      <c r="Z722" s="175">
        <v>6.6317211760784211E-3</v>
      </c>
      <c r="AA722" s="177">
        <v>6.2053794743854862E-3</v>
      </c>
    </row>
    <row r="723" spans="23:27" x14ac:dyDescent="0.2">
      <c r="W723" s="173" t="str">
        <f t="shared" si="21"/>
        <v>1w</v>
      </c>
      <c r="X723" s="180">
        <f>_xll.qlCalendarAdvance(LiborCalendar,X722,W723,"f",FALSE)</f>
        <v>44005</v>
      </c>
      <c r="Y723" s="174">
        <f>_xll.qlInterestRateIndexValueDate(IborIndex,X723)</f>
        <v>44007</v>
      </c>
      <c r="Z723" s="175">
        <v>6.6819541427564763E-3</v>
      </c>
      <c r="AA723" s="177">
        <v>6.2435307980512889E-3</v>
      </c>
    </row>
    <row r="724" spans="23:27" x14ac:dyDescent="0.2">
      <c r="W724" s="173" t="str">
        <f t="shared" si="21"/>
        <v>1w</v>
      </c>
      <c r="X724" s="180">
        <f>_xll.qlCalendarAdvance(LiborCalendar,X723,W724,"f",FALSE)</f>
        <v>44012</v>
      </c>
      <c r="Y724" s="174">
        <f>_xll.qlInterestRateIndexValueDate(IborIndex,X724)</f>
        <v>44014</v>
      </c>
      <c r="Z724" s="175">
        <v>6.7179417406717078E-3</v>
      </c>
      <c r="AA724" s="177">
        <v>6.2817934510217555E-3</v>
      </c>
    </row>
    <row r="725" spans="23:27" x14ac:dyDescent="0.2">
      <c r="W725" s="173" t="str">
        <f t="shared" ref="W725:W788" si="22">W724</f>
        <v>1w</v>
      </c>
      <c r="X725" s="180">
        <f>_xll.qlCalendarAdvance(LiborCalendar,X724,W725,"f",FALSE)</f>
        <v>44019</v>
      </c>
      <c r="Y725" s="174">
        <f>_xll.qlInterestRateIndexValueDate(IborIndex,X725)</f>
        <v>44021</v>
      </c>
      <c r="Z725" s="175">
        <v>6.7595912074142504E-3</v>
      </c>
      <c r="AA725" s="177">
        <v>6.3201674335400249E-3</v>
      </c>
    </row>
    <row r="726" spans="23:27" x14ac:dyDescent="0.2">
      <c r="W726" s="173" t="str">
        <f t="shared" si="22"/>
        <v>1w</v>
      </c>
      <c r="X726" s="180">
        <f>_xll.qlCalendarAdvance(LiborCalendar,X725,W726,"f",FALSE)</f>
        <v>44026</v>
      </c>
      <c r="Y726" s="174">
        <f>_xll.qlInterestRateIndexValueDate(IborIndex,X726)</f>
        <v>44028</v>
      </c>
      <c r="Z726" s="175">
        <v>6.7955457086614976E-3</v>
      </c>
      <c r="AA726" s="177">
        <v>6.3586527454440045E-3</v>
      </c>
    </row>
    <row r="727" spans="23:27" x14ac:dyDescent="0.2">
      <c r="W727" s="173" t="str">
        <f t="shared" si="22"/>
        <v>1w</v>
      </c>
      <c r="X727" s="180">
        <f>_xll.qlCalendarAdvance(LiborCalendar,X726,W727,"f",FALSE)</f>
        <v>44033</v>
      </c>
      <c r="Y727" s="174">
        <f>_xll.qlInterestRateIndexValueDate(IborIndex,X727)</f>
        <v>44035</v>
      </c>
      <c r="Z727" s="175">
        <v>6.83428758863184E-3</v>
      </c>
      <c r="AA727" s="177">
        <v>6.3972493869768332E-3</v>
      </c>
    </row>
    <row r="728" spans="23:27" x14ac:dyDescent="0.2">
      <c r="W728" s="173" t="str">
        <f t="shared" si="22"/>
        <v>1w</v>
      </c>
      <c r="X728" s="180">
        <f>_xll.qlCalendarAdvance(LiborCalendar,X727,W728,"f",FALSE)</f>
        <v>44040</v>
      </c>
      <c r="Y728" s="174">
        <f>_xll.qlInterestRateIndexValueDate(IborIndex,X728)</f>
        <v>44042</v>
      </c>
      <c r="Z728" s="175">
        <v>6.8645525052327631E-3</v>
      </c>
      <c r="AA728" s="177">
        <v>6.4359573579764184E-3</v>
      </c>
    </row>
    <row r="729" spans="23:27" x14ac:dyDescent="0.2">
      <c r="W729" s="173" t="str">
        <f t="shared" si="22"/>
        <v>1w</v>
      </c>
      <c r="X729" s="180">
        <f>_xll.qlCalendarAdvance(LiborCalendar,X728,W729,"f",FALSE)</f>
        <v>44047</v>
      </c>
      <c r="Y729" s="174">
        <f>_xll.qlInterestRateIndexValueDate(IborIndex,X729)</f>
        <v>44049</v>
      </c>
      <c r="Z729" s="175">
        <v>6.9115783813028337E-3</v>
      </c>
      <c r="AA729" s="177">
        <v>6.4747766586048527E-3</v>
      </c>
    </row>
    <row r="730" spans="23:27" x14ac:dyDescent="0.2">
      <c r="W730" s="173" t="str">
        <f t="shared" si="22"/>
        <v>1w</v>
      </c>
      <c r="X730" s="180">
        <f>_xll.qlCalendarAdvance(LiborCalendar,X729,W730,"f",FALSE)</f>
        <v>44054</v>
      </c>
      <c r="Y730" s="174">
        <f>_xll.qlInterestRateIndexValueDate(IborIndex,X730)</f>
        <v>44056</v>
      </c>
      <c r="Z730" s="175">
        <v>6.9500981868558251E-3</v>
      </c>
      <c r="AA730" s="177">
        <v>6.5137072887810898E-3</v>
      </c>
    </row>
    <row r="731" spans="23:27" x14ac:dyDescent="0.2">
      <c r="W731" s="173" t="str">
        <f t="shared" si="22"/>
        <v>1w</v>
      </c>
      <c r="X731" s="180">
        <f>_xll.qlCalendarAdvance(LiborCalendar,X730,W731,"f",FALSE)</f>
        <v>44061</v>
      </c>
      <c r="Y731" s="174">
        <f>_xll.qlInterestRateIndexValueDate(IborIndex,X731)</f>
        <v>44063</v>
      </c>
      <c r="Z731" s="175">
        <v>6.9885148585456473E-3</v>
      </c>
      <c r="AA731" s="177">
        <v>6.5527492487482686E-3</v>
      </c>
    </row>
    <row r="732" spans="23:27" x14ac:dyDescent="0.2">
      <c r="W732" s="173" t="str">
        <f t="shared" si="22"/>
        <v>1w</v>
      </c>
      <c r="X732" s="180">
        <f>_xll.qlCalendarAdvance(LiborCalendar,X731,W732,"f",FALSE)</f>
        <v>44068</v>
      </c>
      <c r="Y732" s="174">
        <f>_xll.qlInterestRateIndexValueDate(IborIndex,X732)</f>
        <v>44070</v>
      </c>
      <c r="Z732" s="175">
        <v>7.0185560317380501E-3</v>
      </c>
      <c r="AA732" s="177">
        <v>6.5919025382632501E-3</v>
      </c>
    </row>
    <row r="733" spans="23:27" x14ac:dyDescent="0.2">
      <c r="W733" s="173" t="str">
        <f t="shared" si="22"/>
        <v>1w</v>
      </c>
      <c r="X733" s="180">
        <f>_xll.qlCalendarAdvance(LiborCalendar,X732,W733,"f",FALSE)</f>
        <v>44075</v>
      </c>
      <c r="Y733" s="174">
        <f>_xll.qlInterestRateIndexValueDate(IborIndex,X733)</f>
        <v>44077</v>
      </c>
      <c r="Z733" s="175">
        <v>7.0512865232920229E-3</v>
      </c>
      <c r="AA733" s="177">
        <v>6.6311671575691733E-3</v>
      </c>
    </row>
    <row r="734" spans="23:27" x14ac:dyDescent="0.2">
      <c r="W734" s="173" t="str">
        <f t="shared" si="22"/>
        <v>1w</v>
      </c>
      <c r="X734" s="180">
        <f>_xll.qlCalendarAdvance(LiborCalendar,X733,W734,"f",FALSE)</f>
        <v>44082</v>
      </c>
      <c r="Y734" s="174">
        <f>_xll.qlInterestRateIndexValueDate(IborIndex,X734)</f>
        <v>44084</v>
      </c>
      <c r="Z734" s="175">
        <v>7.0893871269338124E-3</v>
      </c>
      <c r="AA734" s="177">
        <v>6.6705431066660381E-3</v>
      </c>
    </row>
    <row r="735" spans="23:27" x14ac:dyDescent="0.2">
      <c r="W735" s="173" t="str">
        <f t="shared" si="22"/>
        <v>1w</v>
      </c>
      <c r="X735" s="180">
        <f>_xll.qlCalendarAdvance(LiborCalendar,X734,W735,"f",FALSE)</f>
        <v>44089</v>
      </c>
      <c r="Y735" s="174">
        <f>_xll.qlInterestRateIndexValueDate(IborIndex,X735)</f>
        <v>44091</v>
      </c>
      <c r="Z735" s="175">
        <v>7.1273295225031041E-3</v>
      </c>
      <c r="AA735" s="177">
        <v>6.7100303855538446E-3</v>
      </c>
    </row>
    <row r="736" spans="23:27" x14ac:dyDescent="0.2">
      <c r="W736" s="173" t="str">
        <f t="shared" si="22"/>
        <v>1w</v>
      </c>
      <c r="X736" s="180">
        <f>_xll.qlCalendarAdvance(LiborCalendar,X735,W736,"f",FALSE)</f>
        <v>44096</v>
      </c>
      <c r="Y736" s="174">
        <f>_xll.qlInterestRateIndexValueDate(IborIndex,X736)</f>
        <v>44098</v>
      </c>
      <c r="Z736" s="175">
        <v>7.1650987491487742E-3</v>
      </c>
      <c r="AA736" s="177">
        <v>6.7496289943136389E-3</v>
      </c>
    </row>
    <row r="737" spans="23:27" x14ac:dyDescent="0.2">
      <c r="W737" s="173" t="str">
        <f t="shared" si="22"/>
        <v>1w</v>
      </c>
      <c r="X737" s="180">
        <f>_xll.qlCalendarAdvance(LiborCalendar,X736,W737,"f",FALSE)</f>
        <v>44103</v>
      </c>
      <c r="Y737" s="174">
        <f>_xll.qlInterestRateIndexValueDate(IborIndex,X737)</f>
        <v>44105</v>
      </c>
      <c r="Z737" s="175">
        <v>7.2053541544615024E-3</v>
      </c>
      <c r="AA737" s="177">
        <v>6.789338932864375E-3</v>
      </c>
    </row>
    <row r="738" spans="23:27" x14ac:dyDescent="0.2">
      <c r="W738" s="173" t="str">
        <f t="shared" si="22"/>
        <v>1w</v>
      </c>
      <c r="X738" s="180">
        <f>_xll.qlCalendarAdvance(LiborCalendar,X737,W738,"f",FALSE)</f>
        <v>44110</v>
      </c>
      <c r="Y738" s="174">
        <f>_xll.qlInterestRateIndexValueDate(IborIndex,X738)</f>
        <v>44112</v>
      </c>
      <c r="Z738" s="175">
        <v>7.2427139918606071E-3</v>
      </c>
      <c r="AA738" s="177">
        <v>6.8291602013681452E-3</v>
      </c>
    </row>
    <row r="739" spans="23:27" x14ac:dyDescent="0.2">
      <c r="W739" s="173" t="str">
        <f t="shared" si="22"/>
        <v>1w</v>
      </c>
      <c r="X739" s="180">
        <f>_xll.qlCalendarAdvance(LiborCalendar,X738,W739,"f",FALSE)</f>
        <v>44117</v>
      </c>
      <c r="Y739" s="174">
        <f>_xll.qlInterestRateIndexValueDate(IborIndex,X739)</f>
        <v>44119</v>
      </c>
      <c r="Z739" s="175">
        <v>7.279855452874605E-3</v>
      </c>
      <c r="AA739" s="177">
        <v>6.8690927999059959E-3</v>
      </c>
    </row>
    <row r="740" spans="23:27" x14ac:dyDescent="0.2">
      <c r="W740" s="173" t="str">
        <f t="shared" si="22"/>
        <v>1w</v>
      </c>
      <c r="X740" s="180">
        <f>_xll.qlCalendarAdvance(LiborCalendar,X739,W740,"f",FALSE)</f>
        <v>44124</v>
      </c>
      <c r="Y740" s="174">
        <f>_xll.qlInterestRateIndexValueDate(IborIndex,X740)</f>
        <v>44126</v>
      </c>
      <c r="Z740" s="175">
        <v>7.3167636541417004E-3</v>
      </c>
      <c r="AA740" s="177">
        <v>6.9091367283158345E-3</v>
      </c>
    </row>
    <row r="741" spans="23:27" x14ac:dyDescent="0.2">
      <c r="W741" s="173" t="str">
        <f t="shared" si="22"/>
        <v>1w</v>
      </c>
      <c r="X741" s="180">
        <f>_xll.qlCalendarAdvance(LiborCalendar,X740,W741,"f",FALSE)</f>
        <v>44131</v>
      </c>
      <c r="Y741" s="174">
        <f>_xll.qlInterestRateIndexValueDate(IborIndex,X741)</f>
        <v>44133</v>
      </c>
      <c r="Z741" s="175">
        <v>7.3560220059116308E-3</v>
      </c>
      <c r="AA741" s="177">
        <v>6.9492919868407999E-3</v>
      </c>
    </row>
    <row r="742" spans="23:27" x14ac:dyDescent="0.2">
      <c r="W742" s="173" t="str">
        <f t="shared" si="22"/>
        <v>1w</v>
      </c>
      <c r="X742" s="180">
        <f>_xll.qlCalendarAdvance(LiborCalendar,X741,W742,"f",FALSE)</f>
        <v>44138</v>
      </c>
      <c r="Y742" s="174">
        <f>_xll.qlInterestRateIndexValueDate(IborIndex,X742)</f>
        <v>44140</v>
      </c>
      <c r="Z742" s="175">
        <v>7.3898207460926912E-3</v>
      </c>
      <c r="AA742" s="177">
        <v>6.9895492757443556E-3</v>
      </c>
    </row>
    <row r="743" spans="23:27" x14ac:dyDescent="0.2">
      <c r="W743" s="173" t="str">
        <f t="shared" si="22"/>
        <v>1w</v>
      </c>
      <c r="X743" s="180">
        <f>_xll.qlCalendarAdvance(LiborCalendar,X742,W743,"f",FALSE)</f>
        <v>44145</v>
      </c>
      <c r="Y743" s="174">
        <f>_xll.qlInterestRateIndexValueDate(IborIndex,X743)</f>
        <v>44147</v>
      </c>
      <c r="Z743" s="175">
        <v>7.4233813895090654E-3</v>
      </c>
      <c r="AA743" s="177">
        <v>7.0296482079956757E-3</v>
      </c>
    </row>
    <row r="744" spans="23:27" x14ac:dyDescent="0.2">
      <c r="W744" s="173" t="str">
        <f t="shared" si="22"/>
        <v>1w</v>
      </c>
      <c r="X744" s="180">
        <f>_xll.qlCalendarAdvance(LiborCalendar,X743,W744,"f",FALSE)</f>
        <v>44152</v>
      </c>
      <c r="Y744" s="174">
        <f>_xll.qlInterestRateIndexValueDate(IborIndex,X744)</f>
        <v>44154</v>
      </c>
      <c r="Z744" s="175">
        <v>7.4592473499855375E-3</v>
      </c>
      <c r="AA744" s="177">
        <v>7.0694678892080365E-3</v>
      </c>
    </row>
    <row r="745" spans="23:27" x14ac:dyDescent="0.2">
      <c r="W745" s="173" t="str">
        <f t="shared" si="22"/>
        <v>1w</v>
      </c>
      <c r="X745" s="180">
        <f>_xll.qlCalendarAdvance(LiborCalendar,X744,W745,"f",FALSE)</f>
        <v>44159</v>
      </c>
      <c r="Y745" s="174">
        <f>_xll.qlInterestRateIndexValueDate(IborIndex,X745)</f>
        <v>44161</v>
      </c>
      <c r="Z745" s="175">
        <v>7.4948374923369853E-3</v>
      </c>
      <c r="AA745" s="177">
        <v>7.1090083195435305E-3</v>
      </c>
    </row>
    <row r="746" spans="23:27" x14ac:dyDescent="0.2">
      <c r="W746" s="173" t="str">
        <f t="shared" si="22"/>
        <v>1w</v>
      </c>
      <c r="X746" s="180">
        <f>_xll.qlCalendarAdvance(LiborCalendar,X745,W746,"f",FALSE)</f>
        <v>44166</v>
      </c>
      <c r="Y746" s="174">
        <f>_xll.qlInterestRateIndexValueDate(IborIndex,X746)</f>
        <v>44168</v>
      </c>
      <c r="Z746" s="175">
        <v>7.5326570654469689E-3</v>
      </c>
      <c r="AA746" s="177">
        <v>7.1482694985969264E-3</v>
      </c>
    </row>
    <row r="747" spans="23:27" x14ac:dyDescent="0.2">
      <c r="W747" s="173" t="str">
        <f t="shared" si="22"/>
        <v>1w</v>
      </c>
      <c r="X747" s="180">
        <f>_xll.qlCalendarAdvance(LiborCalendar,X746,W747,"f",FALSE)</f>
        <v>44173</v>
      </c>
      <c r="Y747" s="174">
        <f>_xll.qlInterestRateIndexValueDate(IborIndex,X747)</f>
        <v>44175</v>
      </c>
      <c r="Z747" s="175">
        <v>7.5676765549358808E-3</v>
      </c>
      <c r="AA747" s="177">
        <v>7.1872514265303167E-3</v>
      </c>
    </row>
    <row r="748" spans="23:27" x14ac:dyDescent="0.2">
      <c r="W748" s="173" t="str">
        <f t="shared" si="22"/>
        <v>1w</v>
      </c>
      <c r="X748" s="180">
        <f>_xll.qlCalendarAdvance(LiborCalendar,X747,W748,"f",FALSE)</f>
        <v>44180</v>
      </c>
      <c r="Y748" s="174">
        <f>_xll.qlInterestRateIndexValueDate(IborIndex,X748)</f>
        <v>44182</v>
      </c>
      <c r="Z748" s="175">
        <v>7.6024201788772441E-3</v>
      </c>
      <c r="AA748" s="177">
        <v>7.2259541031005625E-3</v>
      </c>
    </row>
    <row r="749" spans="23:27" x14ac:dyDescent="0.2">
      <c r="W749" s="173" t="str">
        <f t="shared" si="22"/>
        <v>1w</v>
      </c>
      <c r="X749" s="180">
        <f>_xll.qlCalendarAdvance(LiborCalendar,X748,W749,"f",FALSE)</f>
        <v>44187</v>
      </c>
      <c r="Y749" s="174">
        <f>_xll.qlInterestRateIndexValueDate(IborIndex,X749)</f>
        <v>44189</v>
      </c>
      <c r="Z749" s="175">
        <v>7.6368879227679352E-3</v>
      </c>
      <c r="AA749" s="177">
        <v>7.275588692732704E-3</v>
      </c>
    </row>
    <row r="750" spans="23:27" x14ac:dyDescent="0.2">
      <c r="W750" s="173" t="str">
        <f t="shared" si="22"/>
        <v>1w</v>
      </c>
      <c r="X750" s="180">
        <f>_xll.qlCalendarAdvance(LiborCalendar,X749,W750,"f",FALSE)</f>
        <v>44194</v>
      </c>
      <c r="Y750" s="174">
        <f>_xll.qlInterestRateIndexValueDate(IborIndex,X750)</f>
        <v>44200</v>
      </c>
      <c r="Z750" s="175">
        <v>7.6904940954375329E-3</v>
      </c>
      <c r="AA750" s="177">
        <v>7.3241929946010753E-3</v>
      </c>
    </row>
    <row r="751" spans="23:27" x14ac:dyDescent="0.2">
      <c r="W751" s="173" t="str">
        <f t="shared" si="22"/>
        <v>1w</v>
      </c>
      <c r="X751" s="180">
        <f>_xll.qlCalendarAdvance(LiborCalendar,X750,W751,"f",FALSE)</f>
        <v>44201</v>
      </c>
      <c r="Y751" s="174">
        <f>_xll.qlInterestRateIndexValueDate(IborIndex,X751)</f>
        <v>44203</v>
      </c>
      <c r="Z751" s="175">
        <v>7.702585346481306E-3</v>
      </c>
      <c r="AA751" s="177">
        <v>7.3403866243082483E-3</v>
      </c>
    </row>
    <row r="752" spans="23:27" x14ac:dyDescent="0.2">
      <c r="W752" s="173" t="str">
        <f t="shared" si="22"/>
        <v>1w</v>
      </c>
      <c r="X752" s="180">
        <f>_xll.qlCalendarAdvance(LiborCalendar,X751,W752,"f",FALSE)</f>
        <v>44208</v>
      </c>
      <c r="Y752" s="174">
        <f>_xll.qlInterestRateIndexValueDate(IborIndex,X752)</f>
        <v>44210</v>
      </c>
      <c r="Z752" s="175">
        <v>7.7362443546899915E-3</v>
      </c>
      <c r="AA752" s="177">
        <v>7.3779722948585924E-3</v>
      </c>
    </row>
    <row r="753" spans="23:27" x14ac:dyDescent="0.2">
      <c r="W753" s="173" t="str">
        <f t="shared" si="22"/>
        <v>1w</v>
      </c>
      <c r="X753" s="180">
        <f>_xll.qlCalendarAdvance(LiborCalendar,X752,W753,"f",FALSE)</f>
        <v>44215</v>
      </c>
      <c r="Y753" s="174">
        <f>_xll.qlInterestRateIndexValueDate(IborIndex,X753)</f>
        <v>44217</v>
      </c>
      <c r="Z753" s="175">
        <v>7.769627429783205E-3</v>
      </c>
      <c r="AA753" s="177">
        <v>7.4152787136405607E-3</v>
      </c>
    </row>
    <row r="754" spans="23:27" x14ac:dyDescent="0.2">
      <c r="W754" s="173" t="str">
        <f t="shared" si="22"/>
        <v>1w</v>
      </c>
      <c r="X754" s="180">
        <f>_xll.qlCalendarAdvance(LiborCalendar,X753,W754,"f",FALSE)</f>
        <v>44222</v>
      </c>
      <c r="Y754" s="174">
        <f>_xll.qlInterestRateIndexValueDate(IborIndex,X754)</f>
        <v>44224</v>
      </c>
      <c r="Z754" s="175">
        <v>7.8027345579019768E-3</v>
      </c>
      <c r="AA754" s="177">
        <v>7.4523058806541531E-3</v>
      </c>
    </row>
    <row r="755" spans="23:27" x14ac:dyDescent="0.2">
      <c r="W755" s="173" t="str">
        <f t="shared" si="22"/>
        <v>1w</v>
      </c>
      <c r="X755" s="180">
        <f>_xll.qlCalendarAdvance(LiborCalendar,X754,W755,"f",FALSE)</f>
        <v>44229</v>
      </c>
      <c r="Y755" s="174">
        <f>_xll.qlInterestRateIndexValueDate(IborIndex,X755)</f>
        <v>44231</v>
      </c>
      <c r="Z755" s="175">
        <v>7.8355657253026036E-3</v>
      </c>
      <c r="AA755" s="177">
        <v>7.4890537957372771E-3</v>
      </c>
    </row>
    <row r="756" spans="23:27" x14ac:dyDescent="0.2">
      <c r="W756" s="173" t="str">
        <f t="shared" si="22"/>
        <v>1w</v>
      </c>
      <c r="X756" s="180">
        <f>_xll.qlCalendarAdvance(LiborCalendar,X755,W756,"f",FALSE)</f>
        <v>44236</v>
      </c>
      <c r="Y756" s="174">
        <f>_xll.qlInterestRateIndexValueDate(IborIndex,X756)</f>
        <v>44239</v>
      </c>
      <c r="Z756" s="175">
        <v>7.8727491309106279E-3</v>
      </c>
      <c r="AA756" s="177">
        <v>7.5360444749998194E-3</v>
      </c>
    </row>
    <row r="757" spans="23:27" x14ac:dyDescent="0.2">
      <c r="W757" s="173" t="str">
        <f t="shared" si="22"/>
        <v>1w</v>
      </c>
      <c r="X757" s="180">
        <f>_xll.qlCalendarAdvance(LiborCalendar,X756,W757,"f",FALSE)</f>
        <v>44243</v>
      </c>
      <c r="Y757" s="174">
        <f>_xll.qlInterestRateIndexValueDate(IborIndex,X757)</f>
        <v>44245</v>
      </c>
      <c r="Z757" s="175">
        <v>7.90040012354035E-3</v>
      </c>
      <c r="AA757" s="177">
        <v>7.5617118697879349E-3</v>
      </c>
    </row>
    <row r="758" spans="23:27" x14ac:dyDescent="0.2">
      <c r="W758" s="173" t="str">
        <f t="shared" si="22"/>
        <v>1w</v>
      </c>
      <c r="X758" s="180">
        <f>_xll.qlCalendarAdvance(LiborCalendar,X757,W758,"f",FALSE)</f>
        <v>44250</v>
      </c>
      <c r="Y758" s="174">
        <f>_xll.qlInterestRateIndexValueDate(IborIndex,X758)</f>
        <v>44252</v>
      </c>
      <c r="Z758" s="175">
        <v>7.932403327461101E-3</v>
      </c>
      <c r="AA758" s="177">
        <v>7.5976220286744223E-3</v>
      </c>
    </row>
    <row r="759" spans="23:27" x14ac:dyDescent="0.2">
      <c r="W759" s="173" t="str">
        <f t="shared" si="22"/>
        <v>1w</v>
      </c>
      <c r="X759" s="180">
        <f>_xll.qlCalendarAdvance(LiborCalendar,X758,W759,"f",FALSE)</f>
        <v>44257</v>
      </c>
      <c r="Y759" s="174">
        <f>_xll.qlInterestRateIndexValueDate(IborIndex,X759)</f>
        <v>44259</v>
      </c>
      <c r="Z759" s="175">
        <v>7.9754043675015554E-3</v>
      </c>
      <c r="AA759" s="177">
        <v>7.6332529352252099E-3</v>
      </c>
    </row>
    <row r="760" spans="23:27" x14ac:dyDescent="0.2">
      <c r="W760" s="173" t="str">
        <f t="shared" si="22"/>
        <v>1w</v>
      </c>
      <c r="X760" s="180">
        <f>_xll.qlCalendarAdvance(LiborCalendar,X759,W760,"f",FALSE)</f>
        <v>44264</v>
      </c>
      <c r="Y760" s="174">
        <f>_xll.qlInterestRateIndexValueDate(IborIndex,X760)</f>
        <v>44266</v>
      </c>
      <c r="Z760" s="175">
        <v>8.0067604106317091E-3</v>
      </c>
      <c r="AA760" s="177">
        <v>7.6686045895213439E-3</v>
      </c>
    </row>
    <row r="761" spans="23:27" x14ac:dyDescent="0.2">
      <c r="W761" s="173" t="str">
        <f t="shared" si="22"/>
        <v>1w</v>
      </c>
      <c r="X761" s="180">
        <f>_xll.qlCalendarAdvance(LiborCalendar,X760,W761,"f",FALSE)</f>
        <v>44271</v>
      </c>
      <c r="Y761" s="174">
        <f>_xll.qlInterestRateIndexValueDate(IborIndex,X761)</f>
        <v>44273</v>
      </c>
      <c r="Z761" s="175">
        <v>8.0400517604611657E-3</v>
      </c>
      <c r="AA761" s="177">
        <v>7.7036769914007319E-3</v>
      </c>
    </row>
    <row r="762" spans="23:27" x14ac:dyDescent="0.2">
      <c r="W762" s="173" t="str">
        <f t="shared" si="22"/>
        <v>1w</v>
      </c>
      <c r="X762" s="180">
        <f>_xll.qlCalendarAdvance(LiborCalendar,X761,W762,"f",FALSE)</f>
        <v>44278</v>
      </c>
      <c r="Y762" s="174">
        <f>_xll.qlInterestRateIndexValueDate(IborIndex,X762)</f>
        <v>44280</v>
      </c>
      <c r="Z762" s="175">
        <v>8.0686442960851562E-3</v>
      </c>
      <c r="AA762" s="177">
        <v>7.7384701408633738E-3</v>
      </c>
    </row>
    <row r="763" spans="23:27" x14ac:dyDescent="0.2">
      <c r="W763" s="173" t="str">
        <f t="shared" si="22"/>
        <v>1w</v>
      </c>
      <c r="X763" s="180">
        <f>_xll.qlCalendarAdvance(LiborCalendar,X762,W763,"f",FALSE)</f>
        <v>44285</v>
      </c>
      <c r="Y763" s="174">
        <f>_xll.qlInterestRateIndexValueDate(IborIndex,X763)</f>
        <v>44287</v>
      </c>
      <c r="Z763" s="175">
        <v>8.0926415173042509E-3</v>
      </c>
      <c r="AA763" s="177">
        <v>7.7831200679352452E-3</v>
      </c>
    </row>
    <row r="764" spans="23:27" x14ac:dyDescent="0.2">
      <c r="W764" s="173" t="str">
        <f t="shared" si="22"/>
        <v>1w</v>
      </c>
      <c r="X764" s="180">
        <f>_xll.qlCalendarAdvance(LiborCalendar,X763,W764,"f",FALSE)</f>
        <v>44292</v>
      </c>
      <c r="Y764" s="174">
        <f>_xll.qlInterestRateIndexValueDate(IborIndex,X764)</f>
        <v>44294</v>
      </c>
      <c r="Z764" s="175">
        <v>8.1229503574566531E-3</v>
      </c>
      <c r="AA764" s="177">
        <v>7.8072186818090028E-3</v>
      </c>
    </row>
    <row r="765" spans="23:27" x14ac:dyDescent="0.2">
      <c r="W765" s="173" t="str">
        <f t="shared" si="22"/>
        <v>1w</v>
      </c>
      <c r="X765" s="180">
        <f>_xll.qlCalendarAdvance(LiborCalendar,X764,W765,"f",FALSE)</f>
        <v>44299</v>
      </c>
      <c r="Y765" s="174">
        <f>_xll.qlInterestRateIndexValueDate(IborIndex,X765)</f>
        <v>44301</v>
      </c>
      <c r="Z765" s="175">
        <v>8.1529830965741245E-3</v>
      </c>
      <c r="AA765" s="177">
        <v>7.8411740732919899E-3</v>
      </c>
    </row>
    <row r="766" spans="23:27" x14ac:dyDescent="0.2">
      <c r="W766" s="173" t="str">
        <f t="shared" si="22"/>
        <v>1w</v>
      </c>
      <c r="X766" s="180">
        <f>_xll.qlCalendarAdvance(LiborCalendar,X765,W766,"f",FALSE)</f>
        <v>44306</v>
      </c>
      <c r="Y766" s="174">
        <f>_xll.qlInterestRateIndexValueDate(IborIndex,X766)</f>
        <v>44308</v>
      </c>
      <c r="Z766" s="175">
        <v>8.182739722048608E-3</v>
      </c>
      <c r="AA766" s="177">
        <v>7.8748502119529995E-3</v>
      </c>
    </row>
    <row r="767" spans="23:27" x14ac:dyDescent="0.2">
      <c r="W767" s="173" t="str">
        <f t="shared" si="22"/>
        <v>1w</v>
      </c>
      <c r="X767" s="180">
        <f>_xll.qlCalendarAdvance(LiborCalendar,X766,W767,"f",FALSE)</f>
        <v>44313</v>
      </c>
      <c r="Y767" s="174">
        <f>_xll.qlInterestRateIndexValueDate(IborIndex,X767)</f>
        <v>44316</v>
      </c>
      <c r="Z767" s="175">
        <v>8.2143076602654835E-3</v>
      </c>
      <c r="AA767" s="177">
        <v>7.9203611090888915E-3</v>
      </c>
    </row>
    <row r="768" spans="23:27" x14ac:dyDescent="0.2">
      <c r="W768" s="173" t="str">
        <f t="shared" si="22"/>
        <v>1w</v>
      </c>
      <c r="X768" s="180">
        <f>_xll.qlCalendarAdvance(LiborCalendar,X767,W768,"f",FALSE)</f>
        <v>44320</v>
      </c>
      <c r="Y768" s="174">
        <f>_xll.qlInterestRateIndexValueDate(IborIndex,X768)</f>
        <v>44322</v>
      </c>
      <c r="Z768" s="175">
        <v>8.2476701296595838E-3</v>
      </c>
      <c r="AA768" s="177">
        <v>7.9413647305659474E-3</v>
      </c>
    </row>
    <row r="769" spans="23:27" x14ac:dyDescent="0.2">
      <c r="W769" s="173" t="str">
        <f t="shared" si="22"/>
        <v>1w</v>
      </c>
      <c r="X769" s="180">
        <f>_xll.qlCalendarAdvance(LiborCalendar,X768,W769,"f",FALSE)</f>
        <v>44327</v>
      </c>
      <c r="Y769" s="174">
        <f>_xll.qlInterestRateIndexValueDate(IborIndex,X769)</f>
        <v>44329</v>
      </c>
      <c r="Z769" s="175">
        <v>8.2765554678076274E-3</v>
      </c>
      <c r="AA769" s="177">
        <v>7.9742031103557931E-3</v>
      </c>
    </row>
    <row r="770" spans="23:27" x14ac:dyDescent="0.2">
      <c r="W770" s="173" t="str">
        <f t="shared" si="22"/>
        <v>1w</v>
      </c>
      <c r="X770" s="180">
        <f>_xll.qlCalendarAdvance(LiborCalendar,X769,W770,"f",FALSE)</f>
        <v>44334</v>
      </c>
      <c r="Y770" s="174">
        <f>_xll.qlInterestRateIndexValueDate(IborIndex,X770)</f>
        <v>44336</v>
      </c>
      <c r="Z770" s="175">
        <v>8.3052011940099035E-3</v>
      </c>
      <c r="AA770" s="177">
        <v>8.0067622369994762E-3</v>
      </c>
    </row>
    <row r="771" spans="23:27" x14ac:dyDescent="0.2">
      <c r="W771" s="173" t="str">
        <f t="shared" si="22"/>
        <v>1w</v>
      </c>
      <c r="X771" s="180">
        <f>_xll.qlCalendarAdvance(LiborCalendar,X770,W771,"f",FALSE)</f>
        <v>44341</v>
      </c>
      <c r="Y771" s="174">
        <f>_xll.qlInterestRateIndexValueDate(IborIndex,X771)</f>
        <v>44343</v>
      </c>
      <c r="Z771" s="175">
        <v>8.3336305667987137E-3</v>
      </c>
      <c r="AA771" s="177">
        <v>8.039042110578043E-3</v>
      </c>
    </row>
    <row r="772" spans="23:27" x14ac:dyDescent="0.2">
      <c r="W772" s="173" t="str">
        <f t="shared" si="22"/>
        <v>1w</v>
      </c>
      <c r="X772" s="180">
        <f>_xll.qlCalendarAdvance(LiborCalendar,X771,W772,"f",FALSE)</f>
        <v>44348</v>
      </c>
      <c r="Y772" s="174">
        <f>_xll.qlInterestRateIndexValueDate(IborIndex,X772)</f>
        <v>44350</v>
      </c>
      <c r="Z772" s="175">
        <v>8.3557606598512087E-3</v>
      </c>
      <c r="AA772" s="177">
        <v>8.0710427308483546E-3</v>
      </c>
    </row>
    <row r="773" spans="23:27" x14ac:dyDescent="0.2">
      <c r="W773" s="173" t="str">
        <f t="shared" si="22"/>
        <v>1w</v>
      </c>
      <c r="X773" s="180">
        <f>_xll.qlCalendarAdvance(LiborCalendar,X772,W773,"f",FALSE)</f>
        <v>44355</v>
      </c>
      <c r="Y773" s="174">
        <f>_xll.qlInterestRateIndexValueDate(IborIndex,X773)</f>
        <v>44357</v>
      </c>
      <c r="Z773" s="175">
        <v>8.3838400323421967E-3</v>
      </c>
      <c r="AA773" s="177">
        <v>8.1027640977293647E-3</v>
      </c>
    </row>
    <row r="774" spans="23:27" x14ac:dyDescent="0.2">
      <c r="W774" s="173" t="str">
        <f t="shared" si="22"/>
        <v>1w</v>
      </c>
      <c r="X774" s="180">
        <f>_xll.qlCalendarAdvance(LiborCalendar,X773,W774,"f",FALSE)</f>
        <v>44362</v>
      </c>
      <c r="Y774" s="174">
        <f>_xll.qlInterestRateIndexValueDate(IborIndex,X774)</f>
        <v>44364</v>
      </c>
      <c r="Z774" s="175">
        <v>8.4117648296840025E-3</v>
      </c>
      <c r="AA774" s="177">
        <v>8.1342062113021196E-3</v>
      </c>
    </row>
    <row r="775" spans="23:27" x14ac:dyDescent="0.2">
      <c r="W775" s="173" t="str">
        <f t="shared" si="22"/>
        <v>1w</v>
      </c>
      <c r="X775" s="180">
        <f>_xll.qlCalendarAdvance(LiborCalendar,X774,W775,"f",FALSE)</f>
        <v>44369</v>
      </c>
      <c r="Y775" s="174">
        <f>_xll.qlInterestRateIndexValueDate(IborIndex,X775)</f>
        <v>44371</v>
      </c>
      <c r="Z775" s="175">
        <v>8.4395586955446321E-3</v>
      </c>
      <c r="AA775" s="177">
        <v>8.1653690713234806E-3</v>
      </c>
    </row>
    <row r="776" spans="23:27" x14ac:dyDescent="0.2">
      <c r="W776" s="173" t="str">
        <f t="shared" si="22"/>
        <v>1w</v>
      </c>
      <c r="X776" s="180">
        <f>_xll.qlCalendarAdvance(LiborCalendar,X775,W776,"f",FALSE)</f>
        <v>44376</v>
      </c>
      <c r="Y776" s="174">
        <f>_xll.qlInterestRateIndexValueDate(IborIndex,X776)</f>
        <v>44378</v>
      </c>
      <c r="Z776" s="175">
        <v>8.4753821390488576E-3</v>
      </c>
      <c r="AA776" s="177">
        <v>8.1962526778744937E-3</v>
      </c>
    </row>
    <row r="777" spans="23:27" x14ac:dyDescent="0.2">
      <c r="W777" s="173" t="str">
        <f t="shared" si="22"/>
        <v>1w</v>
      </c>
      <c r="X777" s="180">
        <f>_xll.qlCalendarAdvance(LiborCalendar,X776,W777,"f",FALSE)</f>
        <v>44383</v>
      </c>
      <c r="Y777" s="174">
        <f>_xll.qlInterestRateIndexValueDate(IborIndex,X777)</f>
        <v>44385</v>
      </c>
      <c r="Z777" s="175">
        <v>8.5030079244091273E-3</v>
      </c>
      <c r="AA777" s="177">
        <v>8.2268570307930666E-3</v>
      </c>
    </row>
    <row r="778" spans="23:27" x14ac:dyDescent="0.2">
      <c r="W778" s="173" t="str">
        <f t="shared" si="22"/>
        <v>1w</v>
      </c>
      <c r="X778" s="180">
        <f>_xll.qlCalendarAdvance(LiborCalendar,X777,W778,"f",FALSE)</f>
        <v>44390</v>
      </c>
      <c r="Y778" s="174">
        <f>_xll.qlInterestRateIndexValueDate(IborIndex,X778)</f>
        <v>44392</v>
      </c>
      <c r="Z778" s="175">
        <v>8.5285322940893554E-3</v>
      </c>
      <c r="AA778" s="177">
        <v>8.2571821299981529E-3</v>
      </c>
    </row>
    <row r="779" spans="23:27" x14ac:dyDescent="0.2">
      <c r="W779" s="173" t="str">
        <f t="shared" si="22"/>
        <v>1w</v>
      </c>
      <c r="X779" s="180">
        <f>_xll.qlCalendarAdvance(LiborCalendar,X778,W779,"f",FALSE)</f>
        <v>44397</v>
      </c>
      <c r="Y779" s="174">
        <f>_xll.qlInterestRateIndexValueDate(IborIndex,X779)</f>
        <v>44399</v>
      </c>
      <c r="Z779" s="175">
        <v>8.55606831498377E-3</v>
      </c>
      <c r="AA779" s="177">
        <v>8.2872279754897527E-3</v>
      </c>
    </row>
    <row r="780" spans="23:27" x14ac:dyDescent="0.2">
      <c r="W780" s="173" t="str">
        <f t="shared" si="22"/>
        <v>1w</v>
      </c>
      <c r="X780" s="180">
        <f>_xll.qlCalendarAdvance(LiborCalendar,X779,W780,"f",FALSE)</f>
        <v>44404</v>
      </c>
      <c r="Y780" s="174">
        <f>_xll.qlInterestRateIndexValueDate(IborIndex,X780)</f>
        <v>44406</v>
      </c>
      <c r="Z780" s="175">
        <v>8.5835973716584472E-3</v>
      </c>
      <c r="AA780" s="177">
        <v>8.3169945671057732E-3</v>
      </c>
    </row>
    <row r="781" spans="23:27" x14ac:dyDescent="0.2">
      <c r="W781" s="173" t="str">
        <f t="shared" si="22"/>
        <v>1w</v>
      </c>
      <c r="X781" s="180">
        <f>_xll.qlCalendarAdvance(LiborCalendar,X780,W781,"f",FALSE)</f>
        <v>44411</v>
      </c>
      <c r="Y781" s="174">
        <f>_xll.qlInterestRateIndexValueDate(IborIndex,X781)</f>
        <v>44413</v>
      </c>
      <c r="Z781" s="175">
        <v>8.6111427362674815E-3</v>
      </c>
      <c r="AA781" s="177">
        <v>8.3464819048462147E-3</v>
      </c>
    </row>
    <row r="782" spans="23:27" x14ac:dyDescent="0.2">
      <c r="W782" s="173" t="str">
        <f t="shared" si="22"/>
        <v>1w</v>
      </c>
      <c r="X782" s="180">
        <f>_xll.qlCalendarAdvance(LiborCalendar,X781,W782,"f",FALSE)</f>
        <v>44418</v>
      </c>
      <c r="Y782" s="174">
        <f>_xll.qlInterestRateIndexValueDate(IborIndex,X782)</f>
        <v>44420</v>
      </c>
      <c r="Z782" s="175">
        <v>8.6387276822839157E-3</v>
      </c>
      <c r="AA782" s="177">
        <v>8.3756899886300307E-3</v>
      </c>
    </row>
    <row r="783" spans="23:27" x14ac:dyDescent="0.2">
      <c r="W783" s="173" t="str">
        <f t="shared" si="22"/>
        <v>1w</v>
      </c>
      <c r="X783" s="180">
        <f>_xll.qlCalendarAdvance(LiborCalendar,X782,W783,"f",FALSE)</f>
        <v>44425</v>
      </c>
      <c r="Y783" s="174">
        <f>_xll.qlInterestRateIndexValueDate(IborIndex,X783)</f>
        <v>44427</v>
      </c>
      <c r="Z783" s="175">
        <v>8.6663754845048915E-3</v>
      </c>
      <c r="AA783" s="177">
        <v>8.404618818376175E-3</v>
      </c>
    </row>
    <row r="784" spans="23:27" x14ac:dyDescent="0.2">
      <c r="W784" s="173" t="str">
        <f t="shared" si="22"/>
        <v>1w</v>
      </c>
      <c r="X784" s="180">
        <f>_xll.qlCalendarAdvance(LiborCalendar,X783,W784,"f",FALSE)</f>
        <v>44432</v>
      </c>
      <c r="Y784" s="174">
        <f>_xll.qlInterestRateIndexValueDate(IborIndex,X784)</f>
        <v>44434</v>
      </c>
      <c r="Z784" s="175">
        <v>8.694109419053804E-3</v>
      </c>
      <c r="AA784" s="177">
        <v>8.4332683940846476E-3</v>
      </c>
    </row>
    <row r="785" spans="23:27" x14ac:dyDescent="0.2">
      <c r="W785" s="173" t="str">
        <f t="shared" si="22"/>
        <v>1w</v>
      </c>
      <c r="X785" s="180">
        <f>_xll.qlCalendarAdvance(LiborCalendar,X784,W785,"f",FALSE)</f>
        <v>44439</v>
      </c>
      <c r="Y785" s="174">
        <f>_xll.qlInterestRateIndexValueDate(IborIndex,X785)</f>
        <v>44441</v>
      </c>
      <c r="Z785" s="175">
        <v>8.7112072544219803E-3</v>
      </c>
      <c r="AA785" s="177">
        <v>8.4616387155123096E-3</v>
      </c>
    </row>
    <row r="786" spans="23:27" x14ac:dyDescent="0.2">
      <c r="W786" s="173" t="str">
        <f t="shared" si="22"/>
        <v>1w</v>
      </c>
      <c r="X786" s="180">
        <f>_xll.qlCalendarAdvance(LiborCalendar,X785,W786,"f",FALSE)</f>
        <v>44446</v>
      </c>
      <c r="Y786" s="174">
        <f>_xll.qlInterestRateIndexValueDate(IborIndex,X786)</f>
        <v>44448</v>
      </c>
      <c r="Z786" s="175">
        <v>8.7390809668492254E-3</v>
      </c>
      <c r="AA786" s="177">
        <v>8.4897297828212537E-3</v>
      </c>
    </row>
    <row r="787" spans="23:27" x14ac:dyDescent="0.2">
      <c r="W787" s="173" t="str">
        <f t="shared" si="22"/>
        <v>1w</v>
      </c>
      <c r="X787" s="180">
        <f>_xll.qlCalendarAdvance(LiborCalendar,X786,W787,"f",FALSE)</f>
        <v>44453</v>
      </c>
      <c r="Y787" s="174">
        <f>_xll.qlInterestRateIndexValueDate(IborIndex,X787)</f>
        <v>44455</v>
      </c>
      <c r="Z787" s="175">
        <v>8.7671054718147044E-3</v>
      </c>
      <c r="AA787" s="177">
        <v>8.5175415957683409E-3</v>
      </c>
    </row>
    <row r="788" spans="23:27" x14ac:dyDescent="0.2">
      <c r="W788" s="173" t="str">
        <f t="shared" si="22"/>
        <v>1w</v>
      </c>
      <c r="X788" s="180">
        <f>_xll.qlCalendarAdvance(LiborCalendar,X787,W788,"f",FALSE)</f>
        <v>44460</v>
      </c>
      <c r="Y788" s="174">
        <f>_xll.qlInterestRateIndexValueDate(IborIndex,X788)</f>
        <v>44463</v>
      </c>
      <c r="Z788" s="175">
        <v>8.7993488073583297E-3</v>
      </c>
      <c r="AA788" s="177">
        <v>8.5530878261375065E-3</v>
      </c>
    </row>
    <row r="789" spans="23:27" x14ac:dyDescent="0.2">
      <c r="W789" s="173" t="str">
        <f t="shared" ref="W789:W852" si="23">W788</f>
        <v>1w</v>
      </c>
      <c r="X789" s="180">
        <f>_xll.qlCalendarAdvance(LiborCalendar,X788,W789,"f",FALSE)</f>
        <v>44467</v>
      </c>
      <c r="Y789" s="174">
        <f>_xll.qlInterestRateIndexValueDate(IborIndex,X789)</f>
        <v>44469</v>
      </c>
      <c r="Z789" s="175">
        <v>8.8259343959768057E-3</v>
      </c>
      <c r="AA789" s="177">
        <v>8.5723274587390375E-3</v>
      </c>
    </row>
    <row r="790" spans="23:27" x14ac:dyDescent="0.2">
      <c r="W790" s="173" t="str">
        <f t="shared" si="23"/>
        <v>1w</v>
      </c>
      <c r="X790" s="180">
        <f>_xll.qlCalendarAdvance(LiborCalendar,X789,W790,"f",FALSE)</f>
        <v>44474</v>
      </c>
      <c r="Y790" s="174">
        <f>_xll.qlInterestRateIndexValueDate(IborIndex,X790)</f>
        <v>44476</v>
      </c>
      <c r="Z790" s="175">
        <v>8.8545786162283566E-3</v>
      </c>
      <c r="AA790" s="177">
        <v>8.5993015084384616E-3</v>
      </c>
    </row>
    <row r="791" spans="23:27" x14ac:dyDescent="0.2">
      <c r="W791" s="173" t="str">
        <f t="shared" si="23"/>
        <v>1w</v>
      </c>
      <c r="X791" s="180">
        <f>_xll.qlCalendarAdvance(LiborCalendar,X790,W791,"f",FALSE)</f>
        <v>44481</v>
      </c>
      <c r="Y791" s="174">
        <f>_xll.qlInterestRateIndexValueDate(IborIndex,X791)</f>
        <v>44483</v>
      </c>
      <c r="Z791" s="175">
        <v>8.8834698565203769E-3</v>
      </c>
      <c r="AA791" s="177">
        <v>8.6259963036139364E-3</v>
      </c>
    </row>
    <row r="792" spans="23:27" x14ac:dyDescent="0.2">
      <c r="W792" s="173" t="str">
        <f t="shared" si="23"/>
        <v>1w</v>
      </c>
      <c r="X792" s="180">
        <f>_xll.qlCalendarAdvance(LiborCalendar,X791,W792,"f",FALSE)</f>
        <v>44488</v>
      </c>
      <c r="Y792" s="174">
        <f>_xll.qlInterestRateIndexValueDate(IborIndex,X792)</f>
        <v>44490</v>
      </c>
      <c r="Z792" s="175">
        <v>8.9126319129037047E-3</v>
      </c>
      <c r="AA792" s="177">
        <v>8.6524118442654618E-3</v>
      </c>
    </row>
    <row r="793" spans="23:27" x14ac:dyDescent="0.2">
      <c r="W793" s="173" t="str">
        <f t="shared" si="23"/>
        <v>1w</v>
      </c>
      <c r="X793" s="180">
        <f>_xll.qlCalendarAdvance(LiborCalendar,X792,W793,"f",FALSE)</f>
        <v>44495</v>
      </c>
      <c r="Y793" s="174">
        <f>_xll.qlInterestRateIndexValueDate(IborIndex,X793)</f>
        <v>44497</v>
      </c>
      <c r="Z793" s="175">
        <v>8.9420885829304061E-3</v>
      </c>
      <c r="AA793" s="177">
        <v>8.6785481302309453E-3</v>
      </c>
    </row>
    <row r="794" spans="23:27" x14ac:dyDescent="0.2">
      <c r="W794" s="173" t="str">
        <f t="shared" si="23"/>
        <v>1w</v>
      </c>
      <c r="X794" s="180">
        <f>_xll.qlCalendarAdvance(LiborCalendar,X793,W794,"f",FALSE)</f>
        <v>44502</v>
      </c>
      <c r="Y794" s="174">
        <f>_xll.qlInterestRateIndexValueDate(IborIndex,X794)</f>
        <v>44504</v>
      </c>
      <c r="Z794" s="175">
        <v>8.9742210289023121E-3</v>
      </c>
      <c r="AA794" s="177">
        <v>8.7044072845987586E-3</v>
      </c>
    </row>
    <row r="795" spans="23:27" x14ac:dyDescent="0.2">
      <c r="W795" s="173" t="str">
        <f t="shared" si="23"/>
        <v>1w</v>
      </c>
      <c r="X795" s="180">
        <f>_xll.qlCalendarAdvance(LiborCalendar,X794,W795,"f",FALSE)</f>
        <v>44509</v>
      </c>
      <c r="Y795" s="174">
        <f>_xll.qlInterestRateIndexValueDate(IborIndex,X795)</f>
        <v>44511</v>
      </c>
      <c r="Z795" s="175">
        <v>8.9995968799969888E-3</v>
      </c>
      <c r="AA795" s="177">
        <v>8.7303417518713733E-3</v>
      </c>
    </row>
    <row r="796" spans="23:27" x14ac:dyDescent="0.2">
      <c r="W796" s="173" t="str">
        <f t="shared" si="23"/>
        <v>1w</v>
      </c>
      <c r="X796" s="180">
        <f>_xll.qlCalendarAdvance(LiborCalendar,X795,W796,"f",FALSE)</f>
        <v>44516</v>
      </c>
      <c r="Y796" s="174">
        <f>_xll.qlInterestRateIndexValueDate(IborIndex,X796)</f>
        <v>44518</v>
      </c>
      <c r="Z796" s="175">
        <v>9.0300272332136961E-3</v>
      </c>
      <c r="AA796" s="177">
        <v>8.7566211735112809E-3</v>
      </c>
    </row>
    <row r="797" spans="23:27" x14ac:dyDescent="0.2">
      <c r="W797" s="173" t="str">
        <f t="shared" si="23"/>
        <v>1w</v>
      </c>
      <c r="X797" s="180">
        <f>_xll.qlCalendarAdvance(LiborCalendar,X796,W797,"f",FALSE)</f>
        <v>44523</v>
      </c>
      <c r="Y797" s="174">
        <f>_xll.qlInterestRateIndexValueDate(IborIndex,X797)</f>
        <v>44525</v>
      </c>
      <c r="Z797" s="175">
        <v>9.0607998186645559E-3</v>
      </c>
      <c r="AA797" s="177">
        <v>8.7832455494374351E-3</v>
      </c>
    </row>
    <row r="798" spans="23:27" x14ac:dyDescent="0.2">
      <c r="W798" s="173" t="str">
        <f t="shared" si="23"/>
        <v>1w</v>
      </c>
      <c r="X798" s="180">
        <f>_xll.qlCalendarAdvance(LiborCalendar,X797,W798,"f",FALSE)</f>
        <v>44530</v>
      </c>
      <c r="Y798" s="174">
        <f>_xll.qlInterestRateIndexValueDate(IborIndex,X798)</f>
        <v>44532</v>
      </c>
      <c r="Z798" s="175">
        <v>9.0943704286426726E-3</v>
      </c>
      <c r="AA798" s="177">
        <v>8.8102148797308821E-3</v>
      </c>
    </row>
    <row r="799" spans="23:27" x14ac:dyDescent="0.2">
      <c r="W799" s="173" t="str">
        <f t="shared" si="23"/>
        <v>1w</v>
      </c>
      <c r="X799" s="180">
        <f>_xll.qlCalendarAdvance(LiborCalendar,X798,W799,"f",FALSE)</f>
        <v>44537</v>
      </c>
      <c r="Y799" s="174">
        <f>_xll.qlInterestRateIndexValueDate(IborIndex,X799)</f>
        <v>44539</v>
      </c>
      <c r="Z799" s="175">
        <v>9.1258527706902636E-3</v>
      </c>
      <c r="AA799" s="177">
        <v>8.8375291646347609E-3</v>
      </c>
    </row>
    <row r="800" spans="23:27" x14ac:dyDescent="0.2">
      <c r="W800" s="173" t="str">
        <f t="shared" si="23"/>
        <v>1w</v>
      </c>
      <c r="X800" s="180">
        <f>_xll.qlCalendarAdvance(LiborCalendar,X799,W800,"f",FALSE)</f>
        <v>44544</v>
      </c>
      <c r="Y800" s="174">
        <f>_xll.qlInterestRateIndexValueDate(IborIndex,X800)</f>
        <v>44546</v>
      </c>
      <c r="Z800" s="175">
        <v>9.1576774055020984E-3</v>
      </c>
      <c r="AA800" s="177">
        <v>8.8651884040680251E-3</v>
      </c>
    </row>
    <row r="801" spans="23:27" x14ac:dyDescent="0.2">
      <c r="W801" s="173" t="str">
        <f t="shared" si="23"/>
        <v>1w</v>
      </c>
      <c r="X801" s="180">
        <f>_xll.qlCalendarAdvance(LiborCalendar,X800,W801,"f",FALSE)</f>
        <v>44551</v>
      </c>
      <c r="Y801" s="174">
        <f>_xll.qlInterestRateIndexValueDate(IborIndex,X801)</f>
        <v>44554</v>
      </c>
      <c r="Z801" s="175">
        <v>9.1944675717957509E-3</v>
      </c>
      <c r="AA801" s="177">
        <v>8.9057415896360848E-3</v>
      </c>
    </row>
    <row r="802" spans="23:27" x14ac:dyDescent="0.2">
      <c r="W802" s="173" t="str">
        <f t="shared" si="23"/>
        <v>1w</v>
      </c>
      <c r="X802" s="180">
        <f>_xll.qlCalendarAdvance(LiborCalendar,X801,W802,"f",FALSE)</f>
        <v>44559</v>
      </c>
      <c r="Y802" s="174">
        <f>_xll.qlInterestRateIndexValueDate(IborIndex,X802)</f>
        <v>44565</v>
      </c>
      <c r="Z802" s="175">
        <v>9.2432092250997935E-3</v>
      </c>
      <c r="AA802" s="177">
        <v>8.9420023358333101E-3</v>
      </c>
    </row>
    <row r="803" spans="23:27" x14ac:dyDescent="0.2">
      <c r="W803" s="173" t="str">
        <f t="shared" si="23"/>
        <v>1w</v>
      </c>
      <c r="X803" s="180">
        <f>_xll.qlCalendarAdvance(LiborCalendar,X802,W803,"f",FALSE)</f>
        <v>44566</v>
      </c>
      <c r="Y803" s="174">
        <f>_xll.qlInterestRateIndexValueDate(IborIndex,X803)</f>
        <v>44568</v>
      </c>
      <c r="Z803" s="175">
        <v>9.2573405254162237E-3</v>
      </c>
      <c r="AA803" s="177">
        <v>8.9587197493908501E-3</v>
      </c>
    </row>
    <row r="804" spans="23:27" x14ac:dyDescent="0.2">
      <c r="W804" s="173" t="str">
        <f t="shared" si="23"/>
        <v>1w</v>
      </c>
      <c r="X804" s="180">
        <f>_xll.qlCalendarAdvance(LiborCalendar,X803,W804,"f",FALSE)</f>
        <v>44573</v>
      </c>
      <c r="Y804" s="174">
        <f>_xll.qlInterestRateIndexValueDate(IborIndex,X804)</f>
        <v>44575</v>
      </c>
      <c r="Z804" s="175">
        <v>9.2905580967528809E-3</v>
      </c>
      <c r="AA804" s="177">
        <v>8.9878587991413621E-3</v>
      </c>
    </row>
    <row r="805" spans="23:27" x14ac:dyDescent="0.2">
      <c r="W805" s="173" t="str">
        <f t="shared" si="23"/>
        <v>1w</v>
      </c>
      <c r="X805" s="180">
        <f>_xll.qlCalendarAdvance(LiborCalendar,X804,W805,"f",FALSE)</f>
        <v>44580</v>
      </c>
      <c r="Y805" s="174">
        <f>_xll.qlInterestRateIndexValueDate(IborIndex,X805)</f>
        <v>44582</v>
      </c>
      <c r="Z805" s="175">
        <v>9.3241180340849824E-3</v>
      </c>
      <c r="AA805" s="177">
        <v>9.0173428256009238E-3</v>
      </c>
    </row>
    <row r="806" spans="23:27" x14ac:dyDescent="0.2">
      <c r="W806" s="173" t="str">
        <f t="shared" si="23"/>
        <v>1w</v>
      </c>
      <c r="X806" s="180">
        <f>_xll.qlCalendarAdvance(LiborCalendar,X805,W806,"f",FALSE)</f>
        <v>44587</v>
      </c>
      <c r="Y806" s="174">
        <f>_xll.qlInterestRateIndexValueDate(IborIndex,X806)</f>
        <v>44589</v>
      </c>
      <c r="Z806" s="175">
        <v>9.3580203546451499E-3</v>
      </c>
      <c r="AA806" s="177">
        <v>9.0471718289856611E-3</v>
      </c>
    </row>
    <row r="807" spans="23:27" x14ac:dyDescent="0.2">
      <c r="W807" s="173" t="str">
        <f t="shared" si="23"/>
        <v>1w</v>
      </c>
      <c r="X807" s="180">
        <f>_xll.qlCalendarAdvance(LiborCalendar,X806,W807,"f",FALSE)</f>
        <v>44594</v>
      </c>
      <c r="Y807" s="174">
        <f>_xll.qlInterestRateIndexValueDate(IborIndex,X807)</f>
        <v>44596</v>
      </c>
      <c r="Z807" s="175">
        <v>9.3922650758395728E-3</v>
      </c>
      <c r="AA807" s="177">
        <v>9.0773458095927424E-3</v>
      </c>
    </row>
    <row r="808" spans="23:27" x14ac:dyDescent="0.2">
      <c r="W808" s="173" t="str">
        <f t="shared" si="23"/>
        <v>1w</v>
      </c>
      <c r="X808" s="180">
        <f>_xll.qlCalendarAdvance(LiborCalendar,X807,W808,"f",FALSE)</f>
        <v>44601</v>
      </c>
      <c r="Y808" s="174">
        <f>_xll.qlInterestRateIndexValueDate(IborIndex,X808)</f>
        <v>44606</v>
      </c>
      <c r="Z808" s="175">
        <v>9.4445034017603419E-3</v>
      </c>
      <c r="AA808" s="177">
        <v>9.1164177885350028E-3</v>
      </c>
    </row>
    <row r="809" spans="23:27" x14ac:dyDescent="0.2">
      <c r="W809" s="173" t="str">
        <f t="shared" si="23"/>
        <v>1w</v>
      </c>
      <c r="X809" s="180">
        <f>_xll.qlCalendarAdvance(LiborCalendar,X808,W809,"f",FALSE)</f>
        <v>44608</v>
      </c>
      <c r="Y809" s="174">
        <f>_xll.qlInterestRateIndexValueDate(IborIndex,X809)</f>
        <v>44610</v>
      </c>
      <c r="Z809" s="175">
        <v>9.461781790641409E-3</v>
      </c>
      <c r="AA809" s="177">
        <v>9.1387287034464908E-3</v>
      </c>
    </row>
    <row r="810" spans="23:27" x14ac:dyDescent="0.2">
      <c r="W810" s="173" t="str">
        <f t="shared" si="23"/>
        <v>1w</v>
      </c>
      <c r="X810" s="180">
        <f>_xll.qlCalendarAdvance(LiborCalendar,X809,W810,"f",FALSE)</f>
        <v>44615</v>
      </c>
      <c r="Y810" s="174">
        <f>_xll.qlInterestRateIndexValueDate(IborIndex,X810)</f>
        <v>44617</v>
      </c>
      <c r="Z810" s="175">
        <v>9.4970538199427006E-3</v>
      </c>
      <c r="AA810" s="177">
        <v>9.169937617233467E-3</v>
      </c>
    </row>
    <row r="811" spans="23:27" x14ac:dyDescent="0.2">
      <c r="W811" s="173" t="str">
        <f t="shared" si="23"/>
        <v>1w</v>
      </c>
      <c r="X811" s="180">
        <f>_xll.qlCalendarAdvance(LiborCalendar,X810,W811,"f",FALSE)</f>
        <v>44622</v>
      </c>
      <c r="Y811" s="174">
        <f>_xll.qlInterestRateIndexValueDate(IborIndex,X811)</f>
        <v>44624</v>
      </c>
      <c r="Z811" s="175">
        <v>9.543837552425518E-3</v>
      </c>
      <c r="AA811" s="177">
        <v>9.2014915092423592E-3</v>
      </c>
    </row>
    <row r="812" spans="23:27" x14ac:dyDescent="0.2">
      <c r="W812" s="173" t="str">
        <f t="shared" si="23"/>
        <v>1w</v>
      </c>
      <c r="X812" s="180">
        <f>_xll.qlCalendarAdvance(LiborCalendar,X811,W812,"f",FALSE)</f>
        <v>44629</v>
      </c>
      <c r="Y812" s="174">
        <f>_xll.qlInterestRateIndexValueDate(IborIndex,X812)</f>
        <v>44631</v>
      </c>
      <c r="Z812" s="175">
        <v>9.5798962308945839E-3</v>
      </c>
      <c r="AA812" s="177">
        <v>9.233390379770336E-3</v>
      </c>
    </row>
    <row r="813" spans="23:27" x14ac:dyDescent="0.2">
      <c r="W813" s="173" t="str">
        <f t="shared" si="23"/>
        <v>1w</v>
      </c>
      <c r="X813" s="180">
        <f>_xll.qlCalendarAdvance(LiborCalendar,X812,W813,"f",FALSE)</f>
        <v>44636</v>
      </c>
      <c r="Y813" s="174">
        <f>_xll.qlInterestRateIndexValueDate(IborIndex,X813)</f>
        <v>44638</v>
      </c>
      <c r="Z813" s="175">
        <v>9.6191468311740223E-3</v>
      </c>
      <c r="AA813" s="177">
        <v>9.2656342291145659E-3</v>
      </c>
    </row>
    <row r="814" spans="23:27" x14ac:dyDescent="0.2">
      <c r="W814" s="173" t="str">
        <f t="shared" si="23"/>
        <v>1w</v>
      </c>
      <c r="X814" s="180">
        <f>_xll.qlCalendarAdvance(LiborCalendar,X813,W814,"f",FALSE)</f>
        <v>44643</v>
      </c>
      <c r="Y814" s="174">
        <f>_xll.qlInterestRateIndexValueDate(IborIndex,X814)</f>
        <v>44645</v>
      </c>
      <c r="Z814" s="175">
        <v>9.6530413020560601E-3</v>
      </c>
      <c r="AA814" s="177">
        <v>9.2982230575181894E-3</v>
      </c>
    </row>
    <row r="815" spans="23:27" x14ac:dyDescent="0.2">
      <c r="W815" s="173" t="str">
        <f t="shared" si="23"/>
        <v>1w</v>
      </c>
      <c r="X815" s="180">
        <f>_xll.qlCalendarAdvance(LiborCalendar,X814,W815,"f",FALSE)</f>
        <v>44650</v>
      </c>
      <c r="Y815" s="174">
        <f>_xll.qlInterestRateIndexValueDate(IborIndex,X815)</f>
        <v>44652</v>
      </c>
      <c r="Z815" s="175">
        <v>9.6901277331385184E-3</v>
      </c>
      <c r="AA815" s="177">
        <v>9.3311568652243455E-3</v>
      </c>
    </row>
    <row r="816" spans="23:27" x14ac:dyDescent="0.2">
      <c r="W816" s="173" t="str">
        <f t="shared" si="23"/>
        <v>1w</v>
      </c>
      <c r="X816" s="180">
        <f>_xll.qlCalendarAdvance(LiborCalendar,X815,W816,"f",FALSE)</f>
        <v>44657</v>
      </c>
      <c r="Y816" s="174">
        <f>_xll.qlInterestRateIndexValueDate(IborIndex,X816)</f>
        <v>44659</v>
      </c>
      <c r="Z816" s="175">
        <v>9.730482551886457E-3</v>
      </c>
      <c r="AA816" s="177">
        <v>9.3644356525842323E-3</v>
      </c>
    </row>
    <row r="817" spans="23:27" x14ac:dyDescent="0.2">
      <c r="W817" s="173" t="str">
        <f t="shared" si="23"/>
        <v>1w</v>
      </c>
      <c r="X817" s="180">
        <f>_xll.qlCalendarAdvance(LiborCalendar,X816,W817,"f",FALSE)</f>
        <v>44664</v>
      </c>
      <c r="Y817" s="174">
        <f>_xll.qlInterestRateIndexValueDate(IborIndex,X817)</f>
        <v>44670</v>
      </c>
      <c r="Z817" s="175">
        <v>9.781141935153467E-3</v>
      </c>
      <c r="AA817" s="177">
        <v>9.4123301454629438E-3</v>
      </c>
    </row>
    <row r="818" spans="23:27" x14ac:dyDescent="0.2">
      <c r="W818" s="173" t="str">
        <f t="shared" si="23"/>
        <v>1w</v>
      </c>
      <c r="X818" s="180">
        <f>_xll.qlCalendarAdvance(LiborCalendar,X817,W818,"f",FALSE)</f>
        <v>44671</v>
      </c>
      <c r="Y818" s="174">
        <f>_xll.qlInterestRateIndexValueDate(IborIndex,X818)</f>
        <v>44673</v>
      </c>
      <c r="Z818" s="175">
        <v>9.8034428425181411E-3</v>
      </c>
      <c r="AA818" s="177">
        <v>9.4320281672917918E-3</v>
      </c>
    </row>
    <row r="819" spans="23:27" x14ac:dyDescent="0.2">
      <c r="W819" s="173" t="str">
        <f t="shared" si="23"/>
        <v>1w</v>
      </c>
      <c r="X819" s="180">
        <f>_xll.qlCalendarAdvance(LiborCalendar,X818,W819,"f",FALSE)</f>
        <v>44678</v>
      </c>
      <c r="Y819" s="174">
        <f>_xll.qlInterestRateIndexValueDate(IborIndex,X819)</f>
        <v>44687</v>
      </c>
      <c r="Z819" s="175">
        <v>9.8806992187710132E-3</v>
      </c>
      <c r="AA819" s="177">
        <v>9.501000603910164E-3</v>
      </c>
    </row>
    <row r="820" spans="23:27" x14ac:dyDescent="0.2">
      <c r="W820" s="173" t="str">
        <f t="shared" si="23"/>
        <v>1w</v>
      </c>
      <c r="X820" s="180">
        <f>_xll.qlCalendarAdvance(LiborCalendar,X819,W820,"f",FALSE)</f>
        <v>44685</v>
      </c>
      <c r="Y820" s="174">
        <f>_xll.qlInterestRateIndexValueDate(IborIndex,X820)</f>
        <v>44687</v>
      </c>
      <c r="Z820" s="175">
        <v>9.8806992187710132E-3</v>
      </c>
      <c r="AA820" s="177">
        <v>9.501000603910164E-3</v>
      </c>
    </row>
    <row r="821" spans="23:27" x14ac:dyDescent="0.2">
      <c r="W821" s="173" t="str">
        <f t="shared" si="23"/>
        <v>1w</v>
      </c>
      <c r="X821" s="180">
        <f>_xll.qlCalendarAdvance(LiborCalendar,X820,W821,"f",FALSE)</f>
        <v>44692</v>
      </c>
      <c r="Y821" s="174">
        <f>_xll.qlInterestRateIndexValueDate(IborIndex,X821)</f>
        <v>44694</v>
      </c>
      <c r="Z821" s="175">
        <v>9.9198269526861848E-3</v>
      </c>
      <c r="AA821" s="177">
        <v>9.5360042936720752E-3</v>
      </c>
    </row>
    <row r="822" spans="23:27" x14ac:dyDescent="0.2">
      <c r="W822" s="173" t="str">
        <f t="shared" si="23"/>
        <v>1w</v>
      </c>
      <c r="X822" s="180">
        <f>_xll.qlCalendarAdvance(LiborCalendar,X821,W822,"f",FALSE)</f>
        <v>44699</v>
      </c>
      <c r="Y822" s="174">
        <f>_xll.qlInterestRateIndexValueDate(IborIndex,X822)</f>
        <v>44701</v>
      </c>
      <c r="Z822" s="175">
        <v>9.9592529121645193E-3</v>
      </c>
      <c r="AA822" s="177">
        <v>9.5713529647896891E-3</v>
      </c>
    </row>
    <row r="823" spans="23:27" x14ac:dyDescent="0.2">
      <c r="W823" s="173" t="str">
        <f t="shared" si="23"/>
        <v>1w</v>
      </c>
      <c r="X823" s="180">
        <f>_xll.qlCalendarAdvance(LiborCalendar,X822,W823,"f",FALSE)</f>
        <v>44706</v>
      </c>
      <c r="Y823" s="174">
        <f>_xll.qlInterestRateIndexValueDate(IborIndex,X823)</f>
        <v>44708</v>
      </c>
      <c r="Z823" s="175">
        <v>9.9989459524591276E-3</v>
      </c>
      <c r="AA823" s="177">
        <v>9.6097379157131235E-3</v>
      </c>
    </row>
    <row r="824" spans="23:27" x14ac:dyDescent="0.2">
      <c r="W824" s="173" t="str">
        <f t="shared" si="23"/>
        <v>1w</v>
      </c>
      <c r="X824" s="180">
        <f>_xll.qlCalendarAdvance(LiborCalendar,X823,W824,"f",FALSE)</f>
        <v>44713</v>
      </c>
      <c r="Y824" s="174">
        <f>_xll.qlInterestRateIndexValueDate(IborIndex,X824)</f>
        <v>44715</v>
      </c>
      <c r="Z824" s="175">
        <v>1.0038874926412507E-2</v>
      </c>
      <c r="AA824" s="177">
        <v>9.6430852523347425E-3</v>
      </c>
    </row>
    <row r="825" spans="23:27" x14ac:dyDescent="0.2">
      <c r="W825" s="173" t="str">
        <f t="shared" si="23"/>
        <v>1w</v>
      </c>
      <c r="X825" s="180">
        <f>_xll.qlCalendarAdvance(LiborCalendar,X824,W825,"f",FALSE)</f>
        <v>44720</v>
      </c>
      <c r="Y825" s="174">
        <f>_xll.qlInterestRateIndexValueDate(IborIndex,X825)</f>
        <v>44722</v>
      </c>
      <c r="Z825" s="175">
        <v>1.0079008684414201E-2</v>
      </c>
      <c r="AA825" s="177">
        <v>9.6794688693565192E-3</v>
      </c>
    </row>
    <row r="826" spans="23:27" x14ac:dyDescent="0.2">
      <c r="W826" s="173" t="str">
        <f t="shared" si="23"/>
        <v>1w</v>
      </c>
      <c r="X826" s="180">
        <f>_xll.qlCalendarAdvance(LiborCalendar,X825,W826,"f",FALSE)</f>
        <v>44727</v>
      </c>
      <c r="Y826" s="174">
        <f>_xll.qlInterestRateIndexValueDate(IborIndex,X826)</f>
        <v>44729</v>
      </c>
      <c r="Z826" s="175">
        <v>1.0119316074368386E-2</v>
      </c>
      <c r="AA826" s="177">
        <v>9.7161974689496961E-3</v>
      </c>
    </row>
    <row r="827" spans="23:27" x14ac:dyDescent="0.2">
      <c r="W827" s="173" t="str">
        <f t="shared" si="23"/>
        <v>1w</v>
      </c>
      <c r="X827" s="180">
        <f>_xll.qlCalendarAdvance(LiborCalendar,X826,W827,"f",FALSE)</f>
        <v>44734</v>
      </c>
      <c r="Y827" s="174">
        <f>_xll.qlInterestRateIndexValueDate(IborIndex,X827)</f>
        <v>44736</v>
      </c>
      <c r="Z827" s="175">
        <v>1.0165952703438154E-2</v>
      </c>
      <c r="AA827" s="177">
        <v>9.7532710514654699E-3</v>
      </c>
    </row>
    <row r="828" spans="23:27" x14ac:dyDescent="0.2">
      <c r="W828" s="173" t="str">
        <f t="shared" si="23"/>
        <v>1w</v>
      </c>
      <c r="X828" s="180">
        <f>_xll.qlCalendarAdvance(LiborCalendar,X827,W828,"f",FALSE)</f>
        <v>44741</v>
      </c>
      <c r="Y828" s="174">
        <f>_xll.qlInterestRateIndexValueDate(IborIndex,X828)</f>
        <v>44743</v>
      </c>
      <c r="Z828" s="175">
        <v>1.0206504546281411E-2</v>
      </c>
      <c r="AA828" s="177">
        <v>9.7906896171739994E-3</v>
      </c>
    </row>
    <row r="829" spans="23:27" x14ac:dyDescent="0.2">
      <c r="W829" s="173" t="str">
        <f t="shared" si="23"/>
        <v>1w</v>
      </c>
      <c r="X829" s="180">
        <f>_xll.qlCalendarAdvance(LiborCalendar,X828,W829,"f",FALSE)</f>
        <v>44748</v>
      </c>
      <c r="Y829" s="174">
        <f>_xll.qlInterestRateIndexValueDate(IborIndex,X829)</f>
        <v>44750</v>
      </c>
      <c r="Z829" s="175">
        <v>1.0244050337637541E-2</v>
      </c>
      <c r="AA829" s="177">
        <v>9.8284531664264811E-3</v>
      </c>
    </row>
    <row r="830" spans="23:27" x14ac:dyDescent="0.2">
      <c r="W830" s="173" t="str">
        <f t="shared" si="23"/>
        <v>1w</v>
      </c>
      <c r="X830" s="180">
        <f>_xll.qlCalendarAdvance(LiborCalendar,X829,W830,"f",FALSE)</f>
        <v>44755</v>
      </c>
      <c r="Y830" s="174">
        <f>_xll.qlInterestRateIndexValueDate(IborIndex,X830)</f>
        <v>44757</v>
      </c>
      <c r="Z830" s="175">
        <v>1.0281658823227478E-2</v>
      </c>
      <c r="AA830" s="177">
        <v>9.8665616995200871E-3</v>
      </c>
    </row>
    <row r="831" spans="23:27" x14ac:dyDescent="0.2">
      <c r="W831" s="173" t="str">
        <f t="shared" si="23"/>
        <v>1w</v>
      </c>
      <c r="X831" s="180">
        <f>_xll.qlCalendarAdvance(LiborCalendar,X830,W831,"f",FALSE)</f>
        <v>44762</v>
      </c>
      <c r="Y831" s="174">
        <f>_xll.qlInterestRateIndexValueDate(IborIndex,X831)</f>
        <v>44764</v>
      </c>
      <c r="Z831" s="175">
        <v>1.0322367002654624E-2</v>
      </c>
      <c r="AA831" s="177">
        <v>9.9050152167790024E-3</v>
      </c>
    </row>
    <row r="832" spans="23:27" x14ac:dyDescent="0.2">
      <c r="W832" s="173" t="str">
        <f t="shared" si="23"/>
        <v>1w</v>
      </c>
      <c r="X832" s="180">
        <f>_xll.qlCalendarAdvance(LiborCalendar,X831,W832,"f",FALSE)</f>
        <v>44769</v>
      </c>
      <c r="Y832" s="174">
        <f>_xll.qlInterestRateIndexValueDate(IborIndex,X832)</f>
        <v>44771</v>
      </c>
      <c r="Z832" s="175">
        <v>1.0366104730278073E-2</v>
      </c>
      <c r="AA832" s="177">
        <v>9.9438137185544253E-3</v>
      </c>
    </row>
    <row r="833" spans="23:27" x14ac:dyDescent="0.2">
      <c r="W833" s="173" t="str">
        <f t="shared" si="23"/>
        <v>1w</v>
      </c>
      <c r="X833" s="180">
        <f>_xll.qlCalendarAdvance(LiborCalendar,X832,W833,"f",FALSE)</f>
        <v>44776</v>
      </c>
      <c r="Y833" s="174">
        <f>_xll.qlInterestRateIndexValueDate(IborIndex,X833)</f>
        <v>44778</v>
      </c>
      <c r="Z833" s="175">
        <v>1.0403712188914612E-2</v>
      </c>
      <c r="AA833" s="177">
        <v>9.9829572051705444E-3</v>
      </c>
    </row>
    <row r="834" spans="23:27" x14ac:dyDescent="0.2">
      <c r="W834" s="173" t="str">
        <f t="shared" si="23"/>
        <v>1w</v>
      </c>
      <c r="X834" s="180">
        <f>_xll.qlCalendarAdvance(LiborCalendar,X833,W834,"f",FALSE)</f>
        <v>44783</v>
      </c>
      <c r="Y834" s="174">
        <f>_xll.qlInterestRateIndexValueDate(IborIndex,X834)</f>
        <v>44785</v>
      </c>
      <c r="Z834" s="175">
        <v>1.0444286853026199E-2</v>
      </c>
      <c r="AA834" s="177">
        <v>1.0022445676924526E-2</v>
      </c>
    </row>
    <row r="835" spans="23:27" x14ac:dyDescent="0.2">
      <c r="W835" s="173" t="str">
        <f t="shared" si="23"/>
        <v>1w</v>
      </c>
      <c r="X835" s="180">
        <f>_xll.qlCalendarAdvance(LiborCalendar,X834,W835,"f",FALSE)</f>
        <v>44790</v>
      </c>
      <c r="Y835" s="174">
        <f>_xll.qlInterestRateIndexValueDate(IborIndex,X835)</f>
        <v>44792</v>
      </c>
      <c r="Z835" s="175">
        <v>1.048475466500718E-2</v>
      </c>
      <c r="AA835" s="177">
        <v>1.0062279134167575E-2</v>
      </c>
    </row>
    <row r="836" spans="23:27" x14ac:dyDescent="0.2">
      <c r="W836" s="173" t="str">
        <f t="shared" si="23"/>
        <v>1w</v>
      </c>
      <c r="X836" s="180">
        <f>_xll.qlCalendarAdvance(LiborCalendar,X835,W836,"f",FALSE)</f>
        <v>44797</v>
      </c>
      <c r="Y836" s="174">
        <f>_xll.qlInterestRateIndexValueDate(IborIndex,X836)</f>
        <v>44799</v>
      </c>
      <c r="Z836" s="175">
        <v>1.0525084447059487E-2</v>
      </c>
      <c r="AA836" s="177">
        <v>1.0105482605516358E-2</v>
      </c>
    </row>
    <row r="837" spans="23:27" x14ac:dyDescent="0.2">
      <c r="W837" s="173" t="str">
        <f t="shared" si="23"/>
        <v>1w</v>
      </c>
      <c r="X837" s="180">
        <f>_xll.qlCalendarAdvance(LiborCalendar,X836,W837,"f",FALSE)</f>
        <v>44804</v>
      </c>
      <c r="Y837" s="174">
        <f>_xll.qlInterestRateIndexValueDate(IborIndex,X837)</f>
        <v>44806</v>
      </c>
      <c r="Z837" s="175">
        <v>1.0553483130373187E-2</v>
      </c>
      <c r="AA837" s="177">
        <v>1.0142981006579696E-2</v>
      </c>
    </row>
    <row r="838" spans="23:27" x14ac:dyDescent="0.2">
      <c r="W838" s="173" t="str">
        <f t="shared" si="23"/>
        <v>1w</v>
      </c>
      <c r="X838" s="180">
        <f>_xll.qlCalendarAdvance(LiborCalendar,X837,W838,"f",FALSE)</f>
        <v>44811</v>
      </c>
      <c r="Y838" s="174">
        <f>_xll.qlInterestRateIndexValueDate(IborIndex,X838)</f>
        <v>44813</v>
      </c>
      <c r="Z838" s="175">
        <v>1.0593551119006251E-2</v>
      </c>
      <c r="AA838" s="177">
        <v>1.0183849422370125E-2</v>
      </c>
    </row>
    <row r="839" spans="23:27" x14ac:dyDescent="0.2">
      <c r="W839" s="173" t="str">
        <f t="shared" si="23"/>
        <v>1w</v>
      </c>
      <c r="X839" s="180">
        <f>_xll.qlCalendarAdvance(LiborCalendar,X838,W839,"f",FALSE)</f>
        <v>44818</v>
      </c>
      <c r="Y839" s="174">
        <f>_xll.qlInterestRateIndexValueDate(IborIndex,X839)</f>
        <v>44820</v>
      </c>
      <c r="Z839" s="175">
        <v>1.0633393055171077E-2</v>
      </c>
      <c r="AA839" s="177">
        <v>1.0225062825081437E-2</v>
      </c>
    </row>
    <row r="840" spans="23:27" x14ac:dyDescent="0.2">
      <c r="W840" s="173" t="str">
        <f t="shared" si="23"/>
        <v>1w</v>
      </c>
      <c r="X840" s="180">
        <f>_xll.qlCalendarAdvance(LiborCalendar,X839,W840,"f",FALSE)</f>
        <v>44825</v>
      </c>
      <c r="Y840" s="174">
        <f>_xll.qlInterestRateIndexValueDate(IborIndex,X840)</f>
        <v>44830</v>
      </c>
      <c r="Z840" s="175">
        <v>1.0692702024074267E-2</v>
      </c>
      <c r="AA840" s="177">
        <v>1.0278266624019761E-2</v>
      </c>
    </row>
    <row r="841" spans="23:27" x14ac:dyDescent="0.2">
      <c r="W841" s="173" t="str">
        <f t="shared" si="23"/>
        <v>1w</v>
      </c>
      <c r="X841" s="180">
        <f>_xll.qlCalendarAdvance(LiborCalendar,X840,W841,"f",FALSE)</f>
        <v>44832</v>
      </c>
      <c r="Y841" s="174">
        <f>_xll.qlInterestRateIndexValueDate(IborIndex,X841)</f>
        <v>44834</v>
      </c>
      <c r="Z841" s="175">
        <v>1.0715100945548789E-2</v>
      </c>
      <c r="AA841" s="177">
        <v>1.0308524592482401E-2</v>
      </c>
    </row>
    <row r="842" spans="23:27" x14ac:dyDescent="0.2">
      <c r="W842" s="173" t="str">
        <f t="shared" si="23"/>
        <v>1w</v>
      </c>
      <c r="X842" s="180">
        <f>_xll.qlCalendarAdvance(LiborCalendar,X841,W842,"f",FALSE)</f>
        <v>44839</v>
      </c>
      <c r="Y842" s="174">
        <f>_xll.qlInterestRateIndexValueDate(IborIndex,X842)</f>
        <v>44841</v>
      </c>
      <c r="Z842" s="175">
        <v>1.0765204106907825E-2</v>
      </c>
      <c r="AA842" s="177">
        <v>1.0350772957874456E-2</v>
      </c>
    </row>
    <row r="843" spans="23:27" x14ac:dyDescent="0.2">
      <c r="W843" s="173" t="str">
        <f t="shared" si="23"/>
        <v>1w</v>
      </c>
      <c r="X843" s="180">
        <f>_xll.qlCalendarAdvance(LiborCalendar,X842,W843,"f",FALSE)</f>
        <v>44846</v>
      </c>
      <c r="Y843" s="174">
        <f>_xll.qlInterestRateIndexValueDate(IborIndex,X843)</f>
        <v>44848</v>
      </c>
      <c r="Z843" s="175">
        <v>1.0792628911711287E-2</v>
      </c>
      <c r="AA843" s="177">
        <v>1.0393366311592194E-2</v>
      </c>
    </row>
    <row r="844" spans="23:27" x14ac:dyDescent="0.2">
      <c r="W844" s="173" t="str">
        <f t="shared" si="23"/>
        <v>1w</v>
      </c>
      <c r="X844" s="180">
        <f>_xll.qlCalendarAdvance(LiborCalendar,X843,W844,"f",FALSE)</f>
        <v>44853</v>
      </c>
      <c r="Y844" s="174">
        <f>_xll.qlInterestRateIndexValueDate(IborIndex,X844)</f>
        <v>44855</v>
      </c>
      <c r="Z844" s="175">
        <v>1.0830829791080965E-2</v>
      </c>
      <c r="AA844" s="177">
        <v>1.0436304653959802E-2</v>
      </c>
    </row>
    <row r="845" spans="23:27" x14ac:dyDescent="0.2">
      <c r="W845" s="173" t="str">
        <f t="shared" si="23"/>
        <v>1w</v>
      </c>
      <c r="X845" s="180">
        <f>_xll.qlCalendarAdvance(LiborCalendar,X844,W845,"f",FALSE)</f>
        <v>44860</v>
      </c>
      <c r="Y845" s="174">
        <f>_xll.qlInterestRateIndexValueDate(IborIndex,X845)</f>
        <v>44862</v>
      </c>
      <c r="Z845" s="175">
        <v>1.0868612988821139E-2</v>
      </c>
      <c r="AA845" s="177">
        <v>1.0479587985328481E-2</v>
      </c>
    </row>
    <row r="846" spans="23:27" x14ac:dyDescent="0.2">
      <c r="W846" s="173" t="str">
        <f t="shared" si="23"/>
        <v>1w</v>
      </c>
      <c r="X846" s="180">
        <f>_xll.qlCalendarAdvance(LiborCalendar,X845,W846,"f",FALSE)</f>
        <v>44867</v>
      </c>
      <c r="Y846" s="174">
        <f>_xll.qlInterestRateIndexValueDate(IborIndex,X846)</f>
        <v>44869</v>
      </c>
      <c r="Z846" s="175">
        <v>1.0913929726343108E-2</v>
      </c>
      <c r="AA846" s="177">
        <v>1.0523190872591867E-2</v>
      </c>
    </row>
    <row r="847" spans="23:27" x14ac:dyDescent="0.2">
      <c r="W847" s="173" t="str">
        <f t="shared" si="23"/>
        <v>1w</v>
      </c>
      <c r="X847" s="180">
        <f>_xll.qlCalendarAdvance(LiborCalendar,X846,W847,"f",FALSE)</f>
        <v>44874</v>
      </c>
      <c r="Y847" s="174">
        <f>_xll.qlInterestRateIndexValueDate(IborIndex,X847)</f>
        <v>44876</v>
      </c>
      <c r="Z847" s="175">
        <v>1.0940170804677886E-2</v>
      </c>
      <c r="AA847" s="177">
        <v>1.0566570733755073E-2</v>
      </c>
    </row>
    <row r="848" spans="23:27" x14ac:dyDescent="0.2">
      <c r="W848" s="173" t="str">
        <f t="shared" si="23"/>
        <v>1w</v>
      </c>
      <c r="X848" s="180">
        <f>_xll.qlCalendarAdvance(LiborCalendar,X847,W848,"f",FALSE)</f>
        <v>44881</v>
      </c>
      <c r="Y848" s="174">
        <f>_xll.qlInterestRateIndexValueDate(IborIndex,X848)</f>
        <v>44883</v>
      </c>
      <c r="Z848" s="175">
        <v>1.0976580912909721E-2</v>
      </c>
      <c r="AA848" s="177">
        <v>1.0609464755234612E-2</v>
      </c>
    </row>
    <row r="849" spans="23:27" x14ac:dyDescent="0.2">
      <c r="W849" s="173" t="str">
        <f t="shared" si="23"/>
        <v>1w</v>
      </c>
      <c r="X849" s="180">
        <f>_xll.qlCalendarAdvance(LiborCalendar,X848,W849,"f",FALSE)</f>
        <v>44888</v>
      </c>
      <c r="Y849" s="174">
        <f>_xll.qlInterestRateIndexValueDate(IborIndex,X849)</f>
        <v>44890</v>
      </c>
      <c r="Z849" s="175">
        <v>1.1012509873122892E-2</v>
      </c>
      <c r="AA849" s="177">
        <v>1.0651872936517186E-2</v>
      </c>
    </row>
    <row r="850" spans="23:27" x14ac:dyDescent="0.2">
      <c r="W850" s="173" t="str">
        <f t="shared" si="23"/>
        <v>1w</v>
      </c>
      <c r="X850" s="180">
        <f>_xll.qlCalendarAdvance(LiborCalendar,X849,W850,"f",FALSE)</f>
        <v>44895</v>
      </c>
      <c r="Y850" s="174">
        <f>_xll.qlInterestRateIndexValueDate(IborIndex,X850)</f>
        <v>44897</v>
      </c>
      <c r="Z850" s="175">
        <v>1.1050491791319898E-2</v>
      </c>
      <c r="AA850" s="177">
        <v>1.0693795277062492E-2</v>
      </c>
    </row>
    <row r="851" spans="23:27" x14ac:dyDescent="0.2">
      <c r="W851" s="173" t="str">
        <f t="shared" si="23"/>
        <v>1w</v>
      </c>
      <c r="X851" s="180">
        <f>_xll.qlCalendarAdvance(LiborCalendar,X850,W851,"f",FALSE)</f>
        <v>44902</v>
      </c>
      <c r="Y851" s="174">
        <f>_xll.qlInterestRateIndexValueDate(IborIndex,X851)</f>
        <v>44904</v>
      </c>
      <c r="Z851" s="175">
        <v>1.1085425073999206E-2</v>
      </c>
      <c r="AA851" s="177">
        <v>1.0735231776411263E-2</v>
      </c>
    </row>
    <row r="852" spans="23:27" x14ac:dyDescent="0.2">
      <c r="W852" s="173" t="str">
        <f t="shared" si="23"/>
        <v>1w</v>
      </c>
      <c r="X852" s="180">
        <f>_xll.qlCalendarAdvance(LiborCalendar,X851,W852,"f",FALSE)</f>
        <v>44909</v>
      </c>
      <c r="Y852" s="174">
        <f>_xll.qlInterestRateIndexValueDate(IborIndex,X852)</f>
        <v>44911</v>
      </c>
      <c r="Z852" s="175">
        <v>1.1119877118628226E-2</v>
      </c>
      <c r="AA852" s="177">
        <v>1.0776182434023193E-2</v>
      </c>
    </row>
    <row r="853" spans="23:27" x14ac:dyDescent="0.2">
      <c r="W853" s="173" t="str">
        <f t="shared" ref="W853:W916" si="24">W852</f>
        <v>1w</v>
      </c>
      <c r="X853" s="180">
        <f>_xll.qlCalendarAdvance(LiborCalendar,X852,W853,"f",FALSE)</f>
        <v>44916</v>
      </c>
      <c r="Y853" s="174">
        <f>_xll.qlInterestRateIndexValueDate(IborIndex,X853)</f>
        <v>44923</v>
      </c>
      <c r="Z853" s="175">
        <v>1.1177818079597562E-2</v>
      </c>
      <c r="AA853" s="177">
        <v>1.083923328205616E-2</v>
      </c>
    </row>
    <row r="854" spans="23:27" x14ac:dyDescent="0.2">
      <c r="W854" s="173" t="str">
        <f t="shared" si="24"/>
        <v>1w</v>
      </c>
      <c r="X854" s="180">
        <f>_xll.qlCalendarAdvance(LiborCalendar,X853,W854,"f",FALSE)</f>
        <v>44923</v>
      </c>
      <c r="Y854" s="174">
        <f>_xll.qlInterestRateIndexValueDate(IborIndex,X854)</f>
        <v>44925</v>
      </c>
      <c r="Z854" s="175">
        <v>1.1187337393976518E-2</v>
      </c>
      <c r="AA854" s="177">
        <v>1.0859621922044704E-2</v>
      </c>
    </row>
    <row r="855" spans="23:27" x14ac:dyDescent="0.2">
      <c r="W855" s="173" t="str">
        <f t="shared" si="24"/>
        <v>1w</v>
      </c>
      <c r="X855" s="180">
        <f>_xll.qlCalendarAdvance(LiborCalendar,X854,W855,"f",FALSE)</f>
        <v>44930</v>
      </c>
      <c r="Y855" s="174">
        <f>_xll.qlInterestRateIndexValueDate(IborIndex,X855)</f>
        <v>44932</v>
      </c>
      <c r="Z855" s="175">
        <v>1.1217978096816397E-2</v>
      </c>
      <c r="AA855" s="177">
        <v>1.0896119351791283E-2</v>
      </c>
    </row>
    <row r="856" spans="23:27" x14ac:dyDescent="0.2">
      <c r="W856" s="173" t="str">
        <f t="shared" si="24"/>
        <v>1w</v>
      </c>
      <c r="X856" s="180">
        <f>_xll.qlCalendarAdvance(LiborCalendar,X855,W856,"f",FALSE)</f>
        <v>44937</v>
      </c>
      <c r="Y856" s="174">
        <f>_xll.qlInterestRateIndexValueDate(IborIndex,X856)</f>
        <v>44939</v>
      </c>
      <c r="Z856" s="175">
        <v>1.1250538313598176E-2</v>
      </c>
      <c r="AA856" s="177">
        <v>1.0935126637728148E-2</v>
      </c>
    </row>
    <row r="857" spans="23:27" x14ac:dyDescent="0.2">
      <c r="W857" s="173" t="str">
        <f t="shared" si="24"/>
        <v>1w</v>
      </c>
      <c r="X857" s="180">
        <f>_xll.qlCalendarAdvance(LiborCalendar,X856,W857,"f",FALSE)</f>
        <v>44944</v>
      </c>
      <c r="Y857" s="174">
        <f>_xll.qlInterestRateIndexValueDate(IborIndex,X857)</f>
        <v>44946</v>
      </c>
      <c r="Z857" s="175">
        <v>1.128261718444447E-2</v>
      </c>
      <c r="AA857" s="177">
        <v>1.0973648079577829E-2</v>
      </c>
    </row>
    <row r="858" spans="23:27" x14ac:dyDescent="0.2">
      <c r="W858" s="173" t="str">
        <f t="shared" si="24"/>
        <v>1w</v>
      </c>
      <c r="X858" s="180">
        <f>_xll.qlCalendarAdvance(LiborCalendar,X857,W858,"f",FALSE)</f>
        <v>44951</v>
      </c>
      <c r="Y858" s="174">
        <f>_xll.qlInterestRateIndexValueDate(IborIndex,X858)</f>
        <v>44953</v>
      </c>
      <c r="Z858" s="175">
        <v>1.1314214686179562E-2</v>
      </c>
      <c r="AA858" s="177">
        <v>1.101168367685405E-2</v>
      </c>
    </row>
    <row r="859" spans="23:27" x14ac:dyDescent="0.2">
      <c r="W859" s="173" t="str">
        <f t="shared" si="24"/>
        <v>1w</v>
      </c>
      <c r="X859" s="180">
        <f>_xll.qlCalendarAdvance(LiborCalendar,X858,W859,"f",FALSE)</f>
        <v>44958</v>
      </c>
      <c r="Y859" s="174">
        <f>_xll.qlInterestRateIndexValueDate(IborIndex,X859)</f>
        <v>44960</v>
      </c>
      <c r="Z859" s="175">
        <v>1.134533079597398E-2</v>
      </c>
      <c r="AA859" s="177">
        <v>1.1049233429070531E-2</v>
      </c>
    </row>
    <row r="860" spans="23:27" x14ac:dyDescent="0.2">
      <c r="W860" s="173" t="str">
        <f t="shared" si="24"/>
        <v>1w</v>
      </c>
      <c r="X860" s="180">
        <f>_xll.qlCalendarAdvance(LiborCalendar,X859,W860,"f",FALSE)</f>
        <v>44965</v>
      </c>
      <c r="Y860" s="174">
        <f>_xll.qlInterestRateIndexValueDate(IborIndex,X860)</f>
        <v>44967</v>
      </c>
      <c r="Z860" s="175">
        <v>1.1375965491347142E-2</v>
      </c>
      <c r="AA860" s="177">
        <v>1.1086297335849057E-2</v>
      </c>
    </row>
    <row r="861" spans="23:27" x14ac:dyDescent="0.2">
      <c r="W861" s="173" t="str">
        <f t="shared" si="24"/>
        <v>1w</v>
      </c>
      <c r="X861" s="180">
        <f>_xll.qlCalendarAdvance(LiborCalendar,X860,W861,"f",FALSE)</f>
        <v>44972</v>
      </c>
      <c r="Y861" s="174">
        <f>_xll.qlInterestRateIndexValueDate(IborIndex,X861)</f>
        <v>44974</v>
      </c>
      <c r="Z861" s="175">
        <v>1.1406118750166035E-2</v>
      </c>
      <c r="AA861" s="177">
        <v>1.1122875396703352E-2</v>
      </c>
    </row>
    <row r="862" spans="23:27" x14ac:dyDescent="0.2">
      <c r="W862" s="173" t="str">
        <f t="shared" si="24"/>
        <v>1w</v>
      </c>
      <c r="X862" s="180">
        <f>_xll.qlCalendarAdvance(LiborCalendar,X861,W862,"f",FALSE)</f>
        <v>44979</v>
      </c>
      <c r="Y862" s="174">
        <f>_xll.qlInterestRateIndexValueDate(IborIndex,X862)</f>
        <v>44981</v>
      </c>
      <c r="Z862" s="175">
        <v>1.1435790550643888E-2</v>
      </c>
      <c r="AA862" s="177">
        <v>1.1158967611201167E-2</v>
      </c>
    </row>
    <row r="863" spans="23:27" x14ac:dyDescent="0.2">
      <c r="W863" s="173" t="str">
        <f t="shared" si="24"/>
        <v>1w</v>
      </c>
      <c r="X863" s="180">
        <f>_xll.qlCalendarAdvance(LiborCalendar,X862,W863,"f",FALSE)</f>
        <v>44986</v>
      </c>
      <c r="Y863" s="174">
        <f>_xll.qlInterestRateIndexValueDate(IborIndex,X863)</f>
        <v>44988</v>
      </c>
      <c r="Z863" s="175">
        <v>1.1473362439987051E-2</v>
      </c>
      <c r="AA863" s="177">
        <v>1.1194573978910254E-2</v>
      </c>
    </row>
    <row r="864" spans="23:27" x14ac:dyDescent="0.2">
      <c r="W864" s="173" t="str">
        <f t="shared" si="24"/>
        <v>1w</v>
      </c>
      <c r="X864" s="180">
        <f>_xll.qlCalendarAdvance(LiborCalendar,X863,W864,"f",FALSE)</f>
        <v>44993</v>
      </c>
      <c r="Y864" s="174">
        <f>_xll.qlInterestRateIndexValueDate(IborIndex,X864)</f>
        <v>44995</v>
      </c>
      <c r="Z864" s="175">
        <v>1.1501937312104409E-2</v>
      </c>
      <c r="AA864" s="177">
        <v>1.1229694499425385E-2</v>
      </c>
    </row>
    <row r="865" spans="23:27" x14ac:dyDescent="0.2">
      <c r="W865" s="173" t="str">
        <f t="shared" si="24"/>
        <v>1w</v>
      </c>
      <c r="X865" s="180">
        <f>_xll.qlCalendarAdvance(LiborCalendar,X864,W865,"f",FALSE)</f>
        <v>45000</v>
      </c>
      <c r="Y865" s="174">
        <f>_xll.qlInterestRateIndexValueDate(IborIndex,X865)</f>
        <v>45002</v>
      </c>
      <c r="Z865" s="175">
        <v>1.1532051119210846E-2</v>
      </c>
      <c r="AA865" s="177">
        <v>1.1264329172260281E-2</v>
      </c>
    </row>
    <row r="866" spans="23:27" x14ac:dyDescent="0.2">
      <c r="W866" s="173" t="str">
        <f t="shared" si="24"/>
        <v>1w</v>
      </c>
      <c r="X866" s="180">
        <f>_xll.qlCalendarAdvance(LiborCalendar,X865,W866,"f",FALSE)</f>
        <v>45007</v>
      </c>
      <c r="Y866" s="174">
        <f>_xll.qlInterestRateIndexValueDate(IborIndex,X866)</f>
        <v>45009</v>
      </c>
      <c r="Z866" s="175">
        <v>1.1557642296122364E-2</v>
      </c>
      <c r="AA866" s="177">
        <v>1.1298477997090755E-2</v>
      </c>
    </row>
    <row r="867" spans="23:27" x14ac:dyDescent="0.2">
      <c r="W867" s="173" t="str">
        <f t="shared" si="24"/>
        <v>1w</v>
      </c>
      <c r="X867" s="180">
        <f>_xll.qlCalendarAdvance(LiborCalendar,X866,W867,"f",FALSE)</f>
        <v>45014</v>
      </c>
      <c r="Y867" s="174">
        <f>_xll.qlInterestRateIndexValueDate(IborIndex,X867)</f>
        <v>45016</v>
      </c>
      <c r="Z867" s="175">
        <v>1.1578893035349211E-2</v>
      </c>
      <c r="AA867" s="177">
        <v>1.1332140973430532E-2</v>
      </c>
    </row>
    <row r="868" spans="23:27" x14ac:dyDescent="0.2">
      <c r="W868" s="173" t="str">
        <f t="shared" si="24"/>
        <v>1w</v>
      </c>
      <c r="X868" s="180">
        <f>_xll.qlCalendarAdvance(LiborCalendar,X867,W868,"f",FALSE)</f>
        <v>45021</v>
      </c>
      <c r="Y868" s="174">
        <f>_xll.qlInterestRateIndexValueDate(IborIndex,X868)</f>
        <v>45027</v>
      </c>
      <c r="Z868" s="175">
        <v>1.1622621270241468E-2</v>
      </c>
      <c r="AA868" s="177">
        <v>1.1379036695493561E-2</v>
      </c>
    </row>
    <row r="869" spans="23:27" x14ac:dyDescent="0.2">
      <c r="W869" s="173" t="str">
        <f t="shared" si="24"/>
        <v>1w</v>
      </c>
      <c r="X869" s="180">
        <f>_xll.qlCalendarAdvance(LiborCalendar,X868,W869,"f",FALSE)</f>
        <v>45028</v>
      </c>
      <c r="Y869" s="174">
        <f>_xll.qlInterestRateIndexValueDate(IborIndex,X869)</f>
        <v>45030</v>
      </c>
      <c r="Z869" s="175">
        <v>1.1637587565738773E-2</v>
      </c>
      <c r="AA869" s="177">
        <v>1.1398009379179157E-2</v>
      </c>
    </row>
    <row r="870" spans="23:27" x14ac:dyDescent="0.2">
      <c r="W870" s="173" t="str">
        <f t="shared" si="24"/>
        <v>1w</v>
      </c>
      <c r="X870" s="180">
        <f>_xll.qlCalendarAdvance(LiborCalendar,X869,W870,"f",FALSE)</f>
        <v>45035</v>
      </c>
      <c r="Y870" s="174">
        <f>_xll.qlInterestRateIndexValueDate(IborIndex,X870)</f>
        <v>45037</v>
      </c>
      <c r="Z870" s="175">
        <v>1.1663272654824452E-2</v>
      </c>
      <c r="AA870" s="177">
        <v>1.1430214807750529E-2</v>
      </c>
    </row>
    <row r="871" spans="23:27" x14ac:dyDescent="0.2">
      <c r="W871" s="173" t="str">
        <f t="shared" si="24"/>
        <v>1w</v>
      </c>
      <c r="X871" s="180">
        <f>_xll.qlCalendarAdvance(LiborCalendar,X870,W871,"f",FALSE)</f>
        <v>45042</v>
      </c>
      <c r="Y871" s="174">
        <f>_xll.qlInterestRateIndexValueDate(IborIndex,X871)</f>
        <v>45044</v>
      </c>
      <c r="Z871" s="175">
        <v>1.1690295209929232E-2</v>
      </c>
      <c r="AA871" s="177">
        <v>1.146435862101669E-2</v>
      </c>
    </row>
    <row r="872" spans="23:27" x14ac:dyDescent="0.2">
      <c r="W872" s="173" t="str">
        <f t="shared" si="24"/>
        <v>1w</v>
      </c>
      <c r="X872" s="180">
        <f>_xll.qlCalendarAdvance(LiborCalendar,X871,W872,"f",FALSE)</f>
        <v>45049</v>
      </c>
      <c r="Y872" s="174">
        <f>_xll.qlInterestRateIndexValueDate(IborIndex,X872)</f>
        <v>45054</v>
      </c>
      <c r="Z872" s="175">
        <v>1.1721871081900086E-2</v>
      </c>
      <c r="AA872" s="177">
        <v>1.1501643667853889E-2</v>
      </c>
    </row>
    <row r="873" spans="23:27" x14ac:dyDescent="0.2">
      <c r="W873" s="173" t="str">
        <f t="shared" si="24"/>
        <v>1w</v>
      </c>
      <c r="X873" s="180">
        <f>_xll.qlCalendarAdvance(LiborCalendar,X872,W873,"f",FALSE)</f>
        <v>45056</v>
      </c>
      <c r="Y873" s="174">
        <f>_xll.qlInterestRateIndexValueDate(IborIndex,X873)</f>
        <v>45058</v>
      </c>
      <c r="Z873" s="175">
        <v>1.1737443916221417E-2</v>
      </c>
      <c r="AA873" s="177">
        <v>1.1523915991795327E-2</v>
      </c>
    </row>
    <row r="874" spans="23:27" x14ac:dyDescent="0.2">
      <c r="W874" s="173" t="str">
        <f t="shared" si="24"/>
        <v>1w</v>
      </c>
      <c r="X874" s="180">
        <f>_xll.qlCalendarAdvance(LiborCalendar,X873,W874,"f",FALSE)</f>
        <v>45063</v>
      </c>
      <c r="Y874" s="174">
        <f>_xll.qlInterestRateIndexValueDate(IborIndex,X874)</f>
        <v>45065</v>
      </c>
      <c r="Z874" s="175">
        <v>1.1761245934236346E-2</v>
      </c>
      <c r="AA874" s="177">
        <v>1.1554178017975094E-2</v>
      </c>
    </row>
    <row r="875" spans="23:27" x14ac:dyDescent="0.2">
      <c r="W875" s="173" t="str">
        <f t="shared" si="24"/>
        <v>1w</v>
      </c>
      <c r="X875" s="180">
        <f>_xll.qlCalendarAdvance(LiborCalendar,X874,W875,"f",FALSE)</f>
        <v>45070</v>
      </c>
      <c r="Y875" s="174">
        <f>_xll.qlInterestRateIndexValueDate(IborIndex,X875)</f>
        <v>45072</v>
      </c>
      <c r="Z875" s="175">
        <v>1.1784641328608412E-2</v>
      </c>
      <c r="AA875" s="177">
        <v>1.1586243461066681E-2</v>
      </c>
    </row>
    <row r="876" spans="23:27" x14ac:dyDescent="0.2">
      <c r="W876" s="173" t="str">
        <f t="shared" si="24"/>
        <v>1w</v>
      </c>
      <c r="X876" s="180">
        <f>_xll.qlCalendarAdvance(LiborCalendar,X875,W876,"f",FALSE)</f>
        <v>45077</v>
      </c>
      <c r="Y876" s="174">
        <f>_xll.qlInterestRateIndexValueDate(IborIndex,X876)</f>
        <v>45079</v>
      </c>
      <c r="Z876" s="175">
        <v>1.1807667658499447E-2</v>
      </c>
      <c r="AA876" s="177">
        <v>1.161324451540713E-2</v>
      </c>
    </row>
    <row r="877" spans="23:27" x14ac:dyDescent="0.2">
      <c r="W877" s="173" t="str">
        <f t="shared" si="24"/>
        <v>1w</v>
      </c>
      <c r="X877" s="180">
        <f>_xll.qlCalendarAdvance(LiborCalendar,X876,W877,"f",FALSE)</f>
        <v>45084</v>
      </c>
      <c r="Y877" s="174">
        <f>_xll.qlInterestRateIndexValueDate(IborIndex,X877)</f>
        <v>45086</v>
      </c>
      <c r="Z877" s="175">
        <v>1.183036248506191E-2</v>
      </c>
      <c r="AA877" s="177">
        <v>1.1642048985957E-2</v>
      </c>
    </row>
    <row r="878" spans="23:27" x14ac:dyDescent="0.2">
      <c r="W878" s="173" t="str">
        <f t="shared" si="24"/>
        <v>1w</v>
      </c>
      <c r="X878" s="180">
        <f>_xll.qlCalendarAdvance(LiborCalendar,X877,W878,"f",FALSE)</f>
        <v>45091</v>
      </c>
      <c r="Y878" s="174">
        <f>_xll.qlInterestRateIndexValueDate(IborIndex,X878)</f>
        <v>45093</v>
      </c>
      <c r="Z878" s="175">
        <v>1.1852763371372773E-2</v>
      </c>
      <c r="AA878" s="177">
        <v>1.1670367603936842E-2</v>
      </c>
    </row>
    <row r="879" spans="23:27" x14ac:dyDescent="0.2">
      <c r="W879" s="173" t="str">
        <f t="shared" si="24"/>
        <v>1w</v>
      </c>
      <c r="X879" s="180">
        <f>_xll.qlCalendarAdvance(LiborCalendar,X878,W879,"f",FALSE)</f>
        <v>45098</v>
      </c>
      <c r="Y879" s="174">
        <f>_xll.qlInterestRateIndexValueDate(IborIndex,X879)</f>
        <v>45100</v>
      </c>
      <c r="Z879" s="175">
        <v>1.1878252556524804E-2</v>
      </c>
      <c r="AA879" s="177">
        <v>1.1698200369022473E-2</v>
      </c>
    </row>
    <row r="880" spans="23:27" x14ac:dyDescent="0.2">
      <c r="W880" s="173" t="str">
        <f t="shared" si="24"/>
        <v>1w</v>
      </c>
      <c r="X880" s="180">
        <f>_xll.qlCalendarAdvance(LiborCalendar,X879,W880,"f",FALSE)</f>
        <v>45105</v>
      </c>
      <c r="Y880" s="174">
        <f>_xll.qlInterestRateIndexValueDate(IborIndex,X880)</f>
        <v>45107</v>
      </c>
      <c r="Z880" s="175">
        <v>1.189182244500135E-2</v>
      </c>
      <c r="AA880" s="177">
        <v>1.1725547280835674E-2</v>
      </c>
    </row>
    <row r="881" spans="23:27" x14ac:dyDescent="0.2">
      <c r="W881" s="173" t="str">
        <f t="shared" si="24"/>
        <v>1w</v>
      </c>
      <c r="X881" s="180">
        <f>_xll.qlCalendarAdvance(LiborCalendar,X880,W881,"f",FALSE)</f>
        <v>45112</v>
      </c>
      <c r="Y881" s="174">
        <f>_xll.qlInterestRateIndexValueDate(IborIndex,X881)</f>
        <v>45114</v>
      </c>
      <c r="Z881" s="175">
        <v>1.1920255709105031E-2</v>
      </c>
      <c r="AA881" s="177">
        <v>1.1752408339079276E-2</v>
      </c>
    </row>
    <row r="882" spans="23:27" x14ac:dyDescent="0.2">
      <c r="W882" s="173" t="str">
        <f t="shared" si="24"/>
        <v>1w</v>
      </c>
      <c r="X882" s="180">
        <f>_xll.qlCalendarAdvance(LiborCalendar,X881,W882,"f",FALSE)</f>
        <v>45119</v>
      </c>
      <c r="Y882" s="174">
        <f>_xll.qlInterestRateIndexValueDate(IborIndex,X882)</f>
        <v>45121</v>
      </c>
      <c r="Z882" s="175">
        <v>1.1940178839821021E-2</v>
      </c>
      <c r="AA882" s="177">
        <v>1.177878354340208E-2</v>
      </c>
    </row>
    <row r="883" spans="23:27" x14ac:dyDescent="0.2">
      <c r="W883" s="173" t="str">
        <f t="shared" si="24"/>
        <v>1w</v>
      </c>
      <c r="X883" s="180">
        <f>_xll.qlCalendarAdvance(LiborCalendar,X882,W883,"f",FALSE)</f>
        <v>45126</v>
      </c>
      <c r="Y883" s="174">
        <f>_xll.qlInterestRateIndexValueDate(IborIndex,X883)</f>
        <v>45128</v>
      </c>
      <c r="Z883" s="175">
        <v>1.196167353457204E-2</v>
      </c>
      <c r="AA883" s="177">
        <v>1.1804672893560946E-2</v>
      </c>
    </row>
    <row r="884" spans="23:27" x14ac:dyDescent="0.2">
      <c r="W884" s="173" t="str">
        <f t="shared" si="24"/>
        <v>1w</v>
      </c>
      <c r="X884" s="180">
        <f>_xll.qlCalendarAdvance(LiborCalendar,X883,W884,"f",FALSE)</f>
        <v>45133</v>
      </c>
      <c r="Y884" s="174">
        <f>_xll.qlInterestRateIndexValueDate(IborIndex,X884)</f>
        <v>45135</v>
      </c>
      <c r="Z884" s="175">
        <v>1.1983099705082509E-2</v>
      </c>
      <c r="AA884" s="177">
        <v>1.1830076389177659E-2</v>
      </c>
    </row>
    <row r="885" spans="23:27" x14ac:dyDescent="0.2">
      <c r="W885" s="173" t="str">
        <f t="shared" si="24"/>
        <v>1w</v>
      </c>
      <c r="X885" s="180">
        <f>_xll.qlCalendarAdvance(LiborCalendar,X884,W885,"f",FALSE)</f>
        <v>45140</v>
      </c>
      <c r="Y885" s="174">
        <f>_xll.qlInterestRateIndexValueDate(IborIndex,X885)</f>
        <v>45142</v>
      </c>
      <c r="Z885" s="175">
        <v>1.2004494926621159E-2</v>
      </c>
      <c r="AA885" s="177">
        <v>1.1854994029955048E-2</v>
      </c>
    </row>
    <row r="886" spans="23:27" x14ac:dyDescent="0.2">
      <c r="W886" s="173" t="str">
        <f t="shared" si="24"/>
        <v>1w</v>
      </c>
      <c r="X886" s="180">
        <f>_xll.qlCalendarAdvance(LiborCalendar,X885,W886,"f",FALSE)</f>
        <v>45147</v>
      </c>
      <c r="Y886" s="174">
        <f>_xll.qlInterestRateIndexValueDate(IborIndex,X886)</f>
        <v>45149</v>
      </c>
      <c r="Z886" s="175">
        <v>1.2027646968956732E-2</v>
      </c>
      <c r="AA886" s="177">
        <v>1.1879425815622959E-2</v>
      </c>
    </row>
    <row r="887" spans="23:27" x14ac:dyDescent="0.2">
      <c r="W887" s="173" t="str">
        <f t="shared" si="24"/>
        <v>1w</v>
      </c>
      <c r="X887" s="180">
        <f>_xll.qlCalendarAdvance(LiborCalendar,X886,W887,"f",FALSE)</f>
        <v>45154</v>
      </c>
      <c r="Y887" s="174">
        <f>_xll.qlInterestRateIndexValueDate(IborIndex,X887)</f>
        <v>45156</v>
      </c>
      <c r="Z887" s="175">
        <v>1.204734283208574E-2</v>
      </c>
      <c r="AA887" s="177">
        <v>1.1903371745857207E-2</v>
      </c>
    </row>
    <row r="888" spans="23:27" x14ac:dyDescent="0.2">
      <c r="W888" s="173" t="str">
        <f t="shared" si="24"/>
        <v>1w</v>
      </c>
      <c r="X888" s="180">
        <f>_xll.qlCalendarAdvance(LiborCalendar,X887,W888,"f",FALSE)</f>
        <v>45161</v>
      </c>
      <c r="Y888" s="174">
        <f>_xll.qlInterestRateIndexValueDate(IborIndex,X888)</f>
        <v>45163</v>
      </c>
      <c r="Z888" s="175">
        <v>1.2068870674776936E-2</v>
      </c>
      <c r="AA888" s="177">
        <v>1.1928680968467109E-2</v>
      </c>
    </row>
    <row r="889" spans="23:27" x14ac:dyDescent="0.2">
      <c r="W889" s="173" t="str">
        <f t="shared" si="24"/>
        <v>1w</v>
      </c>
      <c r="X889" s="180">
        <f>_xll.qlCalendarAdvance(LiborCalendar,X888,W889,"f",FALSE)</f>
        <v>45168</v>
      </c>
      <c r="Y889" s="174">
        <f>_xll.qlInterestRateIndexValueDate(IborIndex,X889)</f>
        <v>45170</v>
      </c>
      <c r="Z889" s="175">
        <v>1.2085061103892807E-2</v>
      </c>
      <c r="AA889" s="177">
        <v>1.1949806038971113E-2</v>
      </c>
    </row>
    <row r="890" spans="23:27" x14ac:dyDescent="0.2">
      <c r="W890" s="173" t="str">
        <f t="shared" si="24"/>
        <v>1w</v>
      </c>
      <c r="X890" s="180">
        <f>_xll.qlCalendarAdvance(LiborCalendar,X889,W890,"f",FALSE)</f>
        <v>45175</v>
      </c>
      <c r="Y890" s="174">
        <f>_xll.qlInterestRateIndexValueDate(IborIndex,X890)</f>
        <v>45177</v>
      </c>
      <c r="Z890" s="175">
        <v>1.2106778240194394E-2</v>
      </c>
      <c r="AA890" s="177">
        <v>1.1972294401256431E-2</v>
      </c>
    </row>
    <row r="891" spans="23:27" x14ac:dyDescent="0.2">
      <c r="W891" s="173" t="str">
        <f t="shared" si="24"/>
        <v>1w</v>
      </c>
      <c r="X891" s="180">
        <f>_xll.qlCalendarAdvance(LiborCalendar,X890,W891,"f",FALSE)</f>
        <v>45182</v>
      </c>
      <c r="Y891" s="174">
        <f>_xll.qlInterestRateIndexValueDate(IborIndex,X891)</f>
        <v>45184</v>
      </c>
      <c r="Z891" s="175">
        <v>1.212868466743495E-2</v>
      </c>
      <c r="AA891" s="177">
        <v>1.199429690702747E-2</v>
      </c>
    </row>
    <row r="892" spans="23:27" x14ac:dyDescent="0.2">
      <c r="W892" s="173" t="str">
        <f t="shared" si="24"/>
        <v>1w</v>
      </c>
      <c r="X892" s="180">
        <f>_xll.qlCalendarAdvance(LiborCalendar,X891,W892,"f",FALSE)</f>
        <v>45189</v>
      </c>
      <c r="Y892" s="174">
        <f>_xll.qlInterestRateIndexValueDate(IborIndex,X892)</f>
        <v>45191</v>
      </c>
      <c r="Z892" s="175">
        <v>1.2150818587804894E-2</v>
      </c>
      <c r="AA892" s="177">
        <v>1.2015813556014074E-2</v>
      </c>
    </row>
    <row r="893" spans="23:27" x14ac:dyDescent="0.2">
      <c r="W893" s="173" t="str">
        <f t="shared" si="24"/>
        <v>1w</v>
      </c>
      <c r="X893" s="180">
        <f>_xll.qlCalendarAdvance(LiborCalendar,X892,W893,"f",FALSE)</f>
        <v>45196</v>
      </c>
      <c r="Y893" s="174">
        <f>_xll.qlInterestRateIndexValueDate(IborIndex,X893)</f>
        <v>45198</v>
      </c>
      <c r="Z893" s="175">
        <v>1.2171280646439934E-2</v>
      </c>
      <c r="AA893" s="177">
        <v>1.2036844347919075E-2</v>
      </c>
    </row>
    <row r="894" spans="23:27" x14ac:dyDescent="0.2">
      <c r="W894" s="173" t="str">
        <f t="shared" si="24"/>
        <v>1w</v>
      </c>
      <c r="X894" s="180">
        <f>_xll.qlCalendarAdvance(LiborCalendar,X893,W894,"f",FALSE)</f>
        <v>45203</v>
      </c>
      <c r="Y894" s="174">
        <f>_xll.qlInterestRateIndexValueDate(IborIndex,X894)</f>
        <v>45205</v>
      </c>
      <c r="Z894" s="175">
        <v>1.2201859955632095E-2</v>
      </c>
      <c r="AA894" s="177">
        <v>1.2057389282526348E-2</v>
      </c>
    </row>
    <row r="895" spans="23:27" x14ac:dyDescent="0.2">
      <c r="W895" s="173" t="str">
        <f t="shared" si="24"/>
        <v>1w</v>
      </c>
      <c r="X895" s="180">
        <f>_xll.qlCalendarAdvance(LiborCalendar,X894,W895,"f",FALSE)</f>
        <v>45210</v>
      </c>
      <c r="Y895" s="174">
        <f>_xll.qlInterestRateIndexValueDate(IborIndex,X895)</f>
        <v>45212</v>
      </c>
      <c r="Z895" s="175">
        <v>1.2225012693892307E-2</v>
      </c>
      <c r="AA895" s="177">
        <v>1.2077448359619771E-2</v>
      </c>
    </row>
    <row r="896" spans="23:27" x14ac:dyDescent="0.2">
      <c r="W896" s="173" t="str">
        <f t="shared" si="24"/>
        <v>1w</v>
      </c>
      <c r="X896" s="180">
        <f>_xll.qlCalendarAdvance(LiborCalendar,X895,W896,"f",FALSE)</f>
        <v>45217</v>
      </c>
      <c r="Y896" s="174">
        <f>_xll.qlInterestRateIndexValueDate(IborIndex,X896)</f>
        <v>45219</v>
      </c>
      <c r="Z896" s="175">
        <v>1.2248547922822576E-2</v>
      </c>
      <c r="AA896" s="177">
        <v>1.2097021578875157E-2</v>
      </c>
    </row>
    <row r="897" spans="23:27" x14ac:dyDescent="0.2">
      <c r="W897" s="173" t="str">
        <f t="shared" si="24"/>
        <v>1w</v>
      </c>
      <c r="X897" s="180">
        <f>_xll.qlCalendarAdvance(LiborCalendar,X896,W897,"f",FALSE)</f>
        <v>45224</v>
      </c>
      <c r="Y897" s="174">
        <f>_xll.qlInterestRateIndexValueDate(IborIndex,X897)</f>
        <v>45226</v>
      </c>
      <c r="Z897" s="175">
        <v>1.2274598941936408E-2</v>
      </c>
      <c r="AA897" s="177">
        <v>1.211610894015743E-2</v>
      </c>
    </row>
    <row r="898" spans="23:27" x14ac:dyDescent="0.2">
      <c r="W898" s="173" t="str">
        <f t="shared" si="24"/>
        <v>1w</v>
      </c>
      <c r="X898" s="180">
        <f>_xll.qlCalendarAdvance(LiborCalendar,X897,W898,"f",FALSE)</f>
        <v>45231</v>
      </c>
      <c r="Y898" s="174">
        <f>_xll.qlInterestRateIndexValueDate(IborIndex,X898)</f>
        <v>45236</v>
      </c>
      <c r="Z898" s="175">
        <v>1.2303241259048253E-2</v>
      </c>
      <c r="AA898" s="177">
        <v>1.2139538874845757E-2</v>
      </c>
    </row>
    <row r="899" spans="23:27" x14ac:dyDescent="0.2">
      <c r="W899" s="173" t="str">
        <f t="shared" si="24"/>
        <v>1w</v>
      </c>
      <c r="X899" s="180">
        <f>_xll.qlCalendarAdvance(LiborCalendar,X898,W899,"f",FALSE)</f>
        <v>45238</v>
      </c>
      <c r="Y899" s="174">
        <f>_xll.qlInterestRateIndexValueDate(IborIndex,X899)</f>
        <v>45240</v>
      </c>
      <c r="Z899" s="175">
        <v>1.2315334019016069E-2</v>
      </c>
      <c r="AA899" s="177">
        <v>1.2153142679916334E-2</v>
      </c>
    </row>
    <row r="900" spans="23:27" x14ac:dyDescent="0.2">
      <c r="W900" s="173" t="str">
        <f t="shared" si="24"/>
        <v>1w</v>
      </c>
      <c r="X900" s="180">
        <f>_xll.qlCalendarAdvance(LiborCalendar,X899,W900,"f",FALSE)</f>
        <v>45245</v>
      </c>
      <c r="Y900" s="174">
        <f>_xll.qlInterestRateIndexValueDate(IborIndex,X900)</f>
        <v>45247</v>
      </c>
      <c r="Z900" s="175">
        <v>1.2340639869891078E-2</v>
      </c>
      <c r="AA900" s="177">
        <v>1.2172059260313619E-2</v>
      </c>
    </row>
    <row r="901" spans="23:27" x14ac:dyDescent="0.2">
      <c r="W901" s="173" t="str">
        <f t="shared" si="24"/>
        <v>1w</v>
      </c>
      <c r="X901" s="180">
        <f>_xll.qlCalendarAdvance(LiborCalendar,X900,W901,"f",FALSE)</f>
        <v>45252</v>
      </c>
      <c r="Y901" s="174">
        <f>_xll.qlInterestRateIndexValueDate(IborIndex,X901)</f>
        <v>45254</v>
      </c>
      <c r="Z901" s="175">
        <v>1.2366457091122258E-2</v>
      </c>
      <c r="AA901" s="177">
        <v>1.2191490822556958E-2</v>
      </c>
    </row>
    <row r="902" spans="23:27" x14ac:dyDescent="0.2">
      <c r="W902" s="173" t="str">
        <f t="shared" si="24"/>
        <v>1w</v>
      </c>
      <c r="X902" s="180">
        <f>_xll.qlCalendarAdvance(LiborCalendar,X901,W902,"f",FALSE)</f>
        <v>45259</v>
      </c>
      <c r="Y902" s="174">
        <f>_xll.qlInterestRateIndexValueDate(IborIndex,X902)</f>
        <v>45261</v>
      </c>
      <c r="Z902" s="175">
        <v>1.2399611795031724E-2</v>
      </c>
      <c r="AA902" s="177">
        <v>1.2211437366862478E-2</v>
      </c>
    </row>
    <row r="903" spans="23:27" x14ac:dyDescent="0.2">
      <c r="W903" s="173" t="str">
        <f t="shared" si="24"/>
        <v>1w</v>
      </c>
      <c r="X903" s="180">
        <f>_xll.qlCalendarAdvance(LiborCalendar,X902,W903,"f",FALSE)</f>
        <v>45266</v>
      </c>
      <c r="Y903" s="174">
        <f>_xll.qlInterestRateIndexValueDate(IborIndex,X903)</f>
        <v>45268</v>
      </c>
      <c r="Z903" s="175">
        <v>1.2426564193190222E-2</v>
      </c>
      <c r="AA903" s="177">
        <v>1.2231898893473316E-2</v>
      </c>
    </row>
    <row r="904" spans="23:27" x14ac:dyDescent="0.2">
      <c r="W904" s="173" t="str">
        <f t="shared" si="24"/>
        <v>1w</v>
      </c>
      <c r="X904" s="180">
        <f>_xll.qlCalendarAdvance(LiborCalendar,X903,W904,"f",FALSE)</f>
        <v>45273</v>
      </c>
      <c r="Y904" s="174">
        <f>_xll.qlInterestRateIndexValueDate(IborIndex,X904)</f>
        <v>45275</v>
      </c>
      <c r="Z904" s="175">
        <v>1.2454028086091929E-2</v>
      </c>
      <c r="AA904" s="177">
        <v>1.2252875402659626E-2</v>
      </c>
    </row>
    <row r="905" spans="23:27" x14ac:dyDescent="0.2">
      <c r="W905" s="173" t="str">
        <f t="shared" si="24"/>
        <v>1w</v>
      </c>
      <c r="X905" s="180">
        <f>_xll.qlCalendarAdvance(LiborCalendar,X904,W905,"f",FALSE)</f>
        <v>45280</v>
      </c>
      <c r="Y905" s="174">
        <f>_xll.qlInterestRateIndexValueDate(IborIndex,X905)</f>
        <v>45282</v>
      </c>
      <c r="Z905" s="175">
        <v>1.2482003495245262E-2</v>
      </c>
      <c r="AA905" s="177">
        <v>1.2277899126340364E-2</v>
      </c>
    </row>
    <row r="906" spans="23:27" x14ac:dyDescent="0.2">
      <c r="W906" s="173" t="str">
        <f t="shared" si="24"/>
        <v>1w</v>
      </c>
      <c r="X906" s="180">
        <f>_xll.qlCalendarAdvance(LiborCalendar,X905,W906,"f",FALSE)</f>
        <v>45287</v>
      </c>
      <c r="Y906" s="174">
        <f>_xll.qlInterestRateIndexValueDate(IborIndex,X906)</f>
        <v>45289</v>
      </c>
      <c r="Z906" s="175">
        <v>1.2503214462592565E-2</v>
      </c>
      <c r="AA906" s="177">
        <v>1.229817520574078E-2</v>
      </c>
    </row>
    <row r="907" spans="23:27" x14ac:dyDescent="0.2">
      <c r="W907" s="173" t="str">
        <f t="shared" si="24"/>
        <v>1w</v>
      </c>
      <c r="X907" s="180">
        <f>_xll.qlCalendarAdvance(LiborCalendar,X906,W907,"f",FALSE)</f>
        <v>45294</v>
      </c>
      <c r="Y907" s="174">
        <f>_xll.qlInterestRateIndexValueDate(IborIndex,X907)</f>
        <v>45296</v>
      </c>
      <c r="Z907" s="175">
        <v>1.2532100337462193E-2</v>
      </c>
      <c r="AA907" s="177">
        <v>1.2318894828426965E-2</v>
      </c>
    </row>
    <row r="908" spans="23:27" x14ac:dyDescent="0.2">
      <c r="W908" s="173" t="str">
        <f t="shared" si="24"/>
        <v>1w</v>
      </c>
      <c r="X908" s="180">
        <f>_xll.qlCalendarAdvance(LiborCalendar,X907,W908,"f",FALSE)</f>
        <v>45301</v>
      </c>
      <c r="Y908" s="174">
        <f>_xll.qlInterestRateIndexValueDate(IborIndex,X908)</f>
        <v>45303</v>
      </c>
      <c r="Z908" s="175">
        <v>1.2561497730202077E-2</v>
      </c>
      <c r="AA908" s="177">
        <v>1.2341931270670738E-2</v>
      </c>
    </row>
    <row r="909" spans="23:27" x14ac:dyDescent="0.2">
      <c r="W909" s="173" t="str">
        <f t="shared" si="24"/>
        <v>1w</v>
      </c>
      <c r="X909" s="180">
        <f>_xll.qlCalendarAdvance(LiborCalendar,X908,W909,"f",FALSE)</f>
        <v>45308</v>
      </c>
      <c r="Y909" s="174">
        <f>_xll.qlInterestRateIndexValueDate(IborIndex,X909)</f>
        <v>45310</v>
      </c>
      <c r="Z909" s="175">
        <v>1.2591406663461795E-2</v>
      </c>
      <c r="AA909" s="177">
        <v>1.2365482696867771E-2</v>
      </c>
    </row>
    <row r="910" spans="23:27" x14ac:dyDescent="0.2">
      <c r="W910" s="173" t="str">
        <f t="shared" si="24"/>
        <v>1w</v>
      </c>
      <c r="X910" s="180">
        <f>_xll.qlCalendarAdvance(LiborCalendar,X909,W910,"f",FALSE)</f>
        <v>45315</v>
      </c>
      <c r="Y910" s="174">
        <f>_xll.qlInterestRateIndexValueDate(IborIndex,X910)</f>
        <v>45317</v>
      </c>
      <c r="Z910" s="175">
        <v>1.2621827160286649E-2</v>
      </c>
      <c r="AA910" s="177">
        <v>1.2389549107369262E-2</v>
      </c>
    </row>
    <row r="911" spans="23:27" x14ac:dyDescent="0.2">
      <c r="W911" s="173" t="str">
        <f t="shared" si="24"/>
        <v>1w</v>
      </c>
      <c r="X911" s="180">
        <f>_xll.qlCalendarAdvance(LiborCalendar,X910,W911,"f",FALSE)</f>
        <v>45322</v>
      </c>
      <c r="Y911" s="174">
        <f>_xll.qlInterestRateIndexValueDate(IborIndex,X911)</f>
        <v>45324</v>
      </c>
      <c r="Z911" s="175">
        <v>1.2652759244115911E-2</v>
      </c>
      <c r="AA911" s="177">
        <v>1.2414130502445369E-2</v>
      </c>
    </row>
    <row r="912" spans="23:27" x14ac:dyDescent="0.2">
      <c r="W912" s="173" t="str">
        <f t="shared" si="24"/>
        <v>1w</v>
      </c>
      <c r="X912" s="180">
        <f>_xll.qlCalendarAdvance(LiborCalendar,X911,W912,"f",FALSE)</f>
        <v>45329</v>
      </c>
      <c r="Y912" s="174">
        <f>_xll.qlInterestRateIndexValueDate(IborIndex,X912)</f>
        <v>45331</v>
      </c>
      <c r="Z912" s="175">
        <v>1.2684202938782823E-2</v>
      </c>
      <c r="AA912" s="177">
        <v>1.2439226882420275E-2</v>
      </c>
    </row>
    <row r="913" spans="23:27" x14ac:dyDescent="0.2">
      <c r="W913" s="173" t="str">
        <f t="shared" si="24"/>
        <v>1w</v>
      </c>
      <c r="X913" s="180">
        <f>_xll.qlCalendarAdvance(LiborCalendar,X912,W913,"f",FALSE)</f>
        <v>45336</v>
      </c>
      <c r="Y913" s="174">
        <f>_xll.qlInterestRateIndexValueDate(IborIndex,X913)</f>
        <v>45338</v>
      </c>
      <c r="Z913" s="175">
        <v>1.2716158268515477E-2</v>
      </c>
      <c r="AA913" s="177">
        <v>1.246483824759115E-2</v>
      </c>
    </row>
    <row r="914" spans="23:27" x14ac:dyDescent="0.2">
      <c r="W914" s="173" t="str">
        <f t="shared" si="24"/>
        <v>1w</v>
      </c>
      <c r="X914" s="180">
        <f>_xll.qlCalendarAdvance(LiborCalendar,X913,W914,"f",FALSE)</f>
        <v>45343</v>
      </c>
      <c r="Y914" s="174">
        <f>_xll.qlInterestRateIndexValueDate(IborIndex,X914)</f>
        <v>45345</v>
      </c>
      <c r="Z914" s="175">
        <v>1.2748625257937254E-2</v>
      </c>
      <c r="AA914" s="177">
        <v>1.2490964598309192E-2</v>
      </c>
    </row>
    <row r="915" spans="23:27" x14ac:dyDescent="0.2">
      <c r="W915" s="173" t="str">
        <f t="shared" si="24"/>
        <v>1w</v>
      </c>
      <c r="X915" s="180">
        <f>_xll.qlCalendarAdvance(LiborCalendar,X914,W915,"f",FALSE)</f>
        <v>45350</v>
      </c>
      <c r="Y915" s="174">
        <f>_xll.qlInterestRateIndexValueDate(IborIndex,X915)</f>
        <v>45352</v>
      </c>
      <c r="Z915" s="175">
        <v>1.2789895999170936E-2</v>
      </c>
      <c r="AA915" s="177">
        <v>1.2517605934925607E-2</v>
      </c>
    </row>
    <row r="916" spans="23:27" x14ac:dyDescent="0.2">
      <c r="W916" s="173" t="str">
        <f t="shared" si="24"/>
        <v>1w</v>
      </c>
      <c r="X916" s="180">
        <f>_xll.qlCalendarAdvance(LiborCalendar,X915,W916,"f",FALSE)</f>
        <v>45357</v>
      </c>
      <c r="Y916" s="174">
        <f>_xll.qlInterestRateIndexValueDate(IborIndex,X916)</f>
        <v>45359</v>
      </c>
      <c r="Z916" s="175">
        <v>1.2823499621327379E-2</v>
      </c>
      <c r="AA916" s="177">
        <v>1.2544762257710545E-2</v>
      </c>
    </row>
    <row r="917" spans="23:27" x14ac:dyDescent="0.2">
      <c r="W917" s="173" t="str">
        <f t="shared" ref="W917:W980" si="25">W916</f>
        <v>1w</v>
      </c>
      <c r="X917" s="180">
        <f>_xll.qlCalendarAdvance(LiborCalendar,X916,W917,"f",FALSE)</f>
        <v>45364</v>
      </c>
      <c r="Y917" s="174">
        <f>_xll.qlInterestRateIndexValueDate(IborIndex,X917)</f>
        <v>45366</v>
      </c>
      <c r="Z917" s="175">
        <v>1.2860461931911918E-2</v>
      </c>
      <c r="AA917" s="177">
        <v>1.2572433567069238E-2</v>
      </c>
    </row>
    <row r="918" spans="23:27" x14ac:dyDescent="0.2">
      <c r="W918" s="173" t="str">
        <f t="shared" si="25"/>
        <v>1w</v>
      </c>
      <c r="X918" s="180">
        <f>_xll.qlCalendarAdvance(LiborCalendar,X917,W918,"f",FALSE)</f>
        <v>45371</v>
      </c>
      <c r="Y918" s="174">
        <f>_xll.qlInterestRateIndexValueDate(IborIndex,X918)</f>
        <v>45373</v>
      </c>
      <c r="Z918" s="175">
        <v>1.289512699128717E-2</v>
      </c>
      <c r="AA918" s="177">
        <v>1.2600619863325873E-2</v>
      </c>
    </row>
    <row r="919" spans="23:27" x14ac:dyDescent="0.2">
      <c r="W919" s="173" t="str">
        <f t="shared" si="25"/>
        <v>1w</v>
      </c>
      <c r="X919" s="180">
        <f>_xll.qlCalendarAdvance(LiborCalendar,X918,W919,"f",FALSE)</f>
        <v>45378</v>
      </c>
      <c r="Y919" s="174">
        <f>_xll.qlInterestRateIndexValueDate(IborIndex,X919)</f>
        <v>45384</v>
      </c>
      <c r="Z919" s="175">
        <v>1.2941813537536874E-2</v>
      </c>
      <c r="AA919" s="177">
        <v>1.2641338020257242E-2</v>
      </c>
    </row>
    <row r="920" spans="23:27" x14ac:dyDescent="0.2">
      <c r="W920" s="173" t="str">
        <f t="shared" si="25"/>
        <v>1w</v>
      </c>
      <c r="X920" s="180">
        <f>_xll.qlCalendarAdvance(LiborCalendar,X919,W920,"f",FALSE)</f>
        <v>45385</v>
      </c>
      <c r="Y920" s="174">
        <f>_xll.qlInterestRateIndexValueDate(IborIndex,X920)</f>
        <v>45387</v>
      </c>
      <c r="Z920" s="175">
        <v>1.2963032435470945E-2</v>
      </c>
      <c r="AA920" s="177">
        <v>1.2658537417964782E-2</v>
      </c>
    </row>
    <row r="921" spans="23:27" x14ac:dyDescent="0.2">
      <c r="W921" s="173" t="str">
        <f t="shared" si="25"/>
        <v>1w</v>
      </c>
      <c r="X921" s="180">
        <f>_xll.qlCalendarAdvance(LiborCalendar,X920,W921,"f",FALSE)</f>
        <v>45392</v>
      </c>
      <c r="Y921" s="174">
        <f>_xll.qlInterestRateIndexValueDate(IborIndex,X921)</f>
        <v>45394</v>
      </c>
      <c r="Z921" s="175">
        <v>1.3002193579278721E-2</v>
      </c>
      <c r="AA921" s="177">
        <v>1.2688268677103489E-2</v>
      </c>
    </row>
    <row r="922" spans="23:27" x14ac:dyDescent="0.2">
      <c r="W922" s="173" t="str">
        <f t="shared" si="25"/>
        <v>1w</v>
      </c>
      <c r="X922" s="180">
        <f>_xll.qlCalendarAdvance(LiborCalendar,X921,W922,"f",FALSE)</f>
        <v>45399</v>
      </c>
      <c r="Y922" s="174">
        <f>_xll.qlInterestRateIndexValueDate(IborIndex,X922)</f>
        <v>45401</v>
      </c>
      <c r="Z922" s="175">
        <v>1.3035870221788795E-2</v>
      </c>
      <c r="AA922" s="177">
        <v>1.2718514924625984E-2</v>
      </c>
    </row>
    <row r="923" spans="23:27" x14ac:dyDescent="0.2">
      <c r="W923" s="173" t="str">
        <f t="shared" si="25"/>
        <v>1w</v>
      </c>
      <c r="X923" s="180">
        <f>_xll.qlCalendarAdvance(LiborCalendar,X922,W923,"f",FALSE)</f>
        <v>45406</v>
      </c>
      <c r="Y923" s="174">
        <f>_xll.qlInterestRateIndexValueDate(IborIndex,X923)</f>
        <v>45408</v>
      </c>
      <c r="Z923" s="175">
        <v>1.3073057058552429E-2</v>
      </c>
      <c r="AA923" s="177">
        <v>1.2749276160883468E-2</v>
      </c>
    </row>
    <row r="924" spans="23:27" x14ac:dyDescent="0.2">
      <c r="W924" s="173" t="str">
        <f t="shared" si="25"/>
        <v>1w</v>
      </c>
      <c r="X924" s="180">
        <f>_xll.qlCalendarAdvance(LiborCalendar,X923,W924,"f",FALSE)</f>
        <v>45413</v>
      </c>
      <c r="Y924" s="174">
        <f>_xll.qlInterestRateIndexValueDate(IborIndex,X924)</f>
        <v>45419</v>
      </c>
      <c r="Z924" s="175">
        <v>1.3129397704808541E-2</v>
      </c>
      <c r="AA924" s="177">
        <v>1.2793662191955546E-2</v>
      </c>
    </row>
    <row r="925" spans="23:27" x14ac:dyDescent="0.2">
      <c r="W925" s="173" t="str">
        <f t="shared" si="25"/>
        <v>1w</v>
      </c>
      <c r="X925" s="180">
        <f>_xll.qlCalendarAdvance(LiborCalendar,X924,W925,"f",FALSE)</f>
        <v>45420</v>
      </c>
      <c r="Y925" s="174">
        <f>_xll.qlInterestRateIndexValueDate(IborIndex,X925)</f>
        <v>45422</v>
      </c>
      <c r="Z925" s="175">
        <v>1.3148962982207121E-2</v>
      </c>
      <c r="AA925" s="177">
        <v>1.2812343601278366E-2</v>
      </c>
    </row>
    <row r="926" spans="23:27" x14ac:dyDescent="0.2">
      <c r="W926" s="173" t="str">
        <f t="shared" si="25"/>
        <v>1w</v>
      </c>
      <c r="X926" s="180">
        <f>_xll.qlCalendarAdvance(LiborCalendar,X925,W926,"f",FALSE)</f>
        <v>45427</v>
      </c>
      <c r="Y926" s="174">
        <f>_xll.qlInterestRateIndexValueDate(IborIndex,X926)</f>
        <v>45429</v>
      </c>
      <c r="Z926" s="175">
        <v>1.3187659431587288E-2</v>
      </c>
      <c r="AA926" s="177">
        <v>1.2844649806199223E-2</v>
      </c>
    </row>
    <row r="927" spans="23:27" x14ac:dyDescent="0.2">
      <c r="W927" s="173" t="str">
        <f t="shared" si="25"/>
        <v>1w</v>
      </c>
      <c r="X927" s="180">
        <f>_xll.qlCalendarAdvance(LiborCalendar,X926,W927,"f",FALSE)</f>
        <v>45434</v>
      </c>
      <c r="Y927" s="174">
        <f>_xll.qlInterestRateIndexValueDate(IborIndex,X927)</f>
        <v>45436</v>
      </c>
      <c r="Z927" s="175">
        <v>1.3226822576254843E-2</v>
      </c>
      <c r="AA927" s="177">
        <v>1.288006538575609E-2</v>
      </c>
    </row>
    <row r="928" spans="23:27" x14ac:dyDescent="0.2">
      <c r="W928" s="173" t="str">
        <f t="shared" si="25"/>
        <v>1w</v>
      </c>
      <c r="X928" s="180">
        <f>_xll.qlCalendarAdvance(LiborCalendar,X927,W928,"f",FALSE)</f>
        <v>45441</v>
      </c>
      <c r="Y928" s="174">
        <f>_xll.qlInterestRateIndexValueDate(IborIndex,X928)</f>
        <v>45443</v>
      </c>
      <c r="Z928" s="175">
        <v>1.3256726955935645E-2</v>
      </c>
      <c r="AA928" s="177">
        <v>1.2910807187513919E-2</v>
      </c>
    </row>
    <row r="929" spans="23:27" x14ac:dyDescent="0.2">
      <c r="W929" s="173" t="str">
        <f t="shared" si="25"/>
        <v>1w</v>
      </c>
      <c r="X929" s="180">
        <f>_xll.qlCalendarAdvance(LiborCalendar,X928,W929,"f",FALSE)</f>
        <v>45448</v>
      </c>
      <c r="Y929" s="174">
        <f>_xll.qlInterestRateIndexValueDate(IborIndex,X929)</f>
        <v>45450</v>
      </c>
      <c r="Z929" s="175">
        <v>1.3306458270805128E-2</v>
      </c>
      <c r="AA929" s="177">
        <v>1.2944658364772248E-2</v>
      </c>
    </row>
    <row r="930" spans="23:27" x14ac:dyDescent="0.2">
      <c r="W930" s="173" t="str">
        <f t="shared" si="25"/>
        <v>1w</v>
      </c>
      <c r="X930" s="180">
        <f>_xll.qlCalendarAdvance(LiborCalendar,X929,W930,"f",FALSE)</f>
        <v>45455</v>
      </c>
      <c r="Y930" s="174">
        <f>_xll.qlInterestRateIndexValueDate(IborIndex,X930)</f>
        <v>45457</v>
      </c>
      <c r="Z930" s="175">
        <v>1.3346885476507123E-2</v>
      </c>
      <c r="AA930" s="177">
        <v>1.2979024533656219E-2</v>
      </c>
    </row>
    <row r="931" spans="23:27" x14ac:dyDescent="0.2">
      <c r="W931" s="173" t="str">
        <f t="shared" si="25"/>
        <v>1w</v>
      </c>
      <c r="X931" s="180">
        <f>_xll.qlCalendarAdvance(LiborCalendar,X930,W931,"f",FALSE)</f>
        <v>45462</v>
      </c>
      <c r="Y931" s="174">
        <f>_xll.qlInterestRateIndexValueDate(IborIndex,X931)</f>
        <v>45464</v>
      </c>
      <c r="Z931" s="175">
        <v>1.3390993259139457E-2</v>
      </c>
      <c r="AA931" s="177">
        <v>1.3013905694598076E-2</v>
      </c>
    </row>
    <row r="932" spans="23:27" x14ac:dyDescent="0.2">
      <c r="W932" s="173" t="str">
        <f t="shared" si="25"/>
        <v>1w</v>
      </c>
      <c r="X932" s="180">
        <f>_xll.qlCalendarAdvance(LiborCalendar,X931,W932,"f",FALSE)</f>
        <v>45469</v>
      </c>
      <c r="Y932" s="174">
        <f>_xll.qlInterestRateIndexValueDate(IborIndex,X932)</f>
        <v>45471</v>
      </c>
      <c r="Z932" s="175">
        <v>1.3428845232235292E-2</v>
      </c>
      <c r="AA932" s="177">
        <v>1.3049301848057084E-2</v>
      </c>
    </row>
    <row r="933" spans="23:27" x14ac:dyDescent="0.2">
      <c r="W933" s="173" t="str">
        <f t="shared" si="25"/>
        <v>1w</v>
      </c>
      <c r="X933" s="180">
        <f>_xll.qlCalendarAdvance(LiborCalendar,X932,W933,"f",FALSE)</f>
        <v>45476</v>
      </c>
      <c r="Y933" s="174">
        <f>_xll.qlInterestRateIndexValueDate(IborIndex,X933)</f>
        <v>45478</v>
      </c>
      <c r="Z933" s="175">
        <v>1.3470332428228288E-2</v>
      </c>
      <c r="AA933" s="177">
        <v>1.3085212994465486E-2</v>
      </c>
    </row>
    <row r="934" spans="23:27" x14ac:dyDescent="0.2">
      <c r="W934" s="173" t="str">
        <f t="shared" si="25"/>
        <v>1w</v>
      </c>
      <c r="X934" s="180">
        <f>_xll.qlCalendarAdvance(LiborCalendar,X933,W934,"f",FALSE)</f>
        <v>45483</v>
      </c>
      <c r="Y934" s="174">
        <f>_xll.qlInterestRateIndexValueDate(IborIndex,X934)</f>
        <v>45485</v>
      </c>
      <c r="Z934" s="175">
        <v>1.3515477005652038E-2</v>
      </c>
      <c r="AA934" s="177">
        <v>1.3121639134309564E-2</v>
      </c>
    </row>
    <row r="935" spans="23:27" x14ac:dyDescent="0.2">
      <c r="W935" s="173" t="str">
        <f t="shared" si="25"/>
        <v>1w</v>
      </c>
      <c r="X935" s="180">
        <f>_xll.qlCalendarAdvance(LiborCalendar,X934,W935,"f",FALSE)</f>
        <v>45490</v>
      </c>
      <c r="Y935" s="174">
        <f>_xll.qlInterestRateIndexValueDate(IborIndex,X935)</f>
        <v>45492</v>
      </c>
      <c r="Z935" s="175">
        <v>1.3554208058345323E-2</v>
      </c>
      <c r="AA935" s="177">
        <v>1.3158580268021563E-2</v>
      </c>
    </row>
    <row r="936" spans="23:27" x14ac:dyDescent="0.2">
      <c r="W936" s="173" t="str">
        <f t="shared" si="25"/>
        <v>1w</v>
      </c>
      <c r="X936" s="180">
        <f>_xll.qlCalendarAdvance(LiborCalendar,X935,W936,"f",FALSE)</f>
        <v>45497</v>
      </c>
      <c r="Y936" s="174">
        <f>_xll.qlInterestRateIndexValueDate(IborIndex,X936)</f>
        <v>45499</v>
      </c>
      <c r="Z936" s="175">
        <v>1.3596551127848759E-2</v>
      </c>
      <c r="AA936" s="177">
        <v>1.3196036396060744E-2</v>
      </c>
    </row>
    <row r="937" spans="23:27" x14ac:dyDescent="0.2">
      <c r="W937" s="173" t="str">
        <f t="shared" si="25"/>
        <v>1w</v>
      </c>
      <c r="X937" s="180">
        <f>_xll.qlCalendarAdvance(LiborCalendar,X936,W937,"f",FALSE)</f>
        <v>45504</v>
      </c>
      <c r="Y937" s="174">
        <f>_xll.qlInterestRateIndexValueDate(IborIndex,X937)</f>
        <v>45506</v>
      </c>
      <c r="Z937" s="175">
        <v>1.3639134120836952E-2</v>
      </c>
      <c r="AA937" s="177">
        <v>1.3234007518940402E-2</v>
      </c>
    </row>
    <row r="938" spans="23:27" x14ac:dyDescent="0.2">
      <c r="W938" s="173" t="str">
        <f t="shared" si="25"/>
        <v>1w</v>
      </c>
      <c r="X938" s="180">
        <f>_xll.qlCalendarAdvance(LiborCalendar,X937,W938,"f",FALSE)</f>
        <v>45511</v>
      </c>
      <c r="Y938" s="174">
        <f>_xll.qlInterestRateIndexValueDate(IborIndex,X938)</f>
        <v>45513</v>
      </c>
      <c r="Z938" s="175">
        <v>1.3681934350360933E-2</v>
      </c>
      <c r="AA938" s="177">
        <v>1.3272493637119799E-2</v>
      </c>
    </row>
    <row r="939" spans="23:27" x14ac:dyDescent="0.2">
      <c r="W939" s="173" t="str">
        <f t="shared" si="25"/>
        <v>1w</v>
      </c>
      <c r="X939" s="180">
        <f>_xll.qlCalendarAdvance(LiborCalendar,X938,W939,"f",FALSE)</f>
        <v>45518</v>
      </c>
      <c r="Y939" s="174">
        <f>_xll.qlInterestRateIndexValueDate(IborIndex,X939)</f>
        <v>45520</v>
      </c>
      <c r="Z939" s="175">
        <v>1.3724929127564933E-2</v>
      </c>
      <c r="AA939" s="177">
        <v>1.3311494751085211E-2</v>
      </c>
    </row>
    <row r="940" spans="23:27" x14ac:dyDescent="0.2">
      <c r="W940" s="173" t="str">
        <f t="shared" si="25"/>
        <v>1w</v>
      </c>
      <c r="X940" s="180">
        <f>_xll.qlCalendarAdvance(LiborCalendar,X939,W940,"f",FALSE)</f>
        <v>45525</v>
      </c>
      <c r="Y940" s="174">
        <f>_xll.qlInterestRateIndexValueDate(IborIndex,X940)</f>
        <v>45527</v>
      </c>
      <c r="Z940" s="175">
        <v>1.3768095761663485E-2</v>
      </c>
      <c r="AA940" s="177">
        <v>1.33541004880533E-2</v>
      </c>
    </row>
    <row r="941" spans="23:27" x14ac:dyDescent="0.2">
      <c r="W941" s="173" t="str">
        <f t="shared" si="25"/>
        <v>1w</v>
      </c>
      <c r="X941" s="180">
        <f>_xll.qlCalendarAdvance(LiborCalendar,X940,W941,"f",FALSE)</f>
        <v>45532</v>
      </c>
      <c r="Y941" s="174">
        <f>_xll.qlInterestRateIndexValueDate(IborIndex,X941)</f>
        <v>45534</v>
      </c>
      <c r="Z941" s="175">
        <v>1.3801240337105041E-2</v>
      </c>
      <c r="AA941" s="177">
        <v>1.3391041968400243E-2</v>
      </c>
    </row>
    <row r="942" spans="23:27" x14ac:dyDescent="0.2">
      <c r="W942" s="173" t="str">
        <f t="shared" si="25"/>
        <v>1w</v>
      </c>
      <c r="X942" s="180">
        <f>_xll.qlCalendarAdvance(LiborCalendar,X941,W942,"f",FALSE)</f>
        <v>45539</v>
      </c>
      <c r="Y942" s="174">
        <f>_xll.qlInterestRateIndexValueDate(IborIndex,X942)</f>
        <v>45541</v>
      </c>
      <c r="Z942" s="175">
        <v>1.3841290235524035E-2</v>
      </c>
      <c r="AA942" s="177">
        <v>1.3431588072722416E-2</v>
      </c>
    </row>
    <row r="943" spans="23:27" x14ac:dyDescent="0.2">
      <c r="W943" s="173" t="str">
        <f t="shared" si="25"/>
        <v>1w</v>
      </c>
      <c r="X943" s="180">
        <f>_xll.qlCalendarAdvance(LiborCalendar,X942,W943,"f",FALSE)</f>
        <v>45546</v>
      </c>
      <c r="Y943" s="174">
        <f>_xll.qlInterestRateIndexValueDate(IborIndex,X943)</f>
        <v>45548</v>
      </c>
      <c r="Z943" s="175">
        <v>1.3884838824131964E-2</v>
      </c>
      <c r="AA943" s="177">
        <v>1.3472649174883779E-2</v>
      </c>
    </row>
    <row r="944" spans="23:27" x14ac:dyDescent="0.2">
      <c r="W944" s="173" t="str">
        <f t="shared" si="25"/>
        <v>1w</v>
      </c>
      <c r="X944" s="180">
        <f>_xll.qlCalendarAdvance(LiborCalendar,X943,W944,"f",FALSE)</f>
        <v>45553</v>
      </c>
      <c r="Y944" s="174">
        <f>_xll.qlInterestRateIndexValueDate(IborIndex,X944)</f>
        <v>45555</v>
      </c>
      <c r="Z944" s="175">
        <v>1.3931861314161209E-2</v>
      </c>
      <c r="AA944" s="177">
        <v>1.3514225275370608E-2</v>
      </c>
    </row>
    <row r="945" spans="23:27" x14ac:dyDescent="0.2">
      <c r="W945" s="173" t="str">
        <f t="shared" si="25"/>
        <v>1w</v>
      </c>
      <c r="X945" s="180">
        <f>_xll.qlCalendarAdvance(LiborCalendar,X944,W945,"f",FALSE)</f>
        <v>45560</v>
      </c>
      <c r="Y945" s="174">
        <f>_xll.qlInterestRateIndexValueDate(IborIndex,X945)</f>
        <v>45562</v>
      </c>
      <c r="Z945" s="175">
        <v>1.3972167105107599E-2</v>
      </c>
      <c r="AA945" s="177">
        <v>1.3556316374723211E-2</v>
      </c>
    </row>
    <row r="946" spans="23:27" x14ac:dyDescent="0.2">
      <c r="W946" s="173" t="str">
        <f t="shared" si="25"/>
        <v>1w</v>
      </c>
      <c r="X946" s="180">
        <f>_xll.qlCalendarAdvance(LiborCalendar,X945,W946,"f",FALSE)</f>
        <v>45567</v>
      </c>
      <c r="Y946" s="174">
        <f>_xll.qlInterestRateIndexValueDate(IborIndex,X946)</f>
        <v>45569</v>
      </c>
      <c r="Z946" s="175">
        <v>1.4019284199550987E-2</v>
      </c>
      <c r="AA946" s="177">
        <v>1.3598922473481897E-2</v>
      </c>
    </row>
    <row r="947" spans="23:27" x14ac:dyDescent="0.2">
      <c r="W947" s="173" t="str">
        <f t="shared" si="25"/>
        <v>1w</v>
      </c>
      <c r="X947" s="180">
        <f>_xll.qlCalendarAdvance(LiborCalendar,X946,W947,"f",FALSE)</f>
        <v>45574</v>
      </c>
      <c r="Y947" s="174">
        <f>_xll.qlInterestRateIndexValueDate(IborIndex,X947)</f>
        <v>45576</v>
      </c>
      <c r="Z947" s="175">
        <v>1.40630290901176E-2</v>
      </c>
      <c r="AA947" s="177">
        <v>1.3642043572159961E-2</v>
      </c>
    </row>
    <row r="948" spans="23:27" x14ac:dyDescent="0.2">
      <c r="W948" s="173" t="str">
        <f t="shared" si="25"/>
        <v>1w</v>
      </c>
      <c r="X948" s="180">
        <f>_xll.qlCalendarAdvance(LiborCalendar,X947,W948,"f",FALSE)</f>
        <v>45581</v>
      </c>
      <c r="Y948" s="174">
        <f>_xll.qlInterestRateIndexValueDate(IborIndex,X948)</f>
        <v>45583</v>
      </c>
      <c r="Z948" s="175">
        <v>1.4120266989775853E-2</v>
      </c>
      <c r="AA948" s="177">
        <v>1.3685679671324726E-2</v>
      </c>
    </row>
    <row r="949" spans="23:27" x14ac:dyDescent="0.2">
      <c r="W949" s="173" t="str">
        <f t="shared" si="25"/>
        <v>1w</v>
      </c>
      <c r="X949" s="180">
        <f>_xll.qlCalendarAdvance(LiborCalendar,X948,W949,"f",FALSE)</f>
        <v>45588</v>
      </c>
      <c r="Y949" s="174">
        <f>_xll.qlInterestRateIndexValueDate(IborIndex,X949)</f>
        <v>45590</v>
      </c>
      <c r="Z949" s="175">
        <v>1.4150470376203289E-2</v>
      </c>
      <c r="AA949" s="177">
        <v>1.3729830771543513E-2</v>
      </c>
    </row>
    <row r="950" spans="23:27" x14ac:dyDescent="0.2">
      <c r="W950" s="173" t="str">
        <f t="shared" si="25"/>
        <v>1w</v>
      </c>
      <c r="X950" s="180">
        <f>_xll.qlCalendarAdvance(LiborCalendar,X949,W950,"f",FALSE)</f>
        <v>45595</v>
      </c>
      <c r="Y950" s="174">
        <f>_xll.qlInterestRateIndexValueDate(IborIndex,X950)</f>
        <v>45597</v>
      </c>
      <c r="Z950" s="175">
        <v>1.4190753168802528E-2</v>
      </c>
      <c r="AA950" s="177">
        <v>1.3774496873356636E-2</v>
      </c>
    </row>
    <row r="951" spans="23:27" x14ac:dyDescent="0.2">
      <c r="W951" s="173" t="str">
        <f t="shared" si="25"/>
        <v>1w</v>
      </c>
      <c r="X951" s="180">
        <f>_xll.qlCalendarAdvance(LiborCalendar,X950,W951,"f",FALSE)</f>
        <v>45602</v>
      </c>
      <c r="Y951" s="174">
        <f>_xll.qlInterestRateIndexValueDate(IborIndex,X951)</f>
        <v>45604</v>
      </c>
      <c r="Z951" s="175">
        <v>1.4234330944048535E-2</v>
      </c>
      <c r="AA951" s="177">
        <v>1.381948686844529E-2</v>
      </c>
    </row>
    <row r="952" spans="23:27" x14ac:dyDescent="0.2">
      <c r="W952" s="173" t="str">
        <f t="shared" si="25"/>
        <v>1w</v>
      </c>
      <c r="X952" s="180">
        <f>_xll.qlCalendarAdvance(LiborCalendar,X951,W952,"f",FALSE)</f>
        <v>45609</v>
      </c>
      <c r="Y952" s="174">
        <f>_xll.qlInterestRateIndexValueDate(IborIndex,X952)</f>
        <v>45611</v>
      </c>
      <c r="Z952" s="175">
        <v>1.427782140715338E-2</v>
      </c>
      <c r="AA952" s="177">
        <v>1.3864406209763704E-2</v>
      </c>
    </row>
    <row r="953" spans="23:27" x14ac:dyDescent="0.2">
      <c r="W953" s="173" t="str">
        <f t="shared" si="25"/>
        <v>1w</v>
      </c>
      <c r="X953" s="180">
        <f>_xll.qlCalendarAdvance(LiborCalendar,X952,W953,"f",FALSE)</f>
        <v>45616</v>
      </c>
      <c r="Y953" s="174">
        <f>_xll.qlInterestRateIndexValueDate(IborIndex,X953)</f>
        <v>45618</v>
      </c>
      <c r="Z953" s="175">
        <v>1.4321224247907303E-2</v>
      </c>
      <c r="AA953" s="177">
        <v>1.3909236402739705E-2</v>
      </c>
    </row>
    <row r="954" spans="23:27" x14ac:dyDescent="0.2">
      <c r="W954" s="173" t="str">
        <f t="shared" si="25"/>
        <v>1w</v>
      </c>
      <c r="X954" s="180">
        <f>_xll.qlCalendarAdvance(LiborCalendar,X953,W954,"f",FALSE)</f>
        <v>45623</v>
      </c>
      <c r="Y954" s="174">
        <f>_xll.qlInterestRateIndexValueDate(IborIndex,X954)</f>
        <v>45625</v>
      </c>
      <c r="Z954" s="175">
        <v>1.4367888733774524E-2</v>
      </c>
      <c r="AA954" s="177">
        <v>1.3953977447319263E-2</v>
      </c>
    </row>
    <row r="955" spans="23:27" x14ac:dyDescent="0.2">
      <c r="W955" s="173" t="str">
        <f t="shared" si="25"/>
        <v>1w</v>
      </c>
      <c r="X955" s="180">
        <f>_xll.qlCalendarAdvance(LiborCalendar,X954,W955,"f",FALSE)</f>
        <v>45630</v>
      </c>
      <c r="Y955" s="174">
        <f>_xll.qlInterestRateIndexValueDate(IborIndex,X955)</f>
        <v>45632</v>
      </c>
      <c r="Z955" s="175">
        <v>1.4411111773637389E-2</v>
      </c>
      <c r="AA955" s="177">
        <v>1.3998629343421333E-2</v>
      </c>
    </row>
    <row r="956" spans="23:27" x14ac:dyDescent="0.2">
      <c r="W956" s="173" t="str">
        <f t="shared" si="25"/>
        <v>1w</v>
      </c>
      <c r="X956" s="180">
        <f>_xll.qlCalendarAdvance(LiborCalendar,X955,W956,"f",FALSE)</f>
        <v>45637</v>
      </c>
      <c r="Y956" s="174">
        <f>_xll.qlInterestRateIndexValueDate(IborIndex,X956)</f>
        <v>45639</v>
      </c>
      <c r="Z956" s="175">
        <v>1.4454247175214615E-2</v>
      </c>
      <c r="AA956" s="177">
        <v>1.4043192090883821E-2</v>
      </c>
    </row>
    <row r="957" spans="23:27" x14ac:dyDescent="0.2">
      <c r="W957" s="173" t="str">
        <f t="shared" si="25"/>
        <v>1w</v>
      </c>
      <c r="X957" s="180">
        <f>_xll.qlCalendarAdvance(LiborCalendar,X956,W957,"f",FALSE)</f>
        <v>45644</v>
      </c>
      <c r="Y957" s="174">
        <f>_xll.qlInterestRateIndexValueDate(IborIndex,X957)</f>
        <v>45646</v>
      </c>
      <c r="Z957" s="175">
        <v>1.4497294932774962E-2</v>
      </c>
      <c r="AA957" s="177">
        <v>1.4087665689679712E-2</v>
      </c>
    </row>
    <row r="958" spans="23:27" x14ac:dyDescent="0.2">
      <c r="W958" s="173" t="str">
        <f t="shared" si="25"/>
        <v>1w</v>
      </c>
      <c r="X958" s="180">
        <f>_xll.qlCalendarAdvance(LiborCalendar,X957,W958,"f",FALSE)</f>
        <v>45653</v>
      </c>
      <c r="Y958" s="174">
        <f>_xll.qlInterestRateIndexValueDate(IborIndex,X958)</f>
        <v>45663</v>
      </c>
      <c r="Z958" s="175">
        <v>1.4601474566416563E-2</v>
      </c>
      <c r="AA958" s="177">
        <v>1.4188433927380117E-2</v>
      </c>
    </row>
    <row r="959" spans="23:27" x14ac:dyDescent="0.2">
      <c r="W959" s="173" t="str">
        <f t="shared" si="25"/>
        <v>1w</v>
      </c>
      <c r="X959" s="180">
        <f>_xll.qlCalendarAdvance(LiborCalendar,X958,W959,"f",FALSE)</f>
        <v>45660</v>
      </c>
      <c r="Y959" s="174">
        <f>_xll.qlInterestRateIndexValueDate(IborIndex,X959)</f>
        <v>45664</v>
      </c>
      <c r="Z959" s="175">
        <v>1.4604262679644214E-2</v>
      </c>
      <c r="AA959" s="177">
        <v>1.4194750420182256E-2</v>
      </c>
    </row>
    <row r="960" spans="23:27" x14ac:dyDescent="0.2">
      <c r="W960" s="173" t="str">
        <f t="shared" si="25"/>
        <v>1w</v>
      </c>
      <c r="X960" s="180">
        <f>_xll.qlCalendarAdvance(LiborCalendar,X959,W960,"f",FALSE)</f>
        <v>45667</v>
      </c>
      <c r="Y960" s="174">
        <f>_xll.qlInterestRateIndexValueDate(IborIndex,X960)</f>
        <v>45671</v>
      </c>
      <c r="Z960" s="175">
        <v>1.4647001908713637E-2</v>
      </c>
      <c r="AA960" s="177">
        <v>1.4238914924996626E-2</v>
      </c>
    </row>
    <row r="961" spans="23:27" x14ac:dyDescent="0.2">
      <c r="W961" s="173" t="str">
        <f t="shared" si="25"/>
        <v>1w</v>
      </c>
      <c r="X961" s="180">
        <f>_xll.qlCalendarAdvance(LiborCalendar,X960,W961,"f",FALSE)</f>
        <v>45674</v>
      </c>
      <c r="Y961" s="174">
        <f>_xll.qlInterestRateIndexValueDate(IborIndex,X961)</f>
        <v>45678</v>
      </c>
      <c r="Z961" s="175">
        <v>1.4692968402586335E-2</v>
      </c>
      <c r="AA961" s="177">
        <v>1.4282990277038055E-2</v>
      </c>
    </row>
    <row r="962" spans="23:27" x14ac:dyDescent="0.2">
      <c r="W962" s="173" t="str">
        <f t="shared" si="25"/>
        <v>1w</v>
      </c>
      <c r="X962" s="180">
        <f>_xll.qlCalendarAdvance(LiborCalendar,X961,W962,"f",FALSE)</f>
        <v>45681</v>
      </c>
      <c r="Y962" s="174">
        <f>_xll.qlInterestRateIndexValueDate(IborIndex,X962)</f>
        <v>45685</v>
      </c>
      <c r="Z962" s="175">
        <v>1.4732217347779887E-2</v>
      </c>
      <c r="AA962" s="177">
        <v>1.4326976476144448E-2</v>
      </c>
    </row>
    <row r="963" spans="23:27" x14ac:dyDescent="0.2">
      <c r="W963" s="173" t="str">
        <f t="shared" si="25"/>
        <v>1w</v>
      </c>
      <c r="X963" s="180">
        <f>_xll.qlCalendarAdvance(LiborCalendar,X962,W963,"f",FALSE)</f>
        <v>45688</v>
      </c>
      <c r="Y963" s="174">
        <f>_xll.qlInterestRateIndexValueDate(IborIndex,X963)</f>
        <v>45692</v>
      </c>
      <c r="Z963" s="175">
        <v>1.4774693546512794E-2</v>
      </c>
      <c r="AA963" s="177">
        <v>1.4370873522396854E-2</v>
      </c>
    </row>
    <row r="964" spans="23:27" x14ac:dyDescent="0.2">
      <c r="W964" s="173" t="str">
        <f t="shared" si="25"/>
        <v>1w</v>
      </c>
      <c r="X964" s="180">
        <f>_xll.qlCalendarAdvance(LiborCalendar,X963,W964,"f",FALSE)</f>
        <v>45695</v>
      </c>
      <c r="Y964" s="174">
        <f>_xll.qlInterestRateIndexValueDate(IborIndex,X964)</f>
        <v>45700</v>
      </c>
      <c r="Z964" s="175">
        <v>1.4823130400219502E-2</v>
      </c>
      <c r="AA964" s="177">
        <v>1.4420932408371057E-2</v>
      </c>
    </row>
    <row r="965" spans="23:27" x14ac:dyDescent="0.2">
      <c r="W965" s="173" t="str">
        <f t="shared" si="25"/>
        <v>1w</v>
      </c>
      <c r="X965" s="180">
        <f>_xll.qlCalendarAdvance(LiborCalendar,X964,W965,"f",FALSE)</f>
        <v>45702</v>
      </c>
      <c r="Y965" s="174">
        <f>_xll.qlInterestRateIndexValueDate(IborIndex,X965)</f>
        <v>45706</v>
      </c>
      <c r="Z965" s="175">
        <v>1.4859382874305159E-2</v>
      </c>
      <c r="AA965" s="177">
        <v>1.4458400156015516E-2</v>
      </c>
    </row>
    <row r="966" spans="23:27" x14ac:dyDescent="0.2">
      <c r="W966" s="173" t="str">
        <f t="shared" si="25"/>
        <v>1w</v>
      </c>
      <c r="X966" s="180">
        <f>_xll.qlCalendarAdvance(LiborCalendar,X965,W966,"f",FALSE)</f>
        <v>45709</v>
      </c>
      <c r="Y966" s="174">
        <f>_xll.qlInterestRateIndexValueDate(IborIndex,X966)</f>
        <v>45713</v>
      </c>
      <c r="Z966" s="175">
        <v>1.490488828603145E-2</v>
      </c>
      <c r="AA966" s="177">
        <v>1.4502029743300726E-2</v>
      </c>
    </row>
    <row r="967" spans="23:27" x14ac:dyDescent="0.2">
      <c r="W967" s="173" t="str">
        <f t="shared" si="25"/>
        <v>1w</v>
      </c>
      <c r="X967" s="180">
        <f>_xll.qlCalendarAdvance(LiborCalendar,X966,W967,"f",FALSE)</f>
        <v>45716</v>
      </c>
      <c r="Y967" s="174">
        <f>_xll.qlInterestRateIndexValueDate(IborIndex,X967)</f>
        <v>45720</v>
      </c>
      <c r="Z967" s="175">
        <v>1.4953583679879564E-2</v>
      </c>
      <c r="AA967" s="177">
        <v>1.4545570177569855E-2</v>
      </c>
    </row>
    <row r="968" spans="23:27" x14ac:dyDescent="0.2">
      <c r="W968" s="173" t="str">
        <f t="shared" si="25"/>
        <v>1w</v>
      </c>
      <c r="X968" s="180">
        <f>_xll.qlCalendarAdvance(LiborCalendar,X967,W968,"f",FALSE)</f>
        <v>45723</v>
      </c>
      <c r="Y968" s="174">
        <f>_xll.qlInterestRateIndexValueDate(IborIndex,X968)</f>
        <v>45727</v>
      </c>
      <c r="Z968" s="175">
        <v>1.4995607808874937E-2</v>
      </c>
      <c r="AA968" s="177">
        <v>1.4589021458822904E-2</v>
      </c>
    </row>
    <row r="969" spans="23:27" x14ac:dyDescent="0.2">
      <c r="W969" s="173" t="str">
        <f t="shared" si="25"/>
        <v>1w</v>
      </c>
      <c r="X969" s="180">
        <f>_xll.qlCalendarAdvance(LiborCalendar,X968,W969,"f",FALSE)</f>
        <v>45730</v>
      </c>
      <c r="Y969" s="174">
        <f>_xll.qlInterestRateIndexValueDate(IborIndex,X969)</f>
        <v>45734</v>
      </c>
      <c r="Z969" s="175">
        <v>1.5037544224415115E-2</v>
      </c>
      <c r="AA969" s="177">
        <v>1.4632383586978825E-2</v>
      </c>
    </row>
    <row r="970" spans="23:27" x14ac:dyDescent="0.2">
      <c r="W970" s="173" t="str">
        <f t="shared" si="25"/>
        <v>1w</v>
      </c>
      <c r="X970" s="180">
        <f>_xll.qlCalendarAdvance(LiborCalendar,X969,W970,"f",FALSE)</f>
        <v>45737</v>
      </c>
      <c r="Y970" s="174">
        <f>_xll.qlInterestRateIndexValueDate(IborIndex,X970)</f>
        <v>45741</v>
      </c>
      <c r="Z970" s="175">
        <v>1.5079392920863736E-2</v>
      </c>
      <c r="AA970" s="177">
        <v>1.4675656561875527E-2</v>
      </c>
    </row>
    <row r="971" spans="23:27" x14ac:dyDescent="0.2">
      <c r="W971" s="173" t="str">
        <f t="shared" si="25"/>
        <v>1w</v>
      </c>
      <c r="X971" s="180">
        <f>_xll.qlCalendarAdvance(LiborCalendar,X970,W971,"f",FALSE)</f>
        <v>45744</v>
      </c>
      <c r="Y971" s="174">
        <f>_xll.qlInterestRateIndexValueDate(IborIndex,X971)</f>
        <v>45748</v>
      </c>
      <c r="Z971" s="175">
        <v>1.5117884903693975E-2</v>
      </c>
      <c r="AA971" s="177">
        <v>1.4718840383756149E-2</v>
      </c>
    </row>
    <row r="972" spans="23:27" x14ac:dyDescent="0.2">
      <c r="W972" s="173" t="str">
        <f t="shared" si="25"/>
        <v>1w</v>
      </c>
      <c r="X972" s="180">
        <f>_xll.qlCalendarAdvance(LiborCalendar,X971,W972,"f",FALSE)</f>
        <v>45751</v>
      </c>
      <c r="Y972" s="174">
        <f>_xll.qlInterestRateIndexValueDate(IborIndex,X972)</f>
        <v>45755</v>
      </c>
      <c r="Z972" s="175">
        <v>1.5159562666362791E-2</v>
      </c>
      <c r="AA972" s="177">
        <v>1.4761935052377551E-2</v>
      </c>
    </row>
    <row r="973" spans="23:27" x14ac:dyDescent="0.2">
      <c r="W973" s="173" t="str">
        <f t="shared" si="25"/>
        <v>1w</v>
      </c>
      <c r="X973" s="180">
        <f>_xll.qlCalendarAdvance(LiborCalendar,X972,W973,"f",FALSE)</f>
        <v>45758</v>
      </c>
      <c r="Y973" s="174">
        <f>_xll.qlInterestRateIndexValueDate(IborIndex,X973)</f>
        <v>45762</v>
      </c>
      <c r="Z973" s="175">
        <v>1.5201152692406211E-2</v>
      </c>
      <c r="AA973" s="177">
        <v>1.4804940567820779E-2</v>
      </c>
    </row>
    <row r="974" spans="23:27" x14ac:dyDescent="0.2">
      <c r="W974" s="173" t="str">
        <f t="shared" si="25"/>
        <v>1w</v>
      </c>
      <c r="X974" s="180">
        <f>_xll.qlCalendarAdvance(LiborCalendar,X973,W974,"f",FALSE)</f>
        <v>45769</v>
      </c>
      <c r="Y974" s="174">
        <f>_xll.qlInterestRateIndexValueDate(IborIndex,X974)</f>
        <v>45771</v>
      </c>
      <c r="Z974" s="175">
        <v>1.525449665496356E-2</v>
      </c>
      <c r="AA974" s="177">
        <v>1.4860102372555861E-2</v>
      </c>
    </row>
    <row r="975" spans="23:27" x14ac:dyDescent="0.2">
      <c r="W975" s="173" t="str">
        <f t="shared" si="25"/>
        <v>1w</v>
      </c>
      <c r="X975" s="180">
        <f>_xll.qlCalendarAdvance(LiborCalendar,X974,W975,"f",FALSE)</f>
        <v>45776</v>
      </c>
      <c r="Y975" s="174">
        <f>_xll.qlInterestRateIndexValueDate(IborIndex,X975)</f>
        <v>45778</v>
      </c>
      <c r="Z975" s="175">
        <v>1.5308882536425313E-2</v>
      </c>
      <c r="AA975" s="177">
        <v>1.4902904109039827E-2</v>
      </c>
    </row>
    <row r="976" spans="23:27" x14ac:dyDescent="0.2">
      <c r="W976" s="173" t="str">
        <f t="shared" si="25"/>
        <v>1w</v>
      </c>
      <c r="X976" s="180">
        <f>_xll.qlCalendarAdvance(LiborCalendar,X975,W976,"f",FALSE)</f>
        <v>45783</v>
      </c>
      <c r="Y976" s="174">
        <f>_xll.qlInterestRateIndexValueDate(IborIndex,X976)</f>
        <v>45785</v>
      </c>
      <c r="Z976" s="175">
        <v>1.534692209927882E-2</v>
      </c>
      <c r="AA976" s="177">
        <v>1.4945616692183528E-2</v>
      </c>
    </row>
    <row r="977" spans="23:27" x14ac:dyDescent="0.2">
      <c r="W977" s="173" t="str">
        <f t="shared" si="25"/>
        <v>1w</v>
      </c>
      <c r="X977" s="180">
        <f>_xll.qlCalendarAdvance(LiborCalendar,X976,W977,"f",FALSE)</f>
        <v>45790</v>
      </c>
      <c r="Y977" s="174">
        <f>_xll.qlInterestRateIndexValueDate(IborIndex,X977)</f>
        <v>45792</v>
      </c>
      <c r="Z977" s="175">
        <v>1.5388122495209437E-2</v>
      </c>
      <c r="AA977" s="177">
        <v>1.4988240121986962E-2</v>
      </c>
    </row>
    <row r="978" spans="23:27" x14ac:dyDescent="0.2">
      <c r="W978" s="173" t="str">
        <f t="shared" si="25"/>
        <v>1w</v>
      </c>
      <c r="X978" s="180">
        <f>_xll.qlCalendarAdvance(LiborCalendar,X977,W978,"f",FALSE)</f>
        <v>45797</v>
      </c>
      <c r="Y978" s="174">
        <f>_xll.qlInterestRateIndexValueDate(IborIndex,X978)</f>
        <v>45799</v>
      </c>
      <c r="Z978" s="175">
        <v>1.5432470166442653E-2</v>
      </c>
      <c r="AA978" s="177">
        <v>1.5030774398369084E-2</v>
      </c>
    </row>
    <row r="979" spans="23:27" x14ac:dyDescent="0.2">
      <c r="W979" s="173" t="str">
        <f t="shared" si="25"/>
        <v>1w</v>
      </c>
      <c r="X979" s="180">
        <f>_xll.qlCalendarAdvance(LiborCalendar,X978,W979,"f",FALSE)</f>
        <v>45804</v>
      </c>
      <c r="Y979" s="174">
        <f>_xll.qlInterestRateIndexValueDate(IborIndex,X979)</f>
        <v>45806</v>
      </c>
      <c r="Z979" s="175">
        <v>1.5460566372981375E-2</v>
      </c>
      <c r="AA979" s="177">
        <v>1.5073219521410941E-2</v>
      </c>
    </row>
    <row r="980" spans="23:27" x14ac:dyDescent="0.2">
      <c r="W980" s="173" t="str">
        <f t="shared" si="25"/>
        <v>1w</v>
      </c>
      <c r="X980" s="180">
        <f>_xll.qlCalendarAdvance(LiborCalendar,X979,W980,"f",FALSE)</f>
        <v>45811</v>
      </c>
      <c r="Y980" s="174">
        <f>_xll.qlInterestRateIndexValueDate(IborIndex,X980)</f>
        <v>45813</v>
      </c>
      <c r="Z980" s="175">
        <v>1.5501517007983698E-2</v>
      </c>
      <c r="AA980" s="177">
        <v>1.5115575490869393E-2</v>
      </c>
    </row>
    <row r="981" spans="23:27" x14ac:dyDescent="0.2">
      <c r="W981" s="173" t="str">
        <f t="shared" ref="W981:W1044" si="26">W980</f>
        <v>1w</v>
      </c>
      <c r="X981" s="180">
        <f>_xll.qlCalendarAdvance(LiborCalendar,X980,W981,"f",FALSE)</f>
        <v>45818</v>
      </c>
      <c r="Y981" s="174">
        <f>_xll.qlInterestRateIndexValueDate(IborIndex,X981)</f>
        <v>45820</v>
      </c>
      <c r="Z981" s="175">
        <v>1.5542379860652052E-2</v>
      </c>
      <c r="AA981" s="177">
        <v>1.5157842306906533E-2</v>
      </c>
    </row>
    <row r="982" spans="23:27" x14ac:dyDescent="0.2">
      <c r="W982" s="173" t="str">
        <f t="shared" si="26"/>
        <v>1w</v>
      </c>
      <c r="X982" s="180">
        <f>_xll.qlCalendarAdvance(LiborCalendar,X981,W982,"f",FALSE)</f>
        <v>45825</v>
      </c>
      <c r="Y982" s="174">
        <f>_xll.qlInterestRateIndexValueDate(IborIndex,X982)</f>
        <v>45827</v>
      </c>
      <c r="Z982" s="175">
        <v>1.5583154925524575E-2</v>
      </c>
      <c r="AA982" s="177">
        <v>1.5200019969441314E-2</v>
      </c>
    </row>
    <row r="983" spans="23:27" x14ac:dyDescent="0.2">
      <c r="W983" s="173" t="str">
        <f t="shared" si="26"/>
        <v>1w</v>
      </c>
      <c r="X983" s="180">
        <f>_xll.qlCalendarAdvance(LiborCalendar,X982,W983,"f",FALSE)</f>
        <v>45832</v>
      </c>
      <c r="Y983" s="174">
        <f>_xll.qlInterestRateIndexValueDate(IborIndex,X983)</f>
        <v>45834</v>
      </c>
      <c r="Z983" s="175">
        <v>1.5633481626290305E-2</v>
      </c>
      <c r="AA983" s="177">
        <v>1.5242108478473737E-2</v>
      </c>
    </row>
    <row r="984" spans="23:27" x14ac:dyDescent="0.2">
      <c r="W984" s="173" t="str">
        <f t="shared" si="26"/>
        <v>1w</v>
      </c>
      <c r="X984" s="180">
        <f>_xll.qlCalendarAdvance(LiborCalendar,X983,W984,"f",FALSE)</f>
        <v>45839</v>
      </c>
      <c r="Y984" s="174">
        <f>_xll.qlInterestRateIndexValueDate(IborIndex,X984)</f>
        <v>45841</v>
      </c>
      <c r="Z984" s="175">
        <v>1.5674067555533498E-2</v>
      </c>
      <c r="AA984" s="177">
        <v>1.5284107833841709E-2</v>
      </c>
    </row>
    <row r="985" spans="23:27" x14ac:dyDescent="0.2">
      <c r="W985" s="173" t="str">
        <f t="shared" si="26"/>
        <v>1w</v>
      </c>
      <c r="X985" s="180">
        <f>_xll.qlCalendarAdvance(LiborCalendar,X984,W985,"f",FALSE)</f>
        <v>45846</v>
      </c>
      <c r="Y985" s="174">
        <f>_xll.qlInterestRateIndexValueDate(IborIndex,X985)</f>
        <v>45848</v>
      </c>
      <c r="Z985" s="175">
        <v>1.5717769115690339E-2</v>
      </c>
      <c r="AA985" s="177">
        <v>1.5326018035626277E-2</v>
      </c>
    </row>
    <row r="986" spans="23:27" x14ac:dyDescent="0.2">
      <c r="W986" s="173" t="str">
        <f t="shared" si="26"/>
        <v>1w</v>
      </c>
      <c r="X986" s="180">
        <f>_xll.qlCalendarAdvance(LiborCalendar,X985,W986,"f",FALSE)</f>
        <v>45853</v>
      </c>
      <c r="Y986" s="174">
        <f>_xll.qlInterestRateIndexValueDate(IborIndex,X986)</f>
        <v>45855</v>
      </c>
      <c r="Z986" s="175">
        <v>1.5754975999197025E-2</v>
      </c>
      <c r="AA986" s="177">
        <v>1.5367839083827439E-2</v>
      </c>
    </row>
    <row r="987" spans="23:27" x14ac:dyDescent="0.2">
      <c r="W987" s="173" t="str">
        <f t="shared" si="26"/>
        <v>1w</v>
      </c>
      <c r="X987" s="180">
        <f>_xll.qlCalendarAdvance(LiborCalendar,X986,W987,"f",FALSE)</f>
        <v>45860</v>
      </c>
      <c r="Y987" s="174">
        <f>_xll.qlInterestRateIndexValueDate(IborIndex,X987)</f>
        <v>45862</v>
      </c>
      <c r="Z987" s="175">
        <v>1.5795298502624865E-2</v>
      </c>
      <c r="AA987" s="177">
        <v>1.5409570978283105E-2</v>
      </c>
    </row>
    <row r="988" spans="23:27" x14ac:dyDescent="0.2">
      <c r="W988" s="173" t="str">
        <f t="shared" si="26"/>
        <v>1w</v>
      </c>
      <c r="X988" s="180">
        <f>_xll.qlCalendarAdvance(LiborCalendar,X987,W988,"f",FALSE)</f>
        <v>45867</v>
      </c>
      <c r="Y988" s="174">
        <f>_xll.qlInterestRateIndexValueDate(IborIndex,X988)</f>
        <v>45869</v>
      </c>
      <c r="Z988" s="175">
        <v>1.5825961466628485E-2</v>
      </c>
      <c r="AA988" s="177">
        <v>1.5451213719074319E-2</v>
      </c>
    </row>
    <row r="989" spans="23:27" x14ac:dyDescent="0.2">
      <c r="W989" s="173" t="str">
        <f t="shared" si="26"/>
        <v>1w</v>
      </c>
      <c r="X989" s="180">
        <f>_xll.qlCalendarAdvance(LiborCalendar,X988,W989,"f",FALSE)</f>
        <v>45874</v>
      </c>
      <c r="Y989" s="174">
        <f>_xll.qlInterestRateIndexValueDate(IborIndex,X989)</f>
        <v>45876</v>
      </c>
      <c r="Z989" s="175">
        <v>1.5875680045278256E-2</v>
      </c>
      <c r="AA989" s="177">
        <v>1.5492767306120037E-2</v>
      </c>
    </row>
    <row r="990" spans="23:27" x14ac:dyDescent="0.2">
      <c r="W990" s="173" t="str">
        <f t="shared" si="26"/>
        <v>1w</v>
      </c>
      <c r="X990" s="180">
        <f>_xll.qlCalendarAdvance(LiborCalendar,X989,W990,"f",FALSE)</f>
        <v>45881</v>
      </c>
      <c r="Y990" s="174">
        <f>_xll.qlInterestRateIndexValueDate(IborIndex,X990)</f>
        <v>45883</v>
      </c>
      <c r="Z990" s="175">
        <v>1.5915739073583086E-2</v>
      </c>
      <c r="AA990" s="177">
        <v>1.5534231739420257E-2</v>
      </c>
    </row>
    <row r="991" spans="23:27" x14ac:dyDescent="0.2">
      <c r="W991" s="173" t="str">
        <f t="shared" si="26"/>
        <v>1w</v>
      </c>
      <c r="X991" s="180">
        <f>_xll.qlCalendarAdvance(LiborCalendar,X990,W991,"f",FALSE)</f>
        <v>45888</v>
      </c>
      <c r="Y991" s="174">
        <f>_xll.qlInterestRateIndexValueDate(IborIndex,X991)</f>
        <v>45890</v>
      </c>
      <c r="Z991" s="175">
        <v>1.5955710265944237E-2</v>
      </c>
      <c r="AA991" s="177">
        <v>1.5575607018893933E-2</v>
      </c>
    </row>
    <row r="992" spans="23:27" x14ac:dyDescent="0.2">
      <c r="W992" s="173" t="str">
        <f t="shared" si="26"/>
        <v>1w</v>
      </c>
      <c r="X992" s="180">
        <f>_xll.qlCalendarAdvance(LiborCalendar,X991,W992,"f",FALSE)</f>
        <v>45895</v>
      </c>
      <c r="Y992" s="174">
        <f>_xll.qlInterestRateIndexValueDate(IborIndex,X992)</f>
        <v>45897</v>
      </c>
      <c r="Z992" s="175">
        <v>1.5986076052113714E-2</v>
      </c>
      <c r="AA992" s="177">
        <v>1.5616893144622113E-2</v>
      </c>
    </row>
    <row r="993" spans="23:27" x14ac:dyDescent="0.2">
      <c r="W993" s="173" t="str">
        <f t="shared" si="26"/>
        <v>1w</v>
      </c>
      <c r="X993" s="180">
        <f>_xll.qlCalendarAdvance(LiborCalendar,X992,W993,"f",FALSE)</f>
        <v>45902</v>
      </c>
      <c r="Y993" s="174">
        <f>_xll.qlInterestRateIndexValueDate(IborIndex,X993)</f>
        <v>45904</v>
      </c>
      <c r="Z993" s="175">
        <v>1.6019547380340386E-2</v>
      </c>
      <c r="AA993" s="177">
        <v>1.5658090116442702E-2</v>
      </c>
    </row>
    <row r="994" spans="23:27" x14ac:dyDescent="0.2">
      <c r="W994" s="173" t="str">
        <f t="shared" si="26"/>
        <v>1w</v>
      </c>
      <c r="X994" s="180">
        <f>_xll.qlCalendarAdvance(LiborCalendar,X993,W994,"f",FALSE)</f>
        <v>45909</v>
      </c>
      <c r="Y994" s="174">
        <f>_xll.qlInterestRateIndexValueDate(IborIndex,X994)</f>
        <v>45911</v>
      </c>
      <c r="Z994" s="175">
        <v>1.6059277595390647E-2</v>
      </c>
      <c r="AA994" s="177">
        <v>1.5699197934436748E-2</v>
      </c>
    </row>
    <row r="995" spans="23:27" x14ac:dyDescent="0.2">
      <c r="W995" s="173" t="str">
        <f t="shared" si="26"/>
        <v>1w</v>
      </c>
      <c r="X995" s="180">
        <f>_xll.qlCalendarAdvance(LiborCalendar,X994,W995,"f",FALSE)</f>
        <v>45916</v>
      </c>
      <c r="Y995" s="174">
        <f>_xll.qlInterestRateIndexValueDate(IborIndex,X995)</f>
        <v>45918</v>
      </c>
      <c r="Z995" s="175">
        <v>1.6098919952578481E-2</v>
      </c>
      <c r="AA995" s="177">
        <v>1.5740216598442158E-2</v>
      </c>
    </row>
    <row r="996" spans="23:27" x14ac:dyDescent="0.2">
      <c r="W996" s="173" t="str">
        <f t="shared" si="26"/>
        <v>1w</v>
      </c>
      <c r="X996" s="180">
        <f>_xll.qlCalendarAdvance(LiborCalendar,X995,W996,"f",FALSE)</f>
        <v>45923</v>
      </c>
      <c r="Y996" s="174">
        <f>_xll.qlInterestRateIndexValueDate(IborIndex,X996)</f>
        <v>45925</v>
      </c>
      <c r="Z996" s="175">
        <v>1.613847444666212E-2</v>
      </c>
      <c r="AA996" s="177">
        <v>1.5781146108458932E-2</v>
      </c>
    </row>
    <row r="997" spans="23:27" x14ac:dyDescent="0.2">
      <c r="W997" s="173" t="str">
        <f t="shared" si="26"/>
        <v>1w</v>
      </c>
      <c r="X997" s="180">
        <f>_xll.qlCalendarAdvance(LiborCalendar,X996,W997,"f",FALSE)</f>
        <v>45930</v>
      </c>
      <c r="Y997" s="174">
        <f>_xll.qlInterestRateIndexValueDate(IborIndex,X997)</f>
        <v>45932</v>
      </c>
      <c r="Z997" s="175">
        <v>1.6181092047792826E-2</v>
      </c>
      <c r="AA997" s="177">
        <v>1.5821986464649163E-2</v>
      </c>
    </row>
    <row r="998" spans="23:27" x14ac:dyDescent="0.2">
      <c r="W998" s="173" t="str">
        <f t="shared" si="26"/>
        <v>1w</v>
      </c>
      <c r="X998" s="180">
        <f>_xll.qlCalendarAdvance(LiborCalendar,X997,W998,"f",FALSE)</f>
        <v>45937</v>
      </c>
      <c r="Y998" s="174">
        <f>_xll.qlInterestRateIndexValueDate(IborIndex,X998)</f>
        <v>45939</v>
      </c>
      <c r="Z998" s="175">
        <v>1.6220466287237102E-2</v>
      </c>
      <c r="AA998" s="177">
        <v>1.5862737666769711E-2</v>
      </c>
    </row>
    <row r="999" spans="23:27" x14ac:dyDescent="0.2">
      <c r="W999" s="173" t="str">
        <f t="shared" si="26"/>
        <v>1w</v>
      </c>
      <c r="X999" s="180">
        <f>_xll.qlCalendarAdvance(LiborCalendar,X998,W999,"f",FALSE)</f>
        <v>45944</v>
      </c>
      <c r="Y999" s="174">
        <f>_xll.qlInterestRateIndexValueDate(IborIndex,X999)</f>
        <v>45946</v>
      </c>
      <c r="Z999" s="175">
        <v>1.6259752647867262E-2</v>
      </c>
      <c r="AA999" s="177">
        <v>1.5903399714820576E-2</v>
      </c>
    </row>
    <row r="1000" spans="23:27" x14ac:dyDescent="0.2">
      <c r="W1000" s="173" t="str">
        <f t="shared" si="26"/>
        <v>1w</v>
      </c>
      <c r="X1000" s="180">
        <f>_xll.qlCalendarAdvance(LiborCalendar,X999,W1000,"f",FALSE)</f>
        <v>45951</v>
      </c>
      <c r="Y1000" s="174">
        <f>_xll.qlInterestRateIndexValueDate(IborIndex,X1000)</f>
        <v>45953</v>
      </c>
      <c r="Z1000" s="175">
        <v>1.6298951124459352E-2</v>
      </c>
      <c r="AA1000" s="177">
        <v>1.5943972608882806E-2</v>
      </c>
    </row>
    <row r="1001" spans="23:27" x14ac:dyDescent="0.2">
      <c r="W1001" s="173" t="str">
        <f t="shared" si="26"/>
        <v>1w</v>
      </c>
      <c r="X1001" s="180">
        <f>_xll.qlCalendarAdvance(LiborCalendar,X1000,W1001,"f",FALSE)</f>
        <v>45958</v>
      </c>
      <c r="Y1001" s="174">
        <f>_xll.qlInterestRateIndexValueDate(IborIndex,X1001)</f>
        <v>45960</v>
      </c>
      <c r="Z1001" s="175">
        <v>1.6338061711800397E-2</v>
      </c>
      <c r="AA1001" s="177">
        <v>1.5984456348794307E-2</v>
      </c>
    </row>
    <row r="1002" spans="23:27" x14ac:dyDescent="0.2">
      <c r="W1002" s="173" t="str">
        <f t="shared" si="26"/>
        <v>1w</v>
      </c>
      <c r="X1002" s="180">
        <f>_xll.qlCalendarAdvance(LiborCalendar,X1001,W1002,"f",FALSE)</f>
        <v>45965</v>
      </c>
      <c r="Y1002" s="174">
        <f>_xll.qlInterestRateIndexValueDate(IborIndex,X1002)</f>
        <v>45967</v>
      </c>
      <c r="Z1002" s="175">
        <v>1.637708440468973E-2</v>
      </c>
      <c r="AA1002" s="177">
        <v>1.6024850934636126E-2</v>
      </c>
    </row>
    <row r="1003" spans="23:27" x14ac:dyDescent="0.2">
      <c r="W1003" s="173" t="str">
        <f t="shared" si="26"/>
        <v>1w</v>
      </c>
      <c r="X1003" s="180">
        <f>_xll.qlCalendarAdvance(LiborCalendar,X1002,W1003,"f",FALSE)</f>
        <v>45972</v>
      </c>
      <c r="Y1003" s="174">
        <f>_xll.qlInterestRateIndexValueDate(IborIndex,X1003)</f>
        <v>45974</v>
      </c>
      <c r="Z1003" s="175">
        <v>1.6412895300392267E-2</v>
      </c>
      <c r="AA1003" s="177">
        <v>1.6065156366327216E-2</v>
      </c>
    </row>
    <row r="1004" spans="23:27" x14ac:dyDescent="0.2">
      <c r="W1004" s="173" t="str">
        <f t="shared" si="26"/>
        <v>1w</v>
      </c>
      <c r="X1004" s="180">
        <f>_xll.qlCalendarAdvance(LiborCalendar,X1003,W1004,"f",FALSE)</f>
        <v>45979</v>
      </c>
      <c r="Y1004" s="174">
        <f>_xll.qlInterestRateIndexValueDate(IborIndex,X1004)</f>
        <v>45981</v>
      </c>
      <c r="Z1004" s="175">
        <v>1.6451746702302254E-2</v>
      </c>
      <c r="AA1004" s="177">
        <v>1.6105372643705484E-2</v>
      </c>
    </row>
    <row r="1005" spans="23:27" x14ac:dyDescent="0.2">
      <c r="W1005" s="173" t="str">
        <f t="shared" si="26"/>
        <v>1w</v>
      </c>
      <c r="X1005" s="180">
        <f>_xll.qlCalendarAdvance(LiborCalendar,X1004,W1005,"f",FALSE)</f>
        <v>45986</v>
      </c>
      <c r="Y1005" s="174">
        <f>_xll.qlInterestRateIndexValueDate(IborIndex,X1005)</f>
        <v>45988</v>
      </c>
      <c r="Z1005" s="175">
        <v>1.6490510194445702E-2</v>
      </c>
      <c r="AA1005" s="177">
        <v>1.6145499767014071E-2</v>
      </c>
    </row>
    <row r="1006" spans="23:27" x14ac:dyDescent="0.2">
      <c r="W1006" s="173" t="str">
        <f t="shared" si="26"/>
        <v>1w</v>
      </c>
      <c r="X1006" s="180">
        <f>_xll.qlCalendarAdvance(LiborCalendar,X1005,W1006,"f",FALSE)</f>
        <v>45993</v>
      </c>
      <c r="Y1006" s="174">
        <f>_xll.qlInterestRateIndexValueDate(IborIndex,X1006)</f>
        <v>45995</v>
      </c>
      <c r="Z1006" s="175">
        <v>1.6532296128116065E-2</v>
      </c>
      <c r="AA1006" s="177">
        <v>1.6185537736090883E-2</v>
      </c>
    </row>
    <row r="1007" spans="23:27" x14ac:dyDescent="0.2">
      <c r="W1007" s="173" t="str">
        <f t="shared" si="26"/>
        <v>1w</v>
      </c>
      <c r="X1007" s="180">
        <f>_xll.qlCalendarAdvance(LiborCalendar,X1006,W1007,"f",FALSE)</f>
        <v>46000</v>
      </c>
      <c r="Y1007" s="174">
        <f>_xll.qlInterestRateIndexValueDate(IborIndex,X1007)</f>
        <v>46002</v>
      </c>
      <c r="Z1007" s="175">
        <v>1.6570879271138563E-2</v>
      </c>
      <c r="AA1007" s="177">
        <v>1.6225486550773827E-2</v>
      </c>
    </row>
    <row r="1008" spans="23:27" x14ac:dyDescent="0.2">
      <c r="W1008" s="173" t="str">
        <f t="shared" si="26"/>
        <v>1w</v>
      </c>
      <c r="X1008" s="180">
        <f>_xll.qlCalendarAdvance(LiborCalendar,X1007,W1008,"f",FALSE)</f>
        <v>46007</v>
      </c>
      <c r="Y1008" s="174">
        <f>_xll.qlInterestRateIndexValueDate(IborIndex,X1008)</f>
        <v>46009</v>
      </c>
      <c r="Z1008" s="175">
        <v>1.6609374488747296E-2</v>
      </c>
      <c r="AA1008" s="177">
        <v>1.6265346211224996E-2</v>
      </c>
    </row>
    <row r="1009" spans="23:27" x14ac:dyDescent="0.2">
      <c r="W1009" s="173" t="str">
        <f t="shared" si="26"/>
        <v>1w</v>
      </c>
      <c r="X1009" s="180">
        <f>_xll.qlCalendarAdvance(LiborCalendar,X1008,W1009,"f",FALSE)</f>
        <v>46014</v>
      </c>
      <c r="Y1009" s="174">
        <f>_xll.qlInterestRateIndexValueDate(IborIndex,X1009)</f>
        <v>46020</v>
      </c>
      <c r="Z1009" s="175">
        <v>1.6669689316028066E-2</v>
      </c>
      <c r="AA1009" s="177">
        <v>1.6327802692390758E-2</v>
      </c>
    </row>
    <row r="1010" spans="23:27" x14ac:dyDescent="0.2">
      <c r="W1010" s="173" t="str">
        <f t="shared" si="26"/>
        <v>1w</v>
      </c>
      <c r="X1010" s="180">
        <f>_xll.qlCalendarAdvance(LiborCalendar,X1009,W1010,"f",FALSE)</f>
        <v>46021</v>
      </c>
      <c r="Y1010" s="174">
        <f>_xll.qlInterestRateIndexValueDate(IborIndex,X1010)</f>
        <v>46027</v>
      </c>
      <c r="Z1010" s="175">
        <v>1.6707958416235513E-2</v>
      </c>
      <c r="AA1010" s="177">
        <v>1.6367433098848361E-2</v>
      </c>
    </row>
    <row r="1011" spans="23:27" x14ac:dyDescent="0.2">
      <c r="W1011" s="173" t="str">
        <f t="shared" si="26"/>
        <v>1w</v>
      </c>
      <c r="X1011" s="180">
        <f>_xll.qlCalendarAdvance(LiborCalendar,X1010,W1011,"f",FALSE)</f>
        <v>46028</v>
      </c>
      <c r="Y1011" s="174">
        <f>_xll.qlInterestRateIndexValueDate(IborIndex,X1011)</f>
        <v>46030</v>
      </c>
      <c r="Z1011" s="175">
        <v>1.6721244755932018E-2</v>
      </c>
      <c r="AA1011" s="177">
        <v>1.638439026662053E-2</v>
      </c>
    </row>
    <row r="1012" spans="23:27" x14ac:dyDescent="0.2">
      <c r="W1012" s="173" t="str">
        <f t="shared" si="26"/>
        <v>1w</v>
      </c>
      <c r="X1012" s="180">
        <f>_xll.qlCalendarAdvance(LiborCalendar,X1011,W1012,"f",FALSE)</f>
        <v>46035</v>
      </c>
      <c r="Y1012" s="174">
        <f>_xll.qlInterestRateIndexValueDate(IborIndex,X1012)</f>
        <v>46037</v>
      </c>
      <c r="Z1012" s="175">
        <v>1.6759392736810971E-2</v>
      </c>
      <c r="AA1012" s="177">
        <v>1.6423893309577275E-2</v>
      </c>
    </row>
    <row r="1013" spans="23:27" x14ac:dyDescent="0.2">
      <c r="W1013" s="173" t="str">
        <f t="shared" si="26"/>
        <v>1w</v>
      </c>
      <c r="X1013" s="180">
        <f>_xll.qlCalendarAdvance(LiborCalendar,X1012,W1013,"f",FALSE)</f>
        <v>46042</v>
      </c>
      <c r="Y1013" s="174">
        <f>_xll.qlInterestRateIndexValueDate(IborIndex,X1013)</f>
        <v>46044</v>
      </c>
      <c r="Z1013" s="175">
        <v>1.6797452767233281E-2</v>
      </c>
      <c r="AA1013" s="177">
        <v>1.6463307198140154E-2</v>
      </c>
    </row>
    <row r="1014" spans="23:27" x14ac:dyDescent="0.2">
      <c r="W1014" s="173" t="str">
        <f t="shared" si="26"/>
        <v>1w</v>
      </c>
      <c r="X1014" s="180">
        <f>_xll.qlCalendarAdvance(LiborCalendar,X1013,W1014,"f",FALSE)</f>
        <v>46049</v>
      </c>
      <c r="Y1014" s="174">
        <f>_xll.qlInterestRateIndexValueDate(IborIndex,X1014)</f>
        <v>46051</v>
      </c>
      <c r="Z1014" s="175">
        <v>1.6835424842164302E-2</v>
      </c>
      <c r="AA1014" s="177">
        <v>1.6502631932147072E-2</v>
      </c>
    </row>
    <row r="1015" spans="23:27" x14ac:dyDescent="0.2">
      <c r="W1015" s="173" t="str">
        <f t="shared" si="26"/>
        <v>1w</v>
      </c>
      <c r="X1015" s="180">
        <f>_xll.qlCalendarAdvance(LiborCalendar,X1014,W1015,"f",FALSE)</f>
        <v>46056</v>
      </c>
      <c r="Y1015" s="174">
        <f>_xll.qlInterestRateIndexValueDate(IborIndex,X1015)</f>
        <v>46058</v>
      </c>
      <c r="Z1015" s="175">
        <v>1.6873308956581755E-2</v>
      </c>
      <c r="AA1015" s="177">
        <v>1.6541867511760122E-2</v>
      </c>
    </row>
    <row r="1016" spans="23:27" x14ac:dyDescent="0.2">
      <c r="W1016" s="173" t="str">
        <f t="shared" si="26"/>
        <v>1w</v>
      </c>
      <c r="X1016" s="180">
        <f>_xll.qlCalendarAdvance(LiborCalendar,X1015,W1016,"f",FALSE)</f>
        <v>46063</v>
      </c>
      <c r="Y1016" s="174">
        <f>_xll.qlInterestRateIndexValueDate(IborIndex,X1016)</f>
        <v>46065</v>
      </c>
      <c r="Z1016" s="175">
        <v>1.6911105105474399E-2</v>
      </c>
      <c r="AA1016" s="177">
        <v>1.6581013936736166E-2</v>
      </c>
    </row>
    <row r="1017" spans="23:27" x14ac:dyDescent="0.2">
      <c r="W1017" s="173" t="str">
        <f t="shared" si="26"/>
        <v>1w</v>
      </c>
      <c r="X1017" s="180">
        <f>_xll.qlCalendarAdvance(LiborCalendar,X1016,W1017,"f",FALSE)</f>
        <v>46070</v>
      </c>
      <c r="Y1017" s="174">
        <f>_xll.qlInterestRateIndexValueDate(IborIndex,X1017)</f>
        <v>46072</v>
      </c>
      <c r="Z1017" s="175">
        <v>1.6948813283842474E-2</v>
      </c>
      <c r="AA1017" s="177">
        <v>1.6620071207237297E-2</v>
      </c>
    </row>
    <row r="1018" spans="23:27" x14ac:dyDescent="0.2">
      <c r="W1018" s="173" t="str">
        <f t="shared" si="26"/>
        <v>1w</v>
      </c>
      <c r="X1018" s="180">
        <f>_xll.qlCalendarAdvance(LiborCalendar,X1017,W1018,"f",FALSE)</f>
        <v>46077</v>
      </c>
      <c r="Y1018" s="174">
        <f>_xll.qlInterestRateIndexValueDate(IborIndex,X1018)</f>
        <v>46079</v>
      </c>
      <c r="Z1018" s="175">
        <v>1.6986433486697712E-2</v>
      </c>
      <c r="AA1018" s="177">
        <v>1.6659039323182467E-2</v>
      </c>
    </row>
    <row r="1019" spans="23:27" x14ac:dyDescent="0.2">
      <c r="W1019" s="173" t="str">
        <f t="shared" si="26"/>
        <v>1w</v>
      </c>
      <c r="X1019" s="180">
        <f>_xll.qlCalendarAdvance(LiborCalendar,X1018,W1019,"f",FALSE)</f>
        <v>46084</v>
      </c>
      <c r="Y1019" s="174">
        <f>_xll.qlInterestRateIndexValueDate(IborIndex,X1019)</f>
        <v>46086</v>
      </c>
      <c r="Z1019" s="175">
        <v>1.7039220533906673E-2</v>
      </c>
      <c r="AA1019" s="177">
        <v>1.6697918284328539E-2</v>
      </c>
    </row>
    <row r="1020" spans="23:27" x14ac:dyDescent="0.2">
      <c r="W1020" s="173" t="str">
        <f t="shared" si="26"/>
        <v>1w</v>
      </c>
      <c r="X1020" s="180">
        <f>_xll.qlCalendarAdvance(LiborCalendar,X1019,W1020,"f",FALSE)</f>
        <v>46091</v>
      </c>
      <c r="Y1020" s="174">
        <f>_xll.qlInterestRateIndexValueDate(IborIndex,X1020)</f>
        <v>46093</v>
      </c>
      <c r="Z1020" s="175">
        <v>1.7076642169553256E-2</v>
      </c>
      <c r="AA1020" s="177">
        <v>1.6736708090999697E-2</v>
      </c>
    </row>
    <row r="1021" spans="23:27" x14ac:dyDescent="0.2">
      <c r="W1021" s="173" t="str">
        <f t="shared" si="26"/>
        <v>1w</v>
      </c>
      <c r="X1021" s="180">
        <f>_xll.qlCalendarAdvance(LiborCalendar,X1020,W1021,"f",FALSE)</f>
        <v>46098</v>
      </c>
      <c r="Y1021" s="174">
        <f>_xll.qlInterestRateIndexValueDate(IborIndex,X1021)</f>
        <v>46100</v>
      </c>
      <c r="Z1021" s="175">
        <v>1.7123097531340833E-2</v>
      </c>
      <c r="AA1021" s="177">
        <v>1.6775408742952802E-2</v>
      </c>
    </row>
    <row r="1022" spans="23:27" x14ac:dyDescent="0.2">
      <c r="W1022" s="173" t="str">
        <f t="shared" si="26"/>
        <v>1w</v>
      </c>
      <c r="X1022" s="180">
        <f>_xll.qlCalendarAdvance(LiborCalendar,X1021,W1022,"f",FALSE)</f>
        <v>46105</v>
      </c>
      <c r="Y1022" s="174">
        <f>_xll.qlInterestRateIndexValueDate(IborIndex,X1022)</f>
        <v>46107</v>
      </c>
      <c r="Z1022" s="175">
        <v>1.7151221454631171E-2</v>
      </c>
      <c r="AA1022" s="177">
        <v>1.6814020240268901E-2</v>
      </c>
    </row>
    <row r="1023" spans="23:27" x14ac:dyDescent="0.2">
      <c r="W1023" s="173" t="str">
        <f t="shared" si="26"/>
        <v>1w</v>
      </c>
      <c r="X1023" s="180">
        <f>_xll.qlCalendarAdvance(LiborCalendar,X1022,W1023,"f",FALSE)</f>
        <v>46112</v>
      </c>
      <c r="Y1023" s="174">
        <f>_xll.qlInterestRateIndexValueDate(IborIndex,X1023)</f>
        <v>46114</v>
      </c>
      <c r="Z1023" s="175">
        <v>1.7179281467103239E-2</v>
      </c>
      <c r="AA1023" s="177">
        <v>1.6865089082688245E-2</v>
      </c>
    </row>
    <row r="1024" spans="23:27" x14ac:dyDescent="0.2">
      <c r="W1024" s="173" t="str">
        <f t="shared" si="26"/>
        <v>1w</v>
      </c>
      <c r="X1024" s="180">
        <f>_xll.qlCalendarAdvance(LiborCalendar,X1023,W1024,"f",FALSE)</f>
        <v>46119</v>
      </c>
      <c r="Y1024" s="174">
        <f>_xll.qlInterestRateIndexValueDate(IborIndex,X1024)</f>
        <v>46121</v>
      </c>
      <c r="Z1024" s="175">
        <v>1.7216364666688841E-2</v>
      </c>
      <c r="AA1024" s="177">
        <v>1.6890975770503802E-2</v>
      </c>
    </row>
    <row r="1025" spans="23:27" x14ac:dyDescent="0.2">
      <c r="W1025" s="173" t="str">
        <f t="shared" si="26"/>
        <v>1w</v>
      </c>
      <c r="X1025" s="180">
        <f>_xll.qlCalendarAdvance(LiborCalendar,X1024,W1025,"f",FALSE)</f>
        <v>46126</v>
      </c>
      <c r="Y1025" s="174">
        <f>_xll.qlInterestRateIndexValueDate(IborIndex,X1025)</f>
        <v>46128</v>
      </c>
      <c r="Z1025" s="175">
        <v>1.7253359854645853E-2</v>
      </c>
      <c r="AA1025" s="177">
        <v>1.6929319803503651E-2</v>
      </c>
    </row>
    <row r="1026" spans="23:27" x14ac:dyDescent="0.2">
      <c r="W1026" s="173" t="str">
        <f t="shared" si="26"/>
        <v>1w</v>
      </c>
      <c r="X1026" s="180">
        <f>_xll.qlCalendarAdvance(LiborCalendar,X1025,W1026,"f",FALSE)</f>
        <v>46133</v>
      </c>
      <c r="Y1026" s="174">
        <f>_xll.qlInterestRateIndexValueDate(IborIndex,X1026)</f>
        <v>46135</v>
      </c>
      <c r="Z1026" s="175">
        <v>1.7290267026026544E-2</v>
      </c>
      <c r="AA1026" s="177">
        <v>1.69675746817044E-2</v>
      </c>
    </row>
    <row r="1027" spans="23:27" x14ac:dyDescent="0.2">
      <c r="W1027" s="173" t="str">
        <f t="shared" si="26"/>
        <v>1w</v>
      </c>
      <c r="X1027" s="180">
        <f>_xll.qlCalendarAdvance(LiborCalendar,X1026,W1027,"f",FALSE)</f>
        <v>46140</v>
      </c>
      <c r="Y1027" s="174">
        <f>_xll.qlInterestRateIndexValueDate(IborIndex,X1027)</f>
        <v>46142</v>
      </c>
      <c r="Z1027" s="175">
        <v>1.7327086175894534E-2</v>
      </c>
      <c r="AA1027" s="177">
        <v>1.7005740405025005E-2</v>
      </c>
    </row>
    <row r="1028" spans="23:27" x14ac:dyDescent="0.2">
      <c r="W1028" s="173" t="str">
        <f t="shared" si="26"/>
        <v>1w</v>
      </c>
      <c r="X1028" s="180">
        <f>_xll.qlCalendarAdvance(LiborCalendar,X1027,W1028,"f",FALSE)</f>
        <v>46147</v>
      </c>
      <c r="Y1028" s="174">
        <f>_xll.qlInterestRateIndexValueDate(IborIndex,X1028)</f>
        <v>46149</v>
      </c>
      <c r="Z1028" s="175">
        <v>1.7372847001363038E-2</v>
      </c>
      <c r="AA1028" s="177">
        <v>1.7043816973465464E-2</v>
      </c>
    </row>
    <row r="1029" spans="23:27" x14ac:dyDescent="0.2">
      <c r="W1029" s="173" t="str">
        <f t="shared" si="26"/>
        <v>1w</v>
      </c>
      <c r="X1029" s="180">
        <f>_xll.qlCalendarAdvance(LiborCalendar,X1028,W1029,"f",FALSE)</f>
        <v>46154</v>
      </c>
      <c r="Y1029" s="174">
        <f>_xll.qlInterestRateIndexValueDate(IborIndex,X1029)</f>
        <v>46156</v>
      </c>
      <c r="Z1029" s="175">
        <v>1.7409475807937121E-2</v>
      </c>
      <c r="AA1029" s="177">
        <v>1.7081804387025779E-2</v>
      </c>
    </row>
    <row r="1030" spans="23:27" x14ac:dyDescent="0.2">
      <c r="W1030" s="173" t="str">
        <f t="shared" si="26"/>
        <v>1w</v>
      </c>
      <c r="X1030" s="180">
        <f>_xll.qlCalendarAdvance(LiborCalendar,X1029,W1030,"f",FALSE)</f>
        <v>46161</v>
      </c>
      <c r="Y1030" s="174">
        <f>_xll.qlInterestRateIndexValueDate(IborIndex,X1030)</f>
        <v>46163</v>
      </c>
      <c r="Z1030" s="175">
        <v>1.7449014731893617E-2</v>
      </c>
      <c r="AA1030" s="177">
        <v>1.7119702645624901E-2</v>
      </c>
    </row>
    <row r="1031" spans="23:27" x14ac:dyDescent="0.2">
      <c r="W1031" s="173" t="str">
        <f t="shared" si="26"/>
        <v>1w</v>
      </c>
      <c r="X1031" s="180">
        <f>_xll.qlCalendarAdvance(LiborCalendar,X1030,W1031,"f",FALSE)</f>
        <v>46168</v>
      </c>
      <c r="Y1031" s="174">
        <f>_xll.qlInterestRateIndexValueDate(IborIndex,X1031)</f>
        <v>46170</v>
      </c>
      <c r="Z1031" s="175">
        <v>1.7482463747225268E-2</v>
      </c>
      <c r="AA1031" s="177">
        <v>1.7157511749343879E-2</v>
      </c>
    </row>
    <row r="1032" spans="23:27" x14ac:dyDescent="0.2">
      <c r="W1032" s="173" t="str">
        <f t="shared" si="26"/>
        <v>1w</v>
      </c>
      <c r="X1032" s="180">
        <f>_xll.qlCalendarAdvance(LiborCalendar,X1031,W1032,"f",FALSE)</f>
        <v>46175</v>
      </c>
      <c r="Y1032" s="174">
        <f>_xll.qlInterestRateIndexValueDate(IborIndex,X1032)</f>
        <v>46177</v>
      </c>
      <c r="Z1032" s="175">
        <v>1.7509849380290144E-2</v>
      </c>
      <c r="AA1032" s="177">
        <v>1.7195231698020619E-2</v>
      </c>
    </row>
    <row r="1033" spans="23:27" x14ac:dyDescent="0.2">
      <c r="W1033" s="173" t="str">
        <f t="shared" si="26"/>
        <v>1w</v>
      </c>
      <c r="X1033" s="180">
        <f>_xll.qlCalendarAdvance(LiborCalendar,X1032,W1033,"f",FALSE)</f>
        <v>46182</v>
      </c>
      <c r="Y1033" s="174">
        <f>_xll.qlInterestRateIndexValueDate(IborIndex,X1033)</f>
        <v>46184</v>
      </c>
      <c r="Z1033" s="175">
        <v>1.7546129741153028E-2</v>
      </c>
      <c r="AA1033" s="177">
        <v>1.7232862491736167E-2</v>
      </c>
    </row>
    <row r="1034" spans="23:27" x14ac:dyDescent="0.2">
      <c r="W1034" s="173" t="str">
        <f t="shared" si="26"/>
        <v>1w</v>
      </c>
      <c r="X1034" s="180">
        <f>_xll.qlCalendarAdvance(LiborCalendar,X1033,W1034,"f",FALSE)</f>
        <v>46189</v>
      </c>
      <c r="Y1034" s="174">
        <f>_xll.qlInterestRateIndexValueDate(IborIndex,X1034)</f>
        <v>46191</v>
      </c>
      <c r="Z1034" s="175">
        <v>1.7582317190784416E-2</v>
      </c>
      <c r="AA1034" s="177">
        <v>1.7270404130328432E-2</v>
      </c>
    </row>
    <row r="1035" spans="23:27" x14ac:dyDescent="0.2">
      <c r="W1035" s="173" t="str">
        <f t="shared" si="26"/>
        <v>1w</v>
      </c>
      <c r="X1035" s="180">
        <f>_xll.qlCalendarAdvance(LiborCalendar,X1034,W1035,"f",FALSE)</f>
        <v>46196</v>
      </c>
      <c r="Y1035" s="174">
        <f>_xll.qlInterestRateIndexValueDate(IborIndex,X1035)</f>
        <v>46198</v>
      </c>
      <c r="Z1035" s="175">
        <v>1.7630309486752607E-2</v>
      </c>
      <c r="AA1035" s="177">
        <v>1.7307856613959505E-2</v>
      </c>
    </row>
    <row r="1036" spans="23:27" x14ac:dyDescent="0.2">
      <c r="W1036" s="173" t="str">
        <f t="shared" si="26"/>
        <v>1w</v>
      </c>
      <c r="X1036" s="180">
        <f>_xll.qlCalendarAdvance(LiborCalendar,X1035,W1036,"f",FALSE)</f>
        <v>46203</v>
      </c>
      <c r="Y1036" s="174">
        <f>_xll.qlInterestRateIndexValueDate(IborIndex,X1036)</f>
        <v>46205</v>
      </c>
      <c r="Z1036" s="175">
        <v>1.7663318080727082E-2</v>
      </c>
      <c r="AA1036" s="177">
        <v>1.7345219942467294E-2</v>
      </c>
    </row>
    <row r="1037" spans="23:27" x14ac:dyDescent="0.2">
      <c r="W1037" s="173" t="str">
        <f t="shared" si="26"/>
        <v>1w</v>
      </c>
      <c r="X1037" s="180">
        <f>_xll.qlCalendarAdvance(LiborCalendar,X1036,W1037,"f",FALSE)</f>
        <v>46210</v>
      </c>
      <c r="Y1037" s="174">
        <f>_xll.qlInterestRateIndexValueDate(IborIndex,X1037)</f>
        <v>46212</v>
      </c>
      <c r="Z1037" s="175">
        <v>1.770216777463093E-2</v>
      </c>
      <c r="AA1037" s="177">
        <v>1.7382494115851799E-2</v>
      </c>
    </row>
    <row r="1038" spans="23:27" x14ac:dyDescent="0.2">
      <c r="W1038" s="173" t="str">
        <f t="shared" si="26"/>
        <v>1w</v>
      </c>
      <c r="X1038" s="180">
        <f>_xll.qlCalendarAdvance(LiborCalendar,X1037,W1038,"f",FALSE)</f>
        <v>46217</v>
      </c>
      <c r="Y1038" s="174">
        <f>_xll.qlInterestRateIndexValueDate(IborIndex,X1038)</f>
        <v>46219</v>
      </c>
      <c r="Z1038" s="175">
        <v>1.7734994517665928E-2</v>
      </c>
      <c r="AA1038" s="177">
        <v>1.741967913411302E-2</v>
      </c>
    </row>
    <row r="1039" spans="23:27" x14ac:dyDescent="0.2">
      <c r="W1039" s="173" t="str">
        <f t="shared" si="26"/>
        <v>1w</v>
      </c>
      <c r="X1039" s="180">
        <f>_xll.qlCalendarAdvance(LiborCalendar,X1038,W1039,"f",FALSE)</f>
        <v>46224</v>
      </c>
      <c r="Y1039" s="174">
        <f>_xll.qlInterestRateIndexValueDate(IborIndex,X1039)</f>
        <v>46226</v>
      </c>
      <c r="Z1039" s="175">
        <v>1.7770686535777295E-2</v>
      </c>
      <c r="AA1039" s="177">
        <v>1.745677499716991E-2</v>
      </c>
    </row>
    <row r="1040" spans="23:27" x14ac:dyDescent="0.2">
      <c r="W1040" s="173" t="str">
        <f t="shared" si="26"/>
        <v>1w</v>
      </c>
      <c r="X1040" s="180">
        <f>_xll.qlCalendarAdvance(LiborCalendar,X1039,W1040,"f",FALSE)</f>
        <v>46231</v>
      </c>
      <c r="Y1040" s="174">
        <f>_xll.qlInterestRateIndexValueDate(IborIndex,X1040)</f>
        <v>46233</v>
      </c>
      <c r="Z1040" s="175">
        <v>1.7797439024198287E-2</v>
      </c>
      <c r="AA1040" s="177">
        <v>1.7493781705022471E-2</v>
      </c>
    </row>
    <row r="1041" spans="23:27" x14ac:dyDescent="0.2">
      <c r="W1041" s="173" t="str">
        <f t="shared" si="26"/>
        <v>1w</v>
      </c>
      <c r="X1041" s="180">
        <f>_xll.qlCalendarAdvance(LiborCalendar,X1040,W1041,"f",FALSE)</f>
        <v>46238</v>
      </c>
      <c r="Y1041" s="174">
        <f>_xll.qlInterestRateIndexValueDate(IborIndex,X1041)</f>
        <v>46240</v>
      </c>
      <c r="Z1041" s="175">
        <v>1.7841773624600023E-2</v>
      </c>
      <c r="AA1041" s="177">
        <v>1.7530699257670701E-2</v>
      </c>
    </row>
    <row r="1042" spans="23:27" x14ac:dyDescent="0.2">
      <c r="W1042" s="173" t="str">
        <f t="shared" si="26"/>
        <v>1w</v>
      </c>
      <c r="X1042" s="180">
        <f>_xll.qlCalendarAdvance(LiborCalendar,X1041,W1042,"f",FALSE)</f>
        <v>46245</v>
      </c>
      <c r="Y1042" s="174">
        <f>_xll.qlInterestRateIndexValueDate(IborIndex,X1042)</f>
        <v>46247</v>
      </c>
      <c r="Z1042" s="175">
        <v>1.7877166876483289E-2</v>
      </c>
      <c r="AA1042" s="177">
        <v>1.7567527655114601E-2</v>
      </c>
    </row>
    <row r="1043" spans="23:27" x14ac:dyDescent="0.2">
      <c r="W1043" s="173" t="str">
        <f t="shared" si="26"/>
        <v>1w</v>
      </c>
      <c r="X1043" s="180">
        <f>_xll.qlCalendarAdvance(LiborCalendar,X1042,W1043,"f",FALSE)</f>
        <v>46252</v>
      </c>
      <c r="Y1043" s="174">
        <f>_xll.qlInterestRateIndexValueDate(IborIndex,X1043)</f>
        <v>46254</v>
      </c>
      <c r="Z1043" s="175">
        <v>1.7912458720712239E-2</v>
      </c>
      <c r="AA1043" s="177">
        <v>1.7604266897111032E-2</v>
      </c>
    </row>
    <row r="1044" spans="23:27" x14ac:dyDescent="0.2">
      <c r="W1044" s="173" t="str">
        <f t="shared" si="26"/>
        <v>1w</v>
      </c>
      <c r="X1044" s="180">
        <f>_xll.qlCalendarAdvance(LiborCalendar,X1043,W1044,"f",FALSE)</f>
        <v>46259</v>
      </c>
      <c r="Y1044" s="174">
        <f>_xll.qlInterestRateIndexValueDate(IborIndex,X1044)</f>
        <v>46261</v>
      </c>
      <c r="Z1044" s="175">
        <v>1.7938878338682192E-2</v>
      </c>
      <c r="AA1044" s="177">
        <v>1.7640916983903132E-2</v>
      </c>
    </row>
    <row r="1045" spans="23:27" x14ac:dyDescent="0.2">
      <c r="W1045" s="173" t="str">
        <f t="shared" ref="W1045:W1108" si="27">W1044</f>
        <v>1w</v>
      </c>
      <c r="X1045" s="180">
        <f>_xll.qlCalendarAdvance(LiborCalendar,X1044,W1045,"f",FALSE)</f>
        <v>46266</v>
      </c>
      <c r="Y1045" s="174">
        <f>_xll.qlInterestRateIndexValueDate(IborIndex,X1045)</f>
        <v>46268</v>
      </c>
      <c r="Z1045" s="175">
        <v>1.7968145801558151E-2</v>
      </c>
      <c r="AA1045" s="177">
        <v>1.7677477915409856E-2</v>
      </c>
    </row>
    <row r="1046" spans="23:27" x14ac:dyDescent="0.2">
      <c r="W1046" s="173" t="str">
        <f t="shared" si="27"/>
        <v>1w</v>
      </c>
      <c r="X1046" s="180">
        <f>_xll.qlCalendarAdvance(LiborCalendar,X1045,W1046,"f",FALSE)</f>
        <v>46273</v>
      </c>
      <c r="Y1046" s="174">
        <f>_xll.qlInterestRateIndexValueDate(IborIndex,X1046)</f>
        <v>46275</v>
      </c>
      <c r="Z1046" s="175">
        <v>1.8003158439225522E-2</v>
      </c>
      <c r="AA1046" s="177">
        <v>1.7713949691469111E-2</v>
      </c>
    </row>
    <row r="1047" spans="23:27" x14ac:dyDescent="0.2">
      <c r="W1047" s="173" t="str">
        <f t="shared" si="27"/>
        <v>1w</v>
      </c>
      <c r="X1047" s="180">
        <f>_xll.qlCalendarAdvance(LiborCalendar,X1046,W1047,"f",FALSE)</f>
        <v>46280</v>
      </c>
      <c r="Y1047" s="174">
        <f>_xll.qlInterestRateIndexValueDate(IborIndex,X1047)</f>
        <v>46282</v>
      </c>
      <c r="Z1047" s="175">
        <v>1.8038066238360788E-2</v>
      </c>
      <c r="AA1047" s="177">
        <v>1.7750332312161943E-2</v>
      </c>
    </row>
    <row r="1048" spans="23:27" x14ac:dyDescent="0.2">
      <c r="W1048" s="173" t="str">
        <f t="shared" si="27"/>
        <v>1w</v>
      </c>
      <c r="X1048" s="180">
        <f>_xll.qlCalendarAdvance(LiborCalendar,X1047,W1048,"f",FALSE)</f>
        <v>46287</v>
      </c>
      <c r="Y1048" s="174">
        <f>_xll.qlInterestRateIndexValueDate(IborIndex,X1048)</f>
        <v>46289</v>
      </c>
      <c r="Z1048" s="175">
        <v>1.8072868264651425E-2</v>
      </c>
      <c r="AA1048" s="177">
        <v>1.7786625777488352E-2</v>
      </c>
    </row>
    <row r="1049" spans="23:27" x14ac:dyDescent="0.2">
      <c r="W1049" s="173" t="str">
        <f t="shared" si="27"/>
        <v>1w</v>
      </c>
      <c r="X1049" s="180">
        <f>_xll.qlCalendarAdvance(LiborCalendar,X1048,W1049,"f",FALSE)</f>
        <v>46294</v>
      </c>
      <c r="Y1049" s="174">
        <f>_xll.qlInterestRateIndexValueDate(IborIndex,X1049)</f>
        <v>46296</v>
      </c>
      <c r="Z1049" s="175">
        <v>1.8110457731632303E-2</v>
      </c>
      <c r="AA1049" s="177">
        <v>1.7822830087286246E-2</v>
      </c>
    </row>
    <row r="1050" spans="23:27" x14ac:dyDescent="0.2">
      <c r="W1050" s="173" t="str">
        <f t="shared" si="27"/>
        <v>1w</v>
      </c>
      <c r="X1050" s="180">
        <f>_xll.qlCalendarAdvance(LiborCalendar,X1049,W1050,"f",FALSE)</f>
        <v>46301</v>
      </c>
      <c r="Y1050" s="174">
        <f>_xll.qlInterestRateIndexValueDate(IborIndex,X1050)</f>
        <v>46303</v>
      </c>
      <c r="Z1050" s="175">
        <v>1.8145039179389973E-2</v>
      </c>
      <c r="AA1050" s="177">
        <v>1.7858945241717716E-2</v>
      </c>
    </row>
    <row r="1051" spans="23:27" x14ac:dyDescent="0.2">
      <c r="W1051" s="173" t="str">
        <f t="shared" si="27"/>
        <v>1w</v>
      </c>
      <c r="X1051" s="180">
        <f>_xll.qlCalendarAdvance(LiborCalendar,X1050,W1051,"f",FALSE)</f>
        <v>46308</v>
      </c>
      <c r="Y1051" s="174">
        <f>_xll.qlInterestRateIndexValueDate(IborIndex,X1051)</f>
        <v>46310</v>
      </c>
      <c r="Z1051" s="175">
        <v>1.8179512028820833E-2</v>
      </c>
      <c r="AA1051" s="177">
        <v>1.7894971240539626E-2</v>
      </c>
    </row>
    <row r="1052" spans="23:27" x14ac:dyDescent="0.2">
      <c r="W1052" s="173" t="str">
        <f t="shared" si="27"/>
        <v>1w</v>
      </c>
      <c r="X1052" s="180">
        <f>_xll.qlCalendarAdvance(LiborCalendar,X1051,W1052,"f",FALSE)</f>
        <v>46315</v>
      </c>
      <c r="Y1052" s="174">
        <f>_xll.qlInterestRateIndexValueDate(IborIndex,X1052)</f>
        <v>46317</v>
      </c>
      <c r="Z1052" s="175">
        <v>1.8213875350449917E-2</v>
      </c>
      <c r="AA1052" s="177">
        <v>1.7930908083914066E-2</v>
      </c>
    </row>
    <row r="1053" spans="23:27" x14ac:dyDescent="0.2">
      <c r="W1053" s="173" t="str">
        <f t="shared" si="27"/>
        <v>1w</v>
      </c>
      <c r="X1053" s="180">
        <f>_xll.qlCalendarAdvance(LiborCalendar,X1052,W1053,"f",FALSE)</f>
        <v>46322</v>
      </c>
      <c r="Y1053" s="174">
        <f>_xll.qlInterestRateIndexValueDate(IborIndex,X1053)</f>
        <v>46324</v>
      </c>
      <c r="Z1053" s="175">
        <v>1.8250996824631566E-2</v>
      </c>
      <c r="AA1053" s="177">
        <v>1.796675577175999E-2</v>
      </c>
    </row>
    <row r="1054" spans="23:27" x14ac:dyDescent="0.2">
      <c r="W1054" s="173" t="str">
        <f t="shared" si="27"/>
        <v>1w</v>
      </c>
      <c r="X1054" s="180">
        <f>_xll.qlCalendarAdvance(LiborCalendar,X1053,W1054,"f",FALSE)</f>
        <v>46329</v>
      </c>
      <c r="Y1054" s="174">
        <f>_xll.qlInterestRateIndexValueDate(IborIndex,X1054)</f>
        <v>46331</v>
      </c>
      <c r="Z1054" s="175">
        <v>1.8282269692624292E-2</v>
      </c>
      <c r="AA1054" s="177">
        <v>1.8002513729378222E-2</v>
      </c>
    </row>
    <row r="1055" spans="23:27" x14ac:dyDescent="0.2">
      <c r="W1055" s="173" t="str">
        <f t="shared" si="27"/>
        <v>1w</v>
      </c>
      <c r="X1055" s="180">
        <f>_xll.qlCalendarAdvance(LiborCalendar,X1054,W1055,"f",FALSE)</f>
        <v>46336</v>
      </c>
      <c r="Y1055" s="174">
        <f>_xll.qlInterestRateIndexValueDate(IborIndex,X1055)</f>
        <v>46338</v>
      </c>
      <c r="Z1055" s="175">
        <v>1.8313442547998032E-2</v>
      </c>
      <c r="AA1055" s="177">
        <v>1.8038165868838885E-2</v>
      </c>
    </row>
    <row r="1056" spans="23:27" x14ac:dyDescent="0.2">
      <c r="W1056" s="173" t="str">
        <f t="shared" si="27"/>
        <v>1w</v>
      </c>
      <c r="X1056" s="180">
        <f>_xll.qlCalendarAdvance(LiborCalendar,X1055,W1056,"f",FALSE)</f>
        <v>46343</v>
      </c>
      <c r="Y1056" s="174">
        <f>_xll.qlInterestRateIndexValueDate(IborIndex,X1056)</f>
        <v>46345</v>
      </c>
      <c r="Z1056" s="175">
        <v>1.8347366042974673E-2</v>
      </c>
      <c r="AA1056" s="177">
        <v>1.8073704720511508E-2</v>
      </c>
    </row>
    <row r="1057" spans="23:27" x14ac:dyDescent="0.2">
      <c r="W1057" s="173" t="str">
        <f t="shared" si="27"/>
        <v>1w</v>
      </c>
      <c r="X1057" s="180">
        <f>_xll.qlCalendarAdvance(LiborCalendar,X1056,W1057,"f",FALSE)</f>
        <v>46350</v>
      </c>
      <c r="Y1057" s="174">
        <f>_xll.qlInterestRateIndexValueDate(IborIndex,X1057)</f>
        <v>46352</v>
      </c>
      <c r="Z1057" s="175">
        <v>1.8381177344884987E-2</v>
      </c>
      <c r="AA1057" s="177">
        <v>1.8109130284315045E-2</v>
      </c>
    </row>
    <row r="1058" spans="23:27" x14ac:dyDescent="0.2">
      <c r="W1058" s="173" t="str">
        <f t="shared" si="27"/>
        <v>1w</v>
      </c>
      <c r="X1058" s="180">
        <f>_xll.qlCalendarAdvance(LiborCalendar,X1057,W1058,"f",FALSE)</f>
        <v>46357</v>
      </c>
      <c r="Y1058" s="174">
        <f>_xll.qlInterestRateIndexValueDate(IborIndex,X1058)</f>
        <v>46359</v>
      </c>
      <c r="Z1058" s="175">
        <v>1.8417714089334476E-2</v>
      </c>
      <c r="AA1058" s="177">
        <v>1.8144442560330543E-2</v>
      </c>
    </row>
    <row r="1059" spans="23:27" x14ac:dyDescent="0.2">
      <c r="W1059" s="173" t="str">
        <f t="shared" si="27"/>
        <v>1w</v>
      </c>
      <c r="X1059" s="180">
        <f>_xll.qlCalendarAdvance(LiborCalendar,X1058,W1059,"f",FALSE)</f>
        <v>46364</v>
      </c>
      <c r="Y1059" s="174">
        <f>_xll.qlInterestRateIndexValueDate(IborIndex,X1059)</f>
        <v>46366</v>
      </c>
      <c r="Z1059" s="175">
        <v>1.8451294684216406E-2</v>
      </c>
      <c r="AA1059" s="177">
        <v>1.8179641548476955E-2</v>
      </c>
    </row>
    <row r="1060" spans="23:27" x14ac:dyDescent="0.2">
      <c r="W1060" s="173" t="str">
        <f t="shared" si="27"/>
        <v>1w</v>
      </c>
      <c r="X1060" s="180">
        <f>_xll.qlCalendarAdvance(LiborCalendar,X1059,W1060,"f",FALSE)</f>
        <v>46371</v>
      </c>
      <c r="Y1060" s="174">
        <f>_xll.qlInterestRateIndexValueDate(IborIndex,X1060)</f>
        <v>46373</v>
      </c>
      <c r="Z1060" s="175">
        <v>1.8484763065990083E-2</v>
      </c>
      <c r="AA1060" s="177">
        <v>1.8214727248754281E-2</v>
      </c>
    </row>
    <row r="1061" spans="23:27" x14ac:dyDescent="0.2">
      <c r="W1061" s="173" t="str">
        <f t="shared" si="27"/>
        <v>1w</v>
      </c>
      <c r="X1061" s="180">
        <f>_xll.qlCalendarAdvance(LiborCalendar,X1060,W1061,"f",FALSE)</f>
        <v>46378</v>
      </c>
      <c r="Y1061" s="174">
        <f>_xll.qlInterestRateIndexValueDate(IborIndex,X1061)</f>
        <v>46380</v>
      </c>
      <c r="Z1061" s="175">
        <v>1.8518119228992339E-2</v>
      </c>
      <c r="AA1061" s="177">
        <v>1.8261495684450901E-2</v>
      </c>
    </row>
    <row r="1062" spans="23:27" x14ac:dyDescent="0.2">
      <c r="W1062" s="173" t="str">
        <f t="shared" si="27"/>
        <v>1w</v>
      </c>
      <c r="X1062" s="180">
        <f>_xll.qlCalendarAdvance(LiborCalendar,X1061,W1062,"f",FALSE)</f>
        <v>46385</v>
      </c>
      <c r="Y1062" s="174">
        <f>_xll.qlInterestRateIndexValueDate(IborIndex,X1062)</f>
        <v>46391</v>
      </c>
      <c r="Z1062" s="175">
        <v>1.8570309315279275E-2</v>
      </c>
      <c r="AA1062" s="177">
        <v>1.8304427421081959E-2</v>
      </c>
    </row>
    <row r="1063" spans="23:27" x14ac:dyDescent="0.2">
      <c r="W1063" s="173" t="str">
        <f t="shared" si="27"/>
        <v>1w</v>
      </c>
      <c r="X1063" s="180">
        <f>_xll.qlCalendarAdvance(LiborCalendar,X1062,W1063,"f",FALSE)</f>
        <v>46392</v>
      </c>
      <c r="Y1063" s="174">
        <f>_xll.qlInterestRateIndexValueDate(IborIndex,X1063)</f>
        <v>46394</v>
      </c>
      <c r="Z1063" s="175">
        <v>1.8581688784697903E-2</v>
      </c>
      <c r="AA1063" s="177">
        <v>1.8319304621804422E-2</v>
      </c>
    </row>
    <row r="1064" spans="23:27" x14ac:dyDescent="0.2">
      <c r="W1064" s="173" t="str">
        <f t="shared" si="27"/>
        <v>1w</v>
      </c>
      <c r="X1064" s="180">
        <f>_xll.qlCalendarAdvance(LiborCalendar,X1063,W1064,"f",FALSE)</f>
        <v>46399</v>
      </c>
      <c r="Y1064" s="174">
        <f>_xll.qlInterestRateIndexValueDate(IborIndex,X1064)</f>
        <v>46401</v>
      </c>
      <c r="Z1064" s="175">
        <v>1.8614714576912033E-2</v>
      </c>
      <c r="AA1064" s="177">
        <v>1.8353937170119128E-2</v>
      </c>
    </row>
    <row r="1065" spans="23:27" x14ac:dyDescent="0.2">
      <c r="W1065" s="173" t="str">
        <f t="shared" si="27"/>
        <v>1w</v>
      </c>
      <c r="X1065" s="180">
        <f>_xll.qlCalendarAdvance(LiborCalendar,X1064,W1065,"f",FALSE)</f>
        <v>46406</v>
      </c>
      <c r="Y1065" s="174">
        <f>_xll.qlInterestRateIndexValueDate(IborIndex,X1065)</f>
        <v>46408</v>
      </c>
      <c r="Z1065" s="175">
        <v>1.8647628131077031E-2</v>
      </c>
      <c r="AA1065" s="177">
        <v>1.8388456430402655E-2</v>
      </c>
    </row>
    <row r="1066" spans="23:27" x14ac:dyDescent="0.2">
      <c r="W1066" s="173" t="str">
        <f t="shared" si="27"/>
        <v>1w</v>
      </c>
      <c r="X1066" s="180">
        <f>_xll.qlCalendarAdvance(LiborCalendar,X1065,W1066,"f",FALSE)</f>
        <v>46413</v>
      </c>
      <c r="Y1066" s="174">
        <f>_xll.qlInterestRateIndexValueDate(IborIndex,X1066)</f>
        <v>46415</v>
      </c>
      <c r="Z1066" s="175">
        <v>1.8680429441654788E-2</v>
      </c>
      <c r="AA1066" s="177">
        <v>1.8422862402655005E-2</v>
      </c>
    </row>
    <row r="1067" spans="23:27" x14ac:dyDescent="0.2">
      <c r="W1067" s="173" t="str">
        <f t="shared" si="27"/>
        <v>1w</v>
      </c>
      <c r="X1067" s="180">
        <f>_xll.qlCalendarAdvance(LiborCalendar,X1066,W1067,"f",FALSE)</f>
        <v>46420</v>
      </c>
      <c r="Y1067" s="174">
        <f>_xll.qlInterestRateIndexValueDate(IborIndex,X1067)</f>
        <v>46422</v>
      </c>
      <c r="Z1067" s="175">
        <v>1.871311850312574E-2</v>
      </c>
      <c r="AA1067" s="177">
        <v>1.8457155086714083E-2</v>
      </c>
    </row>
    <row r="1068" spans="23:27" x14ac:dyDescent="0.2">
      <c r="W1068" s="173" t="str">
        <f t="shared" si="27"/>
        <v>1w</v>
      </c>
      <c r="X1068" s="180">
        <f>_xll.qlCalendarAdvance(LiborCalendar,X1067,W1068,"f",FALSE)</f>
        <v>46427</v>
      </c>
      <c r="Y1068" s="174">
        <f>_xll.qlInterestRateIndexValueDate(IborIndex,X1068)</f>
        <v>46430</v>
      </c>
      <c r="Z1068" s="175">
        <v>1.8750339975580236E-2</v>
      </c>
      <c r="AA1068" s="177">
        <v>1.8502016241989848E-2</v>
      </c>
    </row>
    <row r="1069" spans="23:27" x14ac:dyDescent="0.2">
      <c r="W1069" s="173" t="str">
        <f t="shared" si="27"/>
        <v>1w</v>
      </c>
      <c r="X1069" s="180">
        <f>_xll.qlCalendarAdvance(LiborCalendar,X1068,W1069,"f",FALSE)</f>
        <v>46434</v>
      </c>
      <c r="Y1069" s="174">
        <f>_xll.qlInterestRateIndexValueDate(IborIndex,X1069)</f>
        <v>46436</v>
      </c>
      <c r="Z1069" s="175">
        <v>1.8778159856764811E-2</v>
      </c>
      <c r="AA1069" s="177">
        <v>1.852540059041452E-2</v>
      </c>
    </row>
    <row r="1070" spans="23:27" x14ac:dyDescent="0.2">
      <c r="W1070" s="173" t="str">
        <f t="shared" si="27"/>
        <v>1w</v>
      </c>
      <c r="X1070" s="180">
        <f>_xll.qlCalendarAdvance(LiborCalendar,X1069,W1070,"f",FALSE)</f>
        <v>46441</v>
      </c>
      <c r="Y1070" s="174">
        <f>_xll.qlInterestRateIndexValueDate(IborIndex,X1070)</f>
        <v>46443</v>
      </c>
      <c r="Z1070" s="175">
        <v>1.8810512137988317E-2</v>
      </c>
      <c r="AA1070" s="177">
        <v>1.8559353409893786E-2</v>
      </c>
    </row>
    <row r="1071" spans="23:27" x14ac:dyDescent="0.2">
      <c r="W1071" s="173" t="str">
        <f t="shared" si="27"/>
        <v>1w</v>
      </c>
      <c r="X1071" s="180">
        <f>_xll.qlCalendarAdvance(LiborCalendar,X1070,W1071,"f",FALSE)</f>
        <v>46448</v>
      </c>
      <c r="Y1071" s="174">
        <f>_xll.qlInterestRateIndexValueDate(IborIndex,X1071)</f>
        <v>46450</v>
      </c>
      <c r="Z1071" s="175">
        <v>1.885652426056399E-2</v>
      </c>
      <c r="AA1071" s="177">
        <v>1.8593192941179781E-2</v>
      </c>
    </row>
    <row r="1072" spans="23:27" x14ac:dyDescent="0.2">
      <c r="W1072" s="173" t="str">
        <f t="shared" si="27"/>
        <v>1w</v>
      </c>
      <c r="X1072" s="180">
        <f>_xll.qlCalendarAdvance(LiborCalendar,X1071,W1072,"f",FALSE)</f>
        <v>46455</v>
      </c>
      <c r="Y1072" s="174">
        <f>_xll.qlInterestRateIndexValueDate(IborIndex,X1072)</f>
        <v>46457</v>
      </c>
      <c r="Z1072" s="175">
        <v>1.8888620262655344E-2</v>
      </c>
      <c r="AA1072" s="177">
        <v>1.8626919184110413E-2</v>
      </c>
    </row>
    <row r="1073" spans="23:27" x14ac:dyDescent="0.2">
      <c r="W1073" s="173" t="str">
        <f t="shared" si="27"/>
        <v>1w</v>
      </c>
      <c r="X1073" s="180">
        <f>_xll.qlCalendarAdvance(LiborCalendar,X1072,W1073,"f",FALSE)</f>
        <v>46462</v>
      </c>
      <c r="Y1073" s="174">
        <f>_xll.qlInterestRateIndexValueDate(IborIndex,X1073)</f>
        <v>46464</v>
      </c>
      <c r="Z1073" s="175">
        <v>1.892334415392035E-2</v>
      </c>
      <c r="AA1073" s="177">
        <v>1.8660532138766728E-2</v>
      </c>
    </row>
    <row r="1074" spans="23:27" x14ac:dyDescent="0.2">
      <c r="W1074" s="173" t="str">
        <f t="shared" si="27"/>
        <v>1w</v>
      </c>
      <c r="X1074" s="180">
        <f>_xll.qlCalendarAdvance(LiborCalendar,X1073,W1074,"f",FALSE)</f>
        <v>46469</v>
      </c>
      <c r="Y1074" s="174">
        <f>_xll.qlInterestRateIndexValueDate(IborIndex,X1074)</f>
        <v>46471</v>
      </c>
      <c r="Z1074" s="175">
        <v>1.895247536448344E-2</v>
      </c>
      <c r="AA1074" s="177">
        <v>1.8705496959767531E-2</v>
      </c>
    </row>
    <row r="1075" spans="23:27" x14ac:dyDescent="0.2">
      <c r="W1075" s="173" t="str">
        <f t="shared" si="27"/>
        <v>1w</v>
      </c>
      <c r="X1075" s="180">
        <f>_xll.qlCalendarAdvance(LiborCalendar,X1074,W1075,"f",FALSE)</f>
        <v>46476</v>
      </c>
      <c r="Y1075" s="174">
        <f>_xll.qlInterestRateIndexValueDate(IborIndex,X1075)</f>
        <v>46478</v>
      </c>
      <c r="Z1075" s="175">
        <v>1.8976048944187668E-2</v>
      </c>
      <c r="AA1075" s="177">
        <v>1.8727418183094313E-2</v>
      </c>
    </row>
    <row r="1076" spans="23:27" x14ac:dyDescent="0.2">
      <c r="W1076" s="173" t="str">
        <f t="shared" si="27"/>
        <v>1w</v>
      </c>
      <c r="X1076" s="180">
        <f>_xll.qlCalendarAdvance(LiborCalendar,X1075,W1076,"f",FALSE)</f>
        <v>46483</v>
      </c>
      <c r="Y1076" s="174">
        <f>_xll.qlInterestRateIndexValueDate(IborIndex,X1076)</f>
        <v>46485</v>
      </c>
      <c r="Z1076" s="175">
        <v>1.9007714799217805E-2</v>
      </c>
      <c r="AA1076" s="177">
        <v>1.8760691272603491E-2</v>
      </c>
    </row>
    <row r="1077" spans="23:27" x14ac:dyDescent="0.2">
      <c r="W1077" s="173" t="str">
        <f t="shared" si="27"/>
        <v>1w</v>
      </c>
      <c r="X1077" s="180">
        <f>_xll.qlCalendarAdvance(LiborCalendar,X1076,W1077,"f",FALSE)</f>
        <v>46490</v>
      </c>
      <c r="Y1077" s="174">
        <f>_xll.qlInterestRateIndexValueDate(IborIndex,X1077)</f>
        <v>46492</v>
      </c>
      <c r="Z1077" s="175">
        <v>1.9039268343922531E-2</v>
      </c>
      <c r="AA1077" s="177">
        <v>1.879385107367626E-2</v>
      </c>
    </row>
    <row r="1078" spans="23:27" x14ac:dyDescent="0.2">
      <c r="W1078" s="173" t="str">
        <f t="shared" si="27"/>
        <v>1w</v>
      </c>
      <c r="X1078" s="180">
        <f>_xll.qlCalendarAdvance(LiborCalendar,X1077,W1078,"f",FALSE)</f>
        <v>46497</v>
      </c>
      <c r="Y1078" s="174">
        <f>_xll.qlInterestRateIndexValueDate(IborIndex,X1078)</f>
        <v>46499</v>
      </c>
      <c r="Z1078" s="175">
        <v>1.9070709572934337E-2</v>
      </c>
      <c r="AA1078" s="177">
        <v>1.8826897586393665E-2</v>
      </c>
    </row>
    <row r="1079" spans="23:27" x14ac:dyDescent="0.2">
      <c r="W1079" s="173" t="str">
        <f t="shared" si="27"/>
        <v>1w</v>
      </c>
      <c r="X1079" s="180">
        <f>_xll.qlCalendarAdvance(LiborCalendar,X1078,W1079,"f",FALSE)</f>
        <v>46504</v>
      </c>
      <c r="Y1079" s="174">
        <f>_xll.qlInterestRateIndexValueDate(IborIndex,X1079)</f>
        <v>46507</v>
      </c>
      <c r="Z1079" s="175">
        <v>1.9103801710776469E-2</v>
      </c>
      <c r="AA1079" s="177">
        <v>1.8873027398842446E-2</v>
      </c>
    </row>
    <row r="1080" spans="23:27" x14ac:dyDescent="0.2">
      <c r="W1080" s="173" t="str">
        <f t="shared" si="27"/>
        <v>1w</v>
      </c>
      <c r="X1080" s="180">
        <f>_xll.qlCalendarAdvance(LiborCalendar,X1079,W1080,"f",FALSE)</f>
        <v>46511</v>
      </c>
      <c r="Y1080" s="174">
        <f>_xll.qlInterestRateIndexValueDate(IborIndex,X1080)</f>
        <v>46513</v>
      </c>
      <c r="Z1080" s="175">
        <v>1.9141345055366511E-2</v>
      </c>
      <c r="AA1080" s="177">
        <v>1.8892650746114015E-2</v>
      </c>
    </row>
    <row r="1081" spans="23:27" x14ac:dyDescent="0.2">
      <c r="W1081" s="173" t="str">
        <f t="shared" si="27"/>
        <v>1w</v>
      </c>
      <c r="X1081" s="180">
        <f>_xll.qlCalendarAdvance(LiborCalendar,X1080,W1081,"f",FALSE)</f>
        <v>46518</v>
      </c>
      <c r="Y1081" s="174">
        <f>_xll.qlInterestRateIndexValueDate(IborIndex,X1081)</f>
        <v>46520</v>
      </c>
      <c r="Z1081" s="175">
        <v>1.9172430169509893E-2</v>
      </c>
      <c r="AA1081" s="177">
        <v>1.8925357393198006E-2</v>
      </c>
    </row>
    <row r="1082" spans="23:27" x14ac:dyDescent="0.2">
      <c r="W1082" s="173" t="str">
        <f t="shared" si="27"/>
        <v>1w</v>
      </c>
      <c r="X1082" s="180">
        <f>_xll.qlCalendarAdvance(LiborCalendar,X1081,W1082,"f",FALSE)</f>
        <v>46525</v>
      </c>
      <c r="Y1082" s="174">
        <f>_xll.qlInterestRateIndexValueDate(IborIndex,X1082)</f>
        <v>46527</v>
      </c>
      <c r="Z1082" s="175">
        <v>1.9203402935634214E-2</v>
      </c>
      <c r="AA1082" s="177">
        <v>1.8957950751683494E-2</v>
      </c>
    </row>
    <row r="1083" spans="23:27" x14ac:dyDescent="0.2">
      <c r="W1083" s="173" t="str">
        <f t="shared" si="27"/>
        <v>1w</v>
      </c>
      <c r="X1083" s="180">
        <f>_xll.qlCalendarAdvance(LiborCalendar,X1082,W1083,"f",FALSE)</f>
        <v>46532</v>
      </c>
      <c r="Y1083" s="174">
        <f>_xll.qlInterestRateIndexValueDate(IborIndex,X1083)</f>
        <v>46534</v>
      </c>
      <c r="Z1083" s="175">
        <v>1.923426334838204E-2</v>
      </c>
      <c r="AA1083" s="177">
        <v>1.8990430821489435E-2</v>
      </c>
    </row>
    <row r="1084" spans="23:27" x14ac:dyDescent="0.2">
      <c r="W1084" s="173" t="str">
        <f t="shared" si="27"/>
        <v>1w</v>
      </c>
      <c r="X1084" s="180">
        <f>_xll.qlCalendarAdvance(LiborCalendar,X1083,W1084,"f",FALSE)</f>
        <v>46539</v>
      </c>
      <c r="Y1084" s="174">
        <f>_xll.qlInterestRateIndexValueDate(IborIndex,X1084)</f>
        <v>46541</v>
      </c>
      <c r="Z1084" s="175">
        <v>1.9256998019196676E-2</v>
      </c>
      <c r="AA1084" s="177">
        <v>1.9022797602696873E-2</v>
      </c>
    </row>
    <row r="1085" spans="23:27" x14ac:dyDescent="0.2">
      <c r="W1085" s="173" t="str">
        <f t="shared" si="27"/>
        <v>1w</v>
      </c>
      <c r="X1085" s="180">
        <f>_xll.qlCalendarAdvance(LiborCalendar,X1084,W1085,"f",FALSE)</f>
        <v>46546</v>
      </c>
      <c r="Y1085" s="174">
        <f>_xll.qlInterestRateIndexValueDate(IborIndex,X1085)</f>
        <v>46548</v>
      </c>
      <c r="Z1085" s="175">
        <v>1.9287652889633286E-2</v>
      </c>
      <c r="AA1085" s="177">
        <v>1.9055051095224762E-2</v>
      </c>
    </row>
    <row r="1086" spans="23:27" x14ac:dyDescent="0.2">
      <c r="W1086" s="173" t="str">
        <f t="shared" si="27"/>
        <v>1w</v>
      </c>
      <c r="X1086" s="180">
        <f>_xll.qlCalendarAdvance(LiborCalendar,X1085,W1086,"f",FALSE)</f>
        <v>46553</v>
      </c>
      <c r="Y1086" s="174">
        <f>_xll.qlInterestRateIndexValueDate(IborIndex,X1086)</f>
        <v>46555</v>
      </c>
      <c r="Z1086" s="175">
        <v>1.9318195402113079E-2</v>
      </c>
      <c r="AA1086" s="177">
        <v>1.9087191298992057E-2</v>
      </c>
    </row>
    <row r="1087" spans="23:27" x14ac:dyDescent="0.2">
      <c r="W1087" s="173" t="str">
        <f t="shared" si="27"/>
        <v>1w</v>
      </c>
      <c r="X1087" s="180">
        <f>_xll.qlCalendarAdvance(LiborCalendar,X1086,W1087,"f",FALSE)</f>
        <v>46560</v>
      </c>
      <c r="Y1087" s="174">
        <f>_xll.qlInterestRateIndexValueDate(IborIndex,X1087)</f>
        <v>46562</v>
      </c>
      <c r="Z1087" s="175">
        <v>1.9348625551440644E-2</v>
      </c>
      <c r="AA1087" s="177">
        <v>1.9119218214079803E-2</v>
      </c>
    </row>
    <row r="1088" spans="23:27" x14ac:dyDescent="0.2">
      <c r="W1088" s="173" t="str">
        <f t="shared" si="27"/>
        <v>1w</v>
      </c>
      <c r="X1088" s="180">
        <f>_xll.qlCalendarAdvance(LiborCalendar,X1087,W1088,"f",FALSE)</f>
        <v>46567</v>
      </c>
      <c r="Y1088" s="174">
        <f>_xll.qlInterestRateIndexValueDate(IborIndex,X1088)</f>
        <v>46569</v>
      </c>
      <c r="Z1088" s="175">
        <v>1.9389524418196205E-2</v>
      </c>
      <c r="AA1088" s="177">
        <v>1.9151131840325908E-2</v>
      </c>
    </row>
    <row r="1089" spans="23:27" x14ac:dyDescent="0.2">
      <c r="W1089" s="173" t="str">
        <f t="shared" si="27"/>
        <v>1w</v>
      </c>
      <c r="X1089" s="180">
        <f>_xll.qlCalendarAdvance(LiborCalendar,X1088,W1089,"f",FALSE)</f>
        <v>46574</v>
      </c>
      <c r="Y1089" s="174">
        <f>_xll.qlInterestRateIndexValueDate(IborIndex,X1089)</f>
        <v>46576</v>
      </c>
      <c r="Z1089" s="175">
        <v>1.941970418958406E-2</v>
      </c>
      <c r="AA1089" s="177">
        <v>1.9182932177811418E-2</v>
      </c>
    </row>
    <row r="1090" spans="23:27" x14ac:dyDescent="0.2">
      <c r="W1090" s="173" t="str">
        <f t="shared" si="27"/>
        <v>1w</v>
      </c>
      <c r="X1090" s="180">
        <f>_xll.qlCalendarAdvance(LiborCalendar,X1089,W1090,"f",FALSE)</f>
        <v>46581</v>
      </c>
      <c r="Y1090" s="174">
        <f>_xll.qlInterestRateIndexValueDate(IborIndex,X1090)</f>
        <v>46583</v>
      </c>
      <c r="Z1090" s="175">
        <v>1.9447139897226452E-2</v>
      </c>
      <c r="AA1090" s="177">
        <v>1.9214619226536334E-2</v>
      </c>
    </row>
    <row r="1091" spans="23:27" x14ac:dyDescent="0.2">
      <c r="W1091" s="173" t="str">
        <f t="shared" si="27"/>
        <v>1w</v>
      </c>
      <c r="X1091" s="180">
        <f>_xll.qlCalendarAdvance(LiborCalendar,X1090,W1091,"f",FALSE)</f>
        <v>46588</v>
      </c>
      <c r="Y1091" s="174">
        <f>_xll.qlInterestRateIndexValueDate(IborIndex,X1091)</f>
        <v>46590</v>
      </c>
      <c r="Z1091" s="175">
        <v>1.9477101292463952E-2</v>
      </c>
      <c r="AA1091" s="177">
        <v>1.9246192986338562E-2</v>
      </c>
    </row>
    <row r="1092" spans="23:27" x14ac:dyDescent="0.2">
      <c r="W1092" s="173" t="str">
        <f t="shared" si="27"/>
        <v>1w</v>
      </c>
      <c r="X1092" s="180">
        <f>_xll.qlCalendarAdvance(LiborCalendar,X1091,W1092,"f",FALSE)</f>
        <v>46595</v>
      </c>
      <c r="Y1092" s="174">
        <f>_xll.qlInterestRateIndexValueDate(IborIndex,X1092)</f>
        <v>46597</v>
      </c>
      <c r="Z1092" s="175">
        <v>1.9506950286990343E-2</v>
      </c>
      <c r="AA1092" s="177">
        <v>1.9277653457218102E-2</v>
      </c>
    </row>
    <row r="1093" spans="23:27" x14ac:dyDescent="0.2">
      <c r="W1093" s="173" t="str">
        <f t="shared" si="27"/>
        <v>1w</v>
      </c>
      <c r="X1093" s="180">
        <f>_xll.qlCalendarAdvance(LiborCalendar,X1092,W1093,"f",FALSE)</f>
        <v>46602</v>
      </c>
      <c r="Y1093" s="174">
        <f>_xll.qlInterestRateIndexValueDate(IborIndex,X1093)</f>
        <v>46604</v>
      </c>
      <c r="Z1093" s="175">
        <v>1.9536686875643312E-2</v>
      </c>
      <c r="AA1093" s="177">
        <v>1.9309000639256002E-2</v>
      </c>
    </row>
    <row r="1094" spans="23:27" x14ac:dyDescent="0.2">
      <c r="W1094" s="173" t="str">
        <f t="shared" si="27"/>
        <v>1w</v>
      </c>
      <c r="X1094" s="180">
        <f>_xll.qlCalendarAdvance(LiborCalendar,X1093,W1094,"f",FALSE)</f>
        <v>46609</v>
      </c>
      <c r="Y1094" s="174">
        <f>_xll.qlInterestRateIndexValueDate(IborIndex,X1094)</f>
        <v>46611</v>
      </c>
      <c r="Z1094" s="175">
        <v>1.95663110532803E-2</v>
      </c>
      <c r="AA1094" s="177">
        <v>1.9340234532290168E-2</v>
      </c>
    </row>
    <row r="1095" spans="23:27" x14ac:dyDescent="0.2">
      <c r="W1095" s="173" t="str">
        <f t="shared" si="27"/>
        <v>1w</v>
      </c>
      <c r="X1095" s="180">
        <f>_xll.qlCalendarAdvance(LiborCalendar,X1094,W1095,"f",FALSE)</f>
        <v>46616</v>
      </c>
      <c r="Y1095" s="174">
        <f>_xll.qlInterestRateIndexValueDate(IborIndex,X1095)</f>
        <v>46618</v>
      </c>
      <c r="Z1095" s="175">
        <v>1.9595822814776377E-2</v>
      </c>
      <c r="AA1095" s="177">
        <v>1.93713551363206E-2</v>
      </c>
    </row>
    <row r="1096" spans="23:27" x14ac:dyDescent="0.2">
      <c r="W1096" s="173" t="str">
        <f t="shared" si="27"/>
        <v>1w</v>
      </c>
      <c r="X1096" s="180">
        <f>_xll.qlCalendarAdvance(LiborCalendar,X1095,W1096,"f",FALSE)</f>
        <v>46623</v>
      </c>
      <c r="Y1096" s="174">
        <f>_xll.qlInterestRateIndexValueDate(IborIndex,X1096)</f>
        <v>46625</v>
      </c>
      <c r="Z1096" s="175">
        <v>1.9625222155027666E-2</v>
      </c>
      <c r="AA1096" s="177">
        <v>1.9402362451428345E-2</v>
      </c>
    </row>
    <row r="1097" spans="23:27" x14ac:dyDescent="0.2">
      <c r="W1097" s="173" t="str">
        <f t="shared" si="27"/>
        <v>1w</v>
      </c>
      <c r="X1097" s="180">
        <f>_xll.qlCalendarAdvance(LiborCalendar,X1096,W1097,"f",FALSE)</f>
        <v>46630</v>
      </c>
      <c r="Y1097" s="174">
        <f>_xll.qlInterestRateIndexValueDate(IborIndex,X1097)</f>
        <v>46632</v>
      </c>
      <c r="Z1097" s="175">
        <v>1.9644157186137202E-2</v>
      </c>
      <c r="AA1097" s="177">
        <v>1.9433256477451311E-2</v>
      </c>
    </row>
    <row r="1098" spans="23:27" x14ac:dyDescent="0.2">
      <c r="W1098" s="173" t="str">
        <f t="shared" si="27"/>
        <v>1w</v>
      </c>
      <c r="X1098" s="180">
        <f>_xll.qlCalendarAdvance(LiborCalendar,X1097,W1098,"f",FALSE)</f>
        <v>46637</v>
      </c>
      <c r="Y1098" s="174">
        <f>_xll.qlInterestRateIndexValueDate(IborIndex,X1098)</f>
        <v>46639</v>
      </c>
      <c r="Z1098" s="175">
        <v>1.9673357447112107E-2</v>
      </c>
      <c r="AA1098" s="177">
        <v>1.9464037214470542E-2</v>
      </c>
    </row>
    <row r="1099" spans="23:27" x14ac:dyDescent="0.2">
      <c r="W1099" s="173" t="str">
        <f t="shared" si="27"/>
        <v>1w</v>
      </c>
      <c r="X1099" s="180">
        <f>_xll.qlCalendarAdvance(LiborCalendar,X1098,W1099,"f",FALSE)</f>
        <v>46644</v>
      </c>
      <c r="Y1099" s="174">
        <f>_xll.qlInterestRateIndexValueDate(IborIndex,X1099)</f>
        <v>46646</v>
      </c>
      <c r="Z1099" s="175">
        <v>1.9702445288185495E-2</v>
      </c>
      <c r="AA1099" s="177">
        <v>1.9494704662242901E-2</v>
      </c>
    </row>
    <row r="1100" spans="23:27" x14ac:dyDescent="0.2">
      <c r="W1100" s="173" t="str">
        <f t="shared" si="27"/>
        <v>1w</v>
      </c>
      <c r="X1100" s="180">
        <f>_xll.qlCalendarAdvance(LiborCalendar,X1099,W1100,"f",FALSE)</f>
        <v>46651</v>
      </c>
      <c r="Y1100" s="174">
        <f>_xll.qlInterestRateIndexValueDate(IborIndex,X1100)</f>
        <v>46654</v>
      </c>
      <c r="Z1100" s="175">
        <v>1.97355508717914E-2</v>
      </c>
      <c r="AA1100" s="177">
        <v>1.9535012433740121E-2</v>
      </c>
    </row>
    <row r="1101" spans="23:27" x14ac:dyDescent="0.2">
      <c r="W1101" s="173" t="str">
        <f t="shared" si="27"/>
        <v>1w</v>
      </c>
      <c r="X1101" s="180">
        <f>_xll.qlCalendarAdvance(LiborCalendar,X1100,W1101,"f",FALSE)</f>
        <v>46658</v>
      </c>
      <c r="Y1101" s="174">
        <f>_xll.qlInterestRateIndexValueDate(IborIndex,X1101)</f>
        <v>46660</v>
      </c>
      <c r="Z1101" s="175">
        <v>1.9762846645976058E-2</v>
      </c>
      <c r="AA1101" s="177">
        <v>1.9555699690614325E-2</v>
      </c>
    </row>
    <row r="1102" spans="23:27" x14ac:dyDescent="0.2">
      <c r="W1102" s="173" t="str">
        <f t="shared" si="27"/>
        <v>1w</v>
      </c>
      <c r="X1102" s="180">
        <f>_xll.qlCalendarAdvance(LiborCalendar,X1101,W1102,"f",FALSE)</f>
        <v>46665</v>
      </c>
      <c r="Y1102" s="174">
        <f>_xll.qlInterestRateIndexValueDate(IborIndex,X1102)</f>
        <v>46667</v>
      </c>
      <c r="Z1102" s="175">
        <v>1.9791590737328859E-2</v>
      </c>
      <c r="AA1102" s="177">
        <v>1.9586027271051298E-2</v>
      </c>
    </row>
    <row r="1103" spans="23:27" x14ac:dyDescent="0.2">
      <c r="W1103" s="173" t="str">
        <f t="shared" si="27"/>
        <v>1w</v>
      </c>
      <c r="X1103" s="180">
        <f>_xll.qlCalendarAdvance(LiborCalendar,X1102,W1103,"f",FALSE)</f>
        <v>46672</v>
      </c>
      <c r="Y1103" s="174">
        <f>_xll.qlInterestRateIndexValueDate(IborIndex,X1103)</f>
        <v>46674</v>
      </c>
      <c r="Z1103" s="175">
        <v>1.983041724217461E-2</v>
      </c>
      <c r="AA1103" s="177">
        <v>1.9616241562241399E-2</v>
      </c>
    </row>
    <row r="1104" spans="23:27" x14ac:dyDescent="0.2">
      <c r="W1104" s="173" t="str">
        <f t="shared" si="27"/>
        <v>1w</v>
      </c>
      <c r="X1104" s="180">
        <f>_xll.qlCalendarAdvance(LiborCalendar,X1103,W1104,"f",FALSE)</f>
        <v>46679</v>
      </c>
      <c r="Y1104" s="174">
        <f>_xll.qlInterestRateIndexValueDate(IborIndex,X1104)</f>
        <v>46681</v>
      </c>
      <c r="Z1104" s="175">
        <v>1.9848741584025279E-2</v>
      </c>
      <c r="AA1104" s="177">
        <v>1.9646342564265673E-2</v>
      </c>
    </row>
    <row r="1105" spans="23:27" x14ac:dyDescent="0.2">
      <c r="W1105" s="173" t="str">
        <f t="shared" si="27"/>
        <v>1w</v>
      </c>
      <c r="X1105" s="180">
        <f>_xll.qlCalendarAdvance(LiborCalendar,X1104,W1105,"f",FALSE)</f>
        <v>46686</v>
      </c>
      <c r="Y1105" s="174">
        <f>_xll.qlInterestRateIndexValueDate(IborIndex,X1105)</f>
        <v>46688</v>
      </c>
      <c r="Z1105" s="175">
        <v>1.9877148329642907E-2</v>
      </c>
      <c r="AA1105" s="177">
        <v>1.9676330276962029E-2</v>
      </c>
    </row>
    <row r="1106" spans="23:27" x14ac:dyDescent="0.2">
      <c r="W1106" s="173" t="str">
        <f t="shared" si="27"/>
        <v>1w</v>
      </c>
      <c r="X1106" s="180">
        <f>_xll.qlCalendarAdvance(LiborCalendar,X1105,W1106,"f",FALSE)</f>
        <v>46693</v>
      </c>
      <c r="Y1106" s="174">
        <f>_xll.qlInterestRateIndexValueDate(IborIndex,X1106)</f>
        <v>46695</v>
      </c>
      <c r="Z1106" s="175">
        <v>1.9913031280005326E-2</v>
      </c>
      <c r="AA1106" s="177">
        <v>1.9706204700411512E-2</v>
      </c>
    </row>
    <row r="1107" spans="23:27" x14ac:dyDescent="0.2">
      <c r="W1107" s="173" t="str">
        <f t="shared" si="27"/>
        <v>1w</v>
      </c>
      <c r="X1107" s="180">
        <f>_xll.qlCalendarAdvance(LiborCalendar,X1106,W1107,"f",FALSE)</f>
        <v>46700</v>
      </c>
      <c r="Y1107" s="174">
        <f>_xll.qlInterestRateIndexValueDate(IborIndex,X1107)</f>
        <v>46702</v>
      </c>
      <c r="Z1107" s="175">
        <v>1.9931100313556039E-2</v>
      </c>
      <c r="AA1107" s="177">
        <v>1.9735965834533076E-2</v>
      </c>
    </row>
    <row r="1108" spans="23:27" x14ac:dyDescent="0.2">
      <c r="W1108" s="173" t="str">
        <f t="shared" si="27"/>
        <v>1w</v>
      </c>
      <c r="X1108" s="180">
        <f>_xll.qlCalendarAdvance(LiborCalendar,X1107,W1108,"f",FALSE)</f>
        <v>46707</v>
      </c>
      <c r="Y1108" s="174">
        <f>_xll.qlInterestRateIndexValueDate(IborIndex,X1108)</f>
        <v>46709</v>
      </c>
      <c r="Z1108" s="175">
        <v>1.9959176156259487E-2</v>
      </c>
      <c r="AA1108" s="177">
        <v>1.9765613679326721E-2</v>
      </c>
    </row>
    <row r="1109" spans="23:27" x14ac:dyDescent="0.2">
      <c r="W1109" s="173" t="str">
        <f t="shared" ref="W1109:W1172" si="28">W1108</f>
        <v>1w</v>
      </c>
      <c r="X1109" s="180">
        <f>_xll.qlCalendarAdvance(LiborCalendar,X1108,W1109,"f",FALSE)</f>
        <v>46714</v>
      </c>
      <c r="Y1109" s="174">
        <f>_xll.qlInterestRateIndexValueDate(IborIndex,X1109)</f>
        <v>46716</v>
      </c>
      <c r="Z1109" s="175">
        <v>1.9987139530684289E-2</v>
      </c>
      <c r="AA1109" s="177">
        <v>1.9795148234711402E-2</v>
      </c>
    </row>
    <row r="1110" spans="23:27" x14ac:dyDescent="0.2">
      <c r="W1110" s="173" t="str">
        <f t="shared" si="28"/>
        <v>1w</v>
      </c>
      <c r="X1110" s="180">
        <f>_xll.qlCalendarAdvance(LiborCalendar,X1109,W1110,"f",FALSE)</f>
        <v>46721</v>
      </c>
      <c r="Y1110" s="174">
        <f>_xll.qlInterestRateIndexValueDate(IborIndex,X1110)</f>
        <v>46723</v>
      </c>
      <c r="Z1110" s="175">
        <v>2.0017495087618596E-2</v>
      </c>
      <c r="AA1110" s="177">
        <v>1.9824569500687117E-2</v>
      </c>
    </row>
    <row r="1111" spans="23:27" x14ac:dyDescent="0.2">
      <c r="W1111" s="173" t="str">
        <f t="shared" si="28"/>
        <v>1w</v>
      </c>
      <c r="X1111" s="180">
        <f>_xll.qlCalendarAdvance(LiborCalendar,X1110,W1111,"f",FALSE)</f>
        <v>46728</v>
      </c>
      <c r="Y1111" s="174">
        <f>_xll.qlInterestRateIndexValueDate(IborIndex,X1111)</f>
        <v>46730</v>
      </c>
      <c r="Z1111" s="175">
        <v>2.004522701175054E-2</v>
      </c>
      <c r="AA1111" s="177">
        <v>1.9853877477334914E-2</v>
      </c>
    </row>
    <row r="1112" spans="23:27" x14ac:dyDescent="0.2">
      <c r="W1112" s="173" t="str">
        <f t="shared" si="28"/>
        <v>1w</v>
      </c>
      <c r="X1112" s="180">
        <f>_xll.qlCalendarAdvance(LiborCalendar,X1111,W1112,"f",FALSE)</f>
        <v>46735</v>
      </c>
      <c r="Y1112" s="174">
        <f>_xll.qlInterestRateIndexValueDate(IborIndex,X1112)</f>
        <v>46737</v>
      </c>
      <c r="Z1112" s="175">
        <v>2.0072846449003218E-2</v>
      </c>
      <c r="AA1112" s="177">
        <v>1.9883072164411653E-2</v>
      </c>
    </row>
    <row r="1113" spans="23:27" x14ac:dyDescent="0.2">
      <c r="W1113" s="173" t="str">
        <f t="shared" si="28"/>
        <v>1w</v>
      </c>
      <c r="X1113" s="180">
        <f>_xll.qlCalendarAdvance(LiborCalendar,X1112,W1113,"f",FALSE)</f>
        <v>46742</v>
      </c>
      <c r="Y1113" s="174">
        <f>_xll.qlInterestRateIndexValueDate(IborIndex,X1113)</f>
        <v>46745</v>
      </c>
      <c r="Z1113" s="175">
        <v>2.0109240607394187E-2</v>
      </c>
      <c r="AA1113" s="177">
        <v>1.9926755425974108E-2</v>
      </c>
    </row>
    <row r="1114" spans="23:27" x14ac:dyDescent="0.2">
      <c r="W1114" s="173" t="str">
        <f t="shared" si="28"/>
        <v>1w</v>
      </c>
      <c r="X1114" s="180">
        <f>_xll.qlCalendarAdvance(LiborCalendar,X1113,W1114,"f",FALSE)</f>
        <v>46750</v>
      </c>
      <c r="Y1114" s="174">
        <f>_xll.qlInterestRateIndexValueDate(IborIndex,X1114)</f>
        <v>46756</v>
      </c>
      <c r="Z1114" s="175">
        <v>2.0144772454581506E-2</v>
      </c>
      <c r="AA1114" s="177">
        <v>1.9961743815116728E-2</v>
      </c>
    </row>
    <row r="1115" spans="23:27" x14ac:dyDescent="0.2">
      <c r="W1115" s="173" t="str">
        <f t="shared" si="28"/>
        <v>1w</v>
      </c>
      <c r="X1115" s="180">
        <f>_xll.qlCalendarAdvance(LiborCalendar,X1114,W1115,"f",FALSE)</f>
        <v>46757</v>
      </c>
      <c r="Y1115" s="174">
        <f>_xll.qlInterestRateIndexValueDate(IborIndex,X1115)</f>
        <v>46759</v>
      </c>
      <c r="Z1115" s="175">
        <v>2.0156446848306649E-2</v>
      </c>
      <c r="AA1115" s="177">
        <v>1.99792926662327E-2</v>
      </c>
    </row>
    <row r="1116" spans="23:27" x14ac:dyDescent="0.2">
      <c r="W1116" s="173" t="str">
        <f t="shared" si="28"/>
        <v>1w</v>
      </c>
      <c r="X1116" s="180">
        <f>_xll.qlCalendarAdvance(LiborCalendar,X1115,W1116,"f",FALSE)</f>
        <v>46764</v>
      </c>
      <c r="Y1116" s="174">
        <f>_xll.qlInterestRateIndexValueDate(IborIndex,X1116)</f>
        <v>46766</v>
      </c>
      <c r="Z1116" s="175">
        <v>2.0183606741369129E-2</v>
      </c>
      <c r="AA1116" s="177">
        <v>2.0008004971924603E-2</v>
      </c>
    </row>
    <row r="1117" spans="23:27" x14ac:dyDescent="0.2">
      <c r="W1117" s="173" t="str">
        <f t="shared" si="28"/>
        <v>1w</v>
      </c>
      <c r="X1117" s="180">
        <f>_xll.qlCalendarAdvance(LiborCalendar,X1116,W1117,"f",FALSE)</f>
        <v>46771</v>
      </c>
      <c r="Y1117" s="174">
        <f>_xll.qlInterestRateIndexValueDate(IborIndex,X1117)</f>
        <v>46773</v>
      </c>
      <c r="Z1117" s="175">
        <v>2.0210654128164009E-2</v>
      </c>
      <c r="AA1117" s="177">
        <v>2.0036603980102912E-2</v>
      </c>
    </row>
    <row r="1118" spans="23:27" x14ac:dyDescent="0.2">
      <c r="W1118" s="173" t="str">
        <f t="shared" si="28"/>
        <v>1w</v>
      </c>
      <c r="X1118" s="180">
        <f>_xll.qlCalendarAdvance(LiborCalendar,X1117,W1118,"f",FALSE)</f>
        <v>46778</v>
      </c>
      <c r="Y1118" s="174">
        <f>_xll.qlInterestRateIndexValueDate(IborIndex,X1118)</f>
        <v>46780</v>
      </c>
      <c r="Z1118" s="175">
        <v>2.0237589004112537E-2</v>
      </c>
      <c r="AA1118" s="177">
        <v>2.0065089690686582E-2</v>
      </c>
    </row>
    <row r="1119" spans="23:27" x14ac:dyDescent="0.2">
      <c r="W1119" s="173" t="str">
        <f t="shared" si="28"/>
        <v>1w</v>
      </c>
      <c r="X1119" s="180">
        <f>_xll.qlCalendarAdvance(LiborCalendar,X1118,W1119,"f",FALSE)</f>
        <v>46785</v>
      </c>
      <c r="Y1119" s="174">
        <f>_xll.qlInterestRateIndexValueDate(IborIndex,X1119)</f>
        <v>46787</v>
      </c>
      <c r="Z1119" s="175">
        <v>2.0264411364654841E-2</v>
      </c>
      <c r="AA1119" s="177">
        <v>2.0093462103594566E-2</v>
      </c>
    </row>
    <row r="1120" spans="23:27" x14ac:dyDescent="0.2">
      <c r="W1120" s="173" t="str">
        <f t="shared" si="28"/>
        <v>1w</v>
      </c>
      <c r="X1120" s="180">
        <f>_xll.qlCalendarAdvance(LiborCalendar,X1119,W1120,"f",FALSE)</f>
        <v>46792</v>
      </c>
      <c r="Y1120" s="174">
        <f>_xll.qlInterestRateIndexValueDate(IborIndex,X1120)</f>
        <v>46797</v>
      </c>
      <c r="Z1120" s="175">
        <v>2.0302533833788852E-2</v>
      </c>
      <c r="AA1120" s="177">
        <v>2.0128665156103898E-2</v>
      </c>
    </row>
    <row r="1121" spans="23:27" x14ac:dyDescent="0.2">
      <c r="W1121" s="173" t="str">
        <f t="shared" si="28"/>
        <v>1w</v>
      </c>
      <c r="X1121" s="180">
        <f>_xll.qlCalendarAdvance(LiborCalendar,X1120,W1121,"f",FALSE)</f>
        <v>46799</v>
      </c>
      <c r="Y1121" s="174">
        <f>_xll.qlInterestRateIndexValueDate(IborIndex,X1121)</f>
        <v>46801</v>
      </c>
      <c r="Z1121" s="175">
        <v>2.031771852137837E-2</v>
      </c>
      <c r="AA1121" s="177">
        <v>2.0149867036059293E-2</v>
      </c>
    </row>
    <row r="1122" spans="23:27" x14ac:dyDescent="0.2">
      <c r="W1122" s="173" t="str">
        <f t="shared" si="28"/>
        <v>1w</v>
      </c>
      <c r="X1122" s="180">
        <f>_xll.qlCalendarAdvance(LiborCalendar,X1121,W1122,"f",FALSE)</f>
        <v>46806</v>
      </c>
      <c r="Y1122" s="174">
        <f>_xll.qlInterestRateIndexValueDate(IborIndex,X1122)</f>
        <v>46808</v>
      </c>
      <c r="Z1122" s="175">
        <v>2.0344203308535602E-2</v>
      </c>
      <c r="AA1122" s="177">
        <v>2.0177899555480959E-2</v>
      </c>
    </row>
    <row r="1123" spans="23:27" x14ac:dyDescent="0.2">
      <c r="W1123" s="173" t="str">
        <f t="shared" si="28"/>
        <v>1w</v>
      </c>
      <c r="X1123" s="180">
        <f>_xll.qlCalendarAdvance(LiborCalendar,X1122,W1123,"f",FALSE)</f>
        <v>46813</v>
      </c>
      <c r="Y1123" s="174">
        <f>_xll.qlInterestRateIndexValueDate(IborIndex,X1123)</f>
        <v>46815</v>
      </c>
      <c r="Z1123" s="175">
        <v>2.0377830560566929E-2</v>
      </c>
      <c r="AA1123" s="177">
        <v>2.0205818776848721E-2</v>
      </c>
    </row>
    <row r="1124" spans="23:27" x14ac:dyDescent="0.2">
      <c r="W1124" s="173" t="str">
        <f t="shared" si="28"/>
        <v>1w</v>
      </c>
      <c r="X1124" s="180">
        <f>_xll.qlCalendarAdvance(LiborCalendar,X1123,W1124,"f",FALSE)</f>
        <v>46820</v>
      </c>
      <c r="Y1124" s="174">
        <f>_xll.qlInterestRateIndexValueDate(IborIndex,X1124)</f>
        <v>46822</v>
      </c>
      <c r="Z1124" s="175">
        <v>2.0404070594368953E-2</v>
      </c>
      <c r="AA1124" s="177">
        <v>2.0233624700216616E-2</v>
      </c>
    </row>
    <row r="1125" spans="23:27" x14ac:dyDescent="0.2">
      <c r="W1125" s="173" t="str">
        <f t="shared" si="28"/>
        <v>1w</v>
      </c>
      <c r="X1125" s="180">
        <f>_xll.qlCalendarAdvance(LiborCalendar,X1124,W1125,"f",FALSE)</f>
        <v>46827</v>
      </c>
      <c r="Y1125" s="174">
        <f>_xll.qlInterestRateIndexValueDate(IborIndex,X1125)</f>
        <v>46829</v>
      </c>
      <c r="Z1125" s="175">
        <v>2.0432602201544879E-2</v>
      </c>
      <c r="AA1125" s="177">
        <v>2.0261317325368514E-2</v>
      </c>
    </row>
    <row r="1126" spans="23:27" x14ac:dyDescent="0.2">
      <c r="W1126" s="173" t="str">
        <f t="shared" si="28"/>
        <v>1w</v>
      </c>
      <c r="X1126" s="180">
        <f>_xll.qlCalendarAdvance(LiborCalendar,X1125,W1126,"f",FALSE)</f>
        <v>46834</v>
      </c>
      <c r="Y1126" s="174">
        <f>_xll.qlInterestRateIndexValueDate(IborIndex,X1126)</f>
        <v>46836</v>
      </c>
      <c r="Z1126" s="175">
        <v>2.0456212987398855E-2</v>
      </c>
      <c r="AA1126" s="177">
        <v>2.0288896652331433E-2</v>
      </c>
    </row>
    <row r="1127" spans="23:27" x14ac:dyDescent="0.2">
      <c r="W1127" s="173" t="str">
        <f t="shared" si="28"/>
        <v>1w</v>
      </c>
      <c r="X1127" s="180">
        <f>_xll.qlCalendarAdvance(LiborCalendar,X1126,W1127,"f",FALSE)</f>
        <v>46841</v>
      </c>
      <c r="Y1127" s="174">
        <f>_xll.qlInterestRateIndexValueDate(IborIndex,X1127)</f>
        <v>46843</v>
      </c>
      <c r="Z1127" s="175">
        <v>2.0474939153502118E-2</v>
      </c>
      <c r="AA1127" s="177">
        <v>2.0316362680997312E-2</v>
      </c>
    </row>
    <row r="1128" spans="23:27" x14ac:dyDescent="0.2">
      <c r="W1128" s="173" t="str">
        <f t="shared" si="28"/>
        <v>1w</v>
      </c>
      <c r="X1128" s="180">
        <f>_xll.qlCalendarAdvance(LiborCalendar,X1127,W1128,"f",FALSE)</f>
        <v>46848</v>
      </c>
      <c r="Y1128" s="174">
        <f>_xll.qlInterestRateIndexValueDate(IborIndex,X1128)</f>
        <v>46850</v>
      </c>
      <c r="Z1128" s="175">
        <v>2.051028951909719E-2</v>
      </c>
      <c r="AA1128" s="177">
        <v>2.0343715411285105E-2</v>
      </c>
    </row>
    <row r="1129" spans="23:27" x14ac:dyDescent="0.2">
      <c r="W1129" s="173" t="str">
        <f t="shared" si="28"/>
        <v>1w</v>
      </c>
      <c r="X1129" s="180">
        <f>_xll.qlCalendarAdvance(LiborCalendar,X1128,W1129,"f",FALSE)</f>
        <v>46855</v>
      </c>
      <c r="Y1129" s="174">
        <f>_xll.qlInterestRateIndexValueDate(IborIndex,X1129)</f>
        <v>46861</v>
      </c>
      <c r="Z1129" s="175">
        <v>2.0543454744243579E-2</v>
      </c>
      <c r="AA1129" s="177">
        <v>2.0381456859108749E-2</v>
      </c>
    </row>
    <row r="1130" spans="23:27" x14ac:dyDescent="0.2">
      <c r="W1130" s="173" t="str">
        <f t="shared" si="28"/>
        <v>1w</v>
      </c>
      <c r="X1130" s="180">
        <f>_xll.qlCalendarAdvance(LiborCalendar,X1129,W1130,"f",FALSE)</f>
        <v>46862</v>
      </c>
      <c r="Y1130" s="174">
        <f>_xll.qlInterestRateIndexValueDate(IborIndex,X1130)</f>
        <v>46864</v>
      </c>
      <c r="Z1130" s="175">
        <v>2.0559146949952419E-2</v>
      </c>
      <c r="AA1130" s="177">
        <v>2.0398080976402243E-2</v>
      </c>
    </row>
    <row r="1131" spans="23:27" x14ac:dyDescent="0.2">
      <c r="W1131" s="173" t="str">
        <f t="shared" si="28"/>
        <v>1w</v>
      </c>
      <c r="X1131" s="180">
        <f>_xll.qlCalendarAdvance(LiborCalendar,X1130,W1131,"f",FALSE)</f>
        <v>46869</v>
      </c>
      <c r="Y1131" s="174">
        <f>_xll.qlInterestRateIndexValueDate(IborIndex,X1131)</f>
        <v>46871</v>
      </c>
      <c r="Z1131" s="175">
        <v>2.0586963621844537E-2</v>
      </c>
      <c r="AA1131" s="177">
        <v>2.0427589861356787E-2</v>
      </c>
    </row>
    <row r="1132" spans="23:27" x14ac:dyDescent="0.2">
      <c r="W1132" s="173" t="str">
        <f t="shared" si="28"/>
        <v>1w</v>
      </c>
      <c r="X1132" s="180">
        <f>_xll.qlCalendarAdvance(LiborCalendar,X1131,W1132,"f",FALSE)</f>
        <v>46876</v>
      </c>
      <c r="Y1132" s="174">
        <f>_xll.qlInterestRateIndexValueDate(IborIndex,X1132)</f>
        <v>46881</v>
      </c>
      <c r="Z1132" s="175">
        <v>2.0618408008155887E-2</v>
      </c>
      <c r="AA1132" s="177">
        <v>2.0458512153830322E-2</v>
      </c>
    </row>
    <row r="1133" spans="23:27" x14ac:dyDescent="0.2">
      <c r="W1133" s="173" t="str">
        <f t="shared" si="28"/>
        <v>1w</v>
      </c>
      <c r="X1133" s="180">
        <f>_xll.qlCalendarAdvance(LiborCalendar,X1132,W1133,"f",FALSE)</f>
        <v>46883</v>
      </c>
      <c r="Y1133" s="174">
        <f>_xll.qlInterestRateIndexValueDate(IborIndex,X1133)</f>
        <v>46885</v>
      </c>
      <c r="Z1133" s="175">
        <v>2.0635165311958064E-2</v>
      </c>
      <c r="AA1133" s="177">
        <v>2.0478779584324206E-2</v>
      </c>
    </row>
    <row r="1134" spans="23:27" x14ac:dyDescent="0.2">
      <c r="W1134" s="173" t="str">
        <f t="shared" si="28"/>
        <v>1w</v>
      </c>
      <c r="X1134" s="180">
        <f>_xll.qlCalendarAdvance(LiborCalendar,X1133,W1134,"f",FALSE)</f>
        <v>46890</v>
      </c>
      <c r="Y1134" s="174">
        <f>_xll.qlInterestRateIndexValueDate(IborIndex,X1134)</f>
        <v>46892</v>
      </c>
      <c r="Z1134" s="175">
        <v>2.0660279578833488E-2</v>
      </c>
      <c r="AA1134" s="177">
        <v>2.050545252272255E-2</v>
      </c>
    </row>
    <row r="1135" spans="23:27" x14ac:dyDescent="0.2">
      <c r="W1135" s="173" t="str">
        <f t="shared" si="28"/>
        <v>1w</v>
      </c>
      <c r="X1135" s="180">
        <f>_xll.qlCalendarAdvance(LiborCalendar,X1134,W1135,"f",FALSE)</f>
        <v>46897</v>
      </c>
      <c r="Y1135" s="174">
        <f>_xll.qlInterestRateIndexValueDate(IborIndex,X1135)</f>
        <v>46899</v>
      </c>
      <c r="Z1135" s="175">
        <v>2.0685281244925729E-2</v>
      </c>
      <c r="AA1135" s="177">
        <v>2.053448183852391E-2</v>
      </c>
    </row>
    <row r="1136" spans="23:27" x14ac:dyDescent="0.2">
      <c r="W1136" s="173" t="str">
        <f t="shared" si="28"/>
        <v>1w</v>
      </c>
      <c r="X1136" s="180">
        <f>_xll.qlCalendarAdvance(LiborCalendar,X1135,W1136,"f",FALSE)</f>
        <v>46904</v>
      </c>
      <c r="Y1136" s="174">
        <f>_xll.qlInterestRateIndexValueDate(IborIndex,X1136)</f>
        <v>46906</v>
      </c>
      <c r="Z1136" s="175">
        <v>2.0710170305933358E-2</v>
      </c>
      <c r="AA1136" s="177">
        <v>2.0558458502710025E-2</v>
      </c>
    </row>
    <row r="1137" spans="23:27" x14ac:dyDescent="0.2">
      <c r="W1137" s="173" t="str">
        <f t="shared" si="28"/>
        <v>1w</v>
      </c>
      <c r="X1137" s="180">
        <f>_xll.qlCalendarAdvance(LiborCalendar,X1136,W1137,"f",FALSE)</f>
        <v>46911</v>
      </c>
      <c r="Y1137" s="174">
        <f>_xll.qlInterestRateIndexValueDate(IborIndex,X1137)</f>
        <v>46913</v>
      </c>
      <c r="Z1137" s="175">
        <v>2.0734946757572242E-2</v>
      </c>
      <c r="AA1137" s="177">
        <v>2.0584791544191093E-2</v>
      </c>
    </row>
    <row r="1138" spans="23:27" x14ac:dyDescent="0.2">
      <c r="W1138" s="173" t="str">
        <f t="shared" si="28"/>
        <v>1w</v>
      </c>
      <c r="X1138" s="180">
        <f>_xll.qlCalendarAdvance(LiborCalendar,X1137,W1138,"f",FALSE)</f>
        <v>46918</v>
      </c>
      <c r="Y1138" s="174">
        <f>_xll.qlInterestRateIndexValueDate(IborIndex,X1138)</f>
        <v>46920</v>
      </c>
      <c r="Z1138" s="175">
        <v>2.0759610595578109E-2</v>
      </c>
      <c r="AA1138" s="177">
        <v>2.0611011286510626E-2</v>
      </c>
    </row>
    <row r="1139" spans="23:27" x14ac:dyDescent="0.2">
      <c r="W1139" s="173" t="str">
        <f t="shared" si="28"/>
        <v>1w</v>
      </c>
      <c r="X1139" s="180">
        <f>_xll.qlCalendarAdvance(LiborCalendar,X1138,W1139,"f",FALSE)</f>
        <v>46925</v>
      </c>
      <c r="Y1139" s="174">
        <f>_xll.qlInterestRateIndexValueDate(IborIndex,X1139)</f>
        <v>46927</v>
      </c>
      <c r="Z1139" s="175">
        <v>2.0788784633758627E-2</v>
      </c>
      <c r="AA1139" s="177">
        <v>2.0637117729641611E-2</v>
      </c>
    </row>
    <row r="1140" spans="23:27" x14ac:dyDescent="0.2">
      <c r="W1140" s="173" t="str">
        <f t="shared" si="28"/>
        <v>1w</v>
      </c>
      <c r="X1140" s="180">
        <f>_xll.qlCalendarAdvance(LiborCalendar,X1139,W1140,"f",FALSE)</f>
        <v>46932</v>
      </c>
      <c r="Y1140" s="174">
        <f>_xll.qlInterestRateIndexValueDate(IborIndex,X1140)</f>
        <v>46934</v>
      </c>
      <c r="Z1140" s="175">
        <v>2.0801682004273115E-2</v>
      </c>
      <c r="AA1140" s="177">
        <v>2.0663110873475981E-2</v>
      </c>
    </row>
    <row r="1141" spans="23:27" x14ac:dyDescent="0.2">
      <c r="W1141" s="173" t="str">
        <f t="shared" si="28"/>
        <v>1w</v>
      </c>
      <c r="X1141" s="180">
        <f>_xll.qlCalendarAdvance(LiborCalendar,X1140,W1141,"f",FALSE)</f>
        <v>46939</v>
      </c>
      <c r="Y1141" s="174">
        <f>_xll.qlInterestRateIndexValueDate(IborIndex,X1141)</f>
        <v>46941</v>
      </c>
      <c r="Z1141" s="175">
        <v>2.0835224780699622E-2</v>
      </c>
      <c r="AA1141" s="177">
        <v>2.0688990718013743E-2</v>
      </c>
    </row>
    <row r="1142" spans="23:27" x14ac:dyDescent="0.2">
      <c r="W1142" s="173" t="str">
        <f t="shared" si="28"/>
        <v>1w</v>
      </c>
      <c r="X1142" s="180">
        <f>_xll.qlCalendarAdvance(LiborCalendar,X1141,W1142,"f",FALSE)</f>
        <v>46946</v>
      </c>
      <c r="Y1142" s="174">
        <f>_xll.qlInterestRateIndexValueDate(IborIndex,X1142)</f>
        <v>46948</v>
      </c>
      <c r="Z1142" s="175">
        <v>2.0857139726674041E-2</v>
      </c>
      <c r="AA1142" s="177">
        <v>2.0714757263092801E-2</v>
      </c>
    </row>
    <row r="1143" spans="23:27" x14ac:dyDescent="0.2">
      <c r="W1143" s="173" t="str">
        <f t="shared" si="28"/>
        <v>1w</v>
      </c>
      <c r="X1143" s="180">
        <f>_xll.qlCalendarAdvance(LiborCalendar,X1142,W1143,"f",FALSE)</f>
        <v>46953</v>
      </c>
      <c r="Y1143" s="174">
        <f>_xll.qlInterestRateIndexValueDate(IborIndex,X1143)</f>
        <v>46955</v>
      </c>
      <c r="Z1143" s="175">
        <v>2.0881240433234433E-2</v>
      </c>
      <c r="AA1143" s="177">
        <v>2.0740410508659123E-2</v>
      </c>
    </row>
    <row r="1144" spans="23:27" x14ac:dyDescent="0.2">
      <c r="W1144" s="173" t="str">
        <f t="shared" si="28"/>
        <v>1w</v>
      </c>
      <c r="X1144" s="180">
        <f>_xll.qlCalendarAdvance(LiborCalendar,X1143,W1144,"f",FALSE)</f>
        <v>46960</v>
      </c>
      <c r="Y1144" s="174">
        <f>_xll.qlInterestRateIndexValueDate(IborIndex,X1144)</f>
        <v>46962</v>
      </c>
      <c r="Z1144" s="175">
        <v>2.0905228500985414E-2</v>
      </c>
      <c r="AA1144" s="177">
        <v>2.0765950454685694E-2</v>
      </c>
    </row>
    <row r="1145" spans="23:27" x14ac:dyDescent="0.2">
      <c r="W1145" s="173" t="str">
        <f t="shared" si="28"/>
        <v>1w</v>
      </c>
      <c r="X1145" s="180">
        <f>_xll.qlCalendarAdvance(LiborCalendar,X1144,W1145,"f",FALSE)</f>
        <v>46967</v>
      </c>
      <c r="Y1145" s="174">
        <f>_xll.qlInterestRateIndexValueDate(IborIndex,X1145)</f>
        <v>46969</v>
      </c>
      <c r="Z1145" s="175">
        <v>2.0929103925797093E-2</v>
      </c>
      <c r="AA1145" s="177">
        <v>2.0791377101064455E-2</v>
      </c>
    </row>
    <row r="1146" spans="23:27" x14ac:dyDescent="0.2">
      <c r="W1146" s="173" t="str">
        <f t="shared" si="28"/>
        <v>1w</v>
      </c>
      <c r="X1146" s="180">
        <f>_xll.qlCalendarAdvance(LiborCalendar,X1145,W1146,"f",FALSE)</f>
        <v>46974</v>
      </c>
      <c r="Y1146" s="174">
        <f>_xll.qlInterestRateIndexValueDate(IborIndex,X1146)</f>
        <v>46976</v>
      </c>
      <c r="Z1146" s="175">
        <v>2.0955131789869547E-2</v>
      </c>
      <c r="AA1146" s="177">
        <v>2.0816690447741374E-2</v>
      </c>
    </row>
    <row r="1147" spans="23:27" x14ac:dyDescent="0.2">
      <c r="W1147" s="173" t="str">
        <f t="shared" si="28"/>
        <v>1w</v>
      </c>
      <c r="X1147" s="180">
        <f>_xll.qlCalendarAdvance(LiborCalendar,X1146,W1147,"f",FALSE)</f>
        <v>46981</v>
      </c>
      <c r="Y1147" s="174">
        <f>_xll.qlInterestRateIndexValueDate(IborIndex,X1147)</f>
        <v>46983</v>
      </c>
      <c r="Z1147" s="175">
        <v>2.0976516830187138E-2</v>
      </c>
      <c r="AA1147" s="177">
        <v>2.0841890494662417E-2</v>
      </c>
    </row>
    <row r="1148" spans="23:27" x14ac:dyDescent="0.2">
      <c r="W1148" s="173" t="str">
        <f t="shared" si="28"/>
        <v>1w</v>
      </c>
      <c r="X1148" s="180">
        <f>_xll.qlCalendarAdvance(LiborCalendar,X1147,W1148,"f",FALSE)</f>
        <v>46988</v>
      </c>
      <c r="Y1148" s="174">
        <f>_xll.qlInterestRateIndexValueDate(IborIndex,X1148)</f>
        <v>46990</v>
      </c>
      <c r="Z1148" s="175">
        <v>2.100005430160598E-2</v>
      </c>
      <c r="AA1148" s="177">
        <v>2.0869360702223116E-2</v>
      </c>
    </row>
    <row r="1149" spans="23:27" x14ac:dyDescent="0.2">
      <c r="W1149" s="173" t="str">
        <f t="shared" si="28"/>
        <v>1w</v>
      </c>
      <c r="X1149" s="180">
        <f>_xll.qlCalendarAdvance(LiborCalendar,X1148,W1149,"f",FALSE)</f>
        <v>46995</v>
      </c>
      <c r="Y1149" s="174">
        <f>_xll.qlInterestRateIndexValueDate(IborIndex,X1149)</f>
        <v>46997</v>
      </c>
      <c r="Z1149" s="175">
        <v>2.1014493428536663E-2</v>
      </c>
      <c r="AA1149" s="177">
        <v>2.0891950688858667E-2</v>
      </c>
    </row>
    <row r="1150" spans="23:27" x14ac:dyDescent="0.2">
      <c r="W1150" s="173" t="str">
        <f t="shared" si="28"/>
        <v>1w</v>
      </c>
      <c r="X1150" s="180">
        <f>_xll.qlCalendarAdvance(LiborCalendar,X1149,W1150,"f",FALSE)</f>
        <v>47002</v>
      </c>
      <c r="Y1150" s="174">
        <f>_xll.qlInterestRateIndexValueDate(IborIndex,X1150)</f>
        <v>47004</v>
      </c>
      <c r="Z1150" s="175">
        <v>2.103783234445257E-2</v>
      </c>
      <c r="AA1150" s="177">
        <v>2.0916810835998799E-2</v>
      </c>
    </row>
    <row r="1151" spans="23:27" x14ac:dyDescent="0.2">
      <c r="W1151" s="173" t="str">
        <f t="shared" si="28"/>
        <v>1w</v>
      </c>
      <c r="X1151" s="180">
        <f>_xll.qlCalendarAdvance(LiborCalendar,X1150,W1151,"f",FALSE)</f>
        <v>47009</v>
      </c>
      <c r="Y1151" s="174">
        <f>_xll.qlInterestRateIndexValueDate(IborIndex,X1151)</f>
        <v>47011</v>
      </c>
      <c r="Z1151" s="175">
        <v>2.1061058614436114E-2</v>
      </c>
      <c r="AA1151" s="177">
        <v>2.0941557683112903E-2</v>
      </c>
    </row>
    <row r="1152" spans="23:27" x14ac:dyDescent="0.2">
      <c r="W1152" s="173" t="str">
        <f t="shared" si="28"/>
        <v>1w</v>
      </c>
      <c r="X1152" s="180">
        <f>_xll.qlCalendarAdvance(LiborCalendar,X1151,W1152,"f",FALSE)</f>
        <v>47016</v>
      </c>
      <c r="Y1152" s="174">
        <f>_xll.qlInterestRateIndexValueDate(IborIndex,X1152)</f>
        <v>47021</v>
      </c>
      <c r="Z1152" s="175">
        <v>2.1096267875324204E-2</v>
      </c>
      <c r="AA1152" s="177">
        <v>2.0972004323940308E-2</v>
      </c>
    </row>
    <row r="1153" spans="23:27" x14ac:dyDescent="0.2">
      <c r="W1153" s="173" t="str">
        <f t="shared" si="28"/>
        <v>1w</v>
      </c>
      <c r="X1153" s="180">
        <f>_xll.qlCalendarAdvance(LiborCalendar,X1152,W1153,"f",FALSE)</f>
        <v>47023</v>
      </c>
      <c r="Y1153" s="174">
        <f>_xll.qlInterestRateIndexValueDate(IborIndex,X1153)</f>
        <v>47025</v>
      </c>
      <c r="Z1153" s="175">
        <v>2.1107173200980607E-2</v>
      </c>
      <c r="AA1153" s="177">
        <v>2.0990711476830775E-2</v>
      </c>
    </row>
    <row r="1154" spans="23:27" x14ac:dyDescent="0.2">
      <c r="W1154" s="173" t="str">
        <f t="shared" si="28"/>
        <v>1w</v>
      </c>
      <c r="X1154" s="180">
        <f>_xll.qlCalendarAdvance(LiborCalendar,X1153,W1154,"f",FALSE)</f>
        <v>47030</v>
      </c>
      <c r="Y1154" s="174">
        <f>_xll.qlInterestRateIndexValueDate(IborIndex,X1154)</f>
        <v>47032</v>
      </c>
      <c r="Z1154" s="175">
        <v>2.1132275253564137E-2</v>
      </c>
      <c r="AA1154" s="177">
        <v>2.1015118423326488E-2</v>
      </c>
    </row>
    <row r="1155" spans="23:27" x14ac:dyDescent="0.2">
      <c r="W1155" s="173" t="str">
        <f t="shared" si="28"/>
        <v>1w</v>
      </c>
      <c r="X1155" s="180">
        <f>_xll.qlCalendarAdvance(LiborCalendar,X1154,W1155,"f",FALSE)</f>
        <v>47037</v>
      </c>
      <c r="Y1155" s="174">
        <f>_xll.qlInterestRateIndexValueDate(IborIndex,X1155)</f>
        <v>47039</v>
      </c>
      <c r="Z1155" s="175">
        <v>2.1155044183243831E-2</v>
      </c>
      <c r="AA1155" s="177">
        <v>2.1039412069526014E-2</v>
      </c>
    </row>
    <row r="1156" spans="23:27" x14ac:dyDescent="0.2">
      <c r="W1156" s="173" t="str">
        <f t="shared" si="28"/>
        <v>1w</v>
      </c>
      <c r="X1156" s="180">
        <f>_xll.qlCalendarAdvance(LiborCalendar,X1155,W1156,"f",FALSE)</f>
        <v>47044</v>
      </c>
      <c r="Y1156" s="174">
        <f>_xll.qlInterestRateIndexValueDate(IborIndex,X1156)</f>
        <v>47046</v>
      </c>
      <c r="Z1156" s="175">
        <v>2.1177700442185733E-2</v>
      </c>
      <c r="AA1156" s="177">
        <v>2.1063592415321301E-2</v>
      </c>
    </row>
    <row r="1157" spans="23:27" x14ac:dyDescent="0.2">
      <c r="W1157" s="173" t="str">
        <f t="shared" si="28"/>
        <v>1w</v>
      </c>
      <c r="X1157" s="180">
        <f>_xll.qlCalendarAdvance(LiborCalendar,X1156,W1157,"f",FALSE)</f>
        <v>47051</v>
      </c>
      <c r="Y1157" s="174">
        <f>_xll.qlInterestRateIndexValueDate(IborIndex,X1157)</f>
        <v>47053</v>
      </c>
      <c r="Z1157" s="175">
        <v>2.1200244026552469E-2</v>
      </c>
      <c r="AA1157" s="177">
        <v>2.1087659460631295E-2</v>
      </c>
    </row>
    <row r="1158" spans="23:27" x14ac:dyDescent="0.2">
      <c r="W1158" s="173" t="str">
        <f t="shared" si="28"/>
        <v>1w</v>
      </c>
      <c r="X1158" s="180">
        <f>_xll.qlCalendarAdvance(LiborCalendar,X1157,W1158,"f",FALSE)</f>
        <v>47058</v>
      </c>
      <c r="Y1158" s="174">
        <f>_xll.qlInterestRateIndexValueDate(IborIndex,X1158)</f>
        <v>47063</v>
      </c>
      <c r="Z1158" s="175">
        <v>2.123443707678405E-2</v>
      </c>
      <c r="AA1158" s="177">
        <v>2.1117215324785166E-2</v>
      </c>
    </row>
    <row r="1159" spans="23:27" x14ac:dyDescent="0.2">
      <c r="W1159" s="173" t="str">
        <f t="shared" si="28"/>
        <v>1w</v>
      </c>
      <c r="X1159" s="180">
        <f>_xll.qlCalendarAdvance(LiborCalendar,X1158,W1159,"f",FALSE)</f>
        <v>47065</v>
      </c>
      <c r="Y1159" s="174">
        <f>_xll.qlInterestRateIndexValueDate(IborIndex,X1159)</f>
        <v>47067</v>
      </c>
      <c r="Z1159" s="175">
        <v>2.1242813055368966E-2</v>
      </c>
      <c r="AA1159" s="177">
        <v>2.1135453649579288E-2</v>
      </c>
    </row>
    <row r="1160" spans="23:27" x14ac:dyDescent="0.2">
      <c r="W1160" s="173" t="str">
        <f t="shared" si="28"/>
        <v>1w</v>
      </c>
      <c r="X1160" s="180">
        <f>_xll.qlCalendarAdvance(LiborCalendar,X1159,W1160,"f",FALSE)</f>
        <v>47072</v>
      </c>
      <c r="Y1160" s="174">
        <f>_xll.qlInterestRateIndexValueDate(IborIndex,X1160)</f>
        <v>47074</v>
      </c>
      <c r="Z1160" s="175">
        <v>2.1265025338227966E-2</v>
      </c>
      <c r="AA1160" s="177">
        <v>2.1159180793082214E-2</v>
      </c>
    </row>
    <row r="1161" spans="23:27" x14ac:dyDescent="0.2">
      <c r="W1161" s="173" t="str">
        <f t="shared" si="28"/>
        <v>1w</v>
      </c>
      <c r="X1161" s="180">
        <f>_xll.qlCalendarAdvance(LiborCalendar,X1160,W1161,"f",FALSE)</f>
        <v>47079</v>
      </c>
      <c r="Y1161" s="174">
        <f>_xll.qlInterestRateIndexValueDate(IborIndex,X1161)</f>
        <v>47081</v>
      </c>
      <c r="Z1161" s="175">
        <v>2.1287124936894827E-2</v>
      </c>
      <c r="AA1161" s="177">
        <v>2.1182794635856709E-2</v>
      </c>
    </row>
    <row r="1162" spans="23:27" x14ac:dyDescent="0.2">
      <c r="W1162" s="173" t="str">
        <f t="shared" si="28"/>
        <v>1w</v>
      </c>
      <c r="X1162" s="180">
        <f>_xll.qlCalendarAdvance(LiborCalendar,X1161,W1162,"f",FALSE)</f>
        <v>47086</v>
      </c>
      <c r="Y1162" s="174">
        <f>_xll.qlInterestRateIndexValueDate(IborIndex,X1162)</f>
        <v>47088</v>
      </c>
      <c r="Z1162" s="175">
        <v>2.1311271696819303E-2</v>
      </c>
      <c r="AA1162" s="177">
        <v>2.1206295177821726E-2</v>
      </c>
    </row>
    <row r="1163" spans="23:27" x14ac:dyDescent="0.2">
      <c r="W1163" s="173" t="str">
        <f t="shared" si="28"/>
        <v>1w</v>
      </c>
      <c r="X1163" s="180">
        <f>_xll.qlCalendarAdvance(LiborCalendar,X1162,W1163,"f",FALSE)</f>
        <v>47093</v>
      </c>
      <c r="Y1163" s="174">
        <f>_xll.qlInterestRateIndexValueDate(IborIndex,X1163)</f>
        <v>47095</v>
      </c>
      <c r="Z1163" s="175">
        <v>2.1333139154237325E-2</v>
      </c>
      <c r="AA1163" s="177">
        <v>2.122968241892324E-2</v>
      </c>
    </row>
    <row r="1164" spans="23:27" x14ac:dyDescent="0.2">
      <c r="W1164" s="173" t="str">
        <f t="shared" si="28"/>
        <v>1w</v>
      </c>
      <c r="X1164" s="180">
        <f>_xll.qlCalendarAdvance(LiborCalendar,X1163,W1164,"f",FALSE)</f>
        <v>47100</v>
      </c>
      <c r="Y1164" s="174">
        <f>_xll.qlInterestRateIndexValueDate(IborIndex,X1164)</f>
        <v>47102</v>
      </c>
      <c r="Z1164" s="175">
        <v>2.1354893910758819E-2</v>
      </c>
      <c r="AA1164" s="177">
        <v>2.1252956359107216E-2</v>
      </c>
    </row>
    <row r="1165" spans="23:27" x14ac:dyDescent="0.2">
      <c r="W1165" s="173" t="str">
        <f t="shared" si="28"/>
        <v>1w</v>
      </c>
      <c r="X1165" s="180">
        <f>_xll.qlCalendarAdvance(LiborCalendar,X1164,W1165,"f",FALSE)</f>
        <v>47107</v>
      </c>
      <c r="Y1165" s="174">
        <f>_xll.qlInterestRateIndexValueDate(IborIndex,X1165)</f>
        <v>47109</v>
      </c>
      <c r="Z1165" s="175">
        <v>2.1376535962699263E-2</v>
      </c>
      <c r="AA1165" s="177">
        <v>2.1280655431204387E-2</v>
      </c>
    </row>
    <row r="1166" spans="23:27" x14ac:dyDescent="0.2">
      <c r="W1166" s="173" t="str">
        <f t="shared" si="28"/>
        <v>1w</v>
      </c>
      <c r="X1166" s="180">
        <f>_xll.qlCalendarAdvance(LiborCalendar,X1165,W1166,"f",FALSE)</f>
        <v>47114</v>
      </c>
      <c r="Y1166" s="174">
        <f>_xll.qlInterestRateIndexValueDate(IborIndex,X1166)</f>
        <v>47116</v>
      </c>
      <c r="Z1166" s="175">
        <v>2.139806530639389E-2</v>
      </c>
      <c r="AA1166" s="177">
        <v>2.1301427080877844E-2</v>
      </c>
    </row>
    <row r="1167" spans="23:27" x14ac:dyDescent="0.2">
      <c r="W1167" s="173" t="str">
        <f t="shared" si="28"/>
        <v>1w</v>
      </c>
      <c r="X1167" s="180">
        <f>_xll.qlCalendarAdvance(LiborCalendar,X1166,W1167,"f",FALSE)</f>
        <v>47121</v>
      </c>
      <c r="Y1167" s="174">
        <f>_xll.qlInterestRateIndexValueDate(IborIndex,X1167)</f>
        <v>47123</v>
      </c>
      <c r="Z1167" s="175">
        <v>2.1417355953757253E-2</v>
      </c>
      <c r="AA1167" s="177">
        <v>2.1322098373397495E-2</v>
      </c>
    </row>
    <row r="1168" spans="23:27" x14ac:dyDescent="0.2">
      <c r="W1168" s="173" t="str">
        <f t="shared" si="28"/>
        <v>1w</v>
      </c>
      <c r="X1168" s="180">
        <f>_xll.qlCalendarAdvance(LiborCalendar,X1167,W1168,"f",FALSE)</f>
        <v>47128</v>
      </c>
      <c r="Y1168" s="174">
        <f>_xll.qlInterestRateIndexValueDate(IborIndex,X1168)</f>
        <v>47130</v>
      </c>
      <c r="Z1168" s="175">
        <v>2.1438666659926706E-2</v>
      </c>
      <c r="AA1168" s="177">
        <v>2.134491910920892E-2</v>
      </c>
    </row>
    <row r="1169" spans="23:27" x14ac:dyDescent="0.2">
      <c r="W1169" s="173" t="str">
        <f t="shared" si="28"/>
        <v>1w</v>
      </c>
      <c r="X1169" s="180">
        <f>_xll.qlCalendarAdvance(LiborCalendar,X1168,W1169,"f",FALSE)</f>
        <v>47135</v>
      </c>
      <c r="Y1169" s="174">
        <f>_xll.qlInterestRateIndexValueDate(IborIndex,X1169)</f>
        <v>47137</v>
      </c>
      <c r="Z1169" s="175">
        <v>2.1459864652660227E-2</v>
      </c>
      <c r="AA1169" s="177">
        <v>2.136762654375161E-2</v>
      </c>
    </row>
    <row r="1170" spans="23:27" x14ac:dyDescent="0.2">
      <c r="W1170" s="173" t="str">
        <f t="shared" si="28"/>
        <v>1w</v>
      </c>
      <c r="X1170" s="180">
        <f>_xll.qlCalendarAdvance(LiborCalendar,X1169,W1170,"f",FALSE)</f>
        <v>47142</v>
      </c>
      <c r="Y1170" s="174">
        <f>_xll.qlInterestRateIndexValueDate(IborIndex,X1170)</f>
        <v>47144</v>
      </c>
      <c r="Z1170" s="175">
        <v>2.1480949928387193E-2</v>
      </c>
      <c r="AA1170" s="177">
        <v>2.1390220676998549E-2</v>
      </c>
    </row>
    <row r="1171" spans="23:27" x14ac:dyDescent="0.2">
      <c r="W1171" s="173" t="str">
        <f t="shared" si="28"/>
        <v>1w</v>
      </c>
      <c r="X1171" s="180">
        <f>_xll.qlCalendarAdvance(LiborCalendar,X1170,W1171,"f",FALSE)</f>
        <v>47149</v>
      </c>
      <c r="Y1171" s="174">
        <f>_xll.qlInterestRateIndexValueDate(IborIndex,X1171)</f>
        <v>47151</v>
      </c>
      <c r="Z1171" s="175">
        <v>2.1501922483556406E-2</v>
      </c>
      <c r="AA1171" s="177">
        <v>2.1412701508841673E-2</v>
      </c>
    </row>
    <row r="1172" spans="23:27" x14ac:dyDescent="0.2">
      <c r="W1172" s="173" t="str">
        <f t="shared" si="28"/>
        <v>1w</v>
      </c>
      <c r="X1172" s="180">
        <f>_xll.qlCalendarAdvance(LiborCalendar,X1171,W1172,"f",FALSE)</f>
        <v>47156</v>
      </c>
      <c r="Y1172" s="174">
        <f>_xll.qlInterestRateIndexValueDate(IborIndex,X1172)</f>
        <v>47158</v>
      </c>
      <c r="Z1172" s="175">
        <v>2.1522782314635228E-2</v>
      </c>
      <c r="AA1172" s="177">
        <v>2.1435069039253966E-2</v>
      </c>
    </row>
    <row r="1173" spans="23:27" x14ac:dyDescent="0.2">
      <c r="W1173" s="173" t="str">
        <f t="shared" ref="W1173:W1236" si="29">W1172</f>
        <v>1w</v>
      </c>
      <c r="X1173" s="180">
        <f>_xll.qlCalendarAdvance(LiborCalendar,X1172,W1173,"f",FALSE)</f>
        <v>47163</v>
      </c>
      <c r="Y1173" s="174">
        <f>_xll.qlInterestRateIndexValueDate(IborIndex,X1173)</f>
        <v>47165</v>
      </c>
      <c r="Z1173" s="175">
        <v>2.1543529418111329E-2</v>
      </c>
      <c r="AA1173" s="177">
        <v>2.1457323268181398E-2</v>
      </c>
    </row>
    <row r="1174" spans="23:27" x14ac:dyDescent="0.2">
      <c r="W1174" s="173" t="str">
        <f t="shared" si="29"/>
        <v>1w</v>
      </c>
      <c r="X1174" s="180">
        <f>_xll.qlCalendarAdvance(LiborCalendar,X1173,W1174,"f",FALSE)</f>
        <v>47170</v>
      </c>
      <c r="Y1174" s="174">
        <f>_xll.qlInterestRateIndexValueDate(IborIndex,X1174)</f>
        <v>47172</v>
      </c>
      <c r="Z1174" s="175">
        <v>2.1564163790489602E-2</v>
      </c>
      <c r="AA1174" s="177">
        <v>2.1479464195515906E-2</v>
      </c>
    </row>
    <row r="1175" spans="23:27" x14ac:dyDescent="0.2">
      <c r="W1175" s="173" t="str">
        <f t="shared" si="29"/>
        <v>1w</v>
      </c>
      <c r="X1175" s="180">
        <f>_xll.qlCalendarAdvance(LiborCalendar,X1174,W1175,"f",FALSE)</f>
        <v>47177</v>
      </c>
      <c r="Y1175" s="174">
        <f>_xll.qlInterestRateIndexValueDate(IborIndex,X1175)</f>
        <v>47179</v>
      </c>
      <c r="Z1175" s="175">
        <v>2.1592968018400389E-2</v>
      </c>
      <c r="AA1175" s="177">
        <v>2.1501491821230477E-2</v>
      </c>
    </row>
    <row r="1176" spans="23:27" x14ac:dyDescent="0.2">
      <c r="W1176" s="173" t="str">
        <f t="shared" si="29"/>
        <v>1w</v>
      </c>
      <c r="X1176" s="180">
        <f>_xll.qlCalendarAdvance(LiborCalendar,X1175,W1176,"f",FALSE)</f>
        <v>47184</v>
      </c>
      <c r="Y1176" s="174">
        <f>_xll.qlInterestRateIndexValueDate(IborIndex,X1176)</f>
        <v>47186</v>
      </c>
      <c r="Z1176" s="175">
        <v>2.1613349570004024E-2</v>
      </c>
      <c r="AA1176" s="177">
        <v>2.1523406145271078E-2</v>
      </c>
    </row>
    <row r="1177" spans="23:27" x14ac:dyDescent="0.2">
      <c r="W1177" s="173" t="str">
        <f t="shared" si="29"/>
        <v>1w</v>
      </c>
      <c r="X1177" s="180">
        <f>_xll.qlCalendarAdvance(LiborCalendar,X1176,W1177,"f",FALSE)</f>
        <v>47191</v>
      </c>
      <c r="Y1177" s="174">
        <f>_xll.qlInterestRateIndexValueDate(IborIndex,X1177)</f>
        <v>47193</v>
      </c>
      <c r="Z1177" s="175">
        <v>2.1635673891153909E-2</v>
      </c>
      <c r="AA1177" s="177">
        <v>2.154520716752965E-2</v>
      </c>
    </row>
    <row r="1178" spans="23:27" x14ac:dyDescent="0.2">
      <c r="W1178" s="173" t="str">
        <f t="shared" si="29"/>
        <v>1w</v>
      </c>
      <c r="X1178" s="180">
        <f>_xll.qlCalendarAdvance(LiborCalendar,X1177,W1178,"f",FALSE)</f>
        <v>47198</v>
      </c>
      <c r="Y1178" s="174">
        <f>_xll.qlInterestRateIndexValueDate(IborIndex,X1178)</f>
        <v>47200</v>
      </c>
      <c r="Z1178" s="175">
        <v>2.1655823058986619E-2</v>
      </c>
      <c r="AA1178" s="177">
        <v>2.1566894887979176E-2</v>
      </c>
    </row>
    <row r="1179" spans="23:27" x14ac:dyDescent="0.2">
      <c r="W1179" s="173" t="str">
        <f t="shared" si="29"/>
        <v>1w</v>
      </c>
      <c r="X1179" s="180">
        <f>_xll.qlCalendarAdvance(LiborCalendar,X1178,W1179,"f",FALSE)</f>
        <v>47205</v>
      </c>
      <c r="Y1179" s="174">
        <f>_xll.qlInterestRateIndexValueDate(IborIndex,X1179)</f>
        <v>47211</v>
      </c>
      <c r="Z1179" s="175">
        <v>2.1681142733079115E-2</v>
      </c>
      <c r="AA1179" s="177">
        <v>2.1596403726379387E-2</v>
      </c>
    </row>
    <row r="1180" spans="23:27" x14ac:dyDescent="0.2">
      <c r="W1180" s="173" t="str">
        <f t="shared" si="29"/>
        <v>1w</v>
      </c>
      <c r="X1180" s="180">
        <f>_xll.qlCalendarAdvance(LiborCalendar,X1179,W1180,"f",FALSE)</f>
        <v>47212</v>
      </c>
      <c r="Y1180" s="174">
        <f>_xll.qlInterestRateIndexValueDate(IborIndex,X1180)</f>
        <v>47214</v>
      </c>
      <c r="Z1180" s="175">
        <v>2.1695783058180085E-2</v>
      </c>
      <c r="AA1180" s="177">
        <v>2.1609930423207951E-2</v>
      </c>
    </row>
    <row r="1181" spans="23:27" x14ac:dyDescent="0.2">
      <c r="W1181" s="173" t="str">
        <f t="shared" si="29"/>
        <v>1w</v>
      </c>
      <c r="X1181" s="180">
        <f>_xll.qlCalendarAdvance(LiborCalendar,X1180,W1181,"f",FALSE)</f>
        <v>47219</v>
      </c>
      <c r="Y1181" s="174">
        <f>_xll.qlInterestRateIndexValueDate(IborIndex,X1181)</f>
        <v>47221</v>
      </c>
      <c r="Z1181" s="175">
        <v>2.171356578612493E-2</v>
      </c>
      <c r="AA1181" s="177">
        <v>2.1631278237906153E-2</v>
      </c>
    </row>
    <row r="1182" spans="23:27" x14ac:dyDescent="0.2">
      <c r="W1182" s="173" t="str">
        <f t="shared" si="29"/>
        <v>1w</v>
      </c>
      <c r="X1182" s="180">
        <f>_xll.qlCalendarAdvance(LiborCalendar,X1181,W1182,"f",FALSE)</f>
        <v>47226</v>
      </c>
      <c r="Y1182" s="174">
        <f>_xll.qlInterestRateIndexValueDate(IborIndex,X1182)</f>
        <v>47228</v>
      </c>
      <c r="Z1182" s="175">
        <v>2.173327069681618E-2</v>
      </c>
      <c r="AA1182" s="177">
        <v>2.1652512750471125E-2</v>
      </c>
    </row>
    <row r="1183" spans="23:27" x14ac:dyDescent="0.2">
      <c r="W1183" s="173" t="str">
        <f t="shared" si="29"/>
        <v>1w</v>
      </c>
      <c r="X1183" s="180">
        <f>_xll.qlCalendarAdvance(LiborCalendar,X1182,W1183,"f",FALSE)</f>
        <v>47233</v>
      </c>
      <c r="Y1183" s="174">
        <f>_xll.qlInterestRateIndexValueDate(IborIndex,X1183)</f>
        <v>47235</v>
      </c>
      <c r="Z1183" s="175">
        <v>2.1756890928007921E-2</v>
      </c>
      <c r="AA1183" s="177">
        <v>2.1673633960983912E-2</v>
      </c>
    </row>
    <row r="1184" spans="23:27" x14ac:dyDescent="0.2">
      <c r="W1184" s="173" t="str">
        <f t="shared" si="29"/>
        <v>1w</v>
      </c>
      <c r="X1184" s="180">
        <f>_xll.qlCalendarAdvance(LiborCalendar,X1183,W1184,"f",FALSE)</f>
        <v>47240</v>
      </c>
      <c r="Y1184" s="174">
        <f>_xll.qlInterestRateIndexValueDate(IborIndex,X1184)</f>
        <v>47246</v>
      </c>
      <c r="Z1184" s="175">
        <v>2.1781418476429639E-2</v>
      </c>
      <c r="AA1184" s="177">
        <v>2.1702320933850716E-2</v>
      </c>
    </row>
    <row r="1185" spans="23:27" x14ac:dyDescent="0.2">
      <c r="W1185" s="173" t="str">
        <f t="shared" si="29"/>
        <v>1w</v>
      </c>
      <c r="X1185" s="180">
        <f>_xll.qlCalendarAdvance(LiborCalendar,X1184,W1185,"f",FALSE)</f>
        <v>47247</v>
      </c>
      <c r="Y1185" s="174">
        <f>_xll.qlInterestRateIndexValueDate(IborIndex,X1185)</f>
        <v>47249</v>
      </c>
      <c r="Z1185" s="175">
        <v>2.1791708793836215E-2</v>
      </c>
      <c r="AA1185" s="177">
        <v>2.1715536475420686E-2</v>
      </c>
    </row>
    <row r="1186" spans="23:27" x14ac:dyDescent="0.2">
      <c r="W1186" s="173" t="str">
        <f t="shared" si="29"/>
        <v>1w</v>
      </c>
      <c r="X1186" s="180">
        <f>_xll.qlCalendarAdvance(LiborCalendar,X1185,W1186,"f",FALSE)</f>
        <v>47254</v>
      </c>
      <c r="Y1186" s="174">
        <f>_xll.qlInterestRateIndexValueDate(IborIndex,X1186)</f>
        <v>47256</v>
      </c>
      <c r="Z1186" s="175">
        <v>2.1810963181213675E-2</v>
      </c>
      <c r="AA1186" s="177">
        <v>2.1736317779209594E-2</v>
      </c>
    </row>
    <row r="1187" spans="23:27" x14ac:dyDescent="0.2">
      <c r="W1187" s="173" t="str">
        <f t="shared" si="29"/>
        <v>1w</v>
      </c>
      <c r="X1187" s="180">
        <f>_xll.qlCalendarAdvance(LiborCalendar,X1186,W1187,"f",FALSE)</f>
        <v>47261</v>
      </c>
      <c r="Y1187" s="174">
        <f>_xll.qlInterestRateIndexValueDate(IborIndex,X1187)</f>
        <v>47263</v>
      </c>
      <c r="Z1187" s="175">
        <v>2.1830105864734162E-2</v>
      </c>
      <c r="AA1187" s="177">
        <v>2.1759105565608283E-2</v>
      </c>
    </row>
    <row r="1188" spans="23:27" x14ac:dyDescent="0.2">
      <c r="W1188" s="173" t="str">
        <f t="shared" si="29"/>
        <v>1w</v>
      </c>
      <c r="X1188" s="180">
        <f>_xll.qlCalendarAdvance(LiborCalendar,X1187,W1188,"f",FALSE)</f>
        <v>47268</v>
      </c>
      <c r="Y1188" s="174">
        <f>_xll.qlInterestRateIndexValueDate(IborIndex,X1188)</f>
        <v>47270</v>
      </c>
      <c r="Z1188" s="175">
        <v>2.1849137388627846E-2</v>
      </c>
      <c r="AA1188" s="177">
        <v>2.1777540479739347E-2</v>
      </c>
    </row>
    <row r="1189" spans="23:27" x14ac:dyDescent="0.2">
      <c r="W1189" s="173" t="str">
        <f t="shared" si="29"/>
        <v>1w</v>
      </c>
      <c r="X1189" s="180">
        <f>_xll.qlCalendarAdvance(LiborCalendar,X1188,W1189,"f",FALSE)</f>
        <v>47275</v>
      </c>
      <c r="Y1189" s="174">
        <f>_xll.qlInterestRateIndexValueDate(IborIndex,X1189)</f>
        <v>47277</v>
      </c>
      <c r="Z1189" s="175">
        <v>2.1868058297165954E-2</v>
      </c>
      <c r="AA1189" s="177">
        <v>2.1797981876318099E-2</v>
      </c>
    </row>
    <row r="1190" spans="23:27" x14ac:dyDescent="0.2">
      <c r="W1190" s="173" t="str">
        <f t="shared" si="29"/>
        <v>1w</v>
      </c>
      <c r="X1190" s="180">
        <f>_xll.qlCalendarAdvance(LiborCalendar,X1189,W1190,"f",FALSE)</f>
        <v>47282</v>
      </c>
      <c r="Y1190" s="174">
        <f>_xll.qlInterestRateIndexValueDate(IborIndex,X1190)</f>
        <v>47284</v>
      </c>
      <c r="Z1190" s="175">
        <v>2.1886869134658163E-2</v>
      </c>
      <c r="AA1190" s="177">
        <v>2.1818309970385402E-2</v>
      </c>
    </row>
    <row r="1191" spans="23:27" x14ac:dyDescent="0.2">
      <c r="W1191" s="173" t="str">
        <f t="shared" si="29"/>
        <v>1w</v>
      </c>
      <c r="X1191" s="180">
        <f>_xll.qlCalendarAdvance(LiborCalendar,X1190,W1191,"f",FALSE)</f>
        <v>47289</v>
      </c>
      <c r="Y1191" s="174">
        <f>_xll.qlInterestRateIndexValueDate(IborIndex,X1191)</f>
        <v>47291</v>
      </c>
      <c r="Z1191" s="175">
        <v>2.1911451462314754E-2</v>
      </c>
      <c r="AA1191" s="177">
        <v>2.1838524761887228E-2</v>
      </c>
    </row>
    <row r="1192" spans="23:27" x14ac:dyDescent="0.2">
      <c r="W1192" s="173" t="str">
        <f t="shared" si="29"/>
        <v>1w</v>
      </c>
      <c r="X1192" s="180">
        <f>_xll.qlCalendarAdvance(LiborCalendar,X1191,W1192,"f",FALSE)</f>
        <v>47296</v>
      </c>
      <c r="Y1192" s="174">
        <f>_xll.qlInterestRateIndexValueDate(IborIndex,X1192)</f>
        <v>47298</v>
      </c>
      <c r="Z1192" s="175">
        <v>2.1918296347530949E-2</v>
      </c>
      <c r="AA1192" s="177">
        <v>2.1858626250769547E-2</v>
      </c>
    </row>
    <row r="1193" spans="23:27" x14ac:dyDescent="0.2">
      <c r="W1193" s="173" t="str">
        <f t="shared" si="29"/>
        <v>1w</v>
      </c>
      <c r="X1193" s="180">
        <f>_xll.qlCalendarAdvance(LiborCalendar,X1192,W1193,"f",FALSE)</f>
        <v>47303</v>
      </c>
      <c r="Y1193" s="174">
        <f>_xll.qlInterestRateIndexValueDate(IborIndex,X1193)</f>
        <v>47305</v>
      </c>
      <c r="Z1193" s="175">
        <v>2.1942646664553315E-2</v>
      </c>
      <c r="AA1193" s="177">
        <v>2.187861443695131E-2</v>
      </c>
    </row>
    <row r="1194" spans="23:27" x14ac:dyDescent="0.2">
      <c r="W1194" s="173" t="str">
        <f t="shared" si="29"/>
        <v>1w</v>
      </c>
      <c r="X1194" s="180">
        <f>_xll.qlCalendarAdvance(LiborCalendar,X1193,W1194,"f",FALSE)</f>
        <v>47310</v>
      </c>
      <c r="Y1194" s="174">
        <f>_xll.qlInterestRateIndexValueDate(IborIndex,X1194)</f>
        <v>47312</v>
      </c>
      <c r="Z1194" s="175">
        <v>2.1962964384730953E-2</v>
      </c>
      <c r="AA1194" s="177">
        <v>2.1898489320405504E-2</v>
      </c>
    </row>
    <row r="1195" spans="23:27" x14ac:dyDescent="0.2">
      <c r="W1195" s="173" t="str">
        <f t="shared" si="29"/>
        <v>1w</v>
      </c>
      <c r="X1195" s="180">
        <f>_xll.qlCalendarAdvance(LiborCalendar,X1194,W1195,"f",FALSE)</f>
        <v>47317</v>
      </c>
      <c r="Y1195" s="174">
        <f>_xll.qlInterestRateIndexValueDate(IborIndex,X1195)</f>
        <v>47319</v>
      </c>
      <c r="Z1195" s="175">
        <v>2.197929131003783E-2</v>
      </c>
      <c r="AA1195" s="177">
        <v>2.1918250901051078E-2</v>
      </c>
    </row>
    <row r="1196" spans="23:27" x14ac:dyDescent="0.2">
      <c r="W1196" s="173" t="str">
        <f t="shared" si="29"/>
        <v>1w</v>
      </c>
      <c r="X1196" s="180">
        <f>_xll.qlCalendarAdvance(LiborCalendar,X1195,W1196,"f",FALSE)</f>
        <v>47324</v>
      </c>
      <c r="Y1196" s="174">
        <f>_xll.qlInterestRateIndexValueDate(IborIndex,X1196)</f>
        <v>47326</v>
      </c>
      <c r="Z1196" s="175">
        <v>2.199745315395937E-2</v>
      </c>
      <c r="AA1196" s="177">
        <v>2.193789917880699E-2</v>
      </c>
    </row>
    <row r="1197" spans="23:27" x14ac:dyDescent="0.2">
      <c r="W1197" s="173" t="str">
        <f t="shared" si="29"/>
        <v>1w</v>
      </c>
      <c r="X1197" s="180">
        <f>_xll.qlCalendarAdvance(LiborCalendar,X1196,W1197,"f",FALSE)</f>
        <v>47331</v>
      </c>
      <c r="Y1197" s="174">
        <f>_xll.qlInterestRateIndexValueDate(IborIndex,X1197)</f>
        <v>47333</v>
      </c>
      <c r="Z1197" s="175">
        <v>2.2015508738095508E-2</v>
      </c>
      <c r="AA1197" s="177">
        <v>2.1957434153700255E-2</v>
      </c>
    </row>
    <row r="1198" spans="23:27" x14ac:dyDescent="0.2">
      <c r="W1198" s="173" t="str">
        <f t="shared" si="29"/>
        <v>1w</v>
      </c>
      <c r="X1198" s="180">
        <f>_xll.qlCalendarAdvance(LiborCalendar,X1197,W1198,"f",FALSE)</f>
        <v>47338</v>
      </c>
      <c r="Y1198" s="174">
        <f>_xll.qlInterestRateIndexValueDate(IborIndex,X1198)</f>
        <v>47340</v>
      </c>
      <c r="Z1198" s="175">
        <v>2.2035375392362246E-2</v>
      </c>
      <c r="AA1198" s="177">
        <v>2.1976855825595797E-2</v>
      </c>
    </row>
    <row r="1199" spans="23:27" x14ac:dyDescent="0.2">
      <c r="W1199" s="173" t="str">
        <f t="shared" si="29"/>
        <v>1w</v>
      </c>
      <c r="X1199" s="180">
        <f>_xll.qlCalendarAdvance(LiborCalendar,X1198,W1199,"f",FALSE)</f>
        <v>47345</v>
      </c>
      <c r="Y1199" s="174">
        <f>_xll.qlInterestRateIndexValueDate(IborIndex,X1199)</f>
        <v>47347</v>
      </c>
      <c r="Z1199" s="175">
        <v>2.2051303305517161E-2</v>
      </c>
      <c r="AA1199" s="177">
        <v>2.1996164194493611E-2</v>
      </c>
    </row>
    <row r="1200" spans="23:27" x14ac:dyDescent="0.2">
      <c r="W1200" s="173" t="str">
        <f t="shared" si="29"/>
        <v>1w</v>
      </c>
      <c r="X1200" s="180">
        <f>_xll.qlCalendarAdvance(LiborCalendar,X1199,W1200,"f",FALSE)</f>
        <v>47352</v>
      </c>
      <c r="Y1200" s="174">
        <f>_xll.qlInterestRateIndexValueDate(IborIndex,X1200)</f>
        <v>47354</v>
      </c>
      <c r="Z1200" s="175">
        <v>2.2069043378148807E-2</v>
      </c>
      <c r="AA1200" s="177">
        <v>2.2017389321912773E-2</v>
      </c>
    </row>
    <row r="1201" spans="23:27" x14ac:dyDescent="0.2">
      <c r="W1201" s="173" t="str">
        <f t="shared" si="29"/>
        <v>1w</v>
      </c>
      <c r="X1201" s="180">
        <f>_xll.qlCalendarAdvance(LiborCalendar,X1200,W1201,"f",FALSE)</f>
        <v>47359</v>
      </c>
      <c r="Y1201" s="174">
        <f>_xll.qlInterestRateIndexValueDate(IborIndex,X1201)</f>
        <v>47361</v>
      </c>
      <c r="Z1201" s="175">
        <v>2.2079080732316295E-2</v>
      </c>
      <c r="AA1201" s="177">
        <v>2.20344410229989E-2</v>
      </c>
    </row>
    <row r="1202" spans="23:27" x14ac:dyDescent="0.2">
      <c r="W1202" s="173" t="str">
        <f t="shared" si="29"/>
        <v>1w</v>
      </c>
      <c r="X1202" s="180">
        <f>_xll.qlCalendarAdvance(LiborCalendar,X1201,W1202,"f",FALSE)</f>
        <v>47366</v>
      </c>
      <c r="Y1202" s="174">
        <f>_xll.qlInterestRateIndexValueDate(IborIndex,X1202)</f>
        <v>47368</v>
      </c>
      <c r="Z1202" s="175">
        <v>2.2096637492964463E-2</v>
      </c>
      <c r="AA1202" s="177">
        <v>2.2053409482525325E-2</v>
      </c>
    </row>
    <row r="1203" spans="23:27" x14ac:dyDescent="0.2">
      <c r="W1203" s="173" t="str">
        <f t="shared" si="29"/>
        <v>1w</v>
      </c>
      <c r="X1203" s="180">
        <f>_xll.qlCalendarAdvance(LiborCalendar,X1202,W1203,"f",FALSE)</f>
        <v>47373</v>
      </c>
      <c r="Y1203" s="174">
        <f>_xll.qlInterestRateIndexValueDate(IborIndex,X1203)</f>
        <v>47375</v>
      </c>
      <c r="Z1203" s="175">
        <v>2.2114091182653572E-2</v>
      </c>
      <c r="AA1203" s="177">
        <v>2.2072264638810884E-2</v>
      </c>
    </row>
    <row r="1204" spans="23:27" x14ac:dyDescent="0.2">
      <c r="W1204" s="173" t="str">
        <f t="shared" si="29"/>
        <v>1w</v>
      </c>
      <c r="X1204" s="180">
        <f>_xll.qlCalendarAdvance(LiborCalendar,X1203,W1204,"f",FALSE)</f>
        <v>47380</v>
      </c>
      <c r="Y1204" s="174">
        <f>_xll.qlInterestRateIndexValueDate(IborIndex,X1204)</f>
        <v>47382</v>
      </c>
      <c r="Z1204" s="175">
        <v>2.2131442358235425E-2</v>
      </c>
      <c r="AA1204" s="177">
        <v>2.2091006491828567E-2</v>
      </c>
    </row>
    <row r="1205" spans="23:27" x14ac:dyDescent="0.2">
      <c r="W1205" s="173" t="str">
        <f t="shared" si="29"/>
        <v>1w</v>
      </c>
      <c r="X1205" s="180">
        <f>_xll.qlCalendarAdvance(LiborCalendar,X1204,W1205,"f",FALSE)</f>
        <v>47387</v>
      </c>
      <c r="Y1205" s="174">
        <f>_xll.qlInterestRateIndexValueDate(IborIndex,X1205)</f>
        <v>47389</v>
      </c>
      <c r="Z1205" s="175">
        <v>2.2150567781930874E-2</v>
      </c>
      <c r="AA1205" s="177">
        <v>2.2109635041470309E-2</v>
      </c>
    </row>
    <row r="1206" spans="23:27" x14ac:dyDescent="0.2">
      <c r="W1206" s="173" t="str">
        <f t="shared" si="29"/>
        <v>1w</v>
      </c>
      <c r="X1206" s="180">
        <f>_xll.qlCalendarAdvance(LiborCalendar,X1205,W1206,"f",FALSE)</f>
        <v>47394</v>
      </c>
      <c r="Y1206" s="174">
        <f>_xll.qlInterestRateIndexValueDate(IborIndex,X1206)</f>
        <v>47396</v>
      </c>
      <c r="Z1206" s="175">
        <v>2.2167709585481112E-2</v>
      </c>
      <c r="AA1206" s="177">
        <v>2.2128150287736108E-2</v>
      </c>
    </row>
    <row r="1207" spans="23:27" x14ac:dyDescent="0.2">
      <c r="W1207" s="173" t="str">
        <f t="shared" si="29"/>
        <v>1w</v>
      </c>
      <c r="X1207" s="180">
        <f>_xll.qlCalendarAdvance(LiborCalendar,X1206,W1207,"f",FALSE)</f>
        <v>47401</v>
      </c>
      <c r="Y1207" s="174">
        <f>_xll.qlInterestRateIndexValueDate(IborIndex,X1207)</f>
        <v>47403</v>
      </c>
      <c r="Z1207" s="175">
        <v>2.2184750553751006E-2</v>
      </c>
      <c r="AA1207" s="177">
        <v>2.214655223057194E-2</v>
      </c>
    </row>
    <row r="1208" spans="23:27" x14ac:dyDescent="0.2">
      <c r="W1208" s="173" t="str">
        <f t="shared" si="29"/>
        <v>1w</v>
      </c>
      <c r="X1208" s="180">
        <f>_xll.qlCalendarAdvance(LiborCalendar,X1207,W1208,"f",FALSE)</f>
        <v>47408</v>
      </c>
      <c r="Y1208" s="174">
        <f>_xll.qlInterestRateIndexValueDate(IborIndex,X1208)</f>
        <v>47410</v>
      </c>
      <c r="Z1208" s="175">
        <v>2.2209118997064733E-2</v>
      </c>
      <c r="AA1208" s="177">
        <v>2.2164840869923767E-2</v>
      </c>
    </row>
    <row r="1209" spans="23:27" x14ac:dyDescent="0.2">
      <c r="W1209" s="173" t="str">
        <f t="shared" si="29"/>
        <v>1w</v>
      </c>
      <c r="X1209" s="180">
        <f>_xll.qlCalendarAdvance(LiborCalendar,X1208,W1209,"f",FALSE)</f>
        <v>47415</v>
      </c>
      <c r="Y1209" s="174">
        <f>_xll.qlInterestRateIndexValueDate(IborIndex,X1209)</f>
        <v>47417</v>
      </c>
      <c r="Z1209" s="175">
        <v>2.221853220022809E-2</v>
      </c>
      <c r="AA1209" s="177">
        <v>2.2183016205737559E-2</v>
      </c>
    </row>
    <row r="1210" spans="23:27" x14ac:dyDescent="0.2">
      <c r="W1210" s="173" t="str">
        <f t="shared" si="29"/>
        <v>1w</v>
      </c>
      <c r="X1210" s="180">
        <f>_xll.qlCalendarAdvance(LiborCalendar,X1209,W1210,"f",FALSE)</f>
        <v>47422</v>
      </c>
      <c r="Y1210" s="174">
        <f>_xll.qlInterestRateIndexValueDate(IborIndex,X1210)</f>
        <v>47424</v>
      </c>
      <c r="Z1210" s="175">
        <v>2.2233427803512774E-2</v>
      </c>
      <c r="AA1210" s="177">
        <v>2.2201078237932274E-2</v>
      </c>
    </row>
    <row r="1211" spans="23:27" x14ac:dyDescent="0.2">
      <c r="W1211" s="173" t="str">
        <f t="shared" si="29"/>
        <v>1w</v>
      </c>
      <c r="X1211" s="180">
        <f>_xll.qlCalendarAdvance(LiborCalendar,X1210,W1211,"f",FALSE)</f>
        <v>47429</v>
      </c>
      <c r="Y1211" s="174">
        <f>_xll.qlInterestRateIndexValueDate(IborIndex,X1211)</f>
        <v>47431</v>
      </c>
      <c r="Z1211" s="175">
        <v>2.2250076957682573E-2</v>
      </c>
      <c r="AA1211" s="177">
        <v>2.2219031556428941E-2</v>
      </c>
    </row>
    <row r="1212" spans="23:27" x14ac:dyDescent="0.2">
      <c r="W1212" s="173" t="str">
        <f t="shared" si="29"/>
        <v>1w</v>
      </c>
      <c r="X1212" s="180">
        <f>_xll.qlCalendarAdvance(LiborCalendar,X1211,W1212,"f",FALSE)</f>
        <v>47436</v>
      </c>
      <c r="Y1212" s="174">
        <f>_xll.qlInterestRateIndexValueDate(IborIndex,X1212)</f>
        <v>47438</v>
      </c>
      <c r="Z1212" s="175">
        <v>2.226662772669467E-2</v>
      </c>
      <c r="AA1212" s="177">
        <v>2.2236885637293795E-2</v>
      </c>
    </row>
    <row r="1213" spans="23:27" x14ac:dyDescent="0.2">
      <c r="W1213" s="173" t="str">
        <f t="shared" si="29"/>
        <v>1w</v>
      </c>
      <c r="X1213" s="180">
        <f>_xll.qlCalendarAdvance(LiborCalendar,X1212,W1213,"f",FALSE)</f>
        <v>47443</v>
      </c>
      <c r="Y1213" s="174">
        <f>_xll.qlInterestRateIndexValueDate(IborIndex,X1213)</f>
        <v>47448</v>
      </c>
      <c r="Z1213" s="175">
        <v>2.2293751666874324E-2</v>
      </c>
      <c r="AA1213" s="177">
        <v>2.2258339010126083E-2</v>
      </c>
    </row>
    <row r="1214" spans="23:27" x14ac:dyDescent="0.2">
      <c r="W1214" s="173" t="str">
        <f t="shared" si="29"/>
        <v>1w</v>
      </c>
      <c r="X1214" s="180">
        <f>_xll.qlCalendarAdvance(LiborCalendar,X1213,W1214,"f",FALSE)</f>
        <v>47450</v>
      </c>
      <c r="Y1214" s="174">
        <f>_xll.qlInterestRateIndexValueDate(IborIndex,X1214)</f>
        <v>47452</v>
      </c>
      <c r="Z1214" s="175">
        <v>2.2301256253242807E-2</v>
      </c>
      <c r="AA1214" s="177">
        <v>2.2272297418393837E-2</v>
      </c>
    </row>
    <row r="1215" spans="23:27" x14ac:dyDescent="0.2">
      <c r="W1215" s="173" t="str">
        <f t="shared" si="29"/>
        <v>1w</v>
      </c>
      <c r="X1215" s="180">
        <f>_xll.qlCalendarAdvance(LiborCalendar,X1214,W1215,"f",FALSE)</f>
        <v>47457</v>
      </c>
      <c r="Y1215" s="174">
        <f>_xll.qlInterestRateIndexValueDate(IborIndex,X1215)</f>
        <v>47459</v>
      </c>
      <c r="Z1215" s="175">
        <v>2.2317505847761116E-2</v>
      </c>
      <c r="AA1215" s="177">
        <v>2.2289855118547978E-2</v>
      </c>
    </row>
    <row r="1216" spans="23:27" x14ac:dyDescent="0.2">
      <c r="W1216" s="173" t="str">
        <f t="shared" si="29"/>
        <v>1w</v>
      </c>
      <c r="X1216" s="180">
        <f>_xll.qlCalendarAdvance(LiborCalendar,X1215,W1216,"f",FALSE)</f>
        <v>47464</v>
      </c>
      <c r="Y1216" s="174">
        <f>_xll.qlInterestRateIndexValueDate(IborIndex,X1216)</f>
        <v>47466</v>
      </c>
      <c r="Z1216" s="175">
        <v>2.2333657049312245E-2</v>
      </c>
      <c r="AA1216" s="177">
        <v>2.2307314025014811E-2</v>
      </c>
    </row>
    <row r="1217" spans="23:27" x14ac:dyDescent="0.2">
      <c r="W1217" s="173" t="str">
        <f t="shared" si="29"/>
        <v>1w</v>
      </c>
      <c r="X1217" s="180">
        <f>_xll.qlCalendarAdvance(LiborCalendar,X1216,W1217,"f",FALSE)</f>
        <v>47471</v>
      </c>
      <c r="Y1217" s="174">
        <f>_xll.qlInterestRateIndexValueDate(IborIndex,X1217)</f>
        <v>47473</v>
      </c>
      <c r="Z1217" s="175">
        <v>2.2349709855510849E-2</v>
      </c>
      <c r="AA1217" s="177">
        <v>2.2324674137821358E-2</v>
      </c>
    </row>
    <row r="1218" spans="23:27" x14ac:dyDescent="0.2">
      <c r="W1218" s="173" t="str">
        <f t="shared" si="29"/>
        <v>1w</v>
      </c>
      <c r="X1218" s="180">
        <f>_xll.qlCalendarAdvance(LiborCalendar,X1217,W1218,"f",FALSE)</f>
        <v>47479</v>
      </c>
      <c r="Y1218" s="174">
        <f>_xll.qlInterestRateIndexValueDate(IborIndex,X1218)</f>
        <v>47487</v>
      </c>
      <c r="Z1218" s="175">
        <v>2.2379728328513936E-2</v>
      </c>
      <c r="AA1218" s="177">
        <v>2.235909798215641E-2</v>
      </c>
    </row>
    <row r="1219" spans="23:27" x14ac:dyDescent="0.2">
      <c r="W1219" s="173" t="str">
        <f t="shared" si="29"/>
        <v>1w</v>
      </c>
      <c r="X1219" s="180">
        <f>_xll.qlCalendarAdvance(LiborCalendar,X1218,W1219,"f",FALSE)</f>
        <v>47486</v>
      </c>
      <c r="Y1219" s="174">
        <f>_xll.qlInterestRateIndexValueDate(IborIndex,X1219)</f>
        <v>47490</v>
      </c>
      <c r="Z1219" s="175">
        <v>2.2388285581493618E-2</v>
      </c>
      <c r="AA1219" s="177">
        <v>2.2362613959060473E-2</v>
      </c>
    </row>
    <row r="1220" spans="23:27" x14ac:dyDescent="0.2">
      <c r="W1220" s="173" t="str">
        <f t="shared" si="29"/>
        <v>1w</v>
      </c>
      <c r="X1220" s="180">
        <f>_xll.qlCalendarAdvance(LiborCalendar,X1219,W1220,"f",FALSE)</f>
        <v>47493</v>
      </c>
      <c r="Y1220" s="174">
        <f>_xll.qlInterestRateIndexValueDate(IborIndex,X1220)</f>
        <v>47498</v>
      </c>
      <c r="Z1220" s="175">
        <v>2.2406238043045684E-2</v>
      </c>
      <c r="AA1220" s="177">
        <v>2.238207265692238E-2</v>
      </c>
    </row>
    <row r="1221" spans="23:27" x14ac:dyDescent="0.2">
      <c r="W1221" s="173" t="str">
        <f t="shared" si="29"/>
        <v>1w</v>
      </c>
      <c r="X1221" s="180">
        <f>_xll.qlCalendarAdvance(LiborCalendar,X1220,W1221,"f",FALSE)</f>
        <v>47500</v>
      </c>
      <c r="Y1221" s="174">
        <f>_xll.qlInterestRateIndexValueDate(IborIndex,X1221)</f>
        <v>47504</v>
      </c>
      <c r="Z1221" s="175">
        <v>2.2419618041335663E-2</v>
      </c>
      <c r="AA1221" s="177">
        <v>2.2396582008999966E-2</v>
      </c>
    </row>
    <row r="1222" spans="23:27" x14ac:dyDescent="0.2">
      <c r="W1222" s="173" t="str">
        <f t="shared" si="29"/>
        <v>1w</v>
      </c>
      <c r="X1222" s="180">
        <f>_xll.qlCalendarAdvance(LiborCalendar,X1221,W1222,"f",FALSE)</f>
        <v>47507</v>
      </c>
      <c r="Y1222" s="174">
        <f>_xll.qlInterestRateIndexValueDate(IborIndex,X1222)</f>
        <v>47511</v>
      </c>
      <c r="Z1222" s="175">
        <v>2.2435136660335614E-2</v>
      </c>
      <c r="AA1222" s="177">
        <v>2.2413417858837548E-2</v>
      </c>
    </row>
    <row r="1223" spans="23:27" x14ac:dyDescent="0.2">
      <c r="W1223" s="173" t="str">
        <f t="shared" si="29"/>
        <v>1w</v>
      </c>
      <c r="X1223" s="180">
        <f>_xll.qlCalendarAdvance(LiborCalendar,X1222,W1223,"f",FALSE)</f>
        <v>47514</v>
      </c>
      <c r="Y1223" s="174">
        <f>_xll.qlInterestRateIndexValueDate(IborIndex,X1223)</f>
        <v>47518</v>
      </c>
      <c r="Z1223" s="175">
        <v>2.2450556868994595E-2</v>
      </c>
      <c r="AA1223" s="177">
        <v>2.2430154925334733E-2</v>
      </c>
    </row>
    <row r="1224" spans="23:27" x14ac:dyDescent="0.2">
      <c r="W1224" s="173" t="str">
        <f t="shared" si="29"/>
        <v>1w</v>
      </c>
      <c r="X1224" s="180">
        <f>_xll.qlCalendarAdvance(LiborCalendar,X1223,W1224,"f",FALSE)</f>
        <v>47521</v>
      </c>
      <c r="Y1224" s="174">
        <f>_xll.qlInterestRateIndexValueDate(IborIndex,X1224)</f>
        <v>47526</v>
      </c>
      <c r="Z1224" s="175">
        <v>2.2466301317055008E-2</v>
      </c>
      <c r="AA1224" s="177">
        <v>2.2449162042073034E-2</v>
      </c>
    </row>
    <row r="1225" spans="23:27" x14ac:dyDescent="0.2">
      <c r="W1225" s="173" t="str">
        <f t="shared" si="29"/>
        <v>1w</v>
      </c>
      <c r="X1225" s="180">
        <f>_xll.qlCalendarAdvance(LiborCalendar,X1224,W1225,"f",FALSE)</f>
        <v>47528</v>
      </c>
      <c r="Y1225" s="174">
        <f>_xll.qlInterestRateIndexValueDate(IborIndex,X1225)</f>
        <v>47532</v>
      </c>
      <c r="Z1225" s="175">
        <v>2.2481102046193163E-2</v>
      </c>
      <c r="AA1225" s="177">
        <v>2.2463332708226869E-2</v>
      </c>
    </row>
    <row r="1226" spans="23:27" x14ac:dyDescent="0.2">
      <c r="W1226" s="173" t="str">
        <f t="shared" si="29"/>
        <v>1w</v>
      </c>
      <c r="X1226" s="180">
        <f>_xll.qlCalendarAdvance(LiborCalendar,X1225,W1226,"f",FALSE)</f>
        <v>47535</v>
      </c>
      <c r="Y1226" s="174">
        <f>_xll.qlInterestRateIndexValueDate(IborIndex,X1226)</f>
        <v>47539</v>
      </c>
      <c r="Z1226" s="175">
        <v>2.249797333576857E-2</v>
      </c>
      <c r="AA1226" s="177">
        <v>2.2479773424540772E-2</v>
      </c>
    </row>
    <row r="1227" spans="23:27" x14ac:dyDescent="0.2">
      <c r="W1227" s="173" t="str">
        <f t="shared" si="29"/>
        <v>1w</v>
      </c>
      <c r="X1227" s="180">
        <f>_xll.qlCalendarAdvance(LiborCalendar,X1226,W1227,"f",FALSE)</f>
        <v>47542</v>
      </c>
      <c r="Y1227" s="174">
        <f>_xll.qlInterestRateIndexValueDate(IborIndex,X1227)</f>
        <v>47546</v>
      </c>
      <c r="Z1227" s="175">
        <v>2.2514733501211366E-2</v>
      </c>
      <c r="AA1227" s="177">
        <v>2.2496115357433233E-2</v>
      </c>
    </row>
    <row r="1228" spans="23:27" x14ac:dyDescent="0.2">
      <c r="W1228" s="173" t="str">
        <f t="shared" si="29"/>
        <v>1w</v>
      </c>
      <c r="X1228" s="180">
        <f>_xll.qlCalendarAdvance(LiborCalendar,X1227,W1228,"f",FALSE)</f>
        <v>47549</v>
      </c>
      <c r="Y1228" s="174">
        <f>_xll.qlInterestRateIndexValueDate(IborIndex,X1228)</f>
        <v>47553</v>
      </c>
      <c r="Z1228" s="175">
        <v>2.2529649418979242E-2</v>
      </c>
      <c r="AA1228" s="177">
        <v>2.2512358506904251E-2</v>
      </c>
    </row>
    <row r="1229" spans="23:27" x14ac:dyDescent="0.2">
      <c r="W1229" s="173" t="str">
        <f t="shared" si="29"/>
        <v>1w</v>
      </c>
      <c r="X1229" s="180">
        <f>_xll.qlCalendarAdvance(LiborCalendar,X1228,W1229,"f",FALSE)</f>
        <v>47556</v>
      </c>
      <c r="Y1229" s="174">
        <f>_xll.qlInterestRateIndexValueDate(IborIndex,X1229)</f>
        <v>47560</v>
      </c>
      <c r="Z1229" s="175">
        <v>2.2544466901612294E-2</v>
      </c>
      <c r="AA1229" s="177">
        <v>2.2528502872953826E-2</v>
      </c>
    </row>
    <row r="1230" spans="23:27" x14ac:dyDescent="0.2">
      <c r="W1230" s="173" t="str">
        <f t="shared" si="29"/>
        <v>1w</v>
      </c>
      <c r="X1230" s="180">
        <f>_xll.qlCalendarAdvance(LiborCalendar,X1229,W1230,"f",FALSE)</f>
        <v>47563</v>
      </c>
      <c r="Y1230" s="174">
        <f>_xll.qlInterestRateIndexValueDate(IborIndex,X1230)</f>
        <v>47567</v>
      </c>
      <c r="Z1230" s="175">
        <v>2.255918594689664E-2</v>
      </c>
      <c r="AA1230" s="177">
        <v>2.2544548455500912E-2</v>
      </c>
    </row>
    <row r="1231" spans="23:27" x14ac:dyDescent="0.2">
      <c r="W1231" s="173" t="str">
        <f t="shared" si="29"/>
        <v>1w</v>
      </c>
      <c r="X1231" s="180">
        <f>_xll.qlCalendarAdvance(LiborCalendar,X1230,W1231,"f",FALSE)</f>
        <v>47570</v>
      </c>
      <c r="Y1231" s="174">
        <f>_xll.qlInterestRateIndexValueDate(IborIndex,X1231)</f>
        <v>47574</v>
      </c>
      <c r="Z1231" s="175">
        <v>2.2572091281433646E-2</v>
      </c>
      <c r="AA1231" s="177">
        <v>2.2560495254626556E-2</v>
      </c>
    </row>
    <row r="1232" spans="23:27" x14ac:dyDescent="0.2">
      <c r="W1232" s="173" t="str">
        <f t="shared" si="29"/>
        <v>1w</v>
      </c>
      <c r="X1232" s="180">
        <f>_xll.qlCalendarAdvance(LiborCalendar,X1231,W1232,"f",FALSE)</f>
        <v>47577</v>
      </c>
      <c r="Y1232" s="174">
        <f>_xll.qlInterestRateIndexValueDate(IborIndex,X1232)</f>
        <v>47581</v>
      </c>
      <c r="Z1232" s="175">
        <v>2.2586619571233257E-2</v>
      </c>
      <c r="AA1232" s="177">
        <v>2.2576343270087618E-2</v>
      </c>
    </row>
    <row r="1233" spans="23:27" x14ac:dyDescent="0.2">
      <c r="W1233" s="173" t="str">
        <f t="shared" si="29"/>
        <v>1w</v>
      </c>
      <c r="X1233" s="180">
        <f>_xll.qlCalendarAdvance(LiborCalendar,X1232,W1233,"f",FALSE)</f>
        <v>47584</v>
      </c>
      <c r="Y1233" s="174">
        <f>_xll.qlInterestRateIndexValueDate(IborIndex,X1233)</f>
        <v>47588</v>
      </c>
      <c r="Z1233" s="175">
        <v>2.2601049422853296E-2</v>
      </c>
      <c r="AA1233" s="177">
        <v>2.2592092502208283E-2</v>
      </c>
    </row>
    <row r="1234" spans="23:27" x14ac:dyDescent="0.2">
      <c r="W1234" s="173" t="str">
        <f t="shared" si="29"/>
        <v>1w</v>
      </c>
      <c r="X1234" s="180">
        <f>_xll.qlCalendarAdvance(LiborCalendar,X1233,W1234,"f",FALSE)</f>
        <v>47591</v>
      </c>
      <c r="Y1234" s="174">
        <f>_xll.qlInterestRateIndexValueDate(IborIndex,X1234)</f>
        <v>47597</v>
      </c>
      <c r="Z1234" s="175">
        <v>2.2619457441918633E-2</v>
      </c>
      <c r="AA1234" s="177">
        <v>2.2612196363558379E-2</v>
      </c>
    </row>
    <row r="1235" spans="23:27" x14ac:dyDescent="0.2">
      <c r="W1235" s="173" t="str">
        <f t="shared" si="29"/>
        <v>1w</v>
      </c>
      <c r="X1235" s="180">
        <f>_xll.qlCalendarAdvance(LiborCalendar,X1234,W1235,"f",FALSE)</f>
        <v>47598</v>
      </c>
      <c r="Y1235" s="174">
        <f>_xll.qlInterestRateIndexValueDate(IborIndex,X1235)</f>
        <v>47603</v>
      </c>
      <c r="Z1235" s="175">
        <v>2.26333289036664E-2</v>
      </c>
      <c r="AA1235" s="177">
        <v>2.2625508218340196E-2</v>
      </c>
    </row>
    <row r="1236" spans="23:27" x14ac:dyDescent="0.2">
      <c r="W1236" s="173" t="str">
        <f t="shared" si="29"/>
        <v>1w</v>
      </c>
      <c r="X1236" s="180">
        <f>_xll.qlCalendarAdvance(LiborCalendar,X1235,W1236,"f",FALSE)</f>
        <v>47605</v>
      </c>
      <c r="Y1236" s="174">
        <f>_xll.qlInterestRateIndexValueDate(IborIndex,X1236)</f>
        <v>47610</v>
      </c>
      <c r="Z1236" s="175">
        <v>2.2647443214715016E-2</v>
      </c>
      <c r="AA1236" s="177">
        <v>2.2640946987850796E-2</v>
      </c>
    </row>
    <row r="1237" spans="23:27" x14ac:dyDescent="0.2">
      <c r="W1237" s="173" t="str">
        <f t="shared" ref="W1237:W1300" si="30">W1236</f>
        <v>1w</v>
      </c>
      <c r="X1237" s="180">
        <f>_xll.qlCalendarAdvance(LiborCalendar,X1236,W1237,"f",FALSE)</f>
        <v>47612</v>
      </c>
      <c r="Y1237" s="174">
        <f>_xll.qlInterestRateIndexValueDate(IborIndex,X1237)</f>
        <v>47616</v>
      </c>
      <c r="Z1237" s="175">
        <v>2.2659462835360758E-2</v>
      </c>
      <c r="AA1237" s="177">
        <v>2.2654101595260823E-2</v>
      </c>
    </row>
    <row r="1238" spans="23:27" x14ac:dyDescent="0.2">
      <c r="W1238" s="173" t="str">
        <f t="shared" si="30"/>
        <v>1w</v>
      </c>
      <c r="X1238" s="180">
        <f>_xll.qlCalendarAdvance(LiborCalendar,X1237,W1238,"f",FALSE)</f>
        <v>47619</v>
      </c>
      <c r="Y1238" s="174">
        <f>_xll.qlInterestRateIndexValueDate(IborIndex,X1238)</f>
        <v>47623</v>
      </c>
      <c r="Z1238" s="175">
        <v>2.2673394303966445E-2</v>
      </c>
      <c r="AA1238" s="177">
        <v>2.2669356909625904E-2</v>
      </c>
    </row>
    <row r="1239" spans="23:27" x14ac:dyDescent="0.2">
      <c r="W1239" s="173" t="str">
        <f t="shared" si="30"/>
        <v>1w</v>
      </c>
      <c r="X1239" s="180">
        <f>_xll.qlCalendarAdvance(LiborCalendar,X1238,W1239,"f",FALSE)</f>
        <v>47626</v>
      </c>
      <c r="Y1239" s="174">
        <f>_xll.qlInterestRateIndexValueDate(IborIndex,X1239)</f>
        <v>47631</v>
      </c>
      <c r="Z1239" s="175">
        <v>2.2689195423148668E-2</v>
      </c>
      <c r="AA1239" s="177">
        <v>2.2686670595124525E-2</v>
      </c>
    </row>
    <row r="1240" spans="23:27" x14ac:dyDescent="0.2">
      <c r="W1240" s="173" t="str">
        <f t="shared" si="30"/>
        <v>1w</v>
      </c>
      <c r="X1240" s="180">
        <f>_xll.qlCalendarAdvance(LiborCalendar,X1239,W1240,"f",FALSE)</f>
        <v>47633</v>
      </c>
      <c r="Y1240" s="174">
        <f>_xll.qlInterestRateIndexValueDate(IborIndex,X1240)</f>
        <v>47637</v>
      </c>
      <c r="Z1240" s="175">
        <v>2.2699301936975766E-2</v>
      </c>
      <c r="AA1240" s="177">
        <v>2.2699571187686507E-2</v>
      </c>
    </row>
    <row r="1241" spans="23:27" x14ac:dyDescent="0.2">
      <c r="W1241" s="173" t="str">
        <f t="shared" si="30"/>
        <v>1w</v>
      </c>
      <c r="X1241" s="180">
        <f>_xll.qlCalendarAdvance(LiborCalendar,X1240,W1241,"f",FALSE)</f>
        <v>47640</v>
      </c>
      <c r="Y1241" s="174">
        <f>_xll.qlInterestRateIndexValueDate(IborIndex,X1241)</f>
        <v>47644</v>
      </c>
      <c r="Z1241" s="175">
        <v>2.2712944207232178E-2</v>
      </c>
      <c r="AA1241" s="177">
        <v>2.2714530151219936E-2</v>
      </c>
    </row>
    <row r="1242" spans="23:27" x14ac:dyDescent="0.2">
      <c r="W1242" s="173" t="str">
        <f t="shared" si="30"/>
        <v>1w</v>
      </c>
      <c r="X1242" s="180">
        <f>_xll.qlCalendarAdvance(LiborCalendar,X1241,W1242,"f",FALSE)</f>
        <v>47647</v>
      </c>
      <c r="Y1242" s="174">
        <f>_xll.qlInterestRateIndexValueDate(IborIndex,X1242)</f>
        <v>47651</v>
      </c>
      <c r="Z1242" s="175">
        <v>2.272648802054545E-2</v>
      </c>
      <c r="AA1242" s="177">
        <v>2.2729390331250876E-2</v>
      </c>
    </row>
    <row r="1243" spans="23:27" x14ac:dyDescent="0.2">
      <c r="W1243" s="173" t="str">
        <f t="shared" si="30"/>
        <v>1w</v>
      </c>
      <c r="X1243" s="180">
        <f>_xll.qlCalendarAdvance(LiborCalendar,X1242,W1243,"f",FALSE)</f>
        <v>47654</v>
      </c>
      <c r="Y1243" s="174">
        <f>_xll.qlInterestRateIndexValueDate(IborIndex,X1243)</f>
        <v>47658</v>
      </c>
      <c r="Z1243" s="175">
        <v>2.2739933374905819E-2</v>
      </c>
      <c r="AA1243" s="177">
        <v>2.2744151727617234E-2</v>
      </c>
    </row>
    <row r="1244" spans="23:27" x14ac:dyDescent="0.2">
      <c r="W1244" s="173" t="str">
        <f t="shared" si="30"/>
        <v>1w</v>
      </c>
      <c r="X1244" s="180">
        <f>_xll.qlCalendarAdvance(LiborCalendar,X1243,W1244,"f",FALSE)</f>
        <v>47661</v>
      </c>
      <c r="Y1244" s="174">
        <f>_xll.qlInterestRateIndexValueDate(IborIndex,X1244)</f>
        <v>47665</v>
      </c>
      <c r="Z1244" s="175">
        <v>2.2763083519214754E-2</v>
      </c>
      <c r="AA1244" s="177">
        <v>2.2758814340319011E-2</v>
      </c>
    </row>
    <row r="1245" spans="23:27" x14ac:dyDescent="0.2">
      <c r="W1245" s="173" t="str">
        <f t="shared" si="30"/>
        <v>1w</v>
      </c>
      <c r="X1245" s="180">
        <f>_xll.qlCalendarAdvance(LiborCalendar,X1244,W1245,"f",FALSE)</f>
        <v>47668</v>
      </c>
      <c r="Y1245" s="174">
        <f>_xll.qlInterestRateIndexValueDate(IborIndex,X1245)</f>
        <v>47672</v>
      </c>
      <c r="Z1245" s="175">
        <v>2.276815768471931E-2</v>
      </c>
      <c r="AA1245" s="177">
        <v>2.2773378169356207E-2</v>
      </c>
    </row>
    <row r="1246" spans="23:27" x14ac:dyDescent="0.2">
      <c r="W1246" s="173" t="str">
        <f t="shared" si="30"/>
        <v>1w</v>
      </c>
      <c r="X1246" s="180">
        <f>_xll.qlCalendarAdvance(LiborCalendar,X1245,W1246,"f",FALSE)</f>
        <v>47675</v>
      </c>
      <c r="Y1246" s="174">
        <f>_xll.qlInterestRateIndexValueDate(IborIndex,X1246)</f>
        <v>47680</v>
      </c>
      <c r="Z1246" s="175">
        <v>2.2783171084778991E-2</v>
      </c>
      <c r="AA1246" s="177">
        <v>2.278990158586236E-2</v>
      </c>
    </row>
    <row r="1247" spans="23:27" x14ac:dyDescent="0.2">
      <c r="W1247" s="173" t="str">
        <f t="shared" si="30"/>
        <v>1w</v>
      </c>
      <c r="X1247" s="180">
        <f>_xll.qlCalendarAdvance(LiborCalendar,X1246,W1247,"f",FALSE)</f>
        <v>47682</v>
      </c>
      <c r="Y1247" s="174">
        <f>_xll.qlInterestRateIndexValueDate(IborIndex,X1247)</f>
        <v>47686</v>
      </c>
      <c r="Z1247" s="175">
        <v>2.2794346729559017E-2</v>
      </c>
      <c r="AA1247" s="177">
        <v>2.2802209476517898E-2</v>
      </c>
    </row>
    <row r="1248" spans="23:27" x14ac:dyDescent="0.2">
      <c r="W1248" s="173" t="str">
        <f t="shared" si="30"/>
        <v>1w</v>
      </c>
      <c r="X1248" s="180">
        <f>_xll.qlCalendarAdvance(LiborCalendar,X1247,W1248,"f",FALSE)</f>
        <v>47689</v>
      </c>
      <c r="Y1248" s="174">
        <f>_xll.qlInterestRateIndexValueDate(IborIndex,X1248)</f>
        <v>47693</v>
      </c>
      <c r="Z1248" s="175">
        <v>2.2807293540956765E-2</v>
      </c>
      <c r="AA1248" s="177">
        <v>2.2816476954561349E-2</v>
      </c>
    </row>
    <row r="1249" spans="23:27" x14ac:dyDescent="0.2">
      <c r="W1249" s="173" t="str">
        <f t="shared" si="30"/>
        <v>1w</v>
      </c>
      <c r="X1249" s="180">
        <f>_xll.qlCalendarAdvance(LiborCalendar,X1248,W1249,"f",FALSE)</f>
        <v>47696</v>
      </c>
      <c r="Y1249" s="174">
        <f>_xll.qlInterestRateIndexValueDate(IborIndex,X1249)</f>
        <v>47700</v>
      </c>
      <c r="Z1249" s="175">
        <v>2.2820141875757198E-2</v>
      </c>
      <c r="AA1249" s="177">
        <v>2.2830645648940218E-2</v>
      </c>
    </row>
    <row r="1250" spans="23:27" x14ac:dyDescent="0.2">
      <c r="W1250" s="173" t="str">
        <f t="shared" si="30"/>
        <v>1w</v>
      </c>
      <c r="X1250" s="180">
        <f>_xll.qlCalendarAdvance(LiborCalendar,X1249,W1250,"f",FALSE)</f>
        <v>47703</v>
      </c>
      <c r="Y1250" s="174">
        <f>_xll.qlInterestRateIndexValueDate(IborIndex,X1250)</f>
        <v>47707</v>
      </c>
      <c r="Z1250" s="175">
        <v>2.2832891732040984E-2</v>
      </c>
      <c r="AA1250" s="177">
        <v>2.2844715559573459E-2</v>
      </c>
    </row>
    <row r="1251" spans="23:27" x14ac:dyDescent="0.2">
      <c r="W1251" s="173" t="str">
        <f t="shared" si="30"/>
        <v>1w</v>
      </c>
      <c r="X1251" s="180">
        <f>_xll.qlCalendarAdvance(LiborCalendar,X1250,W1251,"f",FALSE)</f>
        <v>47710</v>
      </c>
      <c r="Y1251" s="174">
        <f>_xll.qlInterestRateIndexValueDate(IborIndex,X1251)</f>
        <v>47714</v>
      </c>
      <c r="Z1251" s="175">
        <v>2.2845543107904435E-2</v>
      </c>
      <c r="AA1251" s="177">
        <v>2.2858686686542118E-2</v>
      </c>
    </row>
    <row r="1252" spans="23:27" x14ac:dyDescent="0.2">
      <c r="W1252" s="173" t="str">
        <f t="shared" si="30"/>
        <v>1w</v>
      </c>
      <c r="X1252" s="180">
        <f>_xll.qlCalendarAdvance(LiborCalendar,X1251,W1252,"f",FALSE)</f>
        <v>47717</v>
      </c>
      <c r="Y1252" s="174">
        <f>_xll.qlInterestRateIndexValueDate(IborIndex,X1252)</f>
        <v>47722</v>
      </c>
      <c r="Z1252" s="175">
        <v>2.2859881232483364E-2</v>
      </c>
      <c r="AA1252" s="177">
        <v>2.287453272901252E-2</v>
      </c>
    </row>
    <row r="1253" spans="23:27" x14ac:dyDescent="0.2">
      <c r="W1253" s="173" t="str">
        <f t="shared" si="30"/>
        <v>1w</v>
      </c>
      <c r="X1253" s="180">
        <f>_xll.qlCalendarAdvance(LiborCalendar,X1252,W1253,"f",FALSE)</f>
        <v>47724</v>
      </c>
      <c r="Y1253" s="174">
        <f>_xll.qlInterestRateIndexValueDate(IborIndex,X1253)</f>
        <v>47728</v>
      </c>
      <c r="Z1253" s="175">
        <v>2.2867391545596329E-2</v>
      </c>
      <c r="AA1253" s="177">
        <v>2.2886332589161507E-2</v>
      </c>
    </row>
    <row r="1254" spans="23:27" x14ac:dyDescent="0.2">
      <c r="W1254" s="173" t="str">
        <f t="shared" si="30"/>
        <v>1w</v>
      </c>
      <c r="X1254" s="180">
        <f>_xll.qlCalendarAdvance(LiborCalendar,X1253,W1254,"f",FALSE)</f>
        <v>47731</v>
      </c>
      <c r="Y1254" s="174">
        <f>_xll.qlInterestRateIndexValueDate(IborIndex,X1254)</f>
        <v>47735</v>
      </c>
      <c r="Z1254" s="175">
        <v>2.2879759976048023E-2</v>
      </c>
      <c r="AA1254" s="177">
        <v>2.2900007364812236E-2</v>
      </c>
    </row>
    <row r="1255" spans="23:27" x14ac:dyDescent="0.2">
      <c r="W1255" s="173" t="str">
        <f t="shared" si="30"/>
        <v>1w</v>
      </c>
      <c r="X1255" s="180">
        <f>_xll.qlCalendarAdvance(LiborCalendar,X1254,W1255,"f",FALSE)</f>
        <v>47738</v>
      </c>
      <c r="Y1255" s="174">
        <f>_xll.qlInterestRateIndexValueDate(IborIndex,X1255)</f>
        <v>47743</v>
      </c>
      <c r="Z1255" s="175">
        <v>2.2892207917632457E-2</v>
      </c>
      <c r="AA1255" s="177">
        <v>2.2915514720224239E-2</v>
      </c>
    </row>
    <row r="1256" spans="23:27" x14ac:dyDescent="0.2">
      <c r="W1256" s="173" t="str">
        <f t="shared" si="30"/>
        <v>1w</v>
      </c>
      <c r="X1256" s="180">
        <f>_xll.qlCalendarAdvance(LiborCalendar,X1255,W1256,"f",FALSE)</f>
        <v>47745</v>
      </c>
      <c r="Y1256" s="174">
        <f>_xll.qlInterestRateIndexValueDate(IborIndex,X1256)</f>
        <v>47750</v>
      </c>
      <c r="Z1256" s="175">
        <v>2.2904371590930225E-2</v>
      </c>
      <c r="AA1256" s="177">
        <v>2.2928977816443208E-2</v>
      </c>
    </row>
    <row r="1257" spans="23:27" x14ac:dyDescent="0.2">
      <c r="W1257" s="173" t="str">
        <f t="shared" si="30"/>
        <v>1w</v>
      </c>
      <c r="X1257" s="180">
        <f>_xll.qlCalendarAdvance(LiborCalendar,X1256,W1257,"f",FALSE)</f>
        <v>47752</v>
      </c>
      <c r="Y1257" s="174">
        <f>_xll.qlInterestRateIndexValueDate(IborIndex,X1257)</f>
        <v>47756</v>
      </c>
      <c r="Z1257" s="175">
        <v>2.2916274404061993E-2</v>
      </c>
      <c r="AA1257" s="177">
        <v>2.2940438989290657E-2</v>
      </c>
    </row>
    <row r="1258" spans="23:27" x14ac:dyDescent="0.2">
      <c r="W1258" s="173" t="str">
        <f t="shared" si="30"/>
        <v>1w</v>
      </c>
      <c r="X1258" s="180">
        <f>_xll.qlCalendarAdvance(LiborCalendar,X1257,W1258,"f",FALSE)</f>
        <v>47759</v>
      </c>
      <c r="Y1258" s="174">
        <f>_xll.qlInterestRateIndexValueDate(IborIndex,X1258)</f>
        <v>47763</v>
      </c>
      <c r="Z1258" s="175">
        <v>2.2928248919625728E-2</v>
      </c>
      <c r="AA1258" s="177">
        <v>2.2953718629877828E-2</v>
      </c>
    </row>
    <row r="1259" spans="23:27" x14ac:dyDescent="0.2">
      <c r="W1259" s="173" t="str">
        <f t="shared" si="30"/>
        <v>1w</v>
      </c>
      <c r="X1259" s="180">
        <f>_xll.qlCalendarAdvance(LiborCalendar,X1258,W1259,"f",FALSE)</f>
        <v>47766</v>
      </c>
      <c r="Y1259" s="174">
        <f>_xll.qlInterestRateIndexValueDate(IborIndex,X1259)</f>
        <v>47771</v>
      </c>
      <c r="Z1259" s="175">
        <v>2.2941813488518464E-2</v>
      </c>
      <c r="AA1259" s="177">
        <v>2.2968774402221115E-2</v>
      </c>
    </row>
    <row r="1260" spans="23:27" x14ac:dyDescent="0.2">
      <c r="W1260" s="173" t="str">
        <f t="shared" si="30"/>
        <v>1w</v>
      </c>
      <c r="X1260" s="180">
        <f>_xll.qlCalendarAdvance(LiborCalendar,X1259,W1260,"f",FALSE)</f>
        <v>47773</v>
      </c>
      <c r="Y1260" s="174">
        <f>_xll.qlInterestRateIndexValueDate(IborIndex,X1260)</f>
        <v>47777</v>
      </c>
      <c r="Z1260" s="175">
        <v>2.2951902499457236E-2</v>
      </c>
      <c r="AA1260" s="177">
        <v>2.2979981559572149E-2</v>
      </c>
    </row>
    <row r="1261" spans="23:27" x14ac:dyDescent="0.2">
      <c r="W1261" s="173" t="str">
        <f t="shared" si="30"/>
        <v>1w</v>
      </c>
      <c r="X1261" s="180">
        <f>_xll.qlCalendarAdvance(LiborCalendar,X1260,W1261,"f",FALSE)</f>
        <v>47780</v>
      </c>
      <c r="Y1261" s="174">
        <f>_xll.qlInterestRateIndexValueDate(IborIndex,X1261)</f>
        <v>47784</v>
      </c>
      <c r="Z1261" s="175">
        <v>2.2963581560230227E-2</v>
      </c>
      <c r="AA1261" s="177">
        <v>2.2992964848598252E-2</v>
      </c>
    </row>
    <row r="1262" spans="23:27" x14ac:dyDescent="0.2">
      <c r="W1262" s="173" t="str">
        <f t="shared" si="30"/>
        <v>1w</v>
      </c>
      <c r="X1262" s="180">
        <f>_xll.qlCalendarAdvance(LiborCalendar,X1261,W1262,"f",FALSE)</f>
        <v>47787</v>
      </c>
      <c r="Y1262" s="174">
        <f>_xll.qlInterestRateIndexValueDate(IborIndex,X1262)</f>
        <v>47792</v>
      </c>
      <c r="Z1262" s="175">
        <v>2.2978330764926145E-2</v>
      </c>
      <c r="AA1262" s="177">
        <v>2.3007681933558954E-2</v>
      </c>
    </row>
    <row r="1263" spans="23:27" x14ac:dyDescent="0.2">
      <c r="W1263" s="173" t="str">
        <f t="shared" si="30"/>
        <v>1w</v>
      </c>
      <c r="X1263" s="180">
        <f>_xll.qlCalendarAdvance(LiborCalendar,X1262,W1263,"f",FALSE)</f>
        <v>47794</v>
      </c>
      <c r="Y1263" s="174">
        <f>_xll.qlInterestRateIndexValueDate(IborIndex,X1263)</f>
        <v>47798</v>
      </c>
      <c r="Z1263" s="175">
        <v>2.2986644214865928E-2</v>
      </c>
      <c r="AA1263" s="177">
        <v>2.3018635075413574E-2</v>
      </c>
    </row>
    <row r="1264" spans="23:27" x14ac:dyDescent="0.2">
      <c r="W1264" s="173" t="str">
        <f t="shared" si="30"/>
        <v>1w</v>
      </c>
      <c r="X1264" s="180">
        <f>_xll.qlCalendarAdvance(LiborCalendar,X1263,W1264,"f",FALSE)</f>
        <v>47801</v>
      </c>
      <c r="Y1264" s="174">
        <f>_xll.qlInterestRateIndexValueDate(IborIndex,X1264)</f>
        <v>47805</v>
      </c>
      <c r="Z1264" s="175">
        <v>2.2998027805320814E-2</v>
      </c>
      <c r="AA1264" s="177">
        <v>2.3031322012878608E-2</v>
      </c>
    </row>
    <row r="1265" spans="23:27" x14ac:dyDescent="0.2">
      <c r="W1265" s="173" t="str">
        <f t="shared" si="30"/>
        <v>1w</v>
      </c>
      <c r="X1265" s="180">
        <f>_xll.qlCalendarAdvance(LiborCalendar,X1264,W1265,"f",FALSE)</f>
        <v>47808</v>
      </c>
      <c r="Y1265" s="174">
        <f>_xll.qlInterestRateIndexValueDate(IborIndex,X1265)</f>
        <v>47812</v>
      </c>
      <c r="Z1265" s="175">
        <v>2.3010817168954648E-2</v>
      </c>
      <c r="AA1265" s="177">
        <v>2.3043910166516968E-2</v>
      </c>
    </row>
    <row r="1266" spans="23:27" x14ac:dyDescent="0.2">
      <c r="W1266" s="173" t="str">
        <f t="shared" si="30"/>
        <v>1w</v>
      </c>
      <c r="X1266" s="180">
        <f>_xll.qlCalendarAdvance(LiborCalendar,X1265,W1266,"f",FALSE)</f>
        <v>47815</v>
      </c>
      <c r="Y1266" s="174">
        <f>_xll.qlInterestRateIndexValueDate(IborIndex,X1266)</f>
        <v>47819</v>
      </c>
      <c r="Z1266" s="175">
        <v>2.3020499504096882E-2</v>
      </c>
      <c r="AA1266" s="177">
        <v>2.3056399536328653E-2</v>
      </c>
    </row>
    <row r="1267" spans="23:27" x14ac:dyDescent="0.2">
      <c r="W1267" s="173" t="str">
        <f t="shared" si="30"/>
        <v>1w</v>
      </c>
      <c r="X1267" s="180">
        <f>_xll.qlCalendarAdvance(LiborCalendar,X1266,W1267,"f",FALSE)</f>
        <v>47822</v>
      </c>
      <c r="Y1267" s="174">
        <f>_xll.qlInterestRateIndexValueDate(IborIndex,X1267)</f>
        <v>47826</v>
      </c>
      <c r="Z1267" s="175">
        <v>2.3031587609098084E-2</v>
      </c>
      <c r="AA1267" s="177">
        <v>2.3068790122313665E-2</v>
      </c>
    </row>
    <row r="1268" spans="23:27" x14ac:dyDescent="0.2">
      <c r="W1268" s="173" t="str">
        <f t="shared" si="30"/>
        <v>1w</v>
      </c>
      <c r="X1268" s="180">
        <f>_xll.qlCalendarAdvance(LiborCalendar,X1267,W1268,"f",FALSE)</f>
        <v>47829</v>
      </c>
      <c r="Y1268" s="174">
        <f>_xll.qlInterestRateIndexValueDate(IborIndex,X1268)</f>
        <v>47833</v>
      </c>
      <c r="Z1268" s="175">
        <v>2.3042577215652522E-2</v>
      </c>
      <c r="AA1268" s="177">
        <v>2.3081081924228863E-2</v>
      </c>
    </row>
    <row r="1269" spans="23:27" x14ac:dyDescent="0.2">
      <c r="W1269" s="173" t="str">
        <f t="shared" si="30"/>
        <v>1w</v>
      </c>
      <c r="X1269" s="180">
        <f>_xll.qlCalendarAdvance(LiborCalendar,X1268,W1269,"f",FALSE)</f>
        <v>47836</v>
      </c>
      <c r="Y1269" s="174">
        <f>_xll.qlInterestRateIndexValueDate(IborIndex,X1269)</f>
        <v>47841</v>
      </c>
      <c r="Z1269" s="175">
        <v>2.3055016153576163E-2</v>
      </c>
      <c r="AA1269" s="177">
        <v>2.3098201409249935E-2</v>
      </c>
    </row>
    <row r="1270" spans="23:27" x14ac:dyDescent="0.2">
      <c r="W1270" s="173" t="str">
        <f t="shared" si="30"/>
        <v>1w</v>
      </c>
      <c r="X1270" s="180">
        <f>_xll.qlCalendarAdvance(LiborCalendar,X1269,W1270,"f",FALSE)</f>
        <v>47844</v>
      </c>
      <c r="Y1270" s="174">
        <f>_xll.qlInterestRateIndexValueDate(IborIndex,X1270)</f>
        <v>47854</v>
      </c>
      <c r="Z1270" s="175">
        <v>2.307495502847369E-2</v>
      </c>
      <c r="AA1270" s="177">
        <v>2.3117364626771275E-2</v>
      </c>
    </row>
    <row r="1271" spans="23:27" x14ac:dyDescent="0.2">
      <c r="W1271" s="173" t="str">
        <f t="shared" si="30"/>
        <v>1w</v>
      </c>
      <c r="X1271" s="180">
        <f>_xll.qlCalendarAdvance(LiborCalendar,X1270,W1271,"f",FALSE)</f>
        <v>47851</v>
      </c>
      <c r="Y1271" s="174">
        <f>_xll.qlInterestRateIndexValueDate(IborIndex,X1271)</f>
        <v>47855</v>
      </c>
      <c r="Z1271" s="175">
        <v>2.3075008852367865E-2</v>
      </c>
      <c r="AA1271" s="177">
        <v>2.311907019850068E-2</v>
      </c>
    </row>
    <row r="1272" spans="23:27" x14ac:dyDescent="0.2">
      <c r="W1272" s="173" t="str">
        <f t="shared" si="30"/>
        <v>1w</v>
      </c>
      <c r="X1272" s="180">
        <f>_xll.qlCalendarAdvance(LiborCalendar,X1271,W1272,"f",FALSE)</f>
        <v>47858</v>
      </c>
      <c r="Y1272" s="174">
        <f>_xll.qlInterestRateIndexValueDate(IborIndex,X1272)</f>
        <v>47862</v>
      </c>
      <c r="Z1272" s="175">
        <v>2.3085596738162937E-2</v>
      </c>
      <c r="AA1272" s="177">
        <v>2.3130952752844491E-2</v>
      </c>
    </row>
    <row r="1273" spans="23:27" x14ac:dyDescent="0.2">
      <c r="W1273" s="173" t="str">
        <f t="shared" si="30"/>
        <v>1w</v>
      </c>
      <c r="X1273" s="180">
        <f>_xll.qlCalendarAdvance(LiborCalendar,X1272,W1273,"f",FALSE)</f>
        <v>47865</v>
      </c>
      <c r="Y1273" s="174">
        <f>_xll.qlInterestRateIndexValueDate(IborIndex,X1273)</f>
        <v>47869</v>
      </c>
      <c r="Z1273" s="175">
        <v>2.3097539258303684E-2</v>
      </c>
      <c r="AA1273" s="177">
        <v>2.314273652311849E-2</v>
      </c>
    </row>
    <row r="1274" spans="23:27" x14ac:dyDescent="0.2">
      <c r="W1274" s="173" t="str">
        <f t="shared" si="30"/>
        <v>1w</v>
      </c>
      <c r="X1274" s="180">
        <f>_xll.qlCalendarAdvance(LiborCalendar,X1273,W1274,"f",FALSE)</f>
        <v>47872</v>
      </c>
      <c r="Y1274" s="174">
        <f>_xll.qlInterestRateIndexValueDate(IborIndex,X1274)</f>
        <v>47876</v>
      </c>
      <c r="Z1274" s="175">
        <v>2.310647700654311E-2</v>
      </c>
      <c r="AA1274" s="177">
        <v>2.3154421509565815E-2</v>
      </c>
    </row>
    <row r="1275" spans="23:27" x14ac:dyDescent="0.2">
      <c r="W1275" s="173" t="str">
        <f t="shared" si="30"/>
        <v>1w</v>
      </c>
      <c r="X1275" s="180">
        <f>_xll.qlCalendarAdvance(LiborCalendar,X1274,W1275,"f",FALSE)</f>
        <v>47879</v>
      </c>
      <c r="Y1275" s="174">
        <f>_xll.qlInterestRateIndexValueDate(IborIndex,X1275)</f>
        <v>47883</v>
      </c>
      <c r="Z1275" s="175">
        <v>2.3116769386060613E-2</v>
      </c>
      <c r="AA1275" s="177">
        <v>2.3166007712024372E-2</v>
      </c>
    </row>
    <row r="1276" spans="23:27" x14ac:dyDescent="0.2">
      <c r="W1276" s="173" t="str">
        <f t="shared" si="30"/>
        <v>1w</v>
      </c>
      <c r="X1276" s="180">
        <f>_xll.qlCalendarAdvance(LiborCalendar,X1275,W1276,"f",FALSE)</f>
        <v>47886</v>
      </c>
      <c r="Y1276" s="174">
        <f>_xll.qlInterestRateIndexValueDate(IborIndex,X1276)</f>
        <v>47891</v>
      </c>
      <c r="Z1276" s="175">
        <v>2.3128411486887861E-2</v>
      </c>
      <c r="AA1276" s="177">
        <v>2.3179128126170623E-2</v>
      </c>
    </row>
    <row r="1277" spans="23:27" x14ac:dyDescent="0.2">
      <c r="W1277" s="173" t="str">
        <f t="shared" si="30"/>
        <v>1w</v>
      </c>
      <c r="X1277" s="180">
        <f>_xll.qlCalendarAdvance(LiborCalendar,X1276,W1277,"f",FALSE)</f>
        <v>47893</v>
      </c>
      <c r="Y1277" s="174">
        <f>_xll.qlInterestRateIndexValueDate(IborIndex,X1277)</f>
        <v>47897</v>
      </c>
      <c r="Z1277" s="175">
        <v>2.3137058628190085E-2</v>
      </c>
      <c r="AA1277" s="177">
        <v>2.3188883764894141E-2</v>
      </c>
    </row>
    <row r="1278" spans="23:27" x14ac:dyDescent="0.2">
      <c r="W1278" s="173" t="str">
        <f t="shared" si="30"/>
        <v>1w</v>
      </c>
      <c r="X1278" s="180">
        <f>_xll.qlCalendarAdvance(LiborCalendar,X1277,W1278,"f",FALSE)</f>
        <v>47900</v>
      </c>
      <c r="Y1278" s="174">
        <f>_xll.qlInterestRateIndexValueDate(IborIndex,X1278)</f>
        <v>47904</v>
      </c>
      <c r="Z1278" s="175">
        <v>2.3148476693925227E-2</v>
      </c>
      <c r="AA1278" s="177">
        <v>2.3200173615305353E-2</v>
      </c>
    </row>
    <row r="1279" spans="23:27" x14ac:dyDescent="0.2">
      <c r="W1279" s="173" t="str">
        <f t="shared" si="30"/>
        <v>1w</v>
      </c>
      <c r="X1279" s="180">
        <f>_xll.qlCalendarAdvance(LiborCalendar,X1278,W1279,"f",FALSE)</f>
        <v>47907</v>
      </c>
      <c r="Y1279" s="174">
        <f>_xll.qlInterestRateIndexValueDate(IborIndex,X1279)</f>
        <v>47911</v>
      </c>
      <c r="Z1279" s="175">
        <v>2.3161196585919763E-2</v>
      </c>
      <c r="AA1279" s="177">
        <v>2.3211364681646751E-2</v>
      </c>
    </row>
    <row r="1280" spans="23:27" x14ac:dyDescent="0.2">
      <c r="W1280" s="173" t="str">
        <f t="shared" si="30"/>
        <v>1w</v>
      </c>
      <c r="X1280" s="180">
        <f>_xll.qlCalendarAdvance(LiborCalendar,X1279,W1280,"f",FALSE)</f>
        <v>47914</v>
      </c>
      <c r="Y1280" s="174">
        <f>_xll.qlInterestRateIndexValueDate(IborIndex,X1280)</f>
        <v>47918</v>
      </c>
      <c r="Z1280" s="175">
        <v>2.3170977191663764E-2</v>
      </c>
      <c r="AA1280" s="177">
        <v>2.3222456964080429E-2</v>
      </c>
    </row>
    <row r="1281" spans="23:27" x14ac:dyDescent="0.2">
      <c r="W1281" s="173" t="str">
        <f t="shared" si="30"/>
        <v>1w</v>
      </c>
      <c r="X1281" s="180">
        <f>_xll.qlCalendarAdvance(LiborCalendar,X1280,W1281,"f",FALSE)</f>
        <v>47921</v>
      </c>
      <c r="Y1281" s="174">
        <f>_xll.qlInterestRateIndexValueDate(IborIndex,X1281)</f>
        <v>47925</v>
      </c>
      <c r="Z1281" s="175">
        <v>2.3180659266493465E-2</v>
      </c>
      <c r="AA1281" s="177">
        <v>2.3233450462444294E-2</v>
      </c>
    </row>
    <row r="1282" spans="23:27" x14ac:dyDescent="0.2">
      <c r="W1282" s="173" t="str">
        <f t="shared" si="30"/>
        <v>1w</v>
      </c>
      <c r="X1282" s="180">
        <f>_xll.qlCalendarAdvance(LiborCalendar,X1281,W1282,"f",FALSE)</f>
        <v>47928</v>
      </c>
      <c r="Y1282" s="174">
        <f>_xll.qlInterestRateIndexValueDate(IborIndex,X1282)</f>
        <v>47932</v>
      </c>
      <c r="Z1282" s="175">
        <v>2.319024280896307E-2</v>
      </c>
      <c r="AA1282" s="177">
        <v>2.3244345176900438E-2</v>
      </c>
    </row>
    <row r="1283" spans="23:27" x14ac:dyDescent="0.2">
      <c r="W1283" s="173" t="str">
        <f t="shared" si="30"/>
        <v>1w</v>
      </c>
      <c r="X1283" s="180">
        <f>_xll.qlCalendarAdvance(LiborCalendar,X1282,W1283,"f",FALSE)</f>
        <v>47935</v>
      </c>
      <c r="Y1283" s="174">
        <f>_xll.qlInterestRateIndexValueDate(IborIndex,X1283)</f>
        <v>47939</v>
      </c>
      <c r="Z1283" s="175">
        <v>2.3198339805543752E-2</v>
      </c>
      <c r="AA1283" s="177">
        <v>2.3255141107124677E-2</v>
      </c>
    </row>
    <row r="1284" spans="23:27" x14ac:dyDescent="0.2">
      <c r="W1284" s="173" t="str">
        <f t="shared" si="30"/>
        <v>1w</v>
      </c>
      <c r="X1284" s="180">
        <f>_xll.qlCalendarAdvance(LiborCalendar,X1283,W1284,"f",FALSE)</f>
        <v>47942</v>
      </c>
      <c r="Y1284" s="174">
        <f>_xll.qlInterestRateIndexValueDate(IborIndex,X1284)</f>
        <v>47946</v>
      </c>
      <c r="Z1284" s="175">
        <v>2.3207732715557254E-2</v>
      </c>
      <c r="AA1284" s="177">
        <v>2.3265838253360149E-2</v>
      </c>
    </row>
    <row r="1285" spans="23:27" x14ac:dyDescent="0.2">
      <c r="W1285" s="173" t="str">
        <f t="shared" si="30"/>
        <v>1w</v>
      </c>
      <c r="X1285" s="180">
        <f>_xll.qlCalendarAdvance(LiborCalendar,X1284,W1285,"f",FALSE)</f>
        <v>47953</v>
      </c>
      <c r="Y1285" s="174">
        <f>_xll.qlInterestRateIndexValueDate(IborIndex,X1285)</f>
        <v>47955</v>
      </c>
      <c r="Z1285" s="175">
        <v>2.3219664534535348E-2</v>
      </c>
      <c r="AA1285" s="177">
        <v>2.3279446575112939E-2</v>
      </c>
    </row>
    <row r="1286" spans="23:27" x14ac:dyDescent="0.2">
      <c r="W1286" s="173" t="str">
        <f t="shared" si="30"/>
        <v>1w</v>
      </c>
      <c r="X1286" s="180">
        <f>_xll.qlCalendarAdvance(LiborCalendar,X1285,W1286,"f",FALSE)</f>
        <v>47960</v>
      </c>
      <c r="Y1286" s="174">
        <f>_xll.qlInterestRateIndexValueDate(IborIndex,X1286)</f>
        <v>47962</v>
      </c>
      <c r="Z1286" s="175">
        <v>2.3228832230094112E-2</v>
      </c>
      <c r="AA1286" s="177">
        <v>2.3289917929165682E-2</v>
      </c>
    </row>
    <row r="1287" spans="23:27" x14ac:dyDescent="0.2">
      <c r="W1287" s="173" t="str">
        <f t="shared" si="30"/>
        <v>1w</v>
      </c>
      <c r="X1287" s="180">
        <f>_xll.qlCalendarAdvance(LiborCalendar,X1286,W1287,"f",FALSE)</f>
        <v>47967</v>
      </c>
      <c r="Y1287" s="174">
        <f>_xll.qlInterestRateIndexValueDate(IborIndex,X1287)</f>
        <v>47969</v>
      </c>
      <c r="Z1287" s="175">
        <v>2.3243339566609546E-2</v>
      </c>
      <c r="AA1287" s="177">
        <v>2.3300290499229659E-2</v>
      </c>
    </row>
    <row r="1288" spans="23:27" x14ac:dyDescent="0.2">
      <c r="W1288" s="173" t="str">
        <f t="shared" si="30"/>
        <v>1w</v>
      </c>
      <c r="X1288" s="180">
        <f>_xll.qlCalendarAdvance(LiborCalendar,X1287,W1288,"f",FALSE)</f>
        <v>47974</v>
      </c>
      <c r="Y1288" s="174">
        <f>_xll.qlInterestRateIndexValueDate(IborIndex,X1288)</f>
        <v>47976</v>
      </c>
      <c r="Z1288" s="175">
        <v>2.3250932098259614E-2</v>
      </c>
      <c r="AA1288" s="177">
        <v>2.3310564285142776E-2</v>
      </c>
    </row>
    <row r="1289" spans="23:27" x14ac:dyDescent="0.2">
      <c r="W1289" s="173" t="str">
        <f t="shared" si="30"/>
        <v>1w</v>
      </c>
      <c r="X1289" s="180">
        <f>_xll.qlCalendarAdvance(LiborCalendar,X1288,W1289,"f",FALSE)</f>
        <v>47981</v>
      </c>
      <c r="Y1289" s="174">
        <f>_xll.qlInterestRateIndexValueDate(IborIndex,X1289)</f>
        <v>47983</v>
      </c>
      <c r="Z1289" s="175">
        <v>2.3259784778794052E-2</v>
      </c>
      <c r="AA1289" s="177">
        <v>2.3320739286905035E-2</v>
      </c>
    </row>
    <row r="1290" spans="23:27" x14ac:dyDescent="0.2">
      <c r="W1290" s="173" t="str">
        <f t="shared" si="30"/>
        <v>1w</v>
      </c>
      <c r="X1290" s="180">
        <f>_xll.qlCalendarAdvance(LiborCalendar,X1289,W1290,"f",FALSE)</f>
        <v>47988</v>
      </c>
      <c r="Y1290" s="174">
        <f>_xll.qlInterestRateIndexValueDate(IborIndex,X1290)</f>
        <v>47990</v>
      </c>
      <c r="Z1290" s="175">
        <v>2.3269878191514038E-2</v>
      </c>
      <c r="AA1290" s="177">
        <v>2.333081550459748E-2</v>
      </c>
    </row>
    <row r="1291" spans="23:27" x14ac:dyDescent="0.2">
      <c r="W1291" s="173" t="str">
        <f t="shared" si="30"/>
        <v>1w</v>
      </c>
      <c r="X1291" s="180">
        <f>_xll.qlCalendarAdvance(LiborCalendar,X1290,W1291,"f",FALSE)</f>
        <v>47995</v>
      </c>
      <c r="Y1291" s="174">
        <f>_xll.qlInterestRateIndexValueDate(IborIndex,X1291)</f>
        <v>47997</v>
      </c>
      <c r="Z1291" s="175">
        <v>2.327319267759E-2</v>
      </c>
      <c r="AA1291" s="177">
        <v>2.3340792938301158E-2</v>
      </c>
    </row>
    <row r="1292" spans="23:27" x14ac:dyDescent="0.2">
      <c r="W1292" s="173" t="str">
        <f t="shared" si="30"/>
        <v>1w</v>
      </c>
      <c r="X1292" s="180">
        <f>_xll.qlCalendarAdvance(LiborCalendar,X1291,W1292,"f",FALSE)</f>
        <v>48002</v>
      </c>
      <c r="Y1292" s="174">
        <f>_xll.qlInterestRateIndexValueDate(IborIndex,X1292)</f>
        <v>48004</v>
      </c>
      <c r="Z1292" s="175">
        <v>2.3281769151803657E-2</v>
      </c>
      <c r="AA1292" s="177">
        <v>2.3350671587691885E-2</v>
      </c>
    </row>
    <row r="1293" spans="23:27" x14ac:dyDescent="0.2">
      <c r="W1293" s="173" t="str">
        <f t="shared" si="30"/>
        <v>1w</v>
      </c>
      <c r="X1293" s="180">
        <f>_xll.qlCalendarAdvance(LiborCalendar,X1292,W1293,"f",FALSE)</f>
        <v>48009</v>
      </c>
      <c r="Y1293" s="174">
        <f>_xll.qlInterestRateIndexValueDate(IborIndex,X1293)</f>
        <v>48011</v>
      </c>
      <c r="Z1293" s="175">
        <v>2.3290247084581321E-2</v>
      </c>
      <c r="AA1293" s="177">
        <v>2.3360451453093845E-2</v>
      </c>
    </row>
    <row r="1294" spans="23:27" x14ac:dyDescent="0.2">
      <c r="W1294" s="173" t="str">
        <f t="shared" si="30"/>
        <v>1w</v>
      </c>
      <c r="X1294" s="180">
        <f>_xll.qlCalendarAdvance(LiborCalendar,X1293,W1294,"f",FALSE)</f>
        <v>48016</v>
      </c>
      <c r="Y1294" s="174">
        <f>_xll.qlInterestRateIndexValueDate(IborIndex,X1294)</f>
        <v>48018</v>
      </c>
      <c r="Z1294" s="175">
        <v>2.3298626474664106E-2</v>
      </c>
      <c r="AA1294" s="177">
        <v>2.3370132534263899E-2</v>
      </c>
    </row>
    <row r="1295" spans="23:27" x14ac:dyDescent="0.2">
      <c r="W1295" s="173" t="str">
        <f t="shared" si="30"/>
        <v>1w</v>
      </c>
      <c r="X1295" s="180">
        <f>_xll.qlCalendarAdvance(LiborCalendar,X1294,W1295,"f",FALSE)</f>
        <v>48023</v>
      </c>
      <c r="Y1295" s="174">
        <f>_xll.qlInterestRateIndexValueDate(IborIndex,X1295)</f>
        <v>48025</v>
      </c>
      <c r="Z1295" s="175">
        <v>2.3310831136167384E-2</v>
      </c>
      <c r="AA1295" s="177">
        <v>2.337971483136414E-2</v>
      </c>
    </row>
    <row r="1296" spans="23:27" x14ac:dyDescent="0.2">
      <c r="W1296" s="173" t="str">
        <f t="shared" si="30"/>
        <v>1w</v>
      </c>
      <c r="X1296" s="180">
        <f>_xll.qlCalendarAdvance(LiborCalendar,X1295,W1296,"f",FALSE)</f>
        <v>48030</v>
      </c>
      <c r="Y1296" s="174">
        <f>_xll.qlInterestRateIndexValueDate(IborIndex,X1296)</f>
        <v>48032</v>
      </c>
      <c r="Z1296" s="175">
        <v>2.3318993896101176E-2</v>
      </c>
      <c r="AA1296" s="177">
        <v>2.3389198344232476E-2</v>
      </c>
    </row>
    <row r="1297" spans="23:27" x14ac:dyDescent="0.2">
      <c r="W1297" s="173" t="str">
        <f t="shared" si="30"/>
        <v>1w</v>
      </c>
      <c r="X1297" s="180">
        <f>_xll.qlCalendarAdvance(LiborCalendar,X1296,W1297,"f",FALSE)</f>
        <v>48037</v>
      </c>
      <c r="Y1297" s="174">
        <f>_xll.qlInterestRateIndexValueDate(IborIndex,X1297)</f>
        <v>48039</v>
      </c>
      <c r="Z1297" s="175">
        <v>2.3328351858889092E-2</v>
      </c>
      <c r="AA1297" s="177">
        <v>2.3398583072949952E-2</v>
      </c>
    </row>
    <row r="1298" spans="23:27" x14ac:dyDescent="0.2">
      <c r="W1298" s="173" t="str">
        <f t="shared" si="30"/>
        <v>1w</v>
      </c>
      <c r="X1298" s="180">
        <f>_xll.qlCalendarAdvance(LiborCalendar,X1297,W1298,"f",FALSE)</f>
        <v>48044</v>
      </c>
      <c r="Y1298" s="174">
        <f>_xll.qlInterestRateIndexValueDate(IborIndex,X1298)</f>
        <v>48046</v>
      </c>
      <c r="Z1298" s="175">
        <v>2.3335023719346298E-2</v>
      </c>
      <c r="AA1298" s="177">
        <v>2.3407869017597616E-2</v>
      </c>
    </row>
    <row r="1299" spans="23:27" x14ac:dyDescent="0.2">
      <c r="W1299" s="173" t="str">
        <f t="shared" si="30"/>
        <v>1w</v>
      </c>
      <c r="X1299" s="180">
        <f>_xll.qlCalendarAdvance(LiborCalendar,X1298,W1299,"f",FALSE)</f>
        <v>48051</v>
      </c>
      <c r="Y1299" s="174">
        <f>_xll.qlInterestRateIndexValueDate(IborIndex,X1299)</f>
        <v>48053</v>
      </c>
      <c r="Z1299" s="175">
        <v>2.3342890780237199E-2</v>
      </c>
      <c r="AA1299" s="177">
        <v>2.3417056177932327E-2</v>
      </c>
    </row>
    <row r="1300" spans="23:27" x14ac:dyDescent="0.2">
      <c r="W1300" s="173" t="str">
        <f t="shared" si="30"/>
        <v>1w</v>
      </c>
      <c r="X1300" s="180">
        <f>_xll.qlCalendarAdvance(LiborCalendar,X1299,W1300,"f",FALSE)</f>
        <v>48058</v>
      </c>
      <c r="Y1300" s="174">
        <f>_xll.qlInterestRateIndexValueDate(IborIndex,X1300)</f>
        <v>48060</v>
      </c>
      <c r="Z1300" s="175">
        <v>2.3346833349881899E-2</v>
      </c>
      <c r="AA1300" s="177">
        <v>2.3426144554116179E-2</v>
      </c>
    </row>
    <row r="1301" spans="23:27" x14ac:dyDescent="0.2">
      <c r="W1301" s="173" t="str">
        <f t="shared" ref="W1301:W1364" si="31">W1300</f>
        <v>1w</v>
      </c>
      <c r="X1301" s="180">
        <f>_xll.qlCalendarAdvance(LiborCalendar,X1300,W1301,"f",FALSE)</f>
        <v>48065</v>
      </c>
      <c r="Y1301" s="174">
        <f>_xll.qlInterestRateIndexValueDate(IborIndex,X1301)</f>
        <v>48067</v>
      </c>
      <c r="Z1301" s="175">
        <v>2.3358329194617215E-2</v>
      </c>
      <c r="AA1301" s="177">
        <v>2.3435134146149172E-2</v>
      </c>
    </row>
    <row r="1302" spans="23:27" x14ac:dyDescent="0.2">
      <c r="W1302" s="173" t="str">
        <f t="shared" si="31"/>
        <v>1w</v>
      </c>
      <c r="X1302" s="180">
        <f>_xll.qlCalendarAdvance(LiborCalendar,X1301,W1302,"f",FALSE)</f>
        <v>48072</v>
      </c>
      <c r="Y1302" s="174">
        <f>_xll.qlInterestRateIndexValueDate(IborIndex,X1302)</f>
        <v>48074</v>
      </c>
      <c r="Z1302" s="175">
        <v>2.3365900545774431E-2</v>
      </c>
      <c r="AA1302" s="177">
        <v>2.344402495395026E-2</v>
      </c>
    </row>
    <row r="1303" spans="23:27" x14ac:dyDescent="0.2">
      <c r="W1303" s="173" t="str">
        <f t="shared" si="31"/>
        <v>1w</v>
      </c>
      <c r="X1303" s="180">
        <f>_xll.qlCalendarAdvance(LiborCalendar,X1302,W1303,"f",FALSE)</f>
        <v>48079</v>
      </c>
      <c r="Y1303" s="174">
        <f>_xll.qlInterestRateIndexValueDate(IborIndex,X1303)</f>
        <v>48081</v>
      </c>
      <c r="Z1303" s="175">
        <v>2.3373373324715018E-2</v>
      </c>
      <c r="AA1303" s="177">
        <v>2.3452816977600488E-2</v>
      </c>
    </row>
    <row r="1304" spans="23:27" x14ac:dyDescent="0.2">
      <c r="W1304" s="173" t="str">
        <f t="shared" si="31"/>
        <v>1w</v>
      </c>
      <c r="X1304" s="180">
        <f>_xll.qlCalendarAdvance(LiborCalendar,X1303,W1304,"f",FALSE)</f>
        <v>48086</v>
      </c>
      <c r="Y1304" s="174">
        <f>_xll.qlInterestRateIndexValueDate(IborIndex,X1304)</f>
        <v>48088</v>
      </c>
      <c r="Z1304" s="175">
        <v>2.3377000260656325E-2</v>
      </c>
      <c r="AA1304" s="177">
        <v>2.3461510216937764E-2</v>
      </c>
    </row>
    <row r="1305" spans="23:27" x14ac:dyDescent="0.2">
      <c r="W1305" s="173" t="str">
        <f t="shared" si="31"/>
        <v>1w</v>
      </c>
      <c r="X1305" s="180">
        <f>_xll.qlCalendarAdvance(LiborCalendar,X1304,W1305,"f",FALSE)</f>
        <v>48093</v>
      </c>
      <c r="Y1305" s="174">
        <f>_xll.qlInterestRateIndexValueDate(IborIndex,X1305)</f>
        <v>48095</v>
      </c>
      <c r="Z1305" s="175">
        <v>2.33830519321634E-2</v>
      </c>
      <c r="AA1305" s="177">
        <v>2.3470104672124181E-2</v>
      </c>
    </row>
    <row r="1306" spans="23:27" x14ac:dyDescent="0.2">
      <c r="W1306" s="173" t="str">
        <f t="shared" si="31"/>
        <v>1w</v>
      </c>
      <c r="X1306" s="180">
        <f>_xll.qlCalendarAdvance(LiborCalendar,X1305,W1306,"f",FALSE)</f>
        <v>48100</v>
      </c>
      <c r="Y1306" s="174">
        <f>_xll.qlInterestRateIndexValueDate(IborIndex,X1306)</f>
        <v>48102</v>
      </c>
      <c r="Z1306" s="175">
        <v>2.3390255291684578E-2</v>
      </c>
      <c r="AA1306" s="177">
        <v>2.3478600343159739E-2</v>
      </c>
    </row>
    <row r="1307" spans="23:27" x14ac:dyDescent="0.2">
      <c r="W1307" s="173" t="str">
        <f t="shared" si="31"/>
        <v>1w</v>
      </c>
      <c r="X1307" s="180">
        <f>_xll.qlCalendarAdvance(LiborCalendar,X1306,W1307,"f",FALSE)</f>
        <v>48107</v>
      </c>
      <c r="Y1307" s="174">
        <f>_xll.qlInterestRateIndexValueDate(IborIndex,X1307)</f>
        <v>48109</v>
      </c>
      <c r="Z1307" s="175">
        <v>2.3397360099769293E-2</v>
      </c>
      <c r="AA1307" s="177">
        <v>2.3486997229801299E-2</v>
      </c>
    </row>
    <row r="1308" spans="23:27" x14ac:dyDescent="0.2">
      <c r="W1308" s="173" t="str">
        <f t="shared" si="31"/>
        <v>1w</v>
      </c>
      <c r="X1308" s="180">
        <f>_xll.qlCalendarAdvance(LiborCalendar,X1307,W1308,"f",FALSE)</f>
        <v>48114</v>
      </c>
      <c r="Y1308" s="174">
        <f>_xll.qlInterestRateIndexValueDate(IborIndex,X1308)</f>
        <v>48116</v>
      </c>
      <c r="Z1308" s="175">
        <v>2.3404366355368272E-2</v>
      </c>
      <c r="AA1308" s="177">
        <v>2.3495295332210953E-2</v>
      </c>
    </row>
    <row r="1309" spans="23:27" x14ac:dyDescent="0.2">
      <c r="W1309" s="173" t="str">
        <f t="shared" si="31"/>
        <v>1w</v>
      </c>
      <c r="X1309" s="180">
        <f>_xll.qlCalendarAdvance(LiborCalendar,X1308,W1309,"f",FALSE)</f>
        <v>48121</v>
      </c>
      <c r="Y1309" s="174">
        <f>_xll.qlInterestRateIndexValueDate(IborIndex,X1309)</f>
        <v>48123</v>
      </c>
      <c r="Z1309" s="175">
        <v>2.3412491390875964E-2</v>
      </c>
      <c r="AA1309" s="177">
        <v>2.3503494650469747E-2</v>
      </c>
    </row>
    <row r="1310" spans="23:27" x14ac:dyDescent="0.2">
      <c r="W1310" s="173" t="str">
        <f t="shared" si="31"/>
        <v>1w</v>
      </c>
      <c r="X1310" s="180">
        <f>_xll.qlCalendarAdvance(LiborCalendar,X1309,W1310,"f",FALSE)</f>
        <v>48128</v>
      </c>
      <c r="Y1310" s="174">
        <f>_xll.qlInterestRateIndexValueDate(IborIndex,X1310)</f>
        <v>48130</v>
      </c>
      <c r="Z1310" s="175">
        <v>2.3419293938498429E-2</v>
      </c>
      <c r="AA1310" s="177">
        <v>2.351159518441559E-2</v>
      </c>
    </row>
    <row r="1311" spans="23:27" x14ac:dyDescent="0.2">
      <c r="W1311" s="173" t="str">
        <f t="shared" si="31"/>
        <v>1w</v>
      </c>
      <c r="X1311" s="180">
        <f>_xll.qlCalendarAdvance(LiborCalendar,X1310,W1311,"f",FALSE)</f>
        <v>48135</v>
      </c>
      <c r="Y1311" s="174">
        <f>_xll.qlInterestRateIndexValueDate(IborIndex,X1311)</f>
        <v>48137</v>
      </c>
      <c r="Z1311" s="175">
        <v>2.3425997924255339E-2</v>
      </c>
      <c r="AA1311" s="177">
        <v>2.3519596934129527E-2</v>
      </c>
    </row>
    <row r="1312" spans="23:27" x14ac:dyDescent="0.2">
      <c r="W1312" s="173" t="str">
        <f t="shared" si="31"/>
        <v>1w</v>
      </c>
      <c r="X1312" s="180">
        <f>_xll.qlCalendarAdvance(LiborCalendar,X1311,W1312,"f",FALSE)</f>
        <v>48142</v>
      </c>
      <c r="Y1312" s="174">
        <f>_xll.qlInterestRateIndexValueDate(IborIndex,X1312)</f>
        <v>48144</v>
      </c>
      <c r="Z1312" s="175">
        <v>2.3432603347150336E-2</v>
      </c>
      <c r="AA1312" s="177">
        <v>2.3527499899611559E-2</v>
      </c>
    </row>
    <row r="1313" spans="23:27" x14ac:dyDescent="0.2">
      <c r="W1313" s="173" t="str">
        <f t="shared" si="31"/>
        <v>1w</v>
      </c>
      <c r="X1313" s="180">
        <f>_xll.qlCalendarAdvance(LiborCalendar,X1312,W1313,"f",FALSE)</f>
        <v>48149</v>
      </c>
      <c r="Y1313" s="174">
        <f>_xll.qlInterestRateIndexValueDate(IborIndex,X1313)</f>
        <v>48151</v>
      </c>
      <c r="Z1313" s="175">
        <v>2.3439110206201468E-2</v>
      </c>
      <c r="AA1313" s="177">
        <v>2.3535304080780639E-2</v>
      </c>
    </row>
    <row r="1314" spans="23:27" x14ac:dyDescent="0.2">
      <c r="W1314" s="173" t="str">
        <f t="shared" si="31"/>
        <v>1w</v>
      </c>
      <c r="X1314" s="180">
        <f>_xll.qlCalendarAdvance(LiborCalendar,X1313,W1314,"f",FALSE)</f>
        <v>48156</v>
      </c>
      <c r="Y1314" s="174">
        <f>_xll.qlInterestRateIndexValueDate(IborIndex,X1314)</f>
        <v>48158</v>
      </c>
      <c r="Z1314" s="175">
        <v>2.344433422980953E-2</v>
      </c>
      <c r="AA1314" s="177">
        <v>2.3543009477636767E-2</v>
      </c>
    </row>
    <row r="1315" spans="23:27" x14ac:dyDescent="0.2">
      <c r="W1315" s="173" t="str">
        <f t="shared" si="31"/>
        <v>1w</v>
      </c>
      <c r="X1315" s="180">
        <f>_xll.qlCalendarAdvance(LiborCalendar,X1314,W1315,"f",FALSE)</f>
        <v>48163</v>
      </c>
      <c r="Y1315" s="174">
        <f>_xll.qlInterestRateIndexValueDate(IborIndex,X1315)</f>
        <v>48165</v>
      </c>
      <c r="Z1315" s="175">
        <v>2.3450650589837949E-2</v>
      </c>
      <c r="AA1315" s="177">
        <v>2.3550616090179943E-2</v>
      </c>
    </row>
    <row r="1316" spans="23:27" x14ac:dyDescent="0.2">
      <c r="W1316" s="173" t="str">
        <f t="shared" si="31"/>
        <v>1w</v>
      </c>
      <c r="X1316" s="180">
        <f>_xll.qlCalendarAdvance(LiborCalendar,X1315,W1316,"f",FALSE)</f>
        <v>48170</v>
      </c>
      <c r="Y1316" s="174">
        <f>_xll.qlInterestRateIndexValueDate(IborIndex,X1316)</f>
        <v>48172</v>
      </c>
      <c r="Z1316" s="175">
        <v>2.3456868389507814E-2</v>
      </c>
      <c r="AA1316" s="177">
        <v>2.3558123918491214E-2</v>
      </c>
    </row>
    <row r="1317" spans="23:27" x14ac:dyDescent="0.2">
      <c r="W1317" s="173" t="str">
        <f t="shared" si="31"/>
        <v>1w</v>
      </c>
      <c r="X1317" s="180">
        <f>_xll.qlCalendarAdvance(LiborCalendar,X1316,W1317,"f",FALSE)</f>
        <v>48177</v>
      </c>
      <c r="Y1317" s="174">
        <f>_xll.qlInterestRateIndexValueDate(IborIndex,X1317)</f>
        <v>48179</v>
      </c>
      <c r="Z1317" s="175">
        <v>2.346298762789854E-2</v>
      </c>
      <c r="AA1317" s="177">
        <v>2.3565532962489533E-2</v>
      </c>
    </row>
    <row r="1318" spans="23:27" x14ac:dyDescent="0.2">
      <c r="W1318" s="173" t="str">
        <f t="shared" si="31"/>
        <v>1w</v>
      </c>
      <c r="X1318" s="180">
        <f>_xll.qlCalendarAdvance(LiborCalendar,X1317,W1318,"f",FALSE)</f>
        <v>48184</v>
      </c>
      <c r="Y1318" s="174">
        <f>_xll.qlInterestRateIndexValueDate(IborIndex,X1318)</f>
        <v>48186</v>
      </c>
      <c r="Z1318" s="175">
        <v>2.3470166010489006E-2</v>
      </c>
      <c r="AA1318" s="177">
        <v>2.35728432221749E-2</v>
      </c>
    </row>
    <row r="1319" spans="23:27" x14ac:dyDescent="0.2">
      <c r="W1319" s="173" t="str">
        <f t="shared" si="31"/>
        <v>1w</v>
      </c>
      <c r="X1319" s="180">
        <f>_xll.qlCalendarAdvance(LiborCalendar,X1318,W1319,"f",FALSE)</f>
        <v>48191</v>
      </c>
      <c r="Y1319" s="174">
        <f>_xll.qlInterestRateIndexValueDate(IborIndex,X1319)</f>
        <v>48193</v>
      </c>
      <c r="Z1319" s="175">
        <v>2.3476081466693006E-2</v>
      </c>
      <c r="AA1319" s="177">
        <v>2.3580054697547315E-2</v>
      </c>
    </row>
    <row r="1320" spans="23:27" x14ac:dyDescent="0.2">
      <c r="W1320" s="173" t="str">
        <f t="shared" si="31"/>
        <v>1w</v>
      </c>
      <c r="X1320" s="180">
        <f>_xll.qlCalendarAdvance(LiborCalendar,X1319,W1320,"f",FALSE)</f>
        <v>48198</v>
      </c>
      <c r="Y1320" s="174">
        <f>_xll.qlInterestRateIndexValueDate(IborIndex,X1320)</f>
        <v>48200</v>
      </c>
      <c r="Z1320" s="175">
        <v>2.3481898352594489E-2</v>
      </c>
      <c r="AA1320" s="177">
        <v>2.3587167388606778E-2</v>
      </c>
    </row>
    <row r="1321" spans="23:27" x14ac:dyDescent="0.2">
      <c r="W1321" s="173" t="str">
        <f t="shared" si="31"/>
        <v>1w</v>
      </c>
      <c r="X1321" s="180">
        <f>_xll.qlCalendarAdvance(LiborCalendar,X1320,W1321,"f",FALSE)</f>
        <v>48205</v>
      </c>
      <c r="Y1321" s="174">
        <f>_xll.qlInterestRateIndexValueDate(IborIndex,X1321)</f>
        <v>48211</v>
      </c>
      <c r="Z1321" s="175">
        <v>2.3490840018980167E-2</v>
      </c>
      <c r="AA1321" s="177">
        <v>2.3598144889893646E-2</v>
      </c>
    </row>
    <row r="1322" spans="23:27" x14ac:dyDescent="0.2">
      <c r="W1322" s="173" t="str">
        <f t="shared" si="31"/>
        <v>1w</v>
      </c>
      <c r="X1322" s="180">
        <f>_xll.qlCalendarAdvance(LiborCalendar,X1321,W1322,"f",FALSE)</f>
        <v>48212</v>
      </c>
      <c r="Y1322" s="174">
        <f>_xll.qlInterestRateIndexValueDate(IborIndex,X1322)</f>
        <v>48218</v>
      </c>
      <c r="Z1322" s="175">
        <v>2.3495276211676214E-2</v>
      </c>
      <c r="AA1322" s="177">
        <v>2.3605003564078908E-2</v>
      </c>
    </row>
    <row r="1323" spans="23:27" x14ac:dyDescent="0.2">
      <c r="W1323" s="173" t="str">
        <f t="shared" si="31"/>
        <v>1w</v>
      </c>
      <c r="X1323" s="180">
        <f>_xll.qlCalendarAdvance(LiborCalendar,X1322,W1323,"f",FALSE)</f>
        <v>48219</v>
      </c>
      <c r="Y1323" s="174">
        <f>_xll.qlInterestRateIndexValueDate(IborIndex,X1323)</f>
        <v>48221</v>
      </c>
      <c r="Z1323" s="175">
        <v>2.3497633221791648E-2</v>
      </c>
      <c r="AA1323" s="177">
        <v>2.360791275582641E-2</v>
      </c>
    </row>
    <row r="1324" spans="23:27" x14ac:dyDescent="0.2">
      <c r="W1324" s="173" t="str">
        <f t="shared" si="31"/>
        <v>1w</v>
      </c>
      <c r="X1324" s="180">
        <f>_xll.qlCalendarAdvance(LiborCalendar,X1323,W1324,"f",FALSE)</f>
        <v>48226</v>
      </c>
      <c r="Y1324" s="174">
        <f>_xll.qlInterestRateIndexValueDate(IborIndex,X1324)</f>
        <v>48228</v>
      </c>
      <c r="Z1324" s="175">
        <v>2.3503062506735471E-2</v>
      </c>
      <c r="AA1324" s="177">
        <v>2.361463030955302E-2</v>
      </c>
    </row>
    <row r="1325" spans="23:27" x14ac:dyDescent="0.2">
      <c r="W1325" s="173" t="str">
        <f t="shared" si="31"/>
        <v>1w</v>
      </c>
      <c r="X1325" s="180">
        <f>_xll.qlCalendarAdvance(LiborCalendar,X1324,W1325,"f",FALSE)</f>
        <v>48233</v>
      </c>
      <c r="Y1325" s="174">
        <f>_xll.qlInterestRateIndexValueDate(IborIndex,X1325)</f>
        <v>48235</v>
      </c>
      <c r="Z1325" s="175">
        <v>2.3508393223575726E-2</v>
      </c>
      <c r="AA1325" s="177">
        <v>2.3621249078966677E-2</v>
      </c>
    </row>
    <row r="1326" spans="23:27" x14ac:dyDescent="0.2">
      <c r="W1326" s="173" t="str">
        <f t="shared" si="31"/>
        <v>1w</v>
      </c>
      <c r="X1326" s="180">
        <f>_xll.qlCalendarAdvance(LiborCalendar,X1325,W1326,"f",FALSE)</f>
        <v>48240</v>
      </c>
      <c r="Y1326" s="174">
        <f>_xll.qlInterestRateIndexValueDate(IborIndex,X1326)</f>
        <v>48242</v>
      </c>
      <c r="Z1326" s="175">
        <v>2.3513625371524467E-2</v>
      </c>
      <c r="AA1326" s="177">
        <v>2.3627769063986337E-2</v>
      </c>
    </row>
    <row r="1327" spans="23:27" x14ac:dyDescent="0.2">
      <c r="W1327" s="173" t="str">
        <f t="shared" si="31"/>
        <v>1w</v>
      </c>
      <c r="X1327" s="180">
        <f>_xll.qlCalendarAdvance(LiborCalendar,X1326,W1327,"f",FALSE)</f>
        <v>48247</v>
      </c>
      <c r="Y1327" s="174">
        <f>_xll.qlInterestRateIndexValueDate(IborIndex,X1327)</f>
        <v>48249</v>
      </c>
      <c r="Z1327" s="175">
        <v>2.3518758949809131E-2</v>
      </c>
      <c r="AA1327" s="177">
        <v>2.3634190264693045E-2</v>
      </c>
    </row>
    <row r="1328" spans="23:27" x14ac:dyDescent="0.2">
      <c r="W1328" s="173" t="str">
        <f t="shared" si="31"/>
        <v>1w</v>
      </c>
      <c r="X1328" s="180">
        <f>_xll.qlCalendarAdvance(LiborCalendar,X1327,W1328,"f",FALSE)</f>
        <v>48254</v>
      </c>
      <c r="Y1328" s="174">
        <f>_xll.qlInterestRateIndexValueDate(IborIndex,X1328)</f>
        <v>48256</v>
      </c>
      <c r="Z1328" s="175">
        <v>2.3523793957671204E-2</v>
      </c>
      <c r="AA1328" s="177">
        <v>2.3640512681005754E-2</v>
      </c>
    </row>
    <row r="1329" spans="23:27" x14ac:dyDescent="0.2">
      <c r="W1329" s="173" t="str">
        <f t="shared" si="31"/>
        <v>1w</v>
      </c>
      <c r="X1329" s="180">
        <f>_xll.qlCalendarAdvance(LiborCalendar,X1328,W1329,"f",FALSE)</f>
        <v>48261</v>
      </c>
      <c r="Y1329" s="174">
        <f>_xll.qlInterestRateIndexValueDate(IborIndex,X1329)</f>
        <v>48263</v>
      </c>
      <c r="Z1329" s="175">
        <v>2.3528730394366659E-2</v>
      </c>
      <c r="AA1329" s="177">
        <v>2.3646736312843419E-2</v>
      </c>
    </row>
    <row r="1330" spans="23:27" x14ac:dyDescent="0.2">
      <c r="W1330" s="173" t="str">
        <f t="shared" si="31"/>
        <v>1w</v>
      </c>
      <c r="X1330" s="180">
        <f>_xll.qlCalendarAdvance(LiborCalendar,X1329,W1330,"f",FALSE)</f>
        <v>48268</v>
      </c>
      <c r="Y1330" s="174">
        <f>_xll.qlInterestRateIndexValueDate(IborIndex,X1330)</f>
        <v>48270</v>
      </c>
      <c r="Z1330" s="175">
        <v>2.3533568259166415E-2</v>
      </c>
      <c r="AA1330" s="177">
        <v>2.3652861160530225E-2</v>
      </c>
    </row>
    <row r="1331" spans="23:27" x14ac:dyDescent="0.2">
      <c r="W1331" s="173" t="str">
        <f t="shared" si="31"/>
        <v>1w</v>
      </c>
      <c r="X1331" s="180">
        <f>_xll.qlCalendarAdvance(LiborCalendar,X1330,W1331,"f",FALSE)</f>
        <v>48275</v>
      </c>
      <c r="Y1331" s="174">
        <f>_xll.qlInterestRateIndexValueDate(IborIndex,X1331)</f>
        <v>48277</v>
      </c>
      <c r="Z1331" s="175">
        <v>2.3542586641530312E-2</v>
      </c>
      <c r="AA1331" s="177">
        <v>2.365888722366094E-2</v>
      </c>
    </row>
    <row r="1332" spans="23:27" x14ac:dyDescent="0.2">
      <c r="W1332" s="173" t="str">
        <f t="shared" si="31"/>
        <v>1w</v>
      </c>
      <c r="X1332" s="180">
        <f>_xll.qlCalendarAdvance(LiborCalendar,X1331,W1332,"f",FALSE)</f>
        <v>48282</v>
      </c>
      <c r="Y1332" s="174">
        <f>_xll.qlInterestRateIndexValueDate(IborIndex,X1332)</f>
        <v>48284</v>
      </c>
      <c r="Z1332" s="175">
        <v>2.3547200395758871E-2</v>
      </c>
      <c r="AA1332" s="177">
        <v>2.366481450255975E-2</v>
      </c>
    </row>
    <row r="1333" spans="23:27" x14ac:dyDescent="0.2">
      <c r="W1333" s="173" t="str">
        <f t="shared" si="31"/>
        <v>1w</v>
      </c>
      <c r="X1333" s="180">
        <f>_xll.qlCalendarAdvance(LiborCalendar,X1332,W1333,"f",FALSE)</f>
        <v>48289</v>
      </c>
      <c r="Y1333" s="174">
        <f>_xll.qlInterestRateIndexValueDate(IborIndex,X1333)</f>
        <v>48291</v>
      </c>
      <c r="Z1333" s="175">
        <v>2.355487810174647E-2</v>
      </c>
      <c r="AA1333" s="177">
        <v>2.3670642996902469E-2</v>
      </c>
    </row>
    <row r="1334" spans="23:27" x14ac:dyDescent="0.2">
      <c r="W1334" s="173" t="str">
        <f t="shared" si="31"/>
        <v>1w</v>
      </c>
      <c r="X1334" s="180">
        <f>_xll.qlCalendarAdvance(LiborCalendar,X1333,W1334,"f",FALSE)</f>
        <v>48296</v>
      </c>
      <c r="Y1334" s="174">
        <f>_xll.qlInterestRateIndexValueDate(IborIndex,X1334)</f>
        <v>48298</v>
      </c>
      <c r="Z1334" s="175">
        <v>2.3556132104754077E-2</v>
      </c>
      <c r="AA1334" s="177">
        <v>2.3681061845624685E-2</v>
      </c>
    </row>
    <row r="1335" spans="23:27" x14ac:dyDescent="0.2">
      <c r="W1335" s="173" t="str">
        <f t="shared" si="31"/>
        <v>1w</v>
      </c>
      <c r="X1335" s="180">
        <f>_xll.qlCalendarAdvance(LiborCalendar,X1334,W1335,"f",FALSE)</f>
        <v>48303</v>
      </c>
      <c r="Y1335" s="174">
        <f>_xll.qlInterestRateIndexValueDate(IborIndex,X1335)</f>
        <v>48305</v>
      </c>
      <c r="Z1335" s="175">
        <v>2.3557322652024832E-2</v>
      </c>
      <c r="AA1335" s="177">
        <v>2.3682003632649051E-2</v>
      </c>
    </row>
    <row r="1336" spans="23:27" x14ac:dyDescent="0.2">
      <c r="W1336" s="173" t="str">
        <f t="shared" si="31"/>
        <v>1w</v>
      </c>
      <c r="X1336" s="180">
        <f>_xll.qlCalendarAdvance(LiborCalendar,X1335,W1336,"f",FALSE)</f>
        <v>48310</v>
      </c>
      <c r="Y1336" s="174">
        <f>_xll.qlInterestRateIndexValueDate(IborIndex,X1336)</f>
        <v>48312</v>
      </c>
      <c r="Z1336" s="175">
        <v>2.356156230551475E-2</v>
      </c>
      <c r="AA1336" s="177">
        <v>2.3687535773890822E-2</v>
      </c>
    </row>
    <row r="1337" spans="23:27" x14ac:dyDescent="0.2">
      <c r="W1337" s="173" t="str">
        <f t="shared" si="31"/>
        <v>1w</v>
      </c>
      <c r="X1337" s="180">
        <f>_xll.qlCalendarAdvance(LiborCalendar,X1336,W1337,"f",FALSE)</f>
        <v>48317</v>
      </c>
      <c r="Y1337" s="174">
        <f>_xll.qlInterestRateIndexValueDate(IborIndex,X1337)</f>
        <v>48319</v>
      </c>
      <c r="Z1337" s="175">
        <v>2.3565703376003236E-2</v>
      </c>
      <c r="AA1337" s="177">
        <v>2.3692969130738595E-2</v>
      </c>
    </row>
    <row r="1338" spans="23:27" x14ac:dyDescent="0.2">
      <c r="W1338" s="173" t="str">
        <f t="shared" si="31"/>
        <v>1w</v>
      </c>
      <c r="X1338" s="180">
        <f>_xll.qlCalendarAdvance(LiborCalendar,X1337,W1338,"f",FALSE)</f>
        <v>48324</v>
      </c>
      <c r="Y1338" s="174">
        <f>_xll.qlInterestRateIndexValueDate(IborIndex,X1338)</f>
        <v>48326</v>
      </c>
      <c r="Z1338" s="175">
        <v>2.3569745862873512E-2</v>
      </c>
      <c r="AA1338" s="177">
        <v>2.3698303703111323E-2</v>
      </c>
    </row>
    <row r="1339" spans="23:27" x14ac:dyDescent="0.2">
      <c r="W1339" s="173" t="str">
        <f t="shared" si="31"/>
        <v>1w</v>
      </c>
      <c r="X1339" s="180">
        <f>_xll.qlCalendarAdvance(LiborCalendar,X1338,W1339,"f",FALSE)</f>
        <v>48331</v>
      </c>
      <c r="Y1339" s="174">
        <f>_xll.qlInterestRateIndexValueDate(IborIndex,X1339)</f>
        <v>48334</v>
      </c>
      <c r="Z1339" s="175">
        <v>2.3573229530598757E-2</v>
      </c>
      <c r="AA1339" s="177">
        <v>2.3707693679352604E-2</v>
      </c>
    </row>
    <row r="1340" spans="23:27" x14ac:dyDescent="0.2">
      <c r="W1340" s="173" t="str">
        <f t="shared" si="31"/>
        <v>1w</v>
      </c>
      <c r="X1340" s="180">
        <f>_xll.qlCalendarAdvance(LiborCalendar,X1339,W1340,"f",FALSE)</f>
        <v>48338</v>
      </c>
      <c r="Y1340" s="174">
        <f>_xll.qlInterestRateIndexValueDate(IborIndex,X1340)</f>
        <v>48340</v>
      </c>
      <c r="Z1340" s="175">
        <v>2.3580560788827521E-2</v>
      </c>
      <c r="AA1340" s="177">
        <v>2.3708676494836878E-2</v>
      </c>
    </row>
    <row r="1341" spans="23:27" x14ac:dyDescent="0.2">
      <c r="W1341" s="173" t="str">
        <f t="shared" si="31"/>
        <v>1w</v>
      </c>
      <c r="X1341" s="180">
        <f>_xll.qlCalendarAdvance(LiborCalendar,X1340,W1341,"f",FALSE)</f>
        <v>48345</v>
      </c>
      <c r="Y1341" s="174">
        <f>_xll.qlInterestRateIndexValueDate(IborIndex,X1341)</f>
        <v>48347</v>
      </c>
      <c r="Z1341" s="175">
        <v>2.3584287123420672E-2</v>
      </c>
      <c r="AA1341" s="177">
        <v>2.3713714713946565E-2</v>
      </c>
    </row>
    <row r="1342" spans="23:27" x14ac:dyDescent="0.2">
      <c r="W1342" s="173" t="str">
        <f t="shared" si="31"/>
        <v>1w</v>
      </c>
      <c r="X1342" s="180">
        <f>_xll.qlCalendarAdvance(LiborCalendar,X1341,W1342,"f",FALSE)</f>
        <v>48352</v>
      </c>
      <c r="Y1342" s="174">
        <f>_xll.qlInterestRateIndexValueDate(IborIndex,X1342)</f>
        <v>48354</v>
      </c>
      <c r="Z1342" s="175">
        <v>2.3587914852820132E-2</v>
      </c>
      <c r="AA1342" s="177">
        <v>2.3718654148662255E-2</v>
      </c>
    </row>
    <row r="1343" spans="23:27" x14ac:dyDescent="0.2">
      <c r="W1343" s="173" t="str">
        <f t="shared" si="31"/>
        <v>1w</v>
      </c>
      <c r="X1343" s="180">
        <f>_xll.qlCalendarAdvance(LiborCalendar,X1342,W1343,"f",FALSE)</f>
        <v>48359</v>
      </c>
      <c r="Y1343" s="174">
        <f>_xll.qlInterestRateIndexValueDate(IborIndex,X1343)</f>
        <v>48361</v>
      </c>
      <c r="Z1343" s="175">
        <v>2.3591443976477954E-2</v>
      </c>
      <c r="AA1343" s="177">
        <v>2.3723494799064992E-2</v>
      </c>
    </row>
    <row r="1344" spans="23:27" x14ac:dyDescent="0.2">
      <c r="W1344" s="173" t="str">
        <f t="shared" si="31"/>
        <v>1w</v>
      </c>
      <c r="X1344" s="180">
        <f>_xll.qlCalendarAdvance(LiborCalendar,X1343,W1344,"f",FALSE)</f>
        <v>48366</v>
      </c>
      <c r="Y1344" s="174">
        <f>_xll.qlInterestRateIndexValueDate(IborIndex,X1344)</f>
        <v>48368</v>
      </c>
      <c r="Z1344" s="175">
        <v>2.3591930495525951E-2</v>
      </c>
      <c r="AA1344" s="177">
        <v>2.3728236664911639E-2</v>
      </c>
    </row>
    <row r="1345" spans="23:27" x14ac:dyDescent="0.2">
      <c r="W1345" s="173" t="str">
        <f t="shared" si="31"/>
        <v>1w</v>
      </c>
      <c r="X1345" s="180">
        <f>_xll.qlCalendarAdvance(LiborCalendar,X1344,W1345,"f",FALSE)</f>
        <v>48373</v>
      </c>
      <c r="Y1345" s="174">
        <f>_xll.qlInterestRateIndexValueDate(IborIndex,X1345)</f>
        <v>48375</v>
      </c>
      <c r="Z1345" s="175">
        <v>2.3595282881078934E-2</v>
      </c>
      <c r="AA1345" s="177">
        <v>2.3732879746364288E-2</v>
      </c>
    </row>
    <row r="1346" spans="23:27" x14ac:dyDescent="0.2">
      <c r="W1346" s="173" t="str">
        <f t="shared" si="31"/>
        <v>1w</v>
      </c>
      <c r="X1346" s="180">
        <f>_xll.qlCalendarAdvance(LiborCalendar,X1345,W1346,"f",FALSE)</f>
        <v>48380</v>
      </c>
      <c r="Y1346" s="174">
        <f>_xll.qlInterestRateIndexValueDate(IborIndex,X1346)</f>
        <v>48382</v>
      </c>
      <c r="Z1346" s="175">
        <v>2.3598536678619844E-2</v>
      </c>
      <c r="AA1346" s="177">
        <v>2.3737424043341893E-2</v>
      </c>
    </row>
    <row r="1347" spans="23:27" x14ac:dyDescent="0.2">
      <c r="W1347" s="173" t="str">
        <f t="shared" si="31"/>
        <v>1w</v>
      </c>
      <c r="X1347" s="180">
        <f>_xll.qlCalendarAdvance(LiborCalendar,X1346,W1347,"f",FALSE)</f>
        <v>48387</v>
      </c>
      <c r="Y1347" s="174">
        <f>_xll.qlInterestRateIndexValueDate(IborIndex,X1347)</f>
        <v>48389</v>
      </c>
      <c r="Z1347" s="175">
        <v>2.3601691887665137E-2</v>
      </c>
      <c r="AA1347" s="177">
        <v>2.3741869555925499E-2</v>
      </c>
    </row>
    <row r="1348" spans="23:27" x14ac:dyDescent="0.2">
      <c r="W1348" s="173" t="str">
        <f t="shared" si="31"/>
        <v>1w</v>
      </c>
      <c r="X1348" s="180">
        <f>_xll.qlCalendarAdvance(LiborCalendar,X1347,W1348,"f",FALSE)</f>
        <v>48394</v>
      </c>
      <c r="Y1348" s="174">
        <f>_xll.qlInterestRateIndexValueDate(IborIndex,X1348)</f>
        <v>48396</v>
      </c>
      <c r="Z1348" s="175">
        <v>2.3608563257851555E-2</v>
      </c>
      <c r="AA1348" s="177">
        <v>2.3746216284034061E-2</v>
      </c>
    </row>
    <row r="1349" spans="23:27" x14ac:dyDescent="0.2">
      <c r="W1349" s="173" t="str">
        <f t="shared" si="31"/>
        <v>1w</v>
      </c>
      <c r="X1349" s="180">
        <f>_xll.qlCalendarAdvance(LiborCalendar,X1348,W1349,"f",FALSE)</f>
        <v>48401</v>
      </c>
      <c r="Y1349" s="174">
        <f>_xll.qlInterestRateIndexValueDate(IborIndex,X1349)</f>
        <v>48403</v>
      </c>
      <c r="Z1349" s="175">
        <v>2.3611493883871487E-2</v>
      </c>
      <c r="AA1349" s="177">
        <v>2.3750464227748624E-2</v>
      </c>
    </row>
    <row r="1350" spans="23:27" x14ac:dyDescent="0.2">
      <c r="W1350" s="173" t="str">
        <f t="shared" si="31"/>
        <v>1w</v>
      </c>
      <c r="X1350" s="180">
        <f>_xll.qlCalendarAdvance(LiborCalendar,X1349,W1350,"f",FALSE)</f>
        <v>48408</v>
      </c>
      <c r="Y1350" s="174">
        <f>_xll.qlInterestRateIndexValueDate(IborIndex,X1350)</f>
        <v>48410</v>
      </c>
      <c r="Z1350" s="175">
        <v>2.3613386838431644E-2</v>
      </c>
      <c r="AA1350" s="177">
        <v>2.3754613386907097E-2</v>
      </c>
    </row>
    <row r="1351" spans="23:27" x14ac:dyDescent="0.2">
      <c r="W1351" s="173" t="str">
        <f t="shared" si="31"/>
        <v>1w</v>
      </c>
      <c r="X1351" s="180">
        <f>_xll.qlCalendarAdvance(LiborCalendar,X1350,W1351,"f",FALSE)</f>
        <v>48415</v>
      </c>
      <c r="Y1351" s="174">
        <f>_xll.qlInterestRateIndexValueDate(IborIndex,X1351)</f>
        <v>48417</v>
      </c>
      <c r="Z1351" s="175">
        <v>2.3616127098223194E-2</v>
      </c>
      <c r="AA1351" s="177">
        <v>2.3758663761671572E-2</v>
      </c>
    </row>
    <row r="1352" spans="23:27" x14ac:dyDescent="0.2">
      <c r="W1352" s="173" t="str">
        <f t="shared" si="31"/>
        <v>1w</v>
      </c>
      <c r="X1352" s="180">
        <f>_xll.qlCalendarAdvance(LiborCalendar,X1351,W1352,"f",FALSE)</f>
        <v>48422</v>
      </c>
      <c r="Y1352" s="174">
        <f>_xll.qlInterestRateIndexValueDate(IborIndex,X1352)</f>
        <v>48424</v>
      </c>
      <c r="Z1352" s="175">
        <v>2.3618768748012862E-2</v>
      </c>
      <c r="AA1352" s="177">
        <v>2.3762615351961003E-2</v>
      </c>
    </row>
    <row r="1353" spans="23:27" x14ac:dyDescent="0.2">
      <c r="W1353" s="173" t="str">
        <f t="shared" si="31"/>
        <v>1w</v>
      </c>
      <c r="X1353" s="180">
        <f>_xll.qlCalendarAdvance(LiborCalendar,X1352,W1353,"f",FALSE)</f>
        <v>48429</v>
      </c>
      <c r="Y1353" s="174">
        <f>_xll.qlInterestRateIndexValueDate(IborIndex,X1353)</f>
        <v>48431</v>
      </c>
      <c r="Z1353" s="175">
        <v>2.3621311787401823E-2</v>
      </c>
      <c r="AA1353" s="177">
        <v>2.3766468157775389E-2</v>
      </c>
    </row>
    <row r="1354" spans="23:27" x14ac:dyDescent="0.2">
      <c r="W1354" s="173" t="str">
        <f t="shared" si="31"/>
        <v>1w</v>
      </c>
      <c r="X1354" s="180">
        <f>_xll.qlCalendarAdvance(LiborCalendar,X1353,W1354,"f",FALSE)</f>
        <v>48436</v>
      </c>
      <c r="Y1354" s="174">
        <f>_xll.qlInterestRateIndexValueDate(IborIndex,X1354)</f>
        <v>48438</v>
      </c>
      <c r="Z1354" s="175">
        <v>2.3623756216006299E-2</v>
      </c>
      <c r="AA1354" s="177">
        <v>2.3770222179114731E-2</v>
      </c>
    </row>
    <row r="1355" spans="23:27" x14ac:dyDescent="0.2">
      <c r="W1355" s="173" t="str">
        <f t="shared" si="31"/>
        <v>1w</v>
      </c>
      <c r="X1355" s="180">
        <f>_xll.qlCalendarAdvance(LiborCalendar,X1354,W1355,"f",FALSE)</f>
        <v>48443</v>
      </c>
      <c r="Y1355" s="174">
        <f>_xll.qlInterestRateIndexValueDate(IborIndex,X1355)</f>
        <v>48445</v>
      </c>
      <c r="Z1355" s="175">
        <v>2.3626102033456695E-2</v>
      </c>
      <c r="AA1355" s="177">
        <v>2.3773877415979028E-2</v>
      </c>
    </row>
    <row r="1356" spans="23:27" x14ac:dyDescent="0.2">
      <c r="W1356" s="173" t="str">
        <f t="shared" si="31"/>
        <v>1w</v>
      </c>
      <c r="X1356" s="180">
        <f>_xll.qlCalendarAdvance(LiborCalendar,X1355,W1356,"f",FALSE)</f>
        <v>48450</v>
      </c>
      <c r="Y1356" s="174">
        <f>_xll.qlInterestRateIndexValueDate(IborIndex,X1356)</f>
        <v>48452</v>
      </c>
      <c r="Z1356" s="175">
        <v>2.3628349239399316E-2</v>
      </c>
      <c r="AA1356" s="177">
        <v>2.3777433868368281E-2</v>
      </c>
    </row>
    <row r="1357" spans="23:27" x14ac:dyDescent="0.2">
      <c r="W1357" s="173" t="str">
        <f t="shared" si="31"/>
        <v>1w</v>
      </c>
      <c r="X1357" s="180">
        <f>_xll.qlCalendarAdvance(LiborCalendar,X1356,W1357,"f",FALSE)</f>
        <v>48457</v>
      </c>
      <c r="Y1357" s="174">
        <f>_xll.qlInterestRateIndexValueDate(IborIndex,X1357)</f>
        <v>48459</v>
      </c>
      <c r="Z1357" s="175">
        <v>2.3626034195810903E-2</v>
      </c>
      <c r="AA1357" s="177">
        <v>2.3780891536282489E-2</v>
      </c>
    </row>
    <row r="1358" spans="23:27" x14ac:dyDescent="0.2">
      <c r="W1358" s="173" t="str">
        <f t="shared" si="31"/>
        <v>1w</v>
      </c>
      <c r="X1358" s="180">
        <f>_xll.qlCalendarAdvance(LiborCalendar,X1357,W1358,"f",FALSE)</f>
        <v>48464</v>
      </c>
      <c r="Y1358" s="174">
        <f>_xll.qlInterestRateIndexValueDate(IborIndex,X1358)</f>
        <v>48466</v>
      </c>
      <c r="Z1358" s="175">
        <v>2.3628118716443474E-2</v>
      </c>
      <c r="AA1358" s="177">
        <v>2.3784250419802699E-2</v>
      </c>
    </row>
    <row r="1359" spans="23:27" x14ac:dyDescent="0.2">
      <c r="W1359" s="173" t="str">
        <f t="shared" si="31"/>
        <v>1w</v>
      </c>
      <c r="X1359" s="180">
        <f>_xll.qlCalendarAdvance(LiborCalendar,X1358,W1359,"f",FALSE)</f>
        <v>48471</v>
      </c>
      <c r="Y1359" s="174">
        <f>_xll.qlInterestRateIndexValueDate(IborIndex,X1359)</f>
        <v>48473</v>
      </c>
      <c r="Z1359" s="175">
        <v>2.3630104656805026E-2</v>
      </c>
      <c r="AA1359" s="177">
        <v>2.3787510518685773E-2</v>
      </c>
    </row>
    <row r="1360" spans="23:27" x14ac:dyDescent="0.2">
      <c r="W1360" s="173" t="str">
        <f t="shared" si="31"/>
        <v>1w</v>
      </c>
      <c r="X1360" s="180">
        <f>_xll.qlCalendarAdvance(LiborCalendar,X1359,W1360,"f",FALSE)</f>
        <v>48478</v>
      </c>
      <c r="Y1360" s="174">
        <f>_xll.qlInterestRateIndexValueDate(IborIndex,X1360)</f>
        <v>48480</v>
      </c>
      <c r="Z1360" s="175">
        <v>2.3631992016602755E-2</v>
      </c>
      <c r="AA1360" s="177">
        <v>2.3790671833174848E-2</v>
      </c>
    </row>
    <row r="1361" spans="23:27" x14ac:dyDescent="0.2">
      <c r="W1361" s="173" t="str">
        <f t="shared" si="31"/>
        <v>1w</v>
      </c>
      <c r="X1361" s="180">
        <f>_xll.qlCalendarAdvance(LiborCalendar,X1360,W1361,"f",FALSE)</f>
        <v>48485</v>
      </c>
      <c r="Y1361" s="174">
        <f>_xll.qlInterestRateIndexValueDate(IborIndex,X1361)</f>
        <v>48487</v>
      </c>
      <c r="Z1361" s="175">
        <v>2.3634647103421443E-2</v>
      </c>
      <c r="AA1361" s="177">
        <v>2.3793734363188879E-2</v>
      </c>
    </row>
    <row r="1362" spans="23:27" x14ac:dyDescent="0.2">
      <c r="W1362" s="173" t="str">
        <f t="shared" si="31"/>
        <v>1w</v>
      </c>
      <c r="X1362" s="180">
        <f>_xll.qlCalendarAdvance(LiborCalendar,X1361,W1362,"f",FALSE)</f>
        <v>48492</v>
      </c>
      <c r="Y1362" s="174">
        <f>_xll.qlInterestRateIndexValueDate(IborIndex,X1362)</f>
        <v>48494</v>
      </c>
      <c r="Z1362" s="175">
        <v>2.3636330369586577E-2</v>
      </c>
      <c r="AA1362" s="177">
        <v>2.3796698108646819E-2</v>
      </c>
    </row>
    <row r="1363" spans="23:27" x14ac:dyDescent="0.2">
      <c r="W1363" s="173" t="str">
        <f t="shared" si="31"/>
        <v>1w</v>
      </c>
      <c r="X1363" s="180">
        <f>_xll.qlCalendarAdvance(LiborCalendar,X1362,W1363,"f",FALSE)</f>
        <v>48499</v>
      </c>
      <c r="Y1363" s="174">
        <f>_xll.qlInterestRateIndexValueDate(IborIndex,X1363)</f>
        <v>48501</v>
      </c>
      <c r="Z1363" s="175">
        <v>2.3637915047957519E-2</v>
      </c>
      <c r="AA1363" s="177">
        <v>2.3799563069710761E-2</v>
      </c>
    </row>
    <row r="1364" spans="23:27" x14ac:dyDescent="0.2">
      <c r="W1364" s="173" t="str">
        <f t="shared" si="31"/>
        <v>1w</v>
      </c>
      <c r="X1364" s="180">
        <f>_xll.qlCalendarAdvance(LiborCalendar,X1363,W1364,"f",FALSE)</f>
        <v>48506</v>
      </c>
      <c r="Y1364" s="174">
        <f>_xll.qlInterestRateIndexValueDate(IborIndex,X1364)</f>
        <v>48508</v>
      </c>
      <c r="Z1364" s="175">
        <v>2.3639401138298856E-2</v>
      </c>
      <c r="AA1364" s="177">
        <v>2.3802329246137566E-2</v>
      </c>
    </row>
    <row r="1365" spans="23:27" x14ac:dyDescent="0.2">
      <c r="W1365" s="173" t="str">
        <f t="shared" ref="W1365:W1428" si="32">W1364</f>
        <v>1w</v>
      </c>
      <c r="X1365" s="180">
        <f>_xll.qlCalendarAdvance(LiborCalendar,X1364,W1365,"f",FALSE)</f>
        <v>48513</v>
      </c>
      <c r="Y1365" s="174">
        <f>_xll.qlInterestRateIndexValueDate(IborIndex,X1365)</f>
        <v>48515</v>
      </c>
      <c r="Z1365" s="175">
        <v>2.3640788640391854E-2</v>
      </c>
      <c r="AA1365" s="177">
        <v>2.3804996638170373E-2</v>
      </c>
    </row>
    <row r="1366" spans="23:27" x14ac:dyDescent="0.2">
      <c r="W1366" s="173" t="str">
        <f t="shared" si="32"/>
        <v>1w</v>
      </c>
      <c r="X1366" s="180">
        <f>_xll.qlCalendarAdvance(LiborCalendar,X1365,W1366,"f",FALSE)</f>
        <v>48520</v>
      </c>
      <c r="Y1366" s="174">
        <f>_xll.qlInterestRateIndexValueDate(IborIndex,X1366)</f>
        <v>48522</v>
      </c>
      <c r="Z1366" s="175">
        <v>2.3642908509613154E-2</v>
      </c>
      <c r="AA1366" s="177">
        <v>2.3807565245647089E-2</v>
      </c>
    </row>
    <row r="1367" spans="23:27" x14ac:dyDescent="0.2">
      <c r="W1367" s="173" t="str">
        <f t="shared" si="32"/>
        <v>1w</v>
      </c>
      <c r="X1367" s="180">
        <f>_xll.qlCalendarAdvance(LiborCalendar,X1366,W1367,"f",FALSE)</f>
        <v>48527</v>
      </c>
      <c r="Y1367" s="174">
        <f>_xll.qlInterestRateIndexValueDate(IborIndex,X1367)</f>
        <v>48529</v>
      </c>
      <c r="Z1367" s="175">
        <v>2.3642443257936335E-2</v>
      </c>
      <c r="AA1367" s="177">
        <v>2.3810035068648761E-2</v>
      </c>
    </row>
    <row r="1368" spans="23:27" x14ac:dyDescent="0.2">
      <c r="W1368" s="173" t="str">
        <f t="shared" si="32"/>
        <v>1w</v>
      </c>
      <c r="X1368" s="180">
        <f>_xll.qlCalendarAdvance(LiborCalendar,X1367,W1368,"f",FALSE)</f>
        <v>48534</v>
      </c>
      <c r="Y1368" s="174">
        <f>_xll.qlInterestRateIndexValueDate(IborIndex,X1368)</f>
        <v>48536</v>
      </c>
      <c r="Z1368" s="175">
        <v>2.3643541964458781E-2</v>
      </c>
      <c r="AA1368" s="177">
        <v>2.3812406107175388E-2</v>
      </c>
    </row>
    <row r="1369" spans="23:27" x14ac:dyDescent="0.2">
      <c r="W1369" s="173" t="str">
        <f t="shared" si="32"/>
        <v>1w</v>
      </c>
      <c r="X1369" s="180">
        <f>_xll.qlCalendarAdvance(LiborCalendar,X1368,W1369,"f",FALSE)</f>
        <v>48541</v>
      </c>
      <c r="Y1369" s="174">
        <f>_xll.qlInterestRateIndexValueDate(IborIndex,X1369)</f>
        <v>48543</v>
      </c>
      <c r="Z1369" s="175">
        <v>2.3644542088442851E-2</v>
      </c>
      <c r="AA1369" s="177">
        <v>2.3814678361145925E-2</v>
      </c>
    </row>
    <row r="1370" spans="23:27" x14ac:dyDescent="0.2">
      <c r="W1370" s="173" t="str">
        <f t="shared" si="32"/>
        <v>1w</v>
      </c>
      <c r="X1370" s="180">
        <f>_xll.qlCalendarAdvance(LiborCalendar,X1369,W1370,"f",FALSE)</f>
        <v>48548</v>
      </c>
      <c r="Y1370" s="174">
        <f>_xll.qlInterestRateIndexValueDate(IborIndex,X1370)</f>
        <v>48550</v>
      </c>
      <c r="Z1370" s="175">
        <v>2.3646247320463328E-2</v>
      </c>
      <c r="AA1370" s="177">
        <v>2.3816851830641417E-2</v>
      </c>
    </row>
    <row r="1371" spans="23:27" x14ac:dyDescent="0.2">
      <c r="W1371" s="173" t="str">
        <f t="shared" si="32"/>
        <v>1w</v>
      </c>
      <c r="X1371" s="180">
        <f>_xll.qlCalendarAdvance(LiborCalendar,X1370,W1371,"f",FALSE)</f>
        <v>48555</v>
      </c>
      <c r="Y1371" s="174">
        <f>_xll.qlInterestRateIndexValueDate(IborIndex,X1371)</f>
        <v>48557</v>
      </c>
      <c r="Z1371" s="175">
        <v>2.3647043289270239E-2</v>
      </c>
      <c r="AA1371" s="177">
        <v>2.3818926515661865E-2</v>
      </c>
    </row>
    <row r="1372" spans="23:27" x14ac:dyDescent="0.2">
      <c r="W1372" s="173" t="str">
        <f t="shared" si="32"/>
        <v>1w</v>
      </c>
      <c r="X1372" s="180">
        <f>_xll.qlCalendarAdvance(LiborCalendar,X1371,W1372,"f",FALSE)</f>
        <v>48562</v>
      </c>
      <c r="Y1372" s="174">
        <f>_xll.qlInterestRateIndexValueDate(IborIndex,X1372)</f>
        <v>48564</v>
      </c>
      <c r="Z1372" s="175">
        <v>2.3647740668698729E-2</v>
      </c>
      <c r="AA1372" s="177">
        <v>2.3820902416045175E-2</v>
      </c>
    </row>
    <row r="1373" spans="23:27" x14ac:dyDescent="0.2">
      <c r="W1373" s="173" t="str">
        <f t="shared" si="32"/>
        <v>1w</v>
      </c>
      <c r="X1373" s="180">
        <f>_xll.qlCalendarAdvance(LiborCalendar,X1372,W1373,"f",FALSE)</f>
        <v>48569</v>
      </c>
      <c r="Y1373" s="174">
        <f>_xll.qlInterestRateIndexValueDate(IborIndex,X1373)</f>
        <v>48572</v>
      </c>
      <c r="Z1373" s="175">
        <v>2.3648416951941323E-2</v>
      </c>
      <c r="AA1373" s="177">
        <v>2.3826661883805444E-2</v>
      </c>
    </row>
    <row r="1374" spans="23:27" x14ac:dyDescent="0.2">
      <c r="W1374" s="173" t="str">
        <f t="shared" si="32"/>
        <v>1w</v>
      </c>
      <c r="X1374" s="180">
        <f>_xll.qlCalendarAdvance(LiborCalendar,X1373,W1374,"f",FALSE)</f>
        <v>48577</v>
      </c>
      <c r="Y1374" s="174">
        <f>_xll.qlInterestRateIndexValueDate(IborIndex,X1374)</f>
        <v>48583</v>
      </c>
      <c r="Z1374" s="175">
        <v>2.3648365901008443E-2</v>
      </c>
      <c r="AA1374" s="177">
        <v>2.3825767619904958E-2</v>
      </c>
    </row>
    <row r="1375" spans="23:27" x14ac:dyDescent="0.2">
      <c r="W1375" s="173" t="str">
        <f t="shared" si="32"/>
        <v>1w</v>
      </c>
      <c r="X1375" s="180">
        <f>_xll.qlCalendarAdvance(LiborCalendar,X1374,W1375,"f",FALSE)</f>
        <v>48584</v>
      </c>
      <c r="Y1375" s="174">
        <f>_xll.qlInterestRateIndexValueDate(IborIndex,X1375)</f>
        <v>48586</v>
      </c>
      <c r="Z1375" s="175">
        <v>2.3648522919386409E-2</v>
      </c>
      <c r="AA1375" s="177">
        <v>2.3828253872824799E-2</v>
      </c>
    </row>
    <row r="1376" spans="23:27" x14ac:dyDescent="0.2">
      <c r="W1376" s="173" t="str">
        <f t="shared" si="32"/>
        <v>1w</v>
      </c>
      <c r="X1376" s="180">
        <f>_xll.qlCalendarAdvance(LiborCalendar,X1375,W1376,"f",FALSE)</f>
        <v>48591</v>
      </c>
      <c r="Y1376" s="174">
        <f>_xll.qlInterestRateIndexValueDate(IborIndex,X1376)</f>
        <v>48593</v>
      </c>
      <c r="Z1376" s="175">
        <v>2.3648818878972532E-2</v>
      </c>
      <c r="AA1376" s="177">
        <v>2.3829806613772469E-2</v>
      </c>
    </row>
    <row r="1377" spans="23:27" x14ac:dyDescent="0.2">
      <c r="W1377" s="173" t="str">
        <f t="shared" si="32"/>
        <v>1w</v>
      </c>
      <c r="X1377" s="180">
        <f>_xll.qlCalendarAdvance(LiborCalendar,X1376,W1377,"f",FALSE)</f>
        <v>48598</v>
      </c>
      <c r="Y1377" s="174">
        <f>_xll.qlInterestRateIndexValueDate(IborIndex,X1377)</f>
        <v>48600</v>
      </c>
      <c r="Z1377" s="175">
        <v>2.3649016255245205E-2</v>
      </c>
      <c r="AA1377" s="177">
        <v>2.3831260557358739E-2</v>
      </c>
    </row>
    <row r="1378" spans="23:27" x14ac:dyDescent="0.2">
      <c r="W1378" s="173" t="str">
        <f t="shared" si="32"/>
        <v>1w</v>
      </c>
      <c r="X1378" s="180">
        <f>_xll.qlCalendarAdvance(LiborCalendar,X1377,W1378,"f",FALSE)</f>
        <v>48605</v>
      </c>
      <c r="Y1378" s="174">
        <f>_xll.qlInterestRateIndexValueDate(IborIndex,X1378)</f>
        <v>48607</v>
      </c>
      <c r="Z1378" s="175">
        <v>2.3649115048175285E-2</v>
      </c>
      <c r="AA1378" s="177">
        <v>2.383261570347554E-2</v>
      </c>
    </row>
    <row r="1379" spans="23:27" x14ac:dyDescent="0.2">
      <c r="W1379" s="173" t="str">
        <f t="shared" si="32"/>
        <v>1w</v>
      </c>
      <c r="X1379" s="180">
        <f>_xll.qlCalendarAdvance(LiborCalendar,X1378,W1379,"f",FALSE)</f>
        <v>48612</v>
      </c>
      <c r="Y1379" s="174">
        <f>_xll.qlInterestRateIndexValueDate(IborIndex,X1379)</f>
        <v>48614</v>
      </c>
      <c r="Z1379" s="175">
        <v>2.3649115257748196E-2</v>
      </c>
      <c r="AA1379" s="177">
        <v>2.3833872052230941E-2</v>
      </c>
    </row>
    <row r="1380" spans="23:27" x14ac:dyDescent="0.2">
      <c r="W1380" s="173" t="str">
        <f t="shared" si="32"/>
        <v>1w</v>
      </c>
      <c r="X1380" s="180">
        <f>_xll.qlCalendarAdvance(LiborCalendar,X1379,W1380,"f",FALSE)</f>
        <v>48619</v>
      </c>
      <c r="Y1380" s="174">
        <f>_xll.qlInterestRateIndexValueDate(IborIndex,X1380)</f>
        <v>48624</v>
      </c>
      <c r="Z1380" s="175">
        <v>2.364967401923378E-2</v>
      </c>
      <c r="AA1380" s="177">
        <v>2.3833786524604106E-2</v>
      </c>
    </row>
    <row r="1381" spans="23:27" x14ac:dyDescent="0.2">
      <c r="W1381" s="173" t="str">
        <f t="shared" si="32"/>
        <v>1w</v>
      </c>
      <c r="X1381" s="180">
        <f>_xll.qlCalendarAdvance(LiborCalendar,X1380,W1381,"f",FALSE)</f>
        <v>48626</v>
      </c>
      <c r="Y1381" s="174">
        <f>_xll.qlInterestRateIndexValueDate(IborIndex,X1381)</f>
        <v>48628</v>
      </c>
      <c r="Z1381" s="175">
        <v>2.3648819926837088E-2</v>
      </c>
      <c r="AA1381" s="177">
        <v>2.3836088357441408E-2</v>
      </c>
    </row>
    <row r="1382" spans="23:27" x14ac:dyDescent="0.2">
      <c r="W1382" s="173" t="str">
        <f t="shared" si="32"/>
        <v>1w</v>
      </c>
      <c r="X1382" s="180">
        <f>_xll.qlCalendarAdvance(LiborCalendar,X1381,W1382,"f",FALSE)</f>
        <v>48633</v>
      </c>
      <c r="Y1382" s="174">
        <f>_xll.qlInterestRateIndexValueDate(IborIndex,X1382)</f>
        <v>48635</v>
      </c>
      <c r="Z1382" s="175">
        <v>2.364852438639679E-2</v>
      </c>
      <c r="AA1382" s="177">
        <v>2.3837048313923491E-2</v>
      </c>
    </row>
    <row r="1383" spans="23:27" x14ac:dyDescent="0.2">
      <c r="W1383" s="173" t="str">
        <f t="shared" si="32"/>
        <v>1w</v>
      </c>
      <c r="X1383" s="180">
        <f>_xll.qlCalendarAdvance(LiborCalendar,X1382,W1383,"f",FALSE)</f>
        <v>48640</v>
      </c>
      <c r="Y1383" s="174">
        <f>_xll.qlInterestRateIndexValueDate(IborIndex,X1383)</f>
        <v>48642</v>
      </c>
      <c r="Z1383" s="175">
        <v>2.3650971641503832E-2</v>
      </c>
      <c r="AA1383" s="177">
        <v>2.3837909472990141E-2</v>
      </c>
    </row>
    <row r="1384" spans="23:27" x14ac:dyDescent="0.2">
      <c r="W1384" s="173" t="str">
        <f t="shared" si="32"/>
        <v>1w</v>
      </c>
      <c r="X1384" s="180">
        <f>_xll.qlCalendarAdvance(LiborCalendar,X1383,W1384,"f",FALSE)</f>
        <v>48647</v>
      </c>
      <c r="Y1384" s="174">
        <f>_xll.qlInterestRateIndexValueDate(IborIndex,X1384)</f>
        <v>48649</v>
      </c>
      <c r="Z1384" s="175">
        <v>2.365045063192284E-2</v>
      </c>
      <c r="AA1384" s="177">
        <v>2.3838671834641355E-2</v>
      </c>
    </row>
    <row r="1385" spans="23:27" x14ac:dyDescent="0.2">
      <c r="W1385" s="173" t="str">
        <f t="shared" si="32"/>
        <v>1w</v>
      </c>
      <c r="X1385" s="180">
        <f>_xll.qlCalendarAdvance(LiborCalendar,X1384,W1385,"f",FALSE)</f>
        <v>48654</v>
      </c>
      <c r="Y1385" s="174">
        <f>_xll.qlInterestRateIndexValueDate(IborIndex,X1385)</f>
        <v>48656</v>
      </c>
      <c r="Z1385" s="175">
        <v>2.3650525582293819E-2</v>
      </c>
      <c r="AA1385" s="177">
        <v>2.3839335398823106E-2</v>
      </c>
    </row>
    <row r="1386" spans="23:27" x14ac:dyDescent="0.2">
      <c r="W1386" s="173" t="str">
        <f t="shared" si="32"/>
        <v>1w</v>
      </c>
      <c r="X1386" s="180">
        <f>_xll.qlCalendarAdvance(LiborCalendar,X1385,W1386,"f",FALSE)</f>
        <v>48661</v>
      </c>
      <c r="Y1386" s="174">
        <f>_xll.qlInterestRateIndexValueDate(IborIndex,X1386)</f>
        <v>48663</v>
      </c>
      <c r="Z1386" s="175">
        <v>2.364911278627236E-2</v>
      </c>
      <c r="AA1386" s="177">
        <v>2.3839900165616438E-2</v>
      </c>
    </row>
    <row r="1387" spans="23:27" x14ac:dyDescent="0.2">
      <c r="W1387" s="173" t="str">
        <f t="shared" si="32"/>
        <v>1w</v>
      </c>
      <c r="X1387" s="180">
        <f>_xll.qlCalendarAdvance(LiborCalendar,X1386,W1387,"f",FALSE)</f>
        <v>48668</v>
      </c>
      <c r="Y1387" s="174">
        <f>_xll.qlInterestRateIndexValueDate(IborIndex,X1387)</f>
        <v>48670</v>
      </c>
      <c r="Z1387" s="175">
        <v>2.3648295950404227E-2</v>
      </c>
      <c r="AA1387" s="177">
        <v>2.384036613496732E-2</v>
      </c>
    </row>
    <row r="1388" spans="23:27" x14ac:dyDescent="0.2">
      <c r="W1388" s="173" t="str">
        <f t="shared" si="32"/>
        <v>1w</v>
      </c>
      <c r="X1388" s="180">
        <f>_xll.qlCalendarAdvance(LiborCalendar,X1387,W1388,"f",FALSE)</f>
        <v>48675</v>
      </c>
      <c r="Y1388" s="174">
        <f>_xll.qlInterestRateIndexValueDate(IborIndex,X1388)</f>
        <v>48677</v>
      </c>
      <c r="Z1388" s="175">
        <v>2.3648053783050252E-2</v>
      </c>
      <c r="AA1388" s="177">
        <v>2.3840733306875753E-2</v>
      </c>
    </row>
    <row r="1389" spans="23:27" x14ac:dyDescent="0.2">
      <c r="W1389" s="173" t="str">
        <f t="shared" si="32"/>
        <v>1w</v>
      </c>
      <c r="X1389" s="180">
        <f>_xll.qlCalendarAdvance(LiborCalendar,X1388,W1389,"f",FALSE)</f>
        <v>48682</v>
      </c>
      <c r="Y1389" s="174">
        <f>_xll.qlInterestRateIndexValueDate(IborIndex,X1389)</f>
        <v>48688</v>
      </c>
      <c r="Z1389" s="175">
        <v>2.3644416564394095E-2</v>
      </c>
      <c r="AA1389" s="177">
        <v>2.3839530043218149E-2</v>
      </c>
    </row>
    <row r="1390" spans="23:27" x14ac:dyDescent="0.2">
      <c r="W1390" s="173" t="str">
        <f t="shared" si="32"/>
        <v>1w</v>
      </c>
      <c r="X1390" s="180">
        <f>_xll.qlCalendarAdvance(LiborCalendar,X1389,W1390,"f",FALSE)</f>
        <v>48689</v>
      </c>
      <c r="Y1390" s="174">
        <f>_xll.qlInterestRateIndexValueDate(IborIndex,X1390)</f>
        <v>48691</v>
      </c>
      <c r="Z1390" s="175">
        <v>2.3645253792146596E-2</v>
      </c>
      <c r="AA1390" s="177">
        <v>2.3841171258419301E-2</v>
      </c>
    </row>
    <row r="1391" spans="23:27" x14ac:dyDescent="0.2">
      <c r="W1391" s="173" t="str">
        <f t="shared" si="32"/>
        <v>1w</v>
      </c>
      <c r="X1391" s="180">
        <f>_xll.qlCalendarAdvance(LiborCalendar,X1390,W1391,"f",FALSE)</f>
        <v>48696</v>
      </c>
      <c r="Y1391" s="174">
        <f>_xll.qlInterestRateIndexValueDate(IborIndex,X1391)</f>
        <v>48705</v>
      </c>
      <c r="Z1391" s="175">
        <v>2.3642732645989459E-2</v>
      </c>
      <c r="AA1391" s="177">
        <v>2.3841214020247085E-2</v>
      </c>
    </row>
    <row r="1392" spans="23:27" x14ac:dyDescent="0.2">
      <c r="W1392" s="173" t="str">
        <f t="shared" si="32"/>
        <v>1w</v>
      </c>
      <c r="X1392" s="180">
        <f>_xll.qlCalendarAdvance(LiborCalendar,X1391,W1392,"f",FALSE)</f>
        <v>48703</v>
      </c>
      <c r="Y1392" s="174">
        <f>_xll.qlInterestRateIndexValueDate(IborIndex,X1392)</f>
        <v>48705</v>
      </c>
      <c r="Z1392" s="175">
        <v>2.3642732645989459E-2</v>
      </c>
      <c r="AA1392" s="177">
        <v>2.3841214020247085E-2</v>
      </c>
    </row>
    <row r="1393" spans="23:27" x14ac:dyDescent="0.2">
      <c r="W1393" s="173" t="str">
        <f t="shared" si="32"/>
        <v>1w</v>
      </c>
      <c r="X1393" s="180">
        <f>_xll.qlCalendarAdvance(LiborCalendar,X1392,W1393,"f",FALSE)</f>
        <v>48710</v>
      </c>
      <c r="Y1393" s="174">
        <f>_xll.qlInterestRateIndexValueDate(IborIndex,X1393)</f>
        <v>48712</v>
      </c>
      <c r="Z1393" s="175">
        <v>2.364132416126126E-2</v>
      </c>
      <c r="AA1393" s="177">
        <v>2.3841087204997301E-2</v>
      </c>
    </row>
    <row r="1394" spans="23:27" x14ac:dyDescent="0.2">
      <c r="W1394" s="173" t="str">
        <f t="shared" si="32"/>
        <v>1w</v>
      </c>
      <c r="X1394" s="180">
        <f>_xll.qlCalendarAdvance(LiborCalendar,X1393,W1394,"f",FALSE)</f>
        <v>48717</v>
      </c>
      <c r="Y1394" s="174">
        <f>_xll.qlInterestRateIndexValueDate(IborIndex,X1394)</f>
        <v>48719</v>
      </c>
      <c r="Z1394" s="175">
        <v>2.363981706904375E-2</v>
      </c>
      <c r="AA1394" s="177">
        <v>2.3840861592332084E-2</v>
      </c>
    </row>
    <row r="1395" spans="23:27" x14ac:dyDescent="0.2">
      <c r="W1395" s="173" t="str">
        <f t="shared" si="32"/>
        <v>1w</v>
      </c>
      <c r="X1395" s="180">
        <f>_xll.qlCalendarAdvance(LiborCalendar,X1394,W1395,"f",FALSE)</f>
        <v>48724</v>
      </c>
      <c r="Y1395" s="174">
        <f>_xll.qlInterestRateIndexValueDate(IborIndex,X1395)</f>
        <v>48726</v>
      </c>
      <c r="Z1395" s="175">
        <v>2.3638211369562911E-2</v>
      </c>
      <c r="AA1395" s="177">
        <v>2.3841288196477795E-2</v>
      </c>
    </row>
    <row r="1396" spans="23:27" x14ac:dyDescent="0.2">
      <c r="W1396" s="173" t="str">
        <f t="shared" si="32"/>
        <v>1w</v>
      </c>
      <c r="X1396" s="180">
        <f>_xll.qlCalendarAdvance(LiborCalendar,X1395,W1396,"f",FALSE)</f>
        <v>48731</v>
      </c>
      <c r="Y1396" s="174">
        <f>_xll.qlInterestRateIndexValueDate(IborIndex,X1396)</f>
        <v>48733</v>
      </c>
      <c r="Z1396" s="175">
        <v>2.3636507063060714E-2</v>
      </c>
      <c r="AA1396" s="177">
        <v>2.3840113974674303E-2</v>
      </c>
    </row>
    <row r="1397" spans="23:27" x14ac:dyDescent="0.2">
      <c r="W1397" s="173" t="str">
        <f t="shared" si="32"/>
        <v>1w</v>
      </c>
      <c r="X1397" s="180">
        <f>_xll.qlCalendarAdvance(LiborCalendar,X1396,W1397,"f",FALSE)</f>
        <v>48738</v>
      </c>
      <c r="Y1397" s="174">
        <f>_xll.qlInterestRateIndexValueDate(IborIndex,X1397)</f>
        <v>48740</v>
      </c>
      <c r="Z1397" s="175">
        <v>2.3634704149792525E-2</v>
      </c>
      <c r="AA1397" s="177">
        <v>2.3839591969708755E-2</v>
      </c>
    </row>
    <row r="1398" spans="23:27" x14ac:dyDescent="0.2">
      <c r="W1398" s="173" t="str">
        <f t="shared" si="32"/>
        <v>1w</v>
      </c>
      <c r="X1398" s="180">
        <f>_xll.qlCalendarAdvance(LiborCalendar,X1397,W1398,"f",FALSE)</f>
        <v>48745</v>
      </c>
      <c r="Y1398" s="174">
        <f>_xll.qlInterestRateIndexValueDate(IborIndex,X1398)</f>
        <v>48747</v>
      </c>
      <c r="Z1398" s="175">
        <v>2.3632802630028388E-2</v>
      </c>
      <c r="AA1398" s="177">
        <v>2.3838971167300754E-2</v>
      </c>
    </row>
    <row r="1399" spans="23:27" x14ac:dyDescent="0.2">
      <c r="W1399" s="173" t="str">
        <f t="shared" si="32"/>
        <v>1w</v>
      </c>
      <c r="X1399" s="180">
        <f>_xll.qlCalendarAdvance(LiborCalendar,X1398,W1399,"f",FALSE)</f>
        <v>48752</v>
      </c>
      <c r="Y1399" s="174">
        <f>_xll.qlInterestRateIndexValueDate(IborIndex,X1399)</f>
        <v>48754</v>
      </c>
      <c r="Z1399" s="175">
        <v>2.3631991269708906E-2</v>
      </c>
      <c r="AA1399" s="177">
        <v>2.3838251567477323E-2</v>
      </c>
    </row>
    <row r="1400" spans="23:27" x14ac:dyDescent="0.2">
      <c r="W1400" s="173" t="str">
        <f t="shared" si="32"/>
        <v>1w</v>
      </c>
      <c r="X1400" s="180">
        <f>_xll.qlCalendarAdvance(LiborCalendar,X1399,W1400,"f",FALSE)</f>
        <v>48759</v>
      </c>
      <c r="Y1400" s="174">
        <f>_xll.qlInterestRateIndexValueDate(IborIndex,X1400)</f>
        <v>48761</v>
      </c>
      <c r="Z1400" s="175">
        <v>2.3629878175654519E-2</v>
      </c>
      <c r="AA1400" s="177">
        <v>2.3837433170238457E-2</v>
      </c>
    </row>
    <row r="1401" spans="23:27" x14ac:dyDescent="0.2">
      <c r="W1401" s="173" t="str">
        <f t="shared" si="32"/>
        <v>1w</v>
      </c>
      <c r="X1401" s="180">
        <f>_xll.qlCalendarAdvance(LiborCalendar,X1400,W1401,"f",FALSE)</f>
        <v>48766</v>
      </c>
      <c r="Y1401" s="174">
        <f>_xll.qlInterestRateIndexValueDate(IborIndex,X1401)</f>
        <v>48768</v>
      </c>
      <c r="Z1401" s="175">
        <v>2.3627086780097915E-2</v>
      </c>
      <c r="AA1401" s="177">
        <v>2.3836515975557141E-2</v>
      </c>
    </row>
    <row r="1402" spans="23:27" x14ac:dyDescent="0.2">
      <c r="W1402" s="173" t="str">
        <f t="shared" si="32"/>
        <v>1w</v>
      </c>
      <c r="X1402" s="180">
        <f>_xll.qlCalendarAdvance(LiborCalendar,X1401,W1402,"f",FALSE)</f>
        <v>48773</v>
      </c>
      <c r="Y1402" s="174">
        <f>_xll.qlInterestRateIndexValueDate(IborIndex,X1402)</f>
        <v>48775</v>
      </c>
      <c r="Z1402" s="175">
        <v>2.3624210491958387E-2</v>
      </c>
      <c r="AA1402" s="177">
        <v>2.3835499983487406E-2</v>
      </c>
    </row>
    <row r="1403" spans="23:27" x14ac:dyDescent="0.2">
      <c r="W1403" s="173" t="str">
        <f t="shared" si="32"/>
        <v>1w</v>
      </c>
      <c r="X1403" s="180">
        <f>_xll.qlCalendarAdvance(LiborCalendar,X1402,W1403,"f",FALSE)</f>
        <v>48780</v>
      </c>
      <c r="Y1403" s="174">
        <f>_xll.qlInterestRateIndexValueDate(IborIndex,X1403)</f>
        <v>48782</v>
      </c>
      <c r="Z1403" s="175">
        <v>2.3621815944299851E-2</v>
      </c>
      <c r="AA1403" s="177">
        <v>2.3834385193948208E-2</v>
      </c>
    </row>
    <row r="1404" spans="23:27" x14ac:dyDescent="0.2">
      <c r="W1404" s="173" t="str">
        <f t="shared" si="32"/>
        <v>1w</v>
      </c>
      <c r="X1404" s="180">
        <f>_xll.qlCalendarAdvance(LiborCalendar,X1403,W1404,"f",FALSE)</f>
        <v>48787</v>
      </c>
      <c r="Y1404" s="174">
        <f>_xll.qlInterestRateIndexValueDate(IborIndex,X1404)</f>
        <v>48789</v>
      </c>
      <c r="Z1404" s="175">
        <v>2.3619881538076398E-2</v>
      </c>
      <c r="AA1404" s="177">
        <v>2.383317160702059E-2</v>
      </c>
    </row>
    <row r="1405" spans="23:27" x14ac:dyDescent="0.2">
      <c r="W1405" s="173" t="str">
        <f t="shared" si="32"/>
        <v>1w</v>
      </c>
      <c r="X1405" s="180">
        <f>_xll.qlCalendarAdvance(LiborCalendar,X1404,W1405,"f",FALSE)</f>
        <v>48794</v>
      </c>
      <c r="Y1405" s="174">
        <f>_xll.qlInterestRateIndexValueDate(IborIndex,X1405)</f>
        <v>48796</v>
      </c>
      <c r="Z1405" s="175">
        <v>2.3616731035678983E-2</v>
      </c>
      <c r="AA1405" s="177">
        <v>2.3831859222677537E-2</v>
      </c>
    </row>
    <row r="1406" spans="23:27" x14ac:dyDescent="0.2">
      <c r="W1406" s="173" t="str">
        <f t="shared" si="32"/>
        <v>1w</v>
      </c>
      <c r="X1406" s="180">
        <f>_xll.qlCalendarAdvance(LiborCalendar,X1405,W1406,"f",FALSE)</f>
        <v>48801</v>
      </c>
      <c r="Y1406" s="174">
        <f>_xll.qlInterestRateIndexValueDate(IborIndex,X1406)</f>
        <v>48803</v>
      </c>
      <c r="Z1406" s="175">
        <v>2.3614040675481011E-2</v>
      </c>
      <c r="AA1406" s="177">
        <v>2.3830448040919053E-2</v>
      </c>
    </row>
    <row r="1407" spans="23:27" x14ac:dyDescent="0.2">
      <c r="W1407" s="173" t="str">
        <f t="shared" si="32"/>
        <v>1w</v>
      </c>
      <c r="X1407" s="180">
        <f>_xll.qlCalendarAdvance(LiborCalendar,X1406,W1407,"f",FALSE)</f>
        <v>48808</v>
      </c>
      <c r="Y1407" s="174">
        <f>_xll.qlInterestRateIndexValueDate(IborIndex,X1407)</f>
        <v>48810</v>
      </c>
      <c r="Z1407" s="175">
        <v>2.3611251711891205E-2</v>
      </c>
      <c r="AA1407" s="177">
        <v>2.3828938061772147E-2</v>
      </c>
    </row>
    <row r="1408" spans="23:27" x14ac:dyDescent="0.2">
      <c r="W1408" s="173" t="str">
        <f t="shared" si="32"/>
        <v>1w</v>
      </c>
      <c r="X1408" s="180">
        <f>_xll.qlCalendarAdvance(LiborCalendar,X1407,W1408,"f",FALSE)</f>
        <v>48815</v>
      </c>
      <c r="Y1408" s="174">
        <f>_xll.qlInterestRateIndexValueDate(IborIndex,X1408)</f>
        <v>48817</v>
      </c>
      <c r="Z1408" s="175">
        <v>2.3608364145328267E-2</v>
      </c>
      <c r="AA1408" s="177">
        <v>2.3827987690606678E-2</v>
      </c>
    </row>
    <row r="1409" spans="23:27" x14ac:dyDescent="0.2">
      <c r="W1409" s="173" t="str">
        <f t="shared" si="32"/>
        <v>1w</v>
      </c>
      <c r="X1409" s="180">
        <f>_xll.qlCalendarAdvance(LiborCalendar,X1408,W1409,"f",FALSE)</f>
        <v>48822</v>
      </c>
      <c r="Y1409" s="174">
        <f>_xll.qlInterestRateIndexValueDate(IborIndex,X1409)</f>
        <v>48824</v>
      </c>
      <c r="Z1409" s="175">
        <v>2.360328080469094E-2</v>
      </c>
      <c r="AA1409" s="177">
        <v>2.382562171123204E-2</v>
      </c>
    </row>
    <row r="1410" spans="23:27" x14ac:dyDescent="0.2">
      <c r="W1410" s="173" t="str">
        <f t="shared" si="32"/>
        <v>1w</v>
      </c>
      <c r="X1410" s="180">
        <f>_xll.qlCalendarAdvance(LiborCalendar,X1409,W1410,"f",FALSE)</f>
        <v>48829</v>
      </c>
      <c r="Y1410" s="174">
        <f>_xll.qlInterestRateIndexValueDate(IborIndex,X1410)</f>
        <v>48831</v>
      </c>
      <c r="Z1410" s="175">
        <v>2.3600225002033393E-2</v>
      </c>
      <c r="AA1410" s="177">
        <v>2.3823815339865849E-2</v>
      </c>
    </row>
    <row r="1411" spans="23:27" x14ac:dyDescent="0.2">
      <c r="W1411" s="173" t="str">
        <f t="shared" si="32"/>
        <v>1w</v>
      </c>
      <c r="X1411" s="180">
        <f>_xll.qlCalendarAdvance(LiborCalendar,X1410,W1411,"f",FALSE)</f>
        <v>48836</v>
      </c>
      <c r="Y1411" s="174">
        <f>_xll.qlInterestRateIndexValueDate(IborIndex,X1411)</f>
        <v>48838</v>
      </c>
      <c r="Z1411" s="175">
        <v>2.3597070623202328E-2</v>
      </c>
      <c r="AA1411" s="177">
        <v>2.3821910171111241E-2</v>
      </c>
    </row>
    <row r="1412" spans="23:27" x14ac:dyDescent="0.2">
      <c r="W1412" s="173" t="str">
        <f t="shared" si="32"/>
        <v>1w</v>
      </c>
      <c r="X1412" s="180">
        <f>_xll.qlCalendarAdvance(LiborCalendar,X1411,W1412,"f",FALSE)</f>
        <v>48843</v>
      </c>
      <c r="Y1412" s="174">
        <f>_xll.qlInterestRateIndexValueDate(IborIndex,X1412)</f>
        <v>48848</v>
      </c>
      <c r="Z1412" s="175">
        <v>2.3592893814002126E-2</v>
      </c>
      <c r="AA1412" s="177">
        <v>2.3817761927532599E-2</v>
      </c>
    </row>
    <row r="1413" spans="23:27" x14ac:dyDescent="0.2">
      <c r="W1413" s="173" t="str">
        <f t="shared" si="32"/>
        <v>1w</v>
      </c>
      <c r="X1413" s="180">
        <f>_xll.qlCalendarAdvance(LiborCalendar,X1412,W1413,"f",FALSE)</f>
        <v>48850</v>
      </c>
      <c r="Y1413" s="174">
        <f>_xll.qlInterestRateIndexValueDate(IborIndex,X1413)</f>
        <v>48852</v>
      </c>
      <c r="Z1413" s="175">
        <v>2.3590962434473728E-2</v>
      </c>
      <c r="AA1413" s="177">
        <v>2.3817803441490797E-2</v>
      </c>
    </row>
    <row r="1414" spans="23:27" x14ac:dyDescent="0.2">
      <c r="W1414" s="173" t="str">
        <f t="shared" si="32"/>
        <v>1w</v>
      </c>
      <c r="X1414" s="180">
        <f>_xll.qlCalendarAdvance(LiborCalendar,X1413,W1414,"f",FALSE)</f>
        <v>48857</v>
      </c>
      <c r="Y1414" s="174">
        <f>_xll.qlInterestRateIndexValueDate(IborIndex,X1414)</f>
        <v>48859</v>
      </c>
      <c r="Z1414" s="175">
        <v>2.3589454442389943E-2</v>
      </c>
      <c r="AA1414" s="177">
        <v>2.3815601880597951E-2</v>
      </c>
    </row>
    <row r="1415" spans="23:27" x14ac:dyDescent="0.2">
      <c r="W1415" s="173" t="str">
        <f t="shared" si="32"/>
        <v>1w</v>
      </c>
      <c r="X1415" s="180">
        <f>_xll.qlCalendarAdvance(LiborCalendar,X1414,W1415,"f",FALSE)</f>
        <v>48864</v>
      </c>
      <c r="Y1415" s="174">
        <f>_xll.qlInterestRateIndexValueDate(IborIndex,X1415)</f>
        <v>48866</v>
      </c>
      <c r="Z1415" s="175">
        <v>2.3583949112513627E-2</v>
      </c>
      <c r="AA1415" s="177">
        <v>2.3813301522343698E-2</v>
      </c>
    </row>
    <row r="1416" spans="23:27" x14ac:dyDescent="0.2">
      <c r="W1416" s="173" t="str">
        <f t="shared" si="32"/>
        <v>1w</v>
      </c>
      <c r="X1416" s="180">
        <f>_xll.qlCalendarAdvance(LiborCalendar,X1415,W1416,"f",FALSE)</f>
        <v>48871</v>
      </c>
      <c r="Y1416" s="174">
        <f>_xll.qlInterestRateIndexValueDate(IborIndex,X1416)</f>
        <v>48873</v>
      </c>
      <c r="Z1416" s="175">
        <v>2.3580294581188155E-2</v>
      </c>
      <c r="AA1416" s="177">
        <v>2.3810902366701029E-2</v>
      </c>
    </row>
    <row r="1417" spans="23:27" x14ac:dyDescent="0.2">
      <c r="W1417" s="173" t="str">
        <f t="shared" si="32"/>
        <v>1w</v>
      </c>
      <c r="X1417" s="180">
        <f>_xll.qlCalendarAdvance(LiborCalendar,X1416,W1417,"f",FALSE)</f>
        <v>48878</v>
      </c>
      <c r="Y1417" s="174">
        <f>_xll.qlInterestRateIndexValueDate(IborIndex,X1417)</f>
        <v>48880</v>
      </c>
      <c r="Z1417" s="175">
        <v>2.3576541470348024E-2</v>
      </c>
      <c r="AA1417" s="177">
        <v>2.3808404413696953E-2</v>
      </c>
    </row>
    <row r="1418" spans="23:27" x14ac:dyDescent="0.2">
      <c r="W1418" s="173" t="str">
        <f t="shared" si="32"/>
        <v>1w</v>
      </c>
      <c r="X1418" s="180">
        <f>_xll.qlCalendarAdvance(LiborCalendar,X1417,W1418,"f",FALSE)</f>
        <v>48885</v>
      </c>
      <c r="Y1418" s="174">
        <f>_xll.qlInterestRateIndexValueDate(IborIndex,X1418)</f>
        <v>48887</v>
      </c>
      <c r="Z1418" s="175">
        <v>2.3574065418953315E-2</v>
      </c>
      <c r="AA1418" s="177">
        <v>2.3805807663385508E-2</v>
      </c>
    </row>
    <row r="1419" spans="23:27" x14ac:dyDescent="0.2">
      <c r="W1419" s="173" t="str">
        <f t="shared" si="32"/>
        <v>1w</v>
      </c>
      <c r="X1419" s="180">
        <f>_xll.qlCalendarAdvance(LiborCalendar,X1418,W1419,"f",FALSE)</f>
        <v>48892</v>
      </c>
      <c r="Y1419" s="174">
        <f>_xll.qlInterestRateIndexValueDate(IborIndex,X1419)</f>
        <v>48894</v>
      </c>
      <c r="Z1419" s="175">
        <v>2.3568286909003908E-2</v>
      </c>
      <c r="AA1419" s="177">
        <v>2.3803112115685646E-2</v>
      </c>
    </row>
    <row r="1420" spans="23:27" x14ac:dyDescent="0.2">
      <c r="W1420" s="173" t="str">
        <f t="shared" si="32"/>
        <v>1w</v>
      </c>
      <c r="X1420" s="180">
        <f>_xll.qlCalendarAdvance(LiborCalendar,X1419,W1420,"f",FALSE)</f>
        <v>48899</v>
      </c>
      <c r="Y1420" s="174">
        <f>_xll.qlInterestRateIndexValueDate(IborIndex,X1420)</f>
        <v>48901</v>
      </c>
      <c r="Z1420" s="175">
        <v>2.3564245367215821E-2</v>
      </c>
      <c r="AA1420" s="177">
        <v>2.3800317770678408E-2</v>
      </c>
    </row>
    <row r="1421" spans="23:27" x14ac:dyDescent="0.2">
      <c r="W1421" s="173" t="str">
        <f t="shared" si="32"/>
        <v>1w</v>
      </c>
      <c r="X1421" s="180">
        <f>_xll.qlCalendarAdvance(LiborCalendar,X1420,W1421,"f",FALSE)</f>
        <v>48906</v>
      </c>
      <c r="Y1421" s="174">
        <f>_xll.qlInterestRateIndexValueDate(IborIndex,X1421)</f>
        <v>48908</v>
      </c>
      <c r="Z1421" s="175">
        <v>2.3560105254541035E-2</v>
      </c>
      <c r="AA1421" s="177">
        <v>2.379742462830977E-2</v>
      </c>
    </row>
    <row r="1422" spans="23:27" x14ac:dyDescent="0.2">
      <c r="W1422" s="173" t="str">
        <f t="shared" si="32"/>
        <v>1w</v>
      </c>
      <c r="X1422" s="180">
        <f>_xll.qlCalendarAdvance(LiborCalendar,X1421,W1422,"f",FALSE)</f>
        <v>48913</v>
      </c>
      <c r="Y1422" s="174">
        <f>_xll.qlInterestRateIndexValueDate(IborIndex,X1422)</f>
        <v>48915</v>
      </c>
      <c r="Z1422" s="175">
        <v>2.3556297243340747E-2</v>
      </c>
      <c r="AA1422" s="177">
        <v>2.3794432688633758E-2</v>
      </c>
    </row>
    <row r="1423" spans="23:27" x14ac:dyDescent="0.2">
      <c r="W1423" s="173" t="str">
        <f t="shared" si="32"/>
        <v>1w</v>
      </c>
      <c r="X1423" s="180">
        <f>_xll.qlCalendarAdvance(LiborCalendar,X1422,W1423,"f",FALSE)</f>
        <v>48920</v>
      </c>
      <c r="Y1423" s="174">
        <f>_xll.qlInterestRateIndexValueDate(IborIndex,X1423)</f>
        <v>48922</v>
      </c>
      <c r="Z1423" s="175">
        <v>2.3551952667565563E-2</v>
      </c>
      <c r="AA1423" s="177">
        <v>2.3791341951623361E-2</v>
      </c>
    </row>
    <row r="1424" spans="23:27" x14ac:dyDescent="0.2">
      <c r="W1424" s="173" t="str">
        <f t="shared" si="32"/>
        <v>1w</v>
      </c>
      <c r="X1424" s="180">
        <f>_xll.qlCalendarAdvance(LiborCalendar,X1423,W1424,"f",FALSE)</f>
        <v>48927</v>
      </c>
      <c r="Y1424" s="174">
        <f>_xll.qlInterestRateIndexValueDate(IborIndex,X1424)</f>
        <v>48929</v>
      </c>
      <c r="Z1424" s="175">
        <v>2.3547509516464015E-2</v>
      </c>
      <c r="AA1424" s="177">
        <v>2.3788152417332602E-2</v>
      </c>
    </row>
    <row r="1425" spans="23:27" x14ac:dyDescent="0.2">
      <c r="W1425" s="173" t="str">
        <f t="shared" si="32"/>
        <v>1w</v>
      </c>
      <c r="X1425" s="180">
        <f>_xll.qlCalendarAdvance(LiborCalendar,X1424,W1425,"f",FALSE)</f>
        <v>48934</v>
      </c>
      <c r="Y1425" s="174">
        <f>_xll.qlInterestRateIndexValueDate(IborIndex,X1425)</f>
        <v>48941</v>
      </c>
      <c r="Z1425" s="175">
        <v>2.3539663349385329E-2</v>
      </c>
      <c r="AA1425" s="177">
        <v>2.3781391854911238E-2</v>
      </c>
    </row>
    <row r="1426" spans="23:27" x14ac:dyDescent="0.2">
      <c r="W1426" s="173" t="str">
        <f t="shared" si="32"/>
        <v>1w</v>
      </c>
      <c r="X1426" s="180">
        <f>_xll.qlCalendarAdvance(LiborCalendar,X1425,W1426,"f",FALSE)</f>
        <v>48941</v>
      </c>
      <c r="Y1426" s="174">
        <f>_xll.qlInterestRateIndexValueDate(IborIndex,X1426)</f>
        <v>48943</v>
      </c>
      <c r="Z1426" s="175">
        <v>2.3538327490918408E-2</v>
      </c>
      <c r="AA1426" s="177">
        <v>2.3782005338583434E-2</v>
      </c>
    </row>
    <row r="1427" spans="23:27" x14ac:dyDescent="0.2">
      <c r="W1427" s="173" t="str">
        <f t="shared" si="32"/>
        <v>1w</v>
      </c>
      <c r="X1427" s="180">
        <f>_xll.qlCalendarAdvance(LiborCalendar,X1426,W1427,"f",FALSE)</f>
        <v>48948</v>
      </c>
      <c r="Y1427" s="174">
        <f>_xll.qlInterestRateIndexValueDate(IborIndex,X1427)</f>
        <v>48950</v>
      </c>
      <c r="Z1427" s="175">
        <v>2.3533194624978517E-2</v>
      </c>
      <c r="AA1427" s="177">
        <v>2.3777991030589089E-2</v>
      </c>
    </row>
    <row r="1428" spans="23:27" x14ac:dyDescent="0.2">
      <c r="W1428" s="173" t="str">
        <f t="shared" si="32"/>
        <v>1w</v>
      </c>
      <c r="X1428" s="180">
        <f>_xll.qlCalendarAdvance(LiborCalendar,X1427,W1428,"f",FALSE)</f>
        <v>48955</v>
      </c>
      <c r="Y1428" s="174">
        <f>_xll.qlInterestRateIndexValueDate(IborIndex,X1428)</f>
        <v>48957</v>
      </c>
      <c r="Z1428" s="175">
        <v>2.3528364533949939E-2</v>
      </c>
      <c r="AA1428" s="177">
        <v>2.3774406307095857E-2</v>
      </c>
    </row>
    <row r="1429" spans="23:27" x14ac:dyDescent="0.2">
      <c r="W1429" s="173" t="str">
        <f t="shared" ref="W1429:W1492" si="33">W1428</f>
        <v>1w</v>
      </c>
      <c r="X1429" s="180">
        <f>_xll.qlCalendarAdvance(LiborCalendar,X1428,W1429,"f",FALSE)</f>
        <v>48962</v>
      </c>
      <c r="Y1429" s="174">
        <f>_xll.qlInterestRateIndexValueDate(IborIndex,X1429)</f>
        <v>48964</v>
      </c>
      <c r="Z1429" s="175">
        <v>2.3523435877308235E-2</v>
      </c>
      <c r="AA1429" s="177">
        <v>2.3770722786349289E-2</v>
      </c>
    </row>
    <row r="1430" spans="23:27" x14ac:dyDescent="0.2">
      <c r="W1430" s="173" t="str">
        <f t="shared" si="33"/>
        <v>1w</v>
      </c>
      <c r="X1430" s="180">
        <f>_xll.qlCalendarAdvance(LiborCalendar,X1429,W1430,"f",FALSE)</f>
        <v>48969</v>
      </c>
      <c r="Y1430" s="174">
        <f>_xll.qlInterestRateIndexValueDate(IborIndex,X1430)</f>
        <v>48971</v>
      </c>
      <c r="Z1430" s="175">
        <v>2.3518408655777239E-2</v>
      </c>
      <c r="AA1430" s="177">
        <v>2.3766940468349377E-2</v>
      </c>
    </row>
    <row r="1431" spans="23:27" x14ac:dyDescent="0.2">
      <c r="W1431" s="173" t="str">
        <f t="shared" si="33"/>
        <v>1w</v>
      </c>
      <c r="X1431" s="180">
        <f>_xll.qlCalendarAdvance(LiborCalendar,X1430,W1431,"f",FALSE)</f>
        <v>48976</v>
      </c>
      <c r="Y1431" s="174">
        <f>_xll.qlInterestRateIndexValueDate(IborIndex,X1431)</f>
        <v>48978</v>
      </c>
      <c r="Z1431" s="175">
        <v>2.3513282870095808E-2</v>
      </c>
      <c r="AA1431" s="177">
        <v>2.3763059353069108E-2</v>
      </c>
    </row>
    <row r="1432" spans="23:27" x14ac:dyDescent="0.2">
      <c r="W1432" s="173" t="str">
        <f t="shared" si="33"/>
        <v>1w</v>
      </c>
      <c r="X1432" s="180">
        <f>_xll.qlCalendarAdvance(LiborCalendar,X1431,W1432,"f",FALSE)</f>
        <v>48983</v>
      </c>
      <c r="Y1432" s="174">
        <f>_xll.qlInterestRateIndexValueDate(IborIndex,X1432)</f>
        <v>48985</v>
      </c>
      <c r="Z1432" s="175">
        <v>2.3508058521017821E-2</v>
      </c>
      <c r="AA1432" s="177">
        <v>2.3759079440589529E-2</v>
      </c>
    </row>
    <row r="1433" spans="23:27" x14ac:dyDescent="0.2">
      <c r="W1433" s="173" t="str">
        <f t="shared" si="33"/>
        <v>1w</v>
      </c>
      <c r="X1433" s="180">
        <f>_xll.qlCalendarAdvance(LiborCalendar,X1432,W1433,"f",FALSE)</f>
        <v>48990</v>
      </c>
      <c r="Y1433" s="174">
        <f>_xll.qlInterestRateIndexValueDate(IborIndex,X1433)</f>
        <v>48992</v>
      </c>
      <c r="Z1433" s="175">
        <v>2.3502735609310394E-2</v>
      </c>
      <c r="AA1433" s="177">
        <v>2.3755000730829593E-2</v>
      </c>
    </row>
    <row r="1434" spans="23:27" x14ac:dyDescent="0.2">
      <c r="W1434" s="173" t="str">
        <f t="shared" si="33"/>
        <v>1w</v>
      </c>
      <c r="X1434" s="180">
        <f>_xll.qlCalendarAdvance(LiborCalendar,X1433,W1434,"f",FALSE)</f>
        <v>48997</v>
      </c>
      <c r="Y1434" s="174">
        <f>_xll.qlInterestRateIndexValueDate(IborIndex,X1434)</f>
        <v>48999</v>
      </c>
      <c r="Z1434" s="175">
        <v>2.3497314135755221E-2</v>
      </c>
      <c r="AA1434" s="177">
        <v>2.3750823223870347E-2</v>
      </c>
    </row>
    <row r="1435" spans="23:27" x14ac:dyDescent="0.2">
      <c r="W1435" s="173" t="str">
        <f t="shared" si="33"/>
        <v>1w</v>
      </c>
      <c r="X1435" s="180">
        <f>_xll.qlCalendarAdvance(LiborCalendar,X1434,W1435,"f",FALSE)</f>
        <v>49004</v>
      </c>
      <c r="Y1435" s="174">
        <f>_xll.qlInterestRateIndexValueDate(IborIndex,X1435)</f>
        <v>49006</v>
      </c>
      <c r="Z1435" s="175">
        <v>2.3493129860935141E-2</v>
      </c>
      <c r="AA1435" s="177">
        <v>2.3746546919684773E-2</v>
      </c>
    </row>
    <row r="1436" spans="23:27" x14ac:dyDescent="0.2">
      <c r="W1436" s="173" t="str">
        <f t="shared" si="33"/>
        <v>1w</v>
      </c>
      <c r="X1436" s="180">
        <f>_xll.qlCalendarAdvance(LiborCalendar,X1435,W1436,"f",FALSE)</f>
        <v>49011</v>
      </c>
      <c r="Y1436" s="174">
        <f>_xll.qlInterestRateIndexValueDate(IborIndex,X1436)</f>
        <v>49013</v>
      </c>
      <c r="Z1436" s="175">
        <v>2.3487481641329386E-2</v>
      </c>
      <c r="AA1436" s="177">
        <v>2.3742171818326906E-2</v>
      </c>
    </row>
    <row r="1437" spans="23:27" x14ac:dyDescent="0.2">
      <c r="W1437" s="173" t="str">
        <f t="shared" si="33"/>
        <v>1w</v>
      </c>
      <c r="X1437" s="180">
        <f>_xll.qlCalendarAdvance(LiborCalendar,X1436,W1437,"f",FALSE)</f>
        <v>49018</v>
      </c>
      <c r="Y1437" s="174">
        <f>_xll.qlInterestRateIndexValueDate(IborIndex,X1437)</f>
        <v>49020</v>
      </c>
      <c r="Z1437" s="175">
        <v>2.3482052220601936E-2</v>
      </c>
      <c r="AA1437" s="177">
        <v>2.3737697919742711E-2</v>
      </c>
    </row>
    <row r="1438" spans="23:27" x14ac:dyDescent="0.2">
      <c r="W1438" s="173" t="str">
        <f t="shared" si="33"/>
        <v>1w</v>
      </c>
      <c r="X1438" s="180">
        <f>_xll.qlCalendarAdvance(LiborCalendar,X1437,W1438,"f",FALSE)</f>
        <v>49025</v>
      </c>
      <c r="Y1438" s="174">
        <f>_xll.qlInterestRateIndexValueDate(IborIndex,X1438)</f>
        <v>49027</v>
      </c>
      <c r="Z1438" s="175">
        <v>2.3475889449831647E-2</v>
      </c>
      <c r="AA1438" s="177">
        <v>2.3733125224013239E-2</v>
      </c>
    </row>
    <row r="1439" spans="23:27" x14ac:dyDescent="0.2">
      <c r="W1439" s="173" t="str">
        <f t="shared" si="33"/>
        <v>1w</v>
      </c>
      <c r="X1439" s="180">
        <f>_xll.qlCalendarAdvance(LiborCalendar,X1438,W1439,"f",FALSE)</f>
        <v>49032</v>
      </c>
      <c r="Y1439" s="174">
        <f>_xll.qlInterestRateIndexValueDate(IborIndex,X1439)</f>
        <v>49034</v>
      </c>
      <c r="Z1439" s="175">
        <v>2.3469033691742403E-2</v>
      </c>
      <c r="AA1439" s="177">
        <v>2.3728453731084457E-2</v>
      </c>
    </row>
    <row r="1440" spans="23:27" x14ac:dyDescent="0.2">
      <c r="W1440" s="173" t="str">
        <f t="shared" si="33"/>
        <v>1w</v>
      </c>
      <c r="X1440" s="180">
        <f>_xll.qlCalendarAdvance(LiborCalendar,X1439,W1440,"f",FALSE)</f>
        <v>49039</v>
      </c>
      <c r="Y1440" s="174">
        <f>_xll.qlInterestRateIndexValueDate(IborIndex,X1440)</f>
        <v>49045</v>
      </c>
      <c r="Z1440" s="175">
        <v>2.3459821981911055E-2</v>
      </c>
      <c r="AA1440" s="177">
        <v>2.3720067941785938E-2</v>
      </c>
    </row>
    <row r="1441" spans="23:27" x14ac:dyDescent="0.2">
      <c r="W1441" s="173" t="str">
        <f t="shared" si="33"/>
        <v>1w</v>
      </c>
      <c r="X1441" s="180">
        <f>_xll.qlCalendarAdvance(LiborCalendar,X1440,W1441,"f",FALSE)</f>
        <v>49046</v>
      </c>
      <c r="Y1441" s="174">
        <f>_xll.qlInterestRateIndexValueDate(IborIndex,X1441)</f>
        <v>49048</v>
      </c>
      <c r="Z1441" s="175">
        <v>2.3457761795035153E-2</v>
      </c>
      <c r="AA1441" s="177">
        <v>2.371881435379105E-2</v>
      </c>
    </row>
    <row r="1442" spans="23:27" x14ac:dyDescent="0.2">
      <c r="W1442" s="173" t="str">
        <f t="shared" si="33"/>
        <v>1w</v>
      </c>
      <c r="X1442" s="180">
        <f>_xll.qlCalendarAdvance(LiborCalendar,X1441,W1442,"f",FALSE)</f>
        <v>49053</v>
      </c>
      <c r="Y1442" s="174">
        <f>_xll.qlInterestRateIndexValueDate(IborIndex,X1442)</f>
        <v>49055</v>
      </c>
      <c r="Z1442" s="175">
        <v>2.3451522082372053E-2</v>
      </c>
      <c r="AA1442" s="177">
        <v>2.3713846469426429E-2</v>
      </c>
    </row>
    <row r="1443" spans="23:27" x14ac:dyDescent="0.2">
      <c r="W1443" s="173" t="str">
        <f t="shared" si="33"/>
        <v>1w</v>
      </c>
      <c r="X1443" s="180">
        <f>_xll.qlCalendarAdvance(LiborCalendar,X1442,W1443,"f",FALSE)</f>
        <v>49060</v>
      </c>
      <c r="Y1443" s="174">
        <f>_xll.qlInterestRateIndexValueDate(IborIndex,X1443)</f>
        <v>49062</v>
      </c>
      <c r="Z1443" s="175">
        <v>2.344545655487534E-2</v>
      </c>
      <c r="AA1443" s="177">
        <v>2.3709183464974415E-2</v>
      </c>
    </row>
    <row r="1444" spans="23:27" x14ac:dyDescent="0.2">
      <c r="W1444" s="173" t="str">
        <f t="shared" si="33"/>
        <v>1w</v>
      </c>
      <c r="X1444" s="180">
        <f>_xll.qlCalendarAdvance(LiborCalendar,X1443,W1444,"f",FALSE)</f>
        <v>49067</v>
      </c>
      <c r="Y1444" s="174">
        <f>_xll.qlInterestRateIndexValueDate(IborIndex,X1444)</f>
        <v>49072</v>
      </c>
      <c r="Z1444" s="175">
        <v>2.3435695291003814E-2</v>
      </c>
      <c r="AA1444" s="177">
        <v>2.3700581998433723E-2</v>
      </c>
    </row>
    <row r="1445" spans="23:27" x14ac:dyDescent="0.2">
      <c r="W1445" s="173" t="str">
        <f t="shared" si="33"/>
        <v>1w</v>
      </c>
      <c r="X1445" s="180">
        <f>_xll.qlCalendarAdvance(LiborCalendar,X1444,W1445,"f",FALSE)</f>
        <v>49074</v>
      </c>
      <c r="Y1445" s="174">
        <f>_xll.qlInterestRateIndexValueDate(IborIndex,X1445)</f>
        <v>49076</v>
      </c>
      <c r="Z1445" s="175">
        <v>2.3432212108484497E-2</v>
      </c>
      <c r="AA1445" s="177">
        <v>2.3698350033704022E-2</v>
      </c>
    </row>
    <row r="1446" spans="23:27" x14ac:dyDescent="0.2">
      <c r="W1446" s="173" t="str">
        <f t="shared" si="33"/>
        <v>1w</v>
      </c>
      <c r="X1446" s="180">
        <f>_xll.qlCalendarAdvance(LiborCalendar,X1445,W1446,"f",FALSE)</f>
        <v>49081</v>
      </c>
      <c r="Y1446" s="174">
        <f>_xll.qlInterestRateIndexValueDate(IborIndex,X1446)</f>
        <v>49083</v>
      </c>
      <c r="Z1446" s="175">
        <v>2.3425582524878082E-2</v>
      </c>
      <c r="AA1446" s="177">
        <v>2.3692986960893357E-2</v>
      </c>
    </row>
    <row r="1447" spans="23:27" x14ac:dyDescent="0.2">
      <c r="W1447" s="173" t="str">
        <f t="shared" si="33"/>
        <v>1w</v>
      </c>
      <c r="X1447" s="180">
        <f>_xll.qlCalendarAdvance(LiborCalendar,X1446,W1447,"f",FALSE)</f>
        <v>49088</v>
      </c>
      <c r="Y1447" s="174">
        <f>_xll.qlInterestRateIndexValueDate(IborIndex,X1447)</f>
        <v>49090</v>
      </c>
      <c r="Z1447" s="175">
        <v>2.3418861976218668E-2</v>
      </c>
      <c r="AA1447" s="177">
        <v>2.3687899158628123E-2</v>
      </c>
    </row>
    <row r="1448" spans="23:27" x14ac:dyDescent="0.2">
      <c r="W1448" s="173" t="str">
        <f t="shared" si="33"/>
        <v>1w</v>
      </c>
      <c r="X1448" s="180">
        <f>_xll.qlCalendarAdvance(LiborCalendar,X1447,W1448,"f",FALSE)</f>
        <v>49095</v>
      </c>
      <c r="Y1448" s="174">
        <f>_xll.qlInterestRateIndexValueDate(IborIndex,X1448)</f>
        <v>49097</v>
      </c>
      <c r="Z1448" s="175">
        <v>2.3412054268456831E-2</v>
      </c>
      <c r="AA1448" s="177">
        <v>2.3681964424160377E-2</v>
      </c>
    </row>
    <row r="1449" spans="23:27" x14ac:dyDescent="0.2">
      <c r="W1449" s="173" t="str">
        <f t="shared" si="33"/>
        <v>1w</v>
      </c>
      <c r="X1449" s="180">
        <f>_xll.qlCalendarAdvance(LiborCalendar,X1448,W1449,"f",FALSE)</f>
        <v>49102</v>
      </c>
      <c r="Y1449" s="174">
        <f>_xll.qlInterestRateIndexValueDate(IborIndex,X1449)</f>
        <v>49104</v>
      </c>
      <c r="Z1449" s="175">
        <v>2.3405163207502536E-2</v>
      </c>
      <c r="AA1449" s="177">
        <v>2.3676304960238058E-2</v>
      </c>
    </row>
    <row r="1450" spans="23:27" x14ac:dyDescent="0.2">
      <c r="W1450" s="173" t="str">
        <f t="shared" si="33"/>
        <v>1w</v>
      </c>
      <c r="X1450" s="180">
        <f>_xll.qlCalendarAdvance(LiborCalendar,X1449,W1450,"f",FALSE)</f>
        <v>49109</v>
      </c>
      <c r="Y1450" s="174">
        <f>_xll.qlInterestRateIndexValueDate(IborIndex,X1450)</f>
        <v>49111</v>
      </c>
      <c r="Z1450" s="175">
        <v>2.3398192599221247E-2</v>
      </c>
      <c r="AA1450" s="177">
        <v>2.3670546699224491E-2</v>
      </c>
    </row>
    <row r="1451" spans="23:27" x14ac:dyDescent="0.2">
      <c r="W1451" s="173" t="str">
        <f t="shared" si="33"/>
        <v>1w</v>
      </c>
      <c r="X1451" s="180">
        <f>_xll.qlCalendarAdvance(LiborCalendar,X1450,W1451,"f",FALSE)</f>
        <v>49116</v>
      </c>
      <c r="Y1451" s="174">
        <f>_xll.qlInterestRateIndexValueDate(IborIndex,X1451)</f>
        <v>49118</v>
      </c>
      <c r="Z1451" s="175">
        <v>2.3391596536268329E-2</v>
      </c>
      <c r="AA1451" s="177">
        <v>2.3664689641254753E-2</v>
      </c>
    </row>
    <row r="1452" spans="23:27" x14ac:dyDescent="0.2">
      <c r="W1452" s="173" t="str">
        <f t="shared" si="33"/>
        <v>1w</v>
      </c>
      <c r="X1452" s="180">
        <f>_xll.qlCalendarAdvance(LiborCalendar,X1451,W1452,"f",FALSE)</f>
        <v>49123</v>
      </c>
      <c r="Y1452" s="174">
        <f>_xll.qlInterestRateIndexValueDate(IborIndex,X1452)</f>
        <v>49125</v>
      </c>
      <c r="Z1452" s="175">
        <v>2.3383362503901838E-2</v>
      </c>
      <c r="AA1452" s="177">
        <v>2.3658733786247797E-2</v>
      </c>
    </row>
    <row r="1453" spans="23:27" x14ac:dyDescent="0.2">
      <c r="W1453" s="173" t="str">
        <f t="shared" si="33"/>
        <v>1w</v>
      </c>
      <c r="X1453" s="180">
        <f>_xll.qlCalendarAdvance(LiborCalendar,X1452,W1453,"f",FALSE)</f>
        <v>49130</v>
      </c>
      <c r="Y1453" s="174">
        <f>_xll.qlInterestRateIndexValueDate(IborIndex,X1453)</f>
        <v>49132</v>
      </c>
      <c r="Z1453" s="175">
        <v>2.3377059243045572E-2</v>
      </c>
      <c r="AA1453" s="177">
        <v>2.365267913423064E-2</v>
      </c>
    </row>
    <row r="1454" spans="23:27" x14ac:dyDescent="0.2">
      <c r="W1454" s="173" t="str">
        <f t="shared" si="33"/>
        <v>1w</v>
      </c>
      <c r="X1454" s="180">
        <f>_xll.qlCalendarAdvance(LiborCalendar,X1453,W1454,"f",FALSE)</f>
        <v>49137</v>
      </c>
      <c r="Y1454" s="174">
        <f>_xll.qlInterestRateIndexValueDate(IborIndex,X1454)</f>
        <v>49139</v>
      </c>
      <c r="Z1454" s="175">
        <v>2.3369590808614397E-2</v>
      </c>
      <c r="AA1454" s="177">
        <v>2.364652568531134E-2</v>
      </c>
    </row>
    <row r="1455" spans="23:27" x14ac:dyDescent="0.2">
      <c r="W1455" s="173" t="str">
        <f t="shared" si="33"/>
        <v>1w</v>
      </c>
      <c r="X1455" s="180">
        <f>_xll.qlCalendarAdvance(LiborCalendar,X1454,W1455,"f",FALSE)</f>
        <v>49144</v>
      </c>
      <c r="Y1455" s="174">
        <f>_xll.qlInterestRateIndexValueDate(IborIndex,X1455)</f>
        <v>49146</v>
      </c>
      <c r="Z1455" s="175">
        <v>2.3362279550123662E-2</v>
      </c>
      <c r="AA1455" s="177">
        <v>2.3640273439381836E-2</v>
      </c>
    </row>
    <row r="1456" spans="23:27" x14ac:dyDescent="0.2">
      <c r="W1456" s="173" t="str">
        <f t="shared" si="33"/>
        <v>1w</v>
      </c>
      <c r="X1456" s="180">
        <f>_xll.qlCalendarAdvance(LiborCalendar,X1455,W1456,"f",FALSE)</f>
        <v>49151</v>
      </c>
      <c r="Y1456" s="174">
        <f>_xll.qlInterestRateIndexValueDate(IborIndex,X1456)</f>
        <v>49153</v>
      </c>
      <c r="Z1456" s="175">
        <v>2.3354911578537734E-2</v>
      </c>
      <c r="AA1456" s="177">
        <v>2.3633922396523181E-2</v>
      </c>
    </row>
    <row r="1457" spans="23:27" x14ac:dyDescent="0.2">
      <c r="W1457" s="173" t="str">
        <f t="shared" si="33"/>
        <v>1w</v>
      </c>
      <c r="X1457" s="180">
        <f>_xll.qlCalendarAdvance(LiborCalendar,X1456,W1457,"f",FALSE)</f>
        <v>49158</v>
      </c>
      <c r="Y1457" s="174">
        <f>_xll.qlInterestRateIndexValueDate(IborIndex,X1457)</f>
        <v>49160</v>
      </c>
      <c r="Z1457" s="175">
        <v>2.3347490699386773E-2</v>
      </c>
      <c r="AA1457" s="177">
        <v>2.362747255670835E-2</v>
      </c>
    </row>
    <row r="1458" spans="23:27" x14ac:dyDescent="0.2">
      <c r="W1458" s="173" t="str">
        <f t="shared" si="33"/>
        <v>1w</v>
      </c>
      <c r="X1458" s="180">
        <f>_xll.qlCalendarAdvance(LiborCalendar,X1457,W1458,"f",FALSE)</f>
        <v>49165</v>
      </c>
      <c r="Y1458" s="174">
        <f>_xll.qlInterestRateIndexValueDate(IborIndex,X1458)</f>
        <v>49167</v>
      </c>
      <c r="Z1458" s="175">
        <v>2.3340225244776459E-2</v>
      </c>
      <c r="AA1458" s="177">
        <v>2.3620923920018393E-2</v>
      </c>
    </row>
    <row r="1459" spans="23:27" x14ac:dyDescent="0.2">
      <c r="W1459" s="173" t="str">
        <f t="shared" si="33"/>
        <v>1w</v>
      </c>
      <c r="X1459" s="180">
        <f>_xll.qlCalendarAdvance(LiborCalendar,X1458,W1459,"f",FALSE)</f>
        <v>49172</v>
      </c>
      <c r="Y1459" s="174">
        <f>_xll.qlInterestRateIndexValueDate(IborIndex,X1459)</f>
        <v>49174</v>
      </c>
      <c r="Z1459" s="175">
        <v>2.3332505440250284E-2</v>
      </c>
      <c r="AA1459" s="177">
        <v>2.3614276486399282E-2</v>
      </c>
    </row>
    <row r="1460" spans="23:27" x14ac:dyDescent="0.2">
      <c r="W1460" s="173" t="str">
        <f t="shared" si="33"/>
        <v>1w</v>
      </c>
      <c r="X1460" s="180">
        <f>_xll.qlCalendarAdvance(LiborCalendar,X1459,W1460,"f",FALSE)</f>
        <v>49179</v>
      </c>
      <c r="Y1460" s="174">
        <f>_xll.qlInterestRateIndexValueDate(IborIndex,X1460)</f>
        <v>49181</v>
      </c>
      <c r="Z1460" s="175">
        <v>2.3324948671058051E-2</v>
      </c>
      <c r="AA1460" s="177">
        <v>2.3607807395256142E-2</v>
      </c>
    </row>
    <row r="1461" spans="23:27" x14ac:dyDescent="0.2">
      <c r="W1461" s="173" t="str">
        <f t="shared" si="33"/>
        <v>1w</v>
      </c>
      <c r="X1461" s="180">
        <f>_xll.qlCalendarAdvance(LiborCalendar,X1460,W1461,"f",FALSE)</f>
        <v>49186</v>
      </c>
      <c r="Y1461" s="174">
        <f>_xll.qlInterestRateIndexValueDate(IborIndex,X1461)</f>
        <v>49188</v>
      </c>
      <c r="Z1461" s="175">
        <v>2.3316554424284486E-2</v>
      </c>
      <c r="AA1461" s="177">
        <v>2.3600685228589716E-2</v>
      </c>
    </row>
    <row r="1462" spans="23:27" x14ac:dyDescent="0.2">
      <c r="W1462" s="173" t="str">
        <f t="shared" si="33"/>
        <v>1w</v>
      </c>
      <c r="X1462" s="180">
        <f>_xll.qlCalendarAdvance(LiborCalendar,X1461,W1462,"f",FALSE)</f>
        <v>49193</v>
      </c>
      <c r="Y1462" s="174">
        <f>_xll.qlInterestRateIndexValueDate(IborIndex,X1462)</f>
        <v>49195</v>
      </c>
      <c r="Z1462" s="175">
        <v>2.3308930837283023E-2</v>
      </c>
      <c r="AA1462" s="177">
        <v>2.3593741404399259E-2</v>
      </c>
    </row>
    <row r="1463" spans="23:27" x14ac:dyDescent="0.2">
      <c r="W1463" s="173" t="str">
        <f t="shared" si="33"/>
        <v>1w</v>
      </c>
      <c r="X1463" s="180">
        <f>_xll.qlCalendarAdvance(LiborCalendar,X1462,W1463,"f",FALSE)</f>
        <v>49200</v>
      </c>
      <c r="Y1463" s="174">
        <f>_xll.qlInterestRateIndexValueDate(IborIndex,X1463)</f>
        <v>49202</v>
      </c>
      <c r="Z1463" s="175">
        <v>2.3301276473278076E-2</v>
      </c>
      <c r="AA1463" s="177">
        <v>2.3586698783387709E-2</v>
      </c>
    </row>
    <row r="1464" spans="23:27" x14ac:dyDescent="0.2">
      <c r="W1464" s="173" t="str">
        <f t="shared" si="33"/>
        <v>1w</v>
      </c>
      <c r="X1464" s="180">
        <f>_xll.qlCalendarAdvance(LiborCalendar,X1463,W1464,"f",FALSE)</f>
        <v>49207</v>
      </c>
      <c r="Y1464" s="174">
        <f>_xll.qlInterestRateIndexValueDate(IborIndex,X1464)</f>
        <v>49209</v>
      </c>
      <c r="Z1464" s="175">
        <v>2.3293595220501697E-2</v>
      </c>
      <c r="AA1464" s="177">
        <v>2.3579557365528046E-2</v>
      </c>
    </row>
    <row r="1465" spans="23:27" x14ac:dyDescent="0.2">
      <c r="W1465" s="173" t="str">
        <f t="shared" si="33"/>
        <v>1w</v>
      </c>
      <c r="X1465" s="180">
        <f>_xll.qlCalendarAdvance(LiborCalendar,X1464,W1465,"f",FALSE)</f>
        <v>49214</v>
      </c>
      <c r="Y1465" s="174">
        <f>_xll.qlInterestRateIndexValueDate(IborIndex,X1465)</f>
        <v>49216</v>
      </c>
      <c r="Z1465" s="175">
        <v>2.3286087182821907E-2</v>
      </c>
      <c r="AA1465" s="177">
        <v>2.3572317150928338E-2</v>
      </c>
    </row>
    <row r="1466" spans="23:27" x14ac:dyDescent="0.2">
      <c r="W1466" s="173" t="str">
        <f t="shared" si="33"/>
        <v>1w</v>
      </c>
      <c r="X1466" s="180">
        <f>_xll.qlCalendarAdvance(LiborCalendar,X1465,W1466,"f",FALSE)</f>
        <v>49221</v>
      </c>
      <c r="Y1466" s="174">
        <f>_xll.qlInterestRateIndexValueDate(IborIndex,X1466)</f>
        <v>49223</v>
      </c>
      <c r="Z1466" s="175">
        <v>2.3278363202396981E-2</v>
      </c>
      <c r="AA1466" s="177">
        <v>2.3564978139507534E-2</v>
      </c>
    </row>
    <row r="1467" spans="23:27" x14ac:dyDescent="0.2">
      <c r="W1467" s="173" t="str">
        <f t="shared" si="33"/>
        <v>1w</v>
      </c>
      <c r="X1467" s="180">
        <f>_xll.qlCalendarAdvance(LiborCalendar,X1466,W1467,"f",FALSE)</f>
        <v>49228</v>
      </c>
      <c r="Y1467" s="174">
        <f>_xll.qlInterestRateIndexValueDate(IborIndex,X1467)</f>
        <v>49230</v>
      </c>
      <c r="Z1467" s="175">
        <v>2.3270624091339922E-2</v>
      </c>
      <c r="AA1467" s="177">
        <v>2.3557540331346681E-2</v>
      </c>
    </row>
    <row r="1468" spans="23:27" x14ac:dyDescent="0.2">
      <c r="W1468" s="173" t="str">
        <f t="shared" si="33"/>
        <v>1w</v>
      </c>
      <c r="X1468" s="180">
        <f>_xll.qlCalendarAdvance(LiborCalendar,X1467,W1468,"f",FALSE)</f>
        <v>49235</v>
      </c>
      <c r="Y1468" s="174">
        <f>_xll.qlInterestRateIndexValueDate(IborIndex,X1468)</f>
        <v>49237</v>
      </c>
      <c r="Z1468" s="175">
        <v>2.3262873716529419E-2</v>
      </c>
      <c r="AA1468" s="177">
        <v>2.3550003726418765E-2</v>
      </c>
    </row>
    <row r="1469" spans="23:27" x14ac:dyDescent="0.2">
      <c r="W1469" s="173" t="str">
        <f t="shared" si="33"/>
        <v>1w</v>
      </c>
      <c r="X1469" s="180">
        <f>_xll.qlCalendarAdvance(LiborCalendar,X1468,W1469,"f",FALSE)</f>
        <v>49242</v>
      </c>
      <c r="Y1469" s="174">
        <f>_xll.qlInterestRateIndexValueDate(IborIndex,X1469)</f>
        <v>49244</v>
      </c>
      <c r="Z1469" s="175">
        <v>2.3255115944788372E-2</v>
      </c>
      <c r="AA1469" s="177">
        <v>2.3542368324804833E-2</v>
      </c>
    </row>
    <row r="1470" spans="23:27" x14ac:dyDescent="0.2">
      <c r="W1470" s="173" t="str">
        <f t="shared" si="33"/>
        <v>1w</v>
      </c>
      <c r="X1470" s="180">
        <f>_xll.qlCalendarAdvance(LiborCalendar,X1469,W1470,"f",FALSE)</f>
        <v>49249</v>
      </c>
      <c r="Y1470" s="174">
        <f>_xll.qlInterestRateIndexValueDate(IborIndex,X1470)</f>
        <v>49254</v>
      </c>
      <c r="Z1470" s="175">
        <v>2.3244221939561563E-2</v>
      </c>
      <c r="AA1470" s="177">
        <v>2.3530890197399623E-2</v>
      </c>
    </row>
    <row r="1471" spans="23:27" x14ac:dyDescent="0.2">
      <c r="W1471" s="173" t="str">
        <f t="shared" si="33"/>
        <v>1w</v>
      </c>
      <c r="X1471" s="180">
        <f>_xll.qlCalendarAdvance(LiborCalendar,X1470,W1471,"f",FALSE)</f>
        <v>49256</v>
      </c>
      <c r="Y1471" s="174">
        <f>_xll.qlInterestRateIndexValueDate(IborIndex,X1471)</f>
        <v>49258</v>
      </c>
      <c r="Z1471" s="175">
        <v>2.323940004358049E-2</v>
      </c>
      <c r="AA1471" s="177">
        <v>2.3526833006183672E-2</v>
      </c>
    </row>
    <row r="1472" spans="23:27" x14ac:dyDescent="0.2">
      <c r="W1472" s="173" t="str">
        <f t="shared" si="33"/>
        <v>1w</v>
      </c>
      <c r="X1472" s="180">
        <f>_xll.qlCalendarAdvance(LiborCalendar,X1471,W1472,"f",FALSE)</f>
        <v>49263</v>
      </c>
      <c r="Y1472" s="174">
        <f>_xll.qlInterestRateIndexValueDate(IborIndex,X1472)</f>
        <v>49265</v>
      </c>
      <c r="Z1472" s="175">
        <v>2.3231641256376615E-2</v>
      </c>
      <c r="AA1472" s="177">
        <v>2.3519030769855179E-2</v>
      </c>
    </row>
    <row r="1473" spans="23:27" x14ac:dyDescent="0.2">
      <c r="W1473" s="173" t="str">
        <f t="shared" si="33"/>
        <v>1w</v>
      </c>
      <c r="X1473" s="180">
        <f>_xll.qlCalendarAdvance(LiborCalendar,X1472,W1473,"f",FALSE)</f>
        <v>49270</v>
      </c>
      <c r="Y1473" s="174">
        <f>_xll.qlInterestRateIndexValueDate(IborIndex,X1473)</f>
        <v>49272</v>
      </c>
      <c r="Z1473" s="175">
        <v>2.3223884462520987E-2</v>
      </c>
      <c r="AA1473" s="177">
        <v>2.3511230502086814E-2</v>
      </c>
    </row>
    <row r="1474" spans="23:27" x14ac:dyDescent="0.2">
      <c r="W1474" s="173" t="str">
        <f t="shared" si="33"/>
        <v>1w</v>
      </c>
      <c r="X1474" s="180">
        <f>_xll.qlCalendarAdvance(LiborCalendar,X1473,W1474,"f",FALSE)</f>
        <v>49277</v>
      </c>
      <c r="Y1474" s="174">
        <f>_xll.qlInterestRateIndexValueDate(IborIndex,X1474)</f>
        <v>49279</v>
      </c>
      <c r="Z1474" s="175">
        <v>2.3216322110071016E-2</v>
      </c>
      <c r="AA1474" s="177">
        <v>2.3503432202959623E-2</v>
      </c>
    </row>
    <row r="1475" spans="23:27" x14ac:dyDescent="0.2">
      <c r="W1475" s="173" t="str">
        <f t="shared" si="33"/>
        <v>1w</v>
      </c>
      <c r="X1475" s="180">
        <f>_xll.qlCalendarAdvance(LiborCalendar,X1474,W1475,"f",FALSE)</f>
        <v>49284</v>
      </c>
      <c r="Y1475" s="174">
        <f>_xll.qlInterestRateIndexValueDate(IborIndex,X1475)</f>
        <v>49286</v>
      </c>
      <c r="Z1475" s="175">
        <v>2.3208568948228807E-2</v>
      </c>
      <c r="AA1475" s="177">
        <v>2.3495635872446595E-2</v>
      </c>
    </row>
    <row r="1476" spans="23:27" x14ac:dyDescent="0.2">
      <c r="W1476" s="173" t="str">
        <f t="shared" si="33"/>
        <v>1w</v>
      </c>
      <c r="X1476" s="180">
        <f>_xll.qlCalendarAdvance(LiborCalendar,X1475,W1476,"f",FALSE)</f>
        <v>49291</v>
      </c>
      <c r="Y1476" s="174">
        <f>_xll.qlInterestRateIndexValueDate(IborIndex,X1476)</f>
        <v>49293</v>
      </c>
      <c r="Z1476" s="175">
        <v>2.3200817779957621E-2</v>
      </c>
      <c r="AA1476" s="177">
        <v>2.3487841510520711E-2</v>
      </c>
    </row>
    <row r="1477" spans="23:27" x14ac:dyDescent="0.2">
      <c r="W1477" s="173" t="str">
        <f t="shared" si="33"/>
        <v>1w</v>
      </c>
      <c r="X1477" s="180">
        <f>_xll.qlCalendarAdvance(LiborCalendar,X1476,W1477,"f",FALSE)</f>
        <v>49298</v>
      </c>
      <c r="Y1477" s="174">
        <f>_xll.qlInterestRateIndexValueDate(IborIndex,X1477)</f>
        <v>49300</v>
      </c>
      <c r="Z1477" s="175">
        <v>2.3193068605234179E-2</v>
      </c>
      <c r="AA1477" s="177">
        <v>2.348044637584179E-2</v>
      </c>
    </row>
    <row r="1478" spans="23:27" x14ac:dyDescent="0.2">
      <c r="W1478" s="173" t="str">
        <f t="shared" si="33"/>
        <v>1w</v>
      </c>
      <c r="X1478" s="180">
        <f>_xll.qlCalendarAdvance(LiborCalendar,X1477,W1478,"f",FALSE)</f>
        <v>49305</v>
      </c>
      <c r="Y1478" s="174">
        <f>_xll.qlInterestRateIndexValueDate(IborIndex,X1478)</f>
        <v>49307</v>
      </c>
      <c r="Z1478" s="175">
        <v>2.3185321424035642E-2</v>
      </c>
      <c r="AA1478" s="177">
        <v>2.3472456974331091E-2</v>
      </c>
    </row>
    <row r="1479" spans="23:27" x14ac:dyDescent="0.2">
      <c r="W1479" s="173" t="str">
        <f t="shared" si="33"/>
        <v>1w</v>
      </c>
      <c r="X1479" s="180">
        <f>_xll.qlCalendarAdvance(LiborCalendar,X1478,W1479,"f",FALSE)</f>
        <v>49312</v>
      </c>
      <c r="Y1479" s="174">
        <f>_xll.qlInterestRateIndexValueDate(IborIndex,X1479)</f>
        <v>49314</v>
      </c>
      <c r="Z1479" s="175">
        <v>2.3177385558419712E-2</v>
      </c>
      <c r="AA1479" s="177">
        <v>2.3464470236401008E-2</v>
      </c>
    </row>
    <row r="1480" spans="23:27" x14ac:dyDescent="0.2">
      <c r="W1480" s="173" t="str">
        <f t="shared" si="33"/>
        <v>1w</v>
      </c>
      <c r="X1480" s="180">
        <f>_xll.qlCalendarAdvance(LiborCalendar,X1479,W1480,"f",FALSE)</f>
        <v>49319</v>
      </c>
      <c r="Y1480" s="174">
        <f>_xll.qlInterestRateIndexValueDate(IborIndex,X1480)</f>
        <v>49321</v>
      </c>
      <c r="Z1480" s="175">
        <v>2.3169642717362781E-2</v>
      </c>
      <c r="AA1480" s="177">
        <v>2.3456683748904753E-2</v>
      </c>
    </row>
    <row r="1481" spans="23:27" x14ac:dyDescent="0.2">
      <c r="W1481" s="173" t="str">
        <f t="shared" si="33"/>
        <v>1w</v>
      </c>
      <c r="X1481" s="180">
        <f>_xll.qlCalendarAdvance(LiborCalendar,X1480,W1481,"f",FALSE)</f>
        <v>49326</v>
      </c>
      <c r="Y1481" s="174">
        <f>_xll.qlInterestRateIndexValueDate(IborIndex,X1481)</f>
        <v>49328</v>
      </c>
      <c r="Z1481" s="175">
        <v>2.316190186947082E-2</v>
      </c>
      <c r="AA1481" s="177">
        <v>2.3448899229995639E-2</v>
      </c>
    </row>
    <row r="1482" spans="23:27" x14ac:dyDescent="0.2">
      <c r="W1482" s="173" t="str">
        <f t="shared" si="33"/>
        <v>1w</v>
      </c>
      <c r="X1482" s="180">
        <f>_xll.qlCalendarAdvance(LiborCalendar,X1481,W1482,"f",FALSE)</f>
        <v>49333</v>
      </c>
      <c r="Y1482" s="174">
        <f>_xll.qlInterestRateIndexValueDate(IborIndex,X1482)</f>
        <v>49335</v>
      </c>
      <c r="Z1482" s="175">
        <v>2.3154163014721747E-2</v>
      </c>
      <c r="AA1482" s="177">
        <v>2.344111667970069E-2</v>
      </c>
    </row>
    <row r="1483" spans="23:27" x14ac:dyDescent="0.2">
      <c r="W1483" s="173" t="str">
        <f t="shared" si="33"/>
        <v>1w</v>
      </c>
      <c r="X1483" s="180">
        <f>_xll.qlCalendarAdvance(LiborCalendar,X1482,W1483,"f",FALSE)</f>
        <v>49340</v>
      </c>
      <c r="Y1483" s="174">
        <f>_xll.qlInterestRateIndexValueDate(IborIndex,X1483)</f>
        <v>49342</v>
      </c>
      <c r="Z1483" s="175">
        <v>2.314642615309348E-2</v>
      </c>
      <c r="AA1483" s="177">
        <v>2.34333360980199E-2</v>
      </c>
    </row>
    <row r="1484" spans="23:27" x14ac:dyDescent="0.2">
      <c r="W1484" s="173" t="str">
        <f t="shared" si="33"/>
        <v>1w</v>
      </c>
      <c r="X1484" s="180">
        <f>_xll.qlCalendarAdvance(LiborCalendar,X1483,W1484,"f",FALSE)</f>
        <v>49347</v>
      </c>
      <c r="Y1484" s="174">
        <f>_xll.qlInterestRateIndexValueDate(IborIndex,X1484)</f>
        <v>49349</v>
      </c>
      <c r="Z1484" s="175">
        <v>2.3138691284562172E-2</v>
      </c>
      <c r="AA1484" s="177">
        <v>2.3425557484899238E-2</v>
      </c>
    </row>
    <row r="1485" spans="23:27" x14ac:dyDescent="0.2">
      <c r="W1485" s="173" t="str">
        <f t="shared" si="33"/>
        <v>1w</v>
      </c>
      <c r="X1485" s="180">
        <f>_xll.qlCalendarAdvance(LiborCalendar,X1484,W1485,"f",FALSE)</f>
        <v>49354</v>
      </c>
      <c r="Y1485" s="174">
        <f>_xll.qlInterestRateIndexValueDate(IborIndex,X1485)</f>
        <v>49356</v>
      </c>
      <c r="Z1485" s="175">
        <v>2.3130958409105298E-2</v>
      </c>
      <c r="AA1485" s="177">
        <v>2.3417780840392737E-2</v>
      </c>
    </row>
    <row r="1486" spans="23:27" x14ac:dyDescent="0.2">
      <c r="W1486" s="173" t="str">
        <f t="shared" si="33"/>
        <v>1w</v>
      </c>
      <c r="X1486" s="180">
        <f>_xll.qlCalendarAdvance(LiborCalendar,X1485,W1486,"f",FALSE)</f>
        <v>49361</v>
      </c>
      <c r="Y1486" s="174">
        <f>_xll.qlInterestRateIndexValueDate(IborIndex,X1486)</f>
        <v>49363</v>
      </c>
      <c r="Z1486" s="175">
        <v>2.3123227526700776E-2</v>
      </c>
      <c r="AA1486" s="177">
        <v>2.34100061645004E-2</v>
      </c>
    </row>
    <row r="1487" spans="23:27" x14ac:dyDescent="0.2">
      <c r="W1487" s="173" t="str">
        <f t="shared" si="33"/>
        <v>1w</v>
      </c>
      <c r="X1487" s="180">
        <f>_xll.qlCalendarAdvance(LiborCalendar,X1486,W1487,"f",FALSE)</f>
        <v>49368</v>
      </c>
      <c r="Y1487" s="174">
        <f>_xll.qlInterestRateIndexValueDate(IborIndex,X1487)</f>
        <v>49370</v>
      </c>
      <c r="Z1487" s="175">
        <v>2.3116249927988181E-2</v>
      </c>
      <c r="AA1487" s="177">
        <v>2.3402233457195203E-2</v>
      </c>
    </row>
    <row r="1488" spans="23:27" x14ac:dyDescent="0.2">
      <c r="W1488" s="173" t="str">
        <f t="shared" si="33"/>
        <v>1w</v>
      </c>
      <c r="X1488" s="180">
        <f>_xll.qlCalendarAdvance(LiborCalendar,X1487,W1488,"f",FALSE)</f>
        <v>49375</v>
      </c>
      <c r="Y1488" s="174">
        <f>_xll.qlInterestRateIndexValueDate(IborIndex,X1488)</f>
        <v>49377</v>
      </c>
      <c r="Z1488" s="175">
        <v>2.3108521628320933E-2</v>
      </c>
      <c r="AA1488" s="177">
        <v>2.3394462718504171E-2</v>
      </c>
    </row>
    <row r="1489" spans="23:27" x14ac:dyDescent="0.2">
      <c r="W1489" s="173" t="str">
        <f t="shared" si="33"/>
        <v>1w</v>
      </c>
      <c r="X1489" s="180">
        <f>_xll.qlCalendarAdvance(LiborCalendar,X1488,W1489,"f",FALSE)</f>
        <v>49382</v>
      </c>
      <c r="Y1489" s="174">
        <f>_xll.qlInterestRateIndexValueDate(IborIndex,X1489)</f>
        <v>49384</v>
      </c>
      <c r="Z1489" s="175">
        <v>2.310098238064871E-2</v>
      </c>
      <c r="AA1489" s="177">
        <v>2.3386693948427299E-2</v>
      </c>
    </row>
    <row r="1490" spans="23:27" x14ac:dyDescent="0.2">
      <c r="W1490" s="173" t="str">
        <f t="shared" si="33"/>
        <v>1w</v>
      </c>
      <c r="X1490" s="180">
        <f>_xll.qlCalendarAdvance(LiborCalendar,X1489,W1490,"f",FALSE)</f>
        <v>49389</v>
      </c>
      <c r="Y1490" s="174">
        <f>_xll.qlInterestRateIndexValueDate(IborIndex,X1490)</f>
        <v>49395</v>
      </c>
      <c r="Z1490" s="175">
        <v>2.3088471481462952E-2</v>
      </c>
      <c r="AA1490" s="177">
        <v>2.337410222940095E-2</v>
      </c>
    </row>
    <row r="1491" spans="23:27" x14ac:dyDescent="0.2">
      <c r="W1491" s="173" t="str">
        <f t="shared" si="33"/>
        <v>1w</v>
      </c>
      <c r="X1491" s="180">
        <f>_xll.qlCalendarAdvance(LiborCalendar,X1490,W1491,"f",FALSE)</f>
        <v>49396</v>
      </c>
      <c r="Y1491" s="174">
        <f>_xll.qlInterestRateIndexValueDate(IborIndex,X1491)</f>
        <v>49398</v>
      </c>
      <c r="Z1491" s="175">
        <v>2.3084789468805232E-2</v>
      </c>
      <c r="AA1491" s="177">
        <v>2.337116231400797E-2</v>
      </c>
    </row>
    <row r="1492" spans="23:27" x14ac:dyDescent="0.2">
      <c r="W1492" s="173" t="str">
        <f t="shared" si="33"/>
        <v>1w</v>
      </c>
      <c r="X1492" s="180">
        <f>_xll.qlCalendarAdvance(LiborCalendar,X1491,W1492,"f",FALSE)</f>
        <v>49403</v>
      </c>
      <c r="Y1492" s="174">
        <f>_xll.qlInterestRateIndexValueDate(IborIndex,X1492)</f>
        <v>49405</v>
      </c>
      <c r="Z1492" s="175">
        <v>2.3077814378894231E-2</v>
      </c>
      <c r="AA1492" s="177">
        <v>2.336339944971955E-2</v>
      </c>
    </row>
    <row r="1493" spans="23:27" x14ac:dyDescent="0.2">
      <c r="W1493" s="173" t="str">
        <f t="shared" ref="W1493:W1556" si="34">W1492</f>
        <v>1w</v>
      </c>
      <c r="X1493" s="180">
        <f>_xll.qlCalendarAdvance(LiborCalendar,X1492,W1493,"f",FALSE)</f>
        <v>49410</v>
      </c>
      <c r="Y1493" s="174">
        <f>_xll.qlInterestRateIndexValueDate(IborIndex,X1493)</f>
        <v>49412</v>
      </c>
      <c r="Z1493" s="175">
        <v>2.306991004164401E-2</v>
      </c>
      <c r="AA1493" s="177">
        <v>2.3355638553991257E-2</v>
      </c>
    </row>
    <row r="1494" spans="23:27" x14ac:dyDescent="0.2">
      <c r="W1494" s="173" t="str">
        <f t="shared" si="34"/>
        <v>1w</v>
      </c>
      <c r="X1494" s="180">
        <f>_xll.qlCalendarAdvance(LiborCalendar,X1493,W1494,"f",FALSE)</f>
        <v>49417</v>
      </c>
      <c r="Y1494" s="174">
        <f>_xll.qlInterestRateIndexValueDate(IborIndex,X1494)</f>
        <v>49419</v>
      </c>
      <c r="Z1494" s="175">
        <v>2.3062193706477933E-2</v>
      </c>
      <c r="AA1494" s="177">
        <v>2.3347879626904138E-2</v>
      </c>
    </row>
    <row r="1495" spans="23:27" x14ac:dyDescent="0.2">
      <c r="W1495" s="173" t="str">
        <f t="shared" si="34"/>
        <v>1w</v>
      </c>
      <c r="X1495" s="180">
        <f>_xll.qlCalendarAdvance(LiborCalendar,X1494,W1495,"f",FALSE)</f>
        <v>49424</v>
      </c>
      <c r="Y1495" s="174">
        <f>_xll.qlInterestRateIndexValueDate(IborIndex,X1495)</f>
        <v>49426</v>
      </c>
      <c r="Z1495" s="175">
        <v>2.305484926172351E-2</v>
      </c>
      <c r="AA1495" s="177">
        <v>2.3340122668404167E-2</v>
      </c>
    </row>
    <row r="1496" spans="23:27" x14ac:dyDescent="0.2">
      <c r="W1496" s="173" t="str">
        <f t="shared" si="34"/>
        <v>1w</v>
      </c>
      <c r="X1496" s="180">
        <f>_xll.qlCalendarAdvance(LiborCalendar,X1495,W1496,"f",FALSE)</f>
        <v>49431</v>
      </c>
      <c r="Y1496" s="174">
        <f>_xll.qlInterestRateIndexValueDate(IborIndex,X1496)</f>
        <v>49437</v>
      </c>
      <c r="Z1496" s="175">
        <v>2.3042176419165342E-2</v>
      </c>
      <c r="AA1496" s="177">
        <v>2.3327553779115551E-2</v>
      </c>
    </row>
    <row r="1497" spans="23:27" x14ac:dyDescent="0.2">
      <c r="W1497" s="173" t="str">
        <f t="shared" si="34"/>
        <v>1w</v>
      </c>
      <c r="X1497" s="180">
        <f>_xll.qlCalendarAdvance(LiborCalendar,X1496,W1497,"f",FALSE)</f>
        <v>49438</v>
      </c>
      <c r="Y1497" s="174">
        <f>_xll.qlInterestRateIndexValueDate(IborIndex,X1497)</f>
        <v>49440</v>
      </c>
      <c r="Z1497" s="175">
        <v>2.3039056664901459E-2</v>
      </c>
      <c r="AA1497" s="177">
        <v>2.3324614657165659E-2</v>
      </c>
    </row>
    <row r="1498" spans="23:27" x14ac:dyDescent="0.2">
      <c r="W1498" s="173" t="str">
        <f t="shared" si="34"/>
        <v>1w</v>
      </c>
      <c r="X1498" s="180">
        <f>_xll.qlCalendarAdvance(LiborCalendar,X1497,W1498,"f",FALSE)</f>
        <v>49445</v>
      </c>
      <c r="Y1498" s="174">
        <f>_xll.qlInterestRateIndexValueDate(IborIndex,X1498)</f>
        <v>49447</v>
      </c>
      <c r="Z1498" s="175">
        <v>2.3031348305605298E-2</v>
      </c>
      <c r="AA1498" s="177">
        <v>2.331686360445414E-2</v>
      </c>
    </row>
    <row r="1499" spans="23:27" x14ac:dyDescent="0.2">
      <c r="W1499" s="173" t="str">
        <f t="shared" si="34"/>
        <v>1w</v>
      </c>
      <c r="X1499" s="180">
        <f>_xll.qlCalendarAdvance(LiborCalendar,X1498,W1499,"f",FALSE)</f>
        <v>49452</v>
      </c>
      <c r="Y1499" s="174">
        <f>_xll.qlInterestRateIndexValueDate(IborIndex,X1499)</f>
        <v>49454</v>
      </c>
      <c r="Z1499" s="175">
        <v>2.3023641940218602E-2</v>
      </c>
      <c r="AA1499" s="177">
        <v>2.3309305301214833E-2</v>
      </c>
    </row>
    <row r="1500" spans="23:27" x14ac:dyDescent="0.2">
      <c r="W1500" s="173" t="str">
        <f t="shared" si="34"/>
        <v>1w</v>
      </c>
      <c r="X1500" s="180">
        <f>_xll.qlCalendarAdvance(LiborCalendar,X1499,W1500,"f",FALSE)</f>
        <v>49459</v>
      </c>
      <c r="Y1500" s="174">
        <f>_xll.qlInterestRateIndexValueDate(IborIndex,X1500)</f>
        <v>49461</v>
      </c>
      <c r="Z1500" s="175">
        <v>2.3015937568718912E-2</v>
      </c>
      <c r="AA1500" s="177">
        <v>2.3301367404819549E-2</v>
      </c>
    </row>
    <row r="1501" spans="23:27" x14ac:dyDescent="0.2">
      <c r="W1501" s="173" t="str">
        <f t="shared" si="34"/>
        <v>1w</v>
      </c>
      <c r="X1501" s="180">
        <f>_xll.qlCalendarAdvance(LiborCalendar,X1500,W1501,"f",FALSE)</f>
        <v>49466</v>
      </c>
      <c r="Y1501" s="174">
        <f>_xll.qlInterestRateIndexValueDate(IborIndex,X1501)</f>
        <v>49468</v>
      </c>
      <c r="Z1501" s="175">
        <v>2.3008235191082024E-2</v>
      </c>
      <c r="AA1501" s="177">
        <v>2.3293622257869465E-2</v>
      </c>
    </row>
    <row r="1502" spans="23:27" x14ac:dyDescent="0.2">
      <c r="W1502" s="173" t="str">
        <f t="shared" si="34"/>
        <v>1w</v>
      </c>
      <c r="X1502" s="180">
        <f>_xll.qlCalendarAdvance(LiborCalendar,X1501,W1502,"f",FALSE)</f>
        <v>49473</v>
      </c>
      <c r="Y1502" s="174">
        <f>_xll.qlInterestRateIndexValueDate(IborIndex,X1502)</f>
        <v>49475</v>
      </c>
      <c r="Z1502" s="175">
        <v>2.300053480728504E-2</v>
      </c>
      <c r="AA1502" s="177">
        <v>2.3285879079533538E-2</v>
      </c>
    </row>
    <row r="1503" spans="23:27" x14ac:dyDescent="0.2">
      <c r="W1503" s="173" t="str">
        <f t="shared" si="34"/>
        <v>1w</v>
      </c>
      <c r="X1503" s="180">
        <f>_xll.qlCalendarAdvance(LiborCalendar,X1502,W1503,"f",FALSE)</f>
        <v>49480</v>
      </c>
      <c r="Y1503" s="174">
        <f>_xll.qlInterestRateIndexValueDate(IborIndex,X1503)</f>
        <v>49482</v>
      </c>
      <c r="Z1503" s="175">
        <v>2.2993382884701902E-2</v>
      </c>
      <c r="AA1503" s="177">
        <v>2.3278137869784759E-2</v>
      </c>
    </row>
    <row r="1504" spans="23:27" x14ac:dyDescent="0.2">
      <c r="W1504" s="173" t="str">
        <f t="shared" si="34"/>
        <v>1w</v>
      </c>
      <c r="X1504" s="180">
        <f>_xll.qlCalendarAdvance(LiborCalendar,X1503,W1504,"f",FALSE)</f>
        <v>49487</v>
      </c>
      <c r="Y1504" s="174">
        <f>_xll.qlInterestRateIndexValueDate(IborIndex,X1504)</f>
        <v>49489</v>
      </c>
      <c r="Z1504" s="175">
        <v>2.2984594365167591E-2</v>
      </c>
      <c r="AA1504" s="177">
        <v>2.3270398628623127E-2</v>
      </c>
    </row>
    <row r="1505" spans="23:27" x14ac:dyDescent="0.2">
      <c r="W1505" s="173" t="str">
        <f t="shared" si="34"/>
        <v>1w</v>
      </c>
      <c r="X1505" s="180">
        <f>_xll.qlCalendarAdvance(LiborCalendar,X1504,W1505,"f",FALSE)</f>
        <v>49494</v>
      </c>
      <c r="Y1505" s="174">
        <f>_xll.qlInterestRateIndexValueDate(IborIndex,X1505)</f>
        <v>49496</v>
      </c>
      <c r="Z1505" s="175">
        <v>2.2977445618703646E-2</v>
      </c>
      <c r="AA1505" s="177">
        <v>2.3262661356102669E-2</v>
      </c>
    </row>
    <row r="1506" spans="23:27" x14ac:dyDescent="0.2">
      <c r="W1506" s="173" t="str">
        <f t="shared" si="34"/>
        <v>1w</v>
      </c>
      <c r="X1506" s="180">
        <f>_xll.qlCalendarAdvance(LiborCalendar,X1505,W1506,"f",FALSE)</f>
        <v>49501</v>
      </c>
      <c r="Y1506" s="174">
        <f>_xll.qlInterestRateIndexValueDate(IborIndex,X1506)</f>
        <v>49503</v>
      </c>
      <c r="Z1506" s="175">
        <v>2.2969934353389204E-2</v>
      </c>
      <c r="AA1506" s="177">
        <v>2.3254926052115325E-2</v>
      </c>
    </row>
    <row r="1507" spans="23:27" x14ac:dyDescent="0.2">
      <c r="W1507" s="173" t="str">
        <f t="shared" si="34"/>
        <v>1w</v>
      </c>
      <c r="X1507" s="180">
        <f>_xll.qlCalendarAdvance(LiborCalendar,X1506,W1507,"f",FALSE)</f>
        <v>49508</v>
      </c>
      <c r="Y1507" s="174">
        <f>_xll.qlInterestRateIndexValueDate(IborIndex,X1507)</f>
        <v>49510</v>
      </c>
      <c r="Z1507" s="175">
        <v>2.2962062795091547E-2</v>
      </c>
      <c r="AA1507" s="177">
        <v>2.3247192716742141E-2</v>
      </c>
    </row>
    <row r="1508" spans="23:27" x14ac:dyDescent="0.2">
      <c r="W1508" s="173" t="str">
        <f t="shared" si="34"/>
        <v>1w</v>
      </c>
      <c r="X1508" s="180">
        <f>_xll.qlCalendarAdvance(LiborCalendar,X1507,W1508,"f",FALSE)</f>
        <v>49515</v>
      </c>
      <c r="Y1508" s="174">
        <f>_xll.qlInterestRateIndexValueDate(IborIndex,X1508)</f>
        <v>49517</v>
      </c>
      <c r="Z1508" s="175">
        <v>2.2954374373848757E-2</v>
      </c>
      <c r="AA1508" s="177">
        <v>2.3239461349956102E-2</v>
      </c>
    </row>
    <row r="1509" spans="23:27" x14ac:dyDescent="0.2">
      <c r="W1509" s="173" t="str">
        <f t="shared" si="34"/>
        <v>1w</v>
      </c>
      <c r="X1509" s="180">
        <f>_xll.qlCalendarAdvance(LiborCalendar,X1508,W1509,"f",FALSE)</f>
        <v>49522</v>
      </c>
      <c r="Y1509" s="174">
        <f>_xll.qlInterestRateIndexValueDate(IborIndex,X1509)</f>
        <v>49524</v>
      </c>
      <c r="Z1509" s="175">
        <v>2.2946687946284267E-2</v>
      </c>
      <c r="AA1509" s="177">
        <v>2.3231731951784223E-2</v>
      </c>
    </row>
    <row r="1510" spans="23:27" x14ac:dyDescent="0.2">
      <c r="W1510" s="173" t="str">
        <f t="shared" si="34"/>
        <v>1w</v>
      </c>
      <c r="X1510" s="180">
        <f>_xll.qlCalendarAdvance(LiborCalendar,X1509,W1510,"f",FALSE)</f>
        <v>49529</v>
      </c>
      <c r="Y1510" s="174">
        <f>_xll.qlInterestRateIndexValueDate(IborIndex,X1510)</f>
        <v>49531</v>
      </c>
      <c r="Z1510" s="175">
        <v>2.2939183276167816E-2</v>
      </c>
      <c r="AA1510" s="177">
        <v>2.3224004522172475E-2</v>
      </c>
    </row>
    <row r="1511" spans="23:27" x14ac:dyDescent="0.2">
      <c r="W1511" s="173" t="str">
        <f t="shared" si="34"/>
        <v>1w</v>
      </c>
      <c r="X1511" s="180">
        <f>_xll.qlCalendarAdvance(LiborCalendar,X1510,W1511,"f",FALSE)</f>
        <v>49536</v>
      </c>
      <c r="Y1511" s="174">
        <f>_xll.qlInterestRateIndexValueDate(IborIndex,X1511)</f>
        <v>49538</v>
      </c>
      <c r="Z1511" s="175">
        <v>2.2931321072096868E-2</v>
      </c>
      <c r="AA1511" s="177">
        <v>2.3216279061174887E-2</v>
      </c>
    </row>
    <row r="1512" spans="23:27" x14ac:dyDescent="0.2">
      <c r="W1512" s="173" t="str">
        <f t="shared" si="34"/>
        <v>1w</v>
      </c>
      <c r="X1512" s="180">
        <f>_xll.qlCalendarAdvance(LiborCalendar,X1511,W1512,"f",FALSE)</f>
        <v>49543</v>
      </c>
      <c r="Y1512" s="174">
        <f>_xll.qlInterestRateIndexValueDate(IborIndex,X1512)</f>
        <v>49545</v>
      </c>
      <c r="Z1512" s="175">
        <v>2.2923640625427726E-2</v>
      </c>
      <c r="AA1512" s="177">
        <v>2.3208741770386065E-2</v>
      </c>
    </row>
    <row r="1513" spans="23:27" x14ac:dyDescent="0.2">
      <c r="W1513" s="173" t="str">
        <f t="shared" si="34"/>
        <v>1w</v>
      </c>
      <c r="X1513" s="180">
        <f>_xll.qlCalendarAdvance(LiborCalendar,X1512,W1513,"f",FALSE)</f>
        <v>49550</v>
      </c>
      <c r="Y1513" s="174">
        <f>_xll.qlInterestRateIndexValueDate(IborIndex,X1513)</f>
        <v>49552</v>
      </c>
      <c r="Z1513" s="175">
        <v>2.2915425825110271E-2</v>
      </c>
      <c r="AA1513" s="177">
        <v>2.3200834044914135E-2</v>
      </c>
    </row>
    <row r="1514" spans="23:27" x14ac:dyDescent="0.2">
      <c r="W1514" s="173" t="str">
        <f t="shared" si="34"/>
        <v>1w</v>
      </c>
      <c r="X1514" s="180">
        <f>_xll.qlCalendarAdvance(LiborCalendar,X1513,W1514,"f",FALSE)</f>
        <v>49557</v>
      </c>
      <c r="Y1514" s="174">
        <f>_xll.qlInterestRateIndexValueDate(IborIndex,X1514)</f>
        <v>49559</v>
      </c>
      <c r="Z1514" s="175">
        <v>2.2907750395591498E-2</v>
      </c>
      <c r="AA1514" s="177">
        <v>2.3193114489704996E-2</v>
      </c>
    </row>
    <row r="1515" spans="23:27" x14ac:dyDescent="0.2">
      <c r="W1515" s="173" t="str">
        <f t="shared" si="34"/>
        <v>1w</v>
      </c>
      <c r="X1515" s="180">
        <f>_xll.qlCalendarAdvance(LiborCalendar,X1514,W1515,"f",FALSE)</f>
        <v>49564</v>
      </c>
      <c r="Y1515" s="174">
        <f>_xll.qlInterestRateIndexValueDate(IborIndex,X1515)</f>
        <v>49566</v>
      </c>
      <c r="Z1515" s="175">
        <v>2.2900076958753471E-2</v>
      </c>
      <c r="AA1515" s="177">
        <v>2.3185396903028975E-2</v>
      </c>
    </row>
    <row r="1516" spans="23:27" x14ac:dyDescent="0.2">
      <c r="W1516" s="173" t="str">
        <f t="shared" si="34"/>
        <v>1w</v>
      </c>
      <c r="X1516" s="180">
        <f>_xll.qlCalendarAdvance(LiborCalendar,X1515,W1516,"f",FALSE)</f>
        <v>49571</v>
      </c>
      <c r="Y1516" s="174">
        <f>_xll.qlInterestRateIndexValueDate(IborIndex,X1516)</f>
        <v>49573</v>
      </c>
      <c r="Z1516" s="175">
        <v>2.2892405514573787E-2</v>
      </c>
      <c r="AA1516" s="177">
        <v>2.3177681284994128E-2</v>
      </c>
    </row>
    <row r="1517" spans="23:27" x14ac:dyDescent="0.2">
      <c r="W1517" s="173" t="str">
        <f t="shared" si="34"/>
        <v>1w</v>
      </c>
      <c r="X1517" s="180">
        <f>_xll.qlCalendarAdvance(LiborCalendar,X1516,W1517,"f",FALSE)</f>
        <v>49578</v>
      </c>
      <c r="Y1517" s="174">
        <f>_xll.qlInterestRateIndexValueDate(IborIndex,X1517)</f>
        <v>49580</v>
      </c>
      <c r="Z1517" s="175">
        <v>2.2885268295405076E-2</v>
      </c>
      <c r="AA1517" s="177">
        <v>2.3169967635519411E-2</v>
      </c>
    </row>
    <row r="1518" spans="23:27" x14ac:dyDescent="0.2">
      <c r="W1518" s="173" t="str">
        <f t="shared" si="34"/>
        <v>1w</v>
      </c>
      <c r="X1518" s="180">
        <f>_xll.qlCalendarAdvance(LiborCalendar,X1517,W1518,"f",FALSE)</f>
        <v>49585</v>
      </c>
      <c r="Y1518" s="174">
        <f>_xll.qlInterestRateIndexValueDate(IborIndex,X1518)</f>
        <v>49587</v>
      </c>
      <c r="Z1518" s="175">
        <v>2.2877599809903556E-2</v>
      </c>
      <c r="AA1518" s="177">
        <v>2.3162255954631842E-2</v>
      </c>
    </row>
    <row r="1519" spans="23:27" x14ac:dyDescent="0.2">
      <c r="W1519" s="173" t="str">
        <f t="shared" si="34"/>
        <v>1w</v>
      </c>
      <c r="X1519" s="180">
        <f>_xll.qlCalendarAdvance(LiborCalendar,X1518,W1519,"f",FALSE)</f>
        <v>49592</v>
      </c>
      <c r="Y1519" s="174">
        <f>_xll.qlInterestRateIndexValueDate(IborIndex,X1519)</f>
        <v>49594</v>
      </c>
      <c r="Z1519" s="175">
        <v>2.2870109994392655E-2</v>
      </c>
      <c r="AA1519" s="177">
        <v>2.315454624235843E-2</v>
      </c>
    </row>
    <row r="1520" spans="23:27" x14ac:dyDescent="0.2">
      <c r="W1520" s="173" t="str">
        <f t="shared" si="34"/>
        <v>1w</v>
      </c>
      <c r="X1520" s="180">
        <f>_xll.qlCalendarAdvance(LiborCalendar,X1519,W1520,"f",FALSE)</f>
        <v>49599</v>
      </c>
      <c r="Y1520" s="174">
        <f>_xll.qlInterestRateIndexValueDate(IborIndex,X1520)</f>
        <v>49601</v>
      </c>
      <c r="Z1520" s="175">
        <v>2.2862268819218597E-2</v>
      </c>
      <c r="AA1520" s="177">
        <v>2.3146838498618132E-2</v>
      </c>
    </row>
    <row r="1521" spans="23:27" x14ac:dyDescent="0.2">
      <c r="W1521" s="173" t="str">
        <f t="shared" si="34"/>
        <v>1w</v>
      </c>
      <c r="X1521" s="180">
        <f>_xll.qlCalendarAdvance(LiborCalendar,X1520,W1521,"f",FALSE)</f>
        <v>49606</v>
      </c>
      <c r="Y1521" s="174">
        <f>_xll.qlInterestRateIndexValueDate(IborIndex,X1521)</f>
        <v>49608</v>
      </c>
      <c r="Z1521" s="175">
        <v>2.2854606313989355E-2</v>
      </c>
      <c r="AA1521" s="177">
        <v>2.3139132723519012E-2</v>
      </c>
    </row>
    <row r="1522" spans="23:27" x14ac:dyDescent="0.2">
      <c r="W1522" s="173" t="str">
        <f t="shared" si="34"/>
        <v>1w</v>
      </c>
      <c r="X1522" s="180">
        <f>_xll.qlCalendarAdvance(LiborCalendar,X1521,W1522,"f",FALSE)</f>
        <v>49613</v>
      </c>
      <c r="Y1522" s="174">
        <f>_xll.qlInterestRateIndexValueDate(IborIndex,X1522)</f>
        <v>49615</v>
      </c>
      <c r="Z1522" s="175">
        <v>2.2846418694046376E-2</v>
      </c>
      <c r="AA1522" s="177">
        <v>2.3131428916980022E-2</v>
      </c>
    </row>
    <row r="1523" spans="23:27" x14ac:dyDescent="0.2">
      <c r="W1523" s="173" t="str">
        <f t="shared" si="34"/>
        <v>1w</v>
      </c>
      <c r="X1523" s="180">
        <f>_xll.qlCalendarAdvance(LiborCalendar,X1522,W1523,"f",FALSE)</f>
        <v>49620</v>
      </c>
      <c r="Y1523" s="174">
        <f>_xll.qlInterestRateIndexValueDate(IborIndex,X1523)</f>
        <v>49622</v>
      </c>
      <c r="Z1523" s="175">
        <v>2.2838761197838699E-2</v>
      </c>
      <c r="AA1523" s="177">
        <v>2.3123727079055193E-2</v>
      </c>
    </row>
    <row r="1524" spans="23:27" x14ac:dyDescent="0.2">
      <c r="W1524" s="173" t="str">
        <f t="shared" si="34"/>
        <v>1w</v>
      </c>
      <c r="X1524" s="180">
        <f>_xll.qlCalendarAdvance(LiborCalendar,X1523,W1524,"f",FALSE)</f>
        <v>49627</v>
      </c>
      <c r="Y1524" s="174">
        <f>_xll.qlInterestRateIndexValueDate(IborIndex,X1524)</f>
        <v>49629</v>
      </c>
      <c r="Z1524" s="175">
        <v>2.283110569410754E-2</v>
      </c>
      <c r="AA1524" s="177">
        <v>2.3116027209690491E-2</v>
      </c>
    </row>
    <row r="1525" spans="23:27" x14ac:dyDescent="0.2">
      <c r="W1525" s="173" t="str">
        <f t="shared" si="34"/>
        <v>1w</v>
      </c>
      <c r="X1525" s="180">
        <f>_xll.qlCalendarAdvance(LiborCalendar,X1524,W1525,"f",FALSE)</f>
        <v>49634</v>
      </c>
      <c r="Y1525" s="174">
        <f>_xll.qlInterestRateIndexValueDate(IborIndex,X1525)</f>
        <v>49639</v>
      </c>
      <c r="Z1525" s="175">
        <v>2.2820347277063655E-2</v>
      </c>
      <c r="AA1525" s="177">
        <v>2.3104667689978209E-2</v>
      </c>
    </row>
    <row r="1526" spans="23:27" x14ac:dyDescent="0.2">
      <c r="W1526" s="173" t="str">
        <f t="shared" si="34"/>
        <v>1w</v>
      </c>
      <c r="X1526" s="180">
        <f>_xll.qlCalendarAdvance(LiborCalendar,X1525,W1526,"f",FALSE)</f>
        <v>49641</v>
      </c>
      <c r="Y1526" s="174">
        <f>_xll.qlInterestRateIndexValueDate(IborIndex,X1526)</f>
        <v>49643</v>
      </c>
      <c r="Z1526" s="175">
        <v>2.28158006639856E-2</v>
      </c>
      <c r="AA1526" s="177">
        <v>2.310063337674954E-2</v>
      </c>
    </row>
    <row r="1527" spans="23:27" x14ac:dyDescent="0.2">
      <c r="W1527" s="173" t="str">
        <f t="shared" si="34"/>
        <v>1w</v>
      </c>
      <c r="X1527" s="180">
        <f>_xll.qlCalendarAdvance(LiborCalendar,X1526,W1527,"f",FALSE)</f>
        <v>49648</v>
      </c>
      <c r="Y1527" s="174">
        <f>_xll.qlInterestRateIndexValueDate(IborIndex,X1527)</f>
        <v>49650</v>
      </c>
      <c r="Z1527" s="175">
        <v>2.2808673142747E-2</v>
      </c>
      <c r="AA1527" s="177">
        <v>2.3092939413146277E-2</v>
      </c>
    </row>
    <row r="1528" spans="23:27" x14ac:dyDescent="0.2">
      <c r="W1528" s="173" t="str">
        <f t="shared" si="34"/>
        <v>1w</v>
      </c>
      <c r="X1528" s="180">
        <f>_xll.qlCalendarAdvance(LiborCalendar,X1527,W1528,"f",FALSE)</f>
        <v>49655</v>
      </c>
      <c r="Y1528" s="174">
        <f>_xll.qlInterestRateIndexValueDate(IborIndex,X1528)</f>
        <v>49657</v>
      </c>
      <c r="Z1528" s="175">
        <v>2.2801024590680705E-2</v>
      </c>
      <c r="AA1528" s="177">
        <v>2.3085247418103142E-2</v>
      </c>
    </row>
    <row r="1529" spans="23:27" x14ac:dyDescent="0.2">
      <c r="W1529" s="173" t="str">
        <f t="shared" si="34"/>
        <v>1w</v>
      </c>
      <c r="X1529" s="180">
        <f>_xll.qlCalendarAdvance(LiborCalendar,X1528,W1529,"f",FALSE)</f>
        <v>49662</v>
      </c>
      <c r="Y1529" s="174">
        <f>_xll.qlInterestRateIndexValueDate(IborIndex,X1529)</f>
        <v>49664</v>
      </c>
      <c r="Z1529" s="175">
        <v>2.2793378031831249E-2</v>
      </c>
      <c r="AA1529" s="177">
        <v>2.307755739170118E-2</v>
      </c>
    </row>
    <row r="1530" spans="23:27" x14ac:dyDescent="0.2">
      <c r="W1530" s="173" t="str">
        <f t="shared" si="34"/>
        <v>1w</v>
      </c>
      <c r="X1530" s="180">
        <f>_xll.qlCalendarAdvance(LiborCalendar,X1529,W1530,"f",FALSE)</f>
        <v>49670</v>
      </c>
      <c r="Y1530" s="174">
        <f>_xll.qlInterestRateIndexValueDate(IborIndex,X1530)</f>
        <v>49678</v>
      </c>
      <c r="Z1530" s="175">
        <v>2.2777572955440119E-2</v>
      </c>
      <c r="AA1530" s="177">
        <v>2.3062183244577653E-2</v>
      </c>
    </row>
    <row r="1531" spans="23:27" x14ac:dyDescent="0.2">
      <c r="W1531" s="173" t="str">
        <f t="shared" si="34"/>
        <v>1w</v>
      </c>
      <c r="X1531" s="180">
        <f>_xll.qlCalendarAdvance(LiborCalendar,X1530,W1531,"f",FALSE)</f>
        <v>49677</v>
      </c>
      <c r="Y1531" s="174">
        <f>_xll.qlInterestRateIndexValueDate(IborIndex,X1531)</f>
        <v>49681</v>
      </c>
      <c r="Z1531" s="175">
        <v>2.2774298612316446E-2</v>
      </c>
      <c r="AA1531" s="177">
        <v>2.3058530835661228E-2</v>
      </c>
    </row>
    <row r="1532" spans="23:27" x14ac:dyDescent="0.2">
      <c r="W1532" s="173" t="str">
        <f t="shared" si="34"/>
        <v>1w</v>
      </c>
      <c r="X1532" s="180">
        <f>_xll.qlCalendarAdvance(LiborCalendar,X1531,W1532,"f",FALSE)</f>
        <v>49684</v>
      </c>
      <c r="Y1532" s="174">
        <f>_xll.qlInterestRateIndexValueDate(IborIndex,X1532)</f>
        <v>49689</v>
      </c>
      <c r="Z1532" s="175">
        <v>2.2765568819639571E-2</v>
      </c>
      <c r="AA1532" s="177">
        <v>2.3049750896092513E-2</v>
      </c>
    </row>
    <row r="1533" spans="23:27" x14ac:dyDescent="0.2">
      <c r="W1533" s="173" t="str">
        <f t="shared" si="34"/>
        <v>1w</v>
      </c>
      <c r="X1533" s="180">
        <f>_xll.qlCalendarAdvance(LiborCalendar,X1532,W1533,"f",FALSE)</f>
        <v>49691</v>
      </c>
      <c r="Y1533" s="174">
        <f>_xll.qlInterestRateIndexValueDate(IborIndex,X1533)</f>
        <v>49695</v>
      </c>
      <c r="Z1533" s="175">
        <v>2.2759195032941812E-2</v>
      </c>
      <c r="AA1533" s="177">
        <v>2.3043167628353789E-2</v>
      </c>
    </row>
    <row r="1534" spans="23:27" x14ac:dyDescent="0.2">
      <c r="W1534" s="173" t="str">
        <f t="shared" si="34"/>
        <v>1w</v>
      </c>
      <c r="X1534" s="180">
        <f>_xll.qlCalendarAdvance(LiborCalendar,X1533,W1534,"f",FALSE)</f>
        <v>49698</v>
      </c>
      <c r="Y1534" s="174">
        <f>_xll.qlInterestRateIndexValueDate(IborIndex,X1534)</f>
        <v>49702</v>
      </c>
      <c r="Z1534" s="175">
        <v>2.2751388456392865E-2</v>
      </c>
      <c r="AA1534" s="177">
        <v>2.3035488976608232E-2</v>
      </c>
    </row>
    <row r="1535" spans="23:27" x14ac:dyDescent="0.2">
      <c r="W1535" s="173" t="str">
        <f t="shared" si="34"/>
        <v>1w</v>
      </c>
      <c r="X1535" s="180">
        <f>_xll.qlCalendarAdvance(LiborCalendar,X1534,W1535,"f",FALSE)</f>
        <v>49705</v>
      </c>
      <c r="Y1535" s="174">
        <f>_xll.qlInterestRateIndexValueDate(IborIndex,X1535)</f>
        <v>49709</v>
      </c>
      <c r="Z1535" s="175">
        <v>2.2743755722218494E-2</v>
      </c>
      <c r="AA1535" s="177">
        <v>2.3027812292990557E-2</v>
      </c>
    </row>
    <row r="1536" spans="23:27" x14ac:dyDescent="0.2">
      <c r="W1536" s="173" t="str">
        <f t="shared" si="34"/>
        <v>1w</v>
      </c>
      <c r="X1536" s="180">
        <f>_xll.qlCalendarAdvance(LiborCalendar,X1535,W1536,"f",FALSE)</f>
        <v>49712</v>
      </c>
      <c r="Y1536" s="174">
        <f>_xll.qlInterestRateIndexValueDate(IborIndex,X1536)</f>
        <v>49717</v>
      </c>
      <c r="Z1536" s="175">
        <v>2.2735035036869699E-2</v>
      </c>
      <c r="AA1536" s="177">
        <v>2.3019041350126335E-2</v>
      </c>
    </row>
    <row r="1537" spans="23:27" x14ac:dyDescent="0.2">
      <c r="W1537" s="173" t="str">
        <f t="shared" si="34"/>
        <v>1w</v>
      </c>
      <c r="X1537" s="180">
        <f>_xll.qlCalendarAdvance(LiborCalendar,X1536,W1537,"f",FALSE)</f>
        <v>49719</v>
      </c>
      <c r="Y1537" s="174">
        <f>_xll.qlInterestRateIndexValueDate(IborIndex,X1537)</f>
        <v>49723</v>
      </c>
      <c r="Z1537" s="175">
        <v>2.2728496230434488E-2</v>
      </c>
      <c r="AA1537" s="177">
        <v>2.3012464829733625E-2</v>
      </c>
    </row>
    <row r="1538" spans="23:27" x14ac:dyDescent="0.2">
      <c r="W1538" s="173" t="str">
        <f t="shared" si="34"/>
        <v>1w</v>
      </c>
      <c r="X1538" s="180">
        <f>_xll.qlCalendarAdvance(LiborCalendar,X1537,W1538,"f",FALSE)</f>
        <v>49726</v>
      </c>
      <c r="Y1538" s="174">
        <f>_xll.qlInterestRateIndexValueDate(IborIndex,X1538)</f>
        <v>49730</v>
      </c>
      <c r="Z1538" s="175">
        <v>2.2721039638155392E-2</v>
      </c>
      <c r="AA1538" s="177">
        <v>2.3004794050094368E-2</v>
      </c>
    </row>
    <row r="1539" spans="23:27" x14ac:dyDescent="0.2">
      <c r="W1539" s="173" t="str">
        <f t="shared" si="34"/>
        <v>1w</v>
      </c>
      <c r="X1539" s="180">
        <f>_xll.qlCalendarAdvance(LiborCalendar,X1538,W1539,"f",FALSE)</f>
        <v>49733</v>
      </c>
      <c r="Y1539" s="174">
        <f>_xll.qlInterestRateIndexValueDate(IborIndex,X1539)</f>
        <v>49737</v>
      </c>
      <c r="Z1539" s="175">
        <v>2.271358434092792E-2</v>
      </c>
      <c r="AA1539" s="177">
        <v>2.2997125238501948E-2</v>
      </c>
    </row>
    <row r="1540" spans="23:27" x14ac:dyDescent="0.2">
      <c r="W1540" s="173" t="str">
        <f t="shared" si="34"/>
        <v>1w</v>
      </c>
      <c r="X1540" s="180">
        <f>_xll.qlCalendarAdvance(LiborCalendar,X1539,W1540,"f",FALSE)</f>
        <v>49740</v>
      </c>
      <c r="Y1540" s="174">
        <f>_xll.qlInterestRateIndexValueDate(IborIndex,X1540)</f>
        <v>49744</v>
      </c>
      <c r="Z1540" s="175">
        <v>2.2705960895870955E-2</v>
      </c>
      <c r="AA1540" s="177">
        <v>2.2989458394956364E-2</v>
      </c>
    </row>
    <row r="1541" spans="23:27" x14ac:dyDescent="0.2">
      <c r="W1541" s="173" t="str">
        <f t="shared" si="34"/>
        <v>1w</v>
      </c>
      <c r="X1541" s="180">
        <f>_xll.qlCalendarAdvance(LiborCalendar,X1540,W1541,"f",FALSE)</f>
        <v>49747</v>
      </c>
      <c r="Y1541" s="174">
        <f>_xll.qlInterestRateIndexValueDate(IborIndex,X1541)</f>
        <v>49751</v>
      </c>
      <c r="Z1541" s="175">
        <v>2.2698339443462646E-2</v>
      </c>
      <c r="AA1541" s="177">
        <v>2.2981793519295524E-2</v>
      </c>
    </row>
    <row r="1542" spans="23:27" x14ac:dyDescent="0.2">
      <c r="W1542" s="173" t="str">
        <f t="shared" si="34"/>
        <v>1w</v>
      </c>
      <c r="X1542" s="180">
        <f>_xll.qlCalendarAdvance(LiborCalendar,X1541,W1542,"f",FALSE)</f>
        <v>49754</v>
      </c>
      <c r="Y1542" s="174">
        <f>_xll.qlInterestRateIndexValueDate(IborIndex,X1542)</f>
        <v>49758</v>
      </c>
      <c r="Z1542" s="175">
        <v>2.2690719983679532E-2</v>
      </c>
      <c r="AA1542" s="177">
        <v>2.2974130611762567E-2</v>
      </c>
    </row>
    <row r="1543" spans="23:27" x14ac:dyDescent="0.2">
      <c r="W1543" s="173" t="str">
        <f t="shared" si="34"/>
        <v>1w</v>
      </c>
      <c r="X1543" s="180">
        <f>_xll.qlCalendarAdvance(LiborCalendar,X1542,W1543,"f",FALSE)</f>
        <v>49761</v>
      </c>
      <c r="Y1543" s="174">
        <f>_xll.qlInterestRateIndexValueDate(IborIndex,X1543)</f>
        <v>49765</v>
      </c>
      <c r="Z1543" s="175">
        <v>2.2682934053648587E-2</v>
      </c>
      <c r="AA1543" s="177">
        <v>2.29664696721954E-2</v>
      </c>
    </row>
    <row r="1544" spans="23:27" x14ac:dyDescent="0.2">
      <c r="W1544" s="173" t="str">
        <f t="shared" si="34"/>
        <v>1w</v>
      </c>
      <c r="X1544" s="180">
        <f>_xll.qlCalendarAdvance(LiborCalendar,X1543,W1544,"f",FALSE)</f>
        <v>49768</v>
      </c>
      <c r="Y1544" s="174">
        <f>_xll.qlInterestRateIndexValueDate(IborIndex,X1544)</f>
        <v>49772</v>
      </c>
      <c r="Z1544" s="175">
        <v>2.2675318913731469E-2</v>
      </c>
      <c r="AA1544" s="177">
        <v>2.2958810700594023E-2</v>
      </c>
    </row>
    <row r="1545" spans="23:27" x14ac:dyDescent="0.2">
      <c r="W1545" s="173" t="str">
        <f t="shared" si="34"/>
        <v>1w</v>
      </c>
      <c r="X1545" s="180">
        <f>_xll.qlCalendarAdvance(LiborCalendar,X1544,W1545,"f",FALSE)</f>
        <v>49775</v>
      </c>
      <c r="Y1545" s="174">
        <f>_xll.qlInterestRateIndexValueDate(IborIndex,X1545)</f>
        <v>49781</v>
      </c>
      <c r="Z1545" s="175">
        <v>2.266553094697393E-2</v>
      </c>
      <c r="AA1545" s="177">
        <v>2.2948966343262489E-2</v>
      </c>
    </row>
    <row r="1546" spans="23:27" x14ac:dyDescent="0.2">
      <c r="W1546" s="173" t="str">
        <f t="shared" si="34"/>
        <v>1w</v>
      </c>
      <c r="X1546" s="180">
        <f>_xll.qlCalendarAdvance(LiborCalendar,X1545,W1546,"f",FALSE)</f>
        <v>49782</v>
      </c>
      <c r="Y1546" s="174">
        <f>_xll.qlInterestRateIndexValueDate(IborIndex,X1546)</f>
        <v>49786</v>
      </c>
      <c r="Z1546" s="175">
        <v>2.2660094610700107E-2</v>
      </c>
      <c r="AA1546" s="177">
        <v>2.2943498661612827E-2</v>
      </c>
    </row>
    <row r="1547" spans="23:27" x14ac:dyDescent="0.2">
      <c r="W1547" s="173" t="str">
        <f t="shared" si="34"/>
        <v>1w</v>
      </c>
      <c r="X1547" s="180">
        <f>_xll.qlCalendarAdvance(LiborCalendar,X1546,W1547,"f",FALSE)</f>
        <v>49789</v>
      </c>
      <c r="Y1547" s="174">
        <f>_xll.qlInterestRateIndexValueDate(IborIndex,X1547)</f>
        <v>49793</v>
      </c>
      <c r="Z1547" s="175">
        <v>2.2652485447540435E-2</v>
      </c>
      <c r="AA1547" s="177">
        <v>2.2935845593989868E-2</v>
      </c>
    </row>
    <row r="1548" spans="23:27" x14ac:dyDescent="0.2">
      <c r="W1548" s="173" t="str">
        <f t="shared" si="34"/>
        <v>1w</v>
      </c>
      <c r="X1548" s="180">
        <f>_xll.qlCalendarAdvance(LiborCalendar,X1547,W1548,"f",FALSE)</f>
        <v>49796</v>
      </c>
      <c r="Y1548" s="174">
        <f>_xll.qlInterestRateIndexValueDate(IborIndex,X1548)</f>
        <v>49802</v>
      </c>
      <c r="Z1548" s="175">
        <v>2.2642871862100306E-2</v>
      </c>
      <c r="AA1548" s="177">
        <v>2.2926008827534039E-2</v>
      </c>
    </row>
    <row r="1549" spans="23:27" x14ac:dyDescent="0.2">
      <c r="W1549" s="173" t="str">
        <f t="shared" si="34"/>
        <v>1w</v>
      </c>
      <c r="X1549" s="180">
        <f>_xll.qlCalendarAdvance(LiborCalendar,X1548,W1549,"f",FALSE)</f>
        <v>49803</v>
      </c>
      <c r="Y1549" s="174">
        <f>_xll.qlInterestRateIndexValueDate(IborIndex,X1549)</f>
        <v>49807</v>
      </c>
      <c r="Z1549" s="175">
        <v>2.263743955681297E-2</v>
      </c>
      <c r="AA1549" s="177">
        <v>2.2920545363046552E-2</v>
      </c>
    </row>
    <row r="1550" spans="23:27" x14ac:dyDescent="0.2">
      <c r="W1550" s="173" t="str">
        <f t="shared" si="34"/>
        <v>1w</v>
      </c>
      <c r="X1550" s="180">
        <f>_xll.qlCalendarAdvance(LiborCalendar,X1549,W1550,"f",FALSE)</f>
        <v>49810</v>
      </c>
      <c r="Y1550" s="174">
        <f>_xll.qlInterestRateIndexValueDate(IborIndex,X1550)</f>
        <v>49814</v>
      </c>
      <c r="Z1550" s="175">
        <v>2.2629836037217719E-2</v>
      </c>
      <c r="AA1550" s="177">
        <v>2.2912898199483056E-2</v>
      </c>
    </row>
    <row r="1551" spans="23:27" x14ac:dyDescent="0.2">
      <c r="W1551" s="173" t="str">
        <f t="shared" si="34"/>
        <v>1w</v>
      </c>
      <c r="X1551" s="180">
        <f>_xll.qlCalendarAdvance(LiborCalendar,X1550,W1551,"f",FALSE)</f>
        <v>49817</v>
      </c>
      <c r="Y1551" s="174">
        <f>_xll.qlInterestRateIndexValueDate(IborIndex,X1551)</f>
        <v>49822</v>
      </c>
      <c r="Z1551" s="175">
        <v>2.2621148740235068E-2</v>
      </c>
      <c r="AA1551" s="177">
        <v>2.2904160993916234E-2</v>
      </c>
    </row>
    <row r="1552" spans="23:27" x14ac:dyDescent="0.2">
      <c r="W1552" s="173" t="str">
        <f t="shared" si="34"/>
        <v>1w</v>
      </c>
      <c r="X1552" s="180">
        <f>_xll.qlCalendarAdvance(LiborCalendar,X1551,W1552,"f",FALSE)</f>
        <v>49824</v>
      </c>
      <c r="Y1552" s="174">
        <f>_xll.qlInterestRateIndexValueDate(IborIndex,X1552)</f>
        <v>49828</v>
      </c>
      <c r="Z1552" s="175">
        <v>2.2614469514398872E-2</v>
      </c>
      <c r="AA1552" s="177">
        <v>2.2897609776496575E-2</v>
      </c>
    </row>
    <row r="1553" spans="23:27" x14ac:dyDescent="0.2">
      <c r="W1553" s="173" t="str">
        <f t="shared" si="34"/>
        <v>1w</v>
      </c>
      <c r="X1553" s="180">
        <f>_xll.qlCalendarAdvance(LiborCalendar,X1552,W1553,"f",FALSE)</f>
        <v>49831</v>
      </c>
      <c r="Y1553" s="174">
        <f>_xll.qlInterestRateIndexValueDate(IborIndex,X1553)</f>
        <v>49835</v>
      </c>
      <c r="Z1553" s="175">
        <v>2.260687230414388E-2</v>
      </c>
      <c r="AA1553" s="177">
        <v>2.2889968517073589E-2</v>
      </c>
    </row>
    <row r="1554" spans="23:27" x14ac:dyDescent="0.2">
      <c r="W1554" s="173" t="str">
        <f t="shared" si="34"/>
        <v>1w</v>
      </c>
      <c r="X1554" s="180">
        <f>_xll.qlCalendarAdvance(LiborCalendar,X1553,W1554,"f",FALSE)</f>
        <v>49838</v>
      </c>
      <c r="Y1554" s="174">
        <f>_xll.qlInterestRateIndexValueDate(IborIndex,X1554)</f>
        <v>49842</v>
      </c>
      <c r="Z1554" s="175">
        <v>2.2599277085960094E-2</v>
      </c>
      <c r="AA1554" s="177">
        <v>2.2882329225616393E-2</v>
      </c>
    </row>
    <row r="1555" spans="23:27" x14ac:dyDescent="0.2">
      <c r="W1555" s="173" t="str">
        <f t="shared" si="34"/>
        <v>1w</v>
      </c>
      <c r="X1555" s="180">
        <f>_xll.qlCalendarAdvance(LiborCalendar,X1554,W1555,"f",FALSE)</f>
        <v>49845</v>
      </c>
      <c r="Y1555" s="174">
        <f>_xll.qlInterestRateIndexValueDate(IborIndex,X1555)</f>
        <v>49849</v>
      </c>
      <c r="Z1555" s="175">
        <v>2.259184832510178E-2</v>
      </c>
      <c r="AA1555" s="177">
        <v>2.2874691902124988E-2</v>
      </c>
    </row>
    <row r="1556" spans="23:27" x14ac:dyDescent="0.2">
      <c r="W1556" s="173" t="str">
        <f t="shared" si="34"/>
        <v>1w</v>
      </c>
      <c r="X1556" s="180">
        <f>_xll.qlCalendarAdvance(LiborCalendar,X1555,W1556,"f",FALSE)</f>
        <v>49852</v>
      </c>
      <c r="Y1556" s="174">
        <f>_xll.qlInterestRateIndexValueDate(IborIndex,X1556)</f>
        <v>49856</v>
      </c>
      <c r="Z1556" s="175">
        <v>2.2584092625717471E-2</v>
      </c>
      <c r="AA1556" s="177">
        <v>2.286705654668042E-2</v>
      </c>
    </row>
    <row r="1557" spans="23:27" x14ac:dyDescent="0.2">
      <c r="W1557" s="173" t="str">
        <f t="shared" ref="W1557:W1620" si="35">W1556</f>
        <v>1w</v>
      </c>
      <c r="X1557" s="180">
        <f>_xll.qlCalendarAdvance(LiborCalendar,X1556,W1557,"f",FALSE)</f>
        <v>49859</v>
      </c>
      <c r="Y1557" s="174">
        <f>_xll.qlInterestRateIndexValueDate(IborIndex,X1557)</f>
        <v>49863</v>
      </c>
      <c r="Z1557" s="175">
        <v>2.2576667186565945E-2</v>
      </c>
      <c r="AA1557" s="177">
        <v>2.2859423159201642E-2</v>
      </c>
    </row>
    <row r="1558" spans="23:27" x14ac:dyDescent="0.2">
      <c r="W1558" s="173" t="str">
        <f t="shared" si="35"/>
        <v>1w</v>
      </c>
      <c r="X1558" s="180">
        <f>_xll.qlCalendarAdvance(LiborCalendar,X1557,W1558,"f",FALSE)</f>
        <v>49866</v>
      </c>
      <c r="Y1558" s="174">
        <f>_xll.qlInterestRateIndexValueDate(IborIndex,X1558)</f>
        <v>49870</v>
      </c>
      <c r="Z1558" s="175">
        <v>2.2569079605702768E-2</v>
      </c>
      <c r="AA1558" s="177">
        <v>2.28517917397697E-2</v>
      </c>
    </row>
    <row r="1559" spans="23:27" x14ac:dyDescent="0.2">
      <c r="W1559" s="173" t="str">
        <f t="shared" si="35"/>
        <v>1w</v>
      </c>
      <c r="X1559" s="180">
        <f>_xll.qlCalendarAdvance(LiborCalendar,X1558,W1559,"f",FALSE)</f>
        <v>49873</v>
      </c>
      <c r="Y1559" s="174">
        <f>_xll.qlInterestRateIndexValueDate(IborIndex,X1559)</f>
        <v>49878</v>
      </c>
      <c r="Z1559" s="175">
        <v>2.2560410524190992E-2</v>
      </c>
      <c r="AA1559" s="177">
        <v>2.2843072527368724E-2</v>
      </c>
    </row>
    <row r="1560" spans="23:27" x14ac:dyDescent="0.2">
      <c r="W1560" s="173" t="str">
        <f t="shared" si="35"/>
        <v>1w</v>
      </c>
      <c r="X1560" s="180">
        <f>_xll.qlCalendarAdvance(LiborCalendar,X1559,W1560,"f",FALSE)</f>
        <v>49880</v>
      </c>
      <c r="Y1560" s="174">
        <f>_xll.qlInterestRateIndexValueDate(IborIndex,X1560)</f>
        <v>49884</v>
      </c>
      <c r="Z1560" s="175">
        <v>2.255391042067121E-2</v>
      </c>
      <c r="AA1560" s="177">
        <v>2.2836534804965281E-2</v>
      </c>
    </row>
    <row r="1561" spans="23:27" x14ac:dyDescent="0.2">
      <c r="W1561" s="173" t="str">
        <f t="shared" si="35"/>
        <v>1w</v>
      </c>
      <c r="X1561" s="180">
        <f>_xll.qlCalendarAdvance(LiborCalendar,X1560,W1561,"f",FALSE)</f>
        <v>49887</v>
      </c>
      <c r="Y1561" s="174">
        <f>_xll.qlInterestRateIndexValueDate(IborIndex,X1561)</f>
        <v>49891</v>
      </c>
      <c r="Z1561" s="175">
        <v>2.2546328816457642E-2</v>
      </c>
      <c r="AA1561" s="177">
        <v>2.2828909289511756E-2</v>
      </c>
    </row>
    <row r="1562" spans="23:27" x14ac:dyDescent="0.2">
      <c r="W1562" s="173" t="str">
        <f t="shared" si="35"/>
        <v>1w</v>
      </c>
      <c r="X1562" s="180">
        <f>_xll.qlCalendarAdvance(LiborCalendar,X1561,W1562,"f",FALSE)</f>
        <v>49894</v>
      </c>
      <c r="Y1562" s="174">
        <f>_xll.qlInterestRateIndexValueDate(IborIndex,X1562)</f>
        <v>49898</v>
      </c>
      <c r="Z1562" s="175">
        <v>2.2538911331852478E-2</v>
      </c>
      <c r="AA1562" s="177">
        <v>2.2821285742105069E-2</v>
      </c>
    </row>
    <row r="1563" spans="23:27" x14ac:dyDescent="0.2">
      <c r="W1563" s="173" t="str">
        <f t="shared" si="35"/>
        <v>1w</v>
      </c>
      <c r="X1563" s="180">
        <f>_xll.qlCalendarAdvance(LiborCalendar,X1562,W1563,"f",FALSE)</f>
        <v>49901</v>
      </c>
      <c r="Y1563" s="174">
        <f>_xll.qlInterestRateIndexValueDate(IborIndex,X1563)</f>
        <v>49905</v>
      </c>
      <c r="Z1563" s="175">
        <v>2.2531171584521552E-2</v>
      </c>
      <c r="AA1563" s="177">
        <v>2.2813664162664171E-2</v>
      </c>
    </row>
    <row r="1564" spans="23:27" x14ac:dyDescent="0.2">
      <c r="W1564" s="173" t="str">
        <f t="shared" si="35"/>
        <v>1w</v>
      </c>
      <c r="X1564" s="180">
        <f>_xll.qlCalendarAdvance(LiborCalendar,X1563,W1564,"f",FALSE)</f>
        <v>49908</v>
      </c>
      <c r="Y1564" s="174">
        <f>_xll.qlInterestRateIndexValueDate(IborIndex,X1564)</f>
        <v>49913</v>
      </c>
      <c r="Z1564" s="175">
        <v>2.2522513886837132E-2</v>
      </c>
      <c r="AA1564" s="177">
        <v>2.280495619600198E-2</v>
      </c>
    </row>
    <row r="1565" spans="23:27" x14ac:dyDescent="0.2">
      <c r="W1565" s="173" t="str">
        <f t="shared" si="35"/>
        <v>1w</v>
      </c>
      <c r="X1565" s="180">
        <f>_xll.qlCalendarAdvance(LiborCalendar,X1564,W1565,"f",FALSE)</f>
        <v>49915</v>
      </c>
      <c r="Y1565" s="174">
        <f>_xll.qlInterestRateIndexValueDate(IborIndex,X1565)</f>
        <v>49919</v>
      </c>
      <c r="Z1565" s="175">
        <v>2.2515699966738367E-2</v>
      </c>
      <c r="AA1565" s="177">
        <v>2.279842690784184E-2</v>
      </c>
    </row>
    <row r="1566" spans="23:27" x14ac:dyDescent="0.2">
      <c r="W1566" s="173" t="str">
        <f t="shared" si="35"/>
        <v>1w</v>
      </c>
      <c r="X1566" s="180">
        <f>_xll.qlCalendarAdvance(LiborCalendar,X1565,W1566,"f",FALSE)</f>
        <v>49922</v>
      </c>
      <c r="Y1566" s="174">
        <f>_xll.qlInterestRateIndexValueDate(IborIndex,X1566)</f>
        <v>49926</v>
      </c>
      <c r="Z1566" s="175">
        <v>2.2508128980163557E-2</v>
      </c>
      <c r="AA1566" s="177">
        <v>2.2790811232541452E-2</v>
      </c>
    </row>
    <row r="1567" spans="23:27" x14ac:dyDescent="0.2">
      <c r="W1567" s="173" t="str">
        <f t="shared" si="35"/>
        <v>1w</v>
      </c>
      <c r="X1567" s="180">
        <f>_xll.qlCalendarAdvance(LiborCalendar,X1566,W1567,"f",FALSE)</f>
        <v>49929</v>
      </c>
      <c r="Y1567" s="174">
        <f>_xll.qlInterestRateIndexValueDate(IborIndex,X1567)</f>
        <v>49934</v>
      </c>
      <c r="Z1567" s="175">
        <v>2.2499318352218363E-2</v>
      </c>
      <c r="AA1567" s="177">
        <v>2.2782110013387369E-2</v>
      </c>
    </row>
    <row r="1568" spans="23:27" x14ac:dyDescent="0.2">
      <c r="W1568" s="173" t="str">
        <f t="shared" si="35"/>
        <v>1w</v>
      </c>
      <c r="X1568" s="180">
        <f>_xll.qlCalendarAdvance(LiborCalendar,X1567,W1568,"f",FALSE)</f>
        <v>49936</v>
      </c>
      <c r="Y1568" s="174">
        <f>_xll.qlInterestRateIndexValueDate(IborIndex,X1568)</f>
        <v>49941</v>
      </c>
      <c r="Z1568" s="175">
        <v>2.2491751961034045E-2</v>
      </c>
      <c r="AA1568" s="177">
        <v>2.2774498555087064E-2</v>
      </c>
    </row>
    <row r="1569" spans="23:27" x14ac:dyDescent="0.2">
      <c r="W1569" s="173" t="str">
        <f t="shared" si="35"/>
        <v>1w</v>
      </c>
      <c r="X1569" s="180">
        <f>_xll.qlCalendarAdvance(LiborCalendar,X1568,W1569,"f",FALSE)</f>
        <v>49943</v>
      </c>
      <c r="Y1569" s="174">
        <f>_xll.qlInterestRateIndexValueDate(IborIndex,X1569)</f>
        <v>49947</v>
      </c>
      <c r="Z1569" s="175">
        <v>2.2485427969340773E-2</v>
      </c>
      <c r="AA1569" s="177">
        <v>2.2767976014435032E-2</v>
      </c>
    </row>
    <row r="1570" spans="23:27" x14ac:dyDescent="0.2">
      <c r="W1570" s="173" t="str">
        <f t="shared" si="35"/>
        <v>1w</v>
      </c>
      <c r="X1570" s="180">
        <f>_xll.qlCalendarAdvance(LiborCalendar,X1569,W1570,"f",FALSE)</f>
        <v>49950</v>
      </c>
      <c r="Y1570" s="174">
        <f>_xll.qlInterestRateIndexValueDate(IborIndex,X1570)</f>
        <v>49954</v>
      </c>
      <c r="Z1570" s="175">
        <v>2.2478024498342901E-2</v>
      </c>
      <c r="AA1570" s="177">
        <v>2.2760368211078852E-2</v>
      </c>
    </row>
    <row r="1571" spans="23:27" x14ac:dyDescent="0.2">
      <c r="W1571" s="173" t="str">
        <f t="shared" si="35"/>
        <v>1w</v>
      </c>
      <c r="X1571" s="180">
        <f>_xll.qlCalendarAdvance(LiborCalendar,X1570,W1571,"f",FALSE)</f>
        <v>49957</v>
      </c>
      <c r="Y1571" s="174">
        <f>_xll.qlInterestRateIndexValueDate(IborIndex,X1571)</f>
        <v>49962</v>
      </c>
      <c r="Z1571" s="175">
        <v>2.2469223934840198E-2</v>
      </c>
      <c r="AA1571" s="177">
        <v>2.2751675988467168E-2</v>
      </c>
    </row>
    <row r="1572" spans="23:27" x14ac:dyDescent="0.2">
      <c r="W1572" s="173" t="str">
        <f t="shared" si="35"/>
        <v>1w</v>
      </c>
      <c r="X1572" s="180">
        <f>_xll.qlCalendarAdvance(LiborCalendar,X1571,W1572,"f",FALSE)</f>
        <v>49964</v>
      </c>
      <c r="Y1572" s="174">
        <f>_xll.qlInterestRateIndexValueDate(IborIndex,X1572)</f>
        <v>49968</v>
      </c>
      <c r="Z1572" s="175">
        <v>2.2462744881403145E-2</v>
      </c>
      <c r="AA1572" s="177">
        <v>2.2745158508425956E-2</v>
      </c>
    </row>
    <row r="1573" spans="23:27" x14ac:dyDescent="0.2">
      <c r="W1573" s="173" t="str">
        <f t="shared" si="35"/>
        <v>1w</v>
      </c>
      <c r="X1573" s="180">
        <f>_xll.qlCalendarAdvance(LiborCalendar,X1572,W1573,"f",FALSE)</f>
        <v>49971</v>
      </c>
      <c r="Y1573" s="174">
        <f>_xll.qlInterestRateIndexValueDate(IborIndex,X1573)</f>
        <v>49975</v>
      </c>
      <c r="Z1573" s="175">
        <v>2.245518783484934E-2</v>
      </c>
      <c r="AA1573" s="177">
        <v>2.2737556609048193E-2</v>
      </c>
    </row>
    <row r="1574" spans="23:27" x14ac:dyDescent="0.2">
      <c r="W1574" s="173" t="str">
        <f t="shared" si="35"/>
        <v>1w</v>
      </c>
      <c r="X1574" s="180">
        <f>_xll.qlCalendarAdvance(LiborCalendar,X1573,W1574,"f",FALSE)</f>
        <v>49978</v>
      </c>
      <c r="Y1574" s="174">
        <f>_xll.qlInterestRateIndexValueDate(IborIndex,X1574)</f>
        <v>49983</v>
      </c>
      <c r="Z1574" s="175">
        <v>2.2446870016805003E-2</v>
      </c>
      <c r="AA1574" s="177">
        <v>2.2728871133944617E-2</v>
      </c>
    </row>
    <row r="1575" spans="23:27" x14ac:dyDescent="0.2">
      <c r="W1575" s="173" t="str">
        <f t="shared" si="35"/>
        <v>1w</v>
      </c>
      <c r="X1575" s="180">
        <f>_xll.qlCalendarAdvance(LiborCalendar,X1574,W1575,"f",FALSE)</f>
        <v>49985</v>
      </c>
      <c r="Y1575" s="174">
        <f>_xll.qlInterestRateIndexValueDate(IborIndex,X1575)</f>
        <v>49989</v>
      </c>
      <c r="Z1575" s="175">
        <v>2.2440079715746318E-2</v>
      </c>
      <c r="AA1575" s="177">
        <v>2.2722358714352131E-2</v>
      </c>
    </row>
    <row r="1576" spans="23:27" x14ac:dyDescent="0.2">
      <c r="W1576" s="173" t="str">
        <f t="shared" si="35"/>
        <v>1w</v>
      </c>
      <c r="X1576" s="180">
        <f>_xll.qlCalendarAdvance(LiborCalendar,X1575,W1576,"f",FALSE)</f>
        <v>49992</v>
      </c>
      <c r="Y1576" s="174">
        <f>_xll.qlInterestRateIndexValueDate(IborIndex,X1576)</f>
        <v>49996</v>
      </c>
      <c r="Z1576" s="175">
        <v>2.2432528643152302E-2</v>
      </c>
      <c r="AA1576" s="177">
        <v>2.2714762719114878E-2</v>
      </c>
    </row>
    <row r="1577" spans="23:27" x14ac:dyDescent="0.2">
      <c r="W1577" s="173" t="str">
        <f t="shared" si="35"/>
        <v>1w</v>
      </c>
      <c r="X1577" s="180">
        <f>_xll.qlCalendarAdvance(LiborCalendar,X1576,W1577,"f",FALSE)</f>
        <v>49999</v>
      </c>
      <c r="Y1577" s="174">
        <f>_xll.qlInterestRateIndexValueDate(IborIndex,X1577)</f>
        <v>50004</v>
      </c>
      <c r="Z1577" s="175">
        <v>2.2423901284196714E-2</v>
      </c>
      <c r="AA1577" s="177">
        <v>2.2706083991357318E-2</v>
      </c>
    </row>
    <row r="1578" spans="23:27" x14ac:dyDescent="0.2">
      <c r="W1578" s="173" t="str">
        <f t="shared" si="35"/>
        <v>1w</v>
      </c>
      <c r="X1578" s="180">
        <f>_xll.qlCalendarAdvance(LiborCalendar,X1577,W1578,"f",FALSE)</f>
        <v>50006</v>
      </c>
      <c r="Y1578" s="174">
        <f>_xll.qlInterestRateIndexValueDate(IborIndex,X1578)</f>
        <v>50010</v>
      </c>
      <c r="Z1578" s="175">
        <v>2.2417432471767699E-2</v>
      </c>
      <c r="AA1578" s="177">
        <v>2.2699576632456697E-2</v>
      </c>
    </row>
    <row r="1579" spans="23:27" x14ac:dyDescent="0.2">
      <c r="W1579" s="173" t="str">
        <f t="shared" si="35"/>
        <v>1w</v>
      </c>
      <c r="X1579" s="180">
        <f>_xll.qlCalendarAdvance(LiborCalendar,X1578,W1579,"f",FALSE)</f>
        <v>50013</v>
      </c>
      <c r="Y1579" s="174">
        <f>_xll.qlInterestRateIndexValueDate(IborIndex,X1579)</f>
        <v>50017</v>
      </c>
      <c r="Z1579" s="175">
        <v>2.2409887372931873E-2</v>
      </c>
      <c r="AA1579" s="177">
        <v>2.2691986541116815E-2</v>
      </c>
    </row>
    <row r="1580" spans="23:27" x14ac:dyDescent="0.2">
      <c r="W1580" s="173" t="str">
        <f t="shared" si="35"/>
        <v>1w</v>
      </c>
      <c r="X1580" s="180">
        <f>_xll.qlCalendarAdvance(LiborCalendar,X1579,W1580,"f",FALSE)</f>
        <v>50020</v>
      </c>
      <c r="Y1580" s="174">
        <f>_xll.qlInterestRateIndexValueDate(IborIndex,X1580)</f>
        <v>50024</v>
      </c>
      <c r="Z1580" s="175">
        <v>2.2402344265304127E-2</v>
      </c>
      <c r="AA1580" s="177">
        <v>2.268439841782377E-2</v>
      </c>
    </row>
    <row r="1581" spans="23:27" x14ac:dyDescent="0.2">
      <c r="W1581" s="173" t="str">
        <f t="shared" si="35"/>
        <v>1w</v>
      </c>
      <c r="X1581" s="180">
        <f>_xll.qlCalendarAdvance(LiborCalendar,X1580,W1581,"f",FALSE)</f>
        <v>50027</v>
      </c>
      <c r="Y1581" s="174">
        <f>_xll.qlInterestRateIndexValueDate(IborIndex,X1581)</f>
        <v>50031</v>
      </c>
      <c r="Z1581" s="175">
        <v>2.2394803148862937E-2</v>
      </c>
      <c r="AA1581" s="177">
        <v>2.2676812262577561E-2</v>
      </c>
    </row>
    <row r="1582" spans="23:27" x14ac:dyDescent="0.2">
      <c r="W1582" s="173" t="str">
        <f t="shared" si="35"/>
        <v>1w</v>
      </c>
      <c r="X1582" s="180">
        <f>_xll.qlCalendarAdvance(LiborCalendar,X1581,W1582,"f",FALSE)</f>
        <v>50038</v>
      </c>
      <c r="Y1582" s="174">
        <f>_xll.qlInterestRateIndexValueDate(IborIndex,X1582)</f>
        <v>50045</v>
      </c>
      <c r="Z1582" s="175">
        <v>2.2379726889448427E-2</v>
      </c>
      <c r="AA1582" s="177">
        <v>2.2661645855982515E-2</v>
      </c>
    </row>
    <row r="1583" spans="23:27" x14ac:dyDescent="0.2">
      <c r="W1583" s="173" t="str">
        <f t="shared" si="35"/>
        <v>1w</v>
      </c>
      <c r="X1583" s="180">
        <f>_xll.qlCalendarAdvance(LiborCalendar,X1582,W1583,"f",FALSE)</f>
        <v>50045</v>
      </c>
      <c r="Y1583" s="174">
        <f>_xll.qlInterestRateIndexValueDate(IborIndex,X1583)</f>
        <v>50047</v>
      </c>
      <c r="Z1583" s="175">
        <v>2.237741853736001E-2</v>
      </c>
      <c r="AA1583" s="177">
        <v>2.2659479869165944E-2</v>
      </c>
    </row>
    <row r="1584" spans="23:27" x14ac:dyDescent="0.2">
      <c r="W1584" s="173" t="str">
        <f t="shared" si="35"/>
        <v>1w</v>
      </c>
      <c r="X1584" s="180">
        <f>_xll.qlCalendarAdvance(LiborCalendar,X1583,W1584,"f",FALSE)</f>
        <v>50052</v>
      </c>
      <c r="Y1584" s="174">
        <f>_xll.qlInterestRateIndexValueDate(IborIndex,X1584)</f>
        <v>50054</v>
      </c>
      <c r="Z1584" s="175">
        <v>2.236988428665691E-2</v>
      </c>
      <c r="AA1584" s="177">
        <v>2.2651900180116202E-2</v>
      </c>
    </row>
    <row r="1585" spans="23:27" x14ac:dyDescent="0.2">
      <c r="W1585" s="173" t="str">
        <f t="shared" si="35"/>
        <v>1w</v>
      </c>
      <c r="X1585" s="180">
        <f>_xll.qlCalendarAdvance(LiborCalendar,X1584,W1585,"f",FALSE)</f>
        <v>50059</v>
      </c>
      <c r="Y1585" s="174">
        <f>_xll.qlInterestRateIndexValueDate(IborIndex,X1585)</f>
        <v>50061</v>
      </c>
      <c r="Z1585" s="175">
        <v>2.236235202676707E-2</v>
      </c>
      <c r="AA1585" s="177">
        <v>2.2644322459113297E-2</v>
      </c>
    </row>
    <row r="1586" spans="23:27" x14ac:dyDescent="0.2">
      <c r="W1586" s="173" t="str">
        <f t="shared" si="35"/>
        <v>1w</v>
      </c>
      <c r="X1586" s="180">
        <f>_xll.qlCalendarAdvance(LiborCalendar,X1585,W1586,"f",FALSE)</f>
        <v>50066</v>
      </c>
      <c r="Y1586" s="174">
        <f>_xll.qlInterestRateIndexValueDate(IborIndex,X1586)</f>
        <v>50068</v>
      </c>
      <c r="Z1586" s="175">
        <v>2.2354821757667964E-2</v>
      </c>
      <c r="AA1586" s="177">
        <v>2.2636746706157229E-2</v>
      </c>
    </row>
    <row r="1587" spans="23:27" x14ac:dyDescent="0.2">
      <c r="W1587" s="173" t="str">
        <f t="shared" si="35"/>
        <v>1w</v>
      </c>
      <c r="X1587" s="180">
        <f>_xll.qlCalendarAdvance(LiborCalendar,X1586,W1587,"f",FALSE)</f>
        <v>50073</v>
      </c>
      <c r="Y1587" s="174">
        <f>_xll.qlInterestRateIndexValueDate(IborIndex,X1587)</f>
        <v>50075</v>
      </c>
      <c r="Z1587" s="175">
        <v>2.2347293479337511E-2</v>
      </c>
      <c r="AA1587" s="177">
        <v>2.2629172921166951E-2</v>
      </c>
    </row>
    <row r="1588" spans="23:27" x14ac:dyDescent="0.2">
      <c r="W1588" s="173" t="str">
        <f t="shared" si="35"/>
        <v>1w</v>
      </c>
      <c r="X1588" s="180">
        <f>_xll.qlCalendarAdvance(LiborCalendar,X1587,W1588,"f",FALSE)</f>
        <v>50080</v>
      </c>
      <c r="Y1588" s="174">
        <f>_xll.qlInterestRateIndexValueDate(IborIndex,X1588)</f>
        <v>50083</v>
      </c>
      <c r="Z1588" s="175">
        <v>2.233869217032132E-2</v>
      </c>
      <c r="AA1588" s="177">
        <v>2.2620519576699305E-2</v>
      </c>
    </row>
    <row r="1589" spans="23:27" x14ac:dyDescent="0.2">
      <c r="W1589" s="173" t="str">
        <f t="shared" si="35"/>
        <v>1w</v>
      </c>
      <c r="X1589" s="180">
        <f>_xll.qlCalendarAdvance(LiborCalendar,X1588,W1589,"f",FALSE)</f>
        <v>50087</v>
      </c>
      <c r="Y1589" s="174">
        <f>_xll.qlInterestRateIndexValueDate(IborIndex,X1589)</f>
        <v>50089</v>
      </c>
      <c r="Z1589" s="175">
        <v>2.2332242894893807E-2</v>
      </c>
      <c r="AA1589" s="177">
        <v>2.2614031255164813E-2</v>
      </c>
    </row>
    <row r="1590" spans="23:27" x14ac:dyDescent="0.2">
      <c r="W1590" s="173" t="str">
        <f t="shared" si="35"/>
        <v>1w</v>
      </c>
      <c r="X1590" s="180">
        <f>_xll.qlCalendarAdvance(LiborCalendar,X1589,W1590,"f",FALSE)</f>
        <v>50094</v>
      </c>
      <c r="Y1590" s="174">
        <f>_xll.qlInterestRateIndexValueDate(IborIndex,X1590)</f>
        <v>50096</v>
      </c>
      <c r="Z1590" s="175">
        <v>2.2324720588736833E-2</v>
      </c>
      <c r="AA1590" s="177">
        <v>2.2606463374233998E-2</v>
      </c>
    </row>
    <row r="1591" spans="23:27" x14ac:dyDescent="0.2">
      <c r="W1591" s="173" t="str">
        <f t="shared" si="35"/>
        <v>1w</v>
      </c>
      <c r="X1591" s="180">
        <f>_xll.qlCalendarAdvance(LiborCalendar,X1590,W1591,"f",FALSE)</f>
        <v>50101</v>
      </c>
      <c r="Y1591" s="174">
        <f>_xll.qlInterestRateIndexValueDate(IborIndex,X1591)</f>
        <v>50103</v>
      </c>
      <c r="Z1591" s="175">
        <v>2.2317658214097147E-2</v>
      </c>
      <c r="AA1591" s="177">
        <v>2.2598897461268974E-2</v>
      </c>
    </row>
    <row r="1592" spans="23:27" x14ac:dyDescent="0.2">
      <c r="W1592" s="173" t="str">
        <f t="shared" si="35"/>
        <v>1w</v>
      </c>
      <c r="X1592" s="180">
        <f>_xll.qlCalendarAdvance(LiborCalendar,X1591,W1592,"f",FALSE)</f>
        <v>50108</v>
      </c>
      <c r="Y1592" s="174">
        <f>_xll.qlInterestRateIndexValueDate(IborIndex,X1592)</f>
        <v>50110</v>
      </c>
      <c r="Z1592" s="175">
        <v>2.2310138925674371E-2</v>
      </c>
      <c r="AA1592" s="177">
        <v>2.2591333516350787E-2</v>
      </c>
    </row>
    <row r="1593" spans="23:27" x14ac:dyDescent="0.2">
      <c r="W1593" s="173" t="str">
        <f t="shared" si="35"/>
        <v>1w</v>
      </c>
      <c r="X1593" s="180">
        <f>_xll.qlCalendarAdvance(LiborCalendar,X1592,W1593,"f",FALSE)</f>
        <v>50115</v>
      </c>
      <c r="Y1593" s="174">
        <f>_xll.qlInterestRateIndexValueDate(IborIndex,X1593)</f>
        <v>50117</v>
      </c>
      <c r="Z1593" s="175">
        <v>2.2302621628716848E-2</v>
      </c>
      <c r="AA1593" s="177">
        <v>2.258377153939839E-2</v>
      </c>
    </row>
    <row r="1594" spans="23:27" x14ac:dyDescent="0.2">
      <c r="W1594" s="173" t="str">
        <f t="shared" si="35"/>
        <v>1w</v>
      </c>
      <c r="X1594" s="180">
        <f>_xll.qlCalendarAdvance(LiborCalendar,X1593,W1594,"f",FALSE)</f>
        <v>50122</v>
      </c>
      <c r="Y1594" s="174">
        <f>_xll.qlInterestRateIndexValueDate(IborIndex,X1594)</f>
        <v>50124</v>
      </c>
      <c r="Z1594" s="175">
        <v>2.2295106323201117E-2</v>
      </c>
      <c r="AA1594" s="177">
        <v>2.2576211530330736E-2</v>
      </c>
    </row>
    <row r="1595" spans="23:27" x14ac:dyDescent="0.2">
      <c r="W1595" s="173" t="str">
        <f t="shared" si="35"/>
        <v>1w</v>
      </c>
      <c r="X1595" s="180">
        <f>_xll.qlCalendarAdvance(LiborCalendar,X1594,W1595,"f",FALSE)</f>
        <v>50129</v>
      </c>
      <c r="Y1595" s="174">
        <f>_xll.qlInterestRateIndexValueDate(IborIndex,X1595)</f>
        <v>50131</v>
      </c>
      <c r="Z1595" s="175">
        <v>2.2287441669566272E-2</v>
      </c>
      <c r="AA1595" s="177">
        <v>2.2568653489390966E-2</v>
      </c>
    </row>
    <row r="1596" spans="23:27" x14ac:dyDescent="0.2">
      <c r="W1596" s="173" t="str">
        <f t="shared" si="35"/>
        <v>1w</v>
      </c>
      <c r="X1596" s="180">
        <f>_xll.qlCalendarAdvance(LiborCalendar,X1595,W1596,"f",FALSE)</f>
        <v>50137</v>
      </c>
      <c r="Y1596" s="174">
        <f>_xll.qlInterestRateIndexValueDate(IborIndex,X1596)</f>
        <v>50139</v>
      </c>
      <c r="Z1596" s="175">
        <v>2.22788578291204E-2</v>
      </c>
      <c r="AA1596" s="177">
        <v>2.2560018138089166E-2</v>
      </c>
    </row>
    <row r="1597" spans="23:27" x14ac:dyDescent="0.2">
      <c r="W1597" s="173" t="str">
        <f t="shared" si="35"/>
        <v>1w</v>
      </c>
      <c r="X1597" s="180">
        <f>_xll.qlCalendarAdvance(LiborCalendar,X1596,W1597,"f",FALSE)</f>
        <v>50144</v>
      </c>
      <c r="Y1597" s="174">
        <f>_xll.qlInterestRateIndexValueDate(IborIndex,X1597)</f>
        <v>50146</v>
      </c>
      <c r="Z1597" s="175">
        <v>2.2271349102048154E-2</v>
      </c>
      <c r="AA1597" s="177">
        <v>2.2552464314311571E-2</v>
      </c>
    </row>
    <row r="1598" spans="23:27" x14ac:dyDescent="0.2">
      <c r="W1598" s="173" t="str">
        <f t="shared" si="35"/>
        <v>1w</v>
      </c>
      <c r="X1598" s="180">
        <f>_xll.qlCalendarAdvance(LiborCalendar,X1597,W1598,"f",FALSE)</f>
        <v>50151</v>
      </c>
      <c r="Y1598" s="174">
        <f>_xll.qlInterestRateIndexValueDate(IborIndex,X1598)</f>
        <v>50153</v>
      </c>
      <c r="Z1598" s="175">
        <v>2.2263842366050317E-2</v>
      </c>
      <c r="AA1598" s="177">
        <v>2.2544912458580812E-2</v>
      </c>
    </row>
    <row r="1599" spans="23:27" x14ac:dyDescent="0.2">
      <c r="W1599" s="173" t="str">
        <f t="shared" si="35"/>
        <v>1w</v>
      </c>
      <c r="X1599" s="180">
        <f>_xll.qlCalendarAdvance(LiborCalendar,X1598,W1599,"f",FALSE)</f>
        <v>50158</v>
      </c>
      <c r="Y1599" s="174">
        <f>_xll.qlInterestRateIndexValueDate(IborIndex,X1599)</f>
        <v>50160</v>
      </c>
      <c r="Z1599" s="175">
        <v>2.2256337621103742E-2</v>
      </c>
      <c r="AA1599" s="177">
        <v>2.2537362570734798E-2</v>
      </c>
    </row>
    <row r="1600" spans="23:27" x14ac:dyDescent="0.2">
      <c r="W1600" s="173" t="str">
        <f t="shared" si="35"/>
        <v>1w</v>
      </c>
      <c r="X1600" s="180">
        <f>_xll.qlCalendarAdvance(LiborCalendar,X1599,W1600,"f",FALSE)</f>
        <v>50165</v>
      </c>
      <c r="Y1600" s="174">
        <f>_xll.qlInterestRateIndexValueDate(IborIndex,X1600)</f>
        <v>50167</v>
      </c>
      <c r="Z1600" s="175">
        <v>2.2249283883550276E-2</v>
      </c>
      <c r="AA1600" s="177">
        <v>2.252981465093562E-2</v>
      </c>
    </row>
    <row r="1601" spans="23:27" x14ac:dyDescent="0.2">
      <c r="W1601" s="173" t="str">
        <f t="shared" si="35"/>
        <v>1w</v>
      </c>
      <c r="X1601" s="180">
        <f>_xll.qlCalendarAdvance(LiborCalendar,X1600,W1601,"f",FALSE)</f>
        <v>50172</v>
      </c>
      <c r="Y1601" s="174">
        <f>_xll.qlInterestRateIndexValueDate(IborIndex,X1601)</f>
        <v>50174</v>
      </c>
      <c r="Z1601" s="175">
        <v>2.2241782164668062E-2</v>
      </c>
      <c r="AA1601" s="177">
        <v>2.2522268699183279E-2</v>
      </c>
    </row>
    <row r="1602" spans="23:27" x14ac:dyDescent="0.2">
      <c r="W1602" s="173" t="str">
        <f t="shared" si="35"/>
        <v>1w</v>
      </c>
      <c r="X1602" s="180">
        <f>_xll.qlCalendarAdvance(LiborCalendar,X1601,W1602,"f",FALSE)</f>
        <v>50179</v>
      </c>
      <c r="Y1602" s="174">
        <f>_xll.qlInterestRateIndexValueDate(IborIndex,X1602)</f>
        <v>50181</v>
      </c>
      <c r="Z1602" s="175">
        <v>2.2234431424320987E-2</v>
      </c>
      <c r="AA1602" s="177">
        <v>2.2514724715396728E-2</v>
      </c>
    </row>
    <row r="1603" spans="23:27" x14ac:dyDescent="0.2">
      <c r="W1603" s="173" t="str">
        <f t="shared" si="35"/>
        <v>1w</v>
      </c>
      <c r="X1603" s="180">
        <f>_xll.qlCalendarAdvance(LiborCalendar,X1602,W1603,"f",FALSE)</f>
        <v>50186</v>
      </c>
      <c r="Y1603" s="174">
        <f>_xll.qlInterestRateIndexValueDate(IborIndex,X1603)</f>
        <v>50188</v>
      </c>
      <c r="Z1603" s="175">
        <v>2.2226784702311327E-2</v>
      </c>
      <c r="AA1603" s="177">
        <v>2.2507182699575967E-2</v>
      </c>
    </row>
    <row r="1604" spans="23:27" x14ac:dyDescent="0.2">
      <c r="W1604" s="173" t="str">
        <f t="shared" si="35"/>
        <v>1w</v>
      </c>
      <c r="X1604" s="180">
        <f>_xll.qlCalendarAdvance(LiborCalendar,X1603,W1604,"f",FALSE)</f>
        <v>50193</v>
      </c>
      <c r="Y1604" s="174">
        <f>_xll.qlInterestRateIndexValueDate(IborIndex,X1604)</f>
        <v>50195</v>
      </c>
      <c r="Z1604" s="175">
        <v>2.2218843761360459E-2</v>
      </c>
      <c r="AA1604" s="177">
        <v>2.2499642651802043E-2</v>
      </c>
    </row>
    <row r="1605" spans="23:27" x14ac:dyDescent="0.2">
      <c r="W1605" s="173" t="str">
        <f t="shared" si="35"/>
        <v>1w</v>
      </c>
      <c r="X1605" s="180">
        <f>_xll.qlCalendarAdvance(LiborCalendar,X1604,W1605,"f",FALSE)</f>
        <v>50200</v>
      </c>
      <c r="Y1605" s="174">
        <f>_xll.qlInterestRateIndexValueDate(IborIndex,X1605)</f>
        <v>50202</v>
      </c>
      <c r="Z1605" s="175">
        <v>2.2211350962253171E-2</v>
      </c>
      <c r="AA1605" s="177">
        <v>2.2492104572074956E-2</v>
      </c>
    </row>
    <row r="1606" spans="23:27" x14ac:dyDescent="0.2">
      <c r="W1606" s="173" t="str">
        <f t="shared" si="35"/>
        <v>1w</v>
      </c>
      <c r="X1606" s="180">
        <f>_xll.qlCalendarAdvance(LiborCalendar,X1605,W1606,"f",FALSE)</f>
        <v>50207</v>
      </c>
      <c r="Y1606" s="174">
        <f>_xll.qlInterestRateIndexValueDate(IborIndex,X1606)</f>
        <v>50209</v>
      </c>
      <c r="Z1606" s="175">
        <v>2.2203860154041639E-2</v>
      </c>
      <c r="AA1606" s="177">
        <v>2.2484568460232612E-2</v>
      </c>
    </row>
    <row r="1607" spans="23:27" x14ac:dyDescent="0.2">
      <c r="W1607" s="173" t="str">
        <f t="shared" si="35"/>
        <v>1w</v>
      </c>
      <c r="X1607" s="180">
        <f>_xll.qlCalendarAdvance(LiborCalendar,X1606,W1607,"f",FALSE)</f>
        <v>50214</v>
      </c>
      <c r="Y1607" s="174">
        <f>_xll.qlInterestRateIndexValueDate(IborIndex,X1607)</f>
        <v>50216</v>
      </c>
      <c r="Z1607" s="175">
        <v>2.2196961077644413E-2</v>
      </c>
      <c r="AA1607" s="177">
        <v>2.2477034316437106E-2</v>
      </c>
    </row>
    <row r="1608" spans="23:27" x14ac:dyDescent="0.2">
      <c r="W1608" s="173" t="str">
        <f t="shared" si="35"/>
        <v>1w</v>
      </c>
      <c r="X1608" s="180">
        <f>_xll.qlCalendarAdvance(LiborCalendar,X1607,W1608,"f",FALSE)</f>
        <v>50221</v>
      </c>
      <c r="Y1608" s="174">
        <f>_xll.qlInterestRateIndexValueDate(IborIndex,X1608)</f>
        <v>50223</v>
      </c>
      <c r="Z1608" s="175">
        <v>2.218932590190659E-2</v>
      </c>
      <c r="AA1608" s="177">
        <v>2.2469502140688435E-2</v>
      </c>
    </row>
    <row r="1609" spans="23:27" x14ac:dyDescent="0.2">
      <c r="W1609" s="173" t="str">
        <f t="shared" si="35"/>
        <v>1w</v>
      </c>
      <c r="X1609" s="180">
        <f>_xll.qlCalendarAdvance(LiborCalendar,X1608,W1609,"f",FALSE)</f>
        <v>50228</v>
      </c>
      <c r="Y1609" s="174">
        <f>_xll.qlInterestRateIndexValueDate(IborIndex,X1609)</f>
        <v>50230</v>
      </c>
      <c r="Z1609" s="175">
        <v>2.218198688277425E-2</v>
      </c>
      <c r="AA1609" s="177">
        <v>2.2461971932905556E-2</v>
      </c>
    </row>
    <row r="1610" spans="23:27" x14ac:dyDescent="0.2">
      <c r="W1610" s="173" t="str">
        <f t="shared" si="35"/>
        <v>1w</v>
      </c>
      <c r="X1610" s="180">
        <f>_xll.qlCalendarAdvance(LiborCalendar,X1609,W1610,"f",FALSE)</f>
        <v>50235</v>
      </c>
      <c r="Y1610" s="174">
        <f>_xll.qlInterestRateIndexValueDate(IborIndex,X1610)</f>
        <v>50237</v>
      </c>
      <c r="Z1610" s="175">
        <v>2.217435632346482E-2</v>
      </c>
      <c r="AA1610" s="177">
        <v>2.2454443693088466E-2</v>
      </c>
    </row>
    <row r="1611" spans="23:27" x14ac:dyDescent="0.2">
      <c r="W1611" s="173" t="str">
        <f t="shared" si="35"/>
        <v>1w</v>
      </c>
      <c r="X1611" s="180">
        <f>_xll.qlCalendarAdvance(LiborCalendar,X1610,W1611,"f",FALSE)</f>
        <v>50242</v>
      </c>
      <c r="Y1611" s="174">
        <f>_xll.qlInterestRateIndexValueDate(IborIndex,X1611)</f>
        <v>50244</v>
      </c>
      <c r="Z1611" s="175">
        <v>2.2166874521664354E-2</v>
      </c>
      <c r="AA1611" s="177">
        <v>2.2446917421318213E-2</v>
      </c>
    </row>
    <row r="1612" spans="23:27" x14ac:dyDescent="0.2">
      <c r="W1612" s="173" t="str">
        <f t="shared" si="35"/>
        <v>1w</v>
      </c>
      <c r="X1612" s="180">
        <f>_xll.qlCalendarAdvance(LiborCalendar,X1611,W1612,"f",FALSE)</f>
        <v>50249</v>
      </c>
      <c r="Y1612" s="174">
        <f>_xll.qlInterestRateIndexValueDate(IborIndex,X1612)</f>
        <v>50251</v>
      </c>
      <c r="Z1612" s="175">
        <v>2.2158957112326582E-2</v>
      </c>
      <c r="AA1612" s="177">
        <v>2.2439393117513751E-2</v>
      </c>
    </row>
    <row r="1613" spans="23:27" x14ac:dyDescent="0.2">
      <c r="W1613" s="173" t="str">
        <f t="shared" si="35"/>
        <v>1w</v>
      </c>
      <c r="X1613" s="180">
        <f>_xll.qlCalendarAdvance(LiborCalendar,X1612,W1613,"f",FALSE)</f>
        <v>50256</v>
      </c>
      <c r="Y1613" s="174">
        <f>_xll.qlInterestRateIndexValueDate(IborIndex,X1613)</f>
        <v>50258</v>
      </c>
      <c r="Z1613" s="175">
        <v>2.2151916892792518E-2</v>
      </c>
      <c r="AA1613" s="177">
        <v>2.2431870781837171E-2</v>
      </c>
    </row>
    <row r="1614" spans="23:27" x14ac:dyDescent="0.2">
      <c r="W1614" s="173" t="str">
        <f t="shared" si="35"/>
        <v>1w</v>
      </c>
      <c r="X1614" s="180">
        <f>_xll.qlCalendarAdvance(LiborCalendar,X1613,W1614,"f",FALSE)</f>
        <v>50263</v>
      </c>
      <c r="Y1614" s="174">
        <f>_xll.qlInterestRateIndexValueDate(IborIndex,X1614)</f>
        <v>50265</v>
      </c>
      <c r="Z1614" s="175">
        <v>2.2144441065675164E-2</v>
      </c>
      <c r="AA1614" s="177">
        <v>2.2424350414045335E-2</v>
      </c>
    </row>
    <row r="1615" spans="23:27" x14ac:dyDescent="0.2">
      <c r="W1615" s="173" t="str">
        <f t="shared" si="35"/>
        <v>1w</v>
      </c>
      <c r="X1615" s="180">
        <f>_xll.qlCalendarAdvance(LiborCalendar,X1614,W1615,"f",FALSE)</f>
        <v>50270</v>
      </c>
      <c r="Y1615" s="174">
        <f>_xll.qlInterestRateIndexValueDate(IborIndex,X1615)</f>
        <v>50272</v>
      </c>
      <c r="Z1615" s="175">
        <v>2.2136967230074439E-2</v>
      </c>
      <c r="AA1615" s="177">
        <v>2.2416832014300336E-2</v>
      </c>
    </row>
    <row r="1616" spans="23:27" x14ac:dyDescent="0.2">
      <c r="W1616" s="173" t="str">
        <f t="shared" si="35"/>
        <v>1w</v>
      </c>
      <c r="X1616" s="180">
        <f>_xll.qlCalendarAdvance(LiborCalendar,X1615,W1616,"f",FALSE)</f>
        <v>50277</v>
      </c>
      <c r="Y1616" s="174">
        <f>_xll.qlInterestRateIndexValueDate(IborIndex,X1616)</f>
        <v>50279</v>
      </c>
      <c r="Z1616" s="175">
        <v>2.2129061566269956E-2</v>
      </c>
      <c r="AA1616" s="177">
        <v>2.2409315582440081E-2</v>
      </c>
    </row>
    <row r="1617" spans="23:27" x14ac:dyDescent="0.2">
      <c r="W1617" s="173" t="str">
        <f t="shared" si="35"/>
        <v>1w</v>
      </c>
      <c r="X1617" s="180">
        <f>_xll.qlCalendarAdvance(LiborCalendar,X1616,W1617,"f",FALSE)</f>
        <v>50284</v>
      </c>
      <c r="Y1617" s="174">
        <f>_xll.qlInterestRateIndexValueDate(IborIndex,X1617)</f>
        <v>50286</v>
      </c>
      <c r="Z1617" s="175">
        <v>2.2121303951785146E-2</v>
      </c>
      <c r="AA1617" s="177">
        <v>2.2401801118707709E-2</v>
      </c>
    </row>
    <row r="1618" spans="23:27" x14ac:dyDescent="0.2">
      <c r="W1618" s="173" t="str">
        <f t="shared" si="35"/>
        <v>1w</v>
      </c>
      <c r="X1618" s="180">
        <f>_xll.qlCalendarAdvance(LiborCalendar,X1617,W1618,"f",FALSE)</f>
        <v>50291</v>
      </c>
      <c r="Y1618" s="174">
        <f>_xll.qlInterestRateIndexValueDate(IborIndex,X1618)</f>
        <v>50293</v>
      </c>
      <c r="Z1618" s="175">
        <v>2.2113837660627658E-2</v>
      </c>
      <c r="AA1618" s="177">
        <v>2.2394288622941128E-2</v>
      </c>
    </row>
    <row r="1619" spans="23:27" x14ac:dyDescent="0.2">
      <c r="W1619" s="173" t="str">
        <f t="shared" si="35"/>
        <v>1w</v>
      </c>
      <c r="X1619" s="180">
        <f>_xll.qlCalendarAdvance(LiborCalendar,X1618,W1619,"f",FALSE)</f>
        <v>50298</v>
      </c>
      <c r="Y1619" s="174">
        <f>_xll.qlInterestRateIndexValueDate(IborIndex,X1619)</f>
        <v>50300</v>
      </c>
      <c r="Z1619" s="175">
        <v>2.2106373359529561E-2</v>
      </c>
      <c r="AA1619" s="177">
        <v>2.2386778095221382E-2</v>
      </c>
    </row>
    <row r="1620" spans="23:27" x14ac:dyDescent="0.2">
      <c r="W1620" s="173" t="str">
        <f t="shared" si="35"/>
        <v>1w</v>
      </c>
      <c r="X1620" s="180">
        <f>_xll.qlCalendarAdvance(LiborCalendar,X1619,W1620,"f",FALSE)</f>
        <v>50305</v>
      </c>
      <c r="Y1620" s="174">
        <f>_xll.qlInterestRateIndexValueDate(IborIndex,X1620)</f>
        <v>50307</v>
      </c>
      <c r="Z1620" s="175">
        <v>2.2098911048470091E-2</v>
      </c>
      <c r="AA1620" s="177">
        <v>2.2379269535386381E-2</v>
      </c>
    </row>
    <row r="1621" spans="23:27" x14ac:dyDescent="0.2">
      <c r="W1621" s="173" t="str">
        <f t="shared" ref="W1621:W1684" si="36">W1620</f>
        <v>1w</v>
      </c>
      <c r="X1621" s="180">
        <f>_xll.qlCalendarAdvance(LiborCalendar,X1620,W1621,"f",FALSE)</f>
        <v>50312</v>
      </c>
      <c r="Y1621" s="174">
        <f>_xll.qlInterestRateIndexValueDate(IborIndex,X1621)</f>
        <v>50314</v>
      </c>
      <c r="Z1621" s="175">
        <v>2.2091593837281844E-2</v>
      </c>
      <c r="AA1621" s="177">
        <v>2.2371762943598217E-2</v>
      </c>
    </row>
    <row r="1622" spans="23:27" x14ac:dyDescent="0.2">
      <c r="W1622" s="173" t="str">
        <f t="shared" si="36"/>
        <v>1w</v>
      </c>
      <c r="X1622" s="180">
        <f>_xll.qlCalendarAdvance(LiborCalendar,X1621,W1622,"f",FALSE)</f>
        <v>50319</v>
      </c>
      <c r="Y1622" s="174">
        <f>_xll.qlInterestRateIndexValueDate(IborIndex,X1622)</f>
        <v>50321</v>
      </c>
      <c r="Z1622" s="175">
        <v>2.2084135193295454E-2</v>
      </c>
      <c r="AA1622" s="177">
        <v>2.2364258319856889E-2</v>
      </c>
    </row>
    <row r="1623" spans="23:27" x14ac:dyDescent="0.2">
      <c r="W1623" s="173" t="str">
        <f t="shared" si="36"/>
        <v>1w</v>
      </c>
      <c r="X1623" s="180">
        <f>_xll.qlCalendarAdvance(LiborCalendar,X1622,W1623,"f",FALSE)</f>
        <v>50326</v>
      </c>
      <c r="Y1623" s="174">
        <f>_xll.qlInterestRateIndexValueDate(IborIndex,X1623)</f>
        <v>50328</v>
      </c>
      <c r="Z1623" s="175">
        <v>2.2076678539553515E-2</v>
      </c>
      <c r="AA1623" s="177">
        <v>2.2356755664162398E-2</v>
      </c>
    </row>
    <row r="1624" spans="23:27" x14ac:dyDescent="0.2">
      <c r="W1624" s="173" t="str">
        <f t="shared" si="36"/>
        <v>1w</v>
      </c>
      <c r="X1624" s="180">
        <f>_xll.qlCalendarAdvance(LiborCalendar,X1623,W1624,"f",FALSE)</f>
        <v>50333</v>
      </c>
      <c r="Y1624" s="174">
        <f>_xll.qlInterestRateIndexValueDate(IborIndex,X1624)</f>
        <v>50335</v>
      </c>
      <c r="Z1624" s="175">
        <v>2.2069223876034508E-2</v>
      </c>
      <c r="AA1624" s="177">
        <v>2.234925497635265E-2</v>
      </c>
    </row>
    <row r="1625" spans="23:27" x14ac:dyDescent="0.2">
      <c r="W1625" s="173" t="str">
        <f t="shared" si="36"/>
        <v>1w</v>
      </c>
      <c r="X1625" s="180">
        <f>_xll.qlCalendarAdvance(LiborCalendar,X1624,W1625,"f",FALSE)</f>
        <v>50340</v>
      </c>
      <c r="Y1625" s="174">
        <f>_xll.qlInterestRateIndexValueDate(IborIndex,X1625)</f>
        <v>50342</v>
      </c>
      <c r="Z1625" s="175">
        <v>2.206191303853727E-2</v>
      </c>
      <c r="AA1625" s="177">
        <v>2.234175625658974E-2</v>
      </c>
    </row>
    <row r="1626" spans="23:27" x14ac:dyDescent="0.2">
      <c r="W1626" s="173" t="str">
        <f t="shared" si="36"/>
        <v>1w</v>
      </c>
      <c r="X1626" s="180">
        <f>_xll.qlCalendarAdvance(LiborCalendar,X1625,W1626,"f",FALSE)</f>
        <v>50347</v>
      </c>
      <c r="Y1626" s="174">
        <f>_xll.qlInterestRateIndexValueDate(IborIndex,X1626)</f>
        <v>50349</v>
      </c>
      <c r="Z1626" s="175">
        <v>2.2054320519576568E-2</v>
      </c>
      <c r="AA1626" s="177">
        <v>2.2334259504873666E-2</v>
      </c>
    </row>
    <row r="1627" spans="23:27" x14ac:dyDescent="0.2">
      <c r="W1627" s="173" t="str">
        <f t="shared" si="36"/>
        <v>1w</v>
      </c>
      <c r="X1627" s="180">
        <f>_xll.qlCalendarAdvance(LiborCalendar,X1626,W1627,"f",FALSE)</f>
        <v>50354</v>
      </c>
      <c r="Y1627" s="174">
        <f>_xll.qlInterestRateIndexValueDate(IborIndex,X1627)</f>
        <v>50356</v>
      </c>
      <c r="Z1627" s="175">
        <v>2.2046730590272672E-2</v>
      </c>
      <c r="AA1627" s="177">
        <v>2.2326764721042336E-2</v>
      </c>
    </row>
    <row r="1628" spans="23:27" x14ac:dyDescent="0.2">
      <c r="W1628" s="173" t="str">
        <f t="shared" si="36"/>
        <v>1w</v>
      </c>
      <c r="X1628" s="180">
        <f>_xll.qlCalendarAdvance(LiborCalendar,X1627,W1628,"f",FALSE)</f>
        <v>50361</v>
      </c>
      <c r="Y1628" s="174">
        <f>_xll.qlInterestRateIndexValueDate(IborIndex,X1628)</f>
        <v>50363</v>
      </c>
      <c r="Z1628" s="175">
        <v>2.2039284198726868E-2</v>
      </c>
      <c r="AA1628" s="177">
        <v>2.2319271905176796E-2</v>
      </c>
    </row>
    <row r="1629" spans="23:27" x14ac:dyDescent="0.2">
      <c r="W1629" s="173" t="str">
        <f t="shared" si="36"/>
        <v>1w</v>
      </c>
      <c r="X1629" s="180">
        <f>_xll.qlCalendarAdvance(LiborCalendar,X1628,W1629,"f",FALSE)</f>
        <v>50368</v>
      </c>
      <c r="Y1629" s="174">
        <f>_xll.qlInterestRateIndexValueDate(IborIndex,X1629)</f>
        <v>50370</v>
      </c>
      <c r="Z1629" s="175">
        <v>2.2031839797022286E-2</v>
      </c>
      <c r="AA1629" s="177">
        <v>2.231178105743914E-2</v>
      </c>
    </row>
    <row r="1630" spans="23:27" x14ac:dyDescent="0.2">
      <c r="W1630" s="173" t="str">
        <f t="shared" si="36"/>
        <v>1w</v>
      </c>
      <c r="X1630" s="180">
        <f>_xll.qlCalendarAdvance(LiborCalendar,X1629,W1630,"f",FALSE)</f>
        <v>50375</v>
      </c>
      <c r="Y1630" s="174">
        <f>_xll.qlInterestRateIndexValueDate(IborIndex,X1630)</f>
        <v>50377</v>
      </c>
      <c r="Z1630" s="175">
        <v>2.2024537688363016E-2</v>
      </c>
      <c r="AA1630" s="177">
        <v>2.2304292177748319E-2</v>
      </c>
    </row>
    <row r="1631" spans="23:27" x14ac:dyDescent="0.2">
      <c r="W1631" s="173" t="str">
        <f t="shared" si="36"/>
        <v>1w</v>
      </c>
      <c r="X1631" s="180">
        <f>_xll.qlCalendarAdvance(LiborCalendar,X1630,W1631,"f",FALSE)</f>
        <v>50382</v>
      </c>
      <c r="Y1631" s="174">
        <f>_xll.qlInterestRateIndexValueDate(IborIndex,X1631)</f>
        <v>50384</v>
      </c>
      <c r="Z1631" s="175">
        <v>2.2017096955786124E-2</v>
      </c>
      <c r="AA1631" s="177">
        <v>2.2296805265942243E-2</v>
      </c>
    </row>
    <row r="1632" spans="23:27" x14ac:dyDescent="0.2">
      <c r="W1632" s="173" t="str">
        <f t="shared" si="36"/>
        <v>1w</v>
      </c>
      <c r="X1632" s="180">
        <f>_xll.qlCalendarAdvance(LiborCalendar,X1631,W1632,"f",FALSE)</f>
        <v>50389</v>
      </c>
      <c r="Y1632" s="174">
        <f>_xll.qlInterestRateIndexValueDate(IborIndex,X1632)</f>
        <v>50391</v>
      </c>
      <c r="Z1632" s="175">
        <v>2.2009658213255599E-2</v>
      </c>
      <c r="AA1632" s="177">
        <v>2.2289320322183004E-2</v>
      </c>
    </row>
    <row r="1633" spans="23:27" x14ac:dyDescent="0.2">
      <c r="W1633" s="173" t="str">
        <f t="shared" si="36"/>
        <v>1w</v>
      </c>
      <c r="X1633" s="180">
        <f>_xll.qlCalendarAdvance(LiborCalendar,X1632,W1633,"f",FALSE)</f>
        <v>50396</v>
      </c>
      <c r="Y1633" s="174">
        <f>_xll.qlInterestRateIndexValueDate(IborIndex,X1633)</f>
        <v>50398</v>
      </c>
      <c r="Z1633" s="175">
        <v>2.2002221460749486E-2</v>
      </c>
      <c r="AA1633" s="177">
        <v>2.2282419838879797E-2</v>
      </c>
    </row>
    <row r="1634" spans="23:27" x14ac:dyDescent="0.2">
      <c r="W1634" s="173" t="str">
        <f t="shared" si="36"/>
        <v>1w</v>
      </c>
      <c r="X1634" s="180">
        <f>_xll.qlCalendarAdvance(LiborCalendar,X1633,W1634,"f",FALSE)</f>
        <v>50403</v>
      </c>
      <c r="Y1634" s="174">
        <f>_xll.qlInterestRateIndexValueDate(IborIndex,X1634)</f>
        <v>50409</v>
      </c>
      <c r="Z1634" s="175">
        <v>2.1990539155992073E-2</v>
      </c>
      <c r="AA1634" s="177">
        <v>2.227008236059369E-2</v>
      </c>
    </row>
    <row r="1635" spans="23:27" x14ac:dyDescent="0.2">
      <c r="W1635" s="173" t="str">
        <f t="shared" si="36"/>
        <v>1w</v>
      </c>
      <c r="X1635" s="180">
        <f>_xll.qlCalendarAdvance(LiborCalendar,X1634,W1635,"f",FALSE)</f>
        <v>50410</v>
      </c>
      <c r="Y1635" s="174">
        <f>_xll.qlInterestRateIndexValueDate(IborIndex,X1635)</f>
        <v>50412</v>
      </c>
      <c r="Z1635" s="175">
        <v>2.198721517222205E-2</v>
      </c>
      <c r="AA1635" s="177">
        <v>2.226687729886212E-2</v>
      </c>
    </row>
    <row r="1636" spans="23:27" x14ac:dyDescent="0.2">
      <c r="W1636" s="173" t="str">
        <f t="shared" si="36"/>
        <v>1w</v>
      </c>
      <c r="X1636" s="180">
        <f>_xll.qlCalendarAdvance(LiborCalendar,X1635,W1636,"f",FALSE)</f>
        <v>50417</v>
      </c>
      <c r="Y1636" s="174">
        <f>_xll.qlInterestRateIndexValueDate(IborIndex,X1636)</f>
        <v>50419</v>
      </c>
      <c r="Z1636" s="175">
        <v>2.1979784698789043E-2</v>
      </c>
      <c r="AA1636" s="177">
        <v>2.2259400227047088E-2</v>
      </c>
    </row>
    <row r="1637" spans="23:27" x14ac:dyDescent="0.2">
      <c r="W1637" s="173" t="str">
        <f t="shared" si="36"/>
        <v>1w</v>
      </c>
      <c r="X1637" s="180">
        <f>_xll.qlCalendarAdvance(LiborCalendar,X1636,W1637,"f",FALSE)</f>
        <v>50424</v>
      </c>
      <c r="Y1637" s="174">
        <f>_xll.qlInterestRateIndexValueDate(IborIndex,X1637)</f>
        <v>50426</v>
      </c>
      <c r="Z1637" s="175">
        <v>2.1972356215021922E-2</v>
      </c>
      <c r="AA1637" s="177">
        <v>2.2251925123278893E-2</v>
      </c>
    </row>
    <row r="1638" spans="23:27" x14ac:dyDescent="0.2">
      <c r="W1638" s="173" t="str">
        <f t="shared" si="36"/>
        <v>1w</v>
      </c>
      <c r="X1638" s="180">
        <f>_xll.qlCalendarAdvance(LiborCalendar,X1637,W1638,"f",FALSE)</f>
        <v>50431</v>
      </c>
      <c r="Y1638" s="174">
        <f>_xll.qlInterestRateIndexValueDate(IborIndex,X1638)</f>
        <v>50433</v>
      </c>
      <c r="Z1638" s="175">
        <v>2.1964929720898613E-2</v>
      </c>
      <c r="AA1638" s="177">
        <v>2.2244451987476488E-2</v>
      </c>
    </row>
    <row r="1639" spans="23:27" x14ac:dyDescent="0.2">
      <c r="W1639" s="173" t="str">
        <f t="shared" si="36"/>
        <v>1w</v>
      </c>
      <c r="X1639" s="180">
        <f>_xll.qlCalendarAdvance(LiborCalendar,X1638,W1639,"f",FALSE)</f>
        <v>50438</v>
      </c>
      <c r="Y1639" s="174">
        <f>_xll.qlInterestRateIndexValueDate(IborIndex,X1639)</f>
        <v>50440</v>
      </c>
      <c r="Z1639" s="175">
        <v>2.1957505216397031E-2</v>
      </c>
      <c r="AA1639" s="177">
        <v>2.2236980819639873E-2</v>
      </c>
    </row>
    <row r="1640" spans="23:27" x14ac:dyDescent="0.2">
      <c r="W1640" s="173" t="str">
        <f t="shared" si="36"/>
        <v>1w</v>
      </c>
      <c r="X1640" s="180">
        <f>_xll.qlCalendarAdvance(LiborCalendar,X1639,W1640,"f",FALSE)</f>
        <v>50445</v>
      </c>
      <c r="Y1640" s="174">
        <f>_xll.qlInterestRateIndexValueDate(IborIndex,X1640)</f>
        <v>50448</v>
      </c>
      <c r="Z1640" s="175">
        <v>2.19490225046397E-2</v>
      </c>
      <c r="AA1640" s="177">
        <v>2.2228731544102397E-2</v>
      </c>
    </row>
    <row r="1641" spans="23:27" x14ac:dyDescent="0.2">
      <c r="W1641" s="173" t="str">
        <f t="shared" si="36"/>
        <v>1w</v>
      </c>
      <c r="X1641" s="180">
        <f>_xll.qlCalendarAdvance(LiborCalendar,X1640,W1641,"f",FALSE)</f>
        <v>50452</v>
      </c>
      <c r="Y1641" s="174">
        <f>_xll.qlInterestRateIndexValueDate(IborIndex,X1641)</f>
        <v>50454</v>
      </c>
      <c r="Z1641" s="175">
        <v>2.1942662176173366E-2</v>
      </c>
      <c r="AA1641" s="177">
        <v>2.2222044388107154E-2</v>
      </c>
    </row>
    <row r="1642" spans="23:27" x14ac:dyDescent="0.2">
      <c r="W1642" s="173" t="str">
        <f t="shared" si="36"/>
        <v>1w</v>
      </c>
      <c r="X1642" s="180">
        <f>_xll.qlCalendarAdvance(LiborCalendar,X1641,W1642,"f",FALSE)</f>
        <v>50459</v>
      </c>
      <c r="Y1642" s="174">
        <f>_xll.qlInterestRateIndexValueDate(IborIndex,X1642)</f>
        <v>50461</v>
      </c>
      <c r="Z1642" s="175">
        <v>2.1935243640407123E-2</v>
      </c>
      <c r="AA1642" s="177">
        <v>2.2214579124248957E-2</v>
      </c>
    </row>
    <row r="1643" spans="23:27" x14ac:dyDescent="0.2">
      <c r="W1643" s="173" t="str">
        <f t="shared" si="36"/>
        <v>1w</v>
      </c>
      <c r="X1643" s="180">
        <f>_xll.qlCalendarAdvance(LiborCalendar,X1642,W1643,"f",FALSE)</f>
        <v>50466</v>
      </c>
      <c r="Y1643" s="174">
        <f>_xll.qlInterestRateIndexValueDate(IborIndex,X1643)</f>
        <v>50468</v>
      </c>
      <c r="Z1643" s="175">
        <v>2.192850829714783E-2</v>
      </c>
      <c r="AA1643" s="177">
        <v>2.2207115828437596E-2</v>
      </c>
    </row>
    <row r="1644" spans="23:27" x14ac:dyDescent="0.2">
      <c r="W1644" s="173" t="str">
        <f t="shared" si="36"/>
        <v>1w</v>
      </c>
      <c r="X1644" s="180">
        <f>_xll.qlCalendarAdvance(LiborCalendar,X1643,W1644,"f",FALSE)</f>
        <v>50473</v>
      </c>
      <c r="Y1644" s="174">
        <f>_xll.qlInterestRateIndexValueDate(IborIndex,X1644)</f>
        <v>50475</v>
      </c>
      <c r="Z1644" s="175">
        <v>2.1921092205705376E-2</v>
      </c>
      <c r="AA1644" s="177">
        <v>2.2199654500673072E-2</v>
      </c>
    </row>
    <row r="1645" spans="23:27" x14ac:dyDescent="0.2">
      <c r="W1645" s="173" t="str">
        <f t="shared" si="36"/>
        <v>1w</v>
      </c>
      <c r="X1645" s="180">
        <f>_xll.qlCalendarAdvance(LiborCalendar,X1644,W1645,"f",FALSE)</f>
        <v>50480</v>
      </c>
      <c r="Y1645" s="174">
        <f>_xll.qlInterestRateIndexValueDate(IborIndex,X1645)</f>
        <v>50482</v>
      </c>
      <c r="Z1645" s="175">
        <v>2.1913813660997577E-2</v>
      </c>
      <c r="AA1645" s="177">
        <v>2.2192195140874338E-2</v>
      </c>
    </row>
    <row r="1646" spans="23:27" x14ac:dyDescent="0.2">
      <c r="W1646" s="173" t="str">
        <f t="shared" si="36"/>
        <v>1w</v>
      </c>
      <c r="X1646" s="180">
        <f>_xll.qlCalendarAdvance(LiborCalendar,X1645,W1646,"f",FALSE)</f>
        <v>50487</v>
      </c>
      <c r="Y1646" s="174">
        <f>_xll.qlInterestRateIndexValueDate(IborIndex,X1646)</f>
        <v>50489</v>
      </c>
      <c r="Z1646" s="175">
        <v>2.1906265995320386E-2</v>
      </c>
      <c r="AA1646" s="177">
        <v>2.2184737749041394E-2</v>
      </c>
    </row>
    <row r="1647" spans="23:27" x14ac:dyDescent="0.2">
      <c r="W1647" s="173" t="str">
        <f t="shared" si="36"/>
        <v>1w</v>
      </c>
      <c r="X1647" s="180">
        <f>_xll.qlCalendarAdvance(LiborCalendar,X1646,W1647,"f",FALSE)</f>
        <v>50494</v>
      </c>
      <c r="Y1647" s="174">
        <f>_xll.qlInterestRateIndexValueDate(IborIndex,X1647)</f>
        <v>50496</v>
      </c>
      <c r="Z1647" s="175">
        <v>2.1898450904042462E-2</v>
      </c>
      <c r="AA1647" s="177">
        <v>2.2177282325255288E-2</v>
      </c>
    </row>
    <row r="1648" spans="23:27" x14ac:dyDescent="0.2">
      <c r="W1648" s="173" t="str">
        <f t="shared" si="36"/>
        <v>1w</v>
      </c>
      <c r="X1648" s="180">
        <f>_xll.qlCalendarAdvance(LiborCalendar,X1647,W1648,"f",FALSE)</f>
        <v>50501</v>
      </c>
      <c r="Y1648" s="174">
        <f>_xll.qlInterestRateIndexValueDate(IborIndex,X1648)</f>
        <v>50503</v>
      </c>
      <c r="Z1648" s="175">
        <v>2.189104369339084E-2</v>
      </c>
      <c r="AA1648" s="177">
        <v>2.2169828869434971E-2</v>
      </c>
    </row>
    <row r="1649" spans="23:27" x14ac:dyDescent="0.2">
      <c r="W1649" s="173" t="str">
        <f t="shared" si="36"/>
        <v>1w</v>
      </c>
      <c r="X1649" s="180">
        <f>_xll.qlCalendarAdvance(LiborCalendar,X1648,W1649,"f",FALSE)</f>
        <v>50508</v>
      </c>
      <c r="Y1649" s="174">
        <f>_xll.qlInterestRateIndexValueDate(IborIndex,X1649)</f>
        <v>50510</v>
      </c>
      <c r="Z1649" s="175">
        <v>2.188363847268273E-2</v>
      </c>
      <c r="AA1649" s="177">
        <v>2.2162377381661491E-2</v>
      </c>
    </row>
    <row r="1650" spans="23:27" x14ac:dyDescent="0.2">
      <c r="W1650" s="173" t="str">
        <f t="shared" si="36"/>
        <v>1w</v>
      </c>
      <c r="X1650" s="180">
        <f>_xll.qlCalendarAdvance(LiborCalendar,X1649,W1650,"f",FALSE)</f>
        <v>50515</v>
      </c>
      <c r="Y1650" s="174">
        <f>_xll.qlInterestRateIndexValueDate(IborIndex,X1650)</f>
        <v>50517</v>
      </c>
      <c r="Z1650" s="175">
        <v>2.1876235241894981E-2</v>
      </c>
      <c r="AA1650" s="177">
        <v>2.2155489014517915E-2</v>
      </c>
    </row>
    <row r="1651" spans="23:27" x14ac:dyDescent="0.2">
      <c r="W1651" s="173" t="str">
        <f t="shared" si="36"/>
        <v>1w</v>
      </c>
      <c r="X1651" s="180">
        <f>_xll.qlCalendarAdvance(LiborCalendar,X1650,W1651,"f",FALSE)</f>
        <v>50522</v>
      </c>
      <c r="Y1651" s="174">
        <f>_xll.qlInterestRateIndexValueDate(IborIndex,X1651)</f>
        <v>50525</v>
      </c>
      <c r="Z1651" s="175">
        <v>2.1867643070664831E-2</v>
      </c>
      <c r="AA1651" s="177">
        <v>2.2146836367648026E-2</v>
      </c>
    </row>
    <row r="1652" spans="23:27" x14ac:dyDescent="0.2">
      <c r="W1652" s="173" t="str">
        <f t="shared" si="36"/>
        <v>1w</v>
      </c>
      <c r="X1652" s="180">
        <f>_xll.qlCalendarAdvance(LiborCalendar,X1651,W1652,"f",FALSE)</f>
        <v>50529</v>
      </c>
      <c r="Y1652" s="174">
        <f>_xll.qlInterestRateIndexValueDate(IborIndex,X1652)</f>
        <v>50531</v>
      </c>
      <c r="Z1652" s="175">
        <v>2.1861835142552681E-2</v>
      </c>
      <c r="AA1652" s="177">
        <v>2.2140034726135793E-2</v>
      </c>
    </row>
    <row r="1653" spans="23:27" x14ac:dyDescent="0.2">
      <c r="W1653" s="173" t="str">
        <f t="shared" si="36"/>
        <v>1w</v>
      </c>
      <c r="X1653" s="180">
        <f>_xll.qlCalendarAdvance(LiborCalendar,X1652,W1653,"f",FALSE)</f>
        <v>50536</v>
      </c>
      <c r="Y1653" s="174">
        <f>_xll.qlInterestRateIndexValueDate(IborIndex,X1653)</f>
        <v>50538</v>
      </c>
      <c r="Z1653" s="175">
        <v>2.1854436967871638E-2</v>
      </c>
      <c r="AA1653" s="177">
        <v>2.2132591110306521E-2</v>
      </c>
    </row>
    <row r="1654" spans="23:27" x14ac:dyDescent="0.2">
      <c r="W1654" s="173" t="str">
        <f t="shared" si="36"/>
        <v>1w</v>
      </c>
      <c r="X1654" s="180">
        <f>_xll.qlCalendarAdvance(LiborCalendar,X1653,W1654,"f",FALSE)</f>
        <v>50543</v>
      </c>
      <c r="Y1654" s="174">
        <f>_xll.qlInterestRateIndexValueDate(IborIndex,X1654)</f>
        <v>50545</v>
      </c>
      <c r="Z1654" s="175">
        <v>2.1847040783829645E-2</v>
      </c>
      <c r="AA1654" s="177">
        <v>2.2125149462443039E-2</v>
      </c>
    </row>
    <row r="1655" spans="23:27" x14ac:dyDescent="0.2">
      <c r="W1655" s="173" t="str">
        <f t="shared" si="36"/>
        <v>1w</v>
      </c>
      <c r="X1655" s="180">
        <f>_xll.qlCalendarAdvance(LiborCalendar,X1654,W1655,"f",FALSE)</f>
        <v>50550</v>
      </c>
      <c r="Y1655" s="174">
        <f>_xll.qlInterestRateIndexValueDate(IborIndex,X1655)</f>
        <v>50552</v>
      </c>
      <c r="Z1655" s="175">
        <v>2.1839646590404355E-2</v>
      </c>
      <c r="AA1655" s="177">
        <v>2.2117709782545347E-2</v>
      </c>
    </row>
    <row r="1656" spans="23:27" x14ac:dyDescent="0.2">
      <c r="W1656" s="173" t="str">
        <f t="shared" si="36"/>
        <v>1w</v>
      </c>
      <c r="X1656" s="180">
        <f>_xll.qlCalendarAdvance(LiborCalendar,X1655,W1656,"f",FALSE)</f>
        <v>50557</v>
      </c>
      <c r="Y1656" s="174">
        <f>_xll.qlInterestRateIndexValueDate(IborIndex,X1656)</f>
        <v>50559</v>
      </c>
      <c r="Z1656" s="175">
        <v>2.1831857644274276E-2</v>
      </c>
      <c r="AA1656" s="177">
        <v>2.2110272070775538E-2</v>
      </c>
    </row>
    <row r="1657" spans="23:27" x14ac:dyDescent="0.2">
      <c r="W1657" s="173" t="str">
        <f t="shared" si="36"/>
        <v>1w</v>
      </c>
      <c r="X1657" s="180">
        <f>_xll.qlCalendarAdvance(LiborCalendar,X1656,W1657,"f",FALSE)</f>
        <v>50564</v>
      </c>
      <c r="Y1657" s="174">
        <f>_xll.qlInterestRateIndexValueDate(IborIndex,X1657)</f>
        <v>50566</v>
      </c>
      <c r="Z1657" s="175">
        <v>2.182446834231664E-2</v>
      </c>
      <c r="AA1657" s="177">
        <v>2.2102836326890474E-2</v>
      </c>
    </row>
    <row r="1658" spans="23:27" x14ac:dyDescent="0.2">
      <c r="W1658" s="173" t="str">
        <f t="shared" si="36"/>
        <v>1w</v>
      </c>
      <c r="X1658" s="180">
        <f>_xll.qlCalendarAdvance(LiborCalendar,X1657,W1658,"f",FALSE)</f>
        <v>50571</v>
      </c>
      <c r="Y1658" s="174">
        <f>_xll.qlInterestRateIndexValueDate(IborIndex,X1658)</f>
        <v>50573</v>
      </c>
      <c r="Z1658" s="175">
        <v>2.1817081030103325E-2</v>
      </c>
      <c r="AA1658" s="177">
        <v>2.2095402551052246E-2</v>
      </c>
    </row>
    <row r="1659" spans="23:27" x14ac:dyDescent="0.2">
      <c r="W1659" s="173" t="str">
        <f t="shared" si="36"/>
        <v>1w</v>
      </c>
      <c r="X1659" s="180">
        <f>_xll.qlCalendarAdvance(LiborCalendar,X1658,W1659,"f",FALSE)</f>
        <v>50578</v>
      </c>
      <c r="Y1659" s="174">
        <f>_xll.qlInterestRateIndexValueDate(IborIndex,X1659)</f>
        <v>50580</v>
      </c>
      <c r="Z1659" s="175">
        <v>2.1809695707612934E-2</v>
      </c>
      <c r="AA1659" s="177">
        <v>2.2087970743179808E-2</v>
      </c>
    </row>
    <row r="1660" spans="23:27" x14ac:dyDescent="0.2">
      <c r="W1660" s="173" t="str">
        <f t="shared" si="36"/>
        <v>1w</v>
      </c>
      <c r="X1660" s="180">
        <f>_xll.qlCalendarAdvance(LiborCalendar,X1659,W1660,"f",FALSE)</f>
        <v>50585</v>
      </c>
      <c r="Y1660" s="174">
        <f>_xll.qlInterestRateIndexValueDate(IborIndex,X1660)</f>
        <v>50587</v>
      </c>
      <c r="Z1660" s="175">
        <v>2.1802836470352329E-2</v>
      </c>
      <c r="AA1660" s="177">
        <v>2.2080540903354207E-2</v>
      </c>
    </row>
    <row r="1661" spans="23:27" x14ac:dyDescent="0.2">
      <c r="W1661" s="173" t="str">
        <f t="shared" si="36"/>
        <v>1w</v>
      </c>
      <c r="X1661" s="180">
        <f>_xll.qlCalendarAdvance(LiborCalendar,X1660,W1661,"f",FALSE)</f>
        <v>50592</v>
      </c>
      <c r="Y1661" s="174">
        <f>_xll.qlInterestRateIndexValueDate(IborIndex,X1661)</f>
        <v>50594</v>
      </c>
      <c r="Z1661" s="175">
        <v>2.1795453917822387E-2</v>
      </c>
      <c r="AA1661" s="177">
        <v>2.2073113031413349E-2</v>
      </c>
    </row>
    <row r="1662" spans="23:27" x14ac:dyDescent="0.2">
      <c r="W1662" s="173" t="str">
        <f t="shared" si="36"/>
        <v>1w</v>
      </c>
      <c r="X1662" s="180">
        <f>_xll.qlCalendarAdvance(LiborCalendar,X1661,W1662,"f",FALSE)</f>
        <v>50599</v>
      </c>
      <c r="Y1662" s="174">
        <f>_xll.qlInterestRateIndexValueDate(IborIndex,X1662)</f>
        <v>50601</v>
      </c>
      <c r="Z1662" s="175">
        <v>2.1787942971827279E-2</v>
      </c>
      <c r="AA1662" s="177">
        <v>2.2065687127600375E-2</v>
      </c>
    </row>
    <row r="1663" spans="23:27" x14ac:dyDescent="0.2">
      <c r="W1663" s="173" t="str">
        <f t="shared" si="36"/>
        <v>1w</v>
      </c>
      <c r="X1663" s="180">
        <f>_xll.qlCalendarAdvance(LiborCalendar,X1662,W1663,"f",FALSE)</f>
        <v>50606</v>
      </c>
      <c r="Y1663" s="174">
        <f>_xll.qlInterestRateIndexValueDate(IborIndex,X1663)</f>
        <v>50608</v>
      </c>
      <c r="Z1663" s="175">
        <v>2.1780564702534113E-2</v>
      </c>
      <c r="AA1663" s="177">
        <v>2.2058263191753191E-2</v>
      </c>
    </row>
    <row r="1664" spans="23:27" x14ac:dyDescent="0.2">
      <c r="W1664" s="173" t="str">
        <f t="shared" si="36"/>
        <v>1w</v>
      </c>
      <c r="X1664" s="180">
        <f>_xll.qlCalendarAdvance(LiborCalendar,X1663,W1664,"f",FALSE)</f>
        <v>50613</v>
      </c>
      <c r="Y1664" s="174">
        <f>_xll.qlInterestRateIndexValueDate(IborIndex,X1664)</f>
        <v>50615</v>
      </c>
      <c r="Z1664" s="175">
        <v>2.1773188423656518E-2</v>
      </c>
      <c r="AA1664" s="177">
        <v>2.2050841223790751E-2</v>
      </c>
    </row>
    <row r="1665" spans="23:27" x14ac:dyDescent="0.2">
      <c r="W1665" s="173" t="str">
        <f t="shared" si="36"/>
        <v>1w</v>
      </c>
      <c r="X1665" s="180">
        <f>_xll.qlCalendarAdvance(LiborCalendar,X1664,W1665,"f",FALSE)</f>
        <v>50620</v>
      </c>
      <c r="Y1665" s="174">
        <f>_xll.qlInterestRateIndexValueDate(IborIndex,X1665)</f>
        <v>50622</v>
      </c>
      <c r="Z1665" s="175">
        <v>2.176581413517301E-2</v>
      </c>
      <c r="AA1665" s="177">
        <v>2.2043421223956194E-2</v>
      </c>
    </row>
    <row r="1666" spans="23:27" x14ac:dyDescent="0.2">
      <c r="W1666" s="173" t="str">
        <f t="shared" si="36"/>
        <v>1w</v>
      </c>
      <c r="X1666" s="180">
        <f>_xll.qlCalendarAdvance(LiborCalendar,X1665,W1666,"f",FALSE)</f>
        <v>50627</v>
      </c>
      <c r="Y1666" s="174">
        <f>_xll.qlInterestRateIndexValueDate(IborIndex,X1666)</f>
        <v>50629</v>
      </c>
      <c r="Z1666" s="175">
        <v>2.1758441837060809E-2</v>
      </c>
      <c r="AA1666" s="177">
        <v>2.2036003192006381E-2</v>
      </c>
    </row>
    <row r="1667" spans="23:27" x14ac:dyDescent="0.2">
      <c r="W1667" s="173" t="str">
        <f t="shared" si="36"/>
        <v>1w</v>
      </c>
      <c r="X1667" s="180">
        <f>_xll.qlCalendarAdvance(LiborCalendar,X1666,W1667,"f",FALSE)</f>
        <v>50634</v>
      </c>
      <c r="Y1667" s="174">
        <f>_xll.qlInterestRateIndexValueDate(IborIndex,X1667)</f>
        <v>50636</v>
      </c>
      <c r="Z1667" s="175">
        <v>2.1751071529298428E-2</v>
      </c>
      <c r="AA1667" s="177">
        <v>2.2028587128184451E-2</v>
      </c>
    </row>
    <row r="1668" spans="23:27" x14ac:dyDescent="0.2">
      <c r="W1668" s="173" t="str">
        <f t="shared" si="36"/>
        <v>1w</v>
      </c>
      <c r="X1668" s="180">
        <f>_xll.qlCalendarAdvance(LiborCalendar,X1667,W1668,"f",FALSE)</f>
        <v>50641</v>
      </c>
      <c r="Y1668" s="174">
        <f>_xll.qlInterestRateIndexValueDate(IborIndex,X1668)</f>
        <v>50643</v>
      </c>
      <c r="Z1668" s="175">
        <v>2.1743703211862232E-2</v>
      </c>
      <c r="AA1668" s="177">
        <v>2.2021173032166219E-2</v>
      </c>
    </row>
    <row r="1669" spans="23:27" x14ac:dyDescent="0.2">
      <c r="W1669" s="173" t="str">
        <f t="shared" si="36"/>
        <v>1w</v>
      </c>
      <c r="X1669" s="180">
        <f>_xll.qlCalendarAdvance(LiborCalendar,X1668,W1669,"f",FALSE)</f>
        <v>50648</v>
      </c>
      <c r="Y1669" s="174">
        <f>_xll.qlInterestRateIndexValueDate(IborIndex,X1669)</f>
        <v>50650</v>
      </c>
      <c r="Z1669" s="175">
        <v>2.1735695147494325E-2</v>
      </c>
      <c r="AA1669" s="177">
        <v>2.201376090427587E-2</v>
      </c>
    </row>
    <row r="1670" spans="23:27" x14ac:dyDescent="0.2">
      <c r="W1670" s="173" t="str">
        <f t="shared" si="36"/>
        <v>1w</v>
      </c>
      <c r="X1670" s="180">
        <f>_xll.qlCalendarAdvance(LiborCalendar,X1669,W1670,"f",FALSE)</f>
        <v>50655</v>
      </c>
      <c r="Y1670" s="174">
        <f>_xll.qlInterestRateIndexValueDate(IborIndex,X1670)</f>
        <v>50657</v>
      </c>
      <c r="Z1670" s="175">
        <v>2.1728332310473587E-2</v>
      </c>
      <c r="AA1670" s="177">
        <v>2.2006350744351311E-2</v>
      </c>
    </row>
    <row r="1671" spans="23:27" x14ac:dyDescent="0.2">
      <c r="W1671" s="173" t="str">
        <f t="shared" si="36"/>
        <v>1w</v>
      </c>
      <c r="X1671" s="180">
        <f>_xll.qlCalendarAdvance(LiborCalendar,X1670,W1671,"f",FALSE)</f>
        <v>50662</v>
      </c>
      <c r="Y1671" s="174">
        <f>_xll.qlInterestRateIndexValueDate(IborIndex,X1671)</f>
        <v>50664</v>
      </c>
      <c r="Z1671" s="175">
        <v>2.1720971462379442E-2</v>
      </c>
      <c r="AA1671" s="177">
        <v>2.1998942552473588E-2</v>
      </c>
    </row>
    <row r="1672" spans="23:27" x14ac:dyDescent="0.2">
      <c r="W1672" s="173" t="str">
        <f t="shared" si="36"/>
        <v>1w</v>
      </c>
      <c r="X1672" s="180">
        <f>_xll.qlCalendarAdvance(LiborCalendar,X1671,W1672,"f",FALSE)</f>
        <v>50669</v>
      </c>
      <c r="Y1672" s="174">
        <f>_xll.qlInterestRateIndexValueDate(IborIndex,X1672)</f>
        <v>50672</v>
      </c>
      <c r="Z1672" s="175">
        <v>2.1712561499949563E-2</v>
      </c>
      <c r="AA1672" s="177">
        <v>2.1990745418412064E-2</v>
      </c>
    </row>
    <row r="1673" spans="23:27" x14ac:dyDescent="0.2">
      <c r="W1673" s="173" t="str">
        <f t="shared" si="36"/>
        <v>1w</v>
      </c>
      <c r="X1673" s="180">
        <f>_xll.qlCalendarAdvance(LiborCalendar,X1672,W1673,"f",FALSE)</f>
        <v>50676</v>
      </c>
      <c r="Y1673" s="174">
        <f>_xll.qlInterestRateIndexValueDate(IborIndex,X1673)</f>
        <v>50678</v>
      </c>
      <c r="Z1673" s="175">
        <v>2.170638292880734E-2</v>
      </c>
      <c r="AA1673" s="177">
        <v>2.1984132072615514E-2</v>
      </c>
    </row>
    <row r="1674" spans="23:27" x14ac:dyDescent="0.2">
      <c r="W1674" s="173" t="str">
        <f t="shared" si="36"/>
        <v>1w</v>
      </c>
      <c r="X1674" s="180">
        <f>_xll.qlCalendarAdvance(LiborCalendar,X1673,W1674,"f",FALSE)</f>
        <v>50683</v>
      </c>
      <c r="Y1674" s="174">
        <f>_xll.qlInterestRateIndexValueDate(IborIndex,X1674)</f>
        <v>50685</v>
      </c>
      <c r="Z1674" s="175">
        <v>2.1699027748439719E-2</v>
      </c>
      <c r="AA1674" s="177">
        <v>2.1976729784635163E-2</v>
      </c>
    </row>
    <row r="1675" spans="23:27" x14ac:dyDescent="0.2">
      <c r="W1675" s="173" t="str">
        <f t="shared" si="36"/>
        <v>1w</v>
      </c>
      <c r="X1675" s="180">
        <f>_xll.qlCalendarAdvance(LiborCalendar,X1674,W1675,"f",FALSE)</f>
        <v>50690</v>
      </c>
      <c r="Y1675" s="174">
        <f>_xll.qlInterestRateIndexValueDate(IborIndex,X1675)</f>
        <v>50692</v>
      </c>
      <c r="Z1675" s="175">
        <v>2.1691674557176802E-2</v>
      </c>
      <c r="AA1675" s="177">
        <v>2.1969329464620602E-2</v>
      </c>
    </row>
    <row r="1676" spans="23:27" x14ac:dyDescent="0.2">
      <c r="W1676" s="173" t="str">
        <f t="shared" si="36"/>
        <v>1w</v>
      </c>
      <c r="X1676" s="180">
        <f>_xll.qlCalendarAdvance(LiborCalendar,X1675,W1676,"f",FALSE)</f>
        <v>50697</v>
      </c>
      <c r="Y1676" s="174">
        <f>_xll.qlInterestRateIndexValueDate(IborIndex,X1676)</f>
        <v>50699</v>
      </c>
      <c r="Z1676" s="175">
        <v>2.1684323354999268E-2</v>
      </c>
      <c r="AA1676" s="177">
        <v>2.1961931112733923E-2</v>
      </c>
    </row>
    <row r="1677" spans="23:27" x14ac:dyDescent="0.2">
      <c r="W1677" s="173" t="str">
        <f t="shared" si="36"/>
        <v>1w</v>
      </c>
      <c r="X1677" s="180">
        <f>_xll.qlCalendarAdvance(LiborCalendar,X1676,W1677,"f",FALSE)</f>
        <v>50704</v>
      </c>
      <c r="Y1677" s="174">
        <f>_xll.qlInterestRateIndexValueDate(IborIndex,X1677)</f>
        <v>50706</v>
      </c>
      <c r="Z1677" s="175">
        <v>2.1676974141883396E-2</v>
      </c>
      <c r="AA1677" s="177">
        <v>2.1954534728731989E-2</v>
      </c>
    </row>
    <row r="1678" spans="23:27" x14ac:dyDescent="0.2">
      <c r="W1678" s="173" t="str">
        <f t="shared" si="36"/>
        <v>1w</v>
      </c>
      <c r="X1678" s="180">
        <f>_xll.qlCalendarAdvance(LiborCalendar,X1677,W1678,"f",FALSE)</f>
        <v>50711</v>
      </c>
      <c r="Y1678" s="174">
        <f>_xll.qlInterestRateIndexValueDate(IborIndex,X1678)</f>
        <v>50713</v>
      </c>
      <c r="Z1678" s="175">
        <v>2.166975259847051E-2</v>
      </c>
      <c r="AA1678" s="177">
        <v>2.1947140312776892E-2</v>
      </c>
    </row>
    <row r="1679" spans="23:27" x14ac:dyDescent="0.2">
      <c r="W1679" s="173" t="str">
        <f t="shared" si="36"/>
        <v>1w</v>
      </c>
      <c r="X1679" s="180">
        <f>_xll.qlCalendarAdvance(LiborCalendar,X1678,W1679,"f",FALSE)</f>
        <v>50718</v>
      </c>
      <c r="Y1679" s="174">
        <f>_xll.qlInterestRateIndexValueDate(IborIndex,X1679)</f>
        <v>50720</v>
      </c>
      <c r="Z1679" s="175">
        <v>2.1662156276371337E-2</v>
      </c>
      <c r="AA1679" s="177">
        <v>2.1939747864787584E-2</v>
      </c>
    </row>
    <row r="1680" spans="23:27" x14ac:dyDescent="0.2">
      <c r="W1680" s="173" t="str">
        <f t="shared" si="36"/>
        <v>1w</v>
      </c>
      <c r="X1680" s="180">
        <f>_xll.qlCalendarAdvance(LiborCalendar,X1679,W1680,"f",FALSE)</f>
        <v>50725</v>
      </c>
      <c r="Y1680" s="174">
        <f>_xll.qlInterestRateIndexValueDate(IborIndex,X1680)</f>
        <v>50727</v>
      </c>
      <c r="Z1680" s="175">
        <v>2.1654813327639626E-2</v>
      </c>
      <c r="AA1680" s="177">
        <v>2.1932357384845114E-2</v>
      </c>
    </row>
    <row r="1681" spans="23:27" x14ac:dyDescent="0.2">
      <c r="W1681" s="173" t="str">
        <f t="shared" si="36"/>
        <v>1w</v>
      </c>
      <c r="X1681" s="180">
        <f>_xll.qlCalendarAdvance(LiborCalendar,X1680,W1681,"f",FALSE)</f>
        <v>50732</v>
      </c>
      <c r="Y1681" s="174">
        <f>_xll.qlInterestRateIndexValueDate(IborIndex,X1681)</f>
        <v>50734</v>
      </c>
      <c r="Z1681" s="175">
        <v>2.1647472367617222E-2</v>
      </c>
      <c r="AA1681" s="177">
        <v>2.1924968872787387E-2</v>
      </c>
    </row>
    <row r="1682" spans="23:27" x14ac:dyDescent="0.2">
      <c r="W1682" s="173" t="str">
        <f t="shared" si="36"/>
        <v>1w</v>
      </c>
      <c r="X1682" s="180">
        <f>_xll.qlCalendarAdvance(LiborCalendar,X1681,W1682,"f",FALSE)</f>
        <v>50739</v>
      </c>
      <c r="Y1682" s="174">
        <f>_xll.qlInterestRateIndexValueDate(IborIndex,X1682)</f>
        <v>50741</v>
      </c>
      <c r="Z1682" s="175">
        <v>2.1640257911481438E-2</v>
      </c>
      <c r="AA1682" s="177">
        <v>2.1917582328857543E-2</v>
      </c>
    </row>
    <row r="1683" spans="23:27" x14ac:dyDescent="0.2">
      <c r="W1683" s="173" t="str">
        <f t="shared" si="36"/>
        <v>1w</v>
      </c>
      <c r="X1683" s="180">
        <f>_xll.qlCalendarAdvance(LiborCalendar,X1682,W1683,"f",FALSE)</f>
        <v>50746</v>
      </c>
      <c r="Y1683" s="174">
        <f>_xll.qlInterestRateIndexValueDate(IborIndex,X1683)</f>
        <v>50748</v>
      </c>
      <c r="Z1683" s="175">
        <v>2.1632920632284475E-2</v>
      </c>
      <c r="AA1683" s="177">
        <v>2.1910197752812444E-2</v>
      </c>
    </row>
    <row r="1684" spans="23:27" x14ac:dyDescent="0.2">
      <c r="W1684" s="173" t="str">
        <f t="shared" si="36"/>
        <v>1w</v>
      </c>
      <c r="X1684" s="180">
        <f>_xll.qlCalendarAdvance(LiborCalendar,X1683,W1684,"f",FALSE)</f>
        <v>50753</v>
      </c>
      <c r="Y1684" s="174">
        <f>_xll.qlInterestRateIndexValueDate(IborIndex,X1684)</f>
        <v>50755</v>
      </c>
      <c r="Z1684" s="175">
        <v>2.1625585341997645E-2</v>
      </c>
      <c r="AA1684" s="177">
        <v>2.1902815144814181E-2</v>
      </c>
    </row>
    <row r="1685" spans="23:27" x14ac:dyDescent="0.2">
      <c r="W1685" s="173" t="str">
        <f t="shared" ref="W1685:W1748" si="37">W1684</f>
        <v>1w</v>
      </c>
      <c r="X1685" s="180">
        <f>_xll.qlCalendarAdvance(LiborCalendar,X1684,W1685,"f",FALSE)</f>
        <v>50760</v>
      </c>
      <c r="Y1685" s="174">
        <f>_xll.qlInterestRateIndexValueDate(IborIndex,X1685)</f>
        <v>50763</v>
      </c>
      <c r="Z1685" s="175">
        <v>2.1617204588471758E-2</v>
      </c>
      <c r="AA1685" s="177">
        <v>2.1894898319105183E-2</v>
      </c>
    </row>
    <row r="1686" spans="23:27" x14ac:dyDescent="0.2">
      <c r="W1686" s="173" t="str">
        <f t="shared" si="37"/>
        <v>1w</v>
      </c>
      <c r="X1686" s="180">
        <f>_xll.qlCalendarAdvance(LiborCalendar,X1685,W1686,"f",FALSE)</f>
        <v>50768</v>
      </c>
      <c r="Y1686" s="174">
        <f>_xll.qlInterestRateIndexValueDate(IborIndex,X1686)</f>
        <v>50774</v>
      </c>
      <c r="Z1686" s="175">
        <v>2.1605562174334118E-2</v>
      </c>
      <c r="AA1686" s="177">
        <v>2.188278655770981E-2</v>
      </c>
    </row>
    <row r="1687" spans="23:27" x14ac:dyDescent="0.2">
      <c r="W1687" s="173" t="str">
        <f t="shared" si="37"/>
        <v>1w</v>
      </c>
      <c r="X1687" s="180">
        <f>_xll.qlCalendarAdvance(LiborCalendar,X1686,W1687,"f",FALSE)</f>
        <v>50775</v>
      </c>
      <c r="Y1687" s="174">
        <f>_xll.qlInterestRateIndexValueDate(IborIndex,X1687)</f>
        <v>50777</v>
      </c>
      <c r="Z1687" s="175">
        <v>2.1602421527488324E-2</v>
      </c>
      <c r="AA1687" s="177">
        <v>2.187988332994199E-2</v>
      </c>
    </row>
    <row r="1688" spans="23:27" x14ac:dyDescent="0.2">
      <c r="W1688" s="173" t="str">
        <f t="shared" si="37"/>
        <v>1w</v>
      </c>
      <c r="X1688" s="180">
        <f>_xll.qlCalendarAdvance(LiborCalendar,X1687,W1688,"f",FALSE)</f>
        <v>50782</v>
      </c>
      <c r="Y1688" s="174">
        <f>_xll.qlInterestRateIndexValueDate(IborIndex,X1688)</f>
        <v>50784</v>
      </c>
      <c r="Z1688" s="175">
        <v>2.1595094771910833E-2</v>
      </c>
      <c r="AA1688" s="177">
        <v>2.1872508272296292E-2</v>
      </c>
    </row>
    <row r="1689" spans="23:27" x14ac:dyDescent="0.2">
      <c r="W1689" s="173" t="str">
        <f t="shared" si="37"/>
        <v>1w</v>
      </c>
      <c r="X1689" s="180">
        <f>_xll.qlCalendarAdvance(LiborCalendar,X1688,W1689,"f",FALSE)</f>
        <v>50789</v>
      </c>
      <c r="Y1689" s="174">
        <f>_xll.qlInterestRateIndexValueDate(IborIndex,X1689)</f>
        <v>50791</v>
      </c>
      <c r="Z1689" s="175">
        <v>2.158777000486688E-2</v>
      </c>
      <c r="AA1689" s="177">
        <v>2.1865135183129679E-2</v>
      </c>
    </row>
    <row r="1690" spans="23:27" x14ac:dyDescent="0.2">
      <c r="W1690" s="173" t="str">
        <f t="shared" si="37"/>
        <v>1w</v>
      </c>
      <c r="X1690" s="180">
        <f>_xll.qlCalendarAdvance(LiborCalendar,X1689,W1690,"f",FALSE)</f>
        <v>50796</v>
      </c>
      <c r="Y1690" s="174">
        <f>_xll.qlInterestRateIndexValueDate(IborIndex,X1690)</f>
        <v>50798</v>
      </c>
      <c r="Z1690" s="175">
        <v>2.158044722633615E-2</v>
      </c>
      <c r="AA1690" s="177">
        <v>2.185776406249618E-2</v>
      </c>
    </row>
    <row r="1691" spans="23:27" x14ac:dyDescent="0.2">
      <c r="W1691" s="173" t="str">
        <f t="shared" si="37"/>
        <v>1w</v>
      </c>
      <c r="X1691" s="180">
        <f>_xll.qlCalendarAdvance(LiborCalendar,X1690,W1691,"f",FALSE)</f>
        <v>50803</v>
      </c>
      <c r="Y1691" s="174">
        <f>_xll.qlInterestRateIndexValueDate(IborIndex,X1691)</f>
        <v>50805</v>
      </c>
      <c r="Z1691" s="175">
        <v>2.1573126436297E-2</v>
      </c>
      <c r="AA1691" s="177">
        <v>2.1850394910368779E-2</v>
      </c>
    </row>
    <row r="1692" spans="23:27" x14ac:dyDescent="0.2">
      <c r="W1692" s="173" t="str">
        <f t="shared" si="37"/>
        <v>1w</v>
      </c>
      <c r="X1692" s="180">
        <f>_xll.qlCalendarAdvance(LiborCalendar,X1691,W1692,"f",FALSE)</f>
        <v>50810</v>
      </c>
      <c r="Y1692" s="174">
        <f>_xll.qlInterestRateIndexValueDate(IborIndex,X1692)</f>
        <v>50815</v>
      </c>
      <c r="Z1692" s="175">
        <v>2.1562793008040579E-2</v>
      </c>
      <c r="AA1692" s="177">
        <v>2.1839616375350923E-2</v>
      </c>
    </row>
    <row r="1693" spans="23:27" x14ac:dyDescent="0.2">
      <c r="W1693" s="173" t="str">
        <f t="shared" si="37"/>
        <v>1w</v>
      </c>
      <c r="X1693" s="180">
        <f>_xll.qlCalendarAdvance(LiborCalendar,X1692,W1693,"f",FALSE)</f>
        <v>50817</v>
      </c>
      <c r="Y1693" s="174">
        <f>_xll.qlInterestRateIndexValueDate(IborIndex,X1693)</f>
        <v>50819</v>
      </c>
      <c r="Z1693" s="175">
        <v>2.1558490821605998E-2</v>
      </c>
      <c r="AA1693" s="177">
        <v>2.1835662511767349E-2</v>
      </c>
    </row>
    <row r="1694" spans="23:27" x14ac:dyDescent="0.2">
      <c r="W1694" s="173" t="str">
        <f t="shared" si="37"/>
        <v>1w</v>
      </c>
      <c r="X1694" s="180">
        <f>_xll.qlCalendarAdvance(LiborCalendar,X1693,W1694,"f",FALSE)</f>
        <v>50824</v>
      </c>
      <c r="Y1694" s="174">
        <f>_xll.qlInterestRateIndexValueDate(IborIndex,X1694)</f>
        <v>50826</v>
      </c>
      <c r="Z1694" s="175">
        <v>2.1551175996911309E-2</v>
      </c>
      <c r="AA1694" s="177">
        <v>2.1828299265239291E-2</v>
      </c>
    </row>
    <row r="1695" spans="23:27" x14ac:dyDescent="0.2">
      <c r="W1695" s="173" t="str">
        <f t="shared" si="37"/>
        <v>1w</v>
      </c>
      <c r="X1695" s="180">
        <f>_xll.qlCalendarAdvance(LiborCalendar,X1694,W1695,"f",FALSE)</f>
        <v>50831</v>
      </c>
      <c r="Y1695" s="174">
        <f>_xll.qlInterestRateIndexValueDate(IborIndex,X1695)</f>
        <v>50833</v>
      </c>
      <c r="Z1695" s="175">
        <v>2.1544345578233728E-2</v>
      </c>
      <c r="AA1695" s="177">
        <v>2.1820937987244347E-2</v>
      </c>
    </row>
    <row r="1696" spans="23:27" x14ac:dyDescent="0.2">
      <c r="W1696" s="173" t="str">
        <f t="shared" si="37"/>
        <v>1w</v>
      </c>
      <c r="X1696" s="180">
        <f>_xll.qlCalendarAdvance(LiborCalendar,X1695,W1696,"f",FALSE)</f>
        <v>50838</v>
      </c>
      <c r="Y1696" s="174">
        <f>_xll.qlInterestRateIndexValueDate(IborIndex,X1696)</f>
        <v>50840</v>
      </c>
      <c r="Z1696" s="175">
        <v>2.1537033558180933E-2</v>
      </c>
      <c r="AA1696" s="177">
        <v>2.1813578677755501E-2</v>
      </c>
    </row>
    <row r="1697" spans="23:27" x14ac:dyDescent="0.2">
      <c r="W1697" s="173" t="str">
        <f t="shared" si="37"/>
        <v>1w</v>
      </c>
      <c r="X1697" s="180">
        <f>_xll.qlCalendarAdvance(LiborCalendar,X1696,W1697,"f",FALSE)</f>
        <v>50845</v>
      </c>
      <c r="Y1697" s="174">
        <f>_xll.qlInterestRateIndexValueDate(IborIndex,X1697)</f>
        <v>50847</v>
      </c>
      <c r="Z1697" s="175">
        <v>2.1529843488424041E-2</v>
      </c>
      <c r="AA1697" s="177">
        <v>2.1806221336799773E-2</v>
      </c>
    </row>
    <row r="1698" spans="23:27" x14ac:dyDescent="0.2">
      <c r="W1698" s="173" t="str">
        <f t="shared" si="37"/>
        <v>1w</v>
      </c>
      <c r="X1698" s="180">
        <f>_xll.qlCalendarAdvance(LiborCalendar,X1697,W1698,"f",FALSE)</f>
        <v>50852</v>
      </c>
      <c r="Y1698" s="174">
        <f>_xll.qlInterestRateIndexValueDate(IborIndex,X1698)</f>
        <v>50854</v>
      </c>
      <c r="Z1698" s="175">
        <v>2.1522415486304073E-2</v>
      </c>
      <c r="AA1698" s="177">
        <v>2.1798865964350139E-2</v>
      </c>
    </row>
    <row r="1699" spans="23:27" x14ac:dyDescent="0.2">
      <c r="W1699" s="173" t="str">
        <f t="shared" si="37"/>
        <v>1w</v>
      </c>
      <c r="X1699" s="180">
        <f>_xll.qlCalendarAdvance(LiborCalendar,X1698,W1699,"f",FALSE)</f>
        <v>50859</v>
      </c>
      <c r="Y1699" s="174">
        <f>_xll.qlInterestRateIndexValueDate(IborIndex,X1699)</f>
        <v>50861</v>
      </c>
      <c r="Z1699" s="175">
        <v>2.1515109434435929E-2</v>
      </c>
      <c r="AA1699" s="177">
        <v>2.1791512560433622E-2</v>
      </c>
    </row>
    <row r="1700" spans="23:27" x14ac:dyDescent="0.2">
      <c r="W1700" s="173" t="str">
        <f t="shared" si="37"/>
        <v>1w</v>
      </c>
      <c r="X1700" s="180">
        <f>_xll.qlCalendarAdvance(LiborCalendar,X1699,W1700,"f",FALSE)</f>
        <v>50866</v>
      </c>
      <c r="Y1700" s="174">
        <f>_xll.qlInterestRateIndexValueDate(IborIndex,X1700)</f>
        <v>50872</v>
      </c>
      <c r="Z1700" s="175">
        <v>2.1503394610914967E-2</v>
      </c>
      <c r="AA1700" s="177">
        <v>2.1779711468246088E-2</v>
      </c>
    </row>
    <row r="1701" spans="23:27" x14ac:dyDescent="0.2">
      <c r="W1701" s="173" t="str">
        <f t="shared" si="37"/>
        <v>1w</v>
      </c>
      <c r="X1701" s="180">
        <f>_xll.qlCalendarAdvance(LiborCalendar,X1700,W1701,"f",FALSE)</f>
        <v>50873</v>
      </c>
      <c r="Y1701" s="174">
        <f>_xll.qlInterestRateIndexValueDate(IborIndex,X1701)</f>
        <v>50875</v>
      </c>
      <c r="Z1701" s="175">
        <v>2.1500503298730038E-2</v>
      </c>
      <c r="AA1701" s="177">
        <v>2.1776811658172916E-2</v>
      </c>
    </row>
    <row r="1702" spans="23:27" x14ac:dyDescent="0.2">
      <c r="W1702" s="173" t="str">
        <f t="shared" si="37"/>
        <v>1w</v>
      </c>
      <c r="X1702" s="180">
        <f>_xll.qlCalendarAdvance(LiborCalendar,X1701,W1702,"f",FALSE)</f>
        <v>50880</v>
      </c>
      <c r="Y1702" s="174">
        <f>_xll.qlInterestRateIndexValueDate(IborIndex,X1702)</f>
        <v>50882</v>
      </c>
      <c r="Z1702" s="175">
        <v>2.1493203214848648E-2</v>
      </c>
      <c r="AA1702" s="177">
        <v>2.1769464159828725E-2</v>
      </c>
    </row>
    <row r="1703" spans="23:27" x14ac:dyDescent="0.2">
      <c r="W1703" s="173" t="str">
        <f t="shared" si="37"/>
        <v>1w</v>
      </c>
      <c r="X1703" s="180">
        <f>_xll.qlCalendarAdvance(LiborCalendar,X1702,W1703,"f",FALSE)</f>
        <v>50887</v>
      </c>
      <c r="Y1703" s="174">
        <f>_xll.qlInterestRateIndexValueDate(IborIndex,X1703)</f>
        <v>50896</v>
      </c>
      <c r="Z1703" s="175">
        <v>2.1478609027772082E-2</v>
      </c>
      <c r="AA1703" s="177">
        <v>2.1754775068685655E-2</v>
      </c>
    </row>
    <row r="1704" spans="23:27" x14ac:dyDescent="0.2">
      <c r="W1704" s="173" t="str">
        <f t="shared" si="37"/>
        <v>1w</v>
      </c>
      <c r="X1704" s="180">
        <f>_xll.qlCalendarAdvance(LiborCalendar,X1703,W1704,"f",FALSE)</f>
        <v>50894</v>
      </c>
      <c r="Y1704" s="174">
        <f>_xll.qlInterestRateIndexValueDate(IborIndex,X1704)</f>
        <v>50896</v>
      </c>
      <c r="Z1704" s="175">
        <v>2.1478609027772082E-2</v>
      </c>
      <c r="AA1704" s="177">
        <v>2.1754775068685655E-2</v>
      </c>
    </row>
    <row r="1705" spans="23:27" x14ac:dyDescent="0.2">
      <c r="W1705" s="173" t="str">
        <f t="shared" si="37"/>
        <v>1w</v>
      </c>
      <c r="X1705" s="180">
        <f>_xll.qlCalendarAdvance(LiborCalendar,X1704,W1705,"f",FALSE)</f>
        <v>50901</v>
      </c>
      <c r="Y1705" s="174">
        <f>_xll.qlInterestRateIndexValueDate(IborIndex,X1705)</f>
        <v>50903</v>
      </c>
      <c r="Z1705" s="175">
        <v>2.1471315374874008E-2</v>
      </c>
      <c r="AA1705" s="177">
        <v>2.1747433475886778E-2</v>
      </c>
    </row>
    <row r="1706" spans="23:27" x14ac:dyDescent="0.2">
      <c r="W1706" s="173" t="str">
        <f t="shared" si="37"/>
        <v>1w</v>
      </c>
      <c r="X1706" s="180">
        <f>_xll.qlCalendarAdvance(LiborCalendar,X1705,W1706,"f",FALSE)</f>
        <v>50908</v>
      </c>
      <c r="Y1706" s="174">
        <f>_xll.qlInterestRateIndexValueDate(IborIndex,X1706)</f>
        <v>50910</v>
      </c>
      <c r="Z1706" s="175">
        <v>2.1464025110764423E-2</v>
      </c>
      <c r="AA1706" s="177">
        <v>2.1740093851621015E-2</v>
      </c>
    </row>
    <row r="1707" spans="23:27" x14ac:dyDescent="0.2">
      <c r="W1707" s="173" t="str">
        <f t="shared" si="37"/>
        <v>1w</v>
      </c>
      <c r="X1707" s="180">
        <f>_xll.qlCalendarAdvance(LiborCalendar,X1706,W1707,"f",FALSE)</f>
        <v>50915</v>
      </c>
      <c r="Y1707" s="174">
        <f>_xll.qlInterestRateIndexValueDate(IborIndex,X1707)</f>
        <v>50917</v>
      </c>
      <c r="Z1707" s="175">
        <v>2.1456739215105523E-2</v>
      </c>
      <c r="AA1707" s="177">
        <v>2.1732879111441006E-2</v>
      </c>
    </row>
    <row r="1708" spans="23:27" x14ac:dyDescent="0.2">
      <c r="W1708" s="173" t="str">
        <f t="shared" si="37"/>
        <v>1w</v>
      </c>
      <c r="X1708" s="180">
        <f>_xll.qlCalendarAdvance(LiborCalendar,X1707,W1708,"f",FALSE)</f>
        <v>50922</v>
      </c>
      <c r="Y1708" s="174">
        <f>_xll.qlInterestRateIndexValueDate(IborIndex,X1708)</f>
        <v>50924</v>
      </c>
      <c r="Z1708" s="175">
        <v>2.1449458667541346E-2</v>
      </c>
      <c r="AA1708" s="177">
        <v>2.17254205086348E-2</v>
      </c>
    </row>
    <row r="1709" spans="23:27" x14ac:dyDescent="0.2">
      <c r="W1709" s="173" t="str">
        <f t="shared" si="37"/>
        <v>1w</v>
      </c>
      <c r="X1709" s="180">
        <f>_xll.qlCalendarAdvance(LiborCalendar,X1708,W1709,"f",FALSE)</f>
        <v>50929</v>
      </c>
      <c r="Y1709" s="174">
        <f>_xll.qlInterestRateIndexValueDate(IborIndex,X1709)</f>
        <v>50931</v>
      </c>
      <c r="Z1709" s="175">
        <v>2.1442184447704269E-2</v>
      </c>
      <c r="AA1709" s="177">
        <v>2.171808678988733E-2</v>
      </c>
    </row>
    <row r="1710" spans="23:27" x14ac:dyDescent="0.2">
      <c r="W1710" s="173" t="str">
        <f t="shared" si="37"/>
        <v>1w</v>
      </c>
      <c r="X1710" s="180">
        <f>_xll.qlCalendarAdvance(LiborCalendar,X1709,W1710,"f",FALSE)</f>
        <v>50936</v>
      </c>
      <c r="Y1710" s="174">
        <f>_xll.qlInterestRateIndexValueDate(IborIndex,X1710)</f>
        <v>50938</v>
      </c>
      <c r="Z1710" s="175">
        <v>2.1434917535211543E-2</v>
      </c>
      <c r="AA1710" s="177">
        <v>2.1710755039727008E-2</v>
      </c>
    </row>
    <row r="1711" spans="23:27" x14ac:dyDescent="0.2">
      <c r="W1711" s="173" t="str">
        <f t="shared" si="37"/>
        <v>1w</v>
      </c>
      <c r="X1711" s="180">
        <f>_xll.qlCalendarAdvance(LiborCalendar,X1710,W1711,"f",FALSE)</f>
        <v>50943</v>
      </c>
      <c r="Y1711" s="174">
        <f>_xll.qlInterestRateIndexValueDate(IborIndex,X1711)</f>
        <v>50945</v>
      </c>
      <c r="Z1711" s="175">
        <v>2.1427897898036605E-2</v>
      </c>
      <c r="AA1711" s="177">
        <v>2.1703425258018754E-2</v>
      </c>
    </row>
    <row r="1712" spans="23:27" x14ac:dyDescent="0.2">
      <c r="W1712" s="173" t="str">
        <f t="shared" si="37"/>
        <v>1w</v>
      </c>
      <c r="X1712" s="180">
        <f>_xll.qlCalendarAdvance(LiborCalendar,X1711,W1712,"f",FALSE)</f>
        <v>50950</v>
      </c>
      <c r="Y1712" s="174">
        <f>_xll.qlInterestRateIndexValueDate(IborIndex,X1712)</f>
        <v>50952</v>
      </c>
      <c r="Z1712" s="175">
        <v>2.1420649870588646E-2</v>
      </c>
      <c r="AA1712" s="177">
        <v>2.1696097444870631E-2</v>
      </c>
    </row>
    <row r="1713" spans="23:27" x14ac:dyDescent="0.2">
      <c r="W1713" s="173" t="str">
        <f t="shared" si="37"/>
        <v>1w</v>
      </c>
      <c r="X1713" s="180">
        <f>_xll.qlCalendarAdvance(LiborCalendar,X1712,W1713,"f",FALSE)</f>
        <v>50957</v>
      </c>
      <c r="Y1713" s="174">
        <f>_xll.qlInterestRateIndexValueDate(IborIndex,X1713)</f>
        <v>50959</v>
      </c>
      <c r="Z1713" s="175">
        <v>2.1413291304660839E-2</v>
      </c>
      <c r="AA1713" s="177">
        <v>2.1688771600228605E-2</v>
      </c>
    </row>
    <row r="1714" spans="23:27" x14ac:dyDescent="0.2">
      <c r="W1714" s="173" t="str">
        <f t="shared" si="37"/>
        <v>1w</v>
      </c>
      <c r="X1714" s="180">
        <f>_xll.qlCalendarAdvance(LiborCalendar,X1713,W1714,"f",FALSE)</f>
        <v>50964</v>
      </c>
      <c r="Y1714" s="174">
        <f>_xll.qlInterestRateIndexValueDate(IborIndex,X1714)</f>
        <v>50966</v>
      </c>
      <c r="Z1714" s="175">
        <v>2.1405942550514576E-2</v>
      </c>
      <c r="AA1714" s="177">
        <v>2.1681447724119694E-2</v>
      </c>
    </row>
    <row r="1715" spans="23:27" x14ac:dyDescent="0.2">
      <c r="W1715" s="173" t="str">
        <f t="shared" si="37"/>
        <v>1w</v>
      </c>
      <c r="X1715" s="180">
        <f>_xll.qlCalendarAdvance(LiborCalendar,X1714,W1715,"f",FALSE)</f>
        <v>50971</v>
      </c>
      <c r="Y1715" s="174">
        <f>_xll.qlInterestRateIndexValueDate(IborIndex,X1715)</f>
        <v>50973</v>
      </c>
      <c r="Z1715" s="175">
        <v>2.1398726868492958E-2</v>
      </c>
      <c r="AA1715" s="177">
        <v>2.1674125816489868E-2</v>
      </c>
    </row>
    <row r="1716" spans="23:27" x14ac:dyDescent="0.2">
      <c r="W1716" s="173" t="str">
        <f t="shared" si="37"/>
        <v>1w</v>
      </c>
      <c r="X1716" s="180">
        <f>_xll.qlCalendarAdvance(LiborCalendar,X1715,W1716,"f",FALSE)</f>
        <v>50978</v>
      </c>
      <c r="Y1716" s="174">
        <f>_xll.qlInterestRateIndexValueDate(IborIndex,X1716)</f>
        <v>50980</v>
      </c>
      <c r="Z1716" s="175">
        <v>2.1391648028685543E-2</v>
      </c>
      <c r="AA1716" s="177">
        <v>2.1666805877393152E-2</v>
      </c>
    </row>
    <row r="1717" spans="23:27" x14ac:dyDescent="0.2">
      <c r="W1717" s="173" t="str">
        <f t="shared" si="37"/>
        <v>1w</v>
      </c>
      <c r="X1717" s="180">
        <f>_xll.qlCalendarAdvance(LiborCalendar,X1716,W1717,"f",FALSE)</f>
        <v>50985</v>
      </c>
      <c r="Y1717" s="174">
        <f>_xll.qlInterestRateIndexValueDate(IborIndex,X1717)</f>
        <v>50987</v>
      </c>
      <c r="Z1717" s="175">
        <v>2.138433603820121E-2</v>
      </c>
      <c r="AA1717" s="177">
        <v>2.1659487906829554E-2</v>
      </c>
    </row>
    <row r="1718" spans="23:27" x14ac:dyDescent="0.2">
      <c r="W1718" s="173" t="str">
        <f t="shared" si="37"/>
        <v>1w</v>
      </c>
      <c r="X1718" s="180">
        <f>_xll.qlCalendarAdvance(LiborCalendar,X1717,W1718,"f",FALSE)</f>
        <v>50992</v>
      </c>
      <c r="Y1718" s="174">
        <f>_xll.qlInterestRateIndexValueDate(IborIndex,X1718)</f>
        <v>50994</v>
      </c>
      <c r="Z1718" s="175">
        <v>2.1377162848951706E-2</v>
      </c>
      <c r="AA1718" s="177">
        <v>2.1652171904718024E-2</v>
      </c>
    </row>
    <row r="1719" spans="23:27" x14ac:dyDescent="0.2">
      <c r="W1719" s="173" t="str">
        <f t="shared" si="37"/>
        <v>1w</v>
      </c>
      <c r="X1719" s="180">
        <f>_xll.qlCalendarAdvance(LiborCalendar,X1718,W1719,"f",FALSE)</f>
        <v>50999</v>
      </c>
      <c r="Y1719" s="174">
        <f>_xll.qlInterestRateIndexValueDate(IborIndex,X1719)</f>
        <v>51001</v>
      </c>
      <c r="Z1719" s="175">
        <v>2.1370005782956281E-2</v>
      </c>
      <c r="AA1719" s="177">
        <v>2.1644857871193638E-2</v>
      </c>
    </row>
    <row r="1720" spans="23:27" x14ac:dyDescent="0.2">
      <c r="W1720" s="173" t="str">
        <f t="shared" si="37"/>
        <v>1w</v>
      </c>
      <c r="X1720" s="180">
        <f>_xll.qlCalendarAdvance(LiborCalendar,X1719,W1720,"f",FALSE)</f>
        <v>51006</v>
      </c>
      <c r="Y1720" s="174">
        <f>_xll.qlInterestRateIndexValueDate(IborIndex,X1720)</f>
        <v>51008</v>
      </c>
      <c r="Z1720" s="175">
        <v>2.1362865819691334E-2</v>
      </c>
      <c r="AA1720" s="177">
        <v>2.1637664893641995E-2</v>
      </c>
    </row>
    <row r="1721" spans="23:27" x14ac:dyDescent="0.2">
      <c r="W1721" s="173" t="str">
        <f t="shared" si="37"/>
        <v>1w</v>
      </c>
      <c r="X1721" s="180">
        <f>_xll.qlCalendarAdvance(LiborCalendar,X1720,W1721,"f",FALSE)</f>
        <v>51013</v>
      </c>
      <c r="Y1721" s="174">
        <f>_xll.qlInterestRateIndexValueDate(IborIndex,X1721)</f>
        <v>51015</v>
      </c>
      <c r="Z1721" s="175">
        <v>2.135535562877473E-2</v>
      </c>
      <c r="AA1721" s="177">
        <v>2.1630235709636146E-2</v>
      </c>
    </row>
    <row r="1722" spans="23:27" x14ac:dyDescent="0.2">
      <c r="W1722" s="173" t="str">
        <f t="shared" si="37"/>
        <v>1w</v>
      </c>
      <c r="X1722" s="180">
        <f>_xll.qlCalendarAdvance(LiborCalendar,X1721,W1722,"f",FALSE)</f>
        <v>51020</v>
      </c>
      <c r="Y1722" s="174">
        <f>_xll.qlInterestRateIndexValueDate(IborIndex,X1722)</f>
        <v>51022</v>
      </c>
      <c r="Z1722" s="175">
        <v>2.1348248677379868E-2</v>
      </c>
      <c r="AA1722" s="177">
        <v>2.162292758160304E-2</v>
      </c>
    </row>
    <row r="1723" spans="23:27" x14ac:dyDescent="0.2">
      <c r="W1723" s="173" t="str">
        <f t="shared" si="37"/>
        <v>1w</v>
      </c>
      <c r="X1723" s="180">
        <f>_xll.qlCalendarAdvance(LiborCalendar,X1722,W1723,"f",FALSE)</f>
        <v>51027</v>
      </c>
      <c r="Y1723" s="174">
        <f>_xll.qlInterestRateIndexValueDate(IborIndex,X1723)</f>
        <v>51029</v>
      </c>
      <c r="Z1723" s="175">
        <v>2.1341161633991242E-2</v>
      </c>
      <c r="AA1723" s="177">
        <v>2.1615621422130065E-2</v>
      </c>
    </row>
    <row r="1724" spans="23:27" x14ac:dyDescent="0.2">
      <c r="W1724" s="173" t="str">
        <f t="shared" si="37"/>
        <v>1w</v>
      </c>
      <c r="X1724" s="180">
        <f>_xll.qlCalendarAdvance(LiborCalendar,X1723,W1724,"f",FALSE)</f>
        <v>51034</v>
      </c>
      <c r="Y1724" s="174">
        <f>_xll.qlInterestRateIndexValueDate(IborIndex,X1724)</f>
        <v>51039</v>
      </c>
      <c r="Z1724" s="175">
        <v>2.1331073793968581E-2</v>
      </c>
      <c r="AA1724" s="177">
        <v>2.1604951809639505E-2</v>
      </c>
    </row>
    <row r="1725" spans="23:27" x14ac:dyDescent="0.2">
      <c r="W1725" s="173" t="str">
        <f t="shared" si="37"/>
        <v>1w</v>
      </c>
      <c r="X1725" s="180">
        <f>_xll.qlCalendarAdvance(LiborCalendar,X1724,W1725,"f",FALSE)</f>
        <v>51041</v>
      </c>
      <c r="Y1725" s="174">
        <f>_xll.qlInterestRateIndexValueDate(IborIndex,X1725)</f>
        <v>51043</v>
      </c>
      <c r="Z1725" s="175">
        <v>2.132691637171202E-2</v>
      </c>
      <c r="AA1725" s="177">
        <v>2.1601015008675398E-2</v>
      </c>
    </row>
    <row r="1726" spans="23:27" x14ac:dyDescent="0.2">
      <c r="W1726" s="173" t="str">
        <f t="shared" si="37"/>
        <v>1w</v>
      </c>
      <c r="X1726" s="180">
        <f>_xll.qlCalendarAdvance(LiborCalendar,X1725,W1726,"f",FALSE)</f>
        <v>51048</v>
      </c>
      <c r="Y1726" s="174">
        <f>_xll.qlInterestRateIndexValueDate(IborIndex,X1726)</f>
        <v>51050</v>
      </c>
      <c r="Z1726" s="175">
        <v>2.132044004631042E-2</v>
      </c>
      <c r="AA1726" s="177">
        <v>2.159371475472072E-2</v>
      </c>
    </row>
    <row r="1727" spans="23:27" x14ac:dyDescent="0.2">
      <c r="W1727" s="173" t="str">
        <f t="shared" si="37"/>
        <v>1w</v>
      </c>
      <c r="X1727" s="180">
        <f>_xll.qlCalendarAdvance(LiborCalendar,X1726,W1727,"f",FALSE)</f>
        <v>51055</v>
      </c>
      <c r="Y1727" s="174">
        <f>_xll.qlInterestRateIndexValueDate(IborIndex,X1727)</f>
        <v>51057</v>
      </c>
      <c r="Z1727" s="175">
        <v>2.1313447226313852E-2</v>
      </c>
      <c r="AA1727" s="177">
        <v>2.1586416469245123E-2</v>
      </c>
    </row>
    <row r="1728" spans="23:27" x14ac:dyDescent="0.2">
      <c r="W1728" s="173" t="str">
        <f t="shared" si="37"/>
        <v>1w</v>
      </c>
      <c r="X1728" s="180">
        <f>_xll.qlCalendarAdvance(LiborCalendar,X1727,W1728,"f",FALSE)</f>
        <v>51062</v>
      </c>
      <c r="Y1728" s="174">
        <f>_xll.qlInterestRateIndexValueDate(IborIndex,X1728)</f>
        <v>51064</v>
      </c>
      <c r="Z1728" s="175">
        <v>2.1306479344360699E-2</v>
      </c>
      <c r="AA1728" s="177">
        <v>2.157912015232966E-2</v>
      </c>
    </row>
    <row r="1729" spans="23:27" x14ac:dyDescent="0.2">
      <c r="W1729" s="173" t="str">
        <f t="shared" si="37"/>
        <v>1w</v>
      </c>
      <c r="X1729" s="180">
        <f>_xll.qlCalendarAdvance(LiborCalendar,X1728,W1729,"f",FALSE)</f>
        <v>51069</v>
      </c>
      <c r="Y1729" s="174">
        <f>_xll.qlInterestRateIndexValueDate(IborIndex,X1729)</f>
        <v>51071</v>
      </c>
      <c r="Z1729" s="175">
        <v>2.1299113183124115E-2</v>
      </c>
      <c r="AA1729" s="177">
        <v>2.1571825803893278E-2</v>
      </c>
    </row>
    <row r="1730" spans="23:27" x14ac:dyDescent="0.2">
      <c r="W1730" s="173" t="str">
        <f t="shared" si="37"/>
        <v>1w</v>
      </c>
      <c r="X1730" s="180">
        <f>_xll.qlCalendarAdvance(LiborCalendar,X1729,W1730,"f",FALSE)</f>
        <v>51076</v>
      </c>
      <c r="Y1730" s="174">
        <f>_xll.qlInterestRateIndexValueDate(IborIndex,X1730)</f>
        <v>51078</v>
      </c>
      <c r="Z1730" s="175">
        <v>2.1292765608389368E-2</v>
      </c>
      <c r="AA1730" s="177">
        <v>2.1564534218999992E-2</v>
      </c>
    </row>
    <row r="1731" spans="23:27" x14ac:dyDescent="0.2">
      <c r="W1731" s="173" t="str">
        <f t="shared" si="37"/>
        <v>1w</v>
      </c>
      <c r="X1731" s="180">
        <f>_xll.qlCalendarAdvance(LiborCalendar,X1730,W1731,"f",FALSE)</f>
        <v>51083</v>
      </c>
      <c r="Y1731" s="174">
        <f>_xll.qlInterestRateIndexValueDate(IborIndex,X1731)</f>
        <v>51085</v>
      </c>
      <c r="Z1731" s="175">
        <v>2.1285301254108224E-2</v>
      </c>
      <c r="AA1731" s="177">
        <v>2.1557262357529604E-2</v>
      </c>
    </row>
    <row r="1732" spans="23:27" x14ac:dyDescent="0.2">
      <c r="W1732" s="173" t="str">
        <f t="shared" si="37"/>
        <v>1w</v>
      </c>
      <c r="X1732" s="180">
        <f>_xll.qlCalendarAdvance(LiborCalendar,X1731,W1732,"f",FALSE)</f>
        <v>51090</v>
      </c>
      <c r="Y1732" s="174">
        <f>_xll.qlInterestRateIndexValueDate(IborIndex,X1732)</f>
        <v>51092</v>
      </c>
      <c r="Z1732" s="175">
        <v>2.1278437012577003E-2</v>
      </c>
      <c r="AA1732" s="177">
        <v>2.1550018434522238E-2</v>
      </c>
    </row>
    <row r="1733" spans="23:27" x14ac:dyDescent="0.2">
      <c r="W1733" s="173" t="str">
        <f t="shared" si="37"/>
        <v>1w</v>
      </c>
      <c r="X1733" s="180">
        <f>_xll.qlCalendarAdvance(LiborCalendar,X1732,W1733,"f",FALSE)</f>
        <v>51097</v>
      </c>
      <c r="Y1733" s="174">
        <f>_xll.qlInterestRateIndexValueDate(IborIndex,X1733)</f>
        <v>51099</v>
      </c>
      <c r="Z1733" s="175">
        <v>2.127160064129123E-2</v>
      </c>
      <c r="AA1733" s="177">
        <v>2.1542802449923869E-2</v>
      </c>
    </row>
    <row r="1734" spans="23:27" x14ac:dyDescent="0.2">
      <c r="W1734" s="173" t="str">
        <f t="shared" si="37"/>
        <v>1w</v>
      </c>
      <c r="X1734" s="180">
        <f>_xll.qlCalendarAdvance(LiborCalendar,X1733,W1734,"f",FALSE)</f>
        <v>51104</v>
      </c>
      <c r="Y1734" s="174">
        <f>_xll.qlInterestRateIndexValueDate(IborIndex,X1734)</f>
        <v>51106</v>
      </c>
      <c r="Z1734" s="175">
        <v>2.1265240145437934E-2</v>
      </c>
      <c r="AA1734" s="177">
        <v>2.1535614403707475E-2</v>
      </c>
    </row>
    <row r="1735" spans="23:27" x14ac:dyDescent="0.2">
      <c r="W1735" s="173" t="str">
        <f t="shared" si="37"/>
        <v>1w</v>
      </c>
      <c r="X1735" s="180">
        <f>_xll.qlCalendarAdvance(LiborCalendar,X1734,W1735,"f",FALSE)</f>
        <v>51111</v>
      </c>
      <c r="Y1735" s="174">
        <f>_xll.qlInterestRateIndexValueDate(IborIndex,X1735)</f>
        <v>51113</v>
      </c>
      <c r="Z1735" s="175">
        <v>2.125846429179155E-2</v>
      </c>
      <c r="AA1735" s="177">
        <v>2.1528454295954107E-2</v>
      </c>
    </row>
    <row r="1736" spans="23:27" x14ac:dyDescent="0.2">
      <c r="W1736" s="173" t="str">
        <f t="shared" si="37"/>
        <v>1w</v>
      </c>
      <c r="X1736" s="180">
        <f>_xll.qlCalendarAdvance(LiborCalendar,X1735,W1736,"f",FALSE)</f>
        <v>51118</v>
      </c>
      <c r="Y1736" s="174">
        <f>_xll.qlInterestRateIndexValueDate(IborIndex,X1736)</f>
        <v>51120</v>
      </c>
      <c r="Z1736" s="175">
        <v>2.1251716312764103E-2</v>
      </c>
      <c r="AA1736" s="177">
        <v>2.1521322126582719E-2</v>
      </c>
    </row>
    <row r="1737" spans="23:27" x14ac:dyDescent="0.2">
      <c r="W1737" s="173" t="str">
        <f t="shared" si="37"/>
        <v>1w</v>
      </c>
      <c r="X1737" s="180">
        <f>_xll.qlCalendarAdvance(LiborCalendar,X1736,W1737,"f",FALSE)</f>
        <v>51125</v>
      </c>
      <c r="Y1737" s="174">
        <f>_xll.qlInterestRateIndexValueDate(IborIndex,X1737)</f>
        <v>51132</v>
      </c>
      <c r="Z1737" s="175">
        <v>2.123990252097788E-2</v>
      </c>
      <c r="AA1737" s="177">
        <v>2.1508903176533645E-2</v>
      </c>
    </row>
    <row r="1738" spans="23:27" x14ac:dyDescent="0.2">
      <c r="W1738" s="173" t="str">
        <f t="shared" si="37"/>
        <v>1w</v>
      </c>
      <c r="X1738" s="180">
        <f>_xll.qlCalendarAdvance(LiborCalendar,X1737,W1738,"f",FALSE)</f>
        <v>51132</v>
      </c>
      <c r="Y1738" s="174">
        <f>_xll.qlInterestRateIndexValueDate(IborIndex,X1738)</f>
        <v>51134</v>
      </c>
      <c r="Z1738" s="175">
        <v>2.1237836828584211E-2</v>
      </c>
      <c r="AA1738" s="177">
        <v>2.1507270974300274E-2</v>
      </c>
    </row>
    <row r="1739" spans="23:27" x14ac:dyDescent="0.2">
      <c r="W1739" s="173" t="str">
        <f t="shared" si="37"/>
        <v>1w</v>
      </c>
      <c r="X1739" s="180">
        <f>_xll.qlCalendarAdvance(LiborCalendar,X1738,W1739,"f",FALSE)</f>
        <v>51139</v>
      </c>
      <c r="Y1739" s="174">
        <f>_xll.qlInterestRateIndexValueDate(IborIndex,X1739)</f>
        <v>51141</v>
      </c>
      <c r="Z1739" s="175">
        <v>2.1231167672811527E-2</v>
      </c>
      <c r="AA1739" s="177">
        <v>2.1500093248922512E-2</v>
      </c>
    </row>
    <row r="1740" spans="23:27" x14ac:dyDescent="0.2">
      <c r="W1740" s="173" t="str">
        <f t="shared" si="37"/>
        <v>1w</v>
      </c>
      <c r="X1740" s="180">
        <f>_xll.qlCalendarAdvance(LiborCalendar,X1739,W1740,"f",FALSE)</f>
        <v>51146</v>
      </c>
      <c r="Y1740" s="174">
        <f>_xll.qlInterestRateIndexValueDate(IborIndex,X1740)</f>
        <v>51148</v>
      </c>
      <c r="Z1740" s="175">
        <v>2.1224526385308289E-2</v>
      </c>
      <c r="AA1740" s="177">
        <v>2.1493072833133068E-2</v>
      </c>
    </row>
    <row r="1741" spans="23:27" x14ac:dyDescent="0.2">
      <c r="W1741" s="173" t="str">
        <f t="shared" si="37"/>
        <v>1w</v>
      </c>
      <c r="X1741" s="180">
        <f>_xll.qlCalendarAdvance(LiborCalendar,X1740,W1741,"f",FALSE)</f>
        <v>51153</v>
      </c>
      <c r="Y1741" s="174">
        <f>_xll.qlInterestRateIndexValueDate(IborIndex,X1741)</f>
        <v>51155</v>
      </c>
      <c r="Z1741" s="175">
        <v>2.1217912965798242E-2</v>
      </c>
      <c r="AA1741" s="177">
        <v>2.1486080355752616E-2</v>
      </c>
    </row>
    <row r="1742" spans="23:27" x14ac:dyDescent="0.2">
      <c r="W1742" s="173" t="str">
        <f t="shared" si="37"/>
        <v>1w</v>
      </c>
      <c r="X1742" s="180">
        <f>_xll.qlCalendarAdvance(LiborCalendar,X1741,W1742,"f",FALSE)</f>
        <v>51160</v>
      </c>
      <c r="Y1742" s="174">
        <f>_xll.qlInterestRateIndexValueDate(IborIndex,X1742)</f>
        <v>51162</v>
      </c>
      <c r="Z1742" s="175">
        <v>2.1211327414003361E-2</v>
      </c>
      <c r="AA1742" s="177">
        <v>2.147911581675414E-2</v>
      </c>
    </row>
    <row r="1743" spans="23:27" x14ac:dyDescent="0.2">
      <c r="W1743" s="173" t="str">
        <f t="shared" si="37"/>
        <v>1w</v>
      </c>
      <c r="X1743" s="180">
        <f>_xll.qlCalendarAdvance(LiborCalendar,X1742,W1743,"f",FALSE)</f>
        <v>51167</v>
      </c>
      <c r="Y1743" s="174">
        <f>_xll.qlInterestRateIndexValueDate(IborIndex,X1743)</f>
        <v>51169</v>
      </c>
      <c r="Z1743" s="175">
        <v>2.1204769729649145E-2</v>
      </c>
      <c r="AA1743" s="177">
        <v>2.1472179216083614E-2</v>
      </c>
    </row>
    <row r="1744" spans="23:27" x14ac:dyDescent="0.2">
      <c r="W1744" s="173" t="str">
        <f t="shared" si="37"/>
        <v>1w</v>
      </c>
      <c r="X1744" s="180">
        <f>_xll.qlCalendarAdvance(LiborCalendar,X1743,W1744,"f",FALSE)</f>
        <v>51174</v>
      </c>
      <c r="Y1744" s="174">
        <f>_xll.qlInterestRateIndexValueDate(IborIndex,X1744)</f>
        <v>51176</v>
      </c>
      <c r="Z1744" s="175">
        <v>2.1198239912460646E-2</v>
      </c>
      <c r="AA1744" s="177">
        <v>2.1465270553822084E-2</v>
      </c>
    </row>
    <row r="1745" spans="23:27" x14ac:dyDescent="0.2">
      <c r="W1745" s="173" t="str">
        <f t="shared" si="37"/>
        <v>1w</v>
      </c>
      <c r="X1745" s="180">
        <f>_xll.qlCalendarAdvance(LiborCalendar,X1744,W1745,"f",FALSE)</f>
        <v>51181</v>
      </c>
      <c r="Y1745" s="174">
        <f>_xll.qlInterestRateIndexValueDate(IborIndex,X1745)</f>
        <v>51183</v>
      </c>
      <c r="Z1745" s="175">
        <v>2.1191737962166873E-2</v>
      </c>
      <c r="AA1745" s="177">
        <v>2.1458389829915513E-2</v>
      </c>
    </row>
    <row r="1746" spans="23:27" x14ac:dyDescent="0.2">
      <c r="W1746" s="173" t="str">
        <f t="shared" si="37"/>
        <v>1w</v>
      </c>
      <c r="X1746" s="180">
        <f>_xll.qlCalendarAdvance(LiborCalendar,X1745,W1746,"f",FALSE)</f>
        <v>51188</v>
      </c>
      <c r="Y1746" s="174">
        <f>_xll.qlInterestRateIndexValueDate(IborIndex,X1746)</f>
        <v>51190</v>
      </c>
      <c r="Z1746" s="175">
        <v>2.1185263878494634E-2</v>
      </c>
      <c r="AA1746" s="177">
        <v>2.1451537044390921E-2</v>
      </c>
    </row>
    <row r="1747" spans="23:27" x14ac:dyDescent="0.2">
      <c r="W1747" s="173" t="str">
        <f t="shared" si="37"/>
        <v>1w</v>
      </c>
      <c r="X1747" s="180">
        <f>_xll.qlCalendarAdvance(LiborCalendar,X1746,W1747,"f",FALSE)</f>
        <v>51195</v>
      </c>
      <c r="Y1747" s="174">
        <f>_xll.qlInterestRateIndexValueDate(IborIndex,X1747)</f>
        <v>51197</v>
      </c>
      <c r="Z1747" s="175">
        <v>2.1179328187193806E-2</v>
      </c>
      <c r="AA1747" s="177">
        <v>2.1444712197194276E-2</v>
      </c>
    </row>
    <row r="1748" spans="23:27" x14ac:dyDescent="0.2">
      <c r="W1748" s="173" t="str">
        <f t="shared" si="37"/>
        <v>1w</v>
      </c>
      <c r="X1748" s="180">
        <f>_xll.qlCalendarAdvance(LiborCalendar,X1747,W1748,"f",FALSE)</f>
        <v>51202</v>
      </c>
      <c r="Y1748" s="174">
        <f>_xll.qlInterestRateIndexValueDate(IborIndex,X1748)</f>
        <v>51204</v>
      </c>
      <c r="Z1748" s="175">
        <v>2.1172914681575328E-2</v>
      </c>
      <c r="AA1748" s="177">
        <v>2.1437915288406627E-2</v>
      </c>
    </row>
    <row r="1749" spans="23:27" x14ac:dyDescent="0.2">
      <c r="W1749" s="173" t="str">
        <f t="shared" ref="W1749:W1812" si="38">W1748</f>
        <v>1w</v>
      </c>
      <c r="X1749" s="180">
        <f>_xll.qlCalendarAdvance(LiborCalendar,X1748,W1749,"f",FALSE)</f>
        <v>51209</v>
      </c>
      <c r="Y1749" s="174">
        <f>_xll.qlInterestRateIndexValueDate(IborIndex,X1749)</f>
        <v>51211</v>
      </c>
      <c r="Z1749" s="175">
        <v>2.1166702777469466E-2</v>
      </c>
      <c r="AA1749" s="177">
        <v>2.1431146317892894E-2</v>
      </c>
    </row>
    <row r="1750" spans="23:27" x14ac:dyDescent="0.2">
      <c r="W1750" s="173" t="str">
        <f t="shared" si="38"/>
        <v>1w</v>
      </c>
      <c r="X1750" s="180">
        <f>_xll.qlCalendarAdvance(LiborCalendar,X1749,W1750,"f",FALSE)</f>
        <v>51216</v>
      </c>
      <c r="Y1750" s="174">
        <f>_xll.qlInterestRateIndexValueDate(IborIndex,X1750)</f>
        <v>51218</v>
      </c>
      <c r="Z1750" s="175">
        <v>2.1160171283020991E-2</v>
      </c>
      <c r="AA1750" s="177">
        <v>2.1424405285761138E-2</v>
      </c>
    </row>
    <row r="1751" spans="23:27" x14ac:dyDescent="0.2">
      <c r="W1751" s="173" t="str">
        <f t="shared" si="38"/>
        <v>1w</v>
      </c>
      <c r="X1751" s="180">
        <f>_xll.qlCalendarAdvance(LiborCalendar,X1750,W1751,"f",FALSE)</f>
        <v>51223</v>
      </c>
      <c r="Y1751" s="174">
        <f>_xll.qlInterestRateIndexValueDate(IborIndex,X1751)</f>
        <v>51229</v>
      </c>
      <c r="Z1751" s="175">
        <v>2.1149881512232186E-2</v>
      </c>
      <c r="AA1751" s="177">
        <v>2.1413567213361961E-2</v>
      </c>
    </row>
    <row r="1752" spans="23:27" x14ac:dyDescent="0.2">
      <c r="W1752" s="173" t="str">
        <f t="shared" si="38"/>
        <v>1w</v>
      </c>
      <c r="X1752" s="180">
        <f>_xll.qlCalendarAdvance(LiborCalendar,X1751,W1752,"f",FALSE)</f>
        <v>51230</v>
      </c>
      <c r="Y1752" s="174">
        <f>_xll.qlInterestRateIndexValueDate(IborIndex,X1752)</f>
        <v>51232</v>
      </c>
      <c r="Z1752" s="175">
        <v>2.1147717959240156E-2</v>
      </c>
      <c r="AA1752" s="177">
        <v>2.141100703648147E-2</v>
      </c>
    </row>
    <row r="1753" spans="23:27" x14ac:dyDescent="0.2">
      <c r="W1753" s="173" t="str">
        <f t="shared" si="38"/>
        <v>1w</v>
      </c>
      <c r="X1753" s="180">
        <f>_xll.qlCalendarAdvance(LiborCalendar,X1752,W1753,"f",FALSE)</f>
        <v>51237</v>
      </c>
      <c r="Y1753" s="174">
        <f>_xll.qlInterestRateIndexValueDate(IborIndex,X1753)</f>
        <v>51239</v>
      </c>
      <c r="Z1753" s="175">
        <v>2.1141265212845636E-2</v>
      </c>
      <c r="AA1753" s="177">
        <v>2.1404349819333555E-2</v>
      </c>
    </row>
    <row r="1754" spans="23:27" x14ac:dyDescent="0.2">
      <c r="W1754" s="173" t="str">
        <f t="shared" si="38"/>
        <v>1w</v>
      </c>
      <c r="X1754" s="180">
        <f>_xll.qlCalendarAdvance(LiborCalendar,X1753,W1754,"f",FALSE)</f>
        <v>51244</v>
      </c>
      <c r="Y1754" s="174">
        <f>_xll.qlInterestRateIndexValueDate(IborIndex,X1754)</f>
        <v>51246</v>
      </c>
      <c r="Z1754" s="175">
        <v>2.1135018929089464E-2</v>
      </c>
      <c r="AA1754" s="177">
        <v>2.1397720540486574E-2</v>
      </c>
    </row>
    <row r="1755" spans="23:27" x14ac:dyDescent="0.2">
      <c r="W1755" s="173" t="str">
        <f t="shared" si="38"/>
        <v>1w</v>
      </c>
      <c r="X1755" s="180">
        <f>_xll.qlCalendarAdvance(LiborCalendar,X1754,W1755,"f",FALSE)</f>
        <v>51251</v>
      </c>
      <c r="Y1755" s="174">
        <f>_xll.qlInterestRateIndexValueDate(IborIndex,X1755)</f>
        <v>51253</v>
      </c>
      <c r="Z1755" s="175">
        <v>2.1129167619497371E-2</v>
      </c>
      <c r="AA1755" s="177">
        <v>2.1391119199994556E-2</v>
      </c>
    </row>
    <row r="1756" spans="23:27" x14ac:dyDescent="0.2">
      <c r="W1756" s="173" t="str">
        <f t="shared" si="38"/>
        <v>1w</v>
      </c>
      <c r="X1756" s="180">
        <f>_xll.qlCalendarAdvance(LiborCalendar,X1755,W1756,"f",FALSE)</f>
        <v>51258</v>
      </c>
      <c r="Y1756" s="174">
        <f>_xll.qlInterestRateIndexValueDate(IborIndex,X1756)</f>
        <v>51264</v>
      </c>
      <c r="Z1756" s="175">
        <v>2.111889915861034E-2</v>
      </c>
      <c r="AA1756" s="177">
        <v>2.1380484565917124E-2</v>
      </c>
    </row>
    <row r="1757" spans="23:27" x14ac:dyDescent="0.2">
      <c r="W1757" s="173" t="str">
        <f t="shared" si="38"/>
        <v>1w</v>
      </c>
      <c r="X1757" s="180">
        <f>_xll.qlCalendarAdvance(LiborCalendar,X1756,W1757,"f",FALSE)</f>
        <v>51265</v>
      </c>
      <c r="Y1757" s="174">
        <f>_xll.qlInterestRateIndexValueDate(IborIndex,X1757)</f>
        <v>51267</v>
      </c>
      <c r="Z1757" s="175">
        <v>2.1116447293015712E-2</v>
      </c>
      <c r="AA1757" s="177">
        <v>2.1378000333913315E-2</v>
      </c>
    </row>
    <row r="1758" spans="23:27" x14ac:dyDescent="0.2">
      <c r="W1758" s="173" t="str">
        <f t="shared" si="38"/>
        <v>1w</v>
      </c>
      <c r="X1758" s="180">
        <f>_xll.qlCalendarAdvance(LiborCalendar,X1757,W1758,"f",FALSE)</f>
        <v>51272</v>
      </c>
      <c r="Y1758" s="174">
        <f>_xll.qlInterestRateIndexValueDate(IborIndex,X1758)</f>
        <v>51274</v>
      </c>
      <c r="Z1758" s="175">
        <v>2.1110312485179059E-2</v>
      </c>
      <c r="AA1758" s="177">
        <v>2.1371482808378122E-2</v>
      </c>
    </row>
    <row r="1759" spans="23:27" x14ac:dyDescent="0.2">
      <c r="W1759" s="173" t="str">
        <f t="shared" si="38"/>
        <v>1w</v>
      </c>
      <c r="X1759" s="180">
        <f>_xll.qlCalendarAdvance(LiborCalendar,X1758,W1759,"f",FALSE)</f>
        <v>51279</v>
      </c>
      <c r="Y1759" s="174">
        <f>_xll.qlInterestRateIndexValueDate(IborIndex,X1759)</f>
        <v>51281</v>
      </c>
      <c r="Z1759" s="175">
        <v>2.1104205545666704E-2</v>
      </c>
      <c r="AA1759" s="177">
        <v>2.1365156154756482E-2</v>
      </c>
    </row>
    <row r="1760" spans="23:27" x14ac:dyDescent="0.2">
      <c r="W1760" s="173" t="str">
        <f t="shared" si="38"/>
        <v>1w</v>
      </c>
      <c r="X1760" s="180">
        <f>_xll.qlCalendarAdvance(LiborCalendar,X1759,W1760,"f",FALSE)</f>
        <v>51286</v>
      </c>
      <c r="Y1760" s="174">
        <f>_xll.qlInterestRateIndexValueDate(IborIndex,X1760)</f>
        <v>51288</v>
      </c>
      <c r="Z1760" s="175">
        <v>2.1098126474220259E-2</v>
      </c>
      <c r="AA1760" s="177">
        <v>2.1358531572102473E-2</v>
      </c>
    </row>
    <row r="1761" spans="23:27" x14ac:dyDescent="0.2">
      <c r="W1761" s="173" t="str">
        <f t="shared" si="38"/>
        <v>1w</v>
      </c>
      <c r="X1761" s="180">
        <f>_xll.qlCalendarAdvance(LiborCalendar,X1760,W1761,"f",FALSE)</f>
        <v>51293</v>
      </c>
      <c r="Y1761" s="174">
        <f>_xll.qlInterestRateIndexValueDate(IborIndex,X1761)</f>
        <v>51295</v>
      </c>
      <c r="Z1761" s="175">
        <v>2.1092075270581767E-2</v>
      </c>
      <c r="AA1761" s="177">
        <v>2.1352097861416047E-2</v>
      </c>
    </row>
    <row r="1762" spans="23:27" x14ac:dyDescent="0.2">
      <c r="W1762" s="173" t="str">
        <f t="shared" si="38"/>
        <v>1w</v>
      </c>
      <c r="X1762" s="180">
        <f>_xll.qlCalendarAdvance(LiborCalendar,X1761,W1762,"f",FALSE)</f>
        <v>51300</v>
      </c>
      <c r="Y1762" s="174">
        <f>_xll.qlInterestRateIndexValueDate(IborIndex,X1762)</f>
        <v>51302</v>
      </c>
      <c r="Z1762" s="175">
        <v>2.1086051934493703E-2</v>
      </c>
      <c r="AA1762" s="177">
        <v>2.1345692089030553E-2</v>
      </c>
    </row>
    <row r="1763" spans="23:27" x14ac:dyDescent="0.2">
      <c r="W1763" s="173" t="str">
        <f t="shared" si="38"/>
        <v>1w</v>
      </c>
      <c r="X1763" s="180">
        <f>_xll.qlCalendarAdvance(LiborCalendar,X1762,W1763,"f",FALSE)</f>
        <v>51307</v>
      </c>
      <c r="Y1763" s="174">
        <f>_xll.qlInterestRateIndexValueDate(IborIndex,X1763)</f>
        <v>51309</v>
      </c>
      <c r="Z1763" s="175">
        <v>2.1080646622082769E-2</v>
      </c>
      <c r="AA1763" s="177">
        <v>2.133931425494599E-2</v>
      </c>
    </row>
    <row r="1764" spans="23:27" x14ac:dyDescent="0.2">
      <c r="W1764" s="173" t="str">
        <f t="shared" si="38"/>
        <v>1w</v>
      </c>
      <c r="X1764" s="180">
        <f>_xll.qlCalendarAdvance(LiborCalendar,X1763,W1764,"f",FALSE)</f>
        <v>51314</v>
      </c>
      <c r="Y1764" s="174">
        <f>_xll.qlInterestRateIndexValueDate(IborIndex,X1764)</f>
        <v>51316</v>
      </c>
      <c r="Z1764" s="175">
        <v>2.107349526189933E-2</v>
      </c>
      <c r="AA1764" s="177">
        <v>2.1332964359108329E-2</v>
      </c>
    </row>
    <row r="1765" spans="23:27" x14ac:dyDescent="0.2">
      <c r="W1765" s="173" t="str">
        <f t="shared" si="38"/>
        <v>1w</v>
      </c>
      <c r="X1765" s="180">
        <f>_xll.qlCalendarAdvance(LiborCalendar,X1764,W1765,"f",FALSE)</f>
        <v>51321</v>
      </c>
      <c r="Y1765" s="174">
        <f>_xll.qlInterestRateIndexValueDate(IborIndex,X1765)</f>
        <v>51323</v>
      </c>
      <c r="Z1765" s="175">
        <v>2.1068149128978458E-2</v>
      </c>
      <c r="AA1765" s="177">
        <v>2.1326642401517569E-2</v>
      </c>
    </row>
    <row r="1766" spans="23:27" x14ac:dyDescent="0.2">
      <c r="W1766" s="173" t="str">
        <f t="shared" si="38"/>
        <v>1w</v>
      </c>
      <c r="X1766" s="180">
        <f>_xll.qlCalendarAdvance(LiborCalendar,X1765,W1766,"f",FALSE)</f>
        <v>51328</v>
      </c>
      <c r="Y1766" s="174">
        <f>_xll.qlInterestRateIndexValueDate(IborIndex,X1766)</f>
        <v>51330</v>
      </c>
      <c r="Z1766" s="175">
        <v>2.1062438748922645E-2</v>
      </c>
      <c r="AA1766" s="177">
        <v>2.1320348382254755E-2</v>
      </c>
    </row>
    <row r="1767" spans="23:27" x14ac:dyDescent="0.2">
      <c r="W1767" s="173" t="str">
        <f t="shared" si="38"/>
        <v>1w</v>
      </c>
      <c r="X1767" s="180">
        <f>_xll.qlCalendarAdvance(LiborCalendar,X1766,W1767,"f",FALSE)</f>
        <v>51335</v>
      </c>
      <c r="Y1767" s="174">
        <f>_xll.qlInterestRateIndexValueDate(IborIndex,X1767)</f>
        <v>51337</v>
      </c>
      <c r="Z1767" s="175">
        <v>2.1056353258393716E-2</v>
      </c>
      <c r="AA1767" s="177">
        <v>2.1314082301211828E-2</v>
      </c>
    </row>
    <row r="1768" spans="23:27" x14ac:dyDescent="0.2">
      <c r="W1768" s="173" t="str">
        <f t="shared" si="38"/>
        <v>1w</v>
      </c>
      <c r="X1768" s="180">
        <f>_xll.qlCalendarAdvance(LiborCalendar,X1767,W1768,"f",FALSE)</f>
        <v>51342</v>
      </c>
      <c r="Y1768" s="174">
        <f>_xll.qlInterestRateIndexValueDate(IborIndex,X1768)</f>
        <v>51344</v>
      </c>
      <c r="Z1768" s="175">
        <v>2.1050497122275413E-2</v>
      </c>
      <c r="AA1768" s="177">
        <v>2.1307844158469834E-2</v>
      </c>
    </row>
    <row r="1769" spans="23:27" x14ac:dyDescent="0.2">
      <c r="W1769" s="173" t="str">
        <f t="shared" si="38"/>
        <v>1w</v>
      </c>
      <c r="X1769" s="180">
        <f>_xll.qlCalendarAdvance(LiborCalendar,X1768,W1769,"f",FALSE)</f>
        <v>51349</v>
      </c>
      <c r="Y1769" s="174">
        <f>_xll.qlInterestRateIndexValueDate(IborIndex,X1769)</f>
        <v>51351</v>
      </c>
      <c r="Z1769" s="175">
        <v>2.1044668851941169E-2</v>
      </c>
      <c r="AA1769" s="177">
        <v>2.1301633953947723E-2</v>
      </c>
    </row>
    <row r="1770" spans="23:27" x14ac:dyDescent="0.2">
      <c r="W1770" s="173" t="str">
        <f t="shared" si="38"/>
        <v>1w</v>
      </c>
      <c r="X1770" s="180">
        <f>_xll.qlCalendarAdvance(LiborCalendar,X1769,W1770,"f",FALSE)</f>
        <v>51356</v>
      </c>
      <c r="Y1770" s="174">
        <f>_xll.qlInterestRateIndexValueDate(IborIndex,X1770)</f>
        <v>51358</v>
      </c>
      <c r="Z1770" s="175">
        <v>2.1039076538393084E-2</v>
      </c>
      <c r="AA1770" s="177">
        <v>2.1295451687699533E-2</v>
      </c>
    </row>
    <row r="1771" spans="23:27" x14ac:dyDescent="0.2">
      <c r="W1771" s="173" t="str">
        <f t="shared" si="38"/>
        <v>1w</v>
      </c>
      <c r="X1771" s="180">
        <f>_xll.qlCalendarAdvance(LiborCalendar,X1770,W1771,"f",FALSE)</f>
        <v>51363</v>
      </c>
      <c r="Y1771" s="174">
        <f>_xll.qlInterestRateIndexValueDate(IborIndex,X1771)</f>
        <v>51365</v>
      </c>
      <c r="Z1771" s="175">
        <v>2.1033095907635812E-2</v>
      </c>
      <c r="AA1771" s="177">
        <v>2.1289297359698239E-2</v>
      </c>
    </row>
    <row r="1772" spans="23:27" x14ac:dyDescent="0.2">
      <c r="W1772" s="173" t="str">
        <f t="shared" si="38"/>
        <v>1w</v>
      </c>
      <c r="X1772" s="180">
        <f>_xll.qlCalendarAdvance(LiborCalendar,X1771,W1772,"f",FALSE)</f>
        <v>51370</v>
      </c>
      <c r="Y1772" s="174">
        <f>_xll.qlInterestRateIndexValueDate(IborIndex,X1772)</f>
        <v>51372</v>
      </c>
      <c r="Z1772" s="175">
        <v>2.1027351233172984E-2</v>
      </c>
      <c r="AA1772" s="177">
        <v>2.1283355067941712E-2</v>
      </c>
    </row>
    <row r="1773" spans="23:27" x14ac:dyDescent="0.2">
      <c r="W1773" s="173" t="str">
        <f t="shared" si="38"/>
        <v>1w</v>
      </c>
      <c r="X1773" s="180">
        <f>_xll.qlCalendarAdvance(LiborCalendar,X1772,W1773,"f",FALSE)</f>
        <v>51377</v>
      </c>
      <c r="Y1773" s="174">
        <f>_xll.qlInterestRateIndexValueDate(IborIndex,X1773)</f>
        <v>51379</v>
      </c>
      <c r="Z1773" s="175">
        <v>2.1020783847650437E-2</v>
      </c>
      <c r="AA1773" s="177">
        <v>2.1277072518409344E-2</v>
      </c>
    </row>
    <row r="1774" spans="23:27" x14ac:dyDescent="0.2">
      <c r="W1774" s="173" t="str">
        <f t="shared" si="38"/>
        <v>1w</v>
      </c>
      <c r="X1774" s="180">
        <f>_xll.qlCalendarAdvance(LiborCalendar,X1773,W1774,"f",FALSE)</f>
        <v>51384</v>
      </c>
      <c r="Y1774" s="174">
        <f>_xll.qlInterestRateIndexValueDate(IborIndex,X1774)</f>
        <v>51386</v>
      </c>
      <c r="Z1774" s="175">
        <v>2.1015088264648523E-2</v>
      </c>
      <c r="AA1774" s="177">
        <v>2.1271002005148757E-2</v>
      </c>
    </row>
    <row r="1775" spans="23:27" x14ac:dyDescent="0.2">
      <c r="W1775" s="173" t="str">
        <f t="shared" si="38"/>
        <v>1w</v>
      </c>
      <c r="X1775" s="180">
        <f>_xll.qlCalendarAdvance(LiborCalendar,X1774,W1775,"f",FALSE)</f>
        <v>51391</v>
      </c>
      <c r="Y1775" s="174">
        <f>_xll.qlInterestRateIndexValueDate(IborIndex,X1775)</f>
        <v>51393</v>
      </c>
      <c r="Z1775" s="175">
        <v>2.1009420539204637E-2</v>
      </c>
      <c r="AA1775" s="177">
        <v>2.1264959430081037E-2</v>
      </c>
    </row>
    <row r="1776" spans="23:27" x14ac:dyDescent="0.2">
      <c r="W1776" s="173" t="str">
        <f t="shared" si="38"/>
        <v>1w</v>
      </c>
      <c r="X1776" s="180">
        <f>_xll.qlCalendarAdvance(LiborCalendar,X1775,W1776,"f",FALSE)</f>
        <v>51398</v>
      </c>
      <c r="Y1776" s="174">
        <f>_xll.qlInterestRateIndexValueDate(IborIndex,X1776)</f>
        <v>51400</v>
      </c>
      <c r="Z1776" s="175">
        <v>2.1003780671083827E-2</v>
      </c>
      <c r="AA1776" s="177">
        <v>2.125894479326022E-2</v>
      </c>
    </row>
    <row r="1777" spans="23:27" x14ac:dyDescent="0.2">
      <c r="W1777" s="173" t="str">
        <f t="shared" si="38"/>
        <v>1w</v>
      </c>
      <c r="X1777" s="180">
        <f>_xll.qlCalendarAdvance(LiborCalendar,X1776,W1777,"f",FALSE)</f>
        <v>51405</v>
      </c>
      <c r="Y1777" s="174">
        <f>_xll.qlInterestRateIndexValueDate(IborIndex,X1777)</f>
        <v>51407</v>
      </c>
      <c r="Z1777" s="175">
        <v>2.0998387700431526E-2</v>
      </c>
      <c r="AA1777" s="177">
        <v>2.125295809465929E-2</v>
      </c>
    </row>
    <row r="1778" spans="23:27" x14ac:dyDescent="0.2">
      <c r="W1778" s="173" t="str">
        <f t="shared" si="38"/>
        <v>1w</v>
      </c>
      <c r="X1778" s="180">
        <f>_xll.qlCalendarAdvance(LiborCalendar,X1777,W1778,"f",FALSE)</f>
        <v>51412</v>
      </c>
      <c r="Y1778" s="174">
        <f>_xll.qlInterestRateIndexValueDate(IborIndex,X1778)</f>
        <v>51414</v>
      </c>
      <c r="Z1778" s="175">
        <v>2.099280521214494E-2</v>
      </c>
      <c r="AA1778" s="177">
        <v>2.1246999334278243E-2</v>
      </c>
    </row>
    <row r="1779" spans="23:27" x14ac:dyDescent="0.2">
      <c r="W1779" s="173" t="str">
        <f t="shared" si="38"/>
        <v>1w</v>
      </c>
      <c r="X1779" s="180">
        <f>_xll.qlCalendarAdvance(LiborCalendar,X1778,W1779,"f",FALSE)</f>
        <v>51419</v>
      </c>
      <c r="Y1779" s="174">
        <f>_xll.qlInterestRateIndexValueDate(IborIndex,X1779)</f>
        <v>51421</v>
      </c>
      <c r="Z1779" s="175">
        <v>2.0987250582165669E-2</v>
      </c>
      <c r="AA1779" s="177">
        <v>2.1241068512117083E-2</v>
      </c>
    </row>
    <row r="1780" spans="23:27" x14ac:dyDescent="0.2">
      <c r="W1780" s="173" t="str">
        <f t="shared" si="38"/>
        <v>1w</v>
      </c>
      <c r="X1780" s="180">
        <f>_xll.qlCalendarAdvance(LiborCalendar,X1779,W1780,"f",FALSE)</f>
        <v>51426</v>
      </c>
      <c r="Y1780" s="174">
        <f>_xll.qlInterestRateIndexValueDate(IborIndex,X1780)</f>
        <v>51428</v>
      </c>
      <c r="Z1780" s="175">
        <v>2.0982621666900608E-2</v>
      </c>
      <c r="AA1780" s="177">
        <v>2.1235165628148794E-2</v>
      </c>
    </row>
    <row r="1781" spans="23:27" x14ac:dyDescent="0.2">
      <c r="W1781" s="173" t="str">
        <f t="shared" si="38"/>
        <v>1w</v>
      </c>
      <c r="X1781" s="180">
        <f>_xll.qlCalendarAdvance(LiborCalendar,X1780,W1781,"f",FALSE)</f>
        <v>51433</v>
      </c>
      <c r="Y1781" s="174">
        <f>_xll.qlInterestRateIndexValueDate(IborIndex,X1781)</f>
        <v>51435</v>
      </c>
      <c r="Z1781" s="175">
        <v>2.0976224896202759E-2</v>
      </c>
      <c r="AA1781" s="177">
        <v>2.1229290682400391E-2</v>
      </c>
    </row>
    <row r="1782" spans="23:27" x14ac:dyDescent="0.2">
      <c r="W1782" s="173" t="str">
        <f t="shared" si="38"/>
        <v>1w</v>
      </c>
      <c r="X1782" s="180">
        <f>_xll.qlCalendarAdvance(LiborCalendar,X1781,W1782,"f",FALSE)</f>
        <v>51440</v>
      </c>
      <c r="Y1782" s="174">
        <f>_xll.qlInterestRateIndexValueDate(IborIndex,X1782)</f>
        <v>51442</v>
      </c>
      <c r="Z1782" s="175">
        <v>2.0970526453087984E-2</v>
      </c>
      <c r="AA1782" s="177">
        <v>2.1223443674871872E-2</v>
      </c>
    </row>
    <row r="1783" spans="23:27" x14ac:dyDescent="0.2">
      <c r="W1783" s="173" t="str">
        <f t="shared" si="38"/>
        <v>1w</v>
      </c>
      <c r="X1783" s="180">
        <f>_xll.qlCalendarAdvance(LiborCalendar,X1782,W1783,"f",FALSE)</f>
        <v>51447</v>
      </c>
      <c r="Y1783" s="174">
        <f>_xll.qlInterestRateIndexValueDate(IborIndex,X1783)</f>
        <v>51449</v>
      </c>
      <c r="Z1783" s="175">
        <v>2.0965081579727401E-2</v>
      </c>
      <c r="AA1783" s="177">
        <v>2.121762460550921E-2</v>
      </c>
    </row>
    <row r="1784" spans="23:27" x14ac:dyDescent="0.2">
      <c r="W1784" s="173" t="str">
        <f t="shared" si="38"/>
        <v>1w</v>
      </c>
      <c r="X1784" s="180">
        <f>_xll.qlCalendarAdvance(LiborCalendar,X1783,W1784,"f",FALSE)</f>
        <v>51454</v>
      </c>
      <c r="Y1784" s="174">
        <f>_xll.qlInterestRateIndexValueDate(IborIndex,X1784)</f>
        <v>51456</v>
      </c>
      <c r="Z1784" s="175">
        <v>2.0959664561846069E-2</v>
      </c>
      <c r="AA1784" s="177">
        <v>2.1211833474366431E-2</v>
      </c>
    </row>
    <row r="1785" spans="23:27" x14ac:dyDescent="0.2">
      <c r="W1785" s="173" t="str">
        <f t="shared" si="38"/>
        <v>1w</v>
      </c>
      <c r="X1785" s="180">
        <f>_xll.qlCalendarAdvance(LiborCalendar,X1784,W1785,"f",FALSE)</f>
        <v>51461</v>
      </c>
      <c r="Y1785" s="174">
        <f>_xll.qlInterestRateIndexValueDate(IborIndex,X1785)</f>
        <v>51466</v>
      </c>
      <c r="Z1785" s="175">
        <v>2.0952440722999864E-2</v>
      </c>
      <c r="AA1785" s="177">
        <v>2.1203196858634588E-2</v>
      </c>
    </row>
    <row r="1786" spans="23:27" x14ac:dyDescent="0.2">
      <c r="W1786" s="173" t="str">
        <f t="shared" si="38"/>
        <v>1w</v>
      </c>
      <c r="X1786" s="180">
        <f>_xll.qlCalendarAdvance(LiborCalendar,X1785,W1786,"f",FALSE)</f>
        <v>51468</v>
      </c>
      <c r="Y1786" s="174">
        <f>_xll.qlInterestRateIndexValueDate(IborIndex,X1786)</f>
        <v>51470</v>
      </c>
      <c r="Z1786" s="175">
        <v>2.0949148185572211E-2</v>
      </c>
      <c r="AA1786" s="177">
        <v>2.1200335026632471E-2</v>
      </c>
    </row>
    <row r="1787" spans="23:27" x14ac:dyDescent="0.2">
      <c r="W1787" s="173" t="str">
        <f t="shared" si="38"/>
        <v>1w</v>
      </c>
      <c r="X1787" s="180">
        <f>_xll.qlCalendarAdvance(LiborCalendar,X1786,W1787,"f",FALSE)</f>
        <v>51475</v>
      </c>
      <c r="Y1787" s="174">
        <f>_xll.qlInterestRateIndexValueDate(IborIndex,X1787)</f>
        <v>51477</v>
      </c>
      <c r="Z1787" s="175">
        <v>2.0943816413794281E-2</v>
      </c>
      <c r="AA1787" s="177">
        <v>2.119462771004129E-2</v>
      </c>
    </row>
    <row r="1788" spans="23:27" x14ac:dyDescent="0.2">
      <c r="W1788" s="173" t="str">
        <f t="shared" si="38"/>
        <v>1w</v>
      </c>
      <c r="X1788" s="180">
        <f>_xll.qlCalendarAdvance(LiborCalendar,X1787,W1788,"f",FALSE)</f>
        <v>51482</v>
      </c>
      <c r="Y1788" s="174">
        <f>_xll.qlInterestRateIndexValueDate(IborIndex,X1788)</f>
        <v>51484</v>
      </c>
      <c r="Z1788" s="175">
        <v>2.0938512498277388E-2</v>
      </c>
      <c r="AA1788" s="177">
        <v>2.118894833164298E-2</v>
      </c>
    </row>
    <row r="1789" spans="23:27" x14ac:dyDescent="0.2">
      <c r="W1789" s="173" t="str">
        <f t="shared" si="38"/>
        <v>1w</v>
      </c>
      <c r="X1789" s="180">
        <f>_xll.qlCalendarAdvance(LiborCalendar,X1788,W1789,"f",FALSE)</f>
        <v>51489</v>
      </c>
      <c r="Y1789" s="174">
        <f>_xll.qlInterestRateIndexValueDate(IborIndex,X1789)</f>
        <v>51491</v>
      </c>
      <c r="Z1789" s="175">
        <v>2.0933236438798845E-2</v>
      </c>
      <c r="AA1789" s="177">
        <v>2.1183296891410523E-2</v>
      </c>
    </row>
    <row r="1790" spans="23:27" x14ac:dyDescent="0.2">
      <c r="W1790" s="173" t="str">
        <f t="shared" si="38"/>
        <v>1w</v>
      </c>
      <c r="X1790" s="180">
        <f>_xll.qlCalendarAdvance(LiborCalendar,X1789,W1790,"f",FALSE)</f>
        <v>51497</v>
      </c>
      <c r="Y1790" s="174">
        <f>_xll.qlInterestRateIndexValueDate(IborIndex,X1790)</f>
        <v>51505</v>
      </c>
      <c r="Z1790" s="175">
        <v>2.0922525371347412E-2</v>
      </c>
      <c r="AA1790" s="177">
        <v>2.1172077825443173E-2</v>
      </c>
    </row>
    <row r="1791" spans="23:27" x14ac:dyDescent="0.2">
      <c r="W1791" s="173" t="str">
        <f t="shared" si="38"/>
        <v>1w</v>
      </c>
      <c r="X1791" s="180">
        <f>_xll.qlCalendarAdvance(LiborCalendar,X1790,W1791,"f",FALSE)</f>
        <v>51504</v>
      </c>
      <c r="Y1791" s="174">
        <f>_xll.qlInterestRateIndexValueDate(IborIndex,X1791)</f>
        <v>51508</v>
      </c>
      <c r="Z1791" s="175">
        <v>2.0920539122220468E-2</v>
      </c>
      <c r="AA1791" s="177">
        <v>2.116925623686372E-2</v>
      </c>
    </row>
    <row r="1792" spans="23:27" x14ac:dyDescent="0.2">
      <c r="W1792" s="173" t="str">
        <f t="shared" si="38"/>
        <v>1w</v>
      </c>
      <c r="X1792" s="180">
        <f>_xll.qlCalendarAdvance(LiborCalendar,X1791,W1792,"f",FALSE)</f>
        <v>51511</v>
      </c>
      <c r="Y1792" s="174">
        <f>_xll.qlInterestRateIndexValueDate(IborIndex,X1792)</f>
        <v>51516</v>
      </c>
      <c r="Z1792" s="175">
        <v>2.0914620762135381E-2</v>
      </c>
      <c r="AA1792" s="177">
        <v>2.1162905375980978E-2</v>
      </c>
    </row>
    <row r="1793" spans="23:27" x14ac:dyDescent="0.2">
      <c r="W1793" s="173" t="str">
        <f t="shared" si="38"/>
        <v>1w</v>
      </c>
      <c r="X1793" s="180">
        <f>_xll.qlCalendarAdvance(LiborCalendar,X1792,W1793,"f",FALSE)</f>
        <v>51518</v>
      </c>
      <c r="Y1793" s="174">
        <f>_xll.qlInterestRateIndexValueDate(IborIndex,X1793)</f>
        <v>51522</v>
      </c>
      <c r="Z1793" s="175">
        <v>2.0910205867837324E-2</v>
      </c>
      <c r="AA1793" s="177">
        <v>2.1158166174287674E-2</v>
      </c>
    </row>
    <row r="1794" spans="23:27" x14ac:dyDescent="0.2">
      <c r="W1794" s="173" t="str">
        <f t="shared" si="38"/>
        <v>1w</v>
      </c>
      <c r="X1794" s="180">
        <f>_xll.qlCalendarAdvance(LiborCalendar,X1793,W1794,"f",FALSE)</f>
        <v>51525</v>
      </c>
      <c r="Y1794" s="174">
        <f>_xll.qlInterestRateIndexValueDate(IborIndex,X1794)</f>
        <v>51529</v>
      </c>
      <c r="Z1794" s="175">
        <v>2.0905081023036926E-2</v>
      </c>
      <c r="AA1794" s="177">
        <v>2.115266304518304E-2</v>
      </c>
    </row>
    <row r="1795" spans="23:27" x14ac:dyDescent="0.2">
      <c r="W1795" s="173" t="str">
        <f t="shared" si="38"/>
        <v>1w</v>
      </c>
      <c r="X1795" s="180">
        <f>_xll.qlCalendarAdvance(LiborCalendar,X1794,W1795,"f",FALSE)</f>
        <v>51532</v>
      </c>
      <c r="Y1795" s="174">
        <f>_xll.qlInterestRateIndexValueDate(IborIndex,X1795)</f>
        <v>51536</v>
      </c>
      <c r="Z1795" s="175">
        <v>2.0899984032877759E-2</v>
      </c>
      <c r="AA1795" s="177">
        <v>2.1147187850786286E-2</v>
      </c>
    </row>
    <row r="1796" spans="23:27" x14ac:dyDescent="0.2">
      <c r="W1796" s="173" t="str">
        <f t="shared" si="38"/>
        <v>1w</v>
      </c>
      <c r="X1796" s="180">
        <f>_xll.qlCalendarAdvance(LiborCalendar,X1795,W1796,"f",FALSE)</f>
        <v>51539</v>
      </c>
      <c r="Y1796" s="174">
        <f>_xll.qlInterestRateIndexValueDate(IborIndex,X1796)</f>
        <v>51544</v>
      </c>
      <c r="Z1796" s="175">
        <v>2.089394105955783E-2</v>
      </c>
      <c r="AA1796" s="177">
        <v>2.1140964691610531E-2</v>
      </c>
    </row>
    <row r="1797" spans="23:27" x14ac:dyDescent="0.2">
      <c r="W1797" s="173" t="str">
        <f t="shared" si="38"/>
        <v>1w</v>
      </c>
      <c r="X1797" s="180">
        <f>_xll.qlCalendarAdvance(LiborCalendar,X1796,W1797,"f",FALSE)</f>
        <v>51546</v>
      </c>
      <c r="Y1797" s="174">
        <f>_xll.qlInterestRateIndexValueDate(IborIndex,X1797)</f>
        <v>51550</v>
      </c>
      <c r="Z1797" s="175">
        <v>2.0889873615633246E-2</v>
      </c>
      <c r="AA1797" s="177">
        <v>2.1136321266197466E-2</v>
      </c>
    </row>
    <row r="1798" spans="23:27" x14ac:dyDescent="0.2">
      <c r="W1798" s="173" t="str">
        <f t="shared" si="38"/>
        <v>1w</v>
      </c>
      <c r="X1798" s="180">
        <f>_xll.qlCalendarAdvance(LiborCalendar,X1797,W1798,"f",FALSE)</f>
        <v>51553</v>
      </c>
      <c r="Y1798" s="174">
        <f>_xll.qlInterestRateIndexValueDate(IborIndex,X1798)</f>
        <v>51557</v>
      </c>
      <c r="Z1798" s="175">
        <v>2.0885115465727321E-2</v>
      </c>
      <c r="AA1798" s="177">
        <v>2.1130929876086446E-2</v>
      </c>
    </row>
    <row r="1799" spans="23:27" x14ac:dyDescent="0.2">
      <c r="W1799" s="173" t="str">
        <f t="shared" si="38"/>
        <v>1w</v>
      </c>
      <c r="X1799" s="180">
        <f>_xll.qlCalendarAdvance(LiborCalendar,X1798,W1799,"f",FALSE)</f>
        <v>51560</v>
      </c>
      <c r="Y1799" s="174">
        <f>_xll.qlInterestRateIndexValueDate(IborIndex,X1799)</f>
        <v>51564</v>
      </c>
      <c r="Z1799" s="175">
        <v>2.0880388746268252E-2</v>
      </c>
      <c r="AA1799" s="177">
        <v>2.1125566420683306E-2</v>
      </c>
    </row>
    <row r="1800" spans="23:27" x14ac:dyDescent="0.2">
      <c r="W1800" s="173" t="str">
        <f t="shared" si="38"/>
        <v>1w</v>
      </c>
      <c r="X1800" s="180">
        <f>_xll.qlCalendarAdvance(LiborCalendar,X1799,W1800,"f",FALSE)</f>
        <v>51567</v>
      </c>
      <c r="Y1800" s="174">
        <f>_xll.qlInterestRateIndexValueDate(IborIndex,X1800)</f>
        <v>51571</v>
      </c>
      <c r="Z1800" s="175">
        <v>2.0875434433602916E-2</v>
      </c>
      <c r="AA1800" s="177">
        <v>2.1120230899988046E-2</v>
      </c>
    </row>
    <row r="1801" spans="23:27" x14ac:dyDescent="0.2">
      <c r="W1801" s="173" t="str">
        <f t="shared" si="38"/>
        <v>1w</v>
      </c>
      <c r="X1801" s="180">
        <f>_xll.qlCalendarAdvance(LiborCalendar,X1800,W1801,"f",FALSE)</f>
        <v>51574</v>
      </c>
      <c r="Y1801" s="174">
        <f>_xll.qlInterestRateIndexValueDate(IborIndex,X1801)</f>
        <v>51578</v>
      </c>
      <c r="Z1801" s="175">
        <v>2.0870507977637572E-2</v>
      </c>
      <c r="AA1801" s="177">
        <v>2.1114923314081713E-2</v>
      </c>
    </row>
    <row r="1802" spans="23:27" x14ac:dyDescent="0.2">
      <c r="W1802" s="173" t="str">
        <f t="shared" si="38"/>
        <v>1w</v>
      </c>
      <c r="X1802" s="180">
        <f>_xll.qlCalendarAdvance(LiborCalendar,X1801,W1802,"f",FALSE)</f>
        <v>51581</v>
      </c>
      <c r="Y1802" s="174">
        <f>_xll.qlInterestRateIndexValueDate(IborIndex,X1802)</f>
        <v>51585</v>
      </c>
      <c r="Z1802" s="175">
        <v>2.0865609378162821E-2</v>
      </c>
      <c r="AA1802" s="177">
        <v>2.110964366288326E-2</v>
      </c>
    </row>
    <row r="1803" spans="23:27" x14ac:dyDescent="0.2">
      <c r="W1803" s="173" t="str">
        <f t="shared" si="38"/>
        <v>1w</v>
      </c>
      <c r="X1803" s="180">
        <f>_xll.qlCalendarAdvance(LiborCalendar,X1802,W1803,"f",FALSE)</f>
        <v>51588</v>
      </c>
      <c r="Y1803" s="174">
        <f>_xll.qlInterestRateIndexValueDate(IborIndex,X1803)</f>
        <v>51592</v>
      </c>
      <c r="Z1803" s="175">
        <v>2.0860474657367907E-2</v>
      </c>
      <c r="AA1803" s="177">
        <v>2.1104391946392687E-2</v>
      </c>
    </row>
    <row r="1804" spans="23:27" x14ac:dyDescent="0.2">
      <c r="W1804" s="173" t="str">
        <f t="shared" si="38"/>
        <v>1w</v>
      </c>
      <c r="X1804" s="180">
        <f>_xll.qlCalendarAdvance(LiborCalendar,X1803,W1804,"f",FALSE)</f>
        <v>51595</v>
      </c>
      <c r="Y1804" s="174">
        <f>_xll.qlInterestRateIndexValueDate(IborIndex,X1804)</f>
        <v>51599</v>
      </c>
      <c r="Z1804" s="175">
        <v>2.0855630059785354E-2</v>
      </c>
      <c r="AA1804" s="177">
        <v>2.109916816469104E-2</v>
      </c>
    </row>
    <row r="1805" spans="23:27" x14ac:dyDescent="0.2">
      <c r="W1805" s="173" t="str">
        <f t="shared" si="38"/>
        <v>1w</v>
      </c>
      <c r="X1805" s="180">
        <f>_xll.qlCalendarAdvance(LiborCalendar,X1804,W1805,"f",FALSE)</f>
        <v>51602</v>
      </c>
      <c r="Y1805" s="174">
        <f>_xll.qlInterestRateIndexValueDate(IborIndex,X1805)</f>
        <v>51606</v>
      </c>
      <c r="Z1805" s="175">
        <v>2.0850813316421406E-2</v>
      </c>
      <c r="AA1805" s="177">
        <v>2.1093972317697274E-2</v>
      </c>
    </row>
    <row r="1806" spans="23:27" x14ac:dyDescent="0.2">
      <c r="W1806" s="173" t="str">
        <f t="shared" si="38"/>
        <v>1w</v>
      </c>
      <c r="X1806" s="180">
        <f>_xll.qlCalendarAdvance(LiborCalendar,X1805,W1806,"f",FALSE)</f>
        <v>51609</v>
      </c>
      <c r="Y1806" s="174">
        <f>_xll.qlInterestRateIndexValueDate(IborIndex,X1806)</f>
        <v>51615</v>
      </c>
      <c r="Z1806" s="175">
        <v>2.0844661288990096E-2</v>
      </c>
      <c r="AA1806" s="177">
        <v>2.1087332989921936E-2</v>
      </c>
    </row>
    <row r="1807" spans="23:27" x14ac:dyDescent="0.2">
      <c r="W1807" s="173" t="str">
        <f t="shared" si="38"/>
        <v>1w</v>
      </c>
      <c r="X1807" s="180">
        <f>_xll.qlCalendarAdvance(LiborCalendar,X1806,W1807,"f",FALSE)</f>
        <v>51616</v>
      </c>
      <c r="Y1807" s="174">
        <f>_xll.qlInterestRateIndexValueDate(IborIndex,X1807)</f>
        <v>51621</v>
      </c>
      <c r="Z1807" s="175">
        <v>2.0840856591984244E-2</v>
      </c>
      <c r="AA1807" s="177">
        <v>2.1082932425848799E-2</v>
      </c>
    </row>
    <row r="1808" spans="23:27" x14ac:dyDescent="0.2">
      <c r="W1808" s="173" t="str">
        <f t="shared" si="38"/>
        <v>1w</v>
      </c>
      <c r="X1808" s="180">
        <f>_xll.qlCalendarAdvance(LiborCalendar,X1807,W1808,"f",FALSE)</f>
        <v>51623</v>
      </c>
      <c r="Y1808" s="174">
        <f>_xll.qlInterestRateIndexValueDate(IborIndex,X1808)</f>
        <v>51628</v>
      </c>
      <c r="Z1808" s="175">
        <v>2.0836129106457286E-2</v>
      </c>
      <c r="AA1808" s="177">
        <v>2.107782437369754E-2</v>
      </c>
    </row>
    <row r="1809" spans="23:27" x14ac:dyDescent="0.2">
      <c r="W1809" s="173" t="str">
        <f t="shared" si="38"/>
        <v>1w</v>
      </c>
      <c r="X1809" s="180">
        <f>_xll.qlCalendarAdvance(LiborCalendar,X1808,W1809,"f",FALSE)</f>
        <v>51630</v>
      </c>
      <c r="Y1809" s="174">
        <f>_xll.qlInterestRateIndexValueDate(IborIndex,X1809)</f>
        <v>51634</v>
      </c>
      <c r="Z1809" s="175">
        <v>2.0832099146350359E-2</v>
      </c>
      <c r="AA1809" s="177">
        <v>2.1073468277044149E-2</v>
      </c>
    </row>
    <row r="1810" spans="23:27" x14ac:dyDescent="0.2">
      <c r="W1810" s="173" t="str">
        <f t="shared" si="38"/>
        <v>1w</v>
      </c>
      <c r="X1810" s="180">
        <f>_xll.qlCalendarAdvance(LiborCalendar,X1809,W1810,"f",FALSE)</f>
        <v>51637</v>
      </c>
      <c r="Y1810" s="174">
        <f>_xll.qlInterestRateIndexValueDate(IborIndex,X1810)</f>
        <v>51641</v>
      </c>
      <c r="Z1810" s="175">
        <v>2.0827423391451876E-2</v>
      </c>
      <c r="AA1810" s="177">
        <v>2.1068412103670831E-2</v>
      </c>
    </row>
    <row r="1811" spans="23:27" x14ac:dyDescent="0.2">
      <c r="W1811" s="173" t="str">
        <f t="shared" si="38"/>
        <v>1w</v>
      </c>
      <c r="X1811" s="180">
        <f>_xll.qlCalendarAdvance(LiborCalendar,X1810,W1811,"f",FALSE)</f>
        <v>51644</v>
      </c>
      <c r="Y1811" s="174">
        <f>_xll.qlInterestRateIndexValueDate(IborIndex,X1811)</f>
        <v>51649</v>
      </c>
      <c r="Z1811" s="175">
        <v>2.0822113779316264E-2</v>
      </c>
      <c r="AA1811" s="177">
        <v>2.1062667825653136E-2</v>
      </c>
    </row>
    <row r="1812" spans="23:27" x14ac:dyDescent="0.2">
      <c r="W1812" s="173" t="str">
        <f t="shared" si="38"/>
        <v>1w</v>
      </c>
      <c r="X1812" s="180">
        <f>_xll.qlCalendarAdvance(LiborCalendar,X1811,W1812,"f",FALSE)</f>
        <v>51651</v>
      </c>
      <c r="Y1812" s="174">
        <f>_xll.qlInterestRateIndexValueDate(IborIndex,X1812)</f>
        <v>51655</v>
      </c>
      <c r="Z1812" s="175">
        <v>2.0817876014145201E-2</v>
      </c>
      <c r="AA1812" s="177">
        <v>2.1058383561290972E-2</v>
      </c>
    </row>
    <row r="1813" spans="23:27" x14ac:dyDescent="0.2">
      <c r="W1813" s="173" t="str">
        <f t="shared" ref="W1813:W1876" si="39">W1812</f>
        <v>1w</v>
      </c>
      <c r="X1813" s="180">
        <f>_xll.qlCalendarAdvance(LiborCalendar,X1812,W1813,"f",FALSE)</f>
        <v>51658</v>
      </c>
      <c r="Y1813" s="174">
        <f>_xll.qlInterestRateIndexValueDate(IborIndex,X1813)</f>
        <v>51662</v>
      </c>
      <c r="Z1813" s="175">
        <v>2.0813282097342827E-2</v>
      </c>
      <c r="AA1813" s="177">
        <v>2.105341119212234E-2</v>
      </c>
    </row>
    <row r="1814" spans="23:27" x14ac:dyDescent="0.2">
      <c r="W1814" s="173" t="str">
        <f t="shared" si="39"/>
        <v>1w</v>
      </c>
      <c r="X1814" s="180">
        <f>_xll.qlCalendarAdvance(LiborCalendar,X1813,W1814,"f",FALSE)</f>
        <v>51665</v>
      </c>
      <c r="Y1814" s="174">
        <f>_xll.qlInterestRateIndexValueDate(IborIndex,X1814)</f>
        <v>51669</v>
      </c>
      <c r="Z1814" s="175">
        <v>2.0808716032979933E-2</v>
      </c>
      <c r="AA1814" s="177">
        <v>2.1048466757742634E-2</v>
      </c>
    </row>
    <row r="1815" spans="23:27" x14ac:dyDescent="0.2">
      <c r="W1815" s="173" t="str">
        <f t="shared" si="39"/>
        <v>1w</v>
      </c>
      <c r="X1815" s="180">
        <f>_xll.qlCalendarAdvance(LiborCalendar,X1814,W1815,"f",FALSE)</f>
        <v>51672</v>
      </c>
      <c r="Y1815" s="174">
        <f>_xll.qlInterestRateIndexValueDate(IborIndex,X1815)</f>
        <v>51676</v>
      </c>
      <c r="Z1815" s="175">
        <v>2.0804177820864762E-2</v>
      </c>
      <c r="AA1815" s="177">
        <v>2.1043550257989763E-2</v>
      </c>
    </row>
    <row r="1816" spans="23:27" x14ac:dyDescent="0.2">
      <c r="W1816" s="173" t="str">
        <f t="shared" si="39"/>
        <v>1w</v>
      </c>
      <c r="X1816" s="180">
        <f>_xll.qlCalendarAdvance(LiborCalendar,X1815,W1816,"f",FALSE)</f>
        <v>51679</v>
      </c>
      <c r="Y1816" s="174">
        <f>_xll.qlInterestRateIndexValueDate(IborIndex,X1816)</f>
        <v>51683</v>
      </c>
      <c r="Z1816" s="175">
        <v>2.0801388164266365E-2</v>
      </c>
      <c r="AA1816" s="177">
        <v>2.1038661693025817E-2</v>
      </c>
    </row>
    <row r="1817" spans="23:27" x14ac:dyDescent="0.2">
      <c r="W1817" s="173" t="str">
        <f t="shared" si="39"/>
        <v>1w</v>
      </c>
      <c r="X1817" s="180">
        <f>_xll.qlCalendarAdvance(LiborCalendar,X1816,W1817,"f",FALSE)</f>
        <v>51686</v>
      </c>
      <c r="Y1817" s="174">
        <f>_xll.qlInterestRateIndexValueDate(IborIndex,X1817)</f>
        <v>51690</v>
      </c>
      <c r="Z1817" s="175">
        <v>2.079547302702598E-2</v>
      </c>
      <c r="AA1817" s="177">
        <v>2.1033801062769752E-2</v>
      </c>
    </row>
    <row r="1818" spans="23:27" x14ac:dyDescent="0.2">
      <c r="W1818" s="173" t="str">
        <f t="shared" si="39"/>
        <v>1w</v>
      </c>
      <c r="X1818" s="180">
        <f>_xll.qlCalendarAdvance(LiborCalendar,X1817,W1818,"f",FALSE)</f>
        <v>51693</v>
      </c>
      <c r="Y1818" s="174">
        <f>_xll.qlInterestRateIndexValueDate(IborIndex,X1818)</f>
        <v>51698</v>
      </c>
      <c r="Z1818" s="175">
        <v>2.0790386245937022E-2</v>
      </c>
      <c r="AA1818" s="177">
        <v>2.1028280262577193E-2</v>
      </c>
    </row>
    <row r="1819" spans="23:27" x14ac:dyDescent="0.2">
      <c r="W1819" s="173" t="str">
        <f t="shared" si="39"/>
        <v>1w</v>
      </c>
      <c r="X1819" s="180">
        <f>_xll.qlCalendarAdvance(LiborCalendar,X1818,W1819,"f",FALSE)</f>
        <v>51700</v>
      </c>
      <c r="Y1819" s="174">
        <f>_xll.qlInterestRateIndexValueDate(IborIndex,X1819)</f>
        <v>51704</v>
      </c>
      <c r="Z1819" s="175">
        <v>2.0786595034227237E-2</v>
      </c>
      <c r="AA1819" s="177">
        <v>2.1024163606462309E-2</v>
      </c>
    </row>
    <row r="1820" spans="23:27" x14ac:dyDescent="0.2">
      <c r="W1820" s="173" t="str">
        <f t="shared" si="39"/>
        <v>1w</v>
      </c>
      <c r="X1820" s="180">
        <f>_xll.qlCalendarAdvance(LiborCalendar,X1819,W1820,"f",FALSE)</f>
        <v>51707</v>
      </c>
      <c r="Y1820" s="174">
        <f>_xll.qlInterestRateIndexValueDate(IborIndex,X1820)</f>
        <v>51711</v>
      </c>
      <c r="Z1820" s="175">
        <v>2.078219781733967E-2</v>
      </c>
      <c r="AA1820" s="177">
        <v>2.1019386780329885E-2</v>
      </c>
    </row>
    <row r="1821" spans="23:27" x14ac:dyDescent="0.2">
      <c r="W1821" s="173" t="str">
        <f t="shared" si="39"/>
        <v>1w</v>
      </c>
      <c r="X1821" s="180">
        <f>_xll.qlCalendarAdvance(LiborCalendar,X1820,W1821,"f",FALSE)</f>
        <v>51714</v>
      </c>
      <c r="Y1821" s="174">
        <f>_xll.qlInterestRateIndexValueDate(IborIndex,X1821)</f>
        <v>51718</v>
      </c>
      <c r="Z1821" s="175">
        <v>2.0777828453212206E-2</v>
      </c>
      <c r="AA1821" s="177">
        <v>2.1014637888986387E-2</v>
      </c>
    </row>
    <row r="1822" spans="23:27" x14ac:dyDescent="0.2">
      <c r="W1822" s="173" t="str">
        <f t="shared" si="39"/>
        <v>1w</v>
      </c>
      <c r="X1822" s="180">
        <f>_xll.qlCalendarAdvance(LiborCalendar,X1821,W1822,"f",FALSE)</f>
        <v>51721</v>
      </c>
      <c r="Y1822" s="174">
        <f>_xll.qlInterestRateIndexValueDate(IborIndex,X1822)</f>
        <v>51725</v>
      </c>
      <c r="Z1822" s="175">
        <v>2.0773486941660202E-2</v>
      </c>
      <c r="AA1822" s="177">
        <v>2.100991693235077E-2</v>
      </c>
    </row>
    <row r="1823" spans="23:27" x14ac:dyDescent="0.2">
      <c r="W1823" s="173" t="str">
        <f t="shared" si="39"/>
        <v>1w</v>
      </c>
      <c r="X1823" s="180">
        <f>_xll.qlCalendarAdvance(LiborCalendar,X1822,W1823,"f",FALSE)</f>
        <v>51728</v>
      </c>
      <c r="Y1823" s="174">
        <f>_xll.qlInterestRateIndexValueDate(IborIndex,X1823)</f>
        <v>51732</v>
      </c>
      <c r="Z1823" s="175">
        <v>2.0769173282500331E-2</v>
      </c>
      <c r="AA1823" s="177">
        <v>2.1005223910423032E-2</v>
      </c>
    </row>
    <row r="1824" spans="23:27" x14ac:dyDescent="0.2">
      <c r="W1824" s="173" t="str">
        <f t="shared" si="39"/>
        <v>1w</v>
      </c>
      <c r="X1824" s="180">
        <f>_xll.qlCalendarAdvance(LiborCalendar,X1823,W1824,"f",FALSE)</f>
        <v>51735</v>
      </c>
      <c r="Y1824" s="174">
        <f>_xll.qlInterestRateIndexValueDate(IborIndex,X1824)</f>
        <v>51740</v>
      </c>
      <c r="Z1824" s="175">
        <v>2.07642774910533E-2</v>
      </c>
      <c r="AA1824" s="177">
        <v>2.0999894662547813E-2</v>
      </c>
    </row>
    <row r="1825" spans="23:27" x14ac:dyDescent="0.2">
      <c r="W1825" s="173" t="str">
        <f t="shared" si="39"/>
        <v>1w</v>
      </c>
      <c r="X1825" s="180">
        <f>_xll.qlCalendarAdvance(LiborCalendar,X1824,W1825,"f",FALSE)</f>
        <v>51742</v>
      </c>
      <c r="Y1825" s="174">
        <f>_xll.qlInterestRateIndexValueDate(IborIndex,X1825)</f>
        <v>51746</v>
      </c>
      <c r="Z1825" s="175">
        <v>2.0760025721732814E-2</v>
      </c>
      <c r="AA1825" s="177">
        <v>2.0995921670610151E-2</v>
      </c>
    </row>
    <row r="1826" spans="23:27" x14ac:dyDescent="0.2">
      <c r="W1826" s="173" t="str">
        <f t="shared" si="39"/>
        <v>1w</v>
      </c>
      <c r="X1826" s="180">
        <f>_xll.qlCalendarAdvance(LiborCalendar,X1825,W1826,"f",FALSE)</f>
        <v>51749</v>
      </c>
      <c r="Y1826" s="174">
        <f>_xll.qlInterestRateIndexValueDate(IborIndex,X1826)</f>
        <v>51753</v>
      </c>
      <c r="Z1826" s="175">
        <v>2.0755792125581801E-2</v>
      </c>
      <c r="AA1826" s="177">
        <v>2.0991312452806055E-2</v>
      </c>
    </row>
    <row r="1827" spans="23:27" x14ac:dyDescent="0.2">
      <c r="W1827" s="173" t="str">
        <f t="shared" si="39"/>
        <v>1w</v>
      </c>
      <c r="X1827" s="180">
        <f>_xll.qlCalendarAdvance(LiborCalendar,X1826,W1827,"f",FALSE)</f>
        <v>51756</v>
      </c>
      <c r="Y1827" s="174">
        <f>_xll.qlInterestRateIndexValueDate(IborIndex,X1827)</f>
        <v>51761</v>
      </c>
      <c r="Z1827" s="175">
        <v>2.0750682454406824E-2</v>
      </c>
      <c r="AA1827" s="177">
        <v>2.098607898113003E-2</v>
      </c>
    </row>
    <row r="1828" spans="23:27" x14ac:dyDescent="0.2">
      <c r="W1828" s="173" t="str">
        <f t="shared" si="39"/>
        <v>1w</v>
      </c>
      <c r="X1828" s="180">
        <f>_xll.qlCalendarAdvance(LiborCalendar,X1827,W1828,"f",FALSE)</f>
        <v>51763</v>
      </c>
      <c r="Y1828" s="174">
        <f>_xll.qlInterestRateIndexValueDate(IborIndex,X1828)</f>
        <v>51768</v>
      </c>
      <c r="Z1828" s="175">
        <v>2.0746506783480442E-2</v>
      </c>
      <c r="AA1828" s="177">
        <v>2.098152962346056E-2</v>
      </c>
    </row>
    <row r="1829" spans="23:27" x14ac:dyDescent="0.2">
      <c r="W1829" s="173" t="str">
        <f t="shared" si="39"/>
        <v>1w</v>
      </c>
      <c r="X1829" s="180">
        <f>_xll.qlCalendarAdvance(LiborCalendar,X1828,W1829,"f",FALSE)</f>
        <v>51770</v>
      </c>
      <c r="Y1829" s="174">
        <f>_xll.qlInterestRateIndexValueDate(IborIndex,X1829)</f>
        <v>51774</v>
      </c>
      <c r="Z1829" s="175">
        <v>2.0743258426842701E-2</v>
      </c>
      <c r="AA1829" s="177">
        <v>2.0977652407722092E-2</v>
      </c>
    </row>
    <row r="1830" spans="23:27" x14ac:dyDescent="0.2">
      <c r="W1830" s="173" t="str">
        <f t="shared" si="39"/>
        <v>1w</v>
      </c>
      <c r="X1830" s="180">
        <f>_xll.qlCalendarAdvance(LiborCalendar,X1829,W1830,"f",FALSE)</f>
        <v>51777</v>
      </c>
      <c r="Y1830" s="174">
        <f>_xll.qlInterestRateIndexValueDate(IborIndex,X1830)</f>
        <v>51781</v>
      </c>
      <c r="Z1830" s="175">
        <v>2.0739446781936184E-2</v>
      </c>
      <c r="AA1830" s="177">
        <v>2.0973154928749516E-2</v>
      </c>
    </row>
    <row r="1831" spans="23:27" x14ac:dyDescent="0.2">
      <c r="W1831" s="173" t="str">
        <f t="shared" si="39"/>
        <v>1w</v>
      </c>
      <c r="X1831" s="180">
        <f>_xll.qlCalendarAdvance(LiborCalendar,X1830,W1831,"f",FALSE)</f>
        <v>51784</v>
      </c>
      <c r="Y1831" s="174">
        <f>_xll.qlInterestRateIndexValueDate(IborIndex,X1831)</f>
        <v>51789</v>
      </c>
      <c r="Z1831" s="175">
        <v>2.0734459232657109E-2</v>
      </c>
      <c r="AA1831" s="177">
        <v>2.0968049158537339E-2</v>
      </c>
    </row>
    <row r="1832" spans="23:27" x14ac:dyDescent="0.2">
      <c r="W1832" s="173" t="str">
        <f t="shared" si="39"/>
        <v>1w</v>
      </c>
      <c r="X1832" s="180">
        <f>_xll.qlCalendarAdvance(LiborCalendar,X1831,W1832,"f",FALSE)</f>
        <v>51791</v>
      </c>
      <c r="Y1832" s="174">
        <f>_xll.qlInterestRateIndexValueDate(IborIndex,X1832)</f>
        <v>51795</v>
      </c>
      <c r="Z1832" s="175">
        <v>2.0730975359020059E-2</v>
      </c>
      <c r="AA1832" s="177">
        <v>2.096424377500905E-2</v>
      </c>
    </row>
    <row r="1833" spans="23:27" x14ac:dyDescent="0.2">
      <c r="W1833" s="173" t="str">
        <f t="shared" si="39"/>
        <v>1w</v>
      </c>
      <c r="X1833" s="180">
        <f>_xll.qlCalendarAdvance(LiborCalendar,X1832,W1833,"f",FALSE)</f>
        <v>51798</v>
      </c>
      <c r="Y1833" s="174">
        <f>_xll.qlInterestRateIndexValueDate(IborIndex,X1833)</f>
        <v>51802</v>
      </c>
      <c r="Z1833" s="175">
        <v>2.0726936698036835E-2</v>
      </c>
      <c r="AA1833" s="177">
        <v>2.0959830100160115E-2</v>
      </c>
    </row>
    <row r="1834" spans="23:27" x14ac:dyDescent="0.2">
      <c r="W1834" s="173" t="str">
        <f t="shared" si="39"/>
        <v>1w</v>
      </c>
      <c r="X1834" s="180">
        <f>_xll.qlCalendarAdvance(LiborCalendar,X1833,W1834,"f",FALSE)</f>
        <v>51805</v>
      </c>
      <c r="Y1834" s="174">
        <f>_xll.qlInterestRateIndexValueDate(IborIndex,X1834)</f>
        <v>51810</v>
      </c>
      <c r="Z1834" s="175">
        <v>2.0722673022380646E-2</v>
      </c>
      <c r="AA1834" s="177">
        <v>2.0954820106066085E-2</v>
      </c>
    </row>
    <row r="1835" spans="23:27" x14ac:dyDescent="0.2">
      <c r="W1835" s="173" t="str">
        <f t="shared" si="39"/>
        <v>1w</v>
      </c>
      <c r="X1835" s="180">
        <f>_xll.qlCalendarAdvance(LiborCalendar,X1834,W1835,"f",FALSE)</f>
        <v>51812</v>
      </c>
      <c r="Y1835" s="174">
        <f>_xll.qlInterestRateIndexValueDate(IborIndex,X1835)</f>
        <v>51816</v>
      </c>
      <c r="Z1835" s="175">
        <v>2.0718942917494279E-2</v>
      </c>
      <c r="AA1835" s="177">
        <v>2.0951086554504839E-2</v>
      </c>
    </row>
    <row r="1836" spans="23:27" x14ac:dyDescent="0.2">
      <c r="W1836" s="173" t="str">
        <f t="shared" si="39"/>
        <v>1w</v>
      </c>
      <c r="X1836" s="180">
        <f>_xll.qlCalendarAdvance(LiborCalendar,X1835,W1836,"f",FALSE)</f>
        <v>51819</v>
      </c>
      <c r="Y1836" s="174">
        <f>_xll.qlInterestRateIndexValueDate(IborIndex,X1836)</f>
        <v>51823</v>
      </c>
      <c r="Z1836" s="175">
        <v>2.0714987797600264E-2</v>
      </c>
      <c r="AA1836" s="177">
        <v>2.0946756683779544E-2</v>
      </c>
    </row>
    <row r="1837" spans="23:27" x14ac:dyDescent="0.2">
      <c r="W1837" s="173" t="str">
        <f t="shared" si="39"/>
        <v>1w</v>
      </c>
      <c r="X1837" s="180">
        <f>_xll.qlCalendarAdvance(LiborCalendar,X1836,W1837,"f",FALSE)</f>
        <v>51826</v>
      </c>
      <c r="Y1837" s="174">
        <f>_xll.qlInterestRateIndexValueDate(IborIndex,X1837)</f>
        <v>51830</v>
      </c>
      <c r="Z1837" s="175">
        <v>2.0711383399393362E-2</v>
      </c>
      <c r="AA1837" s="177">
        <v>2.0942454747762129E-2</v>
      </c>
    </row>
    <row r="1838" spans="23:27" x14ac:dyDescent="0.2">
      <c r="W1838" s="173" t="str">
        <f t="shared" si="39"/>
        <v>1w</v>
      </c>
      <c r="X1838" s="180">
        <f>_xll.qlCalendarAdvance(LiborCalendar,X1837,W1838,"f",FALSE)</f>
        <v>51833</v>
      </c>
      <c r="Y1838" s="174">
        <f>_xll.qlInterestRateIndexValueDate(IborIndex,X1838)</f>
        <v>51837</v>
      </c>
      <c r="Z1838" s="175">
        <v>2.0707161097740182E-2</v>
      </c>
      <c r="AA1838" s="177">
        <v>2.0938180746452595E-2</v>
      </c>
    </row>
    <row r="1839" spans="23:27" x14ac:dyDescent="0.2">
      <c r="W1839" s="173" t="str">
        <f t="shared" si="39"/>
        <v>1w</v>
      </c>
      <c r="X1839" s="180">
        <f>_xll.qlCalendarAdvance(LiborCalendar,X1838,W1839,"f",FALSE)</f>
        <v>51840</v>
      </c>
      <c r="Y1839" s="174">
        <f>_xll.qlInterestRateIndexValueDate(IborIndex,X1839)</f>
        <v>51844</v>
      </c>
      <c r="Z1839" s="175">
        <v>2.0703289517448219E-2</v>
      </c>
      <c r="AA1839" s="177">
        <v>2.0933934679769894E-2</v>
      </c>
    </row>
    <row r="1840" spans="23:27" x14ac:dyDescent="0.2">
      <c r="W1840" s="173" t="str">
        <f t="shared" si="39"/>
        <v>1w</v>
      </c>
      <c r="X1840" s="180">
        <f>_xll.qlCalendarAdvance(LiborCalendar,X1839,W1840,"f",FALSE)</f>
        <v>51847</v>
      </c>
      <c r="Y1840" s="174">
        <f>_xll.qlInterestRateIndexValueDate(IborIndex,X1840)</f>
        <v>51851</v>
      </c>
      <c r="Z1840" s="175">
        <v>2.0699445783363794E-2</v>
      </c>
      <c r="AA1840" s="177">
        <v>2.0929716547795074E-2</v>
      </c>
    </row>
    <row r="1841" spans="23:27" x14ac:dyDescent="0.2">
      <c r="W1841" s="173" t="str">
        <f t="shared" si="39"/>
        <v>1w</v>
      </c>
      <c r="X1841" s="180">
        <f>_xll.qlCalendarAdvance(LiborCalendar,X1840,W1841,"f",FALSE)</f>
        <v>51854</v>
      </c>
      <c r="Y1841" s="174">
        <f>_xll.qlInterestRateIndexValueDate(IborIndex,X1841)</f>
        <v>51859</v>
      </c>
      <c r="Z1841" s="175">
        <v>2.0695087041602864E-2</v>
      </c>
      <c r="AA1841" s="177">
        <v>2.0925534023314617E-2</v>
      </c>
    </row>
    <row r="1842" spans="23:27" x14ac:dyDescent="0.2">
      <c r="W1842" s="173" t="str">
        <f t="shared" si="39"/>
        <v>1w</v>
      </c>
      <c r="X1842" s="180">
        <f>_xll.qlCalendarAdvance(LiborCalendar,X1841,W1842,"f",FALSE)</f>
        <v>51862</v>
      </c>
      <c r="Y1842" s="174">
        <f>_xll.qlInterestRateIndexValueDate(IborIndex,X1842)</f>
        <v>51872</v>
      </c>
      <c r="Z1842" s="175">
        <v>2.0688081656762732E-2</v>
      </c>
      <c r="AA1842" s="177">
        <v>2.0917229760198941E-2</v>
      </c>
    </row>
    <row r="1843" spans="23:27" x14ac:dyDescent="0.2">
      <c r="W1843" s="173" t="str">
        <f t="shared" si="39"/>
        <v>1w</v>
      </c>
      <c r="X1843" s="180">
        <f>_xll.qlCalendarAdvance(LiborCalendar,X1842,W1843,"f",FALSE)</f>
        <v>51869</v>
      </c>
      <c r="Y1843" s="174">
        <f>_xll.qlInterestRateIndexValueDate(IborIndex,X1843)</f>
        <v>51873</v>
      </c>
      <c r="Z1843" s="175">
        <v>2.0687213192634824E-2</v>
      </c>
      <c r="AA1843" s="177">
        <v>2.0916641422310533E-2</v>
      </c>
    </row>
    <row r="1844" spans="23:27" x14ac:dyDescent="0.2">
      <c r="W1844" s="173" t="str">
        <f t="shared" si="39"/>
        <v>1w</v>
      </c>
      <c r="X1844" s="180">
        <f>_xll.qlCalendarAdvance(LiborCalendar,X1843,W1844,"f",FALSE)</f>
        <v>51876</v>
      </c>
      <c r="Y1844" s="174">
        <f>_xll.qlInterestRateIndexValueDate(IborIndex,X1844)</f>
        <v>51880</v>
      </c>
      <c r="Z1844" s="175">
        <v>2.0683483044001093E-2</v>
      </c>
      <c r="AA1844" s="177">
        <v>2.0912539019805054E-2</v>
      </c>
    </row>
    <row r="1845" spans="23:27" x14ac:dyDescent="0.2">
      <c r="W1845" s="173" t="str">
        <f t="shared" si="39"/>
        <v>1w</v>
      </c>
      <c r="X1845" s="180">
        <f>_xll.qlCalendarAdvance(LiborCalendar,X1844,W1845,"f",FALSE)</f>
        <v>51883</v>
      </c>
      <c r="Y1845" s="174">
        <f>_xll.qlInterestRateIndexValueDate(IborIndex,X1845)</f>
        <v>51887</v>
      </c>
      <c r="Z1845" s="175">
        <v>2.0680117858516821E-2</v>
      </c>
      <c r="AA1845" s="177">
        <v>2.0908464552007455E-2</v>
      </c>
    </row>
    <row r="1846" spans="23:27" x14ac:dyDescent="0.2">
      <c r="W1846" s="173" t="str">
        <f t="shared" si="39"/>
        <v>1w</v>
      </c>
      <c r="X1846" s="180">
        <f>_xll.qlCalendarAdvance(LiborCalendar,X1845,W1846,"f",FALSE)</f>
        <v>51890</v>
      </c>
      <c r="Y1846" s="174">
        <f>_xll.qlInterestRateIndexValueDate(IborIndex,X1846)</f>
        <v>51894</v>
      </c>
      <c r="Z1846" s="175">
        <v>2.0676106277909421E-2</v>
      </c>
      <c r="AA1846" s="177">
        <v>2.0904418018917736E-2</v>
      </c>
    </row>
    <row r="1847" spans="23:27" x14ac:dyDescent="0.2">
      <c r="W1847" s="173" t="str">
        <f t="shared" si="39"/>
        <v>1w</v>
      </c>
      <c r="X1847" s="180">
        <f>_xll.qlCalendarAdvance(LiborCalendar,X1846,W1847,"f",FALSE)</f>
        <v>51897</v>
      </c>
      <c r="Y1847" s="174">
        <f>_xll.qlInterestRateIndexValueDate(IborIndex,X1847)</f>
        <v>51901</v>
      </c>
      <c r="Z1847" s="175">
        <v>2.067245966014454E-2</v>
      </c>
      <c r="AA1847" s="177">
        <v>2.0900399420535898E-2</v>
      </c>
    </row>
    <row r="1848" spans="23:27" x14ac:dyDescent="0.2">
      <c r="W1848" s="173" t="str">
        <f t="shared" si="39"/>
        <v>1w</v>
      </c>
      <c r="X1848" s="180">
        <f>_xll.qlCalendarAdvance(LiborCalendar,X1847,W1848,"f",FALSE)</f>
        <v>51904</v>
      </c>
      <c r="Y1848" s="174">
        <f>_xll.qlInterestRateIndexValueDate(IborIndex,X1848)</f>
        <v>51909</v>
      </c>
      <c r="Z1848" s="175">
        <v>2.066832619083539E-2</v>
      </c>
      <c r="AA1848" s="177">
        <v>2.0895840942404265E-2</v>
      </c>
    </row>
    <row r="1849" spans="23:27" x14ac:dyDescent="0.2">
      <c r="W1849" s="173" t="str">
        <f t="shared" si="39"/>
        <v>1w</v>
      </c>
      <c r="X1849" s="180">
        <f>_xll.qlCalendarAdvance(LiborCalendar,X1848,W1849,"f",FALSE)</f>
        <v>51911</v>
      </c>
      <c r="Y1849" s="174">
        <f>_xll.qlInterestRateIndexValueDate(IborIndex,X1849)</f>
        <v>51915</v>
      </c>
      <c r="Z1849" s="175">
        <v>2.066524995441885E-2</v>
      </c>
      <c r="AA1849" s="177">
        <v>2.0892446027733769E-2</v>
      </c>
    </row>
    <row r="1850" spans="23:27" x14ac:dyDescent="0.2">
      <c r="W1850" s="173" t="str">
        <f t="shared" si="39"/>
        <v>1w</v>
      </c>
      <c r="X1850" s="180">
        <f>_xll.qlCalendarAdvance(LiborCalendar,X1849,W1850,"f",FALSE)</f>
        <v>51918</v>
      </c>
      <c r="Y1850" s="174">
        <f>_xll.qlInterestRateIndexValueDate(IborIndex,X1850)</f>
        <v>51922</v>
      </c>
      <c r="Z1850" s="175">
        <v>2.0662032896454411E-2</v>
      </c>
      <c r="AA1850" s="177">
        <v>2.0888511233394524E-2</v>
      </c>
    </row>
    <row r="1851" spans="23:27" x14ac:dyDescent="0.2">
      <c r="W1851" s="173" t="str">
        <f t="shared" si="39"/>
        <v>1w</v>
      </c>
      <c r="X1851" s="180">
        <f>_xll.qlCalendarAdvance(LiborCalendar,X1850,W1851,"f",FALSE)</f>
        <v>51925</v>
      </c>
      <c r="Y1851" s="174">
        <f>_xll.qlInterestRateIndexValueDate(IborIndex,X1851)</f>
        <v>51929</v>
      </c>
      <c r="Z1851" s="175">
        <v>2.0659195625330935E-2</v>
      </c>
      <c r="AA1851" s="177">
        <v>2.088460437376316E-2</v>
      </c>
    </row>
    <row r="1852" spans="23:27" x14ac:dyDescent="0.2">
      <c r="W1852" s="173" t="str">
        <f t="shared" si="39"/>
        <v>1w</v>
      </c>
      <c r="X1852" s="180">
        <f>_xll.qlCalendarAdvance(LiborCalendar,X1851,W1852,"f",FALSE)</f>
        <v>51932</v>
      </c>
      <c r="Y1852" s="174">
        <f>_xll.qlInterestRateIndexValueDate(IborIndex,X1852)</f>
        <v>51936</v>
      </c>
      <c r="Z1852" s="175">
        <v>2.0655693589251109E-2</v>
      </c>
      <c r="AA1852" s="177">
        <v>2.088072544875863E-2</v>
      </c>
    </row>
    <row r="1853" spans="23:27" x14ac:dyDescent="0.2">
      <c r="W1853" s="173" t="str">
        <f t="shared" si="39"/>
        <v>1w</v>
      </c>
      <c r="X1853" s="180">
        <f>_xll.qlCalendarAdvance(LiborCalendar,X1852,W1853,"f",FALSE)</f>
        <v>51939</v>
      </c>
      <c r="Y1853" s="174">
        <f>_xll.qlInterestRateIndexValueDate(IborIndex,X1853)</f>
        <v>51943</v>
      </c>
      <c r="Z1853" s="175">
        <v>2.0652219400587399E-2</v>
      </c>
      <c r="AA1853" s="177">
        <v>2.0876874458543027E-2</v>
      </c>
    </row>
    <row r="1854" spans="23:27" x14ac:dyDescent="0.2">
      <c r="W1854" s="173" t="str">
        <f t="shared" si="39"/>
        <v>1w</v>
      </c>
      <c r="X1854" s="180">
        <f>_xll.qlCalendarAdvance(LiborCalendar,X1853,W1854,"f",FALSE)</f>
        <v>51946</v>
      </c>
      <c r="Y1854" s="174">
        <f>_xll.qlInterestRateIndexValueDate(IborIndex,X1854)</f>
        <v>51950</v>
      </c>
      <c r="Z1854" s="175">
        <v>2.0648773059192091E-2</v>
      </c>
      <c r="AA1854" s="177">
        <v>2.0873051402873211E-2</v>
      </c>
    </row>
    <row r="1855" spans="23:27" x14ac:dyDescent="0.2">
      <c r="W1855" s="173" t="str">
        <f t="shared" si="39"/>
        <v>1w</v>
      </c>
      <c r="X1855" s="180">
        <f>_xll.qlCalendarAdvance(LiborCalendar,X1854,W1855,"f",FALSE)</f>
        <v>51953</v>
      </c>
      <c r="Y1855" s="174">
        <f>_xll.qlInterestRateIndexValueDate(IborIndex,X1855)</f>
        <v>51957</v>
      </c>
      <c r="Z1855" s="175">
        <v>2.0644999213194563E-2</v>
      </c>
      <c r="AA1855" s="177">
        <v>2.0869256281992321E-2</v>
      </c>
    </row>
    <row r="1856" spans="23:27" x14ac:dyDescent="0.2">
      <c r="W1856" s="173" t="str">
        <f t="shared" si="39"/>
        <v>1w</v>
      </c>
      <c r="X1856" s="180">
        <f>_xll.qlCalendarAdvance(LiborCalendar,X1855,W1856,"f",FALSE)</f>
        <v>51964</v>
      </c>
      <c r="Y1856" s="174">
        <f>_xll.qlInterestRateIndexValueDate(IborIndex,X1856)</f>
        <v>51966</v>
      </c>
      <c r="Z1856" s="175">
        <v>2.0640642615432237E-2</v>
      </c>
      <c r="AA1856" s="177">
        <v>2.0864417887755948E-2</v>
      </c>
    </row>
    <row r="1857" spans="23:27" x14ac:dyDescent="0.2">
      <c r="W1857" s="173" t="str">
        <f t="shared" si="39"/>
        <v>1w</v>
      </c>
      <c r="X1857" s="180">
        <f>_xll.qlCalendarAdvance(LiborCalendar,X1856,W1857,"f",FALSE)</f>
        <v>51971</v>
      </c>
      <c r="Y1857" s="174">
        <f>_xll.qlInterestRateIndexValueDate(IborIndex,X1857)</f>
        <v>51973</v>
      </c>
      <c r="Z1857" s="175">
        <v>2.0637285973589509E-2</v>
      </c>
      <c r="AA1857" s="177">
        <v>2.0860686617404367E-2</v>
      </c>
    </row>
    <row r="1858" spans="23:27" x14ac:dyDescent="0.2">
      <c r="W1858" s="173" t="str">
        <f t="shared" si="39"/>
        <v>1w</v>
      </c>
      <c r="X1858" s="180">
        <f>_xll.qlCalendarAdvance(LiborCalendar,X1857,W1858,"f",FALSE)</f>
        <v>51978</v>
      </c>
      <c r="Y1858" s="174">
        <f>_xll.qlInterestRateIndexValueDate(IborIndex,X1858)</f>
        <v>51980</v>
      </c>
      <c r="Z1858" s="175">
        <v>2.0633957176791083E-2</v>
      </c>
      <c r="AA1858" s="177">
        <v>2.0856983281922759E-2</v>
      </c>
    </row>
    <row r="1859" spans="23:27" x14ac:dyDescent="0.2">
      <c r="W1859" s="173" t="str">
        <f t="shared" si="39"/>
        <v>1w</v>
      </c>
      <c r="X1859" s="180">
        <f>_xll.qlCalendarAdvance(LiborCalendar,X1858,W1859,"f",FALSE)</f>
        <v>51985</v>
      </c>
      <c r="Y1859" s="174">
        <f>_xll.qlInterestRateIndexValueDate(IborIndex,X1859)</f>
        <v>51987</v>
      </c>
      <c r="Z1859" s="175">
        <v>2.0632109574103646E-2</v>
      </c>
      <c r="AA1859" s="177">
        <v>2.0853307881067984E-2</v>
      </c>
    </row>
    <row r="1860" spans="23:27" x14ac:dyDescent="0.2">
      <c r="W1860" s="173" t="str">
        <f t="shared" si="39"/>
        <v>1w</v>
      </c>
      <c r="X1860" s="180">
        <f>_xll.qlCalendarAdvance(LiborCalendar,X1859,W1860,"f",FALSE)</f>
        <v>51992</v>
      </c>
      <c r="Y1860" s="174">
        <f>_xll.qlInterestRateIndexValueDate(IborIndex,X1860)</f>
        <v>51994</v>
      </c>
      <c r="Z1860" s="175">
        <v>2.0628478258431018E-2</v>
      </c>
      <c r="AA1860" s="177">
        <v>2.084966041492109E-2</v>
      </c>
    </row>
    <row r="1861" spans="23:27" x14ac:dyDescent="0.2">
      <c r="W1861" s="173" t="str">
        <f t="shared" si="39"/>
        <v>1w</v>
      </c>
      <c r="X1861" s="180">
        <f>_xll.qlCalendarAdvance(LiborCalendar,X1860,W1861,"f",FALSE)</f>
        <v>51999</v>
      </c>
      <c r="Y1861" s="174">
        <f>_xll.qlInterestRateIndexValueDate(IborIndex,X1861)</f>
        <v>52001</v>
      </c>
      <c r="Z1861" s="175">
        <v>2.0625238408670934E-2</v>
      </c>
      <c r="AA1861" s="177">
        <v>2.0846040883401029E-2</v>
      </c>
    </row>
    <row r="1862" spans="23:27" x14ac:dyDescent="0.2">
      <c r="W1862" s="173" t="str">
        <f t="shared" si="39"/>
        <v>1w</v>
      </c>
      <c r="X1862" s="180">
        <f>_xll.qlCalendarAdvance(LiborCalendar,X1861,W1862,"f",FALSE)</f>
        <v>52006</v>
      </c>
      <c r="Y1862" s="174">
        <f>_xll.qlInterestRateIndexValueDate(IborIndex,X1862)</f>
        <v>52008</v>
      </c>
      <c r="Z1862" s="175">
        <v>2.0622395438741444E-2</v>
      </c>
      <c r="AA1862" s="177">
        <v>2.0842449286588849E-2</v>
      </c>
    </row>
    <row r="1863" spans="23:27" x14ac:dyDescent="0.2">
      <c r="W1863" s="173" t="str">
        <f t="shared" si="39"/>
        <v>1w</v>
      </c>
      <c r="X1863" s="180">
        <f>_xll.qlCalendarAdvance(LiborCalendar,X1862,W1863,"f",FALSE)</f>
        <v>52013</v>
      </c>
      <c r="Y1863" s="174">
        <f>_xll.qlInterestRateIndexValueDate(IborIndex,X1863)</f>
        <v>52015</v>
      </c>
      <c r="Z1863" s="175">
        <v>2.0617730863608803E-2</v>
      </c>
      <c r="AA1863" s="177">
        <v>2.0838885624484549E-2</v>
      </c>
    </row>
    <row r="1864" spans="23:27" x14ac:dyDescent="0.2">
      <c r="W1864" s="173" t="str">
        <f t="shared" si="39"/>
        <v>1w</v>
      </c>
      <c r="X1864" s="180">
        <f>_xll.qlCalendarAdvance(LiborCalendar,X1863,W1864,"f",FALSE)</f>
        <v>52020</v>
      </c>
      <c r="Y1864" s="174">
        <f>_xll.qlInterestRateIndexValueDate(IborIndex,X1864)</f>
        <v>52022</v>
      </c>
      <c r="Z1864" s="175">
        <v>2.0614569134179278E-2</v>
      </c>
      <c r="AA1864" s="177">
        <v>2.0835349897007083E-2</v>
      </c>
    </row>
    <row r="1865" spans="23:27" x14ac:dyDescent="0.2">
      <c r="W1865" s="173" t="str">
        <f t="shared" si="39"/>
        <v>1w</v>
      </c>
      <c r="X1865" s="180">
        <f>_xll.qlCalendarAdvance(LiborCalendar,X1864,W1865,"f",FALSE)</f>
        <v>52027</v>
      </c>
      <c r="Y1865" s="174">
        <f>_xll.qlInterestRateIndexValueDate(IborIndex,X1865)</f>
        <v>52029</v>
      </c>
      <c r="Z1865" s="175">
        <v>2.0611435248839627E-2</v>
      </c>
      <c r="AA1865" s="177">
        <v>2.0831842104237497E-2</v>
      </c>
    </row>
    <row r="1866" spans="23:27" x14ac:dyDescent="0.2">
      <c r="W1866" s="173" t="str">
        <f t="shared" si="39"/>
        <v>1w</v>
      </c>
      <c r="X1866" s="180">
        <f>_xll.qlCalendarAdvance(LiborCalendar,X1865,W1866,"f",FALSE)</f>
        <v>52034</v>
      </c>
      <c r="Y1866" s="174">
        <f>_xll.qlInterestRateIndexValueDate(IborIndex,X1866)</f>
        <v>52036</v>
      </c>
      <c r="Z1866" s="175">
        <v>2.0608329207457938E-2</v>
      </c>
      <c r="AA1866" s="177">
        <v>2.0828362246094745E-2</v>
      </c>
    </row>
    <row r="1867" spans="23:27" x14ac:dyDescent="0.2">
      <c r="W1867" s="173" t="str">
        <f t="shared" si="39"/>
        <v>1w</v>
      </c>
      <c r="X1867" s="180">
        <f>_xll.qlCalendarAdvance(LiborCalendar,X1866,W1867,"f",FALSE)</f>
        <v>52041</v>
      </c>
      <c r="Y1867" s="174">
        <f>_xll.qlInterestRateIndexValueDate(IborIndex,X1867)</f>
        <v>52043</v>
      </c>
      <c r="Z1867" s="175">
        <v>2.0606384140855971E-2</v>
      </c>
      <c r="AA1867" s="177">
        <v>2.0824910322659873E-2</v>
      </c>
    </row>
    <row r="1868" spans="23:27" x14ac:dyDescent="0.2">
      <c r="W1868" s="173" t="str">
        <f t="shared" si="39"/>
        <v>1w</v>
      </c>
      <c r="X1868" s="180">
        <f>_xll.qlCalendarAdvance(LiborCalendar,X1867,W1868,"f",FALSE)</f>
        <v>52048</v>
      </c>
      <c r="Y1868" s="174">
        <f>_xll.qlInterestRateIndexValueDate(IborIndex,X1868)</f>
        <v>52050</v>
      </c>
      <c r="Z1868" s="175">
        <v>2.060333923342526E-2</v>
      </c>
      <c r="AA1868" s="177">
        <v>2.0821486333851835E-2</v>
      </c>
    </row>
    <row r="1869" spans="23:27" x14ac:dyDescent="0.2">
      <c r="W1869" s="173" t="str">
        <f t="shared" si="39"/>
        <v>1w</v>
      </c>
      <c r="X1869" s="180">
        <f>_xll.qlCalendarAdvance(LiborCalendar,X1868,W1869,"f",FALSE)</f>
        <v>52055</v>
      </c>
      <c r="Y1869" s="174">
        <f>_xll.qlInterestRateIndexValueDate(IborIndex,X1869)</f>
        <v>52057</v>
      </c>
      <c r="Z1869" s="175">
        <v>2.0600703893844049E-2</v>
      </c>
      <c r="AA1869" s="177">
        <v>2.0818090279832724E-2</v>
      </c>
    </row>
    <row r="1870" spans="23:27" x14ac:dyDescent="0.2">
      <c r="W1870" s="173" t="str">
        <f t="shared" si="39"/>
        <v>1w</v>
      </c>
      <c r="X1870" s="180">
        <f>_xll.qlCalendarAdvance(LiborCalendar,X1869,W1870,"f",FALSE)</f>
        <v>52062</v>
      </c>
      <c r="Y1870" s="174">
        <f>_xll.qlInterestRateIndexValueDate(IborIndex,X1870)</f>
        <v>52064</v>
      </c>
      <c r="Z1870" s="175">
        <v>2.059733296355885E-2</v>
      </c>
      <c r="AA1870" s="177">
        <v>2.08147221603594E-2</v>
      </c>
    </row>
    <row r="1871" spans="23:27" x14ac:dyDescent="0.2">
      <c r="W1871" s="173" t="str">
        <f t="shared" si="39"/>
        <v>1w</v>
      </c>
      <c r="X1871" s="180">
        <f>_xll.qlCalendarAdvance(LiborCalendar,X1870,W1871,"f",FALSE)</f>
        <v>52069</v>
      </c>
      <c r="Y1871" s="174">
        <f>_xll.qlInterestRateIndexValueDate(IborIndex,X1871)</f>
        <v>52071</v>
      </c>
      <c r="Z1871" s="175">
        <v>2.0594371600866149E-2</v>
      </c>
      <c r="AA1871" s="177">
        <v>2.0811381975593957E-2</v>
      </c>
    </row>
    <row r="1872" spans="23:27" x14ac:dyDescent="0.2">
      <c r="W1872" s="173" t="str">
        <f t="shared" si="39"/>
        <v>1w</v>
      </c>
      <c r="X1872" s="180">
        <f>_xll.qlCalendarAdvance(LiborCalendar,X1871,W1872,"f",FALSE)</f>
        <v>52076</v>
      </c>
      <c r="Y1872" s="174">
        <f>_xll.qlInterestRateIndexValueDate(IborIndex,X1872)</f>
        <v>52078</v>
      </c>
      <c r="Z1872" s="175">
        <v>2.0590277675060109E-2</v>
      </c>
      <c r="AA1872" s="177">
        <v>2.0808069725536393E-2</v>
      </c>
    </row>
    <row r="1873" spans="23:27" x14ac:dyDescent="0.2">
      <c r="W1873" s="173" t="str">
        <f t="shared" si="39"/>
        <v>1w</v>
      </c>
      <c r="X1873" s="180">
        <f>_xll.qlCalendarAdvance(LiborCalendar,X1872,W1873,"f",FALSE)</f>
        <v>52083</v>
      </c>
      <c r="Y1873" s="174">
        <f>_xll.qlInterestRateIndexValueDate(IborIndex,X1873)</f>
        <v>52085</v>
      </c>
      <c r="Z1873" s="175">
        <v>2.0588532419330865E-2</v>
      </c>
      <c r="AA1873" s="177">
        <v>2.0804785410105664E-2</v>
      </c>
    </row>
    <row r="1874" spans="23:27" x14ac:dyDescent="0.2">
      <c r="W1874" s="173" t="str">
        <f t="shared" si="39"/>
        <v>1w</v>
      </c>
      <c r="X1874" s="180">
        <f>_xll.qlCalendarAdvance(LiborCalendar,X1873,W1874,"f",FALSE)</f>
        <v>52090</v>
      </c>
      <c r="Y1874" s="174">
        <f>_xll.qlInterestRateIndexValueDate(IborIndex,X1874)</f>
        <v>52092</v>
      </c>
      <c r="Z1874" s="175">
        <v>2.058565460023816E-2</v>
      </c>
      <c r="AA1874" s="177">
        <v>2.0801529029382815E-2</v>
      </c>
    </row>
    <row r="1875" spans="23:27" x14ac:dyDescent="0.2">
      <c r="W1875" s="173" t="str">
        <f t="shared" si="39"/>
        <v>1w</v>
      </c>
      <c r="X1875" s="180">
        <f>_xll.qlCalendarAdvance(LiborCalendar,X1874,W1875,"f",FALSE)</f>
        <v>52097</v>
      </c>
      <c r="Y1875" s="174">
        <f>_xll.qlInterestRateIndexValueDate(IborIndex,X1875)</f>
        <v>52099</v>
      </c>
      <c r="Z1875" s="175">
        <v>2.0582804628765577E-2</v>
      </c>
      <c r="AA1875" s="177">
        <v>2.07983005832868E-2</v>
      </c>
    </row>
    <row r="1876" spans="23:27" x14ac:dyDescent="0.2">
      <c r="W1876" s="173" t="str">
        <f t="shared" si="39"/>
        <v>1w</v>
      </c>
      <c r="X1876" s="180">
        <f>_xll.qlCalendarAdvance(LiborCalendar,X1875,W1876,"f",FALSE)</f>
        <v>52104</v>
      </c>
      <c r="Y1876" s="174">
        <f>_xll.qlInterestRateIndexValueDate(IborIndex,X1876)</f>
        <v>52106</v>
      </c>
      <c r="Z1876" s="175">
        <v>2.0578800183200015E-2</v>
      </c>
      <c r="AA1876" s="177">
        <v>2.0795100071898664E-2</v>
      </c>
    </row>
    <row r="1877" spans="23:27" x14ac:dyDescent="0.2">
      <c r="W1877" s="173" t="str">
        <f t="shared" ref="W1877:W1940" si="40">W1876</f>
        <v>1w</v>
      </c>
      <c r="X1877" s="180">
        <f>_xll.qlCalendarAdvance(LiborCalendar,X1876,W1877,"f",FALSE)</f>
        <v>52111</v>
      </c>
      <c r="Y1877" s="174">
        <f>_xll.qlInterestRateIndexValueDate(IborIndex,X1877)</f>
        <v>52113</v>
      </c>
      <c r="Z1877" s="175">
        <v>2.0575209492846865E-2</v>
      </c>
      <c r="AA1877" s="177">
        <v>2.0791927495137363E-2</v>
      </c>
    </row>
    <row r="1878" spans="23:27" x14ac:dyDescent="0.2">
      <c r="W1878" s="173" t="str">
        <f t="shared" si="40"/>
        <v>1w</v>
      </c>
      <c r="X1878" s="180">
        <f>_xll.qlCalendarAdvance(LiborCalendar,X1877,W1878,"f",FALSE)</f>
        <v>52118</v>
      </c>
      <c r="Y1878" s="174">
        <f>_xll.qlInterestRateIndexValueDate(IborIndex,X1878)</f>
        <v>52120</v>
      </c>
      <c r="Z1878" s="175">
        <v>2.0572433907287021E-2</v>
      </c>
      <c r="AA1878" s="177">
        <v>2.0788782853002896E-2</v>
      </c>
    </row>
    <row r="1879" spans="23:27" x14ac:dyDescent="0.2">
      <c r="W1879" s="173" t="str">
        <f t="shared" si="40"/>
        <v>1w</v>
      </c>
      <c r="X1879" s="180">
        <f>_xll.qlCalendarAdvance(LiborCalendar,X1878,W1879,"f",FALSE)</f>
        <v>52125</v>
      </c>
      <c r="Y1879" s="174">
        <f>_xll.qlInterestRateIndexValueDate(IborIndex,X1879)</f>
        <v>52127</v>
      </c>
      <c r="Z1879" s="175">
        <v>2.0569686160889316E-2</v>
      </c>
      <c r="AA1879" s="177">
        <v>2.0785666145576309E-2</v>
      </c>
    </row>
    <row r="1880" spans="23:27" x14ac:dyDescent="0.2">
      <c r="W1880" s="173" t="str">
        <f t="shared" si="40"/>
        <v>1w</v>
      </c>
      <c r="X1880" s="180">
        <f>_xll.qlCalendarAdvance(LiborCalendar,X1879,W1880,"f",FALSE)</f>
        <v>52132</v>
      </c>
      <c r="Y1880" s="174">
        <f>_xll.qlInterestRateIndexValueDate(IborIndex,X1880)</f>
        <v>52134</v>
      </c>
      <c r="Z1880" s="175">
        <v>2.0566966253538037E-2</v>
      </c>
      <c r="AA1880" s="177">
        <v>2.0782577372857602E-2</v>
      </c>
    </row>
    <row r="1881" spans="23:27" x14ac:dyDescent="0.2">
      <c r="W1881" s="173" t="str">
        <f t="shared" si="40"/>
        <v>1w</v>
      </c>
      <c r="X1881" s="180">
        <f>_xll.qlCalendarAdvance(LiborCalendar,X1880,W1881,"f",FALSE)</f>
        <v>52139</v>
      </c>
      <c r="Y1881" s="174">
        <f>_xll.qlInterestRateIndexValueDate(IborIndex,X1881)</f>
        <v>52141</v>
      </c>
      <c r="Z1881" s="175">
        <v>2.0564676885013716E-2</v>
      </c>
      <c r="AA1881" s="177">
        <v>2.077951653476573E-2</v>
      </c>
    </row>
    <row r="1882" spans="23:27" x14ac:dyDescent="0.2">
      <c r="W1882" s="173" t="str">
        <f t="shared" si="40"/>
        <v>1w</v>
      </c>
      <c r="X1882" s="180">
        <f>_xll.qlCalendarAdvance(LiborCalendar,X1881,W1882,"f",FALSE)</f>
        <v>52146</v>
      </c>
      <c r="Y1882" s="174">
        <f>_xll.qlInterestRateIndexValueDate(IborIndex,X1882)</f>
        <v>52148</v>
      </c>
      <c r="Z1882" s="175">
        <v>2.0562014492603444E-2</v>
      </c>
      <c r="AA1882" s="177">
        <v>2.0776483631381737E-2</v>
      </c>
    </row>
    <row r="1883" spans="23:27" x14ac:dyDescent="0.2">
      <c r="W1883" s="173" t="str">
        <f t="shared" si="40"/>
        <v>1w</v>
      </c>
      <c r="X1883" s="180">
        <f>_xll.qlCalendarAdvance(LiborCalendar,X1882,W1883,"f",FALSE)</f>
        <v>52153</v>
      </c>
      <c r="Y1883" s="174">
        <f>_xll.qlInterestRateIndexValueDate(IborIndex,X1883)</f>
        <v>52155</v>
      </c>
      <c r="Z1883" s="175">
        <v>2.0559379940498619E-2</v>
      </c>
      <c r="AA1883" s="177">
        <v>2.0773478662624578E-2</v>
      </c>
    </row>
    <row r="1884" spans="23:27" x14ac:dyDescent="0.2">
      <c r="W1884" s="173" t="str">
        <f t="shared" si="40"/>
        <v>1w</v>
      </c>
      <c r="X1884" s="180">
        <f>_xll.qlCalendarAdvance(LiborCalendar,X1883,W1884,"f",FALSE)</f>
        <v>52160</v>
      </c>
      <c r="Y1884" s="174">
        <f>_xll.qlInterestRateIndexValueDate(IborIndex,X1884)</f>
        <v>52162</v>
      </c>
      <c r="Z1884" s="175">
        <v>2.0556773228588118E-2</v>
      </c>
      <c r="AA1884" s="177">
        <v>2.0770501628494253E-2</v>
      </c>
    </row>
    <row r="1885" spans="23:27" x14ac:dyDescent="0.2">
      <c r="W1885" s="173" t="str">
        <f t="shared" si="40"/>
        <v>1w</v>
      </c>
      <c r="X1885" s="180">
        <f>_xll.qlCalendarAdvance(LiborCalendar,X1884,W1885,"f",FALSE)</f>
        <v>52167</v>
      </c>
      <c r="Y1885" s="174">
        <f>_xll.qlInterestRateIndexValueDate(IborIndex,X1885)</f>
        <v>52169</v>
      </c>
      <c r="Z1885" s="175">
        <v>2.0554194356764775E-2</v>
      </c>
      <c r="AA1885" s="177">
        <v>2.0767552529071809E-2</v>
      </c>
    </row>
    <row r="1886" spans="23:27" x14ac:dyDescent="0.2">
      <c r="W1886" s="173" t="str">
        <f t="shared" si="40"/>
        <v>1w</v>
      </c>
      <c r="X1886" s="180">
        <f>_xll.qlCalendarAdvance(LiborCalendar,X1885,W1886,"f",FALSE)</f>
        <v>52174</v>
      </c>
      <c r="Y1886" s="174">
        <f>_xll.qlInterestRateIndexValueDate(IborIndex,X1886)</f>
        <v>52176</v>
      </c>
      <c r="Z1886" s="175">
        <v>2.0551643324918791E-2</v>
      </c>
      <c r="AA1886" s="177">
        <v>2.0764631364276198E-2</v>
      </c>
    </row>
    <row r="1887" spans="23:27" x14ac:dyDescent="0.2">
      <c r="W1887" s="173" t="str">
        <f t="shared" si="40"/>
        <v>1w</v>
      </c>
      <c r="X1887" s="180">
        <f>_xll.qlCalendarAdvance(LiborCalendar,X1886,W1887,"f",FALSE)</f>
        <v>52181</v>
      </c>
      <c r="Y1887" s="174">
        <f>_xll.qlInterestRateIndexValueDate(IborIndex,X1887)</f>
        <v>52183</v>
      </c>
      <c r="Z1887" s="175">
        <v>2.0548706386057002E-2</v>
      </c>
      <c r="AA1887" s="177">
        <v>2.0761738134107421E-2</v>
      </c>
    </row>
    <row r="1888" spans="23:27" x14ac:dyDescent="0.2">
      <c r="W1888" s="173" t="str">
        <f t="shared" si="40"/>
        <v>1w</v>
      </c>
      <c r="X1888" s="180">
        <f>_xll.qlCalendarAdvance(LiborCalendar,X1887,W1888,"f",FALSE)</f>
        <v>52188</v>
      </c>
      <c r="Y1888" s="174">
        <f>_xll.qlInterestRateIndexValueDate(IborIndex,X1888)</f>
        <v>52190</v>
      </c>
      <c r="Z1888" s="175">
        <v>2.0546209187112578E-2</v>
      </c>
      <c r="AA1888" s="177">
        <v>2.0758872838646525E-2</v>
      </c>
    </row>
    <row r="1889" spans="23:27" x14ac:dyDescent="0.2">
      <c r="W1889" s="173" t="str">
        <f t="shared" si="40"/>
        <v>1w</v>
      </c>
      <c r="X1889" s="180">
        <f>_xll.qlCalendarAdvance(LiborCalendar,X1888,W1889,"f",FALSE)</f>
        <v>52195</v>
      </c>
      <c r="Y1889" s="174">
        <f>_xll.qlInterestRateIndexValueDate(IborIndex,X1889)</f>
        <v>52197</v>
      </c>
      <c r="Z1889" s="175">
        <v>2.0543739826239891E-2</v>
      </c>
      <c r="AA1889" s="177">
        <v>2.0756035477812462E-2</v>
      </c>
    </row>
    <row r="1890" spans="23:27" x14ac:dyDescent="0.2">
      <c r="W1890" s="173" t="str">
        <f t="shared" si="40"/>
        <v>1w</v>
      </c>
      <c r="X1890" s="180">
        <f>_xll.qlCalendarAdvance(LiborCalendar,X1889,W1890,"f",FALSE)</f>
        <v>52202</v>
      </c>
      <c r="Y1890" s="174">
        <f>_xll.qlInterestRateIndexValueDate(IborIndex,X1890)</f>
        <v>52204</v>
      </c>
      <c r="Z1890" s="175">
        <v>2.0541717595205043E-2</v>
      </c>
      <c r="AA1890" s="177">
        <v>2.075322605168628E-2</v>
      </c>
    </row>
    <row r="1891" spans="23:27" x14ac:dyDescent="0.2">
      <c r="W1891" s="173" t="str">
        <f t="shared" si="40"/>
        <v>1w</v>
      </c>
      <c r="X1891" s="180">
        <f>_xll.qlCalendarAdvance(LiborCalendar,X1890,W1891,"f",FALSE)</f>
        <v>52209</v>
      </c>
      <c r="Y1891" s="174">
        <f>_xll.qlInterestRateIndexValueDate(IborIndex,X1891)</f>
        <v>52211</v>
      </c>
      <c r="Z1891" s="175">
        <v>2.0539305761674786E-2</v>
      </c>
      <c r="AA1891" s="177">
        <v>2.0750444560186931E-2</v>
      </c>
    </row>
    <row r="1892" spans="23:27" x14ac:dyDescent="0.2">
      <c r="W1892" s="173" t="str">
        <f t="shared" si="40"/>
        <v>1w</v>
      </c>
      <c r="X1892" s="180">
        <f>_xll.qlCalendarAdvance(LiborCalendar,X1891,W1892,"f",FALSE)</f>
        <v>52216</v>
      </c>
      <c r="Y1892" s="174">
        <f>_xll.qlInterestRateIndexValueDate(IborIndex,X1892)</f>
        <v>52218</v>
      </c>
      <c r="Z1892" s="175">
        <v>2.0536921767501288E-2</v>
      </c>
      <c r="AA1892" s="177">
        <v>2.0747691003395463E-2</v>
      </c>
    </row>
    <row r="1893" spans="23:27" x14ac:dyDescent="0.2">
      <c r="W1893" s="173" t="str">
        <f t="shared" si="40"/>
        <v>1w</v>
      </c>
      <c r="X1893" s="180">
        <f>_xll.qlCalendarAdvance(LiborCalendar,X1892,W1893,"f",FALSE)</f>
        <v>52223</v>
      </c>
      <c r="Y1893" s="174">
        <f>_xll.qlInterestRateIndexValueDate(IborIndex,X1893)</f>
        <v>52229</v>
      </c>
      <c r="Z1893" s="175">
        <v>2.0533231737566052E-2</v>
      </c>
      <c r="AA1893" s="177">
        <v>2.0743420424913506E-2</v>
      </c>
    </row>
    <row r="1894" spans="23:27" x14ac:dyDescent="0.2">
      <c r="W1894" s="173" t="str">
        <f t="shared" si="40"/>
        <v>1w</v>
      </c>
      <c r="X1894" s="180">
        <f>_xll.qlCalendarAdvance(LiborCalendar,X1893,W1894,"f",FALSE)</f>
        <v>52230</v>
      </c>
      <c r="Y1894" s="174">
        <f>_xll.qlInterestRateIndexValueDate(IborIndex,X1894)</f>
        <v>52236</v>
      </c>
      <c r="Z1894" s="175">
        <v>2.0530919329853705E-2</v>
      </c>
      <c r="AA1894" s="177">
        <v>2.0740738700008032E-2</v>
      </c>
    </row>
    <row r="1895" spans="23:27" x14ac:dyDescent="0.2">
      <c r="W1895" s="173" t="str">
        <f t="shared" si="40"/>
        <v>1w</v>
      </c>
      <c r="X1895" s="180">
        <f>_xll.qlCalendarAdvance(LiborCalendar,X1894,W1895,"f",FALSE)</f>
        <v>52237</v>
      </c>
      <c r="Y1895" s="174">
        <f>_xll.qlInterestRateIndexValueDate(IborIndex,X1895)</f>
        <v>52239</v>
      </c>
      <c r="Z1895" s="175">
        <v>2.0529508254840973E-2</v>
      </c>
      <c r="AA1895" s="177">
        <v>2.0739597940782062E-2</v>
      </c>
    </row>
    <row r="1896" spans="23:27" x14ac:dyDescent="0.2">
      <c r="W1896" s="173" t="str">
        <f t="shared" si="40"/>
        <v>1w</v>
      </c>
      <c r="X1896" s="180">
        <f>_xll.qlCalendarAdvance(LiborCalendar,X1895,W1896,"f",FALSE)</f>
        <v>52244</v>
      </c>
      <c r="Y1896" s="174">
        <f>_xll.qlInterestRateIndexValueDate(IborIndex,X1896)</f>
        <v>52246</v>
      </c>
      <c r="Z1896" s="175">
        <v>2.0527233757661644E-2</v>
      </c>
      <c r="AA1896" s="177">
        <v>2.0736956122578976E-2</v>
      </c>
    </row>
    <row r="1897" spans="23:27" x14ac:dyDescent="0.2">
      <c r="W1897" s="173" t="str">
        <f t="shared" si="40"/>
        <v>1w</v>
      </c>
      <c r="X1897" s="180">
        <f>_xll.qlCalendarAdvance(LiborCalendar,X1896,W1897,"f",FALSE)</f>
        <v>52251</v>
      </c>
      <c r="Y1897" s="174">
        <f>_xll.qlInterestRateIndexValueDate(IborIndex,X1897)</f>
        <v>52253</v>
      </c>
      <c r="Z1897" s="175">
        <v>2.052498709776485E-2</v>
      </c>
      <c r="AA1897" s="177">
        <v>2.0734342238921677E-2</v>
      </c>
    </row>
    <row r="1898" spans="23:27" x14ac:dyDescent="0.2">
      <c r="W1898" s="173" t="str">
        <f t="shared" si="40"/>
        <v>1w</v>
      </c>
      <c r="X1898" s="180">
        <f>_xll.qlCalendarAdvance(LiborCalendar,X1897,W1898,"f",FALSE)</f>
        <v>52258</v>
      </c>
      <c r="Y1898" s="174">
        <f>_xll.qlInterestRateIndexValueDate(IborIndex,X1898)</f>
        <v>52260</v>
      </c>
      <c r="Z1898" s="175">
        <v>2.0522768275058285E-2</v>
      </c>
      <c r="AA1898" s="177">
        <v>2.0731756290053305E-2</v>
      </c>
    </row>
    <row r="1899" spans="23:27" x14ac:dyDescent="0.2">
      <c r="W1899" s="173" t="str">
        <f t="shared" si="40"/>
        <v>1w</v>
      </c>
      <c r="X1899" s="180">
        <f>_xll.qlCalendarAdvance(LiborCalendar,X1898,W1899,"f",FALSE)</f>
        <v>52265</v>
      </c>
      <c r="Y1899" s="174">
        <f>_xll.qlInterestRateIndexValueDate(IborIndex,X1899)</f>
        <v>52267</v>
      </c>
      <c r="Z1899" s="175">
        <v>2.0520577289448332E-2</v>
      </c>
      <c r="AA1899" s="177">
        <v>2.0729198275811767E-2</v>
      </c>
    </row>
    <row r="1900" spans="23:27" x14ac:dyDescent="0.2">
      <c r="W1900" s="173" t="str">
        <f t="shared" si="40"/>
        <v>1w</v>
      </c>
      <c r="X1900" s="180">
        <f>_xll.qlCalendarAdvance(LiborCalendar,X1899,W1900,"f",FALSE)</f>
        <v>52272</v>
      </c>
      <c r="Y1900" s="174">
        <f>_xll.qlInterestRateIndexValueDate(IborIndex,X1900)</f>
        <v>52274</v>
      </c>
      <c r="Z1900" s="175">
        <v>2.0518414140845327E-2</v>
      </c>
      <c r="AA1900" s="177">
        <v>2.0726668196197062E-2</v>
      </c>
    </row>
    <row r="1901" spans="23:27" x14ac:dyDescent="0.2">
      <c r="W1901" s="173" t="str">
        <f t="shared" si="40"/>
        <v>1w</v>
      </c>
      <c r="X1901" s="180">
        <f>_xll.qlCalendarAdvance(LiborCalendar,X1900,W1901,"f",FALSE)</f>
        <v>52279</v>
      </c>
      <c r="Y1901" s="174">
        <f>_xll.qlInterestRateIndexValueDate(IborIndex,X1901)</f>
        <v>52281</v>
      </c>
      <c r="Z1901" s="175">
        <v>2.0516278829158744E-2</v>
      </c>
      <c r="AA1901" s="177">
        <v>2.0724166051290238E-2</v>
      </c>
    </row>
    <row r="1902" spans="23:27" x14ac:dyDescent="0.2">
      <c r="W1902" s="173" t="str">
        <f t="shared" si="40"/>
        <v>1w</v>
      </c>
      <c r="X1902" s="180">
        <f>_xll.qlCalendarAdvance(LiborCalendar,X1901,W1902,"f",FALSE)</f>
        <v>52286</v>
      </c>
      <c r="Y1902" s="174">
        <f>_xll.qlInterestRateIndexValueDate(IborIndex,X1902)</f>
        <v>52288</v>
      </c>
      <c r="Z1902" s="175">
        <v>2.051417135430025E-2</v>
      </c>
      <c r="AA1902" s="177">
        <v>2.0721691840848155E-2</v>
      </c>
    </row>
    <row r="1903" spans="23:27" x14ac:dyDescent="0.2">
      <c r="W1903" s="173" t="str">
        <f t="shared" si="40"/>
        <v>1w</v>
      </c>
      <c r="X1903" s="180">
        <f>_xll.qlCalendarAdvance(LiborCalendar,X1902,W1903,"f",FALSE)</f>
        <v>52293</v>
      </c>
      <c r="Y1903" s="174">
        <f>_xll.qlInterestRateIndexValueDate(IborIndex,X1903)</f>
        <v>52295</v>
      </c>
      <c r="Z1903" s="175">
        <v>2.051431109941541E-2</v>
      </c>
      <c r="AA1903" s="177">
        <v>2.0719245565194999E-2</v>
      </c>
    </row>
    <row r="1904" spans="23:27" x14ac:dyDescent="0.2">
      <c r="W1904" s="173" t="str">
        <f t="shared" si="40"/>
        <v>1w</v>
      </c>
      <c r="X1904" s="180">
        <f>_xll.qlCalendarAdvance(LiborCalendar,X1903,W1904,"f",FALSE)</f>
        <v>52300</v>
      </c>
      <c r="Y1904" s="174">
        <f>_xll.qlInterestRateIndexValueDate(IborIndex,X1904)</f>
        <v>52302</v>
      </c>
      <c r="Z1904" s="175">
        <v>2.0512268660787293E-2</v>
      </c>
      <c r="AA1904" s="177">
        <v>2.0716827224168677E-2</v>
      </c>
    </row>
    <row r="1905" spans="23:27" x14ac:dyDescent="0.2">
      <c r="W1905" s="173" t="str">
        <f t="shared" si="40"/>
        <v>1w</v>
      </c>
      <c r="X1905" s="180">
        <f>_xll.qlCalendarAdvance(LiborCalendar,X1904,W1905,"f",FALSE)</f>
        <v>52307</v>
      </c>
      <c r="Y1905" s="174">
        <f>_xll.qlInterestRateIndexValueDate(IborIndex,X1905)</f>
        <v>52309</v>
      </c>
      <c r="Z1905" s="175">
        <v>2.051159929124265E-2</v>
      </c>
      <c r="AA1905" s="177">
        <v>2.0714436817850235E-2</v>
      </c>
    </row>
    <row r="1906" spans="23:27" x14ac:dyDescent="0.2">
      <c r="W1906" s="173" t="str">
        <f t="shared" si="40"/>
        <v>1w</v>
      </c>
      <c r="X1906" s="180">
        <f>_xll.qlCalendarAdvance(LiborCalendar,X1905,W1906,"f",FALSE)</f>
        <v>52314</v>
      </c>
      <c r="Y1906" s="174">
        <f>_xll.qlInterestRateIndexValueDate(IborIndex,X1906)</f>
        <v>52316</v>
      </c>
      <c r="Z1906" s="175">
        <v>2.0508267316902244E-2</v>
      </c>
      <c r="AA1906" s="177">
        <v>2.0713755666847078E-2</v>
      </c>
    </row>
    <row r="1907" spans="23:27" x14ac:dyDescent="0.2">
      <c r="W1907" s="173" t="str">
        <f t="shared" si="40"/>
        <v>1w</v>
      </c>
      <c r="X1907" s="180">
        <f>_xll.qlCalendarAdvance(LiborCalendar,X1906,W1907,"f",FALSE)</f>
        <v>52321</v>
      </c>
      <c r="Y1907" s="174">
        <f>_xll.qlInterestRateIndexValueDate(IborIndex,X1907)</f>
        <v>52323</v>
      </c>
      <c r="Z1907" s="175">
        <v>2.0504953692475215E-2</v>
      </c>
      <c r="AA1907" s="177">
        <v>2.0709739809012806E-2</v>
      </c>
    </row>
    <row r="1908" spans="23:27" x14ac:dyDescent="0.2">
      <c r="W1908" s="173" t="str">
        <f t="shared" si="40"/>
        <v>1w</v>
      </c>
      <c r="X1908" s="180">
        <f>_xll.qlCalendarAdvance(LiborCalendar,X1907,W1908,"f",FALSE)</f>
        <v>52328</v>
      </c>
      <c r="Y1908" s="174">
        <f>_xll.qlInterestRateIndexValueDate(IborIndex,X1908)</f>
        <v>52330</v>
      </c>
      <c r="Z1908" s="175">
        <v>2.0503016993921992E-2</v>
      </c>
      <c r="AA1908" s="177">
        <v>2.0707433206574866E-2</v>
      </c>
    </row>
    <row r="1909" spans="23:27" x14ac:dyDescent="0.2">
      <c r="W1909" s="173" t="str">
        <f t="shared" si="40"/>
        <v>1w</v>
      </c>
      <c r="X1909" s="180">
        <f>_xll.qlCalendarAdvance(LiborCalendar,X1908,W1909,"f",FALSE)</f>
        <v>52335</v>
      </c>
      <c r="Y1909" s="174">
        <f>_xll.qlInterestRateIndexValueDate(IborIndex,X1909)</f>
        <v>52337</v>
      </c>
      <c r="Z1909" s="175">
        <v>2.0501108134770813E-2</v>
      </c>
      <c r="AA1909" s="177">
        <v>2.0705154538763759E-2</v>
      </c>
    </row>
    <row r="1910" spans="23:27" x14ac:dyDescent="0.2">
      <c r="W1910" s="173" t="str">
        <f t="shared" si="40"/>
        <v>1w</v>
      </c>
      <c r="X1910" s="180">
        <f>_xll.qlCalendarAdvance(LiborCalendar,X1909,W1910,"f",FALSE)</f>
        <v>52342</v>
      </c>
      <c r="Y1910" s="174">
        <f>_xll.qlInterestRateIndexValueDate(IborIndex,X1910)</f>
        <v>52344</v>
      </c>
      <c r="Z1910" s="175">
        <v>2.0499227114943043E-2</v>
      </c>
      <c r="AA1910" s="177">
        <v>2.0702903805660533E-2</v>
      </c>
    </row>
    <row r="1911" spans="23:27" x14ac:dyDescent="0.2">
      <c r="W1911" s="173" t="str">
        <f t="shared" si="40"/>
        <v>1w</v>
      </c>
      <c r="X1911" s="180">
        <f>_xll.qlCalendarAdvance(LiborCalendar,X1910,W1911,"f",FALSE)</f>
        <v>52349</v>
      </c>
      <c r="Y1911" s="174">
        <f>_xll.qlInterestRateIndexValueDate(IborIndex,X1911)</f>
        <v>52351</v>
      </c>
      <c r="Z1911" s="175">
        <v>2.0497373934357882E-2</v>
      </c>
      <c r="AA1911" s="177">
        <v>2.0700681007103094E-2</v>
      </c>
    </row>
    <row r="1912" spans="23:27" x14ac:dyDescent="0.2">
      <c r="W1912" s="173" t="str">
        <f t="shared" si="40"/>
        <v>1w</v>
      </c>
      <c r="X1912" s="180">
        <f>_xll.qlCalendarAdvance(LiborCalendar,X1911,W1912,"f",FALSE)</f>
        <v>52356</v>
      </c>
      <c r="Y1912" s="174">
        <f>_xll.qlInterestRateIndexValueDate(IborIndex,X1912)</f>
        <v>52358</v>
      </c>
      <c r="Z1912" s="175">
        <v>2.0496931546161667E-2</v>
      </c>
      <c r="AA1912" s="177">
        <v>2.0698486143334582E-2</v>
      </c>
    </row>
    <row r="1913" spans="23:27" x14ac:dyDescent="0.2">
      <c r="W1913" s="173" t="str">
        <f t="shared" si="40"/>
        <v>1w</v>
      </c>
      <c r="X1913" s="180">
        <f>_xll.qlCalendarAdvance(LiborCalendar,X1912,W1913,"f",FALSE)</f>
        <v>52363</v>
      </c>
      <c r="Y1913" s="174">
        <f>_xll.qlInterestRateIndexValueDate(IborIndex,X1913)</f>
        <v>52365</v>
      </c>
      <c r="Z1913" s="175">
        <v>2.049513970490522E-2</v>
      </c>
      <c r="AA1913" s="177">
        <v>2.0696319214111858E-2</v>
      </c>
    </row>
    <row r="1914" spans="23:27" x14ac:dyDescent="0.2">
      <c r="W1914" s="173" t="str">
        <f t="shared" si="40"/>
        <v>1w</v>
      </c>
      <c r="X1914" s="180">
        <f>_xll.qlCalendarAdvance(LiborCalendar,X1913,W1914,"f",FALSE)</f>
        <v>52370</v>
      </c>
      <c r="Y1914" s="174">
        <f>_xll.qlInterestRateIndexValueDate(IborIndex,X1914)</f>
        <v>52372</v>
      </c>
      <c r="Z1914" s="175">
        <v>2.0493840863819536E-2</v>
      </c>
      <c r="AA1914" s="177">
        <v>2.0694180219515967E-2</v>
      </c>
    </row>
    <row r="1915" spans="23:27" x14ac:dyDescent="0.2">
      <c r="W1915" s="173" t="str">
        <f t="shared" si="40"/>
        <v>1w</v>
      </c>
      <c r="X1915" s="180">
        <f>_xll.qlCalendarAdvance(LiborCalendar,X1914,W1915,"f",FALSE)</f>
        <v>52377</v>
      </c>
      <c r="Y1915" s="174">
        <f>_xll.qlInterestRateIndexValueDate(IborIndex,X1915)</f>
        <v>52379</v>
      </c>
      <c r="Z1915" s="175">
        <v>2.0491639553578599E-2</v>
      </c>
      <c r="AA1915" s="177">
        <v>2.0692069159627957E-2</v>
      </c>
    </row>
    <row r="1916" spans="23:27" x14ac:dyDescent="0.2">
      <c r="W1916" s="173" t="str">
        <f t="shared" si="40"/>
        <v>1w</v>
      </c>
      <c r="X1916" s="180">
        <f>_xll.qlCalendarAdvance(LiborCalendar,X1915,W1916,"f",FALSE)</f>
        <v>52384</v>
      </c>
      <c r="Y1916" s="174">
        <f>_xll.qlInterestRateIndexValueDate(IborIndex,X1916)</f>
        <v>52386</v>
      </c>
      <c r="Z1916" s="175">
        <v>2.0488525617402682E-2</v>
      </c>
      <c r="AA1916" s="177">
        <v>2.0689986034285734E-2</v>
      </c>
    </row>
    <row r="1917" spans="23:27" x14ac:dyDescent="0.2">
      <c r="W1917" s="173" t="str">
        <f t="shared" si="40"/>
        <v>1w</v>
      </c>
      <c r="X1917" s="180">
        <f>_xll.qlCalendarAdvance(LiborCalendar,X1916,W1917,"f",FALSE)</f>
        <v>52391</v>
      </c>
      <c r="Y1917" s="174">
        <f>_xll.qlInterestRateIndexValueDate(IborIndex,X1917)</f>
        <v>52393</v>
      </c>
      <c r="Z1917" s="175">
        <v>2.0486839470684477E-2</v>
      </c>
      <c r="AA1917" s="177">
        <v>2.0687930843651392E-2</v>
      </c>
    </row>
    <row r="1918" spans="23:27" x14ac:dyDescent="0.2">
      <c r="W1918" s="173" t="str">
        <f t="shared" si="40"/>
        <v>1w</v>
      </c>
      <c r="X1918" s="180">
        <f>_xll.qlCalendarAdvance(LiborCalendar,X1917,W1918,"f",FALSE)</f>
        <v>52398</v>
      </c>
      <c r="Y1918" s="174">
        <f>_xll.qlInterestRateIndexValueDate(IborIndex,X1918)</f>
        <v>52400</v>
      </c>
      <c r="Z1918" s="175">
        <v>2.0485181162689509E-2</v>
      </c>
      <c r="AA1918" s="177">
        <v>2.068590358772493E-2</v>
      </c>
    </row>
    <row r="1919" spans="23:27" x14ac:dyDescent="0.2">
      <c r="W1919" s="173" t="str">
        <f t="shared" si="40"/>
        <v>1w</v>
      </c>
      <c r="X1919" s="180">
        <f>_xll.qlCalendarAdvance(LiborCalendar,X1918,W1919,"f",FALSE)</f>
        <v>52405</v>
      </c>
      <c r="Y1919" s="174">
        <f>_xll.qlInterestRateIndexValueDate(IborIndex,X1919)</f>
        <v>52407</v>
      </c>
      <c r="Z1919" s="175">
        <v>2.0485447998939022E-2</v>
      </c>
      <c r="AA1919" s="177">
        <v>2.0683904266344255E-2</v>
      </c>
    </row>
    <row r="1920" spans="23:27" x14ac:dyDescent="0.2">
      <c r="W1920" s="173" t="str">
        <f t="shared" si="40"/>
        <v>1w</v>
      </c>
      <c r="X1920" s="180">
        <f>_xll.qlCalendarAdvance(LiborCalendar,X1919,W1920,"f",FALSE)</f>
        <v>52412</v>
      </c>
      <c r="Y1920" s="174">
        <f>_xll.qlInterestRateIndexValueDate(IborIndex,X1920)</f>
        <v>52414</v>
      </c>
      <c r="Z1920" s="175">
        <v>2.0483376437083037E-2</v>
      </c>
      <c r="AA1920" s="177">
        <v>2.0681932879590414E-2</v>
      </c>
    </row>
    <row r="1921" spans="23:27" x14ac:dyDescent="0.2">
      <c r="W1921" s="173" t="str">
        <f t="shared" si="40"/>
        <v>1w</v>
      </c>
      <c r="X1921" s="180">
        <f>_xll.qlCalendarAdvance(LiborCalendar,X1920,W1921,"f",FALSE)</f>
        <v>52419</v>
      </c>
      <c r="Y1921" s="174">
        <f>_xll.qlInterestRateIndexValueDate(IborIndex,X1921)</f>
        <v>52421</v>
      </c>
      <c r="Z1921" s="175">
        <v>2.0482285767769486E-2</v>
      </c>
      <c r="AA1921" s="177">
        <v>2.0679989427544454E-2</v>
      </c>
    </row>
    <row r="1922" spans="23:27" x14ac:dyDescent="0.2">
      <c r="W1922" s="173" t="str">
        <f t="shared" si="40"/>
        <v>1w</v>
      </c>
      <c r="X1922" s="180">
        <f>_xll.qlCalendarAdvance(LiborCalendar,X1921,W1922,"f",FALSE)</f>
        <v>52426</v>
      </c>
      <c r="Y1922" s="174">
        <f>_xll.qlInterestRateIndexValueDate(IborIndex,X1922)</f>
        <v>52428</v>
      </c>
      <c r="Z1922" s="175">
        <v>2.0480266093731561E-2</v>
      </c>
      <c r="AA1922" s="177">
        <v>2.0678073910125327E-2</v>
      </c>
    </row>
    <row r="1923" spans="23:27" x14ac:dyDescent="0.2">
      <c r="W1923" s="173" t="str">
        <f t="shared" si="40"/>
        <v>1w</v>
      </c>
      <c r="X1923" s="180">
        <f>_xll.qlCalendarAdvance(LiborCalendar,X1922,W1923,"f",FALSE)</f>
        <v>52433</v>
      </c>
      <c r="Y1923" s="174">
        <f>_xll.qlInterestRateIndexValueDate(IborIndex,X1923)</f>
        <v>52435</v>
      </c>
      <c r="Z1923" s="175">
        <v>2.047875268676665E-2</v>
      </c>
      <c r="AA1923" s="177">
        <v>2.0676186327333035E-2</v>
      </c>
    </row>
    <row r="1924" spans="23:27" x14ac:dyDescent="0.2">
      <c r="W1924" s="173" t="str">
        <f t="shared" si="40"/>
        <v>1w</v>
      </c>
      <c r="X1924" s="180">
        <f>_xll.qlCalendarAdvance(LiborCalendar,X1923,W1924,"f",FALSE)</f>
        <v>52440</v>
      </c>
      <c r="Y1924" s="174">
        <f>_xll.qlInterestRateIndexValueDate(IborIndex,X1924)</f>
        <v>52442</v>
      </c>
      <c r="Z1924" s="175">
        <v>2.0475815924083471E-2</v>
      </c>
      <c r="AA1924" s="177">
        <v>2.0674326679167576E-2</v>
      </c>
    </row>
    <row r="1925" spans="23:27" x14ac:dyDescent="0.2">
      <c r="W1925" s="173" t="str">
        <f t="shared" si="40"/>
        <v>1w</v>
      </c>
      <c r="X1925" s="180">
        <f>_xll.qlCalendarAdvance(LiborCalendar,X1924,W1925,"f",FALSE)</f>
        <v>52447</v>
      </c>
      <c r="Y1925" s="174">
        <f>_xll.qlInterestRateIndexValueDate(IborIndex,X1925)</f>
        <v>52449</v>
      </c>
      <c r="Z1925" s="175">
        <v>2.0475809401936166E-2</v>
      </c>
      <c r="AA1925" s="177">
        <v>2.0672494965547905E-2</v>
      </c>
    </row>
    <row r="1926" spans="23:27" x14ac:dyDescent="0.2">
      <c r="W1926" s="173" t="str">
        <f t="shared" si="40"/>
        <v>1w</v>
      </c>
      <c r="X1926" s="180">
        <f>_xll.qlCalendarAdvance(LiborCalendar,X1925,W1926,"f",FALSE)</f>
        <v>52454</v>
      </c>
      <c r="Y1926" s="174">
        <f>_xll.qlInterestRateIndexValueDate(IborIndex,X1926)</f>
        <v>52456</v>
      </c>
      <c r="Z1926" s="175">
        <v>2.0474379523944673E-2</v>
      </c>
      <c r="AA1926" s="177">
        <v>2.0670691186717161E-2</v>
      </c>
    </row>
    <row r="1927" spans="23:27" x14ac:dyDescent="0.2">
      <c r="W1927" s="173" t="str">
        <f t="shared" si="40"/>
        <v>1w</v>
      </c>
      <c r="X1927" s="180">
        <f>_xll.qlCalendarAdvance(LiborCalendar,X1926,W1927,"f",FALSE)</f>
        <v>52461</v>
      </c>
      <c r="Y1927" s="174">
        <f>_xll.qlInterestRateIndexValueDate(IborIndex,X1927)</f>
        <v>52463</v>
      </c>
      <c r="Z1927" s="175">
        <v>2.0472977488820116E-2</v>
      </c>
      <c r="AA1927" s="177">
        <v>2.0668915342432204E-2</v>
      </c>
    </row>
    <row r="1928" spans="23:27" x14ac:dyDescent="0.2">
      <c r="W1928" s="173" t="str">
        <f t="shared" si="40"/>
        <v>1w</v>
      </c>
      <c r="X1928" s="180">
        <f>_xll.qlCalendarAdvance(LiborCalendar,X1927,W1928,"f",FALSE)</f>
        <v>52468</v>
      </c>
      <c r="Y1928" s="174">
        <f>_xll.qlInterestRateIndexValueDate(IborIndex,X1928)</f>
        <v>52470</v>
      </c>
      <c r="Z1928" s="175">
        <v>2.0471603296504048E-2</v>
      </c>
      <c r="AA1928" s="177">
        <v>2.0667167432855127E-2</v>
      </c>
    </row>
    <row r="1929" spans="23:27" x14ac:dyDescent="0.2">
      <c r="W1929" s="173" t="str">
        <f t="shared" si="40"/>
        <v>1w</v>
      </c>
      <c r="X1929" s="180">
        <f>_xll.qlCalendarAdvance(LiborCalendar,X1928,W1929,"f",FALSE)</f>
        <v>52475</v>
      </c>
      <c r="Y1929" s="174">
        <f>_xll.qlInterestRateIndexValueDate(IborIndex,X1929)</f>
        <v>52477</v>
      </c>
      <c r="Z1929" s="175">
        <v>2.0468284235744594E-2</v>
      </c>
      <c r="AA1929" s="177">
        <v>2.066544745798593E-2</v>
      </c>
    </row>
    <row r="1930" spans="23:27" x14ac:dyDescent="0.2">
      <c r="W1930" s="173" t="str">
        <f t="shared" si="40"/>
        <v>1w</v>
      </c>
      <c r="X1930" s="180">
        <f>_xll.qlCalendarAdvance(LiborCalendar,X1929,W1930,"f",FALSE)</f>
        <v>52482</v>
      </c>
      <c r="Y1930" s="174">
        <f>_xll.qlInterestRateIndexValueDate(IborIndex,X1930)</f>
        <v>52484</v>
      </c>
      <c r="Z1930" s="175">
        <v>2.0466958073920283E-2</v>
      </c>
      <c r="AA1930" s="177">
        <v>2.0663755417662522E-2</v>
      </c>
    </row>
    <row r="1931" spans="23:27" x14ac:dyDescent="0.2">
      <c r="W1931" s="173" t="str">
        <f t="shared" si="40"/>
        <v>1w</v>
      </c>
      <c r="X1931" s="180">
        <f>_xll.qlCalendarAdvance(LiborCalendar,X1930,W1931,"f",FALSE)</f>
        <v>52489</v>
      </c>
      <c r="Y1931" s="174">
        <f>_xll.qlInterestRateIndexValueDate(IborIndex,X1931)</f>
        <v>52491</v>
      </c>
      <c r="Z1931" s="175">
        <v>2.0465659748428771E-2</v>
      </c>
      <c r="AA1931" s="177">
        <v>2.06620913118849E-2</v>
      </c>
    </row>
    <row r="1932" spans="23:27" x14ac:dyDescent="0.2">
      <c r="W1932" s="173" t="str">
        <f t="shared" si="40"/>
        <v>1w</v>
      </c>
      <c r="X1932" s="180">
        <f>_xll.qlCalendarAdvance(LiborCalendar,X1931,W1932,"f",FALSE)</f>
        <v>52496</v>
      </c>
      <c r="Y1932" s="174">
        <f>_xll.qlInterestRateIndexValueDate(IborIndex,X1932)</f>
        <v>52498</v>
      </c>
      <c r="Z1932" s="175">
        <v>2.0464389259216474E-2</v>
      </c>
      <c r="AA1932" s="177">
        <v>2.0660455140896206E-2</v>
      </c>
    </row>
    <row r="1933" spans="23:27" x14ac:dyDescent="0.2">
      <c r="W1933" s="173" t="str">
        <f t="shared" si="40"/>
        <v>1w</v>
      </c>
      <c r="X1933" s="180">
        <f>_xll.qlCalendarAdvance(LiborCalendar,X1932,W1933,"f",FALSE)</f>
        <v>52503</v>
      </c>
      <c r="Y1933" s="174">
        <f>_xll.qlInterestRateIndexValueDate(IborIndex,X1933)</f>
        <v>52505</v>
      </c>
      <c r="Z1933" s="175">
        <v>2.0463647144931051E-2</v>
      </c>
      <c r="AA1933" s="177">
        <v>2.0658846904453299E-2</v>
      </c>
    </row>
    <row r="1934" spans="23:27" x14ac:dyDescent="0.2">
      <c r="W1934" s="173" t="str">
        <f t="shared" si="40"/>
        <v>1w</v>
      </c>
      <c r="X1934" s="180">
        <f>_xll.qlCalendarAdvance(LiborCalendar,X1933,W1934,"f",FALSE)</f>
        <v>52510</v>
      </c>
      <c r="Y1934" s="174">
        <f>_xll.qlInterestRateIndexValueDate(IborIndex,X1934)</f>
        <v>52512</v>
      </c>
      <c r="Z1934" s="175">
        <v>2.0462434247823711E-2</v>
      </c>
      <c r="AA1934" s="177">
        <v>2.0657266602637225E-2</v>
      </c>
    </row>
    <row r="1935" spans="23:27" x14ac:dyDescent="0.2">
      <c r="W1935" s="173" t="str">
        <f t="shared" si="40"/>
        <v>1w</v>
      </c>
      <c r="X1935" s="180">
        <f>_xll.qlCalendarAdvance(LiborCalendar,X1934,W1935,"f",FALSE)</f>
        <v>52517</v>
      </c>
      <c r="Y1935" s="174">
        <f>_xll.qlInterestRateIndexValueDate(IborIndex,X1935)</f>
        <v>52519</v>
      </c>
      <c r="Z1935" s="175">
        <v>2.0463268735007697E-2</v>
      </c>
      <c r="AA1935" s="177">
        <v>2.0655714235447986E-2</v>
      </c>
    </row>
    <row r="1936" spans="23:27" x14ac:dyDescent="0.2">
      <c r="W1936" s="173" t="str">
        <f t="shared" si="40"/>
        <v>1w</v>
      </c>
      <c r="X1936" s="180">
        <f>_xll.qlCalendarAdvance(LiborCalendar,X1935,W1936,"f",FALSE)</f>
        <v>52524</v>
      </c>
      <c r="Y1936" s="174">
        <f>_xll.qlInterestRateIndexValueDate(IborIndex,X1936)</f>
        <v>52526</v>
      </c>
      <c r="Z1936" s="175">
        <v>2.0460091966652941E-2</v>
      </c>
      <c r="AA1936" s="177">
        <v>2.0654189802966627E-2</v>
      </c>
    </row>
    <row r="1937" spans="23:27" x14ac:dyDescent="0.2">
      <c r="W1937" s="173" t="str">
        <f t="shared" si="40"/>
        <v>1w</v>
      </c>
      <c r="X1937" s="180">
        <f>_xll.qlCalendarAdvance(LiborCalendar,X1936,W1937,"f",FALSE)</f>
        <v>52531</v>
      </c>
      <c r="Y1937" s="174">
        <f>_xll.qlInterestRateIndexValueDate(IborIndex,X1937)</f>
        <v>52533</v>
      </c>
      <c r="Z1937" s="175">
        <v>2.0458454355519191E-2</v>
      </c>
      <c r="AA1937" s="177">
        <v>2.0652693305031056E-2</v>
      </c>
    </row>
    <row r="1938" spans="23:27" x14ac:dyDescent="0.2">
      <c r="W1938" s="173" t="str">
        <f t="shared" si="40"/>
        <v>1w</v>
      </c>
      <c r="X1938" s="180">
        <f>_xll.qlCalendarAdvance(LiborCalendar,X1937,W1938,"f",FALSE)</f>
        <v>52538</v>
      </c>
      <c r="Y1938" s="174">
        <f>_xll.qlInterestRateIndexValueDate(IborIndex,X1938)</f>
        <v>52540</v>
      </c>
      <c r="Z1938" s="175">
        <v>2.0457861035879491E-2</v>
      </c>
      <c r="AA1938" s="177">
        <v>2.0651224741803365E-2</v>
      </c>
    </row>
    <row r="1939" spans="23:27" x14ac:dyDescent="0.2">
      <c r="W1939" s="173" t="str">
        <f t="shared" si="40"/>
        <v>1w</v>
      </c>
      <c r="X1939" s="180">
        <f>_xll.qlCalendarAdvance(LiborCalendar,X1938,W1939,"f",FALSE)</f>
        <v>52545</v>
      </c>
      <c r="Y1939" s="174">
        <f>_xll.qlInterestRateIndexValueDate(IborIndex,X1939)</f>
        <v>52547</v>
      </c>
      <c r="Z1939" s="175">
        <v>2.0456275246223107E-2</v>
      </c>
      <c r="AA1939" s="177">
        <v>2.0649784113202507E-2</v>
      </c>
    </row>
    <row r="1940" spans="23:27" x14ac:dyDescent="0.2">
      <c r="W1940" s="173" t="str">
        <f t="shared" si="40"/>
        <v>1w</v>
      </c>
      <c r="X1940" s="180">
        <f>_xll.qlCalendarAdvance(LiborCalendar,X1939,W1940,"f",FALSE)</f>
        <v>52552</v>
      </c>
      <c r="Y1940" s="174">
        <f>_xll.qlInterestRateIndexValueDate(IborIndex,X1940)</f>
        <v>52554</v>
      </c>
      <c r="Z1940" s="175">
        <v>2.0455227445427968E-2</v>
      </c>
      <c r="AA1940" s="177">
        <v>2.0648371419147438E-2</v>
      </c>
    </row>
    <row r="1941" spans="23:27" x14ac:dyDescent="0.2">
      <c r="W1941" s="173" t="str">
        <f t="shared" ref="W1941:W2004" si="41">W1940</f>
        <v>1w</v>
      </c>
      <c r="X1941" s="180">
        <f>_xll.qlCalendarAdvance(LiborCalendar,X1940,W1941,"f",FALSE)</f>
        <v>52559</v>
      </c>
      <c r="Y1941" s="174">
        <f>_xll.qlInterestRateIndexValueDate(IborIndex,X1941)</f>
        <v>52561</v>
      </c>
      <c r="Z1941" s="175">
        <v>2.0454207480475908E-2</v>
      </c>
      <c r="AA1941" s="177">
        <v>2.0646986659881295E-2</v>
      </c>
    </row>
    <row r="1942" spans="23:27" x14ac:dyDescent="0.2">
      <c r="W1942" s="173" t="str">
        <f t="shared" si="41"/>
        <v>1w</v>
      </c>
      <c r="X1942" s="180">
        <f>_xll.qlCalendarAdvance(LiborCalendar,X1941,W1942,"f",FALSE)</f>
        <v>52566</v>
      </c>
      <c r="Y1942" s="174">
        <f>_xll.qlInterestRateIndexValueDate(IborIndex,X1942)</f>
        <v>52568</v>
      </c>
      <c r="Z1942" s="175">
        <v>2.0453733224045947E-2</v>
      </c>
      <c r="AA1942" s="177">
        <v>2.0645629835079893E-2</v>
      </c>
    </row>
    <row r="1943" spans="23:27" x14ac:dyDescent="0.2">
      <c r="W1943" s="173" t="str">
        <f t="shared" si="41"/>
        <v>1w</v>
      </c>
      <c r="X1943" s="180">
        <f>_xll.qlCalendarAdvance(LiborCalendar,X1942,W1943,"f",FALSE)</f>
        <v>52573</v>
      </c>
      <c r="Y1943" s="174">
        <f>_xll.qlInterestRateIndexValueDate(IborIndex,X1943)</f>
        <v>52575</v>
      </c>
      <c r="Z1943" s="175">
        <v>2.0452770864523163E-2</v>
      </c>
      <c r="AA1943" s="177">
        <v>2.0644300944986371E-2</v>
      </c>
    </row>
    <row r="1944" spans="23:27" x14ac:dyDescent="0.2">
      <c r="W1944" s="173" t="str">
        <f t="shared" si="41"/>
        <v>1w</v>
      </c>
      <c r="X1944" s="180">
        <f>_xll.qlCalendarAdvance(LiborCalendar,X1943,W1944,"f",FALSE)</f>
        <v>52580</v>
      </c>
      <c r="Y1944" s="174">
        <f>_xll.qlInterestRateIndexValueDate(IborIndex,X1944)</f>
        <v>52582</v>
      </c>
      <c r="Z1944" s="175">
        <v>2.0451836342292199E-2</v>
      </c>
      <c r="AA1944" s="177">
        <v>2.0642999989519684E-2</v>
      </c>
    </row>
    <row r="1945" spans="23:27" x14ac:dyDescent="0.2">
      <c r="W1945" s="173" t="str">
        <f t="shared" si="41"/>
        <v>1w</v>
      </c>
      <c r="X1945" s="180">
        <f>_xll.qlCalendarAdvance(LiborCalendar,X1944,W1945,"f",FALSE)</f>
        <v>52587</v>
      </c>
      <c r="Y1945" s="174">
        <f>_xll.qlInterestRateIndexValueDate(IborIndex,X1945)</f>
        <v>52589</v>
      </c>
      <c r="Z1945" s="175">
        <v>2.0450929657313301E-2</v>
      </c>
      <c r="AA1945" s="177">
        <v>2.0643703690272686E-2</v>
      </c>
    </row>
    <row r="1946" spans="23:27" x14ac:dyDescent="0.2">
      <c r="W1946" s="173" t="str">
        <f t="shared" si="41"/>
        <v>1w</v>
      </c>
      <c r="X1946" s="180">
        <f>_xll.qlCalendarAdvance(LiborCalendar,X1945,W1946,"f",FALSE)</f>
        <v>52594</v>
      </c>
      <c r="Y1946" s="174">
        <f>_xll.qlInterestRateIndexValueDate(IborIndex,X1946)</f>
        <v>52600</v>
      </c>
      <c r="Z1946" s="175">
        <v>2.0449034383038897E-2</v>
      </c>
      <c r="AA1946" s="177">
        <v>2.0639782946716423E-2</v>
      </c>
    </row>
    <row r="1947" spans="23:27" x14ac:dyDescent="0.2">
      <c r="W1947" s="173" t="str">
        <f t="shared" si="41"/>
        <v>1w</v>
      </c>
      <c r="X1947" s="180">
        <f>_xll.qlCalendarAdvance(LiborCalendar,X1946,W1947,"f",FALSE)</f>
        <v>52601</v>
      </c>
      <c r="Y1947" s="174">
        <f>_xll.qlInterestRateIndexValueDate(IborIndex,X1947)</f>
        <v>52603</v>
      </c>
      <c r="Z1947" s="175">
        <v>2.0448672241156703E-2</v>
      </c>
      <c r="AA1947" s="177">
        <v>2.0639264730880624E-2</v>
      </c>
    </row>
    <row r="1948" spans="23:27" x14ac:dyDescent="0.2">
      <c r="W1948" s="173" t="str">
        <f t="shared" si="41"/>
        <v>1w</v>
      </c>
      <c r="X1948" s="180">
        <f>_xll.qlCalendarAdvance(LiborCalendar,X1947,W1948,"f",FALSE)</f>
        <v>52608</v>
      </c>
      <c r="Y1948" s="174">
        <f>_xll.qlInterestRateIndexValueDate(IborIndex,X1948)</f>
        <v>52610</v>
      </c>
      <c r="Z1948" s="175">
        <v>2.0447847125977005E-2</v>
      </c>
      <c r="AA1948" s="177">
        <v>2.0638075514002319E-2</v>
      </c>
    </row>
    <row r="1949" spans="23:27" x14ac:dyDescent="0.2">
      <c r="W1949" s="173" t="str">
        <f t="shared" si="41"/>
        <v>1w</v>
      </c>
      <c r="X1949" s="180">
        <f>_xll.qlCalendarAdvance(LiborCalendar,X1948,W1949,"f",FALSE)</f>
        <v>52615</v>
      </c>
      <c r="Y1949" s="174">
        <f>_xll.qlInterestRateIndexValueDate(IborIndex,X1949)</f>
        <v>52617</v>
      </c>
      <c r="Z1949" s="175">
        <v>2.0447049846330747E-2</v>
      </c>
      <c r="AA1949" s="177">
        <v>2.0636914231669801E-2</v>
      </c>
    </row>
    <row r="1950" spans="23:27" x14ac:dyDescent="0.2">
      <c r="W1950" s="173" t="str">
        <f t="shared" si="41"/>
        <v>1w</v>
      </c>
      <c r="X1950" s="180">
        <f>_xll.qlCalendarAdvance(LiborCalendar,X1949,W1950,"f",FALSE)</f>
        <v>52622</v>
      </c>
      <c r="Y1950" s="174">
        <f>_xll.qlInterestRateIndexValueDate(IborIndex,X1950)</f>
        <v>52624</v>
      </c>
      <c r="Z1950" s="175">
        <v>2.0446280402186302E-2</v>
      </c>
      <c r="AA1950" s="177">
        <v>2.0635780884045163E-2</v>
      </c>
    </row>
    <row r="1951" spans="23:27" x14ac:dyDescent="0.2">
      <c r="W1951" s="173" t="str">
        <f t="shared" si="41"/>
        <v>1w</v>
      </c>
      <c r="X1951" s="180">
        <f>_xll.qlCalendarAdvance(LiborCalendar,X1950,W1951,"f",FALSE)</f>
        <v>52629</v>
      </c>
      <c r="Y1951" s="174">
        <f>_xll.qlInterestRateIndexValueDate(IborIndex,X1951)</f>
        <v>52631</v>
      </c>
      <c r="Z1951" s="175">
        <v>2.0445538793510732E-2</v>
      </c>
      <c r="AA1951" s="177">
        <v>2.0634675470885266E-2</v>
      </c>
    </row>
    <row r="1952" spans="23:27" x14ac:dyDescent="0.2">
      <c r="W1952" s="173" t="str">
        <f t="shared" si="41"/>
        <v>1w</v>
      </c>
      <c r="X1952" s="180">
        <f>_xll.qlCalendarAdvance(LiborCalendar,X1951,W1952,"f",FALSE)</f>
        <v>52636</v>
      </c>
      <c r="Y1952" s="174">
        <f>_xll.qlInterestRateIndexValueDate(IborIndex,X1952)</f>
        <v>52639</v>
      </c>
      <c r="Z1952" s="175">
        <v>2.0444725324947014E-2</v>
      </c>
      <c r="AA1952" s="177">
        <v>2.06344618758166E-2</v>
      </c>
    </row>
    <row r="1953" spans="23:27" x14ac:dyDescent="0.2">
      <c r="W1953" s="173" t="str">
        <f t="shared" si="41"/>
        <v>1w</v>
      </c>
      <c r="X1953" s="180">
        <f>_xll.qlCalendarAdvance(LiborCalendar,X1952,W1953,"f",FALSE)</f>
        <v>52643</v>
      </c>
      <c r="Y1953" s="174">
        <f>_xll.qlInterestRateIndexValueDate(IborIndex,X1953)</f>
        <v>52645</v>
      </c>
      <c r="Z1953" s="175">
        <v>2.0444139082444562E-2</v>
      </c>
      <c r="AA1953" s="177">
        <v>2.0632548448689114E-2</v>
      </c>
    </row>
    <row r="1954" spans="23:27" x14ac:dyDescent="0.2">
      <c r="W1954" s="173" t="str">
        <f t="shared" si="41"/>
        <v>1w</v>
      </c>
      <c r="X1954" s="180">
        <f>_xll.qlCalendarAdvance(LiborCalendar,X1953,W1954,"f",FALSE)</f>
        <v>52650</v>
      </c>
      <c r="Y1954" s="174">
        <f>_xll.qlInterestRateIndexValueDate(IborIndex,X1954)</f>
        <v>52652</v>
      </c>
      <c r="Z1954" s="175">
        <v>2.0443480979995102E-2</v>
      </c>
      <c r="AA1954" s="177">
        <v>2.0631526839490766E-2</v>
      </c>
    </row>
    <row r="1955" spans="23:27" x14ac:dyDescent="0.2">
      <c r="W1955" s="173" t="str">
        <f t="shared" si="41"/>
        <v>1w</v>
      </c>
      <c r="X1955" s="180">
        <f>_xll.qlCalendarAdvance(LiborCalendar,X1954,W1955,"f",FALSE)</f>
        <v>52657</v>
      </c>
      <c r="Y1955" s="174">
        <f>_xll.qlInterestRateIndexValueDate(IborIndex,X1955)</f>
        <v>52659</v>
      </c>
      <c r="Z1955" s="175">
        <v>2.0445024499000937E-2</v>
      </c>
      <c r="AA1955" s="177">
        <v>2.0630533165000298E-2</v>
      </c>
    </row>
    <row r="1956" spans="23:27" x14ac:dyDescent="0.2">
      <c r="W1956" s="173" t="str">
        <f t="shared" si="41"/>
        <v>1w</v>
      </c>
      <c r="X1956" s="180">
        <f>_xll.qlCalendarAdvance(LiborCalendar,X1955,W1956,"f",FALSE)</f>
        <v>52664</v>
      </c>
      <c r="Y1956" s="174">
        <f>_xll.qlInterestRateIndexValueDate(IborIndex,X1956)</f>
        <v>52666</v>
      </c>
      <c r="Z1956" s="175">
        <v>2.0444429885813433E-2</v>
      </c>
      <c r="AA1956" s="177">
        <v>2.0629567425055617E-2</v>
      </c>
    </row>
    <row r="1957" spans="23:27" x14ac:dyDescent="0.2">
      <c r="W1957" s="173" t="str">
        <f t="shared" si="41"/>
        <v>1w</v>
      </c>
      <c r="X1957" s="180">
        <f>_xll.qlCalendarAdvance(LiborCalendar,X1956,W1957,"f",FALSE)</f>
        <v>52671</v>
      </c>
      <c r="Y1957" s="174">
        <f>_xll.qlInterestRateIndexValueDate(IborIndex,X1957)</f>
        <v>52673</v>
      </c>
      <c r="Z1957" s="175">
        <v>2.044441099086115E-2</v>
      </c>
      <c r="AA1957" s="177">
        <v>2.0628629619818817E-2</v>
      </c>
    </row>
    <row r="1958" spans="23:27" x14ac:dyDescent="0.2">
      <c r="W1958" s="173" t="str">
        <f t="shared" si="41"/>
        <v>1w</v>
      </c>
      <c r="X1958" s="180">
        <f>_xll.qlCalendarAdvance(LiborCalendar,X1957,W1958,"f",FALSE)</f>
        <v>52678</v>
      </c>
      <c r="Y1958" s="174">
        <f>_xll.qlInterestRateIndexValueDate(IborIndex,X1958)</f>
        <v>52680</v>
      </c>
      <c r="Z1958" s="175">
        <v>2.0443324184179955E-2</v>
      </c>
      <c r="AA1958" s="177">
        <v>2.0627719749127804E-2</v>
      </c>
    </row>
    <row r="1959" spans="23:27" x14ac:dyDescent="0.2">
      <c r="W1959" s="173" t="str">
        <f t="shared" si="41"/>
        <v>1w</v>
      </c>
      <c r="X1959" s="180">
        <f>_xll.qlCalendarAdvance(LiborCalendar,X1958,W1959,"f",FALSE)</f>
        <v>52685</v>
      </c>
      <c r="Y1959" s="174">
        <f>_xll.qlInterestRateIndexValueDate(IborIndex,X1959)</f>
        <v>52687</v>
      </c>
      <c r="Z1959" s="175">
        <v>2.0441158959903678E-2</v>
      </c>
      <c r="AA1959" s="177">
        <v>2.0626837813144672E-2</v>
      </c>
    </row>
    <row r="1960" spans="23:27" x14ac:dyDescent="0.2">
      <c r="W1960" s="173" t="str">
        <f t="shared" si="41"/>
        <v>1w</v>
      </c>
      <c r="X1960" s="180">
        <f>_xll.qlCalendarAdvance(LiborCalendar,X1959,W1960,"f",FALSE)</f>
        <v>52692</v>
      </c>
      <c r="Y1960" s="174">
        <f>_xll.qlInterestRateIndexValueDate(IborIndex,X1960)</f>
        <v>52694</v>
      </c>
      <c r="Z1960" s="175">
        <v>2.0440669829794148E-2</v>
      </c>
      <c r="AA1960" s="177">
        <v>2.0625983811707327E-2</v>
      </c>
    </row>
    <row r="1961" spans="23:27" x14ac:dyDescent="0.2">
      <c r="W1961" s="173" t="str">
        <f t="shared" si="41"/>
        <v>1w</v>
      </c>
      <c r="X1961" s="180">
        <f>_xll.qlCalendarAdvance(LiborCalendar,X1960,W1961,"f",FALSE)</f>
        <v>52699</v>
      </c>
      <c r="Y1961" s="174">
        <f>_xll.qlInterestRateIndexValueDate(IborIndex,X1961)</f>
        <v>52701</v>
      </c>
      <c r="Z1961" s="175">
        <v>2.0440208536467552E-2</v>
      </c>
      <c r="AA1961" s="177">
        <v>2.0627258449647412E-2</v>
      </c>
    </row>
    <row r="1962" spans="23:27" x14ac:dyDescent="0.2">
      <c r="W1962" s="173" t="str">
        <f t="shared" si="41"/>
        <v>1w</v>
      </c>
      <c r="X1962" s="180">
        <f>_xll.qlCalendarAdvance(LiborCalendar,X1961,W1962,"f",FALSE)</f>
        <v>52706</v>
      </c>
      <c r="Y1962" s="174">
        <f>_xll.qlInterestRateIndexValueDate(IborIndex,X1962)</f>
        <v>52708</v>
      </c>
      <c r="Z1962" s="175">
        <v>2.043977507990467E-2</v>
      </c>
      <c r="AA1962" s="177">
        <v>2.0624359612794185E-2</v>
      </c>
    </row>
    <row r="1963" spans="23:27" x14ac:dyDescent="0.2">
      <c r="W1963" s="173" t="str">
        <f t="shared" si="41"/>
        <v>1w</v>
      </c>
      <c r="X1963" s="180">
        <f>_xll.qlCalendarAdvance(LiborCalendar,X1962,W1963,"f",FALSE)</f>
        <v>52713</v>
      </c>
      <c r="Y1963" s="174">
        <f>_xll.qlInterestRateIndexValueDate(IborIndex,X1963)</f>
        <v>52715</v>
      </c>
      <c r="Z1963" s="175">
        <v>2.0441047156704993E-2</v>
      </c>
      <c r="AA1963" s="177">
        <v>2.0623589415237342E-2</v>
      </c>
    </row>
    <row r="1964" spans="23:27" x14ac:dyDescent="0.2">
      <c r="W1964" s="173" t="str">
        <f t="shared" si="41"/>
        <v>1w</v>
      </c>
      <c r="X1964" s="180">
        <f>_xll.qlCalendarAdvance(LiborCalendar,X1963,W1964,"f",FALSE)</f>
        <v>52720</v>
      </c>
      <c r="Y1964" s="174">
        <f>_xll.qlInterestRateIndexValueDate(IborIndex,X1964)</f>
        <v>52723</v>
      </c>
      <c r="Z1964" s="175" t="e">
        <v>#N/A</v>
      </c>
      <c r="AA1964" s="177">
        <v>2.0623805607217958E-2</v>
      </c>
    </row>
    <row r="1965" spans="23:27" x14ac:dyDescent="0.2">
      <c r="W1965" s="173" t="str">
        <f t="shared" si="41"/>
        <v>1w</v>
      </c>
      <c r="X1965" s="180">
        <f>_xll.qlCalendarAdvance(LiborCalendar,X1964,W1965,"f",FALSE)</f>
        <v>52727</v>
      </c>
      <c r="Y1965" s="174">
        <f>_xll.qlInterestRateIndexValueDate(IborIndex,X1965)</f>
        <v>52729</v>
      </c>
      <c r="Z1965" s="175" t="e">
        <v>#N/A</v>
      </c>
      <c r="AA1965" s="177">
        <v>2.062213282416625E-2</v>
      </c>
    </row>
    <row r="1966" spans="23:27" x14ac:dyDescent="0.2">
      <c r="W1966" s="173" t="str">
        <f t="shared" si="41"/>
        <v>1w</v>
      </c>
      <c r="X1966" s="180">
        <f>_xll.qlCalendarAdvance(LiborCalendar,X1965,W1966,"f",FALSE)</f>
        <v>52734</v>
      </c>
      <c r="Y1966" s="174">
        <f>_xll.qlInterestRateIndexValueDate(IborIndex,X1966)</f>
        <v>52736</v>
      </c>
      <c r="Z1966" s="175" t="e">
        <v>#N/A</v>
      </c>
      <c r="AA1966" s="177">
        <v>2.0621446430489909E-2</v>
      </c>
    </row>
    <row r="1967" spans="23:27" x14ac:dyDescent="0.2">
      <c r="W1967" s="173" t="str">
        <f t="shared" si="41"/>
        <v>1w</v>
      </c>
      <c r="X1967" s="180">
        <f>_xll.qlCalendarAdvance(LiborCalendar,X1966,W1967,"f",FALSE)</f>
        <v>52741</v>
      </c>
      <c r="Y1967" s="174">
        <f>_xll.qlInterestRateIndexValueDate(IborIndex,X1967)</f>
        <v>52743</v>
      </c>
      <c r="Z1967" s="175" t="e">
        <v>#N/A</v>
      </c>
      <c r="AA1967" s="177">
        <v>2.0620787971440402E-2</v>
      </c>
    </row>
    <row r="1968" spans="23:27" x14ac:dyDescent="0.2">
      <c r="W1968" s="173" t="str">
        <f t="shared" si="41"/>
        <v>1w</v>
      </c>
      <c r="X1968" s="180">
        <f>_xll.qlCalendarAdvance(LiborCalendar,X1967,W1968,"f",FALSE)</f>
        <v>52748</v>
      </c>
      <c r="Y1968" s="174">
        <f>_xll.qlInterestRateIndexValueDate(IborIndex,X1968)</f>
        <v>52750</v>
      </c>
      <c r="Z1968" s="175" t="e">
        <v>#N/A</v>
      </c>
      <c r="AA1968" s="177">
        <v>2.0620157447098775E-2</v>
      </c>
    </row>
    <row r="1969" spans="23:27" x14ac:dyDescent="0.2">
      <c r="W1969" s="173" t="str">
        <f t="shared" si="41"/>
        <v>1w</v>
      </c>
      <c r="X1969" s="180">
        <f>_xll.qlCalendarAdvance(LiborCalendar,X1968,W1969,"f",FALSE)</f>
        <v>52755</v>
      </c>
      <c r="Y1969" s="174">
        <f>_xll.qlInterestRateIndexValueDate(IborIndex,X1969)</f>
        <v>52757</v>
      </c>
      <c r="Z1969" s="175" t="e">
        <v>#N/A</v>
      </c>
      <c r="AA1969" s="177">
        <v>2.0619554857302935E-2</v>
      </c>
    </row>
    <row r="1970" spans="23:27" x14ac:dyDescent="0.2">
      <c r="W1970" s="173" t="str">
        <f t="shared" si="41"/>
        <v>1w</v>
      </c>
      <c r="X1970" s="180">
        <f>_xll.qlCalendarAdvance(LiborCalendar,X1969,W1970,"f",FALSE)</f>
        <v>52762</v>
      </c>
      <c r="Y1970" s="174">
        <f>_xll.qlInterestRateIndexValueDate(IborIndex,X1970)</f>
        <v>52764</v>
      </c>
      <c r="Z1970" s="175" t="e">
        <v>#N/A</v>
      </c>
      <c r="AA1970" s="177">
        <v>2.0618980202296022E-2</v>
      </c>
    </row>
    <row r="1971" spans="23:27" x14ac:dyDescent="0.2">
      <c r="W1971" s="173" t="str">
        <f t="shared" si="41"/>
        <v>1w</v>
      </c>
      <c r="X1971" s="180">
        <f>_xll.qlCalendarAdvance(LiborCalendar,X1970,W1971,"f",FALSE)</f>
        <v>52769</v>
      </c>
      <c r="Y1971" s="174">
        <f>_xll.qlInterestRateIndexValueDate(IborIndex,X1971)</f>
        <v>52771</v>
      </c>
      <c r="Z1971" s="175" t="e">
        <v>#N/A</v>
      </c>
      <c r="AA1971" s="177">
        <v>2.0618433481672804E-2</v>
      </c>
    </row>
    <row r="1972" spans="23:27" x14ac:dyDescent="0.2">
      <c r="W1972" s="173" t="str">
        <f t="shared" si="41"/>
        <v>1w</v>
      </c>
      <c r="X1972" s="180">
        <f>_xll.qlCalendarAdvance(LiborCalendar,X1971,W1972,"f",FALSE)</f>
        <v>52776</v>
      </c>
      <c r="Y1972" s="174">
        <f>_xll.qlInterestRateIndexValueDate(IborIndex,X1972)</f>
        <v>52778</v>
      </c>
      <c r="Z1972" s="175" t="e">
        <v>#N/A</v>
      </c>
      <c r="AA1972" s="177">
        <v>2.0617914695757467E-2</v>
      </c>
    </row>
    <row r="1973" spans="23:27" x14ac:dyDescent="0.2">
      <c r="W1973" s="173" t="str">
        <f t="shared" si="41"/>
        <v>1w</v>
      </c>
      <c r="X1973" s="180">
        <f>_xll.qlCalendarAdvance(LiborCalendar,X1972,W1973,"f",FALSE)</f>
        <v>52783</v>
      </c>
      <c r="Y1973" s="174">
        <f>_xll.qlInterestRateIndexValueDate(IborIndex,X1973)</f>
        <v>52785</v>
      </c>
      <c r="Z1973" s="175" t="e">
        <v>#N/A</v>
      </c>
      <c r="AA1973" s="177">
        <v>2.0617423844550009E-2</v>
      </c>
    </row>
    <row r="1974" spans="23:27" x14ac:dyDescent="0.2">
      <c r="W1974" s="173" t="str">
        <f t="shared" si="41"/>
        <v>1w</v>
      </c>
      <c r="X1974" s="180">
        <f>_xll.qlCalendarAdvance(LiborCalendar,X1973,W1974,"f",FALSE)</f>
        <v>52790</v>
      </c>
      <c r="Y1974" s="174">
        <f>_xll.qlInterestRateIndexValueDate(IborIndex,X1974)</f>
        <v>52792</v>
      </c>
      <c r="Z1974" s="175" t="e">
        <v>#N/A</v>
      </c>
      <c r="AA1974" s="177">
        <v>2.0616960927888339E-2</v>
      </c>
    </row>
    <row r="1975" spans="23:27" x14ac:dyDescent="0.2">
      <c r="W1975" s="173" t="str">
        <f t="shared" si="41"/>
        <v>1w</v>
      </c>
      <c r="X1975" s="180">
        <f>_xll.qlCalendarAdvance(LiborCalendar,X1974,W1975,"f",FALSE)</f>
        <v>52797</v>
      </c>
      <c r="Y1975" s="174">
        <f>_xll.qlInterestRateIndexValueDate(IborIndex,X1975)</f>
        <v>52799</v>
      </c>
      <c r="Z1975" s="175" t="e">
        <v>#N/A</v>
      </c>
      <c r="AA1975" s="177">
        <v>2.0616525945853503E-2</v>
      </c>
    </row>
    <row r="1976" spans="23:27" x14ac:dyDescent="0.2">
      <c r="W1976" s="173" t="str">
        <f t="shared" si="41"/>
        <v>1w</v>
      </c>
      <c r="X1976" s="180">
        <f>_xll.qlCalendarAdvance(LiborCalendar,X1975,W1976,"f",FALSE)</f>
        <v>52804</v>
      </c>
      <c r="Y1976" s="174">
        <f>_xll.qlInterestRateIndexValueDate(IborIndex,X1976)</f>
        <v>52806</v>
      </c>
      <c r="Z1976" s="175" t="e">
        <v>#N/A</v>
      </c>
      <c r="AA1976" s="177">
        <v>2.0616118898526548E-2</v>
      </c>
    </row>
    <row r="1977" spans="23:27" x14ac:dyDescent="0.2">
      <c r="W1977" s="173" t="str">
        <f t="shared" si="41"/>
        <v>1w</v>
      </c>
      <c r="X1977" s="180">
        <f>_xll.qlCalendarAdvance(LiborCalendar,X1976,W1977,"f",FALSE)</f>
        <v>52811</v>
      </c>
      <c r="Y1977" s="174">
        <f>_xll.qlInterestRateIndexValueDate(IborIndex,X1977)</f>
        <v>52813</v>
      </c>
      <c r="Z1977" s="175" t="e">
        <v>#N/A</v>
      </c>
      <c r="AA1977" s="177">
        <v>2.0615739785745379E-2</v>
      </c>
    </row>
    <row r="1978" spans="23:27" x14ac:dyDescent="0.2">
      <c r="W1978" s="173" t="str">
        <f t="shared" si="41"/>
        <v>1w</v>
      </c>
      <c r="X1978" s="180">
        <f>_xll.qlCalendarAdvance(LiborCalendar,X1977,W1978,"f",FALSE)</f>
        <v>52818</v>
      </c>
      <c r="Y1978" s="174">
        <f>_xll.qlInterestRateIndexValueDate(IborIndex,X1978)</f>
        <v>52820</v>
      </c>
      <c r="Z1978" s="175" t="e">
        <v>#N/A</v>
      </c>
      <c r="AA1978" s="177">
        <v>2.0615388607591045E-2</v>
      </c>
    </row>
    <row r="1979" spans="23:27" x14ac:dyDescent="0.2">
      <c r="W1979" s="173" t="str">
        <f t="shared" si="41"/>
        <v>1w</v>
      </c>
      <c r="X1979" s="180">
        <f>_xll.qlCalendarAdvance(LiborCalendar,X1978,W1979,"f",FALSE)</f>
        <v>52825</v>
      </c>
      <c r="Y1979" s="174">
        <f>_xll.qlInterestRateIndexValueDate(IborIndex,X1979)</f>
        <v>52827</v>
      </c>
      <c r="Z1979" s="175" t="e">
        <v>#N/A</v>
      </c>
      <c r="AA1979" s="177">
        <v>2.0615065364144591E-2</v>
      </c>
    </row>
    <row r="1980" spans="23:27" x14ac:dyDescent="0.2">
      <c r="W1980" s="173" t="str">
        <f t="shared" si="41"/>
        <v>1w</v>
      </c>
      <c r="X1980" s="180">
        <f>_xll.qlCalendarAdvance(LiborCalendar,X1979,W1980,"f",FALSE)</f>
        <v>52832</v>
      </c>
      <c r="Y1980" s="174">
        <f>_xll.qlInterestRateIndexValueDate(IborIndex,X1980)</f>
        <v>52834</v>
      </c>
      <c r="Z1980" s="175" t="e">
        <v>#N/A</v>
      </c>
      <c r="AA1980" s="177">
        <v>2.0614770055162879E-2</v>
      </c>
    </row>
    <row r="1981" spans="23:27" x14ac:dyDescent="0.2">
      <c r="W1981" s="173" t="str">
        <f t="shared" si="41"/>
        <v>1w</v>
      </c>
      <c r="X1981" s="180">
        <f>_xll.qlCalendarAdvance(LiborCalendar,X1980,W1981,"f",FALSE)</f>
        <v>52839</v>
      </c>
      <c r="Y1981" s="174">
        <f>_xll.qlInterestRateIndexValueDate(IborIndex,X1981)</f>
        <v>52841</v>
      </c>
      <c r="Z1981" s="175" t="e">
        <v>#N/A</v>
      </c>
      <c r="AA1981" s="177">
        <v>2.0614502680970093E-2</v>
      </c>
    </row>
    <row r="1982" spans="23:27" x14ac:dyDescent="0.2">
      <c r="W1982" s="173" t="str">
        <f t="shared" si="41"/>
        <v>1w</v>
      </c>
      <c r="X1982" s="180">
        <f>_xll.qlCalendarAdvance(LiborCalendar,X1981,W1982,"f",FALSE)</f>
        <v>52846</v>
      </c>
      <c r="Y1982" s="174">
        <f>_xll.qlInterestRateIndexValueDate(IborIndex,X1982)</f>
        <v>52848</v>
      </c>
      <c r="Z1982" s="175" t="e">
        <v>#N/A</v>
      </c>
      <c r="AA1982" s="177">
        <v>2.0614263241323094E-2</v>
      </c>
    </row>
    <row r="1983" spans="23:27" x14ac:dyDescent="0.2">
      <c r="W1983" s="173" t="str">
        <f t="shared" si="41"/>
        <v>1w</v>
      </c>
      <c r="X1983" s="180">
        <f>_xll.qlCalendarAdvance(LiborCalendar,X1982,W1983,"f",FALSE)</f>
        <v>52853</v>
      </c>
      <c r="Y1983" s="174">
        <f>_xll.qlInterestRateIndexValueDate(IborIndex,X1983)</f>
        <v>52855</v>
      </c>
      <c r="Z1983" s="175" t="e">
        <v>#N/A</v>
      </c>
      <c r="AA1983" s="177">
        <v>2.061405173630293E-2</v>
      </c>
    </row>
    <row r="1984" spans="23:27" x14ac:dyDescent="0.2">
      <c r="W1984" s="173" t="str">
        <f t="shared" si="41"/>
        <v>1w</v>
      </c>
      <c r="X1984" s="180">
        <f>_xll.qlCalendarAdvance(LiborCalendar,X1983,W1984,"f",FALSE)</f>
        <v>52860</v>
      </c>
      <c r="Y1984" s="174">
        <f>_xll.qlInterestRateIndexValueDate(IborIndex,X1984)</f>
        <v>52863</v>
      </c>
      <c r="Z1984" s="175" t="e">
        <v>#N/A</v>
      </c>
      <c r="AA1984" s="177">
        <v>2.0614985250733502E-2</v>
      </c>
    </row>
    <row r="1985" spans="23:27" x14ac:dyDescent="0.2">
      <c r="W1985" s="173" t="str">
        <f t="shared" si="41"/>
        <v>1w</v>
      </c>
      <c r="X1985" s="180">
        <f>_xll.qlCalendarAdvance(LiborCalendar,X1984,W1985,"f",FALSE)</f>
        <v>52867</v>
      </c>
      <c r="Y1985" s="174">
        <f>_xll.qlInterestRateIndexValueDate(IborIndex,X1985)</f>
        <v>52869</v>
      </c>
      <c r="Z1985" s="175" t="e">
        <v>#N/A</v>
      </c>
      <c r="AA1985" s="177">
        <v>2.0613712530143102E-2</v>
      </c>
    </row>
    <row r="1986" spans="23:27" x14ac:dyDescent="0.2">
      <c r="W1986" s="173" t="str">
        <f t="shared" si="41"/>
        <v>1w</v>
      </c>
      <c r="X1986" s="180">
        <f>_xll.qlCalendarAdvance(LiborCalendar,X1985,W1986,"f",FALSE)</f>
        <v>52874</v>
      </c>
      <c r="Y1986" s="174">
        <f>_xll.qlInterestRateIndexValueDate(IborIndex,X1986)</f>
        <v>52876</v>
      </c>
      <c r="Z1986" s="175" t="e">
        <v>#N/A</v>
      </c>
      <c r="AA1986" s="177">
        <v>2.061358482900344E-2</v>
      </c>
    </row>
    <row r="1987" spans="23:27" x14ac:dyDescent="0.2">
      <c r="W1987" s="173" t="str">
        <f t="shared" si="41"/>
        <v>1w</v>
      </c>
      <c r="X1987" s="180">
        <f>_xll.qlCalendarAdvance(LiborCalendar,X1986,W1987,"f",FALSE)</f>
        <v>52881</v>
      </c>
      <c r="Y1987" s="174">
        <f>_xll.qlInterestRateIndexValueDate(IborIndex,X1987)</f>
        <v>52883</v>
      </c>
      <c r="Z1987" s="175" t="e">
        <v>#N/A</v>
      </c>
      <c r="AA1987" s="177">
        <v>2.0613485062490611E-2</v>
      </c>
    </row>
    <row r="1988" spans="23:27" x14ac:dyDescent="0.2">
      <c r="W1988" s="173" t="str">
        <f t="shared" si="41"/>
        <v>1w</v>
      </c>
      <c r="X1988" s="180">
        <f>_xll.qlCalendarAdvance(LiborCalendar,X1987,W1988,"f",FALSE)</f>
        <v>52888</v>
      </c>
      <c r="Y1988" s="174">
        <f>_xll.qlInterestRateIndexValueDate(IborIndex,X1988)</f>
        <v>52890</v>
      </c>
      <c r="Z1988" s="175" t="e">
        <v>#N/A</v>
      </c>
      <c r="AA1988" s="177">
        <v>2.0613413230604616E-2</v>
      </c>
    </row>
    <row r="1989" spans="23:27" x14ac:dyDescent="0.2">
      <c r="W1989" s="173" t="str">
        <f t="shared" si="41"/>
        <v>1w</v>
      </c>
      <c r="X1989" s="180">
        <f>_xll.qlCalendarAdvance(LiborCalendar,X1988,W1989,"f",FALSE)</f>
        <v>52895</v>
      </c>
      <c r="Y1989" s="174">
        <f>_xll.qlInterestRateIndexValueDate(IborIndex,X1989)</f>
        <v>52897</v>
      </c>
      <c r="Z1989" s="175" t="e">
        <v>#N/A</v>
      </c>
      <c r="AA1989" s="177">
        <v>2.0613369333345455E-2</v>
      </c>
    </row>
    <row r="1990" spans="23:27" x14ac:dyDescent="0.2">
      <c r="W1990" s="173" t="str">
        <f t="shared" si="41"/>
        <v>1w</v>
      </c>
      <c r="X1990" s="180">
        <f>_xll.qlCalendarAdvance(LiborCalendar,X1989,W1990,"f",FALSE)</f>
        <v>52902</v>
      </c>
      <c r="Y1990" s="174">
        <f>_xll.qlInterestRateIndexValueDate(IborIndex,X1990)</f>
        <v>52905</v>
      </c>
      <c r="Z1990" s="175" t="e">
        <v>#N/A</v>
      </c>
      <c r="AA1990" s="177" t="e">
        <v>#N/A</v>
      </c>
    </row>
    <row r="1991" spans="23:27" x14ac:dyDescent="0.2">
      <c r="W1991" s="173" t="str">
        <f t="shared" si="41"/>
        <v>1w</v>
      </c>
      <c r="X1991" s="180">
        <f>_xll.qlCalendarAdvance(LiborCalendar,X1990,W1991,"f",FALSE)</f>
        <v>52909</v>
      </c>
      <c r="Y1991" s="174">
        <f>_xll.qlInterestRateIndexValueDate(IborIndex,X1991)</f>
        <v>52911</v>
      </c>
      <c r="Z1991" s="175" t="e">
        <v>#N/A</v>
      </c>
      <c r="AA1991" s="177" t="e">
        <v>#N/A</v>
      </c>
    </row>
    <row r="1992" spans="23:27" x14ac:dyDescent="0.2">
      <c r="W1992" s="173" t="str">
        <f t="shared" si="41"/>
        <v>1w</v>
      </c>
      <c r="X1992" s="180">
        <f>_xll.qlCalendarAdvance(LiborCalendar,X1991,W1992,"f",FALSE)</f>
        <v>52916</v>
      </c>
      <c r="Y1992" s="174">
        <f>_xll.qlInterestRateIndexValueDate(IborIndex,X1992)</f>
        <v>52918</v>
      </c>
      <c r="Z1992" s="175" t="e">
        <v>#N/A</v>
      </c>
      <c r="AA1992" s="177" t="e">
        <v>#N/A</v>
      </c>
    </row>
    <row r="1993" spans="23:27" x14ac:dyDescent="0.2">
      <c r="W1993" s="173" t="str">
        <f t="shared" si="41"/>
        <v>1w</v>
      </c>
      <c r="X1993" s="180">
        <f>_xll.qlCalendarAdvance(LiborCalendar,X1992,W1993,"f",FALSE)</f>
        <v>52923</v>
      </c>
      <c r="Y1993" s="174">
        <f>_xll.qlInterestRateIndexValueDate(IborIndex,X1993)</f>
        <v>52925</v>
      </c>
      <c r="Z1993" s="175" t="e">
        <v>#N/A</v>
      </c>
      <c r="AA1993" s="177" t="e">
        <v>#N/A</v>
      </c>
    </row>
    <row r="1994" spans="23:27" x14ac:dyDescent="0.2">
      <c r="W1994" s="173" t="str">
        <f t="shared" si="41"/>
        <v>1w</v>
      </c>
      <c r="X1994" s="180">
        <f>_xll.qlCalendarAdvance(LiborCalendar,X1993,W1994,"f",FALSE)</f>
        <v>52930</v>
      </c>
      <c r="Y1994" s="174">
        <f>_xll.qlInterestRateIndexValueDate(IborIndex,X1994)</f>
        <v>52932</v>
      </c>
      <c r="Z1994" s="175" t="e">
        <v>#N/A</v>
      </c>
      <c r="AA1994" s="177" t="e">
        <v>#N/A</v>
      </c>
    </row>
    <row r="1995" spans="23:27" x14ac:dyDescent="0.2">
      <c r="W1995" s="173" t="str">
        <f t="shared" si="41"/>
        <v>1w</v>
      </c>
      <c r="X1995" s="180">
        <f>_xll.qlCalendarAdvance(LiborCalendar,X1994,W1995,"f",FALSE)</f>
        <v>52937</v>
      </c>
      <c r="Y1995" s="174">
        <f>_xll.qlInterestRateIndexValueDate(IborIndex,X1995)</f>
        <v>52939</v>
      </c>
      <c r="Z1995" s="175" t="e">
        <v>#N/A</v>
      </c>
      <c r="AA1995" s="177" t="e">
        <v>#N/A</v>
      </c>
    </row>
    <row r="1996" spans="23:27" x14ac:dyDescent="0.2">
      <c r="W1996" s="173" t="str">
        <f t="shared" si="41"/>
        <v>1w</v>
      </c>
      <c r="X1996" s="180">
        <f>_xll.qlCalendarAdvance(LiborCalendar,X1995,W1996,"f",FALSE)</f>
        <v>52944</v>
      </c>
      <c r="Y1996" s="174">
        <f>_xll.qlInterestRateIndexValueDate(IborIndex,X1996)</f>
        <v>52946</v>
      </c>
      <c r="Z1996" s="175" t="e">
        <v>#N/A</v>
      </c>
      <c r="AA1996" s="177" t="e">
        <v>#N/A</v>
      </c>
    </row>
    <row r="1997" spans="23:27" x14ac:dyDescent="0.2">
      <c r="W1997" s="173" t="str">
        <f t="shared" si="41"/>
        <v>1w</v>
      </c>
      <c r="X1997" s="180">
        <f>_xll.qlCalendarAdvance(LiborCalendar,X1996,W1997,"f",FALSE)</f>
        <v>52951</v>
      </c>
      <c r="Y1997" s="174">
        <f>_xll.qlInterestRateIndexValueDate(IborIndex,X1997)</f>
        <v>52953</v>
      </c>
      <c r="Z1997" s="175" t="e">
        <v>#N/A</v>
      </c>
      <c r="AA1997" s="177" t="e">
        <v>#N/A</v>
      </c>
    </row>
    <row r="1998" spans="23:27" x14ac:dyDescent="0.2">
      <c r="W1998" s="173" t="str">
        <f t="shared" si="41"/>
        <v>1w</v>
      </c>
      <c r="X1998" s="180">
        <f>_xll.qlCalendarAdvance(LiborCalendar,X1997,W1998,"f",FALSE)</f>
        <v>52959</v>
      </c>
      <c r="Y1998" s="174">
        <f>_xll.qlInterestRateIndexValueDate(IborIndex,X1998)</f>
        <v>52961</v>
      </c>
      <c r="Z1998" s="175" t="e">
        <v>#N/A</v>
      </c>
      <c r="AA1998" s="177" t="e">
        <v>#N/A</v>
      </c>
    </row>
    <row r="1999" spans="23:27" x14ac:dyDescent="0.2">
      <c r="W1999" s="173" t="str">
        <f t="shared" si="41"/>
        <v>1w</v>
      </c>
      <c r="X1999" s="180">
        <f>_xll.qlCalendarAdvance(LiborCalendar,X1998,W1999,"f",FALSE)</f>
        <v>52966</v>
      </c>
      <c r="Y1999" s="174">
        <f>_xll.qlInterestRateIndexValueDate(IborIndex,X1999)</f>
        <v>52968</v>
      </c>
      <c r="Z1999" s="175" t="e">
        <v>#N/A</v>
      </c>
      <c r="AA1999" s="177" t="e">
        <v>#N/A</v>
      </c>
    </row>
    <row r="2000" spans="23:27" x14ac:dyDescent="0.2">
      <c r="W2000" s="173" t="str">
        <f t="shared" si="41"/>
        <v>1w</v>
      </c>
      <c r="X2000" s="180">
        <f>_xll.qlCalendarAdvance(LiborCalendar,X1999,W2000,"f",FALSE)</f>
        <v>52973</v>
      </c>
      <c r="Y2000" s="174">
        <f>_xll.qlInterestRateIndexValueDate(IborIndex,X2000)</f>
        <v>52975</v>
      </c>
      <c r="Z2000" s="175" t="e">
        <v>#N/A</v>
      </c>
      <c r="AA2000" s="177" t="e">
        <v>#N/A</v>
      </c>
    </row>
    <row r="2001" spans="23:27" x14ac:dyDescent="0.2">
      <c r="W2001" s="173" t="str">
        <f t="shared" si="41"/>
        <v>1w</v>
      </c>
      <c r="X2001" s="180">
        <f>_xll.qlCalendarAdvance(LiborCalendar,X2000,W2001,"f",FALSE)</f>
        <v>52980</v>
      </c>
      <c r="Y2001" s="174">
        <f>_xll.qlInterestRateIndexValueDate(IborIndex,X2001)</f>
        <v>52982</v>
      </c>
      <c r="Z2001" s="175" t="e">
        <v>#N/A</v>
      </c>
      <c r="AA2001" s="177" t="e">
        <v>#N/A</v>
      </c>
    </row>
    <row r="2002" spans="23:27" x14ac:dyDescent="0.2">
      <c r="W2002" s="173" t="str">
        <f t="shared" si="41"/>
        <v>1w</v>
      </c>
      <c r="X2002" s="180">
        <f>_xll.qlCalendarAdvance(LiborCalendar,X2001,W2002,"f",FALSE)</f>
        <v>52987</v>
      </c>
      <c r="Y2002" s="174">
        <f>_xll.qlInterestRateIndexValueDate(IborIndex,X2002)</f>
        <v>52989</v>
      </c>
      <c r="Z2002" s="175" t="e">
        <v>#N/A</v>
      </c>
      <c r="AA2002" s="177" t="e">
        <v>#N/A</v>
      </c>
    </row>
    <row r="2003" spans="23:27" x14ac:dyDescent="0.2">
      <c r="W2003" s="173" t="str">
        <f t="shared" si="41"/>
        <v>1w</v>
      </c>
      <c r="X2003" s="180">
        <f>_xll.qlCalendarAdvance(LiborCalendar,X2002,W2003,"f",FALSE)</f>
        <v>52994</v>
      </c>
      <c r="Y2003" s="174">
        <f>_xll.qlInterestRateIndexValueDate(IborIndex,X2003)</f>
        <v>52996</v>
      </c>
      <c r="Z2003" s="175" t="e">
        <v>#N/A</v>
      </c>
      <c r="AA2003" s="177" t="e">
        <v>#N/A</v>
      </c>
    </row>
    <row r="2004" spans="23:27" x14ac:dyDescent="0.2">
      <c r="W2004" s="173" t="str">
        <f t="shared" si="41"/>
        <v>1w</v>
      </c>
      <c r="X2004" s="180">
        <f>_xll.qlCalendarAdvance(LiborCalendar,X2003,W2004,"f",FALSE)</f>
        <v>53001</v>
      </c>
      <c r="Y2004" s="174">
        <f>_xll.qlInterestRateIndexValueDate(IborIndex,X2004)</f>
        <v>53003</v>
      </c>
      <c r="Z2004" s="175" t="e">
        <v>#N/A</v>
      </c>
      <c r="AA2004" s="177" t="e">
        <v>#N/A</v>
      </c>
    </row>
    <row r="2005" spans="23:27" x14ac:dyDescent="0.2">
      <c r="W2005" s="173" t="str">
        <f t="shared" ref="W2005:W2068" si="42">W2004</f>
        <v>1w</v>
      </c>
      <c r="X2005" s="180">
        <f>_xll.qlCalendarAdvance(LiborCalendar,X2004,W2005,"f",FALSE)</f>
        <v>53008</v>
      </c>
      <c r="Y2005" s="174">
        <f>_xll.qlInterestRateIndexValueDate(IborIndex,X2005)</f>
        <v>53010</v>
      </c>
      <c r="Z2005" s="175" t="e">
        <v>#N/A</v>
      </c>
      <c r="AA2005" s="177" t="e">
        <v>#N/A</v>
      </c>
    </row>
    <row r="2006" spans="23:27" x14ac:dyDescent="0.2">
      <c r="W2006" s="173" t="str">
        <f t="shared" si="42"/>
        <v>1w</v>
      </c>
      <c r="X2006" s="180">
        <f>_xll.qlCalendarAdvance(LiborCalendar,X2005,W2006,"f",FALSE)</f>
        <v>53015</v>
      </c>
      <c r="Y2006" s="174">
        <f>_xll.qlInterestRateIndexValueDate(IborIndex,X2006)</f>
        <v>53017</v>
      </c>
      <c r="Z2006" s="175" t="e">
        <v>#N/A</v>
      </c>
      <c r="AA2006" s="177" t="e">
        <v>#N/A</v>
      </c>
    </row>
    <row r="2007" spans="23:27" x14ac:dyDescent="0.2">
      <c r="W2007" s="173" t="str">
        <f t="shared" si="42"/>
        <v>1w</v>
      </c>
      <c r="X2007" s="180">
        <f>_xll.qlCalendarAdvance(LiborCalendar,X2006,W2007,"f",FALSE)</f>
        <v>53022</v>
      </c>
      <c r="Y2007" s="174">
        <f>_xll.qlInterestRateIndexValueDate(IborIndex,X2007)</f>
        <v>53024</v>
      </c>
      <c r="Z2007" s="175" t="e">
        <v>#N/A</v>
      </c>
      <c r="AA2007" s="177" t="e">
        <v>#N/A</v>
      </c>
    </row>
    <row r="2008" spans="23:27" x14ac:dyDescent="0.2">
      <c r="W2008" s="173" t="str">
        <f t="shared" si="42"/>
        <v>1w</v>
      </c>
      <c r="X2008" s="180">
        <f>_xll.qlCalendarAdvance(LiborCalendar,X2007,W2008,"f",FALSE)</f>
        <v>53029</v>
      </c>
      <c r="Y2008" s="174">
        <f>_xll.qlInterestRateIndexValueDate(IborIndex,X2008)</f>
        <v>53031</v>
      </c>
      <c r="Z2008" s="175" t="e">
        <v>#N/A</v>
      </c>
      <c r="AA2008" s="177" t="e">
        <v>#N/A</v>
      </c>
    </row>
    <row r="2009" spans="23:27" x14ac:dyDescent="0.2">
      <c r="W2009" s="173" t="str">
        <f t="shared" si="42"/>
        <v>1w</v>
      </c>
      <c r="X2009" s="180">
        <f>_xll.qlCalendarAdvance(LiborCalendar,X2008,W2009,"f",FALSE)</f>
        <v>53036</v>
      </c>
      <c r="Y2009" s="174">
        <f>_xll.qlInterestRateIndexValueDate(IborIndex,X2009)</f>
        <v>53038</v>
      </c>
      <c r="Z2009" s="175" t="e">
        <v>#N/A</v>
      </c>
      <c r="AA2009" s="177" t="e">
        <v>#N/A</v>
      </c>
    </row>
    <row r="2010" spans="23:27" x14ac:dyDescent="0.2">
      <c r="W2010" s="173" t="str">
        <f t="shared" si="42"/>
        <v>1w</v>
      </c>
      <c r="X2010" s="180">
        <f>_xll.qlCalendarAdvance(LiborCalendar,X2009,W2010,"f",FALSE)</f>
        <v>53043</v>
      </c>
      <c r="Y2010" s="174">
        <f>_xll.qlInterestRateIndexValueDate(IborIndex,X2010)</f>
        <v>53045</v>
      </c>
      <c r="Z2010" s="175" t="e">
        <v>#N/A</v>
      </c>
      <c r="AA2010" s="177" t="e">
        <v>#N/A</v>
      </c>
    </row>
    <row r="2011" spans="23:27" x14ac:dyDescent="0.2">
      <c r="W2011" s="173" t="str">
        <f t="shared" si="42"/>
        <v>1w</v>
      </c>
      <c r="X2011" s="180">
        <f>_xll.qlCalendarAdvance(LiborCalendar,X2010,W2011,"f",FALSE)</f>
        <v>53050</v>
      </c>
      <c r="Y2011" s="174">
        <f>_xll.qlInterestRateIndexValueDate(IborIndex,X2011)</f>
        <v>53052</v>
      </c>
      <c r="Z2011" s="175" t="e">
        <v>#N/A</v>
      </c>
      <c r="AA2011" s="177" t="e">
        <v>#N/A</v>
      </c>
    </row>
    <row r="2012" spans="23:27" x14ac:dyDescent="0.2">
      <c r="W2012" s="173" t="str">
        <f t="shared" si="42"/>
        <v>1w</v>
      </c>
      <c r="X2012" s="180">
        <f>_xll.qlCalendarAdvance(LiborCalendar,X2011,W2012,"f",FALSE)</f>
        <v>53057</v>
      </c>
      <c r="Y2012" s="174">
        <f>_xll.qlInterestRateIndexValueDate(IborIndex,X2012)</f>
        <v>53063</v>
      </c>
      <c r="Z2012" s="175" t="e">
        <v>#N/A</v>
      </c>
      <c r="AA2012" s="177" t="e">
        <v>#N/A</v>
      </c>
    </row>
    <row r="2013" spans="23:27" x14ac:dyDescent="0.2">
      <c r="W2013" s="173" t="str">
        <f t="shared" si="42"/>
        <v>1w</v>
      </c>
      <c r="X2013" s="180">
        <f>_xll.qlCalendarAdvance(LiborCalendar,X2012,W2013,"f",FALSE)</f>
        <v>53064</v>
      </c>
      <c r="Y2013" s="174">
        <f>_xll.qlInterestRateIndexValueDate(IborIndex,X2013)</f>
        <v>53066</v>
      </c>
      <c r="Z2013" s="175" t="e">
        <v>#N/A</v>
      </c>
      <c r="AA2013" s="177" t="e">
        <v>#N/A</v>
      </c>
    </row>
    <row r="2014" spans="23:27" x14ac:dyDescent="0.2">
      <c r="W2014" s="173" t="str">
        <f t="shared" si="42"/>
        <v>1w</v>
      </c>
      <c r="X2014" s="180">
        <f>_xll.qlCalendarAdvance(LiborCalendar,X2013,W2014,"f",FALSE)</f>
        <v>53071</v>
      </c>
      <c r="Y2014" s="174">
        <f>_xll.qlInterestRateIndexValueDate(IborIndex,X2014)</f>
        <v>53073</v>
      </c>
      <c r="Z2014" s="175" t="e">
        <v>#N/A</v>
      </c>
      <c r="AA2014" s="177" t="e">
        <v>#N/A</v>
      </c>
    </row>
    <row r="2015" spans="23:27" x14ac:dyDescent="0.2">
      <c r="W2015" s="173" t="str">
        <f t="shared" si="42"/>
        <v>1w</v>
      </c>
      <c r="X2015" s="180">
        <f>_xll.qlCalendarAdvance(LiborCalendar,X2014,W2015,"f",FALSE)</f>
        <v>53078</v>
      </c>
      <c r="Y2015" s="174">
        <f>_xll.qlInterestRateIndexValueDate(IborIndex,X2015)</f>
        <v>53080</v>
      </c>
      <c r="Z2015" s="175" t="e">
        <v>#N/A</v>
      </c>
      <c r="AA2015" s="177" t="e">
        <v>#N/A</v>
      </c>
    </row>
    <row r="2016" spans="23:27" x14ac:dyDescent="0.2">
      <c r="W2016" s="173" t="str">
        <f t="shared" si="42"/>
        <v>1w</v>
      </c>
      <c r="X2016" s="180">
        <f>_xll.qlCalendarAdvance(LiborCalendar,X2015,W2016,"f",FALSE)</f>
        <v>53085</v>
      </c>
      <c r="Y2016" s="174">
        <f>_xll.qlInterestRateIndexValueDate(IborIndex,X2016)</f>
        <v>53090</v>
      </c>
      <c r="Z2016" s="175" t="e">
        <v>#N/A</v>
      </c>
      <c r="AA2016" s="177" t="e">
        <v>#N/A</v>
      </c>
    </row>
    <row r="2017" spans="23:27" x14ac:dyDescent="0.2">
      <c r="W2017" s="173" t="str">
        <f t="shared" si="42"/>
        <v>1w</v>
      </c>
      <c r="X2017" s="180">
        <f>_xll.qlCalendarAdvance(LiborCalendar,X2016,W2017,"f",FALSE)</f>
        <v>53092</v>
      </c>
      <c r="Y2017" s="174">
        <f>_xll.qlInterestRateIndexValueDate(IborIndex,X2017)</f>
        <v>53094</v>
      </c>
      <c r="Z2017" s="175" t="e">
        <v>#N/A</v>
      </c>
      <c r="AA2017" s="177" t="e">
        <v>#N/A</v>
      </c>
    </row>
    <row r="2018" spans="23:27" x14ac:dyDescent="0.2">
      <c r="W2018" s="173" t="str">
        <f t="shared" si="42"/>
        <v>1w</v>
      </c>
      <c r="X2018" s="180">
        <f>_xll.qlCalendarAdvance(LiborCalendar,X2017,W2018,"f",FALSE)</f>
        <v>53099</v>
      </c>
      <c r="Y2018" s="174">
        <f>_xll.qlInterestRateIndexValueDate(IborIndex,X2018)</f>
        <v>53101</v>
      </c>
      <c r="Z2018" s="175" t="e">
        <v>#N/A</v>
      </c>
      <c r="AA2018" s="177" t="e">
        <v>#N/A</v>
      </c>
    </row>
    <row r="2019" spans="23:27" x14ac:dyDescent="0.2">
      <c r="W2019" s="173" t="str">
        <f t="shared" si="42"/>
        <v>1w</v>
      </c>
      <c r="X2019" s="180">
        <f>_xll.qlCalendarAdvance(LiborCalendar,X2018,W2019,"f",FALSE)</f>
        <v>53106</v>
      </c>
      <c r="Y2019" s="174">
        <f>_xll.qlInterestRateIndexValueDate(IborIndex,X2019)</f>
        <v>53108</v>
      </c>
      <c r="Z2019" s="175" t="e">
        <v>#N/A</v>
      </c>
      <c r="AA2019" s="177" t="e">
        <v>#N/A</v>
      </c>
    </row>
    <row r="2020" spans="23:27" x14ac:dyDescent="0.2">
      <c r="W2020" s="173" t="str">
        <f t="shared" si="42"/>
        <v>1w</v>
      </c>
      <c r="X2020" s="180">
        <f>_xll.qlCalendarAdvance(LiborCalendar,X2019,W2020,"f",FALSE)</f>
        <v>53113</v>
      </c>
      <c r="Y2020" s="174">
        <f>_xll.qlInterestRateIndexValueDate(IborIndex,X2020)</f>
        <v>53115</v>
      </c>
      <c r="Z2020" s="175" t="e">
        <v>#N/A</v>
      </c>
      <c r="AA2020" s="177" t="e">
        <v>#N/A</v>
      </c>
    </row>
    <row r="2021" spans="23:27" x14ac:dyDescent="0.2">
      <c r="W2021" s="173" t="str">
        <f t="shared" si="42"/>
        <v>1w</v>
      </c>
      <c r="X2021" s="180">
        <f>_xll.qlCalendarAdvance(LiborCalendar,X2020,W2021,"f",FALSE)</f>
        <v>53120</v>
      </c>
      <c r="Y2021" s="174">
        <f>_xll.qlInterestRateIndexValueDate(IborIndex,X2021)</f>
        <v>53122</v>
      </c>
      <c r="Z2021" s="175" t="e">
        <v>#N/A</v>
      </c>
      <c r="AA2021" s="177" t="e">
        <v>#N/A</v>
      </c>
    </row>
    <row r="2022" spans="23:27" x14ac:dyDescent="0.2">
      <c r="W2022" s="173" t="str">
        <f t="shared" si="42"/>
        <v>1w</v>
      </c>
      <c r="X2022" s="180">
        <f>_xll.qlCalendarAdvance(LiborCalendar,X2021,W2022,"f",FALSE)</f>
        <v>53127</v>
      </c>
      <c r="Y2022" s="174">
        <f>_xll.qlInterestRateIndexValueDate(IborIndex,X2022)</f>
        <v>53129</v>
      </c>
      <c r="Z2022" s="175" t="e">
        <v>#N/A</v>
      </c>
      <c r="AA2022" s="177" t="e">
        <v>#N/A</v>
      </c>
    </row>
    <row r="2023" spans="23:27" x14ac:dyDescent="0.2">
      <c r="W2023" s="173" t="str">
        <f t="shared" si="42"/>
        <v>1w</v>
      </c>
      <c r="X2023" s="180">
        <f>_xll.qlCalendarAdvance(LiborCalendar,X2022,W2023,"f",FALSE)</f>
        <v>53134</v>
      </c>
      <c r="Y2023" s="174">
        <f>_xll.qlInterestRateIndexValueDate(IborIndex,X2023)</f>
        <v>53136</v>
      </c>
      <c r="Z2023" s="175" t="e">
        <v>#N/A</v>
      </c>
      <c r="AA2023" s="177" t="e">
        <v>#N/A</v>
      </c>
    </row>
    <row r="2024" spans="23:27" x14ac:dyDescent="0.2">
      <c r="W2024" s="173" t="str">
        <f t="shared" si="42"/>
        <v>1w</v>
      </c>
      <c r="X2024" s="180">
        <f>_xll.qlCalendarAdvance(LiborCalendar,X2023,W2024,"f",FALSE)</f>
        <v>53141</v>
      </c>
      <c r="Y2024" s="174">
        <f>_xll.qlInterestRateIndexValueDate(IborIndex,X2024)</f>
        <v>53143</v>
      </c>
      <c r="Z2024" s="175" t="e">
        <v>#N/A</v>
      </c>
      <c r="AA2024" s="177" t="e">
        <v>#N/A</v>
      </c>
    </row>
    <row r="2025" spans="23:27" x14ac:dyDescent="0.2">
      <c r="W2025" s="173" t="str">
        <f t="shared" si="42"/>
        <v>1w</v>
      </c>
      <c r="X2025" s="180">
        <f>_xll.qlCalendarAdvance(LiborCalendar,X2024,W2025,"f",FALSE)</f>
        <v>53148</v>
      </c>
      <c r="Y2025" s="174">
        <f>_xll.qlInterestRateIndexValueDate(IborIndex,X2025)</f>
        <v>53150</v>
      </c>
      <c r="Z2025" s="175" t="e">
        <v>#N/A</v>
      </c>
      <c r="AA2025" s="177" t="e">
        <v>#N/A</v>
      </c>
    </row>
    <row r="2026" spans="23:27" x14ac:dyDescent="0.2">
      <c r="W2026" s="173" t="str">
        <f t="shared" si="42"/>
        <v>1w</v>
      </c>
      <c r="X2026" s="180">
        <f>_xll.qlCalendarAdvance(LiborCalendar,X2025,W2026,"f",FALSE)</f>
        <v>53155</v>
      </c>
      <c r="Y2026" s="174">
        <f>_xll.qlInterestRateIndexValueDate(IborIndex,X2026)</f>
        <v>53157</v>
      </c>
      <c r="Z2026" s="175" t="e">
        <v>#N/A</v>
      </c>
      <c r="AA2026" s="177" t="e">
        <v>#N/A</v>
      </c>
    </row>
    <row r="2027" spans="23:27" x14ac:dyDescent="0.2">
      <c r="W2027" s="173" t="str">
        <f t="shared" si="42"/>
        <v>1w</v>
      </c>
      <c r="X2027" s="180">
        <f>_xll.qlCalendarAdvance(LiborCalendar,X2026,W2027,"f",FALSE)</f>
        <v>53162</v>
      </c>
      <c r="Y2027" s="174">
        <f>_xll.qlInterestRateIndexValueDate(IborIndex,X2027)</f>
        <v>53164</v>
      </c>
      <c r="Z2027" s="175" t="e">
        <v>#N/A</v>
      </c>
      <c r="AA2027" s="177" t="e">
        <v>#N/A</v>
      </c>
    </row>
    <row r="2028" spans="23:27" x14ac:dyDescent="0.2">
      <c r="W2028" s="173" t="str">
        <f t="shared" si="42"/>
        <v>1w</v>
      </c>
      <c r="X2028" s="180">
        <f>_xll.qlCalendarAdvance(LiborCalendar,X2027,W2028,"f",FALSE)</f>
        <v>53169</v>
      </c>
      <c r="Y2028" s="174">
        <f>_xll.qlInterestRateIndexValueDate(IborIndex,X2028)</f>
        <v>53171</v>
      </c>
      <c r="Z2028" s="175" t="e">
        <v>#N/A</v>
      </c>
      <c r="AA2028" s="177" t="e">
        <v>#N/A</v>
      </c>
    </row>
    <row r="2029" spans="23:27" x14ac:dyDescent="0.2">
      <c r="W2029" s="173" t="str">
        <f t="shared" si="42"/>
        <v>1w</v>
      </c>
      <c r="X2029" s="180">
        <f>_xll.qlCalendarAdvance(LiborCalendar,X2028,W2029,"f",FALSE)</f>
        <v>53176</v>
      </c>
      <c r="Y2029" s="174">
        <f>_xll.qlInterestRateIndexValueDate(IborIndex,X2029)</f>
        <v>53178</v>
      </c>
      <c r="Z2029" s="175" t="e">
        <v>#N/A</v>
      </c>
      <c r="AA2029" s="177" t="e">
        <v>#N/A</v>
      </c>
    </row>
    <row r="2030" spans="23:27" x14ac:dyDescent="0.2">
      <c r="W2030" s="173" t="str">
        <f t="shared" si="42"/>
        <v>1w</v>
      </c>
      <c r="X2030" s="180">
        <f>_xll.qlCalendarAdvance(LiborCalendar,X2029,W2030,"f",FALSE)</f>
        <v>53183</v>
      </c>
      <c r="Y2030" s="174">
        <f>_xll.qlInterestRateIndexValueDate(IborIndex,X2030)</f>
        <v>53185</v>
      </c>
      <c r="Z2030" s="175" t="e">
        <v>#N/A</v>
      </c>
      <c r="AA2030" s="177" t="e">
        <v>#N/A</v>
      </c>
    </row>
    <row r="2031" spans="23:27" x14ac:dyDescent="0.2">
      <c r="W2031" s="173" t="str">
        <f t="shared" si="42"/>
        <v>1w</v>
      </c>
      <c r="X2031" s="180">
        <f>_xll.qlCalendarAdvance(LiborCalendar,X2030,W2031,"f",FALSE)</f>
        <v>53190</v>
      </c>
      <c r="Y2031" s="174">
        <f>_xll.qlInterestRateIndexValueDate(IborIndex,X2031)</f>
        <v>53192</v>
      </c>
      <c r="Z2031" s="175" t="e">
        <v>#N/A</v>
      </c>
      <c r="AA2031" s="177" t="e">
        <v>#N/A</v>
      </c>
    </row>
    <row r="2032" spans="23:27" x14ac:dyDescent="0.2">
      <c r="W2032" s="173" t="str">
        <f t="shared" si="42"/>
        <v>1w</v>
      </c>
      <c r="X2032" s="180">
        <f>_xll.qlCalendarAdvance(LiborCalendar,X2031,W2032,"f",FALSE)</f>
        <v>53197</v>
      </c>
      <c r="Y2032" s="174">
        <f>_xll.qlInterestRateIndexValueDate(IborIndex,X2032)</f>
        <v>53199</v>
      </c>
      <c r="Z2032" s="175" t="e">
        <v>#N/A</v>
      </c>
      <c r="AA2032" s="177" t="e">
        <v>#N/A</v>
      </c>
    </row>
    <row r="2033" spans="23:27" x14ac:dyDescent="0.2">
      <c r="W2033" s="173" t="str">
        <f t="shared" si="42"/>
        <v>1w</v>
      </c>
      <c r="X2033" s="180">
        <f>_xll.qlCalendarAdvance(LiborCalendar,X2032,W2033,"f",FALSE)</f>
        <v>53204</v>
      </c>
      <c r="Y2033" s="174">
        <f>_xll.qlInterestRateIndexValueDate(IborIndex,X2033)</f>
        <v>53206</v>
      </c>
      <c r="Z2033" s="175" t="e">
        <v>#N/A</v>
      </c>
      <c r="AA2033" s="177" t="e">
        <v>#N/A</v>
      </c>
    </row>
    <row r="2034" spans="23:27" x14ac:dyDescent="0.2">
      <c r="W2034" s="173" t="str">
        <f t="shared" si="42"/>
        <v>1w</v>
      </c>
      <c r="X2034" s="180">
        <f>_xll.qlCalendarAdvance(LiborCalendar,X2033,W2034,"f",FALSE)</f>
        <v>53211</v>
      </c>
      <c r="Y2034" s="174">
        <f>_xll.qlInterestRateIndexValueDate(IborIndex,X2034)</f>
        <v>53213</v>
      </c>
      <c r="Z2034" s="175" t="e">
        <v>#N/A</v>
      </c>
      <c r="AA2034" s="177" t="e">
        <v>#N/A</v>
      </c>
    </row>
    <row r="2035" spans="23:27" x14ac:dyDescent="0.2">
      <c r="W2035" s="173" t="str">
        <f t="shared" si="42"/>
        <v>1w</v>
      </c>
      <c r="X2035" s="180">
        <f>_xll.qlCalendarAdvance(LiborCalendar,X2034,W2035,"f",FALSE)</f>
        <v>53218</v>
      </c>
      <c r="Y2035" s="174">
        <f>_xll.qlInterestRateIndexValueDate(IborIndex,X2035)</f>
        <v>53220</v>
      </c>
      <c r="Z2035" s="175" t="e">
        <v>#N/A</v>
      </c>
      <c r="AA2035" s="177" t="e">
        <v>#N/A</v>
      </c>
    </row>
    <row r="2036" spans="23:27" x14ac:dyDescent="0.2">
      <c r="W2036" s="173" t="str">
        <f t="shared" si="42"/>
        <v>1w</v>
      </c>
      <c r="X2036" s="180">
        <f>_xll.qlCalendarAdvance(LiborCalendar,X2035,W2036,"f",FALSE)</f>
        <v>53225</v>
      </c>
      <c r="Y2036" s="174">
        <f>_xll.qlInterestRateIndexValueDate(IborIndex,X2036)</f>
        <v>53230</v>
      </c>
      <c r="Z2036" s="175" t="e">
        <v>#N/A</v>
      </c>
      <c r="AA2036" s="177" t="e">
        <v>#N/A</v>
      </c>
    </row>
    <row r="2037" spans="23:27" x14ac:dyDescent="0.2">
      <c r="W2037" s="173" t="str">
        <f t="shared" si="42"/>
        <v>1w</v>
      </c>
      <c r="X2037" s="180">
        <f>_xll.qlCalendarAdvance(LiborCalendar,X2036,W2037,"f",FALSE)</f>
        <v>53232</v>
      </c>
      <c r="Y2037" s="174">
        <f>_xll.qlInterestRateIndexValueDate(IborIndex,X2037)</f>
        <v>53234</v>
      </c>
      <c r="Z2037" s="175" t="e">
        <v>#N/A</v>
      </c>
      <c r="AA2037" s="177" t="e">
        <v>#N/A</v>
      </c>
    </row>
    <row r="2038" spans="23:27" x14ac:dyDescent="0.2">
      <c r="W2038" s="173" t="str">
        <f t="shared" si="42"/>
        <v>1w</v>
      </c>
      <c r="X2038" s="180">
        <f>_xll.qlCalendarAdvance(LiborCalendar,X2037,W2038,"f",FALSE)</f>
        <v>53239</v>
      </c>
      <c r="Y2038" s="174">
        <f>_xll.qlInterestRateIndexValueDate(IborIndex,X2038)</f>
        <v>53241</v>
      </c>
      <c r="Z2038" s="175" t="e">
        <v>#N/A</v>
      </c>
      <c r="AA2038" s="177" t="e">
        <v>#N/A</v>
      </c>
    </row>
    <row r="2039" spans="23:27" x14ac:dyDescent="0.2">
      <c r="W2039" s="173" t="str">
        <f t="shared" si="42"/>
        <v>1w</v>
      </c>
      <c r="X2039" s="180">
        <f>_xll.qlCalendarAdvance(LiborCalendar,X2038,W2039,"f",FALSE)</f>
        <v>53246</v>
      </c>
      <c r="Y2039" s="174">
        <f>_xll.qlInterestRateIndexValueDate(IborIndex,X2039)</f>
        <v>53248</v>
      </c>
      <c r="Z2039" s="175" t="e">
        <v>#N/A</v>
      </c>
      <c r="AA2039" s="177" t="e">
        <v>#N/A</v>
      </c>
    </row>
    <row r="2040" spans="23:27" x14ac:dyDescent="0.2">
      <c r="W2040" s="173" t="str">
        <f t="shared" si="42"/>
        <v>1w</v>
      </c>
      <c r="X2040" s="180">
        <f>_xll.qlCalendarAdvance(LiborCalendar,X2039,W2040,"f",FALSE)</f>
        <v>53253</v>
      </c>
      <c r="Y2040" s="174">
        <f>_xll.qlInterestRateIndexValueDate(IborIndex,X2040)</f>
        <v>53255</v>
      </c>
      <c r="Z2040" s="175" t="e">
        <v>#N/A</v>
      </c>
      <c r="AA2040" s="177" t="e">
        <v>#N/A</v>
      </c>
    </row>
    <row r="2041" spans="23:27" x14ac:dyDescent="0.2">
      <c r="W2041" s="173" t="str">
        <f t="shared" si="42"/>
        <v>1w</v>
      </c>
      <c r="X2041" s="180">
        <f>_xll.qlCalendarAdvance(LiborCalendar,X2040,W2041,"f",FALSE)</f>
        <v>53260</v>
      </c>
      <c r="Y2041" s="174">
        <f>_xll.qlInterestRateIndexValueDate(IborIndex,X2041)</f>
        <v>53262</v>
      </c>
      <c r="Z2041" s="175" t="e">
        <v>#N/A</v>
      </c>
      <c r="AA2041" s="177" t="e">
        <v>#N/A</v>
      </c>
    </row>
    <row r="2042" spans="23:27" x14ac:dyDescent="0.2">
      <c r="W2042" s="173" t="str">
        <f t="shared" si="42"/>
        <v>1w</v>
      </c>
      <c r="X2042" s="180">
        <f>_xll.qlCalendarAdvance(LiborCalendar,X2041,W2042,"f",FALSE)</f>
        <v>53267</v>
      </c>
      <c r="Y2042" s="174">
        <f>_xll.qlInterestRateIndexValueDate(IborIndex,X2042)</f>
        <v>53272</v>
      </c>
      <c r="Z2042" s="175" t="e">
        <v>#N/A</v>
      </c>
      <c r="AA2042" s="177" t="e">
        <v>#N/A</v>
      </c>
    </row>
    <row r="2043" spans="23:27" x14ac:dyDescent="0.2">
      <c r="W2043" s="173" t="str">
        <f t="shared" si="42"/>
        <v>1w</v>
      </c>
      <c r="X2043" s="180">
        <f>_xll.qlCalendarAdvance(LiborCalendar,X2042,W2043,"f",FALSE)</f>
        <v>53274</v>
      </c>
      <c r="Y2043" s="174">
        <f>_xll.qlInterestRateIndexValueDate(IborIndex,X2043)</f>
        <v>53276</v>
      </c>
      <c r="Z2043" s="175" t="e">
        <v>#N/A</v>
      </c>
      <c r="AA2043" s="177" t="e">
        <v>#N/A</v>
      </c>
    </row>
    <row r="2044" spans="23:27" x14ac:dyDescent="0.2">
      <c r="W2044" s="173" t="str">
        <f t="shared" si="42"/>
        <v>1w</v>
      </c>
      <c r="X2044" s="180">
        <f>_xll.qlCalendarAdvance(LiborCalendar,X2043,W2044,"f",FALSE)</f>
        <v>53281</v>
      </c>
      <c r="Y2044" s="174">
        <f>_xll.qlInterestRateIndexValueDate(IborIndex,X2044)</f>
        <v>53283</v>
      </c>
      <c r="Z2044" s="175" t="e">
        <v>#N/A</v>
      </c>
      <c r="AA2044" s="177" t="e">
        <v>#N/A</v>
      </c>
    </row>
    <row r="2045" spans="23:27" x14ac:dyDescent="0.2">
      <c r="W2045" s="173" t="str">
        <f t="shared" si="42"/>
        <v>1w</v>
      </c>
      <c r="X2045" s="180">
        <f>_xll.qlCalendarAdvance(LiborCalendar,X2044,W2045,"f",FALSE)</f>
        <v>53288</v>
      </c>
      <c r="Y2045" s="174">
        <f>_xll.qlInterestRateIndexValueDate(IborIndex,X2045)</f>
        <v>53290</v>
      </c>
      <c r="Z2045" s="175" t="e">
        <v>#N/A</v>
      </c>
      <c r="AA2045" s="177" t="e">
        <v>#N/A</v>
      </c>
    </row>
    <row r="2046" spans="23:27" x14ac:dyDescent="0.2">
      <c r="W2046" s="173" t="str">
        <f t="shared" si="42"/>
        <v>1w</v>
      </c>
      <c r="X2046" s="180">
        <f>_xll.qlCalendarAdvance(LiborCalendar,X2045,W2046,"f",FALSE)</f>
        <v>53295</v>
      </c>
      <c r="Y2046" s="174">
        <f>_xll.qlInterestRateIndexValueDate(IborIndex,X2046)</f>
        <v>53297</v>
      </c>
      <c r="Z2046" s="175" t="e">
        <v>#N/A</v>
      </c>
      <c r="AA2046" s="177" t="e">
        <v>#N/A</v>
      </c>
    </row>
    <row r="2047" spans="23:27" x14ac:dyDescent="0.2">
      <c r="W2047" s="173" t="str">
        <f t="shared" si="42"/>
        <v>1w</v>
      </c>
      <c r="X2047" s="180">
        <f>_xll.qlCalendarAdvance(LiborCalendar,X2046,W2047,"f",FALSE)</f>
        <v>53302</v>
      </c>
      <c r="Y2047" s="174">
        <f>_xll.qlInterestRateIndexValueDate(IborIndex,X2047)</f>
        <v>53304</v>
      </c>
      <c r="Z2047" s="175" t="e">
        <v>#N/A</v>
      </c>
      <c r="AA2047" s="177" t="e">
        <v>#N/A</v>
      </c>
    </row>
    <row r="2048" spans="23:27" x14ac:dyDescent="0.2">
      <c r="W2048" s="173" t="str">
        <f t="shared" si="42"/>
        <v>1w</v>
      </c>
      <c r="X2048" s="180">
        <f>_xll.qlCalendarAdvance(LiborCalendar,X2047,W2048,"f",FALSE)</f>
        <v>53309</v>
      </c>
      <c r="Y2048" s="174">
        <f>_xll.qlInterestRateIndexValueDate(IborIndex,X2048)</f>
        <v>53311</v>
      </c>
      <c r="Z2048" s="175" t="e">
        <v>#N/A</v>
      </c>
      <c r="AA2048" s="177" t="e">
        <v>#N/A</v>
      </c>
    </row>
    <row r="2049" spans="23:27" x14ac:dyDescent="0.2">
      <c r="W2049" s="173" t="str">
        <f t="shared" si="42"/>
        <v>1w</v>
      </c>
      <c r="X2049" s="180">
        <f>_xll.qlCalendarAdvance(LiborCalendar,X2048,W2049,"f",FALSE)</f>
        <v>53316</v>
      </c>
      <c r="Y2049" s="174">
        <f>_xll.qlInterestRateIndexValueDate(IborIndex,X2049)</f>
        <v>53318</v>
      </c>
      <c r="Z2049" s="175" t="e">
        <v>#N/A</v>
      </c>
      <c r="AA2049" s="177" t="e">
        <v>#N/A</v>
      </c>
    </row>
    <row r="2050" spans="23:27" x14ac:dyDescent="0.2">
      <c r="W2050" s="173" t="str">
        <f t="shared" si="42"/>
        <v>1w</v>
      </c>
      <c r="X2050" s="180">
        <f>_xll.qlCalendarAdvance(LiborCalendar,X2049,W2050,"f",FALSE)</f>
        <v>53323</v>
      </c>
      <c r="Y2050" s="174">
        <f>_xll.qlInterestRateIndexValueDate(IborIndex,X2050)</f>
        <v>53325</v>
      </c>
      <c r="Z2050" s="175" t="e">
        <v>#N/A</v>
      </c>
      <c r="AA2050" s="177" t="e">
        <v>#N/A</v>
      </c>
    </row>
    <row r="2051" spans="23:27" x14ac:dyDescent="0.2">
      <c r="W2051" s="173" t="str">
        <f t="shared" si="42"/>
        <v>1w</v>
      </c>
      <c r="X2051" s="180">
        <f>_xll.qlCalendarAdvance(LiborCalendar,X2050,W2051,"f",FALSE)</f>
        <v>53330</v>
      </c>
      <c r="Y2051" s="174">
        <f>_xll.qlInterestRateIndexValueDate(IborIndex,X2051)</f>
        <v>53332</v>
      </c>
      <c r="Z2051" s="175" t="e">
        <v>#N/A</v>
      </c>
      <c r="AA2051" s="177" t="e">
        <v>#N/A</v>
      </c>
    </row>
    <row r="2052" spans="23:27" x14ac:dyDescent="0.2">
      <c r="W2052" s="173" t="str">
        <f t="shared" si="42"/>
        <v>1w</v>
      </c>
      <c r="X2052" s="180">
        <f>_xll.qlCalendarAdvance(LiborCalendar,X2051,W2052,"f",FALSE)</f>
        <v>53337</v>
      </c>
      <c r="Y2052" s="174">
        <f>_xll.qlInterestRateIndexValueDate(IborIndex,X2052)</f>
        <v>53339</v>
      </c>
      <c r="Z2052" s="175" t="e">
        <v>#N/A</v>
      </c>
      <c r="AA2052" s="177" t="e">
        <v>#N/A</v>
      </c>
    </row>
    <row r="2053" spans="23:27" x14ac:dyDescent="0.2">
      <c r="W2053" s="173" t="str">
        <f t="shared" si="42"/>
        <v>1w</v>
      </c>
      <c r="X2053" s="180">
        <f>_xll.qlCalendarAdvance(LiborCalendar,X2052,W2053,"f",FALSE)</f>
        <v>53344</v>
      </c>
      <c r="Y2053" s="174">
        <f>_xll.qlInterestRateIndexValueDate(IborIndex,X2053)</f>
        <v>53346</v>
      </c>
      <c r="Z2053" s="175" t="e">
        <v>#N/A</v>
      </c>
      <c r="AA2053" s="177" t="e">
        <v>#N/A</v>
      </c>
    </row>
    <row r="2054" spans="23:27" x14ac:dyDescent="0.2">
      <c r="W2054" s="173" t="str">
        <f t="shared" si="42"/>
        <v>1w</v>
      </c>
      <c r="X2054" s="180">
        <f>_xll.qlCalendarAdvance(LiborCalendar,X2053,W2054,"f",FALSE)</f>
        <v>53351</v>
      </c>
      <c r="Y2054" s="174">
        <f>_xll.qlInterestRateIndexValueDate(IborIndex,X2054)</f>
        <v>53353</v>
      </c>
      <c r="Z2054" s="175" t="e">
        <v>#N/A</v>
      </c>
      <c r="AA2054" s="177" t="e">
        <v>#N/A</v>
      </c>
    </row>
    <row r="2055" spans="23:27" x14ac:dyDescent="0.2">
      <c r="W2055" s="173" t="str">
        <f t="shared" si="42"/>
        <v>1w</v>
      </c>
      <c r="X2055" s="180">
        <f>_xll.qlCalendarAdvance(LiborCalendar,X2054,W2055,"f",FALSE)</f>
        <v>53358</v>
      </c>
      <c r="Y2055" s="174">
        <f>_xll.qlInterestRateIndexValueDate(IborIndex,X2055)</f>
        <v>53360</v>
      </c>
      <c r="Z2055" s="175" t="e">
        <v>#N/A</v>
      </c>
      <c r="AA2055" s="177" t="e">
        <v>#N/A</v>
      </c>
    </row>
    <row r="2056" spans="23:27" x14ac:dyDescent="0.2">
      <c r="W2056" s="173" t="str">
        <f t="shared" si="42"/>
        <v>1w</v>
      </c>
      <c r="X2056" s="180">
        <f>_xll.qlCalendarAdvance(LiborCalendar,X2055,W2056,"f",FALSE)</f>
        <v>53365</v>
      </c>
      <c r="Y2056" s="174">
        <f>_xll.qlInterestRateIndexValueDate(IborIndex,X2056)</f>
        <v>53367</v>
      </c>
      <c r="Z2056" s="175" t="e">
        <v>#N/A</v>
      </c>
      <c r="AA2056" s="177" t="e">
        <v>#N/A</v>
      </c>
    </row>
    <row r="2057" spans="23:27" x14ac:dyDescent="0.2">
      <c r="W2057" s="173" t="str">
        <f t="shared" si="42"/>
        <v>1w</v>
      </c>
      <c r="X2057" s="180">
        <f>_xll.qlCalendarAdvance(LiborCalendar,X2056,W2057,"f",FALSE)</f>
        <v>53372</v>
      </c>
      <c r="Y2057" s="174">
        <f>_xll.qlInterestRateIndexValueDate(IborIndex,X2057)</f>
        <v>53374</v>
      </c>
      <c r="Z2057" s="175" t="e">
        <v>#N/A</v>
      </c>
      <c r="AA2057" s="177" t="e">
        <v>#N/A</v>
      </c>
    </row>
    <row r="2058" spans="23:27" x14ac:dyDescent="0.2">
      <c r="W2058" s="173" t="str">
        <f t="shared" si="42"/>
        <v>1w</v>
      </c>
      <c r="X2058" s="180">
        <f>_xll.qlCalendarAdvance(LiborCalendar,X2057,W2058,"f",FALSE)</f>
        <v>53379</v>
      </c>
      <c r="Y2058" s="174">
        <f>_xll.qlInterestRateIndexValueDate(IborIndex,X2058)</f>
        <v>53381</v>
      </c>
      <c r="Z2058" s="175" t="e">
        <v>#N/A</v>
      </c>
      <c r="AA2058" s="177" t="e">
        <v>#N/A</v>
      </c>
    </row>
    <row r="2059" spans="23:27" x14ac:dyDescent="0.2">
      <c r="W2059" s="173" t="str">
        <f t="shared" si="42"/>
        <v>1w</v>
      </c>
      <c r="X2059" s="180">
        <f>_xll.qlCalendarAdvance(LiborCalendar,X2058,W2059,"f",FALSE)</f>
        <v>53386</v>
      </c>
      <c r="Y2059" s="174">
        <f>_xll.qlInterestRateIndexValueDate(IborIndex,X2059)</f>
        <v>53388</v>
      </c>
      <c r="Z2059" s="175" t="e">
        <v>#N/A</v>
      </c>
      <c r="AA2059" s="177" t="e">
        <v>#N/A</v>
      </c>
    </row>
    <row r="2060" spans="23:27" x14ac:dyDescent="0.2">
      <c r="W2060" s="173" t="str">
        <f t="shared" si="42"/>
        <v>1w</v>
      </c>
      <c r="X2060" s="180">
        <f>_xll.qlCalendarAdvance(LiborCalendar,X2059,W2060,"f",FALSE)</f>
        <v>53393</v>
      </c>
      <c r="Y2060" s="174">
        <f>_xll.qlInterestRateIndexValueDate(IborIndex,X2060)</f>
        <v>53395</v>
      </c>
      <c r="Z2060" s="175" t="e">
        <v>#N/A</v>
      </c>
      <c r="AA2060" s="177" t="e">
        <v>#N/A</v>
      </c>
    </row>
    <row r="2061" spans="23:27" x14ac:dyDescent="0.2">
      <c r="W2061" s="173" t="str">
        <f t="shared" si="42"/>
        <v>1w</v>
      </c>
      <c r="X2061" s="180">
        <f>_xll.qlCalendarAdvance(LiborCalendar,X2060,W2061,"f",FALSE)</f>
        <v>53400</v>
      </c>
      <c r="Y2061" s="174">
        <f>_xll.qlInterestRateIndexValueDate(IborIndex,X2061)</f>
        <v>53402</v>
      </c>
      <c r="Z2061" s="175" t="e">
        <v>#N/A</v>
      </c>
      <c r="AA2061" s="177" t="e">
        <v>#N/A</v>
      </c>
    </row>
    <row r="2062" spans="23:27" x14ac:dyDescent="0.2">
      <c r="W2062" s="173" t="str">
        <f t="shared" si="42"/>
        <v>1w</v>
      </c>
      <c r="X2062" s="180">
        <f>_xll.qlCalendarAdvance(LiborCalendar,X2061,W2062,"f",FALSE)</f>
        <v>53407</v>
      </c>
      <c r="Y2062" s="174">
        <f>_xll.qlInterestRateIndexValueDate(IborIndex,X2062)</f>
        <v>53413</v>
      </c>
      <c r="Z2062" s="175" t="e">
        <v>#N/A</v>
      </c>
      <c r="AA2062" s="177" t="e">
        <v>#N/A</v>
      </c>
    </row>
    <row r="2063" spans="23:27" x14ac:dyDescent="0.2">
      <c r="W2063" s="173" t="str">
        <f t="shared" si="42"/>
        <v>1w</v>
      </c>
      <c r="X2063" s="180">
        <f>_xll.qlCalendarAdvance(LiborCalendar,X2062,W2063,"f",FALSE)</f>
        <v>53414</v>
      </c>
      <c r="Y2063" s="174">
        <f>_xll.qlInterestRateIndexValueDate(IborIndex,X2063)</f>
        <v>53416</v>
      </c>
      <c r="Z2063" s="175" t="e">
        <v>#N/A</v>
      </c>
      <c r="AA2063" s="177" t="e">
        <v>#N/A</v>
      </c>
    </row>
    <row r="2064" spans="23:27" x14ac:dyDescent="0.2">
      <c r="W2064" s="173" t="str">
        <f t="shared" si="42"/>
        <v>1w</v>
      </c>
      <c r="X2064" s="180">
        <f>_xll.qlCalendarAdvance(LiborCalendar,X2063,W2064,"f",FALSE)</f>
        <v>53421</v>
      </c>
      <c r="Y2064" s="174">
        <f>_xll.qlInterestRateIndexValueDate(IborIndex,X2064)</f>
        <v>53423</v>
      </c>
      <c r="Z2064" s="175" t="e">
        <v>#N/A</v>
      </c>
      <c r="AA2064" s="177" t="e">
        <v>#N/A</v>
      </c>
    </row>
    <row r="2065" spans="23:27" x14ac:dyDescent="0.2">
      <c r="W2065" s="173" t="str">
        <f t="shared" si="42"/>
        <v>1w</v>
      </c>
      <c r="X2065" s="180">
        <f>_xll.qlCalendarAdvance(LiborCalendar,X2064,W2065,"f",FALSE)</f>
        <v>53428</v>
      </c>
      <c r="Y2065" s="174">
        <f>_xll.qlInterestRateIndexValueDate(IborIndex,X2065)</f>
        <v>53430</v>
      </c>
      <c r="Z2065" s="175" t="e">
        <v>#N/A</v>
      </c>
      <c r="AA2065" s="177" t="e">
        <v>#N/A</v>
      </c>
    </row>
    <row r="2066" spans="23:27" x14ac:dyDescent="0.2">
      <c r="W2066" s="173" t="str">
        <f t="shared" si="42"/>
        <v>1w</v>
      </c>
      <c r="X2066" s="180">
        <f>_xll.qlCalendarAdvance(LiborCalendar,X2065,W2066,"f",FALSE)</f>
        <v>53435</v>
      </c>
      <c r="Y2066" s="174">
        <f>_xll.qlInterestRateIndexValueDate(IborIndex,X2066)</f>
        <v>53437</v>
      </c>
      <c r="Z2066" s="175" t="e">
        <v>#N/A</v>
      </c>
      <c r="AA2066" s="177" t="e">
        <v>#N/A</v>
      </c>
    </row>
    <row r="2067" spans="23:27" x14ac:dyDescent="0.2">
      <c r="W2067" s="173" t="str">
        <f t="shared" si="42"/>
        <v>1w</v>
      </c>
      <c r="X2067" s="180">
        <f>_xll.qlCalendarAdvance(LiborCalendar,X2066,W2067,"f",FALSE)</f>
        <v>53442</v>
      </c>
      <c r="Y2067" s="174">
        <f>_xll.qlInterestRateIndexValueDate(IborIndex,X2067)</f>
        <v>53444</v>
      </c>
      <c r="Z2067" s="175" t="e">
        <v>#N/A</v>
      </c>
      <c r="AA2067" s="177" t="e">
        <v>#N/A</v>
      </c>
    </row>
    <row r="2068" spans="23:27" x14ac:dyDescent="0.2">
      <c r="W2068" s="173" t="str">
        <f t="shared" si="42"/>
        <v>1w</v>
      </c>
      <c r="X2068" s="180">
        <f>_xll.qlCalendarAdvance(LiborCalendar,X2067,W2068,"f",FALSE)</f>
        <v>53449</v>
      </c>
      <c r="Y2068" s="174">
        <f>_xll.qlInterestRateIndexValueDate(IborIndex,X2068)</f>
        <v>53455</v>
      </c>
      <c r="Z2068" s="175" t="e">
        <v>#N/A</v>
      </c>
      <c r="AA2068" s="177" t="e">
        <v>#N/A</v>
      </c>
    </row>
    <row r="2069" spans="23:27" x14ac:dyDescent="0.2">
      <c r="W2069" s="173" t="str">
        <f t="shared" ref="W2069:W2132" si="43">W2068</f>
        <v>1w</v>
      </c>
      <c r="X2069" s="180">
        <f>_xll.qlCalendarAdvance(LiborCalendar,X2068,W2069,"f",FALSE)</f>
        <v>53456</v>
      </c>
      <c r="Y2069" s="174">
        <f>_xll.qlInterestRateIndexValueDate(IborIndex,X2069)</f>
        <v>53458</v>
      </c>
      <c r="Z2069" s="175" t="e">
        <v>#N/A</v>
      </c>
      <c r="AA2069" s="177" t="e">
        <v>#N/A</v>
      </c>
    </row>
    <row r="2070" spans="23:27" x14ac:dyDescent="0.2">
      <c r="W2070" s="173" t="str">
        <f t="shared" si="43"/>
        <v>1w</v>
      </c>
      <c r="X2070" s="180">
        <f>_xll.qlCalendarAdvance(LiborCalendar,X2069,W2070,"f",FALSE)</f>
        <v>53463</v>
      </c>
      <c r="Y2070" s="174">
        <f>_xll.qlInterestRateIndexValueDate(IborIndex,X2070)</f>
        <v>53465</v>
      </c>
      <c r="Z2070" s="175" t="e">
        <v>#N/A</v>
      </c>
      <c r="AA2070" s="177" t="e">
        <v>#N/A</v>
      </c>
    </row>
    <row r="2071" spans="23:27" x14ac:dyDescent="0.2">
      <c r="W2071" s="173" t="str">
        <f t="shared" si="43"/>
        <v>1w</v>
      </c>
      <c r="X2071" s="180">
        <f>_xll.qlCalendarAdvance(LiborCalendar,X2070,W2071,"f",FALSE)</f>
        <v>53470</v>
      </c>
      <c r="Y2071" s="174">
        <f>_xll.qlInterestRateIndexValueDate(IborIndex,X2071)</f>
        <v>53472</v>
      </c>
      <c r="Z2071" s="175" t="e">
        <v>#N/A</v>
      </c>
      <c r="AA2071" s="177" t="e">
        <v>#N/A</v>
      </c>
    </row>
    <row r="2072" spans="23:27" x14ac:dyDescent="0.2">
      <c r="W2072" s="173" t="str">
        <f t="shared" si="43"/>
        <v>1w</v>
      </c>
      <c r="X2072" s="180">
        <f>_xll.qlCalendarAdvance(LiborCalendar,X2071,W2072,"f",FALSE)</f>
        <v>53477</v>
      </c>
      <c r="Y2072" s="174">
        <f>_xll.qlInterestRateIndexValueDate(IborIndex,X2072)</f>
        <v>53479</v>
      </c>
      <c r="Z2072" s="175" t="e">
        <v>#N/A</v>
      </c>
      <c r="AA2072" s="177" t="e">
        <v>#N/A</v>
      </c>
    </row>
    <row r="2073" spans="23:27" x14ac:dyDescent="0.2">
      <c r="W2073" s="173" t="str">
        <f t="shared" si="43"/>
        <v>1w</v>
      </c>
      <c r="X2073" s="180">
        <f>_xll.qlCalendarAdvance(LiborCalendar,X2072,W2073,"f",FALSE)</f>
        <v>53484</v>
      </c>
      <c r="Y2073" s="174">
        <f>_xll.qlInterestRateIndexValueDate(IborIndex,X2073)</f>
        <v>53486</v>
      </c>
      <c r="Z2073" s="175" t="e">
        <v>#N/A</v>
      </c>
      <c r="AA2073" s="177" t="e">
        <v>#N/A</v>
      </c>
    </row>
    <row r="2074" spans="23:27" x14ac:dyDescent="0.2">
      <c r="W2074" s="173" t="str">
        <f t="shared" si="43"/>
        <v>1w</v>
      </c>
      <c r="X2074" s="180">
        <f>_xll.qlCalendarAdvance(LiborCalendar,X2073,W2074,"f",FALSE)</f>
        <v>53491</v>
      </c>
      <c r="Y2074" s="174">
        <f>_xll.qlInterestRateIndexValueDate(IborIndex,X2074)</f>
        <v>53493</v>
      </c>
      <c r="Z2074" s="175" t="e">
        <v>#N/A</v>
      </c>
      <c r="AA2074" s="177" t="e">
        <v>#N/A</v>
      </c>
    </row>
    <row r="2075" spans="23:27" x14ac:dyDescent="0.2">
      <c r="W2075" s="173" t="str">
        <f t="shared" si="43"/>
        <v>1w</v>
      </c>
      <c r="X2075" s="180">
        <f>_xll.qlCalendarAdvance(LiborCalendar,X2074,W2075,"f",FALSE)</f>
        <v>53498</v>
      </c>
      <c r="Y2075" s="174">
        <f>_xll.qlInterestRateIndexValueDate(IborIndex,X2075)</f>
        <v>53500</v>
      </c>
      <c r="Z2075" s="175" t="e">
        <v>#N/A</v>
      </c>
      <c r="AA2075" s="177" t="e">
        <v>#N/A</v>
      </c>
    </row>
    <row r="2076" spans="23:27" x14ac:dyDescent="0.2">
      <c r="W2076" s="173" t="str">
        <f t="shared" si="43"/>
        <v>1w</v>
      </c>
      <c r="X2076" s="180">
        <f>_xll.qlCalendarAdvance(LiborCalendar,X2075,W2076,"f",FALSE)</f>
        <v>53505</v>
      </c>
      <c r="Y2076" s="174">
        <f>_xll.qlInterestRateIndexValueDate(IborIndex,X2076)</f>
        <v>53507</v>
      </c>
      <c r="Z2076" s="175" t="e">
        <v>#N/A</v>
      </c>
      <c r="AA2076" s="177" t="e">
        <v>#N/A</v>
      </c>
    </row>
    <row r="2077" spans="23:27" x14ac:dyDescent="0.2">
      <c r="W2077" s="173" t="str">
        <f t="shared" si="43"/>
        <v>1w</v>
      </c>
      <c r="X2077" s="180">
        <f>_xll.qlCalendarAdvance(LiborCalendar,X2076,W2077,"f",FALSE)</f>
        <v>53512</v>
      </c>
      <c r="Y2077" s="174">
        <f>_xll.qlInterestRateIndexValueDate(IborIndex,X2077)</f>
        <v>53514</v>
      </c>
      <c r="Z2077" s="175" t="e">
        <v>#N/A</v>
      </c>
      <c r="AA2077" s="177" t="e">
        <v>#N/A</v>
      </c>
    </row>
    <row r="2078" spans="23:27" x14ac:dyDescent="0.2">
      <c r="W2078" s="173" t="str">
        <f t="shared" si="43"/>
        <v>1w</v>
      </c>
      <c r="X2078" s="180">
        <f>_xll.qlCalendarAdvance(LiborCalendar,X2077,W2078,"f",FALSE)</f>
        <v>53519</v>
      </c>
      <c r="Y2078" s="174">
        <f>_xll.qlInterestRateIndexValueDate(IborIndex,X2078)</f>
        <v>53521</v>
      </c>
      <c r="Z2078" s="175" t="e">
        <v>#N/A</v>
      </c>
      <c r="AA2078" s="177" t="e">
        <v>#N/A</v>
      </c>
    </row>
    <row r="2079" spans="23:27" x14ac:dyDescent="0.2">
      <c r="W2079" s="173" t="str">
        <f t="shared" si="43"/>
        <v>1w</v>
      </c>
      <c r="X2079" s="180">
        <f>_xll.qlCalendarAdvance(LiborCalendar,X2078,W2079,"f",FALSE)</f>
        <v>53526</v>
      </c>
      <c r="Y2079" s="174">
        <f>_xll.qlInterestRateIndexValueDate(IborIndex,X2079)</f>
        <v>53528</v>
      </c>
      <c r="Z2079" s="175" t="e">
        <v>#N/A</v>
      </c>
      <c r="AA2079" s="177" t="e">
        <v>#N/A</v>
      </c>
    </row>
    <row r="2080" spans="23:27" x14ac:dyDescent="0.2">
      <c r="W2080" s="173" t="str">
        <f t="shared" si="43"/>
        <v>1w</v>
      </c>
      <c r="X2080" s="180">
        <f>_xll.qlCalendarAdvance(LiborCalendar,X2079,W2080,"f",FALSE)</f>
        <v>53533</v>
      </c>
      <c r="Y2080" s="174">
        <f>_xll.qlInterestRateIndexValueDate(IborIndex,X2080)</f>
        <v>53535</v>
      </c>
      <c r="Z2080" s="175" t="e">
        <v>#N/A</v>
      </c>
      <c r="AA2080" s="177" t="e">
        <v>#N/A</v>
      </c>
    </row>
    <row r="2081" spans="23:27" x14ac:dyDescent="0.2">
      <c r="W2081" s="173" t="str">
        <f t="shared" si="43"/>
        <v>1w</v>
      </c>
      <c r="X2081" s="180">
        <f>_xll.qlCalendarAdvance(LiborCalendar,X2080,W2081,"f",FALSE)</f>
        <v>53540</v>
      </c>
      <c r="Y2081" s="174">
        <f>_xll.qlInterestRateIndexValueDate(IborIndex,X2081)</f>
        <v>53542</v>
      </c>
      <c r="Z2081" s="175" t="e">
        <v>#N/A</v>
      </c>
      <c r="AA2081" s="177" t="e">
        <v>#N/A</v>
      </c>
    </row>
    <row r="2082" spans="23:27" x14ac:dyDescent="0.2">
      <c r="W2082" s="173" t="str">
        <f t="shared" si="43"/>
        <v>1w</v>
      </c>
      <c r="X2082" s="180">
        <f>_xll.qlCalendarAdvance(LiborCalendar,X2081,W2082,"f",FALSE)</f>
        <v>53547</v>
      </c>
      <c r="Y2082" s="174">
        <f>_xll.qlInterestRateIndexValueDate(IborIndex,X2082)</f>
        <v>53549</v>
      </c>
      <c r="Z2082" s="175" t="e">
        <v>#N/A</v>
      </c>
      <c r="AA2082" s="177" t="e">
        <v>#N/A</v>
      </c>
    </row>
    <row r="2083" spans="23:27" x14ac:dyDescent="0.2">
      <c r="W2083" s="173" t="str">
        <f t="shared" si="43"/>
        <v>1w</v>
      </c>
      <c r="X2083" s="180">
        <f>_xll.qlCalendarAdvance(LiborCalendar,X2082,W2083,"f",FALSE)</f>
        <v>53554</v>
      </c>
      <c r="Y2083" s="174">
        <f>_xll.qlInterestRateIndexValueDate(IborIndex,X2083)</f>
        <v>53556</v>
      </c>
      <c r="Z2083" s="175" t="e">
        <v>#N/A</v>
      </c>
      <c r="AA2083" s="177" t="e">
        <v>#N/A</v>
      </c>
    </row>
    <row r="2084" spans="23:27" x14ac:dyDescent="0.2">
      <c r="W2084" s="173" t="str">
        <f t="shared" si="43"/>
        <v>1w</v>
      </c>
      <c r="X2084" s="180">
        <f>_xll.qlCalendarAdvance(LiborCalendar,X2083,W2084,"f",FALSE)</f>
        <v>53561</v>
      </c>
      <c r="Y2084" s="174">
        <f>_xll.qlInterestRateIndexValueDate(IborIndex,X2084)</f>
        <v>53563</v>
      </c>
      <c r="Z2084" s="175" t="e">
        <v>#N/A</v>
      </c>
      <c r="AA2084" s="177" t="e">
        <v>#N/A</v>
      </c>
    </row>
    <row r="2085" spans="23:27" x14ac:dyDescent="0.2">
      <c r="W2085" s="173" t="str">
        <f t="shared" si="43"/>
        <v>1w</v>
      </c>
      <c r="X2085" s="180">
        <f>_xll.qlCalendarAdvance(LiborCalendar,X2084,W2085,"f",FALSE)</f>
        <v>53568</v>
      </c>
      <c r="Y2085" s="174">
        <f>_xll.qlInterestRateIndexValueDate(IborIndex,X2085)</f>
        <v>53570</v>
      </c>
      <c r="Z2085" s="175" t="e">
        <v>#N/A</v>
      </c>
      <c r="AA2085" s="177" t="e">
        <v>#N/A</v>
      </c>
    </row>
    <row r="2086" spans="23:27" x14ac:dyDescent="0.2">
      <c r="W2086" s="173" t="str">
        <f t="shared" si="43"/>
        <v>1w</v>
      </c>
      <c r="X2086" s="180">
        <f>_xll.qlCalendarAdvance(LiborCalendar,X2085,W2086,"f",FALSE)</f>
        <v>53575</v>
      </c>
      <c r="Y2086" s="174">
        <f>_xll.qlInterestRateIndexValueDate(IborIndex,X2086)</f>
        <v>53577</v>
      </c>
      <c r="Z2086" s="175" t="e">
        <v>#N/A</v>
      </c>
      <c r="AA2086" s="177" t="e">
        <v>#N/A</v>
      </c>
    </row>
    <row r="2087" spans="23:27" x14ac:dyDescent="0.2">
      <c r="W2087" s="173" t="str">
        <f t="shared" si="43"/>
        <v>1w</v>
      </c>
      <c r="X2087" s="180">
        <f>_xll.qlCalendarAdvance(LiborCalendar,X2086,W2087,"f",FALSE)</f>
        <v>53582</v>
      </c>
      <c r="Y2087" s="174">
        <f>_xll.qlInterestRateIndexValueDate(IborIndex,X2087)</f>
        <v>53584</v>
      </c>
      <c r="Z2087" s="175" t="e">
        <v>#N/A</v>
      </c>
      <c r="AA2087" s="177" t="e">
        <v>#N/A</v>
      </c>
    </row>
    <row r="2088" spans="23:27" x14ac:dyDescent="0.2">
      <c r="W2088" s="173" t="str">
        <f t="shared" si="43"/>
        <v>1w</v>
      </c>
      <c r="X2088" s="180">
        <f>_xll.qlCalendarAdvance(LiborCalendar,X2087,W2088,"f",FALSE)</f>
        <v>53589</v>
      </c>
      <c r="Y2088" s="174">
        <f>_xll.qlInterestRateIndexValueDate(IborIndex,X2088)</f>
        <v>53591</v>
      </c>
      <c r="Z2088" s="175" t="e">
        <v>#N/A</v>
      </c>
      <c r="AA2088" s="177" t="e">
        <v>#N/A</v>
      </c>
    </row>
    <row r="2089" spans="23:27" x14ac:dyDescent="0.2">
      <c r="W2089" s="173" t="str">
        <f t="shared" si="43"/>
        <v>1w</v>
      </c>
      <c r="X2089" s="180">
        <f>_xll.qlCalendarAdvance(LiborCalendar,X2088,W2089,"f",FALSE)</f>
        <v>53596</v>
      </c>
      <c r="Y2089" s="174">
        <f>_xll.qlInterestRateIndexValueDate(IborIndex,X2089)</f>
        <v>53598</v>
      </c>
      <c r="Z2089" s="175" t="e">
        <v>#N/A</v>
      </c>
      <c r="AA2089" s="177" t="e">
        <v>#N/A</v>
      </c>
    </row>
    <row r="2090" spans="23:27" x14ac:dyDescent="0.2">
      <c r="W2090" s="173" t="str">
        <f t="shared" si="43"/>
        <v>1w</v>
      </c>
      <c r="X2090" s="180">
        <f>_xll.qlCalendarAdvance(LiborCalendar,X2089,W2090,"f",FALSE)</f>
        <v>53603</v>
      </c>
      <c r="Y2090" s="174">
        <f>_xll.qlInterestRateIndexValueDate(IborIndex,X2090)</f>
        <v>53605</v>
      </c>
      <c r="Z2090" s="175" t="e">
        <v>#N/A</v>
      </c>
      <c r="AA2090" s="177" t="e">
        <v>#N/A</v>
      </c>
    </row>
    <row r="2091" spans="23:27" x14ac:dyDescent="0.2">
      <c r="W2091" s="173" t="str">
        <f t="shared" si="43"/>
        <v>1w</v>
      </c>
      <c r="X2091" s="180">
        <f>_xll.qlCalendarAdvance(LiborCalendar,X2090,W2091,"f",FALSE)</f>
        <v>53610</v>
      </c>
      <c r="Y2091" s="174">
        <f>_xll.qlInterestRateIndexValueDate(IborIndex,X2091)</f>
        <v>53612</v>
      </c>
      <c r="Z2091" s="175" t="e">
        <v>#N/A</v>
      </c>
      <c r="AA2091" s="177" t="e">
        <v>#N/A</v>
      </c>
    </row>
    <row r="2092" spans="23:27" x14ac:dyDescent="0.2">
      <c r="W2092" s="173" t="str">
        <f t="shared" si="43"/>
        <v>1w</v>
      </c>
      <c r="X2092" s="180">
        <f>_xll.qlCalendarAdvance(LiborCalendar,X2091,W2092,"f",FALSE)</f>
        <v>53617</v>
      </c>
      <c r="Y2092" s="174">
        <f>_xll.qlInterestRateIndexValueDate(IborIndex,X2092)</f>
        <v>53619</v>
      </c>
      <c r="Z2092" s="175" t="e">
        <v>#N/A</v>
      </c>
      <c r="AA2092" s="177" t="e">
        <v>#N/A</v>
      </c>
    </row>
    <row r="2093" spans="23:27" x14ac:dyDescent="0.2">
      <c r="W2093" s="173" t="str">
        <f t="shared" si="43"/>
        <v>1w</v>
      </c>
      <c r="X2093" s="180">
        <f>_xll.qlCalendarAdvance(LiborCalendar,X2092,W2093,"f",FALSE)</f>
        <v>53624</v>
      </c>
      <c r="Y2093" s="174">
        <f>_xll.qlInterestRateIndexValueDate(IborIndex,X2093)</f>
        <v>53626</v>
      </c>
      <c r="Z2093" s="175" t="e">
        <v>#N/A</v>
      </c>
      <c r="AA2093" s="177" t="e">
        <v>#N/A</v>
      </c>
    </row>
    <row r="2094" spans="23:27" x14ac:dyDescent="0.2">
      <c r="W2094" s="173" t="str">
        <f t="shared" si="43"/>
        <v>1w</v>
      </c>
      <c r="X2094" s="180">
        <f>_xll.qlCalendarAdvance(LiborCalendar,X2093,W2094,"f",FALSE)</f>
        <v>53631</v>
      </c>
      <c r="Y2094" s="174">
        <f>_xll.qlInterestRateIndexValueDate(IborIndex,X2094)</f>
        <v>53633</v>
      </c>
      <c r="Z2094" s="175" t="e">
        <v>#N/A</v>
      </c>
      <c r="AA2094" s="177" t="e">
        <v>#N/A</v>
      </c>
    </row>
    <row r="2095" spans="23:27" x14ac:dyDescent="0.2">
      <c r="W2095" s="173" t="str">
        <f t="shared" si="43"/>
        <v>1w</v>
      </c>
      <c r="X2095" s="180">
        <f>_xll.qlCalendarAdvance(LiborCalendar,X2094,W2095,"f",FALSE)</f>
        <v>53638</v>
      </c>
      <c r="Y2095" s="174">
        <f>_xll.qlInterestRateIndexValueDate(IborIndex,X2095)</f>
        <v>53640</v>
      </c>
      <c r="Z2095" s="175" t="e">
        <v>#N/A</v>
      </c>
      <c r="AA2095" s="177" t="e">
        <v>#N/A</v>
      </c>
    </row>
    <row r="2096" spans="23:27" x14ac:dyDescent="0.2">
      <c r="W2096" s="173" t="str">
        <f t="shared" si="43"/>
        <v>1w</v>
      </c>
      <c r="X2096" s="180">
        <f>_xll.qlCalendarAdvance(LiborCalendar,X2095,W2096,"f",FALSE)</f>
        <v>53645</v>
      </c>
      <c r="Y2096" s="174">
        <f>_xll.qlInterestRateIndexValueDate(IborIndex,X2096)</f>
        <v>53647</v>
      </c>
      <c r="Z2096" s="175" t="e">
        <v>#N/A</v>
      </c>
      <c r="AA2096" s="177" t="e">
        <v>#N/A</v>
      </c>
    </row>
    <row r="2097" spans="23:27" x14ac:dyDescent="0.2">
      <c r="W2097" s="173" t="str">
        <f t="shared" si="43"/>
        <v>1w</v>
      </c>
      <c r="X2097" s="180">
        <f>_xll.qlCalendarAdvance(LiborCalendar,X2096,W2097,"f",FALSE)</f>
        <v>53652</v>
      </c>
      <c r="Y2097" s="174">
        <f>_xll.qlInterestRateIndexValueDate(IborIndex,X2097)</f>
        <v>53657</v>
      </c>
      <c r="Z2097" s="175" t="e">
        <v>#N/A</v>
      </c>
      <c r="AA2097" s="177" t="e">
        <v>#N/A</v>
      </c>
    </row>
    <row r="2098" spans="23:27" x14ac:dyDescent="0.2">
      <c r="W2098" s="173" t="str">
        <f t="shared" si="43"/>
        <v>1w</v>
      </c>
      <c r="X2098" s="180">
        <f>_xll.qlCalendarAdvance(LiborCalendar,X2097,W2098,"f",FALSE)</f>
        <v>53659</v>
      </c>
      <c r="Y2098" s="174">
        <f>_xll.qlInterestRateIndexValueDate(IborIndex,X2098)</f>
        <v>53661</v>
      </c>
      <c r="Z2098" s="175" t="e">
        <v>#N/A</v>
      </c>
      <c r="AA2098" s="177" t="e">
        <v>#N/A</v>
      </c>
    </row>
    <row r="2099" spans="23:27" x14ac:dyDescent="0.2">
      <c r="W2099" s="173" t="str">
        <f t="shared" si="43"/>
        <v>1w</v>
      </c>
      <c r="X2099" s="180">
        <f>_xll.qlCalendarAdvance(LiborCalendar,X2098,W2099,"f",FALSE)</f>
        <v>53666</v>
      </c>
      <c r="Y2099" s="174">
        <f>_xll.qlInterestRateIndexValueDate(IborIndex,X2099)</f>
        <v>53668</v>
      </c>
      <c r="Z2099" s="175" t="e">
        <v>#N/A</v>
      </c>
      <c r="AA2099" s="177" t="e">
        <v>#N/A</v>
      </c>
    </row>
    <row r="2100" spans="23:27" x14ac:dyDescent="0.2">
      <c r="W2100" s="173" t="str">
        <f t="shared" si="43"/>
        <v>1w</v>
      </c>
      <c r="X2100" s="180">
        <f>_xll.qlCalendarAdvance(LiborCalendar,X2099,W2100,"f",FALSE)</f>
        <v>53673</v>
      </c>
      <c r="Y2100" s="174">
        <f>_xll.qlInterestRateIndexValueDate(IborIndex,X2100)</f>
        <v>53675</v>
      </c>
      <c r="Z2100" s="175" t="e">
        <v>#N/A</v>
      </c>
      <c r="AA2100" s="177" t="e">
        <v>#N/A</v>
      </c>
    </row>
    <row r="2101" spans="23:27" x14ac:dyDescent="0.2">
      <c r="W2101" s="173" t="str">
        <f t="shared" si="43"/>
        <v>1w</v>
      </c>
      <c r="X2101" s="180">
        <f>_xll.qlCalendarAdvance(LiborCalendar,X2100,W2101,"f",FALSE)</f>
        <v>53680</v>
      </c>
      <c r="Y2101" s="174">
        <f>_xll.qlInterestRateIndexValueDate(IborIndex,X2101)</f>
        <v>53682</v>
      </c>
      <c r="Z2101" s="175" t="e">
        <v>#N/A</v>
      </c>
      <c r="AA2101" s="177" t="e">
        <v>#N/A</v>
      </c>
    </row>
    <row r="2102" spans="23:27" x14ac:dyDescent="0.2">
      <c r="W2102" s="173" t="str">
        <f t="shared" si="43"/>
        <v>1w</v>
      </c>
      <c r="X2102" s="180">
        <f>_xll.qlCalendarAdvance(LiborCalendar,X2101,W2102,"f",FALSE)</f>
        <v>53688</v>
      </c>
      <c r="Y2102" s="174">
        <f>_xll.qlInterestRateIndexValueDate(IborIndex,X2102)</f>
        <v>53696</v>
      </c>
      <c r="Z2102" s="175" t="e">
        <v>#N/A</v>
      </c>
      <c r="AA2102" s="177" t="e">
        <v>#N/A</v>
      </c>
    </row>
    <row r="2103" spans="23:27" x14ac:dyDescent="0.2">
      <c r="W2103" s="173" t="str">
        <f t="shared" si="43"/>
        <v>1w</v>
      </c>
      <c r="X2103" s="180">
        <f>_xll.qlCalendarAdvance(LiborCalendar,X2102,W2103,"f",FALSE)</f>
        <v>53695</v>
      </c>
      <c r="Y2103" s="174">
        <f>_xll.qlInterestRateIndexValueDate(IborIndex,X2103)</f>
        <v>53699</v>
      </c>
      <c r="Z2103" s="175" t="e">
        <v>#N/A</v>
      </c>
      <c r="AA2103" s="177" t="e">
        <v>#N/A</v>
      </c>
    </row>
    <row r="2104" spans="23:27" x14ac:dyDescent="0.2">
      <c r="W2104" s="173" t="str">
        <f t="shared" si="43"/>
        <v>1w</v>
      </c>
      <c r="X2104" s="180">
        <f>_xll.qlCalendarAdvance(LiborCalendar,X2103,W2104,"f",FALSE)</f>
        <v>53702</v>
      </c>
      <c r="Y2104" s="174">
        <f>_xll.qlInterestRateIndexValueDate(IborIndex,X2104)</f>
        <v>53707</v>
      </c>
      <c r="Z2104" s="175" t="e">
        <v>#N/A</v>
      </c>
      <c r="AA2104" s="177" t="e">
        <v>#N/A</v>
      </c>
    </row>
    <row r="2105" spans="23:27" x14ac:dyDescent="0.2">
      <c r="W2105" s="173" t="str">
        <f t="shared" si="43"/>
        <v>1w</v>
      </c>
      <c r="X2105" s="180">
        <f>_xll.qlCalendarAdvance(LiborCalendar,X2104,W2105,"f",FALSE)</f>
        <v>53709</v>
      </c>
      <c r="Y2105" s="174">
        <f>_xll.qlInterestRateIndexValueDate(IborIndex,X2105)</f>
        <v>53713</v>
      </c>
      <c r="Z2105" s="175" t="e">
        <v>#N/A</v>
      </c>
      <c r="AA2105" s="177" t="e">
        <v>#N/A</v>
      </c>
    </row>
    <row r="2106" spans="23:27" x14ac:dyDescent="0.2">
      <c r="W2106" s="173" t="str">
        <f t="shared" si="43"/>
        <v>1w</v>
      </c>
      <c r="X2106" s="180">
        <f>_xll.qlCalendarAdvance(LiborCalendar,X2105,W2106,"f",FALSE)</f>
        <v>53716</v>
      </c>
      <c r="Y2106" s="174">
        <f>_xll.qlInterestRateIndexValueDate(IborIndex,X2106)</f>
        <v>53720</v>
      </c>
      <c r="Z2106" s="175" t="e">
        <v>#N/A</v>
      </c>
      <c r="AA2106" s="177" t="e">
        <v>#N/A</v>
      </c>
    </row>
    <row r="2107" spans="23:27" x14ac:dyDescent="0.2">
      <c r="W2107" s="173" t="str">
        <f t="shared" si="43"/>
        <v>1w</v>
      </c>
      <c r="X2107" s="180">
        <f>_xll.qlCalendarAdvance(LiborCalendar,X2106,W2107,"f",FALSE)</f>
        <v>53723</v>
      </c>
      <c r="Y2107" s="174">
        <f>_xll.qlInterestRateIndexValueDate(IborIndex,X2107)</f>
        <v>53727</v>
      </c>
      <c r="Z2107" s="175" t="e">
        <v>#N/A</v>
      </c>
      <c r="AA2107" s="177" t="e">
        <v>#N/A</v>
      </c>
    </row>
    <row r="2108" spans="23:27" x14ac:dyDescent="0.2">
      <c r="W2108" s="173" t="str">
        <f t="shared" si="43"/>
        <v>1w</v>
      </c>
      <c r="X2108" s="180">
        <f>_xll.qlCalendarAdvance(LiborCalendar,X2107,W2108,"f",FALSE)</f>
        <v>53730</v>
      </c>
      <c r="Y2108" s="174">
        <f>_xll.qlInterestRateIndexValueDate(IborIndex,X2108)</f>
        <v>53735</v>
      </c>
      <c r="Z2108" s="175" t="e">
        <v>#N/A</v>
      </c>
      <c r="AA2108" s="177" t="e">
        <v>#N/A</v>
      </c>
    </row>
    <row r="2109" spans="23:27" x14ac:dyDescent="0.2">
      <c r="W2109" s="173" t="str">
        <f t="shared" si="43"/>
        <v>1w</v>
      </c>
      <c r="X2109" s="180">
        <f>_xll.qlCalendarAdvance(LiborCalendar,X2108,W2109,"f",FALSE)</f>
        <v>53737</v>
      </c>
      <c r="Y2109" s="174">
        <f>_xll.qlInterestRateIndexValueDate(IborIndex,X2109)</f>
        <v>53741</v>
      </c>
      <c r="Z2109" s="175" t="e">
        <v>#N/A</v>
      </c>
      <c r="AA2109" s="177" t="e">
        <v>#N/A</v>
      </c>
    </row>
    <row r="2110" spans="23:27" x14ac:dyDescent="0.2">
      <c r="W2110" s="173" t="str">
        <f t="shared" si="43"/>
        <v>1w</v>
      </c>
      <c r="X2110" s="180">
        <f>_xll.qlCalendarAdvance(LiborCalendar,X2109,W2110,"f",FALSE)</f>
        <v>53744</v>
      </c>
      <c r="Y2110" s="174">
        <f>_xll.qlInterestRateIndexValueDate(IborIndex,X2110)</f>
        <v>53748</v>
      </c>
      <c r="Z2110" s="175" t="e">
        <v>#N/A</v>
      </c>
      <c r="AA2110" s="177" t="e">
        <v>#N/A</v>
      </c>
    </row>
    <row r="2111" spans="23:27" x14ac:dyDescent="0.2">
      <c r="W2111" s="173" t="str">
        <f t="shared" si="43"/>
        <v>1w</v>
      </c>
      <c r="X2111" s="180">
        <f>_xll.qlCalendarAdvance(LiborCalendar,X2110,W2111,"f",FALSE)</f>
        <v>53751</v>
      </c>
      <c r="Y2111" s="174">
        <f>_xll.qlInterestRateIndexValueDate(IborIndex,X2111)</f>
        <v>53755</v>
      </c>
      <c r="Z2111" s="175" t="e">
        <v>#N/A</v>
      </c>
      <c r="AA2111" s="177" t="e">
        <v>#N/A</v>
      </c>
    </row>
    <row r="2112" spans="23:27" x14ac:dyDescent="0.2">
      <c r="W2112" s="173" t="str">
        <f t="shared" si="43"/>
        <v>1w</v>
      </c>
      <c r="X2112" s="180">
        <f>_xll.qlCalendarAdvance(LiborCalendar,X2111,W2112,"f",FALSE)</f>
        <v>53758</v>
      </c>
      <c r="Y2112" s="174">
        <f>_xll.qlInterestRateIndexValueDate(IborIndex,X2112)</f>
        <v>53762</v>
      </c>
      <c r="Z2112" s="175" t="e">
        <v>#N/A</v>
      </c>
      <c r="AA2112" s="177" t="e">
        <v>#N/A</v>
      </c>
    </row>
    <row r="2113" spans="23:27" x14ac:dyDescent="0.2">
      <c r="W2113" s="173" t="str">
        <f t="shared" si="43"/>
        <v>1w</v>
      </c>
      <c r="X2113" s="180">
        <f>_xll.qlCalendarAdvance(LiborCalendar,X2112,W2113,"f",FALSE)</f>
        <v>53765</v>
      </c>
      <c r="Y2113" s="174">
        <f>_xll.qlInterestRateIndexValueDate(IborIndex,X2113)</f>
        <v>53769</v>
      </c>
      <c r="Z2113" s="175" t="e">
        <v>#N/A</v>
      </c>
      <c r="AA2113" s="177" t="e">
        <v>#N/A</v>
      </c>
    </row>
    <row r="2114" spans="23:27" x14ac:dyDescent="0.2">
      <c r="W2114" s="173" t="str">
        <f t="shared" si="43"/>
        <v>1w</v>
      </c>
      <c r="X2114" s="180">
        <f>_xll.qlCalendarAdvance(LiborCalendar,X2113,W2114,"f",FALSE)</f>
        <v>53772</v>
      </c>
      <c r="Y2114" s="174">
        <f>_xll.qlInterestRateIndexValueDate(IborIndex,X2114)</f>
        <v>53776</v>
      </c>
      <c r="Z2114" s="175" t="e">
        <v>#N/A</v>
      </c>
      <c r="AA2114" s="177" t="e">
        <v>#N/A</v>
      </c>
    </row>
    <row r="2115" spans="23:27" x14ac:dyDescent="0.2">
      <c r="W2115" s="173" t="str">
        <f t="shared" si="43"/>
        <v>1w</v>
      </c>
      <c r="X2115" s="180">
        <f>_xll.qlCalendarAdvance(LiborCalendar,X2114,W2115,"f",FALSE)</f>
        <v>53779</v>
      </c>
      <c r="Y2115" s="174">
        <f>_xll.qlInterestRateIndexValueDate(IborIndex,X2115)</f>
        <v>53783</v>
      </c>
      <c r="Z2115" s="175" t="e">
        <v>#N/A</v>
      </c>
      <c r="AA2115" s="177" t="e">
        <v>#N/A</v>
      </c>
    </row>
    <row r="2116" spans="23:27" x14ac:dyDescent="0.2">
      <c r="W2116" s="173" t="str">
        <f t="shared" si="43"/>
        <v>1w</v>
      </c>
      <c r="X2116" s="180">
        <f>_xll.qlCalendarAdvance(LiborCalendar,X2115,W2116,"f",FALSE)</f>
        <v>53786</v>
      </c>
      <c r="Y2116" s="174">
        <f>_xll.qlInterestRateIndexValueDate(IborIndex,X2116)</f>
        <v>53790</v>
      </c>
      <c r="Z2116" s="175" t="e">
        <v>#N/A</v>
      </c>
      <c r="AA2116" s="177" t="e">
        <v>#N/A</v>
      </c>
    </row>
    <row r="2117" spans="23:27" x14ac:dyDescent="0.2">
      <c r="W2117" s="173" t="str">
        <f t="shared" si="43"/>
        <v>1w</v>
      </c>
      <c r="X2117" s="180">
        <f>_xll.qlCalendarAdvance(LiborCalendar,X2116,W2117,"f",FALSE)</f>
        <v>53793</v>
      </c>
      <c r="Y2117" s="174">
        <f>_xll.qlInterestRateIndexValueDate(IborIndex,X2117)</f>
        <v>53799</v>
      </c>
      <c r="Z2117" s="175" t="e">
        <v>#N/A</v>
      </c>
      <c r="AA2117" s="177" t="e">
        <v>#N/A</v>
      </c>
    </row>
    <row r="2118" spans="23:27" x14ac:dyDescent="0.2">
      <c r="W2118" s="173" t="str">
        <f t="shared" si="43"/>
        <v>1w</v>
      </c>
      <c r="X2118" s="180">
        <f>_xll.qlCalendarAdvance(LiborCalendar,X2117,W2118,"f",FALSE)</f>
        <v>53800</v>
      </c>
      <c r="Y2118" s="174">
        <f>_xll.qlInterestRateIndexValueDate(IborIndex,X2118)</f>
        <v>53804</v>
      </c>
      <c r="Z2118" s="175" t="e">
        <v>#N/A</v>
      </c>
      <c r="AA2118" s="177" t="e">
        <v>#N/A</v>
      </c>
    </row>
    <row r="2119" spans="23:27" x14ac:dyDescent="0.2">
      <c r="W2119" s="173" t="str">
        <f t="shared" si="43"/>
        <v>1w</v>
      </c>
      <c r="X2119" s="180">
        <f>_xll.qlCalendarAdvance(LiborCalendar,X2118,W2119,"f",FALSE)</f>
        <v>53807</v>
      </c>
      <c r="Y2119" s="174">
        <f>_xll.qlInterestRateIndexValueDate(IborIndex,X2119)</f>
        <v>53812</v>
      </c>
      <c r="Z2119" s="175" t="e">
        <v>#N/A</v>
      </c>
      <c r="AA2119" s="177" t="e">
        <v>#N/A</v>
      </c>
    </row>
    <row r="2120" spans="23:27" x14ac:dyDescent="0.2">
      <c r="W2120" s="173" t="str">
        <f t="shared" si="43"/>
        <v>1w</v>
      </c>
      <c r="X2120" s="180">
        <f>_xll.qlCalendarAdvance(LiborCalendar,X2119,W2120,"f",FALSE)</f>
        <v>53814</v>
      </c>
      <c r="Y2120" s="174">
        <f>_xll.qlInterestRateIndexValueDate(IborIndex,X2120)</f>
        <v>53819</v>
      </c>
      <c r="Z2120" s="175" t="e">
        <v>#N/A</v>
      </c>
      <c r="AA2120" s="177" t="e">
        <v>#N/A</v>
      </c>
    </row>
    <row r="2121" spans="23:27" x14ac:dyDescent="0.2">
      <c r="W2121" s="173" t="str">
        <f t="shared" si="43"/>
        <v>1w</v>
      </c>
      <c r="X2121" s="180">
        <f>_xll.qlCalendarAdvance(LiborCalendar,X2120,W2121,"f",FALSE)</f>
        <v>53821</v>
      </c>
      <c r="Y2121" s="174">
        <f>_xll.qlInterestRateIndexValueDate(IborIndex,X2121)</f>
        <v>53825</v>
      </c>
      <c r="Z2121" s="175" t="e">
        <v>#N/A</v>
      </c>
      <c r="AA2121" s="177" t="e">
        <v>#N/A</v>
      </c>
    </row>
    <row r="2122" spans="23:27" x14ac:dyDescent="0.2">
      <c r="W2122" s="173" t="str">
        <f t="shared" si="43"/>
        <v>1w</v>
      </c>
      <c r="X2122" s="180">
        <f>_xll.qlCalendarAdvance(LiborCalendar,X2121,W2122,"f",FALSE)</f>
        <v>53828</v>
      </c>
      <c r="Y2122" s="174">
        <f>_xll.qlInterestRateIndexValueDate(IborIndex,X2122)</f>
        <v>53832</v>
      </c>
      <c r="Z2122" s="175" t="e">
        <v>#N/A</v>
      </c>
      <c r="AA2122" s="177" t="e">
        <v>#N/A</v>
      </c>
    </row>
    <row r="2123" spans="23:27" x14ac:dyDescent="0.2">
      <c r="W2123" s="173" t="str">
        <f t="shared" si="43"/>
        <v>1w</v>
      </c>
      <c r="X2123" s="180">
        <f>_xll.qlCalendarAdvance(LiborCalendar,X2122,W2123,"f",FALSE)</f>
        <v>53835</v>
      </c>
      <c r="Y2123" s="174">
        <f>_xll.qlInterestRateIndexValueDate(IborIndex,X2123)</f>
        <v>53840</v>
      </c>
      <c r="Z2123" s="175" t="e">
        <v>#N/A</v>
      </c>
      <c r="AA2123" s="177" t="e">
        <v>#N/A</v>
      </c>
    </row>
    <row r="2124" spans="23:27" x14ac:dyDescent="0.2">
      <c r="W2124" s="173" t="str">
        <f t="shared" si="43"/>
        <v>1w</v>
      </c>
      <c r="X2124" s="180">
        <f>_xll.qlCalendarAdvance(LiborCalendar,X2123,W2124,"f",FALSE)</f>
        <v>53842</v>
      </c>
      <c r="Y2124" s="174">
        <f>_xll.qlInterestRateIndexValueDate(IborIndex,X2124)</f>
        <v>53846</v>
      </c>
      <c r="Z2124" s="175" t="e">
        <v>#N/A</v>
      </c>
      <c r="AA2124" s="177" t="e">
        <v>#N/A</v>
      </c>
    </row>
    <row r="2125" spans="23:27" x14ac:dyDescent="0.2">
      <c r="W2125" s="173" t="str">
        <f t="shared" si="43"/>
        <v>1w</v>
      </c>
      <c r="X2125" s="180">
        <f>_xll.qlCalendarAdvance(LiborCalendar,X2124,W2125,"f",FALSE)</f>
        <v>53849</v>
      </c>
      <c r="Y2125" s="174">
        <f>_xll.qlInterestRateIndexValueDate(IborIndex,X2125)</f>
        <v>53853</v>
      </c>
      <c r="Z2125" s="175" t="e">
        <v>#N/A</v>
      </c>
      <c r="AA2125" s="177" t="e">
        <v>#N/A</v>
      </c>
    </row>
    <row r="2126" spans="23:27" x14ac:dyDescent="0.2">
      <c r="W2126" s="173" t="str">
        <f t="shared" si="43"/>
        <v>1w</v>
      </c>
      <c r="X2126" s="180">
        <f>_xll.qlCalendarAdvance(LiborCalendar,X2125,W2126,"f",FALSE)</f>
        <v>53856</v>
      </c>
      <c r="Y2126" s="174">
        <f>_xll.qlInterestRateIndexValueDate(IborIndex,X2126)</f>
        <v>53860</v>
      </c>
      <c r="Z2126" s="175" t="e">
        <v>#N/A</v>
      </c>
      <c r="AA2126" s="177" t="e">
        <v>#N/A</v>
      </c>
    </row>
    <row r="2127" spans="23:27" x14ac:dyDescent="0.2">
      <c r="W2127" s="173" t="str">
        <f t="shared" si="43"/>
        <v>1w</v>
      </c>
      <c r="X2127" s="180">
        <f>_xll.qlCalendarAdvance(LiborCalendar,X2126,W2127,"f",FALSE)</f>
        <v>53863</v>
      </c>
      <c r="Y2127" s="174">
        <f>_xll.qlInterestRateIndexValueDate(IborIndex,X2127)</f>
        <v>53867</v>
      </c>
      <c r="Z2127" s="175" t="e">
        <v>#N/A</v>
      </c>
      <c r="AA2127" s="177" t="e">
        <v>#N/A</v>
      </c>
    </row>
    <row r="2128" spans="23:27" x14ac:dyDescent="0.2">
      <c r="W2128" s="173" t="str">
        <f t="shared" si="43"/>
        <v>1w</v>
      </c>
      <c r="X2128" s="180">
        <f>_xll.qlCalendarAdvance(LiborCalendar,X2127,W2128,"f",FALSE)</f>
        <v>53870</v>
      </c>
      <c r="Y2128" s="174">
        <f>_xll.qlInterestRateIndexValueDate(IborIndex,X2128)</f>
        <v>53874</v>
      </c>
      <c r="Z2128" s="175" t="e">
        <v>#N/A</v>
      </c>
      <c r="AA2128" s="177" t="e">
        <v>#N/A</v>
      </c>
    </row>
    <row r="2129" spans="23:27" x14ac:dyDescent="0.2">
      <c r="W2129" s="173" t="str">
        <f t="shared" si="43"/>
        <v>1w</v>
      </c>
      <c r="X2129" s="180">
        <f>_xll.qlCalendarAdvance(LiborCalendar,X2128,W2129,"f",FALSE)</f>
        <v>53877</v>
      </c>
      <c r="Y2129" s="174">
        <f>_xll.qlInterestRateIndexValueDate(IborIndex,X2129)</f>
        <v>53881</v>
      </c>
      <c r="Z2129" s="175" t="e">
        <v>#N/A</v>
      </c>
      <c r="AA2129" s="177" t="e">
        <v>#N/A</v>
      </c>
    </row>
    <row r="2130" spans="23:27" x14ac:dyDescent="0.2">
      <c r="W2130" s="173" t="str">
        <f t="shared" si="43"/>
        <v>1w</v>
      </c>
      <c r="X2130" s="180">
        <f>_xll.qlCalendarAdvance(LiborCalendar,X2129,W2130,"f",FALSE)</f>
        <v>53884</v>
      </c>
      <c r="Y2130" s="174">
        <f>_xll.qlInterestRateIndexValueDate(IborIndex,X2130)</f>
        <v>53889</v>
      </c>
      <c r="Z2130" s="175" t="e">
        <v>#N/A</v>
      </c>
      <c r="AA2130" s="177" t="e">
        <v>#N/A</v>
      </c>
    </row>
    <row r="2131" spans="23:27" x14ac:dyDescent="0.2">
      <c r="W2131" s="173" t="str">
        <f t="shared" si="43"/>
        <v>1w</v>
      </c>
      <c r="X2131" s="180">
        <f>_xll.qlCalendarAdvance(LiborCalendar,X2130,W2131,"f",FALSE)</f>
        <v>53891</v>
      </c>
      <c r="Y2131" s="174">
        <f>_xll.qlInterestRateIndexValueDate(IborIndex,X2131)</f>
        <v>53895</v>
      </c>
      <c r="Z2131" s="175" t="e">
        <v>#N/A</v>
      </c>
      <c r="AA2131" s="177" t="e">
        <v>#N/A</v>
      </c>
    </row>
    <row r="2132" spans="23:27" x14ac:dyDescent="0.2">
      <c r="W2132" s="173" t="str">
        <f t="shared" si="43"/>
        <v>1w</v>
      </c>
      <c r="X2132" s="180">
        <f>_xll.qlCalendarAdvance(LiborCalendar,X2131,W2132,"f",FALSE)</f>
        <v>53898</v>
      </c>
      <c r="Y2132" s="174">
        <f>_xll.qlInterestRateIndexValueDate(IborIndex,X2132)</f>
        <v>53902</v>
      </c>
      <c r="Z2132" s="175" t="e">
        <v>#N/A</v>
      </c>
      <c r="AA2132" s="177" t="e">
        <v>#N/A</v>
      </c>
    </row>
    <row r="2133" spans="23:27" x14ac:dyDescent="0.2">
      <c r="W2133" s="173" t="str">
        <f t="shared" ref="W2133:W2196" si="44">W2132</f>
        <v>1w</v>
      </c>
      <c r="X2133" s="180">
        <f>_xll.qlCalendarAdvance(LiborCalendar,X2132,W2133,"f",FALSE)</f>
        <v>53905</v>
      </c>
      <c r="Y2133" s="174">
        <f>_xll.qlInterestRateIndexValueDate(IborIndex,X2133)</f>
        <v>53909</v>
      </c>
      <c r="Z2133" s="175" t="e">
        <v>#N/A</v>
      </c>
      <c r="AA2133" s="177" t="e">
        <v>#N/A</v>
      </c>
    </row>
    <row r="2134" spans="23:27" x14ac:dyDescent="0.2">
      <c r="W2134" s="173" t="str">
        <f t="shared" si="44"/>
        <v>1w</v>
      </c>
      <c r="X2134" s="180">
        <f>_xll.qlCalendarAdvance(LiborCalendar,X2133,W2134,"f",FALSE)</f>
        <v>53912</v>
      </c>
      <c r="Y2134" s="174">
        <f>_xll.qlInterestRateIndexValueDate(IborIndex,X2134)</f>
        <v>53916</v>
      </c>
      <c r="Z2134" s="175" t="e">
        <v>#N/A</v>
      </c>
      <c r="AA2134" s="177" t="e">
        <v>#N/A</v>
      </c>
    </row>
    <row r="2135" spans="23:27" x14ac:dyDescent="0.2">
      <c r="W2135" s="173" t="str">
        <f t="shared" si="44"/>
        <v>1w</v>
      </c>
      <c r="X2135" s="180">
        <f>_xll.qlCalendarAdvance(LiborCalendar,X2134,W2135,"f",FALSE)</f>
        <v>53919</v>
      </c>
      <c r="Y2135" s="174">
        <f>_xll.qlInterestRateIndexValueDate(IborIndex,X2135)</f>
        <v>53923</v>
      </c>
      <c r="Z2135" s="175" t="e">
        <v>#N/A</v>
      </c>
      <c r="AA2135" s="177" t="e">
        <v>#N/A</v>
      </c>
    </row>
    <row r="2136" spans="23:27" x14ac:dyDescent="0.2">
      <c r="W2136" s="173" t="str">
        <f t="shared" si="44"/>
        <v>1w</v>
      </c>
      <c r="X2136" s="180">
        <f>_xll.qlCalendarAdvance(LiborCalendar,X2135,W2136,"f",FALSE)</f>
        <v>53926</v>
      </c>
      <c r="Y2136" s="174">
        <f>_xll.qlInterestRateIndexValueDate(IborIndex,X2136)</f>
        <v>53931</v>
      </c>
      <c r="Z2136" s="175" t="e">
        <v>#N/A</v>
      </c>
      <c r="AA2136" s="177" t="e">
        <v>#N/A</v>
      </c>
    </row>
    <row r="2137" spans="23:27" x14ac:dyDescent="0.2">
      <c r="W2137" s="173" t="str">
        <f t="shared" si="44"/>
        <v>1w</v>
      </c>
      <c r="X2137" s="180">
        <f>_xll.qlCalendarAdvance(LiborCalendar,X2136,W2137,"f",FALSE)</f>
        <v>53933</v>
      </c>
      <c r="Y2137" s="174">
        <f>_xll.qlInterestRateIndexValueDate(IborIndex,X2137)</f>
        <v>53937</v>
      </c>
      <c r="Z2137" s="175" t="e">
        <v>#N/A</v>
      </c>
      <c r="AA2137" s="177" t="e">
        <v>#N/A</v>
      </c>
    </row>
    <row r="2138" spans="23:27" x14ac:dyDescent="0.2">
      <c r="W2138" s="173" t="str">
        <f t="shared" si="44"/>
        <v>1w</v>
      </c>
      <c r="X2138" s="180">
        <f>_xll.qlCalendarAdvance(LiborCalendar,X2137,W2138,"f",FALSE)</f>
        <v>53940</v>
      </c>
      <c r="Y2138" s="174">
        <f>_xll.qlInterestRateIndexValueDate(IborIndex,X2138)</f>
        <v>53944</v>
      </c>
      <c r="Z2138" s="175" t="e">
        <v>#N/A</v>
      </c>
      <c r="AA2138" s="177" t="e">
        <v>#N/A</v>
      </c>
    </row>
    <row r="2139" spans="23:27" x14ac:dyDescent="0.2">
      <c r="W2139" s="173" t="str">
        <f t="shared" si="44"/>
        <v>1w</v>
      </c>
      <c r="X2139" s="180">
        <f>_xll.qlCalendarAdvance(LiborCalendar,X2138,W2139,"f",FALSE)</f>
        <v>53947</v>
      </c>
      <c r="Y2139" s="174">
        <f>_xll.qlInterestRateIndexValueDate(IborIndex,X2139)</f>
        <v>53952</v>
      </c>
      <c r="Z2139" s="175" t="e">
        <v>#N/A</v>
      </c>
      <c r="AA2139" s="177" t="e">
        <v>#N/A</v>
      </c>
    </row>
    <row r="2140" spans="23:27" x14ac:dyDescent="0.2">
      <c r="W2140" s="173" t="str">
        <f t="shared" si="44"/>
        <v>1w</v>
      </c>
      <c r="X2140" s="180">
        <f>_xll.qlCalendarAdvance(LiborCalendar,X2139,W2140,"f",FALSE)</f>
        <v>53954</v>
      </c>
      <c r="Y2140" s="174">
        <f>_xll.qlInterestRateIndexValueDate(IborIndex,X2140)</f>
        <v>53959</v>
      </c>
      <c r="Z2140" s="175" t="e">
        <v>#N/A</v>
      </c>
      <c r="AA2140" s="177" t="e">
        <v>#N/A</v>
      </c>
    </row>
    <row r="2141" spans="23:27" x14ac:dyDescent="0.2">
      <c r="W2141" s="173" t="str">
        <f t="shared" si="44"/>
        <v>1w</v>
      </c>
      <c r="X2141" s="180">
        <f>_xll.qlCalendarAdvance(LiborCalendar,X2140,W2141,"f",FALSE)</f>
        <v>53961</v>
      </c>
      <c r="Y2141" s="174">
        <f>_xll.qlInterestRateIndexValueDate(IborIndex,X2141)</f>
        <v>53965</v>
      </c>
      <c r="Z2141" s="175" t="e">
        <v>#N/A</v>
      </c>
      <c r="AA2141" s="177" t="e">
        <v>#N/A</v>
      </c>
    </row>
    <row r="2142" spans="23:27" x14ac:dyDescent="0.2">
      <c r="W2142" s="173" t="str">
        <f t="shared" si="44"/>
        <v>1w</v>
      </c>
      <c r="X2142" s="180">
        <f>_xll.qlCalendarAdvance(LiborCalendar,X2141,W2142,"f",FALSE)</f>
        <v>53968</v>
      </c>
      <c r="Y2142" s="174">
        <f>_xll.qlInterestRateIndexValueDate(IborIndex,X2142)</f>
        <v>53972</v>
      </c>
      <c r="Z2142" s="175" t="e">
        <v>#N/A</v>
      </c>
      <c r="AA2142" s="177" t="e">
        <v>#N/A</v>
      </c>
    </row>
    <row r="2143" spans="23:27" x14ac:dyDescent="0.2">
      <c r="W2143" s="173" t="str">
        <f t="shared" si="44"/>
        <v>1w</v>
      </c>
      <c r="X2143" s="180">
        <f>_xll.qlCalendarAdvance(LiborCalendar,X2142,W2143,"f",FALSE)</f>
        <v>53975</v>
      </c>
      <c r="Y2143" s="174">
        <f>_xll.qlInterestRateIndexValueDate(IborIndex,X2143)</f>
        <v>53980</v>
      </c>
      <c r="Z2143" s="175" t="e">
        <v>#N/A</v>
      </c>
      <c r="AA2143" s="177" t="e">
        <v>#N/A</v>
      </c>
    </row>
    <row r="2144" spans="23:27" x14ac:dyDescent="0.2">
      <c r="W2144" s="173" t="str">
        <f t="shared" si="44"/>
        <v>1w</v>
      </c>
      <c r="X2144" s="180">
        <f>_xll.qlCalendarAdvance(LiborCalendar,X2143,W2144,"f",FALSE)</f>
        <v>53982</v>
      </c>
      <c r="Y2144" s="174">
        <f>_xll.qlInterestRateIndexValueDate(IborIndex,X2144)</f>
        <v>53986</v>
      </c>
      <c r="Z2144" s="175" t="e">
        <v>#N/A</v>
      </c>
      <c r="AA2144" s="177" t="e">
        <v>#N/A</v>
      </c>
    </row>
    <row r="2145" spans="23:27" x14ac:dyDescent="0.2">
      <c r="W2145" s="173" t="str">
        <f t="shared" si="44"/>
        <v>1w</v>
      </c>
      <c r="X2145" s="180">
        <f>_xll.qlCalendarAdvance(LiborCalendar,X2144,W2145,"f",FALSE)</f>
        <v>53989</v>
      </c>
      <c r="Y2145" s="174">
        <f>_xll.qlInterestRateIndexValueDate(IborIndex,X2145)</f>
        <v>53993</v>
      </c>
      <c r="Z2145" s="175" t="e">
        <v>#N/A</v>
      </c>
      <c r="AA2145" s="177" t="e">
        <v>#N/A</v>
      </c>
    </row>
    <row r="2146" spans="23:27" x14ac:dyDescent="0.2">
      <c r="W2146" s="173" t="str">
        <f t="shared" si="44"/>
        <v>1w</v>
      </c>
      <c r="X2146" s="180">
        <f>_xll.qlCalendarAdvance(LiborCalendar,X2145,W2146,"f",FALSE)</f>
        <v>53996</v>
      </c>
      <c r="Y2146" s="174">
        <f>_xll.qlInterestRateIndexValueDate(IborIndex,X2146)</f>
        <v>54001</v>
      </c>
      <c r="Z2146" s="175" t="e">
        <v>#N/A</v>
      </c>
      <c r="AA2146" s="177" t="e">
        <v>#N/A</v>
      </c>
    </row>
    <row r="2147" spans="23:27" x14ac:dyDescent="0.2">
      <c r="W2147" s="173" t="str">
        <f t="shared" si="44"/>
        <v>1w</v>
      </c>
      <c r="X2147" s="180">
        <f>_xll.qlCalendarAdvance(LiborCalendar,X2146,W2147,"f",FALSE)</f>
        <v>54003</v>
      </c>
      <c r="Y2147" s="174">
        <f>_xll.qlInterestRateIndexValueDate(IborIndex,X2147)</f>
        <v>54007</v>
      </c>
      <c r="Z2147" s="175" t="e">
        <v>#N/A</v>
      </c>
      <c r="AA2147" s="177" t="e">
        <v>#N/A</v>
      </c>
    </row>
    <row r="2148" spans="23:27" x14ac:dyDescent="0.2">
      <c r="W2148" s="173" t="str">
        <f t="shared" si="44"/>
        <v>1w</v>
      </c>
      <c r="X2148" s="180">
        <f>_xll.qlCalendarAdvance(LiborCalendar,X2147,W2148,"f",FALSE)</f>
        <v>54010</v>
      </c>
      <c r="Y2148" s="174">
        <f>_xll.qlInterestRateIndexValueDate(IborIndex,X2148)</f>
        <v>54014</v>
      </c>
      <c r="Z2148" s="175" t="e">
        <v>#N/A</v>
      </c>
      <c r="AA2148" s="177" t="e">
        <v>#N/A</v>
      </c>
    </row>
    <row r="2149" spans="23:27" x14ac:dyDescent="0.2">
      <c r="W2149" s="173" t="str">
        <f t="shared" si="44"/>
        <v>1w</v>
      </c>
      <c r="X2149" s="180">
        <f>_xll.qlCalendarAdvance(LiborCalendar,X2148,W2149,"f",FALSE)</f>
        <v>54017</v>
      </c>
      <c r="Y2149" s="174">
        <f>_xll.qlInterestRateIndexValueDate(IborIndex,X2149)</f>
        <v>54021</v>
      </c>
      <c r="Z2149" s="175" t="e">
        <v>#N/A</v>
      </c>
      <c r="AA2149" s="177" t="e">
        <v>#N/A</v>
      </c>
    </row>
    <row r="2150" spans="23:27" x14ac:dyDescent="0.2">
      <c r="W2150" s="173" t="str">
        <f t="shared" si="44"/>
        <v>1w</v>
      </c>
      <c r="X2150" s="180">
        <f>_xll.qlCalendarAdvance(LiborCalendar,X2149,W2150,"f",FALSE)</f>
        <v>54024</v>
      </c>
      <c r="Y2150" s="174">
        <f>_xll.qlInterestRateIndexValueDate(IborIndex,X2150)</f>
        <v>54028</v>
      </c>
      <c r="Z2150" s="175" t="e">
        <v>#N/A</v>
      </c>
      <c r="AA2150" s="177" t="e">
        <v>#N/A</v>
      </c>
    </row>
    <row r="2151" spans="23:27" x14ac:dyDescent="0.2">
      <c r="W2151" s="173" t="str">
        <f t="shared" si="44"/>
        <v>1w</v>
      </c>
      <c r="X2151" s="180">
        <f>_xll.qlCalendarAdvance(LiborCalendar,X2150,W2151,"f",FALSE)</f>
        <v>54031</v>
      </c>
      <c r="Y2151" s="174">
        <f>_xll.qlInterestRateIndexValueDate(IborIndex,X2151)</f>
        <v>54035</v>
      </c>
      <c r="Z2151" s="175" t="e">
        <v>#N/A</v>
      </c>
      <c r="AA2151" s="177" t="e">
        <v>#N/A</v>
      </c>
    </row>
    <row r="2152" spans="23:27" x14ac:dyDescent="0.2">
      <c r="W2152" s="173" t="str">
        <f t="shared" si="44"/>
        <v>1w</v>
      </c>
      <c r="X2152" s="180">
        <f>_xll.qlCalendarAdvance(LiborCalendar,X2151,W2152,"f",FALSE)</f>
        <v>54038</v>
      </c>
      <c r="Y2152" s="174">
        <f>_xll.qlInterestRateIndexValueDate(IborIndex,X2152)</f>
        <v>54042</v>
      </c>
      <c r="Z2152" s="175" t="e">
        <v>#N/A</v>
      </c>
      <c r="AA2152" s="177" t="e">
        <v>#N/A</v>
      </c>
    </row>
    <row r="2153" spans="23:27" x14ac:dyDescent="0.2">
      <c r="W2153" s="173" t="str">
        <f t="shared" si="44"/>
        <v>1w</v>
      </c>
      <c r="X2153" s="180">
        <f>_xll.qlCalendarAdvance(LiborCalendar,X2152,W2153,"f",FALSE)</f>
        <v>54045</v>
      </c>
      <c r="Y2153" s="174">
        <f>_xll.qlInterestRateIndexValueDate(IborIndex,X2153)</f>
        <v>54050</v>
      </c>
      <c r="Z2153" s="175" t="e">
        <v>#N/A</v>
      </c>
      <c r="AA2153" s="177" t="e">
        <v>#N/A</v>
      </c>
    </row>
    <row r="2154" spans="23:27" x14ac:dyDescent="0.2">
      <c r="W2154" s="173" t="str">
        <f t="shared" si="44"/>
        <v>1w</v>
      </c>
      <c r="X2154" s="180">
        <f>_xll.qlCalendarAdvance(LiborCalendar,X2153,W2154,"f",FALSE)</f>
        <v>54053</v>
      </c>
      <c r="Y2154" s="174">
        <f>_xll.qlInterestRateIndexValueDate(IborIndex,X2154)</f>
        <v>54063</v>
      </c>
      <c r="Z2154" s="175" t="e">
        <v>#N/A</v>
      </c>
      <c r="AA2154" s="177" t="e">
        <v>#N/A</v>
      </c>
    </row>
    <row r="2155" spans="23:27" x14ac:dyDescent="0.2">
      <c r="W2155" s="173" t="str">
        <f t="shared" si="44"/>
        <v>1w</v>
      </c>
      <c r="X2155" s="180">
        <f>_xll.qlCalendarAdvance(LiborCalendar,X2154,W2155,"f",FALSE)</f>
        <v>54060</v>
      </c>
      <c r="Y2155" s="174">
        <f>_xll.qlInterestRateIndexValueDate(IborIndex,X2155)</f>
        <v>54064</v>
      </c>
      <c r="Z2155" s="175" t="e">
        <v>#N/A</v>
      </c>
      <c r="AA2155" s="177" t="e">
        <v>#N/A</v>
      </c>
    </row>
    <row r="2156" spans="23:27" x14ac:dyDescent="0.2">
      <c r="W2156" s="173" t="str">
        <f t="shared" si="44"/>
        <v>1w</v>
      </c>
      <c r="X2156" s="180">
        <f>_xll.qlCalendarAdvance(LiborCalendar,X2155,W2156,"f",FALSE)</f>
        <v>54067</v>
      </c>
      <c r="Y2156" s="174">
        <f>_xll.qlInterestRateIndexValueDate(IborIndex,X2156)</f>
        <v>54071</v>
      </c>
      <c r="Z2156" s="175" t="e">
        <v>#N/A</v>
      </c>
      <c r="AA2156" s="177" t="e">
        <v>#N/A</v>
      </c>
    </row>
    <row r="2157" spans="23:27" x14ac:dyDescent="0.2">
      <c r="W2157" s="173" t="str">
        <f t="shared" si="44"/>
        <v>1w</v>
      </c>
      <c r="X2157" s="180">
        <f>_xll.qlCalendarAdvance(LiborCalendar,X2156,W2157,"f",FALSE)</f>
        <v>54074</v>
      </c>
      <c r="Y2157" s="174">
        <f>_xll.qlInterestRateIndexValueDate(IborIndex,X2157)</f>
        <v>54078</v>
      </c>
      <c r="Z2157" s="175" t="e">
        <v>#N/A</v>
      </c>
      <c r="AA2157" s="177" t="e">
        <v>#N/A</v>
      </c>
    </row>
    <row r="2158" spans="23:27" x14ac:dyDescent="0.2">
      <c r="W2158" s="173" t="str">
        <f t="shared" si="44"/>
        <v>1w</v>
      </c>
      <c r="X2158" s="180">
        <f>_xll.qlCalendarAdvance(LiborCalendar,X2157,W2158,"f",FALSE)</f>
        <v>54081</v>
      </c>
      <c r="Y2158" s="174">
        <f>_xll.qlInterestRateIndexValueDate(IborIndex,X2158)</f>
        <v>54085</v>
      </c>
      <c r="Z2158" s="175" t="e">
        <v>#N/A</v>
      </c>
      <c r="AA2158" s="177" t="e">
        <v>#N/A</v>
      </c>
    </row>
    <row r="2159" spans="23:27" x14ac:dyDescent="0.2">
      <c r="W2159" s="173" t="str">
        <f t="shared" si="44"/>
        <v>1w</v>
      </c>
      <c r="X2159" s="180">
        <f>_xll.qlCalendarAdvance(LiborCalendar,X2158,W2159,"f",FALSE)</f>
        <v>54088</v>
      </c>
      <c r="Y2159" s="174">
        <f>_xll.qlInterestRateIndexValueDate(IborIndex,X2159)</f>
        <v>54092</v>
      </c>
      <c r="Z2159" s="175" t="e">
        <v>#N/A</v>
      </c>
      <c r="AA2159" s="177" t="e">
        <v>#N/A</v>
      </c>
    </row>
    <row r="2160" spans="23:27" x14ac:dyDescent="0.2">
      <c r="W2160" s="173" t="str">
        <f t="shared" si="44"/>
        <v>1w</v>
      </c>
      <c r="X2160" s="180">
        <f>_xll.qlCalendarAdvance(LiborCalendar,X2159,W2160,"f",FALSE)</f>
        <v>54095</v>
      </c>
      <c r="Y2160" s="174">
        <f>_xll.qlInterestRateIndexValueDate(IborIndex,X2160)</f>
        <v>54100</v>
      </c>
      <c r="Z2160" s="175" t="e">
        <v>#N/A</v>
      </c>
      <c r="AA2160" s="177" t="e">
        <v>#N/A</v>
      </c>
    </row>
    <row r="2161" spans="23:27" x14ac:dyDescent="0.2">
      <c r="W2161" s="173" t="str">
        <f t="shared" si="44"/>
        <v>1w</v>
      </c>
      <c r="X2161" s="180">
        <f>_xll.qlCalendarAdvance(LiborCalendar,X2160,W2161,"f",FALSE)</f>
        <v>54102</v>
      </c>
      <c r="Y2161" s="174">
        <f>_xll.qlInterestRateIndexValueDate(IborIndex,X2161)</f>
        <v>54106</v>
      </c>
      <c r="Z2161" s="175" t="e">
        <v>#N/A</v>
      </c>
      <c r="AA2161" s="177" t="e">
        <v>#N/A</v>
      </c>
    </row>
    <row r="2162" spans="23:27" x14ac:dyDescent="0.2">
      <c r="W2162" s="173" t="str">
        <f t="shared" si="44"/>
        <v>1w</v>
      </c>
      <c r="X2162" s="180">
        <f>_xll.qlCalendarAdvance(LiborCalendar,X2161,W2162,"f",FALSE)</f>
        <v>54109</v>
      </c>
      <c r="Y2162" s="174">
        <f>_xll.qlInterestRateIndexValueDate(IborIndex,X2162)</f>
        <v>54113</v>
      </c>
      <c r="Z2162" s="175" t="e">
        <v>#N/A</v>
      </c>
      <c r="AA2162" s="177" t="e">
        <v>#N/A</v>
      </c>
    </row>
    <row r="2163" spans="23:27" x14ac:dyDescent="0.2">
      <c r="W2163" s="173" t="str">
        <f t="shared" si="44"/>
        <v>1w</v>
      </c>
      <c r="X2163" s="180">
        <f>_xll.qlCalendarAdvance(LiborCalendar,X2162,W2163,"f",FALSE)</f>
        <v>54116</v>
      </c>
      <c r="Y2163" s="174">
        <f>_xll.qlInterestRateIndexValueDate(IborIndex,X2163)</f>
        <v>54120</v>
      </c>
      <c r="Z2163" s="175" t="e">
        <v>#N/A</v>
      </c>
      <c r="AA2163" s="177" t="e">
        <v>#N/A</v>
      </c>
    </row>
    <row r="2164" spans="23:27" x14ac:dyDescent="0.2">
      <c r="W2164" s="173" t="str">
        <f t="shared" si="44"/>
        <v>1w</v>
      </c>
      <c r="X2164" s="180">
        <f>_xll.qlCalendarAdvance(LiborCalendar,X2163,W2164,"f",FALSE)</f>
        <v>54123</v>
      </c>
      <c r="Y2164" s="174">
        <f>_xll.qlInterestRateIndexValueDate(IborIndex,X2164)</f>
        <v>54127</v>
      </c>
      <c r="Z2164" s="175" t="e">
        <v>#N/A</v>
      </c>
      <c r="AA2164" s="177" t="e">
        <v>#N/A</v>
      </c>
    </row>
    <row r="2165" spans="23:27" x14ac:dyDescent="0.2">
      <c r="W2165" s="173" t="str">
        <f t="shared" si="44"/>
        <v>1w</v>
      </c>
      <c r="X2165" s="180">
        <f>_xll.qlCalendarAdvance(LiborCalendar,X2164,W2165,"f",FALSE)</f>
        <v>54130</v>
      </c>
      <c r="Y2165" s="174">
        <f>_xll.qlInterestRateIndexValueDate(IborIndex,X2165)</f>
        <v>54134</v>
      </c>
      <c r="Z2165" s="175" t="e">
        <v>#N/A</v>
      </c>
      <c r="AA2165" s="177" t="e">
        <v>#N/A</v>
      </c>
    </row>
    <row r="2166" spans="23:27" x14ac:dyDescent="0.2">
      <c r="W2166" s="173" t="str">
        <f t="shared" si="44"/>
        <v>1w</v>
      </c>
      <c r="X2166" s="180">
        <f>_xll.qlCalendarAdvance(LiborCalendar,X2165,W2166,"f",FALSE)</f>
        <v>54137</v>
      </c>
      <c r="Y2166" s="174">
        <f>_xll.qlInterestRateIndexValueDate(IborIndex,X2166)</f>
        <v>54141</v>
      </c>
      <c r="Z2166" s="175" t="e">
        <v>#N/A</v>
      </c>
      <c r="AA2166" s="177" t="e">
        <v>#N/A</v>
      </c>
    </row>
    <row r="2167" spans="23:27" x14ac:dyDescent="0.2">
      <c r="W2167" s="173" t="str">
        <f t="shared" si="44"/>
        <v>1w</v>
      </c>
      <c r="X2167" s="180">
        <f>_xll.qlCalendarAdvance(LiborCalendar,X2166,W2167,"f",FALSE)</f>
        <v>54144</v>
      </c>
      <c r="Y2167" s="174">
        <f>_xll.qlInterestRateIndexValueDate(IborIndex,X2167)</f>
        <v>54148</v>
      </c>
      <c r="Z2167" s="175" t="e">
        <v>#N/A</v>
      </c>
      <c r="AA2167" s="177" t="e">
        <v>#N/A</v>
      </c>
    </row>
    <row r="2168" spans="23:27" x14ac:dyDescent="0.2">
      <c r="W2168" s="173" t="str">
        <f t="shared" si="44"/>
        <v>1w</v>
      </c>
      <c r="X2168" s="180">
        <f>_xll.qlCalendarAdvance(LiborCalendar,X2167,W2168,"f",FALSE)</f>
        <v>54155</v>
      </c>
      <c r="Y2168" s="174">
        <f>_xll.qlInterestRateIndexValueDate(IborIndex,X2168)</f>
        <v>54157</v>
      </c>
      <c r="Z2168" s="175" t="e">
        <v>#N/A</v>
      </c>
      <c r="AA2168" s="177" t="e">
        <v>#N/A</v>
      </c>
    </row>
    <row r="2169" spans="23:27" x14ac:dyDescent="0.2">
      <c r="W2169" s="173" t="str">
        <f t="shared" si="44"/>
        <v>1w</v>
      </c>
      <c r="X2169" s="180">
        <f>_xll.qlCalendarAdvance(LiborCalendar,X2168,W2169,"f",FALSE)</f>
        <v>54162</v>
      </c>
      <c r="Y2169" s="174">
        <f>_xll.qlInterestRateIndexValueDate(IborIndex,X2169)</f>
        <v>54164</v>
      </c>
      <c r="Z2169" s="175" t="e">
        <v>#N/A</v>
      </c>
      <c r="AA2169" s="177" t="e">
        <v>#N/A</v>
      </c>
    </row>
    <row r="2170" spans="23:27" x14ac:dyDescent="0.2">
      <c r="W2170" s="173" t="str">
        <f t="shared" si="44"/>
        <v>1w</v>
      </c>
      <c r="X2170" s="180">
        <f>_xll.qlCalendarAdvance(LiborCalendar,X2169,W2170,"f",FALSE)</f>
        <v>54169</v>
      </c>
      <c r="Y2170" s="174">
        <f>_xll.qlInterestRateIndexValueDate(IborIndex,X2170)</f>
        <v>54171</v>
      </c>
      <c r="Z2170" s="175" t="e">
        <v>#N/A</v>
      </c>
      <c r="AA2170" s="177" t="e">
        <v>#N/A</v>
      </c>
    </row>
    <row r="2171" spans="23:27" x14ac:dyDescent="0.2">
      <c r="W2171" s="173" t="str">
        <f t="shared" si="44"/>
        <v>1w</v>
      </c>
      <c r="X2171" s="180">
        <f>_xll.qlCalendarAdvance(LiborCalendar,X2170,W2171,"f",FALSE)</f>
        <v>54176</v>
      </c>
      <c r="Y2171" s="174">
        <f>_xll.qlInterestRateIndexValueDate(IborIndex,X2171)</f>
        <v>54178</v>
      </c>
      <c r="Z2171" s="175" t="e">
        <v>#N/A</v>
      </c>
      <c r="AA2171" s="177" t="e">
        <v>#N/A</v>
      </c>
    </row>
    <row r="2172" spans="23:27" x14ac:dyDescent="0.2">
      <c r="W2172" s="173" t="str">
        <f t="shared" si="44"/>
        <v>1w</v>
      </c>
      <c r="X2172" s="180">
        <f>_xll.qlCalendarAdvance(LiborCalendar,X2171,W2172,"f",FALSE)</f>
        <v>54183</v>
      </c>
      <c r="Y2172" s="174">
        <f>_xll.qlInterestRateIndexValueDate(IborIndex,X2172)</f>
        <v>54185</v>
      </c>
      <c r="Z2172" s="175" t="e">
        <v>#N/A</v>
      </c>
      <c r="AA2172" s="177" t="e">
        <v>#N/A</v>
      </c>
    </row>
    <row r="2173" spans="23:27" x14ac:dyDescent="0.2">
      <c r="W2173" s="173" t="str">
        <f t="shared" si="44"/>
        <v>1w</v>
      </c>
      <c r="X2173" s="180">
        <f>_xll.qlCalendarAdvance(LiborCalendar,X2172,W2173,"f",FALSE)</f>
        <v>54190</v>
      </c>
      <c r="Y2173" s="174">
        <f>_xll.qlInterestRateIndexValueDate(IborIndex,X2173)</f>
        <v>54192</v>
      </c>
      <c r="Z2173" s="175" t="e">
        <v>#N/A</v>
      </c>
      <c r="AA2173" s="177" t="e">
        <v>#N/A</v>
      </c>
    </row>
    <row r="2174" spans="23:27" x14ac:dyDescent="0.2">
      <c r="W2174" s="173" t="str">
        <f t="shared" si="44"/>
        <v>1w</v>
      </c>
      <c r="X2174" s="180">
        <f>_xll.qlCalendarAdvance(LiborCalendar,X2173,W2174,"f",FALSE)</f>
        <v>54197</v>
      </c>
      <c r="Y2174" s="174">
        <f>_xll.qlInterestRateIndexValueDate(IborIndex,X2174)</f>
        <v>54199</v>
      </c>
      <c r="Z2174" s="175" t="e">
        <v>#N/A</v>
      </c>
      <c r="AA2174" s="177" t="e">
        <v>#N/A</v>
      </c>
    </row>
    <row r="2175" spans="23:27" x14ac:dyDescent="0.2">
      <c r="W2175" s="173" t="str">
        <f t="shared" si="44"/>
        <v>1w</v>
      </c>
      <c r="X2175" s="180">
        <f>_xll.qlCalendarAdvance(LiborCalendar,X2174,W2175,"f",FALSE)</f>
        <v>54204</v>
      </c>
      <c r="Y2175" s="174">
        <f>_xll.qlInterestRateIndexValueDate(IborIndex,X2175)</f>
        <v>54206</v>
      </c>
      <c r="Z2175" s="175" t="e">
        <v>#N/A</v>
      </c>
      <c r="AA2175" s="177" t="e">
        <v>#N/A</v>
      </c>
    </row>
    <row r="2176" spans="23:27" x14ac:dyDescent="0.2">
      <c r="W2176" s="173" t="str">
        <f t="shared" si="44"/>
        <v>1w</v>
      </c>
      <c r="X2176" s="180">
        <f>_xll.qlCalendarAdvance(LiborCalendar,X2175,W2176,"f",FALSE)</f>
        <v>54211</v>
      </c>
      <c r="Y2176" s="174">
        <f>_xll.qlInterestRateIndexValueDate(IborIndex,X2176)</f>
        <v>54213</v>
      </c>
      <c r="Z2176" s="175" t="e">
        <v>#N/A</v>
      </c>
      <c r="AA2176" s="177" t="e">
        <v>#N/A</v>
      </c>
    </row>
    <row r="2177" spans="23:27" x14ac:dyDescent="0.2">
      <c r="W2177" s="173" t="str">
        <f t="shared" si="44"/>
        <v>1w</v>
      </c>
      <c r="X2177" s="180">
        <f>_xll.qlCalendarAdvance(LiborCalendar,X2176,W2177,"f",FALSE)</f>
        <v>54218</v>
      </c>
      <c r="Y2177" s="174">
        <f>_xll.qlInterestRateIndexValueDate(IborIndex,X2177)</f>
        <v>54220</v>
      </c>
      <c r="Z2177" s="175" t="e">
        <v>#N/A</v>
      </c>
      <c r="AA2177" s="177" t="e">
        <v>#N/A</v>
      </c>
    </row>
    <row r="2178" spans="23:27" x14ac:dyDescent="0.2">
      <c r="W2178" s="173" t="str">
        <f t="shared" si="44"/>
        <v>1w</v>
      </c>
      <c r="X2178" s="180">
        <f>_xll.qlCalendarAdvance(LiborCalendar,X2177,W2178,"f",FALSE)</f>
        <v>54225</v>
      </c>
      <c r="Y2178" s="174">
        <f>_xll.qlInterestRateIndexValueDate(IborIndex,X2178)</f>
        <v>54227</v>
      </c>
      <c r="Z2178" s="175" t="e">
        <v>#N/A</v>
      </c>
      <c r="AA2178" s="177" t="e">
        <v>#N/A</v>
      </c>
    </row>
    <row r="2179" spans="23:27" x14ac:dyDescent="0.2">
      <c r="W2179" s="173" t="str">
        <f t="shared" si="44"/>
        <v>1w</v>
      </c>
      <c r="X2179" s="180">
        <f>_xll.qlCalendarAdvance(LiborCalendar,X2178,W2179,"f",FALSE)</f>
        <v>54232</v>
      </c>
      <c r="Y2179" s="174">
        <f>_xll.qlInterestRateIndexValueDate(IborIndex,X2179)</f>
        <v>54234</v>
      </c>
      <c r="Z2179" s="175" t="e">
        <v>#N/A</v>
      </c>
      <c r="AA2179" s="177" t="e">
        <v>#N/A</v>
      </c>
    </row>
    <row r="2180" spans="23:27" x14ac:dyDescent="0.2">
      <c r="W2180" s="173" t="str">
        <f t="shared" si="44"/>
        <v>1w</v>
      </c>
      <c r="X2180" s="180">
        <f>_xll.qlCalendarAdvance(LiborCalendar,X2179,W2180,"f",FALSE)</f>
        <v>54239</v>
      </c>
      <c r="Y2180" s="174">
        <f>_xll.qlInterestRateIndexValueDate(IborIndex,X2180)</f>
        <v>54241</v>
      </c>
      <c r="Z2180" s="175" t="e">
        <v>#N/A</v>
      </c>
      <c r="AA2180" s="177" t="e">
        <v>#N/A</v>
      </c>
    </row>
    <row r="2181" spans="23:27" x14ac:dyDescent="0.2">
      <c r="W2181" s="173" t="str">
        <f t="shared" si="44"/>
        <v>1w</v>
      </c>
      <c r="X2181" s="180">
        <f>_xll.qlCalendarAdvance(LiborCalendar,X2180,W2181,"f",FALSE)</f>
        <v>54246</v>
      </c>
      <c r="Y2181" s="174">
        <f>_xll.qlInterestRateIndexValueDate(IborIndex,X2181)</f>
        <v>54248</v>
      </c>
      <c r="Z2181" s="175" t="e">
        <v>#N/A</v>
      </c>
      <c r="AA2181" s="177" t="e">
        <v>#N/A</v>
      </c>
    </row>
    <row r="2182" spans="23:27" x14ac:dyDescent="0.2">
      <c r="W2182" s="173" t="str">
        <f t="shared" si="44"/>
        <v>1w</v>
      </c>
      <c r="X2182" s="180">
        <f>_xll.qlCalendarAdvance(LiborCalendar,X2181,W2182,"f",FALSE)</f>
        <v>54253</v>
      </c>
      <c r="Y2182" s="174">
        <f>_xll.qlInterestRateIndexValueDate(IborIndex,X2182)</f>
        <v>54255</v>
      </c>
      <c r="Z2182" s="175" t="e">
        <v>#N/A</v>
      </c>
      <c r="AA2182" s="177" t="e">
        <v>#N/A</v>
      </c>
    </row>
    <row r="2183" spans="23:27" x14ac:dyDescent="0.2">
      <c r="W2183" s="173" t="str">
        <f t="shared" si="44"/>
        <v>1w</v>
      </c>
      <c r="X2183" s="180">
        <f>_xll.qlCalendarAdvance(LiborCalendar,X2182,W2183,"f",FALSE)</f>
        <v>54260</v>
      </c>
      <c r="Y2183" s="174">
        <f>_xll.qlInterestRateIndexValueDate(IborIndex,X2183)</f>
        <v>54262</v>
      </c>
      <c r="Z2183" s="175" t="e">
        <v>#N/A</v>
      </c>
      <c r="AA2183" s="177" t="e">
        <v>#N/A</v>
      </c>
    </row>
    <row r="2184" spans="23:27" x14ac:dyDescent="0.2">
      <c r="W2184" s="173" t="str">
        <f t="shared" si="44"/>
        <v>1w</v>
      </c>
      <c r="X2184" s="180">
        <f>_xll.qlCalendarAdvance(LiborCalendar,X2183,W2184,"f",FALSE)</f>
        <v>54267</v>
      </c>
      <c r="Y2184" s="174">
        <f>_xll.qlInterestRateIndexValueDate(IborIndex,X2184)</f>
        <v>54269</v>
      </c>
      <c r="Z2184" s="175" t="e">
        <v>#N/A</v>
      </c>
      <c r="AA2184" s="177" t="e">
        <v>#N/A</v>
      </c>
    </row>
    <row r="2185" spans="23:27" x14ac:dyDescent="0.2">
      <c r="W2185" s="173" t="str">
        <f t="shared" si="44"/>
        <v>1w</v>
      </c>
      <c r="X2185" s="180">
        <f>_xll.qlCalendarAdvance(LiborCalendar,X2184,W2185,"f",FALSE)</f>
        <v>54274</v>
      </c>
      <c r="Y2185" s="174">
        <f>_xll.qlInterestRateIndexValueDate(IborIndex,X2185)</f>
        <v>54276</v>
      </c>
      <c r="Z2185" s="175" t="e">
        <v>#N/A</v>
      </c>
      <c r="AA2185" s="177" t="e">
        <v>#N/A</v>
      </c>
    </row>
    <row r="2186" spans="23:27" x14ac:dyDescent="0.2">
      <c r="W2186" s="173" t="str">
        <f t="shared" si="44"/>
        <v>1w</v>
      </c>
      <c r="X2186" s="180">
        <f>_xll.qlCalendarAdvance(LiborCalendar,X2185,W2186,"f",FALSE)</f>
        <v>54281</v>
      </c>
      <c r="Y2186" s="174">
        <f>_xll.qlInterestRateIndexValueDate(IborIndex,X2186)</f>
        <v>54283</v>
      </c>
      <c r="Z2186" s="175" t="e">
        <v>#N/A</v>
      </c>
      <c r="AA2186" s="177" t="e">
        <v>#N/A</v>
      </c>
    </row>
    <row r="2187" spans="23:27" x14ac:dyDescent="0.2">
      <c r="W2187" s="173" t="str">
        <f t="shared" si="44"/>
        <v>1w</v>
      </c>
      <c r="X2187" s="180">
        <f>_xll.qlCalendarAdvance(LiborCalendar,X2186,W2187,"f",FALSE)</f>
        <v>54288</v>
      </c>
      <c r="Y2187" s="174">
        <f>_xll.qlInterestRateIndexValueDate(IborIndex,X2187)</f>
        <v>54290</v>
      </c>
      <c r="Z2187" s="175" t="e">
        <v>#N/A</v>
      </c>
      <c r="AA2187" s="177" t="e">
        <v>#N/A</v>
      </c>
    </row>
    <row r="2188" spans="23:27" x14ac:dyDescent="0.2">
      <c r="W2188" s="173" t="str">
        <f t="shared" si="44"/>
        <v>1w</v>
      </c>
      <c r="X2188" s="180">
        <f>_xll.qlCalendarAdvance(LiborCalendar,X2187,W2188,"f",FALSE)</f>
        <v>54295</v>
      </c>
      <c r="Y2188" s="174">
        <f>_xll.qlInterestRateIndexValueDate(IborIndex,X2188)</f>
        <v>54297</v>
      </c>
      <c r="Z2188" s="175" t="e">
        <v>#N/A</v>
      </c>
      <c r="AA2188" s="177" t="e">
        <v>#N/A</v>
      </c>
    </row>
    <row r="2189" spans="23:27" x14ac:dyDescent="0.2">
      <c r="W2189" s="173" t="str">
        <f t="shared" si="44"/>
        <v>1w</v>
      </c>
      <c r="X2189" s="180">
        <f>_xll.qlCalendarAdvance(LiborCalendar,X2188,W2189,"f",FALSE)</f>
        <v>54302</v>
      </c>
      <c r="Y2189" s="174">
        <f>_xll.qlInterestRateIndexValueDate(IborIndex,X2189)</f>
        <v>54304</v>
      </c>
      <c r="Z2189" s="175" t="e">
        <v>#N/A</v>
      </c>
      <c r="AA2189" s="177" t="e">
        <v>#N/A</v>
      </c>
    </row>
    <row r="2190" spans="23:27" x14ac:dyDescent="0.2">
      <c r="W2190" s="173" t="str">
        <f t="shared" si="44"/>
        <v>1w</v>
      </c>
      <c r="X2190" s="180">
        <f>_xll.qlCalendarAdvance(LiborCalendar,X2189,W2190,"f",FALSE)</f>
        <v>54309</v>
      </c>
      <c r="Y2190" s="174">
        <f>_xll.qlInterestRateIndexValueDate(IborIndex,X2190)</f>
        <v>54311</v>
      </c>
      <c r="Z2190" s="175" t="e">
        <v>#N/A</v>
      </c>
      <c r="AA2190" s="177" t="e">
        <v>#N/A</v>
      </c>
    </row>
    <row r="2191" spans="23:27" x14ac:dyDescent="0.2">
      <c r="W2191" s="173" t="str">
        <f t="shared" si="44"/>
        <v>1w</v>
      </c>
      <c r="X2191" s="180">
        <f>_xll.qlCalendarAdvance(LiborCalendar,X2190,W2191,"f",FALSE)</f>
        <v>54316</v>
      </c>
      <c r="Y2191" s="174">
        <f>_xll.qlInterestRateIndexValueDate(IborIndex,X2191)</f>
        <v>54318</v>
      </c>
      <c r="Z2191" s="175" t="e">
        <v>#N/A</v>
      </c>
      <c r="AA2191" s="177" t="e">
        <v>#N/A</v>
      </c>
    </row>
    <row r="2192" spans="23:27" x14ac:dyDescent="0.2">
      <c r="W2192" s="173" t="str">
        <f t="shared" si="44"/>
        <v>1w</v>
      </c>
      <c r="X2192" s="180">
        <f>_xll.qlCalendarAdvance(LiborCalendar,X2191,W2192,"f",FALSE)</f>
        <v>54323</v>
      </c>
      <c r="Y2192" s="174">
        <f>_xll.qlInterestRateIndexValueDate(IborIndex,X2192)</f>
        <v>54325</v>
      </c>
      <c r="Z2192" s="175" t="e">
        <v>#N/A</v>
      </c>
      <c r="AA2192" s="177" t="e">
        <v>#N/A</v>
      </c>
    </row>
    <row r="2193" spans="23:27" x14ac:dyDescent="0.2">
      <c r="W2193" s="173" t="str">
        <f t="shared" si="44"/>
        <v>1w</v>
      </c>
      <c r="X2193" s="180">
        <f>_xll.qlCalendarAdvance(LiborCalendar,X2192,W2193,"f",FALSE)</f>
        <v>54330</v>
      </c>
      <c r="Y2193" s="174">
        <f>_xll.qlInterestRateIndexValueDate(IborIndex,X2193)</f>
        <v>54332</v>
      </c>
      <c r="Z2193" s="175" t="e">
        <v>#N/A</v>
      </c>
      <c r="AA2193" s="177" t="e">
        <v>#N/A</v>
      </c>
    </row>
    <row r="2194" spans="23:27" x14ac:dyDescent="0.2">
      <c r="W2194" s="173" t="str">
        <f t="shared" si="44"/>
        <v>1w</v>
      </c>
      <c r="X2194" s="180">
        <f>_xll.qlCalendarAdvance(LiborCalendar,X2193,W2194,"f",FALSE)</f>
        <v>54337</v>
      </c>
      <c r="Y2194" s="174">
        <f>_xll.qlInterestRateIndexValueDate(IborIndex,X2194)</f>
        <v>54339</v>
      </c>
      <c r="Z2194" s="175" t="e">
        <v>#N/A</v>
      </c>
      <c r="AA2194" s="177" t="e">
        <v>#N/A</v>
      </c>
    </row>
    <row r="2195" spans="23:27" x14ac:dyDescent="0.2">
      <c r="W2195" s="173" t="str">
        <f t="shared" si="44"/>
        <v>1w</v>
      </c>
      <c r="X2195" s="180">
        <f>_xll.qlCalendarAdvance(LiborCalendar,X2194,W2195,"f",FALSE)</f>
        <v>54344</v>
      </c>
      <c r="Y2195" s="174">
        <f>_xll.qlInterestRateIndexValueDate(IborIndex,X2195)</f>
        <v>54346</v>
      </c>
      <c r="Z2195" s="175" t="e">
        <v>#N/A</v>
      </c>
      <c r="AA2195" s="177" t="e">
        <v>#N/A</v>
      </c>
    </row>
    <row r="2196" spans="23:27" x14ac:dyDescent="0.2">
      <c r="W2196" s="173" t="str">
        <f t="shared" si="44"/>
        <v>1w</v>
      </c>
      <c r="X2196" s="180">
        <f>_xll.qlCalendarAdvance(LiborCalendar,X2195,W2196,"f",FALSE)</f>
        <v>54351</v>
      </c>
      <c r="Y2196" s="174">
        <f>_xll.qlInterestRateIndexValueDate(IborIndex,X2196)</f>
        <v>54353</v>
      </c>
      <c r="Z2196" s="175" t="e">
        <v>#N/A</v>
      </c>
      <c r="AA2196" s="177" t="e">
        <v>#N/A</v>
      </c>
    </row>
    <row r="2197" spans="23:27" x14ac:dyDescent="0.2">
      <c r="W2197" s="173" t="str">
        <f t="shared" ref="W2197:W2260" si="45">W2196</f>
        <v>1w</v>
      </c>
      <c r="X2197" s="180">
        <f>_xll.qlCalendarAdvance(LiborCalendar,X2196,W2197,"f",FALSE)</f>
        <v>54358</v>
      </c>
      <c r="Y2197" s="174">
        <f>_xll.qlInterestRateIndexValueDate(IborIndex,X2197)</f>
        <v>54360</v>
      </c>
      <c r="Z2197" s="175" t="e">
        <v>#N/A</v>
      </c>
      <c r="AA2197" s="177" t="e">
        <v>#N/A</v>
      </c>
    </row>
    <row r="2198" spans="23:27" x14ac:dyDescent="0.2">
      <c r="W2198" s="173" t="str">
        <f t="shared" si="45"/>
        <v>1w</v>
      </c>
      <c r="X2198" s="180">
        <f>_xll.qlCalendarAdvance(LiborCalendar,X2197,W2198,"f",FALSE)</f>
        <v>54365</v>
      </c>
      <c r="Y2198" s="174">
        <f>_xll.qlInterestRateIndexValueDate(IborIndex,X2198)</f>
        <v>54367</v>
      </c>
      <c r="Z2198" s="175" t="e">
        <v>#N/A</v>
      </c>
      <c r="AA2198" s="177" t="e">
        <v>#N/A</v>
      </c>
    </row>
    <row r="2199" spans="23:27" x14ac:dyDescent="0.2">
      <c r="W2199" s="173" t="str">
        <f t="shared" si="45"/>
        <v>1w</v>
      </c>
      <c r="X2199" s="180">
        <f>_xll.qlCalendarAdvance(LiborCalendar,X2198,W2199,"f",FALSE)</f>
        <v>54372</v>
      </c>
      <c r="Y2199" s="174">
        <f>_xll.qlInterestRateIndexValueDate(IborIndex,X2199)</f>
        <v>54374</v>
      </c>
      <c r="Z2199" s="175" t="e">
        <v>#N/A</v>
      </c>
      <c r="AA2199" s="177" t="e">
        <v>#N/A</v>
      </c>
    </row>
    <row r="2200" spans="23:27" x14ac:dyDescent="0.2">
      <c r="W2200" s="173" t="str">
        <f t="shared" si="45"/>
        <v>1w</v>
      </c>
      <c r="X2200" s="180">
        <f>_xll.qlCalendarAdvance(LiborCalendar,X2199,W2200,"f",FALSE)</f>
        <v>54379</v>
      </c>
      <c r="Y2200" s="174">
        <f>_xll.qlInterestRateIndexValueDate(IborIndex,X2200)</f>
        <v>54381</v>
      </c>
      <c r="Z2200" s="175" t="e">
        <v>#N/A</v>
      </c>
      <c r="AA2200" s="177" t="e">
        <v>#N/A</v>
      </c>
    </row>
    <row r="2201" spans="23:27" x14ac:dyDescent="0.2">
      <c r="W2201" s="173" t="str">
        <f t="shared" si="45"/>
        <v>1w</v>
      </c>
      <c r="X2201" s="180">
        <f>_xll.qlCalendarAdvance(LiborCalendar,X2200,W2201,"f",FALSE)</f>
        <v>54386</v>
      </c>
      <c r="Y2201" s="174">
        <f>_xll.qlInterestRateIndexValueDate(IborIndex,X2201)</f>
        <v>54388</v>
      </c>
      <c r="Z2201" s="175" t="e">
        <v>#N/A</v>
      </c>
      <c r="AA2201" s="177" t="e">
        <v>#N/A</v>
      </c>
    </row>
    <row r="2202" spans="23:27" x14ac:dyDescent="0.2">
      <c r="W2202" s="173" t="str">
        <f t="shared" si="45"/>
        <v>1w</v>
      </c>
      <c r="X2202" s="180">
        <f>_xll.qlCalendarAdvance(LiborCalendar,X2201,W2202,"f",FALSE)</f>
        <v>54393</v>
      </c>
      <c r="Y2202" s="174">
        <f>_xll.qlInterestRateIndexValueDate(IborIndex,X2202)</f>
        <v>54395</v>
      </c>
      <c r="Z2202" s="175" t="e">
        <v>#N/A</v>
      </c>
      <c r="AA2202" s="177" t="e">
        <v>#N/A</v>
      </c>
    </row>
    <row r="2203" spans="23:27" x14ac:dyDescent="0.2">
      <c r="W2203" s="173" t="str">
        <f t="shared" si="45"/>
        <v>1w</v>
      </c>
      <c r="X2203" s="180">
        <f>_xll.qlCalendarAdvance(LiborCalendar,X2202,W2203,"f",FALSE)</f>
        <v>54400</v>
      </c>
      <c r="Y2203" s="174">
        <f>_xll.qlInterestRateIndexValueDate(IborIndex,X2203)</f>
        <v>54402</v>
      </c>
      <c r="Z2203" s="175" t="e">
        <v>#N/A</v>
      </c>
      <c r="AA2203" s="177" t="e">
        <v>#N/A</v>
      </c>
    </row>
    <row r="2204" spans="23:27" x14ac:dyDescent="0.2">
      <c r="W2204" s="173" t="str">
        <f t="shared" si="45"/>
        <v>1w</v>
      </c>
      <c r="X2204" s="180">
        <f>_xll.qlCalendarAdvance(LiborCalendar,X2203,W2204,"f",FALSE)</f>
        <v>54407</v>
      </c>
      <c r="Y2204" s="174">
        <f>_xll.qlInterestRateIndexValueDate(IborIndex,X2204)</f>
        <v>54409</v>
      </c>
      <c r="Z2204" s="175" t="e">
        <v>#N/A</v>
      </c>
      <c r="AA2204" s="177" t="e">
        <v>#N/A</v>
      </c>
    </row>
    <row r="2205" spans="23:27" x14ac:dyDescent="0.2">
      <c r="W2205" s="173" t="str">
        <f t="shared" si="45"/>
        <v>1w</v>
      </c>
      <c r="X2205" s="180">
        <f>_xll.qlCalendarAdvance(LiborCalendar,X2204,W2205,"f",FALSE)</f>
        <v>54414</v>
      </c>
      <c r="Y2205" s="174">
        <f>_xll.qlInterestRateIndexValueDate(IborIndex,X2205)</f>
        <v>54416</v>
      </c>
      <c r="Z2205" s="175" t="e">
        <v>#N/A</v>
      </c>
      <c r="AA2205" s="177" t="e">
        <v>#N/A</v>
      </c>
    </row>
    <row r="2206" spans="23:27" x14ac:dyDescent="0.2">
      <c r="W2206" s="173" t="str">
        <f t="shared" si="45"/>
        <v>1w</v>
      </c>
      <c r="X2206" s="180">
        <f>_xll.qlCalendarAdvance(LiborCalendar,X2205,W2206,"f",FALSE)</f>
        <v>54421</v>
      </c>
      <c r="Y2206" s="174">
        <f>_xll.qlInterestRateIndexValueDate(IborIndex,X2206)</f>
        <v>54427</v>
      </c>
      <c r="Z2206" s="175" t="e">
        <v>#N/A</v>
      </c>
      <c r="AA2206" s="177" t="e">
        <v>#N/A</v>
      </c>
    </row>
    <row r="2207" spans="23:27" x14ac:dyDescent="0.2">
      <c r="W2207" s="173" t="str">
        <f t="shared" si="45"/>
        <v>1w</v>
      </c>
      <c r="X2207" s="180">
        <f>_xll.qlCalendarAdvance(LiborCalendar,X2206,W2207,"f",FALSE)</f>
        <v>54428</v>
      </c>
      <c r="Y2207" s="174">
        <f>_xll.qlInterestRateIndexValueDate(IborIndex,X2207)</f>
        <v>54430</v>
      </c>
      <c r="Z2207" s="175" t="e">
        <v>#N/A</v>
      </c>
      <c r="AA2207" s="177" t="e">
        <v>#N/A</v>
      </c>
    </row>
    <row r="2208" spans="23:27" x14ac:dyDescent="0.2">
      <c r="W2208" s="173" t="str">
        <f t="shared" si="45"/>
        <v>1w</v>
      </c>
      <c r="X2208" s="180">
        <f>_xll.qlCalendarAdvance(LiborCalendar,X2207,W2208,"f",FALSE)</f>
        <v>54435</v>
      </c>
      <c r="Y2208" s="174">
        <f>_xll.qlInterestRateIndexValueDate(IborIndex,X2208)</f>
        <v>54437</v>
      </c>
      <c r="Z2208" s="175" t="e">
        <v>#N/A</v>
      </c>
      <c r="AA2208" s="177" t="e">
        <v>#N/A</v>
      </c>
    </row>
    <row r="2209" spans="23:27" x14ac:dyDescent="0.2">
      <c r="W2209" s="173" t="str">
        <f t="shared" si="45"/>
        <v>1w</v>
      </c>
      <c r="X2209" s="180">
        <f>_xll.qlCalendarAdvance(LiborCalendar,X2208,W2209,"f",FALSE)</f>
        <v>54442</v>
      </c>
      <c r="Y2209" s="174">
        <f>_xll.qlInterestRateIndexValueDate(IborIndex,X2209)</f>
        <v>54444</v>
      </c>
      <c r="Z2209" s="175" t="e">
        <v>#N/A</v>
      </c>
      <c r="AA2209" s="177" t="e">
        <v>#N/A</v>
      </c>
    </row>
    <row r="2210" spans="23:27" x14ac:dyDescent="0.2">
      <c r="W2210" s="173" t="str">
        <f t="shared" si="45"/>
        <v>1w</v>
      </c>
      <c r="X2210" s="180">
        <f>_xll.qlCalendarAdvance(LiborCalendar,X2209,W2210,"f",FALSE)</f>
        <v>54449</v>
      </c>
      <c r="Y2210" s="174">
        <f>_xll.qlInterestRateIndexValueDate(IborIndex,X2210)</f>
        <v>54451</v>
      </c>
      <c r="Z2210" s="175" t="e">
        <v>#N/A</v>
      </c>
      <c r="AA2210" s="177" t="e">
        <v>#N/A</v>
      </c>
    </row>
    <row r="2211" spans="23:27" x14ac:dyDescent="0.2">
      <c r="W2211" s="173" t="str">
        <f t="shared" si="45"/>
        <v>1w</v>
      </c>
      <c r="X2211" s="180">
        <f>_xll.qlCalendarAdvance(LiborCalendar,X2210,W2211,"f",FALSE)</f>
        <v>54456</v>
      </c>
      <c r="Y2211" s="174">
        <f>_xll.qlInterestRateIndexValueDate(IborIndex,X2211)</f>
        <v>54458</v>
      </c>
      <c r="Z2211" s="175" t="e">
        <v>#N/A</v>
      </c>
      <c r="AA2211" s="177" t="e">
        <v>#N/A</v>
      </c>
    </row>
    <row r="2212" spans="23:27" x14ac:dyDescent="0.2">
      <c r="W2212" s="173" t="str">
        <f t="shared" si="45"/>
        <v>1w</v>
      </c>
      <c r="X2212" s="180">
        <f>_xll.qlCalendarAdvance(LiborCalendar,X2211,W2212,"f",FALSE)</f>
        <v>54463</v>
      </c>
      <c r="Y2212" s="174">
        <f>_xll.qlInterestRateIndexValueDate(IborIndex,X2212)</f>
        <v>54466</v>
      </c>
      <c r="Z2212" s="175" t="e">
        <v>#N/A</v>
      </c>
      <c r="AA2212" s="177" t="e">
        <v>#N/A</v>
      </c>
    </row>
    <row r="2213" spans="23:27" x14ac:dyDescent="0.2">
      <c r="W2213" s="173" t="str">
        <f t="shared" si="45"/>
        <v>1w</v>
      </c>
      <c r="X2213" s="180">
        <f>_xll.qlCalendarAdvance(LiborCalendar,X2212,W2213,"f",FALSE)</f>
        <v>54470</v>
      </c>
      <c r="Y2213" s="174">
        <f>_xll.qlInterestRateIndexValueDate(IborIndex,X2213)</f>
        <v>54472</v>
      </c>
      <c r="Z2213" s="175" t="e">
        <v>#N/A</v>
      </c>
      <c r="AA2213" s="177" t="e">
        <v>#N/A</v>
      </c>
    </row>
    <row r="2214" spans="23:27" x14ac:dyDescent="0.2">
      <c r="W2214" s="173" t="str">
        <f t="shared" si="45"/>
        <v>1w</v>
      </c>
      <c r="X2214" s="180">
        <f>_xll.qlCalendarAdvance(LiborCalendar,X2213,W2214,"f",FALSE)</f>
        <v>54477</v>
      </c>
      <c r="Y2214" s="174">
        <f>_xll.qlInterestRateIndexValueDate(IborIndex,X2214)</f>
        <v>54479</v>
      </c>
      <c r="Z2214" s="175" t="e">
        <v>#N/A</v>
      </c>
      <c r="AA2214" s="177" t="e">
        <v>#N/A</v>
      </c>
    </row>
    <row r="2215" spans="23:27" x14ac:dyDescent="0.2">
      <c r="W2215" s="173" t="str">
        <f t="shared" si="45"/>
        <v>1w</v>
      </c>
      <c r="X2215" s="180">
        <f>_xll.qlCalendarAdvance(LiborCalendar,X2214,W2215,"f",FALSE)</f>
        <v>54484</v>
      </c>
      <c r="Y2215" s="174">
        <f>_xll.qlInterestRateIndexValueDate(IborIndex,X2215)</f>
        <v>54486</v>
      </c>
      <c r="Z2215" s="175" t="e">
        <v>#N/A</v>
      </c>
      <c r="AA2215" s="177" t="e">
        <v>#N/A</v>
      </c>
    </row>
    <row r="2216" spans="23:27" x14ac:dyDescent="0.2">
      <c r="W2216" s="173" t="str">
        <f t="shared" si="45"/>
        <v>1w</v>
      </c>
      <c r="X2216" s="180">
        <f>_xll.qlCalendarAdvance(LiborCalendar,X2215,W2216,"f",FALSE)</f>
        <v>54491</v>
      </c>
      <c r="Y2216" s="174">
        <f>_xll.qlInterestRateIndexValueDate(IborIndex,X2216)</f>
        <v>54493</v>
      </c>
      <c r="Z2216" s="175" t="e">
        <v>#N/A</v>
      </c>
      <c r="AA2216" s="177" t="e">
        <v>#N/A</v>
      </c>
    </row>
    <row r="2217" spans="23:27" x14ac:dyDescent="0.2">
      <c r="W2217" s="173" t="str">
        <f t="shared" si="45"/>
        <v>1w</v>
      </c>
      <c r="X2217" s="180">
        <f>_xll.qlCalendarAdvance(LiborCalendar,X2216,W2217,"f",FALSE)</f>
        <v>54498</v>
      </c>
      <c r="Y2217" s="174">
        <f>_xll.qlInterestRateIndexValueDate(IborIndex,X2217)</f>
        <v>54500</v>
      </c>
      <c r="Z2217" s="175" t="e">
        <v>#N/A</v>
      </c>
      <c r="AA2217" s="177" t="e">
        <v>#N/A</v>
      </c>
    </row>
    <row r="2218" spans="23:27" x14ac:dyDescent="0.2">
      <c r="W2218" s="173" t="str">
        <f t="shared" si="45"/>
        <v>1w</v>
      </c>
      <c r="X2218" s="180">
        <f>_xll.qlCalendarAdvance(LiborCalendar,X2217,W2218,"f",FALSE)</f>
        <v>54505</v>
      </c>
      <c r="Y2218" s="174">
        <f>_xll.qlInterestRateIndexValueDate(IborIndex,X2218)</f>
        <v>54507</v>
      </c>
      <c r="Z2218" s="175" t="e">
        <v>#N/A</v>
      </c>
      <c r="AA2218" s="177" t="e">
        <v>#N/A</v>
      </c>
    </row>
    <row r="2219" spans="23:27" x14ac:dyDescent="0.2">
      <c r="W2219" s="173" t="str">
        <f t="shared" si="45"/>
        <v>1w</v>
      </c>
      <c r="X2219" s="180">
        <f>_xll.qlCalendarAdvance(LiborCalendar,X2218,W2219,"f",FALSE)</f>
        <v>54512</v>
      </c>
      <c r="Y2219" s="174">
        <f>_xll.qlInterestRateIndexValueDate(IborIndex,X2219)</f>
        <v>54514</v>
      </c>
      <c r="Z2219" s="175" t="e">
        <v>#N/A</v>
      </c>
      <c r="AA2219" s="177" t="e">
        <v>#N/A</v>
      </c>
    </row>
    <row r="2220" spans="23:27" x14ac:dyDescent="0.2">
      <c r="W2220" s="173" t="str">
        <f t="shared" si="45"/>
        <v>1w</v>
      </c>
      <c r="X2220" s="180">
        <f>_xll.qlCalendarAdvance(LiborCalendar,X2219,W2220,"f",FALSE)</f>
        <v>54519</v>
      </c>
      <c r="Y2220" s="174">
        <f>_xll.qlInterestRateIndexValueDate(IborIndex,X2220)</f>
        <v>54521</v>
      </c>
      <c r="Z2220" s="175" t="e">
        <v>#N/A</v>
      </c>
      <c r="AA2220" s="177" t="e">
        <v>#N/A</v>
      </c>
    </row>
    <row r="2221" spans="23:27" x14ac:dyDescent="0.2">
      <c r="W2221" s="173" t="str">
        <f t="shared" si="45"/>
        <v>1w</v>
      </c>
      <c r="X2221" s="180">
        <f>_xll.qlCalendarAdvance(LiborCalendar,X2220,W2221,"f",FALSE)</f>
        <v>54526</v>
      </c>
      <c r="Y2221" s="174">
        <f>_xll.qlInterestRateIndexValueDate(IborIndex,X2221)</f>
        <v>54528</v>
      </c>
      <c r="Z2221" s="175" t="e">
        <v>#N/A</v>
      </c>
      <c r="AA2221" s="177" t="e">
        <v>#N/A</v>
      </c>
    </row>
    <row r="2222" spans="23:27" x14ac:dyDescent="0.2">
      <c r="W2222" s="173" t="str">
        <f t="shared" si="45"/>
        <v>1w</v>
      </c>
      <c r="X2222" s="180">
        <f>_xll.qlCalendarAdvance(LiborCalendar,X2221,W2222,"f",FALSE)</f>
        <v>54533</v>
      </c>
      <c r="Y2222" s="174">
        <f>_xll.qlInterestRateIndexValueDate(IborIndex,X2222)</f>
        <v>54535</v>
      </c>
      <c r="Z2222" s="175" t="e">
        <v>#N/A</v>
      </c>
      <c r="AA2222" s="177" t="e">
        <v>#N/A</v>
      </c>
    </row>
    <row r="2223" spans="23:27" x14ac:dyDescent="0.2">
      <c r="W2223" s="173" t="str">
        <f t="shared" si="45"/>
        <v>1w</v>
      </c>
      <c r="X2223" s="180">
        <f>_xll.qlCalendarAdvance(LiborCalendar,X2222,W2223,"f",FALSE)</f>
        <v>54540</v>
      </c>
      <c r="Y2223" s="174">
        <f>_xll.qlInterestRateIndexValueDate(IborIndex,X2223)</f>
        <v>54543</v>
      </c>
      <c r="Z2223" s="175" t="e">
        <v>#N/A</v>
      </c>
      <c r="AA2223" s="177" t="e">
        <v>#N/A</v>
      </c>
    </row>
    <row r="2224" spans="23:27" x14ac:dyDescent="0.2">
      <c r="W2224" s="173" t="str">
        <f t="shared" si="45"/>
        <v>1w</v>
      </c>
      <c r="X2224" s="180">
        <f>_xll.qlCalendarAdvance(LiborCalendar,X2223,W2224,"f",FALSE)</f>
        <v>54547</v>
      </c>
      <c r="Y2224" s="174">
        <f>_xll.qlInterestRateIndexValueDate(IborIndex,X2224)</f>
        <v>54549</v>
      </c>
      <c r="Z2224" s="175" t="e">
        <v>#N/A</v>
      </c>
      <c r="AA2224" s="177" t="e">
        <v>#N/A</v>
      </c>
    </row>
    <row r="2225" spans="23:27" x14ac:dyDescent="0.2">
      <c r="W2225" s="173" t="str">
        <f t="shared" si="45"/>
        <v>1w</v>
      </c>
      <c r="X2225" s="180">
        <f>_xll.qlCalendarAdvance(LiborCalendar,X2224,W2225,"f",FALSE)</f>
        <v>54554</v>
      </c>
      <c r="Y2225" s="174">
        <f>_xll.qlInterestRateIndexValueDate(IborIndex,X2225)</f>
        <v>54556</v>
      </c>
      <c r="Z2225" s="175" t="e">
        <v>#N/A</v>
      </c>
      <c r="AA2225" s="177" t="e">
        <v>#N/A</v>
      </c>
    </row>
    <row r="2226" spans="23:27" x14ac:dyDescent="0.2">
      <c r="W2226" s="173" t="str">
        <f t="shared" si="45"/>
        <v>1w</v>
      </c>
      <c r="X2226" s="180">
        <f>_xll.qlCalendarAdvance(LiborCalendar,X2225,W2226,"f",FALSE)</f>
        <v>54561</v>
      </c>
      <c r="Y2226" s="174">
        <f>_xll.qlInterestRateIndexValueDate(IborIndex,X2226)</f>
        <v>54563</v>
      </c>
      <c r="Z2226" s="175" t="e">
        <v>#N/A</v>
      </c>
      <c r="AA2226" s="177" t="e">
        <v>#N/A</v>
      </c>
    </row>
    <row r="2227" spans="23:27" x14ac:dyDescent="0.2">
      <c r="W2227" s="173" t="str">
        <f t="shared" si="45"/>
        <v>1w</v>
      </c>
      <c r="X2227" s="180">
        <f>_xll.qlCalendarAdvance(LiborCalendar,X2226,W2227,"f",FALSE)</f>
        <v>54568</v>
      </c>
      <c r="Y2227" s="174">
        <f>_xll.qlInterestRateIndexValueDate(IborIndex,X2227)</f>
        <v>54570</v>
      </c>
      <c r="Z2227" s="175" t="e">
        <v>#N/A</v>
      </c>
      <c r="AA2227" s="177" t="e">
        <v>#N/A</v>
      </c>
    </row>
    <row r="2228" spans="23:27" x14ac:dyDescent="0.2">
      <c r="W2228" s="173" t="str">
        <f t="shared" si="45"/>
        <v>1w</v>
      </c>
      <c r="X2228" s="180">
        <f>_xll.qlCalendarAdvance(LiborCalendar,X2227,W2228,"f",FALSE)</f>
        <v>54575</v>
      </c>
      <c r="Y2228" s="174">
        <f>_xll.qlInterestRateIndexValueDate(IborIndex,X2228)</f>
        <v>54577</v>
      </c>
      <c r="Z2228" s="175" t="e">
        <v>#N/A</v>
      </c>
      <c r="AA2228" s="177" t="e">
        <v>#N/A</v>
      </c>
    </row>
    <row r="2229" spans="23:27" x14ac:dyDescent="0.2">
      <c r="W2229" s="173" t="str">
        <f t="shared" si="45"/>
        <v>1w</v>
      </c>
      <c r="X2229" s="180">
        <f>_xll.qlCalendarAdvance(LiborCalendar,X2228,W2229,"f",FALSE)</f>
        <v>54582</v>
      </c>
      <c r="Y2229" s="174">
        <f>_xll.qlInterestRateIndexValueDate(IborIndex,X2229)</f>
        <v>54584</v>
      </c>
      <c r="Z2229" s="175" t="e">
        <v>#N/A</v>
      </c>
      <c r="AA2229" s="177" t="e">
        <v>#N/A</v>
      </c>
    </row>
    <row r="2230" spans="23:27" x14ac:dyDescent="0.2">
      <c r="W2230" s="173" t="str">
        <f t="shared" si="45"/>
        <v>1w</v>
      </c>
      <c r="X2230" s="180">
        <f>_xll.qlCalendarAdvance(LiborCalendar,X2229,W2230,"f",FALSE)</f>
        <v>54589</v>
      </c>
      <c r="Y2230" s="174">
        <f>_xll.qlInterestRateIndexValueDate(IborIndex,X2230)</f>
        <v>54591</v>
      </c>
      <c r="Z2230" s="175" t="e">
        <v>#N/A</v>
      </c>
      <c r="AA2230" s="177" t="e">
        <v>#N/A</v>
      </c>
    </row>
    <row r="2231" spans="23:27" x14ac:dyDescent="0.2">
      <c r="W2231" s="173" t="str">
        <f t="shared" si="45"/>
        <v>1w</v>
      </c>
      <c r="X2231" s="180">
        <f>_xll.qlCalendarAdvance(LiborCalendar,X2230,W2231,"f",FALSE)</f>
        <v>54596</v>
      </c>
      <c r="Y2231" s="174">
        <f>_xll.qlInterestRateIndexValueDate(IborIndex,X2231)</f>
        <v>54598</v>
      </c>
      <c r="Z2231" s="175" t="e">
        <v>#N/A</v>
      </c>
      <c r="AA2231" s="177" t="e">
        <v>#N/A</v>
      </c>
    </row>
    <row r="2232" spans="23:27" x14ac:dyDescent="0.2">
      <c r="W2232" s="173" t="str">
        <f t="shared" si="45"/>
        <v>1w</v>
      </c>
      <c r="X2232" s="180">
        <f>_xll.qlCalendarAdvance(LiborCalendar,X2231,W2232,"f",FALSE)</f>
        <v>54603</v>
      </c>
      <c r="Y2232" s="174">
        <f>_xll.qlInterestRateIndexValueDate(IborIndex,X2232)</f>
        <v>54605</v>
      </c>
      <c r="Z2232" s="175" t="e">
        <v>#N/A</v>
      </c>
      <c r="AA2232" s="177" t="e">
        <v>#N/A</v>
      </c>
    </row>
    <row r="2233" spans="23:27" x14ac:dyDescent="0.2">
      <c r="W2233" s="173" t="str">
        <f t="shared" si="45"/>
        <v>1w</v>
      </c>
      <c r="X2233" s="180">
        <f>_xll.qlCalendarAdvance(LiborCalendar,X2232,W2233,"f",FALSE)</f>
        <v>54610</v>
      </c>
      <c r="Y2233" s="174">
        <f>_xll.qlInterestRateIndexValueDate(IborIndex,X2233)</f>
        <v>54612</v>
      </c>
      <c r="Z2233" s="175" t="e">
        <v>#N/A</v>
      </c>
      <c r="AA2233" s="177" t="e">
        <v>#N/A</v>
      </c>
    </row>
    <row r="2234" spans="23:27" x14ac:dyDescent="0.2">
      <c r="W2234" s="173" t="str">
        <f t="shared" si="45"/>
        <v>1w</v>
      </c>
      <c r="X2234" s="180">
        <f>_xll.qlCalendarAdvance(LiborCalendar,X2233,W2234,"f",FALSE)</f>
        <v>54617</v>
      </c>
      <c r="Y2234" s="174">
        <f>_xll.qlInterestRateIndexValueDate(IborIndex,X2234)</f>
        <v>54619</v>
      </c>
      <c r="Z2234" s="175" t="e">
        <v>#N/A</v>
      </c>
      <c r="AA2234" s="177" t="e">
        <v>#N/A</v>
      </c>
    </row>
    <row r="2235" spans="23:27" x14ac:dyDescent="0.2">
      <c r="W2235" s="173" t="str">
        <f t="shared" si="45"/>
        <v>1w</v>
      </c>
      <c r="X2235" s="180">
        <f>_xll.qlCalendarAdvance(LiborCalendar,X2234,W2235,"f",FALSE)</f>
        <v>54624</v>
      </c>
      <c r="Y2235" s="174">
        <f>_xll.qlInterestRateIndexValueDate(IborIndex,X2235)</f>
        <v>54626</v>
      </c>
      <c r="Z2235" s="175" t="e">
        <v>#N/A</v>
      </c>
      <c r="AA2235" s="177" t="e">
        <v>#N/A</v>
      </c>
    </row>
    <row r="2236" spans="23:27" x14ac:dyDescent="0.2">
      <c r="W2236" s="173" t="str">
        <f t="shared" si="45"/>
        <v>1w</v>
      </c>
      <c r="X2236" s="180">
        <f>_xll.qlCalendarAdvance(LiborCalendar,X2235,W2236,"f",FALSE)</f>
        <v>54631</v>
      </c>
      <c r="Y2236" s="174">
        <f>_xll.qlInterestRateIndexValueDate(IborIndex,X2236)</f>
        <v>54633</v>
      </c>
      <c r="Z2236" s="175" t="e">
        <v>#N/A</v>
      </c>
      <c r="AA2236" s="177" t="e">
        <v>#N/A</v>
      </c>
    </row>
    <row r="2237" spans="23:27" x14ac:dyDescent="0.2">
      <c r="W2237" s="173" t="str">
        <f t="shared" si="45"/>
        <v>1w</v>
      </c>
      <c r="X2237" s="180">
        <f>_xll.qlCalendarAdvance(LiborCalendar,X2236,W2237,"f",FALSE)</f>
        <v>54638</v>
      </c>
      <c r="Y2237" s="174">
        <f>_xll.qlInterestRateIndexValueDate(IborIndex,X2237)</f>
        <v>54640</v>
      </c>
      <c r="Z2237" s="175" t="e">
        <v>#N/A</v>
      </c>
      <c r="AA2237" s="177" t="e">
        <v>#N/A</v>
      </c>
    </row>
    <row r="2238" spans="23:27" x14ac:dyDescent="0.2">
      <c r="W2238" s="173" t="str">
        <f t="shared" si="45"/>
        <v>1w</v>
      </c>
      <c r="X2238" s="180">
        <f>_xll.qlCalendarAdvance(LiborCalendar,X2237,W2238,"f",FALSE)</f>
        <v>54645</v>
      </c>
      <c r="Y2238" s="174">
        <f>_xll.qlInterestRateIndexValueDate(IborIndex,X2238)</f>
        <v>54647</v>
      </c>
      <c r="Z2238" s="175" t="e">
        <v>#N/A</v>
      </c>
      <c r="AA2238" s="177" t="e">
        <v>#N/A</v>
      </c>
    </row>
    <row r="2239" spans="23:27" x14ac:dyDescent="0.2">
      <c r="W2239" s="173" t="str">
        <f t="shared" si="45"/>
        <v>1w</v>
      </c>
      <c r="X2239" s="180">
        <f>_xll.qlCalendarAdvance(LiborCalendar,X2238,W2239,"f",FALSE)</f>
        <v>54652</v>
      </c>
      <c r="Y2239" s="174">
        <f>_xll.qlInterestRateIndexValueDate(IborIndex,X2239)</f>
        <v>54654</v>
      </c>
      <c r="Z2239" s="175" t="e">
        <v>#N/A</v>
      </c>
      <c r="AA2239" s="177" t="e">
        <v>#N/A</v>
      </c>
    </row>
    <row r="2240" spans="23:27" x14ac:dyDescent="0.2">
      <c r="W2240" s="173" t="str">
        <f t="shared" si="45"/>
        <v>1w</v>
      </c>
      <c r="X2240" s="180">
        <f>_xll.qlCalendarAdvance(LiborCalendar,X2239,W2240,"f",FALSE)</f>
        <v>54659</v>
      </c>
      <c r="Y2240" s="174">
        <f>_xll.qlInterestRateIndexValueDate(IborIndex,X2240)</f>
        <v>54661</v>
      </c>
      <c r="Z2240" s="175" t="e">
        <v>#N/A</v>
      </c>
      <c r="AA2240" s="177" t="e">
        <v>#N/A</v>
      </c>
    </row>
    <row r="2241" spans="23:27" x14ac:dyDescent="0.2">
      <c r="W2241" s="173" t="str">
        <f t="shared" si="45"/>
        <v>1w</v>
      </c>
      <c r="X2241" s="180">
        <f>_xll.qlCalendarAdvance(LiborCalendar,X2240,W2241,"f",FALSE)</f>
        <v>54666</v>
      </c>
      <c r="Y2241" s="174">
        <f>_xll.qlInterestRateIndexValueDate(IborIndex,X2241)</f>
        <v>54668</v>
      </c>
      <c r="Z2241" s="175" t="e">
        <v>#N/A</v>
      </c>
      <c r="AA2241" s="177" t="e">
        <v>#N/A</v>
      </c>
    </row>
    <row r="2242" spans="23:27" x14ac:dyDescent="0.2">
      <c r="W2242" s="173" t="str">
        <f t="shared" si="45"/>
        <v>1w</v>
      </c>
      <c r="X2242" s="180">
        <f>_xll.qlCalendarAdvance(LiborCalendar,X2241,W2242,"f",FALSE)</f>
        <v>54673</v>
      </c>
      <c r="Y2242" s="174">
        <f>_xll.qlInterestRateIndexValueDate(IborIndex,X2242)</f>
        <v>54675</v>
      </c>
      <c r="Z2242" s="175" t="e">
        <v>#N/A</v>
      </c>
      <c r="AA2242" s="177" t="e">
        <v>#N/A</v>
      </c>
    </row>
    <row r="2243" spans="23:27" x14ac:dyDescent="0.2">
      <c r="W2243" s="173" t="str">
        <f t="shared" si="45"/>
        <v>1w</v>
      </c>
      <c r="X2243" s="180">
        <f>_xll.qlCalendarAdvance(LiborCalendar,X2242,W2243,"f",FALSE)</f>
        <v>54680</v>
      </c>
      <c r="Y2243" s="174">
        <f>_xll.qlInterestRateIndexValueDate(IborIndex,X2243)</f>
        <v>54682</v>
      </c>
      <c r="Z2243" s="175" t="e">
        <v>#N/A</v>
      </c>
      <c r="AA2243" s="177" t="e">
        <v>#N/A</v>
      </c>
    </row>
    <row r="2244" spans="23:27" x14ac:dyDescent="0.2">
      <c r="W2244" s="173" t="str">
        <f t="shared" si="45"/>
        <v>1w</v>
      </c>
      <c r="X2244" s="180">
        <f>_xll.qlCalendarAdvance(LiborCalendar,X2243,W2244,"f",FALSE)</f>
        <v>54687</v>
      </c>
      <c r="Y2244" s="174">
        <f>_xll.qlInterestRateIndexValueDate(IborIndex,X2244)</f>
        <v>54689</v>
      </c>
      <c r="Z2244" s="175" t="e">
        <v>#N/A</v>
      </c>
      <c r="AA2244" s="177" t="e">
        <v>#N/A</v>
      </c>
    </row>
    <row r="2245" spans="23:27" x14ac:dyDescent="0.2">
      <c r="W2245" s="173" t="str">
        <f t="shared" si="45"/>
        <v>1w</v>
      </c>
      <c r="X2245" s="180">
        <f>_xll.qlCalendarAdvance(LiborCalendar,X2244,W2245,"f",FALSE)</f>
        <v>54694</v>
      </c>
      <c r="Y2245" s="174">
        <f>_xll.qlInterestRateIndexValueDate(IborIndex,X2245)</f>
        <v>54696</v>
      </c>
      <c r="Z2245" s="175" t="e">
        <v>#N/A</v>
      </c>
      <c r="AA2245" s="177" t="e">
        <v>#N/A</v>
      </c>
    </row>
    <row r="2246" spans="23:27" x14ac:dyDescent="0.2">
      <c r="W2246" s="173" t="str">
        <f t="shared" si="45"/>
        <v>1w</v>
      </c>
      <c r="X2246" s="180">
        <f>_xll.qlCalendarAdvance(LiborCalendar,X2245,W2246,"f",FALSE)</f>
        <v>54701</v>
      </c>
      <c r="Y2246" s="174">
        <f>_xll.qlInterestRateIndexValueDate(IborIndex,X2246)</f>
        <v>54703</v>
      </c>
      <c r="Z2246" s="175" t="e">
        <v>#N/A</v>
      </c>
      <c r="AA2246" s="177" t="e">
        <v>#N/A</v>
      </c>
    </row>
    <row r="2247" spans="23:27" x14ac:dyDescent="0.2">
      <c r="W2247" s="173" t="str">
        <f t="shared" si="45"/>
        <v>1w</v>
      </c>
      <c r="X2247" s="180">
        <f>_xll.qlCalendarAdvance(LiborCalendar,X2246,W2247,"f",FALSE)</f>
        <v>54708</v>
      </c>
      <c r="Y2247" s="174">
        <f>_xll.qlInterestRateIndexValueDate(IborIndex,X2247)</f>
        <v>54710</v>
      </c>
      <c r="Z2247" s="175" t="e">
        <v>#N/A</v>
      </c>
      <c r="AA2247" s="177" t="e">
        <v>#N/A</v>
      </c>
    </row>
    <row r="2248" spans="23:27" x14ac:dyDescent="0.2">
      <c r="W2248" s="173" t="str">
        <f t="shared" si="45"/>
        <v>1w</v>
      </c>
      <c r="X2248" s="180">
        <f>_xll.qlCalendarAdvance(LiborCalendar,X2247,W2248,"f",FALSE)</f>
        <v>54715</v>
      </c>
      <c r="Y2248" s="174">
        <f>_xll.qlInterestRateIndexValueDate(IborIndex,X2248)</f>
        <v>54717</v>
      </c>
      <c r="Z2248" s="175" t="e">
        <v>#N/A</v>
      </c>
      <c r="AA2248" s="177" t="e">
        <v>#N/A</v>
      </c>
    </row>
    <row r="2249" spans="23:27" x14ac:dyDescent="0.2">
      <c r="W2249" s="173" t="str">
        <f t="shared" si="45"/>
        <v>1w</v>
      </c>
      <c r="X2249" s="180">
        <f>_xll.qlCalendarAdvance(LiborCalendar,X2248,W2249,"f",FALSE)</f>
        <v>54722</v>
      </c>
      <c r="Y2249" s="174">
        <f>_xll.qlInterestRateIndexValueDate(IborIndex,X2249)</f>
        <v>54724</v>
      </c>
      <c r="Z2249" s="175" t="e">
        <v>#N/A</v>
      </c>
      <c r="AA2249" s="177" t="e">
        <v>#N/A</v>
      </c>
    </row>
    <row r="2250" spans="23:27" x14ac:dyDescent="0.2">
      <c r="W2250" s="173" t="str">
        <f t="shared" si="45"/>
        <v>1w</v>
      </c>
      <c r="X2250" s="180">
        <f>_xll.qlCalendarAdvance(LiborCalendar,X2249,W2250,"f",FALSE)</f>
        <v>54729</v>
      </c>
      <c r="Y2250" s="174">
        <f>_xll.qlInterestRateIndexValueDate(IborIndex,X2250)</f>
        <v>54731</v>
      </c>
      <c r="Z2250" s="175" t="e">
        <v>#N/A</v>
      </c>
      <c r="AA2250" s="177" t="e">
        <v>#N/A</v>
      </c>
    </row>
    <row r="2251" spans="23:27" x14ac:dyDescent="0.2">
      <c r="W2251" s="173" t="str">
        <f t="shared" si="45"/>
        <v>1w</v>
      </c>
      <c r="X2251" s="180">
        <f>_xll.qlCalendarAdvance(LiborCalendar,X2250,W2251,"f",FALSE)</f>
        <v>54736</v>
      </c>
      <c r="Y2251" s="174">
        <f>_xll.qlInterestRateIndexValueDate(IborIndex,X2251)</f>
        <v>54738</v>
      </c>
      <c r="Z2251" s="175" t="e">
        <v>#N/A</v>
      </c>
      <c r="AA2251" s="177" t="e">
        <v>#N/A</v>
      </c>
    </row>
    <row r="2252" spans="23:27" x14ac:dyDescent="0.2">
      <c r="W2252" s="173" t="str">
        <f t="shared" si="45"/>
        <v>1w</v>
      </c>
      <c r="X2252" s="180">
        <f>_xll.qlCalendarAdvance(LiborCalendar,X2251,W2252,"f",FALSE)</f>
        <v>54743</v>
      </c>
      <c r="Y2252" s="174">
        <f>_xll.qlInterestRateIndexValueDate(IborIndex,X2252)</f>
        <v>54745</v>
      </c>
      <c r="Z2252" s="175" t="e">
        <v>#N/A</v>
      </c>
      <c r="AA2252" s="177" t="e">
        <v>#N/A</v>
      </c>
    </row>
    <row r="2253" spans="23:27" x14ac:dyDescent="0.2">
      <c r="W2253" s="173" t="str">
        <f t="shared" si="45"/>
        <v>1w</v>
      </c>
      <c r="X2253" s="180">
        <f>_xll.qlCalendarAdvance(LiborCalendar,X2252,W2253,"f",FALSE)</f>
        <v>54750</v>
      </c>
      <c r="Y2253" s="174">
        <f>_xll.qlInterestRateIndexValueDate(IborIndex,X2253)</f>
        <v>54752</v>
      </c>
      <c r="Z2253" s="175" t="e">
        <v>#N/A</v>
      </c>
      <c r="AA2253" s="177" t="e">
        <v>#N/A</v>
      </c>
    </row>
    <row r="2254" spans="23:27" x14ac:dyDescent="0.2">
      <c r="W2254" s="173" t="str">
        <f t="shared" si="45"/>
        <v>1w</v>
      </c>
      <c r="X2254" s="180">
        <f>_xll.qlCalendarAdvance(LiborCalendar,X2253,W2254,"f",FALSE)</f>
        <v>54757</v>
      </c>
      <c r="Y2254" s="174">
        <f>_xll.qlInterestRateIndexValueDate(IborIndex,X2254)</f>
        <v>54759</v>
      </c>
      <c r="Z2254" s="175" t="e">
        <v>#N/A</v>
      </c>
      <c r="AA2254" s="177" t="e">
        <v>#N/A</v>
      </c>
    </row>
    <row r="2255" spans="23:27" x14ac:dyDescent="0.2">
      <c r="W2255" s="173" t="str">
        <f t="shared" si="45"/>
        <v>1w</v>
      </c>
      <c r="X2255" s="180">
        <f>_xll.qlCalendarAdvance(LiborCalendar,X2254,W2255,"f",FALSE)</f>
        <v>54764</v>
      </c>
      <c r="Y2255" s="174">
        <f>_xll.qlInterestRateIndexValueDate(IborIndex,X2255)</f>
        <v>54766</v>
      </c>
      <c r="Z2255" s="175" t="e">
        <v>#N/A</v>
      </c>
      <c r="AA2255" s="177" t="e">
        <v>#N/A</v>
      </c>
    </row>
    <row r="2256" spans="23:27" x14ac:dyDescent="0.2">
      <c r="W2256" s="173" t="str">
        <f t="shared" si="45"/>
        <v>1w</v>
      </c>
      <c r="X2256" s="180">
        <f>_xll.qlCalendarAdvance(LiborCalendar,X2255,W2256,"f",FALSE)</f>
        <v>54771</v>
      </c>
      <c r="Y2256" s="174">
        <f>_xll.qlInterestRateIndexValueDate(IborIndex,X2256)</f>
        <v>54773</v>
      </c>
      <c r="Z2256" s="175" t="e">
        <v>#N/A</v>
      </c>
      <c r="AA2256" s="177" t="e">
        <v>#N/A</v>
      </c>
    </row>
    <row r="2257" spans="23:27" x14ac:dyDescent="0.2">
      <c r="W2257" s="173" t="str">
        <f t="shared" si="45"/>
        <v>1w</v>
      </c>
      <c r="X2257" s="180">
        <f>_xll.qlCalendarAdvance(LiborCalendar,X2256,W2257,"f",FALSE)</f>
        <v>54778</v>
      </c>
      <c r="Y2257" s="174">
        <f>_xll.qlInterestRateIndexValueDate(IborIndex,X2257)</f>
        <v>54781</v>
      </c>
      <c r="Z2257" s="175" t="e">
        <v>#N/A</v>
      </c>
      <c r="AA2257" s="177" t="e">
        <v>#N/A</v>
      </c>
    </row>
    <row r="2258" spans="23:27" x14ac:dyDescent="0.2">
      <c r="W2258" s="173" t="str">
        <f t="shared" si="45"/>
        <v>1w</v>
      </c>
      <c r="X2258" s="180">
        <f>_xll.qlCalendarAdvance(LiborCalendar,X2257,W2258,"f",FALSE)</f>
        <v>54786</v>
      </c>
      <c r="Y2258" s="174">
        <f>_xll.qlInterestRateIndexValueDate(IborIndex,X2258)</f>
        <v>54792</v>
      </c>
      <c r="Z2258" s="175" t="e">
        <v>#N/A</v>
      </c>
      <c r="AA2258" s="177" t="e">
        <v>#N/A</v>
      </c>
    </row>
    <row r="2259" spans="23:27" x14ac:dyDescent="0.2">
      <c r="W2259" s="173" t="str">
        <f t="shared" si="45"/>
        <v>1w</v>
      </c>
      <c r="X2259" s="180">
        <f>_xll.qlCalendarAdvance(LiborCalendar,X2258,W2259,"f",FALSE)</f>
        <v>54793</v>
      </c>
      <c r="Y2259" s="174">
        <f>_xll.qlInterestRateIndexValueDate(IborIndex,X2259)</f>
        <v>54795</v>
      </c>
      <c r="Z2259" s="175" t="e">
        <v>#N/A</v>
      </c>
      <c r="AA2259" s="177" t="e">
        <v>#N/A</v>
      </c>
    </row>
    <row r="2260" spans="23:27" x14ac:dyDescent="0.2">
      <c r="W2260" s="173" t="str">
        <f t="shared" si="45"/>
        <v>1w</v>
      </c>
      <c r="X2260" s="180">
        <f>_xll.qlCalendarAdvance(LiborCalendar,X2259,W2260,"f",FALSE)</f>
        <v>54800</v>
      </c>
      <c r="Y2260" s="174">
        <f>_xll.qlInterestRateIndexValueDate(IborIndex,X2260)</f>
        <v>54802</v>
      </c>
      <c r="Z2260" s="175" t="e">
        <v>#N/A</v>
      </c>
      <c r="AA2260" s="177" t="e">
        <v>#N/A</v>
      </c>
    </row>
    <row r="2261" spans="23:27" x14ac:dyDescent="0.2">
      <c r="W2261" s="173" t="str">
        <f t="shared" ref="W2261:W2324" si="46">W2260</f>
        <v>1w</v>
      </c>
      <c r="X2261" s="180">
        <f>_xll.qlCalendarAdvance(LiborCalendar,X2260,W2261,"f",FALSE)</f>
        <v>54807</v>
      </c>
      <c r="Y2261" s="174">
        <f>_xll.qlInterestRateIndexValueDate(IborIndex,X2261)</f>
        <v>54809</v>
      </c>
      <c r="Z2261" s="175" t="e">
        <v>#N/A</v>
      </c>
      <c r="AA2261" s="177" t="e">
        <v>#N/A</v>
      </c>
    </row>
    <row r="2262" spans="23:27" x14ac:dyDescent="0.2">
      <c r="W2262" s="173" t="str">
        <f t="shared" si="46"/>
        <v>1w</v>
      </c>
      <c r="X2262" s="180">
        <f>_xll.qlCalendarAdvance(LiborCalendar,X2261,W2262,"f",FALSE)</f>
        <v>54814</v>
      </c>
      <c r="Y2262" s="174">
        <f>_xll.qlInterestRateIndexValueDate(IborIndex,X2262)</f>
        <v>54816</v>
      </c>
      <c r="Z2262" s="175" t="e">
        <v>#N/A</v>
      </c>
      <c r="AA2262" s="177" t="e">
        <v>#N/A</v>
      </c>
    </row>
    <row r="2263" spans="23:27" x14ac:dyDescent="0.2">
      <c r="W2263" s="173" t="str">
        <f t="shared" si="46"/>
        <v>1w</v>
      </c>
      <c r="X2263" s="180">
        <f>_xll.qlCalendarAdvance(LiborCalendar,X2262,W2263,"f",FALSE)</f>
        <v>54821</v>
      </c>
      <c r="Y2263" s="174">
        <f>_xll.qlInterestRateIndexValueDate(IborIndex,X2263)</f>
        <v>54823</v>
      </c>
      <c r="Z2263" s="175" t="e">
        <v>#N/A</v>
      </c>
      <c r="AA2263" s="177" t="e">
        <v>#N/A</v>
      </c>
    </row>
    <row r="2264" spans="23:27" x14ac:dyDescent="0.2">
      <c r="W2264" s="173" t="str">
        <f t="shared" si="46"/>
        <v>1w</v>
      </c>
      <c r="X2264" s="180">
        <f>_xll.qlCalendarAdvance(LiborCalendar,X2263,W2264,"f",FALSE)</f>
        <v>54828</v>
      </c>
      <c r="Y2264" s="174">
        <f>_xll.qlInterestRateIndexValueDate(IborIndex,X2264)</f>
        <v>54833</v>
      </c>
      <c r="Z2264" s="175" t="e">
        <v>#N/A</v>
      </c>
      <c r="AA2264" s="177" t="e">
        <v>#N/A</v>
      </c>
    </row>
    <row r="2265" spans="23:27" x14ac:dyDescent="0.2">
      <c r="W2265" s="173" t="str">
        <f t="shared" si="46"/>
        <v>1w</v>
      </c>
      <c r="X2265" s="180">
        <f>_xll.qlCalendarAdvance(LiborCalendar,X2264,W2265,"f",FALSE)</f>
        <v>54835</v>
      </c>
      <c r="Y2265" s="174">
        <f>_xll.qlInterestRateIndexValueDate(IborIndex,X2265)</f>
        <v>54837</v>
      </c>
      <c r="Z2265" s="175" t="e">
        <v>#N/A</v>
      </c>
      <c r="AA2265" s="177" t="e">
        <v>#N/A</v>
      </c>
    </row>
    <row r="2266" spans="23:27" x14ac:dyDescent="0.2">
      <c r="W2266" s="173" t="str">
        <f t="shared" si="46"/>
        <v>1w</v>
      </c>
      <c r="X2266" s="180">
        <f>_xll.qlCalendarAdvance(LiborCalendar,X2265,W2266,"f",FALSE)</f>
        <v>54842</v>
      </c>
      <c r="Y2266" s="174">
        <f>_xll.qlInterestRateIndexValueDate(IborIndex,X2266)</f>
        <v>54844</v>
      </c>
      <c r="Z2266" s="175" t="e">
        <v>#N/A</v>
      </c>
      <c r="AA2266" s="177" t="e">
        <v>#N/A</v>
      </c>
    </row>
    <row r="2267" spans="23:27" x14ac:dyDescent="0.2">
      <c r="W2267" s="173" t="str">
        <f t="shared" si="46"/>
        <v>1w</v>
      </c>
      <c r="X2267" s="180">
        <f>_xll.qlCalendarAdvance(LiborCalendar,X2266,W2267,"f",FALSE)</f>
        <v>54849</v>
      </c>
      <c r="Y2267" s="174">
        <f>_xll.qlInterestRateIndexValueDate(IborIndex,X2267)</f>
        <v>54851</v>
      </c>
      <c r="Z2267" s="175" t="e">
        <v>#N/A</v>
      </c>
      <c r="AA2267" s="177" t="e">
        <v>#N/A</v>
      </c>
    </row>
    <row r="2268" spans="23:27" x14ac:dyDescent="0.2">
      <c r="W2268" s="173" t="str">
        <f t="shared" si="46"/>
        <v>1w</v>
      </c>
      <c r="X2268" s="180">
        <f>_xll.qlCalendarAdvance(LiborCalendar,X2267,W2268,"f",FALSE)</f>
        <v>54856</v>
      </c>
      <c r="Y2268" s="174">
        <f>_xll.qlInterestRateIndexValueDate(IborIndex,X2268)</f>
        <v>54858</v>
      </c>
      <c r="Z2268" s="175" t="e">
        <v>#N/A</v>
      </c>
      <c r="AA2268" s="177" t="e">
        <v>#N/A</v>
      </c>
    </row>
    <row r="2269" spans="23:27" x14ac:dyDescent="0.2">
      <c r="W2269" s="173" t="str">
        <f t="shared" si="46"/>
        <v>1w</v>
      </c>
      <c r="X2269" s="180">
        <f>_xll.qlCalendarAdvance(LiborCalendar,X2268,W2269,"f",FALSE)</f>
        <v>54863</v>
      </c>
      <c r="Y2269" s="174">
        <f>_xll.qlInterestRateIndexValueDate(IborIndex,X2269)</f>
        <v>54865</v>
      </c>
      <c r="Z2269" s="175" t="e">
        <v>#N/A</v>
      </c>
      <c r="AA2269" s="177" t="e">
        <v>#N/A</v>
      </c>
    </row>
    <row r="2270" spans="23:27" x14ac:dyDescent="0.2">
      <c r="W2270" s="173" t="str">
        <f t="shared" si="46"/>
        <v>1w</v>
      </c>
      <c r="X2270" s="180">
        <f>_xll.qlCalendarAdvance(LiborCalendar,X2269,W2270,"f",FALSE)</f>
        <v>54870</v>
      </c>
      <c r="Y2270" s="174">
        <f>_xll.qlInterestRateIndexValueDate(IborIndex,X2270)</f>
        <v>54872</v>
      </c>
      <c r="Z2270" s="175" t="e">
        <v>#N/A</v>
      </c>
      <c r="AA2270" s="177" t="e">
        <v>#N/A</v>
      </c>
    </row>
    <row r="2271" spans="23:27" x14ac:dyDescent="0.2">
      <c r="W2271" s="173" t="str">
        <f t="shared" si="46"/>
        <v>1w</v>
      </c>
      <c r="X2271" s="180">
        <f>_xll.qlCalendarAdvance(LiborCalendar,X2270,W2271,"f",FALSE)</f>
        <v>54877</v>
      </c>
      <c r="Y2271" s="174">
        <f>_xll.qlInterestRateIndexValueDate(IborIndex,X2271)</f>
        <v>54879</v>
      </c>
      <c r="Z2271" s="175" t="e">
        <v>#N/A</v>
      </c>
      <c r="AA2271" s="177" t="e">
        <v>#N/A</v>
      </c>
    </row>
    <row r="2272" spans="23:27" x14ac:dyDescent="0.2">
      <c r="W2272" s="173" t="str">
        <f t="shared" si="46"/>
        <v>1w</v>
      </c>
      <c r="X2272" s="180">
        <f>_xll.qlCalendarAdvance(LiborCalendar,X2271,W2272,"f",FALSE)</f>
        <v>54884</v>
      </c>
      <c r="Y2272" s="174">
        <f>_xll.qlInterestRateIndexValueDate(IborIndex,X2272)</f>
        <v>54890</v>
      </c>
      <c r="Z2272" s="175" t="e">
        <v>#N/A</v>
      </c>
      <c r="AA2272" s="177" t="e">
        <v>#N/A</v>
      </c>
    </row>
    <row r="2273" spans="23:27" x14ac:dyDescent="0.2">
      <c r="W2273" s="173" t="str">
        <f t="shared" si="46"/>
        <v>1w</v>
      </c>
      <c r="X2273" s="180">
        <f>_xll.qlCalendarAdvance(LiborCalendar,X2272,W2273,"f",FALSE)</f>
        <v>54891</v>
      </c>
      <c r="Y2273" s="174">
        <f>_xll.qlInterestRateIndexValueDate(IborIndex,X2273)</f>
        <v>54893</v>
      </c>
      <c r="Z2273" s="175" t="e">
        <v>#N/A</v>
      </c>
      <c r="AA2273" s="177" t="e">
        <v>#N/A</v>
      </c>
    </row>
    <row r="2274" spans="23:27" x14ac:dyDescent="0.2">
      <c r="W2274" s="173" t="str">
        <f t="shared" si="46"/>
        <v>1w</v>
      </c>
      <c r="X2274" s="180">
        <f>_xll.qlCalendarAdvance(LiborCalendar,X2273,W2274,"f",FALSE)</f>
        <v>54898</v>
      </c>
      <c r="Y2274" s="174">
        <f>_xll.qlInterestRateIndexValueDate(IborIndex,X2274)</f>
        <v>54900</v>
      </c>
      <c r="Z2274" s="175" t="e">
        <v>#N/A</v>
      </c>
      <c r="AA2274" s="177" t="e">
        <v>#N/A</v>
      </c>
    </row>
    <row r="2275" spans="23:27" x14ac:dyDescent="0.2">
      <c r="W2275" s="173" t="str">
        <f t="shared" si="46"/>
        <v>1w</v>
      </c>
      <c r="X2275" s="180">
        <f>_xll.qlCalendarAdvance(LiborCalendar,X2274,W2275,"f",FALSE)</f>
        <v>54905</v>
      </c>
      <c r="Y2275" s="174">
        <f>_xll.qlInterestRateIndexValueDate(IborIndex,X2275)</f>
        <v>54914</v>
      </c>
      <c r="Z2275" s="175" t="e">
        <v>#N/A</v>
      </c>
      <c r="AA2275" s="177" t="e">
        <v>#N/A</v>
      </c>
    </row>
    <row r="2276" spans="23:27" x14ac:dyDescent="0.2">
      <c r="W2276" s="173" t="str">
        <f t="shared" si="46"/>
        <v>1w</v>
      </c>
      <c r="X2276" s="180">
        <f>_xll.qlCalendarAdvance(LiborCalendar,X2275,W2276,"f",FALSE)</f>
        <v>54912</v>
      </c>
      <c r="Y2276" s="174">
        <f>_xll.qlInterestRateIndexValueDate(IborIndex,X2276)</f>
        <v>54914</v>
      </c>
      <c r="Z2276" s="175" t="e">
        <v>#N/A</v>
      </c>
      <c r="AA2276" s="177" t="e">
        <v>#N/A</v>
      </c>
    </row>
    <row r="2277" spans="23:27" x14ac:dyDescent="0.2">
      <c r="W2277" s="173" t="str">
        <f t="shared" si="46"/>
        <v>1w</v>
      </c>
      <c r="X2277" s="180">
        <f>_xll.qlCalendarAdvance(LiborCalendar,X2276,W2277,"f",FALSE)</f>
        <v>54919</v>
      </c>
      <c r="Y2277" s="174">
        <f>_xll.qlInterestRateIndexValueDate(IborIndex,X2277)</f>
        <v>54921</v>
      </c>
      <c r="Z2277" s="175" t="e">
        <v>#N/A</v>
      </c>
      <c r="AA2277" s="177" t="e">
        <v>#N/A</v>
      </c>
    </row>
    <row r="2278" spans="23:27" x14ac:dyDescent="0.2">
      <c r="W2278" s="173" t="str">
        <f t="shared" si="46"/>
        <v>1w</v>
      </c>
      <c r="X2278" s="180">
        <f>_xll.qlCalendarAdvance(LiborCalendar,X2277,W2278,"f",FALSE)</f>
        <v>54926</v>
      </c>
      <c r="Y2278" s="174">
        <f>_xll.qlInterestRateIndexValueDate(IborIndex,X2278)</f>
        <v>54928</v>
      </c>
      <c r="Z2278" s="175" t="e">
        <v>#N/A</v>
      </c>
      <c r="AA2278" s="177" t="e">
        <v>#N/A</v>
      </c>
    </row>
    <row r="2279" spans="23:27" x14ac:dyDescent="0.2">
      <c r="W2279" s="173" t="str">
        <f t="shared" si="46"/>
        <v>1w</v>
      </c>
      <c r="X2279" s="180">
        <f>_xll.qlCalendarAdvance(LiborCalendar,X2278,W2279,"f",FALSE)</f>
        <v>54933</v>
      </c>
      <c r="Y2279" s="174">
        <f>_xll.qlInterestRateIndexValueDate(IborIndex,X2279)</f>
        <v>54935</v>
      </c>
      <c r="Z2279" s="175" t="e">
        <v>#N/A</v>
      </c>
      <c r="AA2279" s="177" t="e">
        <v>#N/A</v>
      </c>
    </row>
    <row r="2280" spans="23:27" x14ac:dyDescent="0.2">
      <c r="W2280" s="173" t="str">
        <f t="shared" si="46"/>
        <v>1w</v>
      </c>
      <c r="X2280" s="180">
        <f>_xll.qlCalendarAdvance(LiborCalendar,X2279,W2280,"f",FALSE)</f>
        <v>54940</v>
      </c>
      <c r="Y2280" s="174">
        <f>_xll.qlInterestRateIndexValueDate(IborIndex,X2280)</f>
        <v>54942</v>
      </c>
      <c r="Z2280" s="175" t="e">
        <v>#N/A</v>
      </c>
      <c r="AA2280" s="177" t="e">
        <v>#N/A</v>
      </c>
    </row>
    <row r="2281" spans="23:27" x14ac:dyDescent="0.2">
      <c r="W2281" s="173" t="str">
        <f t="shared" si="46"/>
        <v>1w</v>
      </c>
      <c r="X2281" s="180">
        <f>_xll.qlCalendarAdvance(LiborCalendar,X2280,W2281,"f",FALSE)</f>
        <v>54947</v>
      </c>
      <c r="Y2281" s="174">
        <f>_xll.qlInterestRateIndexValueDate(IborIndex,X2281)</f>
        <v>54949</v>
      </c>
      <c r="Z2281" s="175" t="e">
        <v>#N/A</v>
      </c>
      <c r="AA2281" s="177" t="e">
        <v>#N/A</v>
      </c>
    </row>
    <row r="2282" spans="23:27" x14ac:dyDescent="0.2">
      <c r="W2282" s="173" t="str">
        <f t="shared" si="46"/>
        <v>1w</v>
      </c>
      <c r="X2282" s="180">
        <f>_xll.qlCalendarAdvance(LiborCalendar,X2281,W2282,"f",FALSE)</f>
        <v>54954</v>
      </c>
      <c r="Y2282" s="174">
        <f>_xll.qlInterestRateIndexValueDate(IborIndex,X2282)</f>
        <v>54956</v>
      </c>
      <c r="Z2282" s="175" t="e">
        <v>#N/A</v>
      </c>
      <c r="AA2282" s="177" t="e">
        <v>#N/A</v>
      </c>
    </row>
    <row r="2283" spans="23:27" x14ac:dyDescent="0.2">
      <c r="W2283" s="173" t="str">
        <f t="shared" si="46"/>
        <v>1w</v>
      </c>
      <c r="X2283" s="180">
        <f>_xll.qlCalendarAdvance(LiborCalendar,X2282,W2283,"f",FALSE)</f>
        <v>54961</v>
      </c>
      <c r="Y2283" s="174">
        <f>_xll.qlInterestRateIndexValueDate(IborIndex,X2283)</f>
        <v>54963</v>
      </c>
      <c r="Z2283" s="175" t="e">
        <v>#N/A</v>
      </c>
      <c r="AA2283" s="177" t="e">
        <v>#N/A</v>
      </c>
    </row>
    <row r="2284" spans="23:27" x14ac:dyDescent="0.2">
      <c r="W2284" s="173" t="str">
        <f t="shared" si="46"/>
        <v>1w</v>
      </c>
      <c r="X2284" s="180">
        <f>_xll.qlCalendarAdvance(LiborCalendar,X2283,W2284,"f",FALSE)</f>
        <v>54968</v>
      </c>
      <c r="Y2284" s="174">
        <f>_xll.qlInterestRateIndexValueDate(IborIndex,X2284)</f>
        <v>54970</v>
      </c>
      <c r="Z2284" s="175" t="e">
        <v>#N/A</v>
      </c>
      <c r="AA2284" s="177" t="e">
        <v>#N/A</v>
      </c>
    </row>
    <row r="2285" spans="23:27" x14ac:dyDescent="0.2">
      <c r="W2285" s="173" t="str">
        <f t="shared" si="46"/>
        <v>1w</v>
      </c>
      <c r="X2285" s="180">
        <f>_xll.qlCalendarAdvance(LiborCalendar,X2284,W2285,"f",FALSE)</f>
        <v>54975</v>
      </c>
      <c r="Y2285" s="174">
        <f>_xll.qlInterestRateIndexValueDate(IborIndex,X2285)</f>
        <v>54977</v>
      </c>
      <c r="Z2285" s="175" t="e">
        <v>#N/A</v>
      </c>
      <c r="AA2285" s="177" t="e">
        <v>#N/A</v>
      </c>
    </row>
    <row r="2286" spans="23:27" x14ac:dyDescent="0.2">
      <c r="W2286" s="173" t="str">
        <f t="shared" si="46"/>
        <v>1w</v>
      </c>
      <c r="X2286" s="180">
        <f>_xll.qlCalendarAdvance(LiborCalendar,X2285,W2286,"f",FALSE)</f>
        <v>54982</v>
      </c>
      <c r="Y2286" s="174">
        <f>_xll.qlInterestRateIndexValueDate(IborIndex,X2286)</f>
        <v>54984</v>
      </c>
      <c r="Z2286" s="175" t="e">
        <v>#N/A</v>
      </c>
      <c r="AA2286" s="177" t="e">
        <v>#N/A</v>
      </c>
    </row>
    <row r="2287" spans="23:27" x14ac:dyDescent="0.2">
      <c r="W2287" s="173" t="str">
        <f t="shared" si="46"/>
        <v>1w</v>
      </c>
      <c r="X2287" s="180">
        <f>_xll.qlCalendarAdvance(LiborCalendar,X2286,W2287,"f",FALSE)</f>
        <v>54989</v>
      </c>
      <c r="Y2287" s="174">
        <f>_xll.qlInterestRateIndexValueDate(IborIndex,X2287)</f>
        <v>54991</v>
      </c>
      <c r="Z2287" s="175" t="e">
        <v>#N/A</v>
      </c>
      <c r="AA2287" s="177" t="e">
        <v>#N/A</v>
      </c>
    </row>
    <row r="2288" spans="23:27" x14ac:dyDescent="0.2">
      <c r="W2288" s="173" t="str">
        <f t="shared" si="46"/>
        <v>1w</v>
      </c>
      <c r="X2288" s="180">
        <f>_xll.qlCalendarAdvance(LiborCalendar,X2287,W2288,"f",FALSE)</f>
        <v>54996</v>
      </c>
      <c r="Y2288" s="174">
        <f>_xll.qlInterestRateIndexValueDate(IborIndex,X2288)</f>
        <v>54998</v>
      </c>
      <c r="Z2288" s="175" t="e">
        <v>#N/A</v>
      </c>
      <c r="AA2288" s="177" t="e">
        <v>#N/A</v>
      </c>
    </row>
    <row r="2289" spans="23:27" x14ac:dyDescent="0.2">
      <c r="W2289" s="173" t="str">
        <f t="shared" si="46"/>
        <v>1w</v>
      </c>
      <c r="X2289" s="180">
        <f>_xll.qlCalendarAdvance(LiborCalendar,X2288,W2289,"f",FALSE)</f>
        <v>55003</v>
      </c>
      <c r="Y2289" s="174">
        <f>_xll.qlInterestRateIndexValueDate(IborIndex,X2289)</f>
        <v>55005</v>
      </c>
      <c r="Z2289" s="175" t="e">
        <v>#N/A</v>
      </c>
      <c r="AA2289" s="177" t="e">
        <v>#N/A</v>
      </c>
    </row>
    <row r="2290" spans="23:27" x14ac:dyDescent="0.2">
      <c r="W2290" s="173" t="str">
        <f t="shared" si="46"/>
        <v>1w</v>
      </c>
      <c r="X2290" s="180">
        <f>_xll.qlCalendarAdvance(LiborCalendar,X2289,W2290,"f",FALSE)</f>
        <v>55010</v>
      </c>
      <c r="Y2290" s="174">
        <f>_xll.qlInterestRateIndexValueDate(IborIndex,X2290)</f>
        <v>55012</v>
      </c>
      <c r="Z2290" s="175" t="e">
        <v>#N/A</v>
      </c>
      <c r="AA2290" s="177" t="e">
        <v>#N/A</v>
      </c>
    </row>
    <row r="2291" spans="23:27" x14ac:dyDescent="0.2">
      <c r="W2291" s="173" t="str">
        <f t="shared" si="46"/>
        <v>1w</v>
      </c>
      <c r="X2291" s="180">
        <f>_xll.qlCalendarAdvance(LiborCalendar,X2290,W2291,"f",FALSE)</f>
        <v>55017</v>
      </c>
      <c r="Y2291" s="174">
        <f>_xll.qlInterestRateIndexValueDate(IborIndex,X2291)</f>
        <v>55019</v>
      </c>
      <c r="Z2291" s="175" t="e">
        <v>#N/A</v>
      </c>
      <c r="AA2291" s="177" t="e">
        <v>#N/A</v>
      </c>
    </row>
    <row r="2292" spans="23:27" x14ac:dyDescent="0.2">
      <c r="W2292" s="173" t="str">
        <f t="shared" si="46"/>
        <v>1w</v>
      </c>
      <c r="X2292" s="180">
        <f>_xll.qlCalendarAdvance(LiborCalendar,X2291,W2292,"f",FALSE)</f>
        <v>55024</v>
      </c>
      <c r="Y2292" s="174">
        <f>_xll.qlInterestRateIndexValueDate(IborIndex,X2292)</f>
        <v>55026</v>
      </c>
      <c r="Z2292" s="175" t="e">
        <v>#N/A</v>
      </c>
      <c r="AA2292" s="177" t="e">
        <v>#N/A</v>
      </c>
    </row>
    <row r="2293" spans="23:27" x14ac:dyDescent="0.2">
      <c r="W2293" s="173" t="str">
        <f t="shared" si="46"/>
        <v>1w</v>
      </c>
      <c r="X2293" s="180">
        <f>_xll.qlCalendarAdvance(LiborCalendar,X2292,W2293,"f",FALSE)</f>
        <v>55031</v>
      </c>
      <c r="Y2293" s="174">
        <f>_xll.qlInterestRateIndexValueDate(IborIndex,X2293)</f>
        <v>55033</v>
      </c>
      <c r="Z2293" s="175" t="e">
        <v>#N/A</v>
      </c>
      <c r="AA2293" s="177" t="e">
        <v>#N/A</v>
      </c>
    </row>
    <row r="2294" spans="23:27" x14ac:dyDescent="0.2">
      <c r="W2294" s="173" t="str">
        <f t="shared" si="46"/>
        <v>1w</v>
      </c>
      <c r="X2294" s="180">
        <f>_xll.qlCalendarAdvance(LiborCalendar,X2293,W2294,"f",FALSE)</f>
        <v>55038</v>
      </c>
      <c r="Y2294" s="174">
        <f>_xll.qlInterestRateIndexValueDate(IborIndex,X2294)</f>
        <v>55040</v>
      </c>
      <c r="Z2294" s="175" t="e">
        <v>#N/A</v>
      </c>
      <c r="AA2294" s="177" t="e">
        <v>#N/A</v>
      </c>
    </row>
    <row r="2295" spans="23:27" x14ac:dyDescent="0.2">
      <c r="W2295" s="173" t="str">
        <f t="shared" si="46"/>
        <v>1w</v>
      </c>
      <c r="X2295" s="180">
        <f>_xll.qlCalendarAdvance(LiborCalendar,X2294,W2295,"f",FALSE)</f>
        <v>55045</v>
      </c>
      <c r="Y2295" s="174">
        <f>_xll.qlInterestRateIndexValueDate(IborIndex,X2295)</f>
        <v>55047</v>
      </c>
      <c r="Z2295" s="175" t="e">
        <v>#N/A</v>
      </c>
      <c r="AA2295" s="177" t="e">
        <v>#N/A</v>
      </c>
    </row>
    <row r="2296" spans="23:27" x14ac:dyDescent="0.2">
      <c r="W2296" s="173" t="str">
        <f t="shared" si="46"/>
        <v>1w</v>
      </c>
      <c r="X2296" s="180">
        <f>_xll.qlCalendarAdvance(LiborCalendar,X2295,W2296,"f",FALSE)</f>
        <v>55052</v>
      </c>
      <c r="Y2296" s="174">
        <f>_xll.qlInterestRateIndexValueDate(IborIndex,X2296)</f>
        <v>55057</v>
      </c>
      <c r="Z2296" s="175" t="e">
        <v>#N/A</v>
      </c>
      <c r="AA2296" s="177" t="e">
        <v>#N/A</v>
      </c>
    </row>
    <row r="2297" spans="23:27" x14ac:dyDescent="0.2">
      <c r="W2297" s="173" t="str">
        <f t="shared" si="46"/>
        <v>1w</v>
      </c>
      <c r="X2297" s="180">
        <f>_xll.qlCalendarAdvance(LiborCalendar,X2296,W2297,"f",FALSE)</f>
        <v>55059</v>
      </c>
      <c r="Y2297" s="174">
        <f>_xll.qlInterestRateIndexValueDate(IborIndex,X2297)</f>
        <v>55061</v>
      </c>
      <c r="Z2297" s="175" t="e">
        <v>#N/A</v>
      </c>
      <c r="AA2297" s="177" t="e">
        <v>#N/A</v>
      </c>
    </row>
    <row r="2298" spans="23:27" x14ac:dyDescent="0.2">
      <c r="W2298" s="173" t="str">
        <f t="shared" si="46"/>
        <v>1w</v>
      </c>
      <c r="X2298" s="180">
        <f>_xll.qlCalendarAdvance(LiborCalendar,X2297,W2298,"f",FALSE)</f>
        <v>55066</v>
      </c>
      <c r="Y2298" s="174">
        <f>_xll.qlInterestRateIndexValueDate(IborIndex,X2298)</f>
        <v>55068</v>
      </c>
      <c r="Z2298" s="175" t="e">
        <v>#N/A</v>
      </c>
      <c r="AA2298" s="177" t="e">
        <v>#N/A</v>
      </c>
    </row>
    <row r="2299" spans="23:27" x14ac:dyDescent="0.2">
      <c r="W2299" s="173" t="str">
        <f t="shared" si="46"/>
        <v>1w</v>
      </c>
      <c r="X2299" s="180">
        <f>_xll.qlCalendarAdvance(LiborCalendar,X2298,W2299,"f",FALSE)</f>
        <v>55073</v>
      </c>
      <c r="Y2299" s="174">
        <f>_xll.qlInterestRateIndexValueDate(IborIndex,X2299)</f>
        <v>55075</v>
      </c>
      <c r="Z2299" s="175" t="e">
        <v>#N/A</v>
      </c>
      <c r="AA2299" s="177" t="e">
        <v>#N/A</v>
      </c>
    </row>
    <row r="2300" spans="23:27" x14ac:dyDescent="0.2">
      <c r="W2300" s="173" t="str">
        <f t="shared" si="46"/>
        <v>1w</v>
      </c>
      <c r="X2300" s="180">
        <f>_xll.qlCalendarAdvance(LiborCalendar,X2299,W2300,"f",FALSE)</f>
        <v>55080</v>
      </c>
      <c r="Y2300" s="174">
        <f>_xll.qlInterestRateIndexValueDate(IborIndex,X2300)</f>
        <v>55082</v>
      </c>
      <c r="Z2300" s="175" t="e">
        <v>#N/A</v>
      </c>
      <c r="AA2300" s="177" t="e">
        <v>#N/A</v>
      </c>
    </row>
    <row r="2301" spans="23:27" x14ac:dyDescent="0.2">
      <c r="W2301" s="173" t="str">
        <f t="shared" si="46"/>
        <v>1w</v>
      </c>
      <c r="X2301" s="180">
        <f>_xll.qlCalendarAdvance(LiborCalendar,X2300,W2301,"f",FALSE)</f>
        <v>55087</v>
      </c>
      <c r="Y2301" s="174">
        <f>_xll.qlInterestRateIndexValueDate(IborIndex,X2301)</f>
        <v>55089</v>
      </c>
      <c r="Z2301" s="175" t="e">
        <v>#N/A</v>
      </c>
      <c r="AA2301" s="177" t="e">
        <v>#N/A</v>
      </c>
    </row>
    <row r="2302" spans="23:27" x14ac:dyDescent="0.2">
      <c r="W2302" s="173" t="str">
        <f t="shared" si="46"/>
        <v>1w</v>
      </c>
      <c r="X2302" s="180">
        <f>_xll.qlCalendarAdvance(LiborCalendar,X2301,W2302,"f",FALSE)</f>
        <v>55094</v>
      </c>
      <c r="Y2302" s="174">
        <f>_xll.qlInterestRateIndexValueDate(IborIndex,X2302)</f>
        <v>55096</v>
      </c>
      <c r="Z2302" s="175" t="e">
        <v>#N/A</v>
      </c>
      <c r="AA2302" s="177" t="e">
        <v>#N/A</v>
      </c>
    </row>
    <row r="2303" spans="23:27" x14ac:dyDescent="0.2">
      <c r="W2303" s="173" t="str">
        <f t="shared" si="46"/>
        <v>1w</v>
      </c>
      <c r="X2303" s="180">
        <f>_xll.qlCalendarAdvance(LiborCalendar,X2302,W2303,"f",FALSE)</f>
        <v>55101</v>
      </c>
      <c r="Y2303" s="174">
        <f>_xll.qlInterestRateIndexValueDate(IborIndex,X2303)</f>
        <v>55103</v>
      </c>
      <c r="Z2303" s="175" t="e">
        <v>#N/A</v>
      </c>
      <c r="AA2303" s="177" t="e">
        <v>#N/A</v>
      </c>
    </row>
    <row r="2304" spans="23:27" x14ac:dyDescent="0.2">
      <c r="W2304" s="173" t="str">
        <f t="shared" si="46"/>
        <v>1w</v>
      </c>
      <c r="X2304" s="180">
        <f>_xll.qlCalendarAdvance(LiborCalendar,X2303,W2304,"f",FALSE)</f>
        <v>55108</v>
      </c>
      <c r="Y2304" s="174">
        <f>_xll.qlInterestRateIndexValueDate(IborIndex,X2304)</f>
        <v>55110</v>
      </c>
      <c r="Z2304" s="175" t="e">
        <v>#N/A</v>
      </c>
      <c r="AA2304" s="177" t="e">
        <v>#N/A</v>
      </c>
    </row>
    <row r="2305" spans="23:27" x14ac:dyDescent="0.2">
      <c r="W2305" s="173" t="str">
        <f t="shared" si="46"/>
        <v>1w</v>
      </c>
      <c r="X2305" s="180">
        <f>_xll.qlCalendarAdvance(LiborCalendar,X2304,W2305,"f",FALSE)</f>
        <v>55115</v>
      </c>
      <c r="Y2305" s="174">
        <f>_xll.qlInterestRateIndexValueDate(IborIndex,X2305)</f>
        <v>55117</v>
      </c>
      <c r="Z2305" s="175" t="e">
        <v>#N/A</v>
      </c>
      <c r="AA2305" s="177" t="e">
        <v>#N/A</v>
      </c>
    </row>
    <row r="2306" spans="23:27" x14ac:dyDescent="0.2">
      <c r="W2306" s="173" t="str">
        <f t="shared" si="46"/>
        <v>1w</v>
      </c>
      <c r="X2306" s="180">
        <f>_xll.qlCalendarAdvance(LiborCalendar,X2305,W2306,"f",FALSE)</f>
        <v>55122</v>
      </c>
      <c r="Y2306" s="174">
        <f>_xll.qlInterestRateIndexValueDate(IborIndex,X2306)</f>
        <v>55124</v>
      </c>
      <c r="Z2306" s="175" t="e">
        <v>#N/A</v>
      </c>
      <c r="AA2306" s="177" t="e">
        <v>#N/A</v>
      </c>
    </row>
    <row r="2307" spans="23:27" x14ac:dyDescent="0.2">
      <c r="W2307" s="173" t="str">
        <f t="shared" si="46"/>
        <v>1w</v>
      </c>
      <c r="X2307" s="180">
        <f>_xll.qlCalendarAdvance(LiborCalendar,X2306,W2307,"f",FALSE)</f>
        <v>55129</v>
      </c>
      <c r="Y2307" s="174">
        <f>_xll.qlInterestRateIndexValueDate(IborIndex,X2307)</f>
        <v>55131</v>
      </c>
      <c r="Z2307" s="175" t="e">
        <v>#N/A</v>
      </c>
      <c r="AA2307" s="177" t="e">
        <v>#N/A</v>
      </c>
    </row>
    <row r="2308" spans="23:27" x14ac:dyDescent="0.2">
      <c r="W2308" s="173" t="str">
        <f t="shared" si="46"/>
        <v>1w</v>
      </c>
      <c r="X2308" s="180">
        <f>_xll.qlCalendarAdvance(LiborCalendar,X2307,W2308,"f",FALSE)</f>
        <v>55136</v>
      </c>
      <c r="Y2308" s="174">
        <f>_xll.qlInterestRateIndexValueDate(IborIndex,X2308)</f>
        <v>55138</v>
      </c>
      <c r="Z2308" s="175" t="e">
        <v>#N/A</v>
      </c>
      <c r="AA2308" s="177" t="e">
        <v>#N/A</v>
      </c>
    </row>
    <row r="2309" spans="23:27" x14ac:dyDescent="0.2">
      <c r="W2309" s="173" t="str">
        <f t="shared" si="46"/>
        <v>1w</v>
      </c>
      <c r="X2309" s="180">
        <f>_xll.qlCalendarAdvance(LiborCalendar,X2308,W2309,"f",FALSE)</f>
        <v>55143</v>
      </c>
      <c r="Y2309" s="174">
        <f>_xll.qlInterestRateIndexValueDate(IborIndex,X2309)</f>
        <v>55150</v>
      </c>
      <c r="Z2309" s="175" t="e">
        <v>#N/A</v>
      </c>
      <c r="AA2309" s="177" t="e">
        <v>#N/A</v>
      </c>
    </row>
    <row r="2310" spans="23:27" x14ac:dyDescent="0.2">
      <c r="W2310" s="173" t="str">
        <f t="shared" si="46"/>
        <v>1w</v>
      </c>
      <c r="X2310" s="180">
        <f>_xll.qlCalendarAdvance(LiborCalendar,X2309,W2310,"f",FALSE)</f>
        <v>55150</v>
      </c>
      <c r="Y2310" s="174">
        <f>_xll.qlInterestRateIndexValueDate(IborIndex,X2310)</f>
        <v>55152</v>
      </c>
      <c r="Z2310" s="175" t="e">
        <v>#N/A</v>
      </c>
      <c r="AA2310" s="177" t="e">
        <v>#N/A</v>
      </c>
    </row>
    <row r="2311" spans="23:27" x14ac:dyDescent="0.2">
      <c r="W2311" s="173" t="str">
        <f t="shared" si="46"/>
        <v>1w</v>
      </c>
      <c r="X2311" s="180">
        <f>_xll.qlCalendarAdvance(LiborCalendar,X2310,W2311,"f",FALSE)</f>
        <v>55157</v>
      </c>
      <c r="Y2311" s="174">
        <f>_xll.qlInterestRateIndexValueDate(IborIndex,X2311)</f>
        <v>55159</v>
      </c>
      <c r="Z2311" s="175" t="e">
        <v>#N/A</v>
      </c>
      <c r="AA2311" s="177" t="e">
        <v>#N/A</v>
      </c>
    </row>
    <row r="2312" spans="23:27" x14ac:dyDescent="0.2">
      <c r="W2312" s="173" t="str">
        <f t="shared" si="46"/>
        <v>1w</v>
      </c>
      <c r="X2312" s="180">
        <f>_xll.qlCalendarAdvance(LiborCalendar,X2311,W2312,"f",FALSE)</f>
        <v>55164</v>
      </c>
      <c r="Y2312" s="174">
        <f>_xll.qlInterestRateIndexValueDate(IborIndex,X2312)</f>
        <v>55166</v>
      </c>
      <c r="Z2312" s="175" t="e">
        <v>#N/A</v>
      </c>
      <c r="AA2312" s="177" t="e">
        <v>#N/A</v>
      </c>
    </row>
    <row r="2313" spans="23:27" x14ac:dyDescent="0.2">
      <c r="W2313" s="173" t="str">
        <f t="shared" si="46"/>
        <v>1w</v>
      </c>
      <c r="X2313" s="180">
        <f>_xll.qlCalendarAdvance(LiborCalendar,X2312,W2313,"f",FALSE)</f>
        <v>55171</v>
      </c>
      <c r="Y2313" s="174">
        <f>_xll.qlInterestRateIndexValueDate(IborIndex,X2313)</f>
        <v>55173</v>
      </c>
      <c r="Z2313" s="175" t="e">
        <v>#N/A</v>
      </c>
      <c r="AA2313" s="177" t="e">
        <v>#N/A</v>
      </c>
    </row>
    <row r="2314" spans="23:27" x14ac:dyDescent="0.2">
      <c r="W2314" s="173" t="str">
        <f t="shared" si="46"/>
        <v>1w</v>
      </c>
      <c r="X2314" s="180">
        <f>_xll.qlCalendarAdvance(LiborCalendar,X2313,W2314,"f",FALSE)</f>
        <v>55178</v>
      </c>
      <c r="Y2314" s="174">
        <f>_xll.qlInterestRateIndexValueDate(IborIndex,X2314)</f>
        <v>55180</v>
      </c>
      <c r="Z2314" s="175" t="e">
        <v>#N/A</v>
      </c>
      <c r="AA2314" s="177" t="e">
        <v>#N/A</v>
      </c>
    </row>
    <row r="2315" spans="23:27" x14ac:dyDescent="0.2">
      <c r="W2315" s="173" t="str">
        <f t="shared" si="46"/>
        <v>1w</v>
      </c>
      <c r="X2315" s="180">
        <f>_xll.qlCalendarAdvance(LiborCalendar,X2314,W2315,"f",FALSE)</f>
        <v>55185</v>
      </c>
      <c r="Y2315" s="174">
        <f>_xll.qlInterestRateIndexValueDate(IborIndex,X2315)</f>
        <v>55187</v>
      </c>
      <c r="Z2315" s="175" t="e">
        <v>#N/A</v>
      </c>
      <c r="AA2315" s="177" t="e">
        <v>#N/A</v>
      </c>
    </row>
    <row r="2316" spans="23:27" x14ac:dyDescent="0.2">
      <c r="W2316" s="173" t="str">
        <f t="shared" si="46"/>
        <v>1w</v>
      </c>
      <c r="X2316" s="180">
        <f>_xll.qlCalendarAdvance(LiborCalendar,X2315,W2316,"f",FALSE)</f>
        <v>55192</v>
      </c>
      <c r="Y2316" s="174">
        <f>_xll.qlInterestRateIndexValueDate(IborIndex,X2316)</f>
        <v>55194</v>
      </c>
      <c r="Z2316" s="175" t="e">
        <v>#N/A</v>
      </c>
      <c r="AA2316" s="177" t="e">
        <v>#N/A</v>
      </c>
    </row>
    <row r="2317" spans="23:27" x14ac:dyDescent="0.2">
      <c r="W2317" s="173" t="str">
        <f t="shared" si="46"/>
        <v>1w</v>
      </c>
      <c r="X2317" s="180">
        <f>_xll.qlCalendarAdvance(LiborCalendar,X2316,W2317,"f",FALSE)</f>
        <v>55199</v>
      </c>
      <c r="Y2317" s="174">
        <f>_xll.qlInterestRateIndexValueDate(IborIndex,X2317)</f>
        <v>55201</v>
      </c>
      <c r="Z2317" s="175" t="e">
        <v>#N/A</v>
      </c>
      <c r="AA2317" s="177" t="e">
        <v>#N/A</v>
      </c>
    </row>
    <row r="2318" spans="23:27" x14ac:dyDescent="0.2">
      <c r="W2318" s="173" t="str">
        <f t="shared" si="46"/>
        <v>1w</v>
      </c>
      <c r="X2318" s="180">
        <f>_xll.qlCalendarAdvance(LiborCalendar,X2317,W2318,"f",FALSE)</f>
        <v>55206</v>
      </c>
      <c r="Y2318" s="174">
        <f>_xll.qlInterestRateIndexValueDate(IborIndex,X2318)</f>
        <v>55208</v>
      </c>
      <c r="Z2318" s="175" t="e">
        <v>#N/A</v>
      </c>
      <c r="AA2318" s="177" t="e">
        <v>#N/A</v>
      </c>
    </row>
    <row r="2319" spans="23:27" x14ac:dyDescent="0.2">
      <c r="W2319" s="173" t="str">
        <f t="shared" si="46"/>
        <v>1w</v>
      </c>
      <c r="X2319" s="180">
        <f>_xll.qlCalendarAdvance(LiborCalendar,X2318,W2319,"f",FALSE)</f>
        <v>55213</v>
      </c>
      <c r="Y2319" s="174">
        <f>_xll.qlInterestRateIndexValueDate(IborIndex,X2319)</f>
        <v>55215</v>
      </c>
      <c r="Z2319" s="175" t="e">
        <v>#N/A</v>
      </c>
      <c r="AA2319" s="177" t="e">
        <v>#N/A</v>
      </c>
    </row>
    <row r="2320" spans="23:27" x14ac:dyDescent="0.2">
      <c r="W2320" s="173" t="str">
        <f t="shared" si="46"/>
        <v>1w</v>
      </c>
      <c r="X2320" s="180">
        <f>_xll.qlCalendarAdvance(LiborCalendar,X2319,W2320,"f",FALSE)</f>
        <v>55220</v>
      </c>
      <c r="Y2320" s="174">
        <f>_xll.qlInterestRateIndexValueDate(IborIndex,X2320)</f>
        <v>55222</v>
      </c>
      <c r="Z2320" s="175" t="e">
        <v>#N/A</v>
      </c>
      <c r="AA2320" s="177" t="e">
        <v>#N/A</v>
      </c>
    </row>
    <row r="2321" spans="23:27" x14ac:dyDescent="0.2">
      <c r="W2321" s="173" t="str">
        <f t="shared" si="46"/>
        <v>1w</v>
      </c>
      <c r="X2321" s="180">
        <f>_xll.qlCalendarAdvance(LiborCalendar,X2320,W2321,"f",FALSE)</f>
        <v>55227</v>
      </c>
      <c r="Y2321" s="174">
        <f>_xll.qlInterestRateIndexValueDate(IborIndex,X2321)</f>
        <v>55229</v>
      </c>
      <c r="Z2321" s="175" t="e">
        <v>#N/A</v>
      </c>
      <c r="AA2321" s="177" t="e">
        <v>#N/A</v>
      </c>
    </row>
    <row r="2322" spans="23:27" x14ac:dyDescent="0.2">
      <c r="W2322" s="173" t="str">
        <f t="shared" si="46"/>
        <v>1w</v>
      </c>
      <c r="X2322" s="180">
        <f>_xll.qlCalendarAdvance(LiborCalendar,X2321,W2322,"f",FALSE)</f>
        <v>55234</v>
      </c>
      <c r="Y2322" s="174">
        <f>_xll.qlInterestRateIndexValueDate(IborIndex,X2322)</f>
        <v>55236</v>
      </c>
      <c r="Z2322" s="175" t="e">
        <v>#N/A</v>
      </c>
      <c r="AA2322" s="177" t="e">
        <v>#N/A</v>
      </c>
    </row>
    <row r="2323" spans="23:27" x14ac:dyDescent="0.2">
      <c r="W2323" s="173" t="str">
        <f t="shared" si="46"/>
        <v>1w</v>
      </c>
      <c r="X2323" s="180">
        <f>_xll.qlCalendarAdvance(LiborCalendar,X2322,W2323,"f",FALSE)</f>
        <v>55241</v>
      </c>
      <c r="Y2323" s="174">
        <f>_xll.qlInterestRateIndexValueDate(IborIndex,X2323)</f>
        <v>55247</v>
      </c>
      <c r="Z2323" s="175" t="e">
        <v>#N/A</v>
      </c>
      <c r="AA2323" s="177" t="e">
        <v>#N/A</v>
      </c>
    </row>
    <row r="2324" spans="23:27" x14ac:dyDescent="0.2">
      <c r="W2324" s="173" t="str">
        <f t="shared" si="46"/>
        <v>1w</v>
      </c>
      <c r="X2324" s="180">
        <f>_xll.qlCalendarAdvance(LiborCalendar,X2323,W2324,"f",FALSE)</f>
        <v>55248</v>
      </c>
      <c r="Y2324" s="174">
        <f>_xll.qlInterestRateIndexValueDate(IborIndex,X2324)</f>
        <v>55250</v>
      </c>
      <c r="Z2324" s="175" t="e">
        <v>#N/A</v>
      </c>
      <c r="AA2324" s="177" t="e">
        <v>#N/A</v>
      </c>
    </row>
    <row r="2325" spans="23:27" x14ac:dyDescent="0.2">
      <c r="W2325" s="173" t="str">
        <f t="shared" ref="W2325:W2388" si="47">W2324</f>
        <v>1w</v>
      </c>
      <c r="X2325" s="180">
        <f>_xll.qlCalendarAdvance(LiborCalendar,X2324,W2325,"f",FALSE)</f>
        <v>55255</v>
      </c>
      <c r="Y2325" s="174">
        <f>_xll.qlInterestRateIndexValueDate(IborIndex,X2325)</f>
        <v>55257</v>
      </c>
      <c r="Z2325" s="175" t="e">
        <v>#N/A</v>
      </c>
      <c r="AA2325" s="177" t="e">
        <v>#N/A</v>
      </c>
    </row>
    <row r="2326" spans="23:27" x14ac:dyDescent="0.2">
      <c r="W2326" s="173" t="str">
        <f t="shared" si="47"/>
        <v>1w</v>
      </c>
      <c r="X2326" s="180">
        <f>_xll.qlCalendarAdvance(LiborCalendar,X2325,W2326,"f",FALSE)</f>
        <v>55262</v>
      </c>
      <c r="Y2326" s="174">
        <f>_xll.qlInterestRateIndexValueDate(IborIndex,X2326)</f>
        <v>55264</v>
      </c>
      <c r="Z2326" s="175" t="e">
        <v>#N/A</v>
      </c>
      <c r="AA2326" s="177" t="e">
        <v>#N/A</v>
      </c>
    </row>
    <row r="2327" spans="23:27" x14ac:dyDescent="0.2">
      <c r="W2327" s="173" t="str">
        <f t="shared" si="47"/>
        <v>1w</v>
      </c>
      <c r="X2327" s="180">
        <f>_xll.qlCalendarAdvance(LiborCalendar,X2326,W2327,"f",FALSE)</f>
        <v>55269</v>
      </c>
      <c r="Y2327" s="174">
        <f>_xll.qlInterestRateIndexValueDate(IborIndex,X2327)</f>
        <v>55271</v>
      </c>
      <c r="Z2327" s="175" t="e">
        <v>#N/A</v>
      </c>
      <c r="AA2327" s="177" t="e">
        <v>#N/A</v>
      </c>
    </row>
    <row r="2328" spans="23:27" x14ac:dyDescent="0.2">
      <c r="W2328" s="173" t="str">
        <f t="shared" si="47"/>
        <v>1w</v>
      </c>
      <c r="X2328" s="180">
        <f>_xll.qlCalendarAdvance(LiborCalendar,X2327,W2328,"f",FALSE)</f>
        <v>55276</v>
      </c>
      <c r="Y2328" s="174">
        <f>_xll.qlInterestRateIndexValueDate(IborIndex,X2328)</f>
        <v>55281</v>
      </c>
      <c r="Z2328" s="175" t="e">
        <v>#N/A</v>
      </c>
      <c r="AA2328" s="177" t="e">
        <v>#N/A</v>
      </c>
    </row>
    <row r="2329" spans="23:27" x14ac:dyDescent="0.2">
      <c r="W2329" s="173" t="str">
        <f t="shared" si="47"/>
        <v>1w</v>
      </c>
      <c r="X2329" s="180">
        <f>_xll.qlCalendarAdvance(LiborCalendar,X2328,W2329,"f",FALSE)</f>
        <v>55283</v>
      </c>
      <c r="Y2329" s="174">
        <f>_xll.qlInterestRateIndexValueDate(IborIndex,X2329)</f>
        <v>55285</v>
      </c>
      <c r="Z2329" s="175" t="e">
        <v>#N/A</v>
      </c>
      <c r="AA2329" s="177" t="e">
        <v>#N/A</v>
      </c>
    </row>
    <row r="2330" spans="23:27" x14ac:dyDescent="0.2">
      <c r="W2330" s="173" t="str">
        <f t="shared" si="47"/>
        <v>1w</v>
      </c>
      <c r="X2330" s="180">
        <f>_xll.qlCalendarAdvance(LiborCalendar,X2329,W2330,"f",FALSE)</f>
        <v>55290</v>
      </c>
      <c r="Y2330" s="174">
        <f>_xll.qlInterestRateIndexValueDate(IborIndex,X2330)</f>
        <v>55292</v>
      </c>
      <c r="Z2330" s="175" t="e">
        <v>#N/A</v>
      </c>
      <c r="AA2330" s="177" t="e">
        <v>#N/A</v>
      </c>
    </row>
    <row r="2331" spans="23:27" x14ac:dyDescent="0.2">
      <c r="W2331" s="173" t="str">
        <f t="shared" si="47"/>
        <v>1w</v>
      </c>
      <c r="X2331" s="180">
        <f>_xll.qlCalendarAdvance(LiborCalendar,X2330,W2331,"f",FALSE)</f>
        <v>55297</v>
      </c>
      <c r="Y2331" s="174">
        <f>_xll.qlInterestRateIndexValueDate(IborIndex,X2331)</f>
        <v>55299</v>
      </c>
      <c r="Z2331" s="175" t="e">
        <v>#N/A</v>
      </c>
      <c r="AA2331" s="177" t="e">
        <v>#N/A</v>
      </c>
    </row>
    <row r="2332" spans="23:27" x14ac:dyDescent="0.2">
      <c r="W2332" s="173" t="str">
        <f t="shared" si="47"/>
        <v>1w</v>
      </c>
      <c r="X2332" s="180">
        <f>_xll.qlCalendarAdvance(LiborCalendar,X2331,W2332,"f",FALSE)</f>
        <v>55304</v>
      </c>
      <c r="Y2332" s="174">
        <f>_xll.qlInterestRateIndexValueDate(IborIndex,X2332)</f>
        <v>55306</v>
      </c>
      <c r="Z2332" s="175" t="e">
        <v>#N/A</v>
      </c>
      <c r="AA2332" s="177" t="e">
        <v>#N/A</v>
      </c>
    </row>
    <row r="2333" spans="23:27" x14ac:dyDescent="0.2">
      <c r="W2333" s="173" t="str">
        <f t="shared" si="47"/>
        <v>1w</v>
      </c>
      <c r="X2333" s="180">
        <f>_xll.qlCalendarAdvance(LiborCalendar,X2332,W2333,"f",FALSE)</f>
        <v>55311</v>
      </c>
      <c r="Y2333" s="174">
        <f>_xll.qlInterestRateIndexValueDate(IborIndex,X2333)</f>
        <v>55313</v>
      </c>
      <c r="Z2333" s="175" t="e">
        <v>#N/A</v>
      </c>
      <c r="AA2333" s="177" t="e">
        <v>#N/A</v>
      </c>
    </row>
    <row r="2334" spans="23:27" x14ac:dyDescent="0.2">
      <c r="W2334" s="173" t="str">
        <f t="shared" si="47"/>
        <v>1w</v>
      </c>
      <c r="X2334" s="180">
        <f>_xll.qlCalendarAdvance(LiborCalendar,X2333,W2334,"f",FALSE)</f>
        <v>55318</v>
      </c>
      <c r="Y2334" s="174">
        <f>_xll.qlInterestRateIndexValueDate(IborIndex,X2334)</f>
        <v>55320</v>
      </c>
      <c r="Z2334" s="175" t="e">
        <v>#N/A</v>
      </c>
      <c r="AA2334" s="177" t="e">
        <v>#N/A</v>
      </c>
    </row>
    <row r="2335" spans="23:27" x14ac:dyDescent="0.2">
      <c r="W2335" s="173" t="str">
        <f t="shared" si="47"/>
        <v>1w</v>
      </c>
      <c r="X2335" s="180">
        <f>_xll.qlCalendarAdvance(LiborCalendar,X2334,W2335,"f",FALSE)</f>
        <v>55325</v>
      </c>
      <c r="Y2335" s="174">
        <f>_xll.qlInterestRateIndexValueDate(IborIndex,X2335)</f>
        <v>55327</v>
      </c>
      <c r="Z2335" s="175" t="e">
        <v>#N/A</v>
      </c>
      <c r="AA2335" s="177" t="e">
        <v>#N/A</v>
      </c>
    </row>
    <row r="2336" spans="23:27" x14ac:dyDescent="0.2">
      <c r="W2336" s="173" t="str">
        <f t="shared" si="47"/>
        <v>1w</v>
      </c>
      <c r="X2336" s="180">
        <f>_xll.qlCalendarAdvance(LiborCalendar,X2335,W2336,"f",FALSE)</f>
        <v>55332</v>
      </c>
      <c r="Y2336" s="174">
        <f>_xll.qlInterestRateIndexValueDate(IborIndex,X2336)</f>
        <v>55334</v>
      </c>
      <c r="Z2336" s="175" t="e">
        <v>#N/A</v>
      </c>
      <c r="AA2336" s="177" t="e">
        <v>#N/A</v>
      </c>
    </row>
    <row r="2337" spans="23:27" x14ac:dyDescent="0.2">
      <c r="W2337" s="173" t="str">
        <f t="shared" si="47"/>
        <v>1w</v>
      </c>
      <c r="X2337" s="180">
        <f>_xll.qlCalendarAdvance(LiborCalendar,X2336,W2337,"f",FALSE)</f>
        <v>55339</v>
      </c>
      <c r="Y2337" s="174">
        <f>_xll.qlInterestRateIndexValueDate(IborIndex,X2337)</f>
        <v>55341</v>
      </c>
      <c r="Z2337" s="175" t="e">
        <v>#N/A</v>
      </c>
      <c r="AA2337" s="177" t="e">
        <v>#N/A</v>
      </c>
    </row>
    <row r="2338" spans="23:27" x14ac:dyDescent="0.2">
      <c r="W2338" s="173" t="str">
        <f t="shared" si="47"/>
        <v>1w</v>
      </c>
      <c r="X2338" s="180">
        <f>_xll.qlCalendarAdvance(LiborCalendar,X2337,W2338,"f",FALSE)</f>
        <v>55346</v>
      </c>
      <c r="Y2338" s="174">
        <f>_xll.qlInterestRateIndexValueDate(IborIndex,X2338)</f>
        <v>55348</v>
      </c>
      <c r="Z2338" s="175" t="e">
        <v>#N/A</v>
      </c>
      <c r="AA2338" s="177" t="e">
        <v>#N/A</v>
      </c>
    </row>
    <row r="2339" spans="23:27" x14ac:dyDescent="0.2">
      <c r="W2339" s="173" t="str">
        <f t="shared" si="47"/>
        <v>1w</v>
      </c>
      <c r="X2339" s="180">
        <f>_xll.qlCalendarAdvance(LiborCalendar,X2338,W2339,"f",FALSE)</f>
        <v>55353</v>
      </c>
      <c r="Y2339" s="174">
        <f>_xll.qlInterestRateIndexValueDate(IborIndex,X2339)</f>
        <v>55355</v>
      </c>
      <c r="Z2339" s="175" t="e">
        <v>#N/A</v>
      </c>
      <c r="AA2339" s="177" t="e">
        <v>#N/A</v>
      </c>
    </row>
    <row r="2340" spans="23:27" x14ac:dyDescent="0.2">
      <c r="W2340" s="173" t="str">
        <f t="shared" si="47"/>
        <v>1w</v>
      </c>
      <c r="X2340" s="180">
        <f>_xll.qlCalendarAdvance(LiborCalendar,X2339,W2340,"f",FALSE)</f>
        <v>55360</v>
      </c>
      <c r="Y2340" s="174">
        <f>_xll.qlInterestRateIndexValueDate(IborIndex,X2340)</f>
        <v>55362</v>
      </c>
      <c r="Z2340" s="175" t="e">
        <v>#N/A</v>
      </c>
      <c r="AA2340" s="177" t="e">
        <v>#N/A</v>
      </c>
    </row>
    <row r="2341" spans="23:27" x14ac:dyDescent="0.2">
      <c r="W2341" s="173" t="str">
        <f t="shared" si="47"/>
        <v>1w</v>
      </c>
      <c r="X2341" s="180">
        <f>_xll.qlCalendarAdvance(LiborCalendar,X2340,W2341,"f",FALSE)</f>
        <v>55367</v>
      </c>
      <c r="Y2341" s="174">
        <f>_xll.qlInterestRateIndexValueDate(IborIndex,X2341)</f>
        <v>55369</v>
      </c>
      <c r="Z2341" s="175" t="e">
        <v>#N/A</v>
      </c>
      <c r="AA2341" s="177" t="e">
        <v>#N/A</v>
      </c>
    </row>
    <row r="2342" spans="23:27" x14ac:dyDescent="0.2">
      <c r="W2342" s="173" t="str">
        <f t="shared" si="47"/>
        <v>1w</v>
      </c>
      <c r="X2342" s="180">
        <f>_xll.qlCalendarAdvance(LiborCalendar,X2341,W2342,"f",FALSE)</f>
        <v>55374</v>
      </c>
      <c r="Y2342" s="174">
        <f>_xll.qlInterestRateIndexValueDate(IborIndex,X2342)</f>
        <v>55376</v>
      </c>
      <c r="Z2342" s="175" t="e">
        <v>#N/A</v>
      </c>
      <c r="AA2342" s="177" t="e">
        <v>#N/A</v>
      </c>
    </row>
    <row r="2343" spans="23:27" x14ac:dyDescent="0.2">
      <c r="W2343" s="173" t="str">
        <f t="shared" si="47"/>
        <v>1w</v>
      </c>
      <c r="X2343" s="180">
        <f>_xll.qlCalendarAdvance(LiborCalendar,X2342,W2343,"f",FALSE)</f>
        <v>55381</v>
      </c>
      <c r="Y2343" s="174">
        <f>_xll.qlInterestRateIndexValueDate(IborIndex,X2343)</f>
        <v>55383</v>
      </c>
      <c r="Z2343" s="175" t="e">
        <v>#N/A</v>
      </c>
      <c r="AA2343" s="177" t="e">
        <v>#N/A</v>
      </c>
    </row>
    <row r="2344" spans="23:27" x14ac:dyDescent="0.2">
      <c r="W2344" s="173" t="str">
        <f t="shared" si="47"/>
        <v>1w</v>
      </c>
      <c r="X2344" s="180">
        <f>_xll.qlCalendarAdvance(LiborCalendar,X2343,W2344,"f",FALSE)</f>
        <v>55388</v>
      </c>
      <c r="Y2344" s="174">
        <f>_xll.qlInterestRateIndexValueDate(IborIndex,X2344)</f>
        <v>55390</v>
      </c>
      <c r="Z2344" s="175" t="e">
        <v>#N/A</v>
      </c>
      <c r="AA2344" s="177" t="e">
        <v>#N/A</v>
      </c>
    </row>
    <row r="2345" spans="23:27" x14ac:dyDescent="0.2">
      <c r="W2345" s="173" t="str">
        <f t="shared" si="47"/>
        <v>1w</v>
      </c>
      <c r="X2345" s="180">
        <f>_xll.qlCalendarAdvance(LiborCalendar,X2344,W2345,"f",FALSE)</f>
        <v>55395</v>
      </c>
      <c r="Y2345" s="174">
        <f>_xll.qlInterestRateIndexValueDate(IborIndex,X2345)</f>
        <v>55397</v>
      </c>
      <c r="Z2345" s="175" t="e">
        <v>#N/A</v>
      </c>
      <c r="AA2345" s="177" t="e">
        <v>#N/A</v>
      </c>
    </row>
    <row r="2346" spans="23:27" x14ac:dyDescent="0.2">
      <c r="W2346" s="173" t="str">
        <f t="shared" si="47"/>
        <v>1w</v>
      </c>
      <c r="X2346" s="180">
        <f>_xll.qlCalendarAdvance(LiborCalendar,X2345,W2346,"f",FALSE)</f>
        <v>55402</v>
      </c>
      <c r="Y2346" s="174">
        <f>_xll.qlInterestRateIndexValueDate(IborIndex,X2346)</f>
        <v>55404</v>
      </c>
      <c r="Z2346" s="175" t="e">
        <v>#N/A</v>
      </c>
      <c r="AA2346" s="177" t="e">
        <v>#N/A</v>
      </c>
    </row>
    <row r="2347" spans="23:27" x14ac:dyDescent="0.2">
      <c r="W2347" s="173" t="str">
        <f t="shared" si="47"/>
        <v>1w</v>
      </c>
      <c r="X2347" s="180">
        <f>_xll.qlCalendarAdvance(LiborCalendar,X2346,W2347,"f",FALSE)</f>
        <v>55409</v>
      </c>
      <c r="Y2347" s="174">
        <f>_xll.qlInterestRateIndexValueDate(IborIndex,X2347)</f>
        <v>55411</v>
      </c>
      <c r="Z2347" s="175" t="e">
        <v>#N/A</v>
      </c>
      <c r="AA2347" s="177" t="e">
        <v>#N/A</v>
      </c>
    </row>
    <row r="2348" spans="23:27" x14ac:dyDescent="0.2">
      <c r="W2348" s="173" t="str">
        <f t="shared" si="47"/>
        <v>1w</v>
      </c>
      <c r="X2348" s="180">
        <f>_xll.qlCalendarAdvance(LiborCalendar,X2347,W2348,"f",FALSE)</f>
        <v>55416</v>
      </c>
      <c r="Y2348" s="174">
        <f>_xll.qlInterestRateIndexValueDate(IborIndex,X2348)</f>
        <v>55418</v>
      </c>
      <c r="Z2348" s="175" t="e">
        <v>#N/A</v>
      </c>
      <c r="AA2348" s="177" t="e">
        <v>#N/A</v>
      </c>
    </row>
    <row r="2349" spans="23:27" x14ac:dyDescent="0.2">
      <c r="W2349" s="173" t="str">
        <f t="shared" si="47"/>
        <v>1w</v>
      </c>
      <c r="X2349" s="180">
        <f>_xll.qlCalendarAdvance(LiborCalendar,X2348,W2349,"f",FALSE)</f>
        <v>55423</v>
      </c>
      <c r="Y2349" s="174">
        <f>_xll.qlInterestRateIndexValueDate(IborIndex,X2349)</f>
        <v>55425</v>
      </c>
      <c r="Z2349" s="175" t="e">
        <v>#N/A</v>
      </c>
      <c r="AA2349" s="177" t="e">
        <v>#N/A</v>
      </c>
    </row>
    <row r="2350" spans="23:27" x14ac:dyDescent="0.2">
      <c r="W2350" s="173" t="str">
        <f t="shared" si="47"/>
        <v>1w</v>
      </c>
      <c r="X2350" s="180">
        <f>_xll.qlCalendarAdvance(LiborCalendar,X2349,W2350,"f",FALSE)</f>
        <v>55430</v>
      </c>
      <c r="Y2350" s="174">
        <f>_xll.qlInterestRateIndexValueDate(IborIndex,X2350)</f>
        <v>55432</v>
      </c>
      <c r="Z2350" s="175" t="e">
        <v>#N/A</v>
      </c>
      <c r="AA2350" s="177" t="e">
        <v>#N/A</v>
      </c>
    </row>
    <row r="2351" spans="23:27" x14ac:dyDescent="0.2">
      <c r="W2351" s="173" t="str">
        <f t="shared" si="47"/>
        <v>1w</v>
      </c>
      <c r="X2351" s="180">
        <f>_xll.qlCalendarAdvance(LiborCalendar,X2350,W2351,"f",FALSE)</f>
        <v>55437</v>
      </c>
      <c r="Y2351" s="174">
        <f>_xll.qlInterestRateIndexValueDate(IborIndex,X2351)</f>
        <v>55439</v>
      </c>
      <c r="Z2351" s="175" t="e">
        <v>#N/A</v>
      </c>
      <c r="AA2351" s="177" t="e">
        <v>#N/A</v>
      </c>
    </row>
    <row r="2352" spans="23:27" x14ac:dyDescent="0.2">
      <c r="W2352" s="173" t="str">
        <f t="shared" si="47"/>
        <v>1w</v>
      </c>
      <c r="X2352" s="180">
        <f>_xll.qlCalendarAdvance(LiborCalendar,X2351,W2352,"f",FALSE)</f>
        <v>55444</v>
      </c>
      <c r="Y2352" s="174">
        <f>_xll.qlInterestRateIndexValueDate(IborIndex,X2352)</f>
        <v>55446</v>
      </c>
      <c r="Z2352" s="175" t="e">
        <v>#N/A</v>
      </c>
      <c r="AA2352" s="177" t="e">
        <v>#N/A</v>
      </c>
    </row>
    <row r="2353" spans="23:27" x14ac:dyDescent="0.2">
      <c r="W2353" s="173" t="str">
        <f t="shared" si="47"/>
        <v>1w</v>
      </c>
      <c r="X2353" s="180">
        <f>_xll.qlCalendarAdvance(LiborCalendar,X2352,W2353,"f",FALSE)</f>
        <v>55451</v>
      </c>
      <c r="Y2353" s="174">
        <f>_xll.qlInterestRateIndexValueDate(IborIndex,X2353)</f>
        <v>55453</v>
      </c>
      <c r="Z2353" s="175" t="e">
        <v>#N/A</v>
      </c>
      <c r="AA2353" s="177" t="e">
        <v>#N/A</v>
      </c>
    </row>
    <row r="2354" spans="23:27" x14ac:dyDescent="0.2">
      <c r="W2354" s="173" t="str">
        <f t="shared" si="47"/>
        <v>1w</v>
      </c>
      <c r="X2354" s="180">
        <f>_xll.qlCalendarAdvance(LiborCalendar,X2353,W2354,"f",FALSE)</f>
        <v>55458</v>
      </c>
      <c r="Y2354" s="174">
        <f>_xll.qlInterestRateIndexValueDate(IborIndex,X2354)</f>
        <v>55463</v>
      </c>
      <c r="Z2354" s="175" t="e">
        <v>#N/A</v>
      </c>
      <c r="AA2354" s="177" t="e">
        <v>#N/A</v>
      </c>
    </row>
    <row r="2355" spans="23:27" x14ac:dyDescent="0.2">
      <c r="W2355" s="173" t="str">
        <f t="shared" si="47"/>
        <v>1w</v>
      </c>
      <c r="X2355" s="180">
        <f>_xll.qlCalendarAdvance(LiborCalendar,X2354,W2355,"f",FALSE)</f>
        <v>55465</v>
      </c>
      <c r="Y2355" s="174">
        <f>_xll.qlInterestRateIndexValueDate(IborIndex,X2355)</f>
        <v>55467</v>
      </c>
      <c r="Z2355" s="175" t="e">
        <v>#N/A</v>
      </c>
      <c r="AA2355" s="177" t="e">
        <v>#N/A</v>
      </c>
    </row>
    <row r="2356" spans="23:27" x14ac:dyDescent="0.2">
      <c r="W2356" s="173" t="str">
        <f t="shared" si="47"/>
        <v>1w</v>
      </c>
      <c r="X2356" s="180">
        <f>_xll.qlCalendarAdvance(LiborCalendar,X2355,W2356,"f",FALSE)</f>
        <v>55472</v>
      </c>
      <c r="Y2356" s="174">
        <f>_xll.qlInterestRateIndexValueDate(IborIndex,X2356)</f>
        <v>55474</v>
      </c>
      <c r="Z2356" s="175" t="e">
        <v>#N/A</v>
      </c>
      <c r="AA2356" s="177" t="e">
        <v>#N/A</v>
      </c>
    </row>
    <row r="2357" spans="23:27" x14ac:dyDescent="0.2">
      <c r="W2357" s="173" t="str">
        <f t="shared" si="47"/>
        <v>1w</v>
      </c>
      <c r="X2357" s="180">
        <f>_xll.qlCalendarAdvance(LiborCalendar,X2356,W2357,"f",FALSE)</f>
        <v>55479</v>
      </c>
      <c r="Y2357" s="174">
        <f>_xll.qlInterestRateIndexValueDate(IborIndex,X2357)</f>
        <v>55481</v>
      </c>
      <c r="Z2357" s="175" t="e">
        <v>#N/A</v>
      </c>
      <c r="AA2357" s="177" t="e">
        <v>#N/A</v>
      </c>
    </row>
    <row r="2358" spans="23:27" x14ac:dyDescent="0.2">
      <c r="W2358" s="173" t="str">
        <f t="shared" si="47"/>
        <v>1w</v>
      </c>
      <c r="X2358" s="180">
        <f>_xll.qlCalendarAdvance(LiborCalendar,X2357,W2358,"f",FALSE)</f>
        <v>55486</v>
      </c>
      <c r="Y2358" s="174">
        <f>_xll.qlInterestRateIndexValueDate(IborIndex,X2358)</f>
        <v>55488</v>
      </c>
      <c r="Z2358" s="175" t="e">
        <v>#N/A</v>
      </c>
      <c r="AA2358" s="177" t="e">
        <v>#N/A</v>
      </c>
    </row>
    <row r="2359" spans="23:27" x14ac:dyDescent="0.2">
      <c r="W2359" s="173" t="str">
        <f t="shared" si="47"/>
        <v>1w</v>
      </c>
      <c r="X2359" s="180">
        <f>_xll.qlCalendarAdvance(LiborCalendar,X2358,W2359,"f",FALSE)</f>
        <v>55493</v>
      </c>
      <c r="Y2359" s="174">
        <f>_xll.qlInterestRateIndexValueDate(IborIndex,X2359)</f>
        <v>55495</v>
      </c>
      <c r="Z2359" s="175" t="e">
        <v>#N/A</v>
      </c>
      <c r="AA2359" s="177" t="e">
        <v>#N/A</v>
      </c>
    </row>
    <row r="2360" spans="23:27" x14ac:dyDescent="0.2">
      <c r="W2360" s="173" t="str">
        <f t="shared" si="47"/>
        <v>1w</v>
      </c>
      <c r="X2360" s="180">
        <f>_xll.qlCalendarAdvance(LiborCalendar,X2359,W2360,"f",FALSE)</f>
        <v>55500</v>
      </c>
      <c r="Y2360" s="174">
        <f>_xll.qlInterestRateIndexValueDate(IborIndex,X2360)</f>
        <v>55502</v>
      </c>
      <c r="Z2360" s="175" t="e">
        <v>#N/A</v>
      </c>
      <c r="AA2360" s="177" t="e">
        <v>#N/A</v>
      </c>
    </row>
    <row r="2361" spans="23:27" x14ac:dyDescent="0.2">
      <c r="W2361" s="173" t="str">
        <f t="shared" si="47"/>
        <v>1w</v>
      </c>
      <c r="X2361" s="180">
        <f>_xll.qlCalendarAdvance(LiborCalendar,X2360,W2361,"f",FALSE)</f>
        <v>55507</v>
      </c>
      <c r="Y2361" s="174">
        <f>_xll.qlInterestRateIndexValueDate(IborIndex,X2361)</f>
        <v>55509</v>
      </c>
      <c r="Z2361" s="175" t="e">
        <v>#N/A</v>
      </c>
      <c r="AA2361" s="177" t="e">
        <v>#N/A</v>
      </c>
    </row>
    <row r="2362" spans="23:27" x14ac:dyDescent="0.2">
      <c r="W2362" s="173" t="str">
        <f t="shared" si="47"/>
        <v>1w</v>
      </c>
      <c r="X2362" s="180">
        <f>_xll.qlCalendarAdvance(LiborCalendar,X2361,W2362,"f",FALSE)</f>
        <v>55514</v>
      </c>
      <c r="Y2362" s="174">
        <f>_xll.qlInterestRateIndexValueDate(IborIndex,X2362)</f>
        <v>55516</v>
      </c>
      <c r="Z2362" s="175" t="e">
        <v>#N/A</v>
      </c>
      <c r="AA2362" s="177" t="e">
        <v>#N/A</v>
      </c>
    </row>
    <row r="2363" spans="23:27" x14ac:dyDescent="0.2">
      <c r="W2363" s="173" t="str">
        <f t="shared" si="47"/>
        <v>1w</v>
      </c>
      <c r="X2363" s="180">
        <f>_xll.qlCalendarAdvance(LiborCalendar,X2362,W2363,"f",FALSE)</f>
        <v>55521</v>
      </c>
      <c r="Y2363" s="174">
        <f>_xll.qlInterestRateIndexValueDate(IborIndex,X2363)</f>
        <v>55523</v>
      </c>
      <c r="Z2363" s="175" t="e">
        <v>#N/A</v>
      </c>
      <c r="AA2363" s="177" t="e">
        <v>#N/A</v>
      </c>
    </row>
    <row r="2364" spans="23:27" x14ac:dyDescent="0.2">
      <c r="W2364" s="173" t="str">
        <f t="shared" si="47"/>
        <v>1w</v>
      </c>
      <c r="X2364" s="180">
        <f>_xll.qlCalendarAdvance(LiborCalendar,X2363,W2364,"f",FALSE)</f>
        <v>55528</v>
      </c>
      <c r="Y2364" s="174">
        <f>_xll.qlInterestRateIndexValueDate(IborIndex,X2364)</f>
        <v>55530</v>
      </c>
      <c r="Z2364" s="175" t="e">
        <v>#N/A</v>
      </c>
      <c r="AA2364" s="177" t="e">
        <v>#N/A</v>
      </c>
    </row>
    <row r="2365" spans="23:27" x14ac:dyDescent="0.2">
      <c r="W2365" s="173" t="str">
        <f t="shared" si="47"/>
        <v>1w</v>
      </c>
      <c r="X2365" s="180">
        <f>_xll.qlCalendarAdvance(LiborCalendar,X2364,W2365,"f",FALSE)</f>
        <v>55535</v>
      </c>
      <c r="Y2365" s="174">
        <f>_xll.qlInterestRateIndexValueDate(IborIndex,X2365)</f>
        <v>55537</v>
      </c>
      <c r="Z2365" s="175" t="e">
        <v>#N/A</v>
      </c>
      <c r="AA2365" s="177" t="e">
        <v>#N/A</v>
      </c>
    </row>
    <row r="2366" spans="23:27" x14ac:dyDescent="0.2">
      <c r="W2366" s="173" t="str">
        <f t="shared" si="47"/>
        <v>1w</v>
      </c>
      <c r="X2366" s="180">
        <f>_xll.qlCalendarAdvance(LiborCalendar,X2365,W2366,"f",FALSE)</f>
        <v>55542</v>
      </c>
      <c r="Y2366" s="174">
        <f>_xll.qlInterestRateIndexValueDate(IborIndex,X2366)</f>
        <v>55544</v>
      </c>
      <c r="Z2366" s="175" t="e">
        <v>#N/A</v>
      </c>
      <c r="AA2366" s="177" t="e">
        <v>#N/A</v>
      </c>
    </row>
    <row r="2367" spans="23:27" x14ac:dyDescent="0.2">
      <c r="W2367" s="173" t="str">
        <f t="shared" si="47"/>
        <v>1w</v>
      </c>
      <c r="X2367" s="180">
        <f>_xll.qlCalendarAdvance(LiborCalendar,X2366,W2367,"f",FALSE)</f>
        <v>55549</v>
      </c>
      <c r="Y2367" s="174">
        <f>_xll.qlInterestRateIndexValueDate(IborIndex,X2367)</f>
        <v>55551</v>
      </c>
      <c r="Z2367" s="175" t="e">
        <v>#N/A</v>
      </c>
      <c r="AA2367" s="177" t="e">
        <v>#N/A</v>
      </c>
    </row>
    <row r="2368" spans="23:27" x14ac:dyDescent="0.2">
      <c r="W2368" s="173" t="str">
        <f t="shared" si="47"/>
        <v>1w</v>
      </c>
      <c r="X2368" s="180">
        <f>_xll.qlCalendarAdvance(LiborCalendar,X2367,W2368,"f",FALSE)</f>
        <v>55556</v>
      </c>
      <c r="Y2368" s="174">
        <f>_xll.qlInterestRateIndexValueDate(IborIndex,X2368)</f>
        <v>55558</v>
      </c>
      <c r="Z2368" s="175" t="e">
        <v>#N/A</v>
      </c>
      <c r="AA2368" s="177" t="e">
        <v>#N/A</v>
      </c>
    </row>
    <row r="2369" spans="23:27" x14ac:dyDescent="0.2">
      <c r="W2369" s="173" t="str">
        <f t="shared" si="47"/>
        <v>1w</v>
      </c>
      <c r="X2369" s="180">
        <f>_xll.qlCalendarAdvance(LiborCalendar,X2368,W2369,"f",FALSE)</f>
        <v>55563</v>
      </c>
      <c r="Y2369" s="174">
        <f>_xll.qlInterestRateIndexValueDate(IborIndex,X2369)</f>
        <v>55565</v>
      </c>
      <c r="Z2369" s="175" t="e">
        <v>#N/A</v>
      </c>
      <c r="AA2369" s="177" t="e">
        <v>#N/A</v>
      </c>
    </row>
    <row r="2370" spans="23:27" x14ac:dyDescent="0.2">
      <c r="W2370" s="173" t="str">
        <f t="shared" si="47"/>
        <v>1w</v>
      </c>
      <c r="X2370" s="180">
        <f>_xll.qlCalendarAdvance(LiborCalendar,X2369,W2370,"f",FALSE)</f>
        <v>55570</v>
      </c>
      <c r="Y2370" s="174">
        <f>_xll.qlInterestRateIndexValueDate(IborIndex,X2370)</f>
        <v>55572</v>
      </c>
      <c r="Z2370" s="175" t="e">
        <v>#N/A</v>
      </c>
      <c r="AA2370" s="177" t="e">
        <v>#N/A</v>
      </c>
    </row>
    <row r="2371" spans="23:27" x14ac:dyDescent="0.2">
      <c r="W2371" s="173" t="str">
        <f t="shared" si="47"/>
        <v>1w</v>
      </c>
      <c r="X2371" s="180">
        <f>_xll.qlCalendarAdvance(LiborCalendar,X2370,W2371,"f",FALSE)</f>
        <v>55577</v>
      </c>
      <c r="Y2371" s="174">
        <f>_xll.qlInterestRateIndexValueDate(IborIndex,X2371)</f>
        <v>55579</v>
      </c>
      <c r="Z2371" s="175" t="e">
        <v>#N/A</v>
      </c>
      <c r="AA2371" s="177" t="e">
        <v>#N/A</v>
      </c>
    </row>
    <row r="2372" spans="23:27" x14ac:dyDescent="0.2">
      <c r="W2372" s="173" t="str">
        <f t="shared" si="47"/>
        <v>1w</v>
      </c>
      <c r="X2372" s="180">
        <f>_xll.qlCalendarAdvance(LiborCalendar,X2371,W2372,"f",FALSE)</f>
        <v>55584</v>
      </c>
      <c r="Y2372" s="174">
        <f>_xll.qlInterestRateIndexValueDate(IborIndex,X2372)</f>
        <v>55586</v>
      </c>
      <c r="Z2372" s="175" t="e">
        <v>#N/A</v>
      </c>
      <c r="AA2372" s="177" t="e">
        <v>#N/A</v>
      </c>
    </row>
    <row r="2373" spans="23:27" x14ac:dyDescent="0.2">
      <c r="W2373" s="173" t="str">
        <f t="shared" si="47"/>
        <v>1w</v>
      </c>
      <c r="X2373" s="180">
        <f>_xll.qlCalendarAdvance(LiborCalendar,X2372,W2373,"f",FALSE)</f>
        <v>55591</v>
      </c>
      <c r="Y2373" s="174">
        <f>_xll.qlInterestRateIndexValueDate(IborIndex,X2373)</f>
        <v>55593</v>
      </c>
      <c r="Z2373" s="175" t="e">
        <v>#N/A</v>
      </c>
      <c r="AA2373" s="177" t="e">
        <v>#N/A</v>
      </c>
    </row>
    <row r="2374" spans="23:27" x14ac:dyDescent="0.2">
      <c r="W2374" s="173" t="str">
        <f t="shared" si="47"/>
        <v>1w</v>
      </c>
      <c r="X2374" s="180">
        <f>_xll.qlCalendarAdvance(LiborCalendar,X2373,W2374,"f",FALSE)</f>
        <v>55598</v>
      </c>
      <c r="Y2374" s="174">
        <f>_xll.qlInterestRateIndexValueDate(IborIndex,X2374)</f>
        <v>55600</v>
      </c>
      <c r="Z2374" s="175" t="e">
        <v>#N/A</v>
      </c>
      <c r="AA2374" s="177" t="e">
        <v>#N/A</v>
      </c>
    </row>
    <row r="2375" spans="23:27" x14ac:dyDescent="0.2">
      <c r="W2375" s="173" t="str">
        <f t="shared" si="47"/>
        <v>1w</v>
      </c>
      <c r="X2375" s="180">
        <f>_xll.qlCalendarAdvance(LiborCalendar,X2374,W2375,"f",FALSE)</f>
        <v>55605</v>
      </c>
      <c r="Y2375" s="174">
        <f>_xll.qlInterestRateIndexValueDate(IborIndex,X2375)</f>
        <v>55607</v>
      </c>
      <c r="Z2375" s="175" t="e">
        <v>#N/A</v>
      </c>
      <c r="AA2375" s="177" t="e">
        <v>#N/A</v>
      </c>
    </row>
    <row r="2376" spans="23:27" x14ac:dyDescent="0.2">
      <c r="W2376" s="173" t="str">
        <f t="shared" si="47"/>
        <v>1w</v>
      </c>
      <c r="X2376" s="180">
        <f>_xll.qlCalendarAdvance(LiborCalendar,X2375,W2376,"f",FALSE)</f>
        <v>55612</v>
      </c>
      <c r="Y2376" s="174">
        <f>_xll.qlInterestRateIndexValueDate(IborIndex,X2376)</f>
        <v>55614</v>
      </c>
      <c r="Z2376" s="175" t="e">
        <v>#N/A</v>
      </c>
      <c r="AA2376" s="177" t="e">
        <v>#N/A</v>
      </c>
    </row>
    <row r="2377" spans="23:27" x14ac:dyDescent="0.2">
      <c r="W2377" s="173" t="str">
        <f t="shared" si="47"/>
        <v>1w</v>
      </c>
      <c r="X2377" s="180">
        <f>_xll.qlCalendarAdvance(LiborCalendar,X2376,W2377,"f",FALSE)</f>
        <v>55619</v>
      </c>
      <c r="Y2377" s="174">
        <f>_xll.qlInterestRateIndexValueDate(IborIndex,X2377)</f>
        <v>55621</v>
      </c>
      <c r="Z2377" s="175" t="e">
        <v>#N/A</v>
      </c>
      <c r="AA2377" s="177" t="e">
        <v>#N/A</v>
      </c>
    </row>
    <row r="2378" spans="23:27" x14ac:dyDescent="0.2">
      <c r="W2378" s="173" t="str">
        <f t="shared" si="47"/>
        <v>1w</v>
      </c>
      <c r="X2378" s="180">
        <f>_xll.qlCalendarAdvance(LiborCalendar,X2377,W2378,"f",FALSE)</f>
        <v>55626</v>
      </c>
      <c r="Y2378" s="174">
        <f>_xll.qlInterestRateIndexValueDate(IborIndex,X2378)</f>
        <v>55632</v>
      </c>
      <c r="Z2378" s="175" t="e">
        <v>#N/A</v>
      </c>
      <c r="AA2378" s="177" t="e">
        <v>#N/A</v>
      </c>
    </row>
    <row r="2379" spans="23:27" x14ac:dyDescent="0.2">
      <c r="W2379" s="173" t="str">
        <f t="shared" si="47"/>
        <v>1w</v>
      </c>
      <c r="X2379" s="180">
        <f>_xll.qlCalendarAdvance(LiborCalendar,X2378,W2379,"f",FALSE)</f>
        <v>55633</v>
      </c>
      <c r="Y2379" s="174">
        <f>_xll.qlInterestRateIndexValueDate(IborIndex,X2379)</f>
        <v>55635</v>
      </c>
      <c r="Z2379" s="175" t="e">
        <v>#N/A</v>
      </c>
      <c r="AA2379" s="177" t="e">
        <v>#N/A</v>
      </c>
    </row>
    <row r="2380" spans="23:27" x14ac:dyDescent="0.2">
      <c r="W2380" s="173" t="str">
        <f t="shared" si="47"/>
        <v>1w</v>
      </c>
      <c r="X2380" s="180">
        <f>_xll.qlCalendarAdvance(LiborCalendar,X2379,W2380,"f",FALSE)</f>
        <v>55640</v>
      </c>
      <c r="Y2380" s="174">
        <f>_xll.qlInterestRateIndexValueDate(IborIndex,X2380)</f>
        <v>55646</v>
      </c>
      <c r="Z2380" s="175" t="e">
        <v>#N/A</v>
      </c>
      <c r="AA2380" s="177" t="e">
        <v>#N/A</v>
      </c>
    </row>
    <row r="2381" spans="23:27" x14ac:dyDescent="0.2">
      <c r="W2381" s="173" t="str">
        <f t="shared" si="47"/>
        <v>1w</v>
      </c>
      <c r="X2381" s="180">
        <f>_xll.qlCalendarAdvance(LiborCalendar,X2380,W2381,"f",FALSE)</f>
        <v>55647</v>
      </c>
      <c r="Y2381" s="174">
        <f>_xll.qlInterestRateIndexValueDate(IborIndex,X2381)</f>
        <v>55649</v>
      </c>
      <c r="Z2381" s="175" t="e">
        <v>#N/A</v>
      </c>
      <c r="AA2381" s="177" t="e">
        <v>#N/A</v>
      </c>
    </row>
    <row r="2382" spans="23:27" x14ac:dyDescent="0.2">
      <c r="W2382" s="173" t="str">
        <f t="shared" si="47"/>
        <v>1w</v>
      </c>
      <c r="X2382" s="180">
        <f>_xll.qlCalendarAdvance(LiborCalendar,X2381,W2382,"f",FALSE)</f>
        <v>55654</v>
      </c>
      <c r="Y2382" s="174">
        <f>_xll.qlInterestRateIndexValueDate(IborIndex,X2382)</f>
        <v>55656</v>
      </c>
      <c r="Z2382" s="175" t="e">
        <v>#N/A</v>
      </c>
      <c r="AA2382" s="177" t="e">
        <v>#N/A</v>
      </c>
    </row>
    <row r="2383" spans="23:27" x14ac:dyDescent="0.2">
      <c r="W2383" s="173" t="str">
        <f t="shared" si="47"/>
        <v>1w</v>
      </c>
      <c r="X2383" s="180">
        <f>_xll.qlCalendarAdvance(LiborCalendar,X2382,W2383,"f",FALSE)</f>
        <v>55661</v>
      </c>
      <c r="Y2383" s="174">
        <f>_xll.qlInterestRateIndexValueDate(IborIndex,X2383)</f>
        <v>55663</v>
      </c>
      <c r="Z2383" s="175" t="e">
        <v>#N/A</v>
      </c>
      <c r="AA2383" s="177" t="e">
        <v>#N/A</v>
      </c>
    </row>
    <row r="2384" spans="23:27" x14ac:dyDescent="0.2">
      <c r="W2384" s="173" t="str">
        <f t="shared" si="47"/>
        <v>1w</v>
      </c>
      <c r="X2384" s="180">
        <f>_xll.qlCalendarAdvance(LiborCalendar,X2383,W2384,"f",FALSE)</f>
        <v>55668</v>
      </c>
      <c r="Y2384" s="174">
        <f>_xll.qlInterestRateIndexValueDate(IborIndex,X2384)</f>
        <v>55670</v>
      </c>
      <c r="Z2384" s="175" t="e">
        <v>#N/A</v>
      </c>
      <c r="AA2384" s="177" t="e">
        <v>#N/A</v>
      </c>
    </row>
    <row r="2385" spans="23:27" x14ac:dyDescent="0.2">
      <c r="W2385" s="173" t="str">
        <f t="shared" si="47"/>
        <v>1w</v>
      </c>
      <c r="X2385" s="180">
        <f>_xll.qlCalendarAdvance(LiborCalendar,X2384,W2385,"f",FALSE)</f>
        <v>55675</v>
      </c>
      <c r="Y2385" s="174">
        <f>_xll.qlInterestRateIndexValueDate(IborIndex,X2385)</f>
        <v>55677</v>
      </c>
      <c r="Z2385" s="175" t="e">
        <v>#N/A</v>
      </c>
      <c r="AA2385" s="177" t="e">
        <v>#N/A</v>
      </c>
    </row>
    <row r="2386" spans="23:27" x14ac:dyDescent="0.2">
      <c r="W2386" s="173" t="str">
        <f t="shared" si="47"/>
        <v>1w</v>
      </c>
      <c r="X2386" s="180">
        <f>_xll.qlCalendarAdvance(LiborCalendar,X2385,W2386,"f",FALSE)</f>
        <v>55682</v>
      </c>
      <c r="Y2386" s="174">
        <f>_xll.qlInterestRateIndexValueDate(IborIndex,X2386)</f>
        <v>55684</v>
      </c>
      <c r="Z2386" s="175" t="e">
        <v>#N/A</v>
      </c>
      <c r="AA2386" s="177" t="e">
        <v>#N/A</v>
      </c>
    </row>
    <row r="2387" spans="23:27" x14ac:dyDescent="0.2">
      <c r="W2387" s="173" t="str">
        <f t="shared" si="47"/>
        <v>1w</v>
      </c>
      <c r="X2387" s="180">
        <f>_xll.qlCalendarAdvance(LiborCalendar,X2386,W2387,"f",FALSE)</f>
        <v>55689</v>
      </c>
      <c r="Y2387" s="174">
        <f>_xll.qlInterestRateIndexValueDate(IborIndex,X2387)</f>
        <v>55691</v>
      </c>
      <c r="Z2387" s="175" t="e">
        <v>#N/A</v>
      </c>
      <c r="AA2387" s="177" t="e">
        <v>#N/A</v>
      </c>
    </row>
    <row r="2388" spans="23:27" x14ac:dyDescent="0.2">
      <c r="W2388" s="173" t="str">
        <f t="shared" si="47"/>
        <v>1w</v>
      </c>
      <c r="X2388" s="180">
        <f>_xll.qlCalendarAdvance(LiborCalendar,X2387,W2388,"f",FALSE)</f>
        <v>55696</v>
      </c>
      <c r="Y2388" s="174">
        <f>_xll.qlInterestRateIndexValueDate(IborIndex,X2388)</f>
        <v>55698</v>
      </c>
      <c r="Z2388" s="175" t="e">
        <v>#N/A</v>
      </c>
      <c r="AA2388" s="177" t="e">
        <v>#N/A</v>
      </c>
    </row>
    <row r="2389" spans="23:27" x14ac:dyDescent="0.2">
      <c r="W2389" s="173" t="str">
        <f t="shared" ref="W2389:W2452" si="48">W2388</f>
        <v>1w</v>
      </c>
      <c r="X2389" s="180">
        <f>_xll.qlCalendarAdvance(LiborCalendar,X2388,W2389,"f",FALSE)</f>
        <v>55703</v>
      </c>
      <c r="Y2389" s="174">
        <f>_xll.qlInterestRateIndexValueDate(IborIndex,X2389)</f>
        <v>55705</v>
      </c>
      <c r="Z2389" s="175" t="e">
        <v>#N/A</v>
      </c>
      <c r="AA2389" s="177" t="e">
        <v>#N/A</v>
      </c>
    </row>
    <row r="2390" spans="23:27" x14ac:dyDescent="0.2">
      <c r="W2390" s="173" t="str">
        <f t="shared" si="48"/>
        <v>1w</v>
      </c>
      <c r="X2390" s="180">
        <f>_xll.qlCalendarAdvance(LiborCalendar,X2389,W2390,"f",FALSE)</f>
        <v>55710</v>
      </c>
      <c r="Y2390" s="174">
        <f>_xll.qlInterestRateIndexValueDate(IborIndex,X2390)</f>
        <v>55712</v>
      </c>
      <c r="Z2390" s="175" t="e">
        <v>#N/A</v>
      </c>
      <c r="AA2390" s="177" t="e">
        <v>#N/A</v>
      </c>
    </row>
    <row r="2391" spans="23:27" x14ac:dyDescent="0.2">
      <c r="W2391" s="173" t="str">
        <f t="shared" si="48"/>
        <v>1w</v>
      </c>
      <c r="X2391" s="180">
        <f>_xll.qlCalendarAdvance(LiborCalendar,X2390,W2391,"f",FALSE)</f>
        <v>55717</v>
      </c>
      <c r="Y2391" s="174">
        <f>_xll.qlInterestRateIndexValueDate(IborIndex,X2391)</f>
        <v>55719</v>
      </c>
      <c r="Z2391" s="175" t="e">
        <v>#N/A</v>
      </c>
      <c r="AA2391" s="177" t="e">
        <v>#N/A</v>
      </c>
    </row>
    <row r="2392" spans="23:27" x14ac:dyDescent="0.2">
      <c r="W2392" s="173" t="str">
        <f t="shared" si="48"/>
        <v>1w</v>
      </c>
      <c r="X2392" s="180">
        <f>_xll.qlCalendarAdvance(LiborCalendar,X2391,W2392,"f",FALSE)</f>
        <v>55724</v>
      </c>
      <c r="Y2392" s="174">
        <f>_xll.qlInterestRateIndexValueDate(IborIndex,X2392)</f>
        <v>55726</v>
      </c>
      <c r="Z2392" s="175" t="e">
        <v>#N/A</v>
      </c>
      <c r="AA2392" s="177" t="e">
        <v>#N/A</v>
      </c>
    </row>
    <row r="2393" spans="23:27" x14ac:dyDescent="0.2">
      <c r="W2393" s="173" t="str">
        <f t="shared" si="48"/>
        <v>1w</v>
      </c>
      <c r="X2393" s="180">
        <f>_xll.qlCalendarAdvance(LiborCalendar,X2392,W2393,"f",FALSE)</f>
        <v>55731</v>
      </c>
      <c r="Y2393" s="174">
        <f>_xll.qlInterestRateIndexValueDate(IborIndex,X2393)</f>
        <v>55733</v>
      </c>
      <c r="Z2393" s="175" t="e">
        <v>#N/A</v>
      </c>
      <c r="AA2393" s="177" t="e">
        <v>#N/A</v>
      </c>
    </row>
    <row r="2394" spans="23:27" x14ac:dyDescent="0.2">
      <c r="W2394" s="173" t="str">
        <f t="shared" si="48"/>
        <v>1w</v>
      </c>
      <c r="X2394" s="180">
        <f>_xll.qlCalendarAdvance(LiborCalendar,X2393,W2394,"f",FALSE)</f>
        <v>55738</v>
      </c>
      <c r="Y2394" s="174">
        <f>_xll.qlInterestRateIndexValueDate(IborIndex,X2394)</f>
        <v>55740</v>
      </c>
      <c r="Z2394" s="175" t="e">
        <v>#N/A</v>
      </c>
      <c r="AA2394" s="177" t="e">
        <v>#N/A</v>
      </c>
    </row>
    <row r="2395" spans="23:27" x14ac:dyDescent="0.2">
      <c r="W2395" s="173" t="str">
        <f t="shared" si="48"/>
        <v>1w</v>
      </c>
      <c r="X2395" s="180">
        <f>_xll.qlCalendarAdvance(LiborCalendar,X2394,W2395,"f",FALSE)</f>
        <v>55745</v>
      </c>
      <c r="Y2395" s="174">
        <f>_xll.qlInterestRateIndexValueDate(IborIndex,X2395)</f>
        <v>55747</v>
      </c>
      <c r="Z2395" s="175" t="e">
        <v>#N/A</v>
      </c>
      <c r="AA2395" s="177" t="e">
        <v>#N/A</v>
      </c>
    </row>
    <row r="2396" spans="23:27" x14ac:dyDescent="0.2">
      <c r="W2396" s="173" t="str">
        <f t="shared" si="48"/>
        <v>1w</v>
      </c>
      <c r="X2396" s="180">
        <f>_xll.qlCalendarAdvance(LiborCalendar,X2395,W2396,"f",FALSE)</f>
        <v>55752</v>
      </c>
      <c r="Y2396" s="174">
        <f>_xll.qlInterestRateIndexValueDate(IborIndex,X2396)</f>
        <v>55754</v>
      </c>
      <c r="Z2396" s="175" t="e">
        <v>#N/A</v>
      </c>
      <c r="AA2396" s="177" t="e">
        <v>#N/A</v>
      </c>
    </row>
    <row r="2397" spans="23:27" x14ac:dyDescent="0.2">
      <c r="W2397" s="173" t="str">
        <f t="shared" si="48"/>
        <v>1w</v>
      </c>
      <c r="X2397" s="180">
        <f>_xll.qlCalendarAdvance(LiborCalendar,X2396,W2397,"f",FALSE)</f>
        <v>55759</v>
      </c>
      <c r="Y2397" s="174">
        <f>_xll.qlInterestRateIndexValueDate(IborIndex,X2397)</f>
        <v>55761</v>
      </c>
      <c r="Z2397" s="175" t="e">
        <v>#N/A</v>
      </c>
      <c r="AA2397" s="177" t="e">
        <v>#N/A</v>
      </c>
    </row>
    <row r="2398" spans="23:27" x14ac:dyDescent="0.2">
      <c r="W2398" s="173" t="str">
        <f t="shared" si="48"/>
        <v>1w</v>
      </c>
      <c r="X2398" s="180">
        <f>_xll.qlCalendarAdvance(LiborCalendar,X2397,W2398,"f",FALSE)</f>
        <v>55766</v>
      </c>
      <c r="Y2398" s="174">
        <f>_xll.qlInterestRateIndexValueDate(IborIndex,X2398)</f>
        <v>55768</v>
      </c>
      <c r="Z2398" s="175" t="e">
        <v>#N/A</v>
      </c>
      <c r="AA2398" s="177" t="e">
        <v>#N/A</v>
      </c>
    </row>
    <row r="2399" spans="23:27" x14ac:dyDescent="0.2">
      <c r="W2399" s="173" t="str">
        <f t="shared" si="48"/>
        <v>1w</v>
      </c>
      <c r="X2399" s="180">
        <f>_xll.qlCalendarAdvance(LiborCalendar,X2398,W2399,"f",FALSE)</f>
        <v>55773</v>
      </c>
      <c r="Y2399" s="174">
        <f>_xll.qlInterestRateIndexValueDate(IborIndex,X2399)</f>
        <v>55775</v>
      </c>
      <c r="Z2399" s="175" t="e">
        <v>#N/A</v>
      </c>
      <c r="AA2399" s="177" t="e">
        <v>#N/A</v>
      </c>
    </row>
    <row r="2400" spans="23:27" x14ac:dyDescent="0.2">
      <c r="W2400" s="173" t="str">
        <f t="shared" si="48"/>
        <v>1w</v>
      </c>
      <c r="X2400" s="180">
        <f>_xll.qlCalendarAdvance(LiborCalendar,X2399,W2400,"f",FALSE)</f>
        <v>55780</v>
      </c>
      <c r="Y2400" s="174">
        <f>_xll.qlInterestRateIndexValueDate(IborIndex,X2400)</f>
        <v>55782</v>
      </c>
      <c r="Z2400" s="175" t="e">
        <v>#N/A</v>
      </c>
      <c r="AA2400" s="177" t="e">
        <v>#N/A</v>
      </c>
    </row>
    <row r="2401" spans="23:27" x14ac:dyDescent="0.2">
      <c r="W2401" s="173" t="str">
        <f t="shared" si="48"/>
        <v>1w</v>
      </c>
      <c r="X2401" s="180">
        <f>_xll.qlCalendarAdvance(LiborCalendar,X2400,W2401,"f",FALSE)</f>
        <v>55787</v>
      </c>
      <c r="Y2401" s="174">
        <f>_xll.qlInterestRateIndexValueDate(IborIndex,X2401)</f>
        <v>55789</v>
      </c>
      <c r="Z2401" s="175" t="e">
        <v>#N/A</v>
      </c>
      <c r="AA2401" s="177" t="e">
        <v>#N/A</v>
      </c>
    </row>
    <row r="2402" spans="23:27" x14ac:dyDescent="0.2">
      <c r="W2402" s="173" t="str">
        <f t="shared" si="48"/>
        <v>1w</v>
      </c>
      <c r="X2402" s="180">
        <f>_xll.qlCalendarAdvance(LiborCalendar,X2401,W2402,"f",FALSE)</f>
        <v>55794</v>
      </c>
      <c r="Y2402" s="174">
        <f>_xll.qlInterestRateIndexValueDate(IborIndex,X2402)</f>
        <v>55796</v>
      </c>
      <c r="Z2402" s="175" t="e">
        <v>#N/A</v>
      </c>
      <c r="AA2402" s="177" t="e">
        <v>#N/A</v>
      </c>
    </row>
    <row r="2403" spans="23:27" x14ac:dyDescent="0.2">
      <c r="W2403" s="173" t="str">
        <f t="shared" si="48"/>
        <v>1w</v>
      </c>
      <c r="X2403" s="180">
        <f>_xll.qlCalendarAdvance(LiborCalendar,X2402,W2403,"f",FALSE)</f>
        <v>55801</v>
      </c>
      <c r="Y2403" s="174">
        <f>_xll.qlInterestRateIndexValueDate(IborIndex,X2403)</f>
        <v>55803</v>
      </c>
      <c r="Z2403" s="175" t="e">
        <v>#N/A</v>
      </c>
      <c r="AA2403" s="177" t="e">
        <v>#N/A</v>
      </c>
    </row>
    <row r="2404" spans="23:27" x14ac:dyDescent="0.2">
      <c r="W2404" s="173" t="str">
        <f t="shared" si="48"/>
        <v>1w</v>
      </c>
      <c r="X2404" s="180">
        <f>_xll.qlCalendarAdvance(LiborCalendar,X2403,W2404,"f",FALSE)</f>
        <v>55808</v>
      </c>
      <c r="Y2404" s="174">
        <f>_xll.qlInterestRateIndexValueDate(IborIndex,X2404)</f>
        <v>55810</v>
      </c>
      <c r="Z2404" s="175" t="e">
        <v>#N/A</v>
      </c>
      <c r="AA2404" s="177" t="e">
        <v>#N/A</v>
      </c>
    </row>
    <row r="2405" spans="23:27" x14ac:dyDescent="0.2">
      <c r="W2405" s="173" t="str">
        <f t="shared" si="48"/>
        <v>1w</v>
      </c>
      <c r="X2405" s="180">
        <f>_xll.qlCalendarAdvance(LiborCalendar,X2404,W2405,"f",FALSE)</f>
        <v>55815</v>
      </c>
      <c r="Y2405" s="174">
        <f>_xll.qlInterestRateIndexValueDate(IborIndex,X2405)</f>
        <v>55817</v>
      </c>
      <c r="Z2405" s="175" t="e">
        <v>#N/A</v>
      </c>
      <c r="AA2405" s="177" t="e">
        <v>#N/A</v>
      </c>
    </row>
    <row r="2406" spans="23:27" x14ac:dyDescent="0.2">
      <c r="W2406" s="173" t="str">
        <f t="shared" si="48"/>
        <v>1w</v>
      </c>
      <c r="X2406" s="180">
        <f>_xll.qlCalendarAdvance(LiborCalendar,X2405,W2406,"f",FALSE)</f>
        <v>55822</v>
      </c>
      <c r="Y2406" s="174">
        <f>_xll.qlInterestRateIndexValueDate(IborIndex,X2406)</f>
        <v>55824</v>
      </c>
      <c r="Z2406" s="175" t="e">
        <v>#N/A</v>
      </c>
      <c r="AA2406" s="177" t="e">
        <v>#N/A</v>
      </c>
    </row>
    <row r="2407" spans="23:27" x14ac:dyDescent="0.2">
      <c r="W2407" s="173" t="str">
        <f t="shared" si="48"/>
        <v>1w</v>
      </c>
      <c r="X2407" s="180">
        <f>_xll.qlCalendarAdvance(LiborCalendar,X2406,W2407,"f",FALSE)</f>
        <v>55829</v>
      </c>
      <c r="Y2407" s="174">
        <f>_xll.qlInterestRateIndexValueDate(IborIndex,X2407)</f>
        <v>55831</v>
      </c>
      <c r="Z2407" s="175" t="e">
        <v>#N/A</v>
      </c>
      <c r="AA2407" s="177" t="e">
        <v>#N/A</v>
      </c>
    </row>
    <row r="2408" spans="23:27" x14ac:dyDescent="0.2">
      <c r="W2408" s="173" t="str">
        <f t="shared" si="48"/>
        <v>1w</v>
      </c>
      <c r="X2408" s="180">
        <f>_xll.qlCalendarAdvance(LiborCalendar,X2407,W2408,"f",FALSE)</f>
        <v>55836</v>
      </c>
      <c r="Y2408" s="174">
        <f>_xll.qlInterestRateIndexValueDate(IborIndex,X2408)</f>
        <v>55838</v>
      </c>
      <c r="Z2408" s="175" t="e">
        <v>#N/A</v>
      </c>
      <c r="AA2408" s="177" t="e">
        <v>#N/A</v>
      </c>
    </row>
    <row r="2409" spans="23:27" x14ac:dyDescent="0.2">
      <c r="W2409" s="173" t="str">
        <f t="shared" si="48"/>
        <v>1w</v>
      </c>
      <c r="X2409" s="180">
        <f>_xll.qlCalendarAdvance(LiborCalendar,X2408,W2409,"f",FALSE)</f>
        <v>55843</v>
      </c>
      <c r="Y2409" s="174">
        <f>_xll.qlInterestRateIndexValueDate(IborIndex,X2409)</f>
        <v>55845</v>
      </c>
      <c r="Z2409" s="175" t="e">
        <v>#N/A</v>
      </c>
      <c r="AA2409" s="177" t="e">
        <v>#N/A</v>
      </c>
    </row>
    <row r="2410" spans="23:27" x14ac:dyDescent="0.2">
      <c r="W2410" s="173" t="str">
        <f t="shared" si="48"/>
        <v>1w</v>
      </c>
      <c r="X2410" s="180">
        <f>_xll.qlCalendarAdvance(LiborCalendar,X2409,W2410,"f",FALSE)</f>
        <v>55850</v>
      </c>
      <c r="Y2410" s="174">
        <f>_xll.qlInterestRateIndexValueDate(IborIndex,X2410)</f>
        <v>55852</v>
      </c>
      <c r="Z2410" s="175" t="e">
        <v>#N/A</v>
      </c>
      <c r="AA2410" s="177" t="e">
        <v>#N/A</v>
      </c>
    </row>
    <row r="2411" spans="23:27" x14ac:dyDescent="0.2">
      <c r="W2411" s="173" t="str">
        <f t="shared" si="48"/>
        <v>1w</v>
      </c>
      <c r="X2411" s="180">
        <f>_xll.qlCalendarAdvance(LiborCalendar,X2410,W2411,"f",FALSE)</f>
        <v>55857</v>
      </c>
      <c r="Y2411" s="174">
        <f>_xll.qlInterestRateIndexValueDate(IborIndex,X2411)</f>
        <v>55859</v>
      </c>
      <c r="Z2411" s="175" t="e">
        <v>#N/A</v>
      </c>
      <c r="AA2411" s="177" t="e">
        <v>#N/A</v>
      </c>
    </row>
    <row r="2412" spans="23:27" x14ac:dyDescent="0.2">
      <c r="W2412" s="173" t="str">
        <f t="shared" si="48"/>
        <v>1w</v>
      </c>
      <c r="X2412" s="180">
        <f>_xll.qlCalendarAdvance(LiborCalendar,X2411,W2412,"f",FALSE)</f>
        <v>55864</v>
      </c>
      <c r="Y2412" s="174">
        <f>_xll.qlInterestRateIndexValueDate(IborIndex,X2412)</f>
        <v>55866</v>
      </c>
      <c r="Z2412" s="175" t="e">
        <v>#N/A</v>
      </c>
      <c r="AA2412" s="177" t="e">
        <v>#N/A</v>
      </c>
    </row>
    <row r="2413" spans="23:27" x14ac:dyDescent="0.2">
      <c r="W2413" s="173" t="str">
        <f t="shared" si="48"/>
        <v>1w</v>
      </c>
      <c r="X2413" s="180">
        <f>_xll.qlCalendarAdvance(LiborCalendar,X2412,W2413,"f",FALSE)</f>
        <v>55871</v>
      </c>
      <c r="Y2413" s="174">
        <f>_xll.qlInterestRateIndexValueDate(IborIndex,X2413)</f>
        <v>55873</v>
      </c>
      <c r="Z2413" s="175" t="e">
        <v>#N/A</v>
      </c>
      <c r="AA2413" s="177" t="e">
        <v>#N/A</v>
      </c>
    </row>
    <row r="2414" spans="23:27" x14ac:dyDescent="0.2">
      <c r="W2414" s="173" t="str">
        <f t="shared" si="48"/>
        <v>1w</v>
      </c>
      <c r="X2414" s="180">
        <f>_xll.qlCalendarAdvance(LiborCalendar,X2413,W2414,"f",FALSE)</f>
        <v>55880</v>
      </c>
      <c r="Y2414" s="174">
        <f>_xll.qlInterestRateIndexValueDate(IborIndex,X2414)</f>
        <v>55890</v>
      </c>
      <c r="Z2414" s="175" t="e">
        <v>#N/A</v>
      </c>
      <c r="AA2414" s="177" t="e">
        <v>#N/A</v>
      </c>
    </row>
    <row r="2415" spans="23:27" x14ac:dyDescent="0.2">
      <c r="W2415" s="173" t="str">
        <f t="shared" si="48"/>
        <v>1w</v>
      </c>
      <c r="X2415" s="180">
        <f>_xll.qlCalendarAdvance(LiborCalendar,X2414,W2415,"f",FALSE)</f>
        <v>55887</v>
      </c>
      <c r="Y2415" s="174">
        <f>_xll.qlInterestRateIndexValueDate(IborIndex,X2415)</f>
        <v>55891</v>
      </c>
      <c r="Z2415" s="175" t="e">
        <v>#N/A</v>
      </c>
      <c r="AA2415" s="177" t="e">
        <v>#N/A</v>
      </c>
    </row>
    <row r="2416" spans="23:27" x14ac:dyDescent="0.2">
      <c r="W2416" s="173" t="str">
        <f t="shared" si="48"/>
        <v>1w</v>
      </c>
      <c r="X2416" s="180">
        <f>_xll.qlCalendarAdvance(LiborCalendar,X2415,W2416,"f",FALSE)</f>
        <v>55894</v>
      </c>
      <c r="Y2416" s="174">
        <f>_xll.qlInterestRateIndexValueDate(IborIndex,X2416)</f>
        <v>55898</v>
      </c>
      <c r="Z2416" s="175" t="e">
        <v>#N/A</v>
      </c>
      <c r="AA2416" s="177" t="e">
        <v>#N/A</v>
      </c>
    </row>
    <row r="2417" spans="23:27" x14ac:dyDescent="0.2">
      <c r="W2417" s="173" t="str">
        <f t="shared" si="48"/>
        <v>1w</v>
      </c>
      <c r="X2417" s="180">
        <f>_xll.qlCalendarAdvance(LiborCalendar,X2416,W2417,"f",FALSE)</f>
        <v>55901</v>
      </c>
      <c r="Y2417" s="174">
        <f>_xll.qlInterestRateIndexValueDate(IborIndex,X2417)</f>
        <v>55905</v>
      </c>
      <c r="Z2417" s="175" t="e">
        <v>#N/A</v>
      </c>
      <c r="AA2417" s="177" t="e">
        <v>#N/A</v>
      </c>
    </row>
    <row r="2418" spans="23:27" x14ac:dyDescent="0.2">
      <c r="W2418" s="173" t="str">
        <f t="shared" si="48"/>
        <v>1w</v>
      </c>
      <c r="X2418" s="180">
        <f>_xll.qlCalendarAdvance(LiborCalendar,X2417,W2418,"f",FALSE)</f>
        <v>55908</v>
      </c>
      <c r="Y2418" s="174">
        <f>_xll.qlInterestRateIndexValueDate(IborIndex,X2418)</f>
        <v>55912</v>
      </c>
      <c r="Z2418" s="175" t="e">
        <v>#N/A</v>
      </c>
      <c r="AA2418" s="177" t="e">
        <v>#N/A</v>
      </c>
    </row>
    <row r="2419" spans="23:27" x14ac:dyDescent="0.2">
      <c r="W2419" s="173" t="str">
        <f t="shared" si="48"/>
        <v>1w</v>
      </c>
      <c r="X2419" s="180">
        <f>_xll.qlCalendarAdvance(LiborCalendar,X2418,W2419,"f",FALSE)</f>
        <v>55915</v>
      </c>
      <c r="Y2419" s="174">
        <f>_xll.qlInterestRateIndexValueDate(IborIndex,X2419)</f>
        <v>55919</v>
      </c>
      <c r="Z2419" s="175" t="e">
        <v>#N/A</v>
      </c>
      <c r="AA2419" s="177" t="e">
        <v>#N/A</v>
      </c>
    </row>
    <row r="2420" spans="23:27" x14ac:dyDescent="0.2">
      <c r="W2420" s="173" t="str">
        <f t="shared" si="48"/>
        <v>1w</v>
      </c>
      <c r="X2420" s="180">
        <f>_xll.qlCalendarAdvance(LiborCalendar,X2419,W2420,"f",FALSE)</f>
        <v>55922</v>
      </c>
      <c r="Y2420" s="174">
        <f>_xll.qlInterestRateIndexValueDate(IborIndex,X2420)</f>
        <v>55927</v>
      </c>
      <c r="Z2420" s="175" t="e">
        <v>#N/A</v>
      </c>
      <c r="AA2420" s="177" t="e">
        <v>#N/A</v>
      </c>
    </row>
    <row r="2421" spans="23:27" x14ac:dyDescent="0.2">
      <c r="W2421" s="173" t="str">
        <f t="shared" si="48"/>
        <v>1w</v>
      </c>
      <c r="X2421" s="180">
        <f>_xll.qlCalendarAdvance(LiborCalendar,X2420,W2421,"f",FALSE)</f>
        <v>55929</v>
      </c>
      <c r="Y2421" s="174">
        <f>_xll.qlInterestRateIndexValueDate(IborIndex,X2421)</f>
        <v>55933</v>
      </c>
      <c r="Z2421" s="175" t="e">
        <v>#N/A</v>
      </c>
      <c r="AA2421" s="177" t="e">
        <v>#N/A</v>
      </c>
    </row>
    <row r="2422" spans="23:27" x14ac:dyDescent="0.2">
      <c r="W2422" s="173" t="str">
        <f t="shared" si="48"/>
        <v>1w</v>
      </c>
      <c r="X2422" s="180">
        <f>_xll.qlCalendarAdvance(LiborCalendar,X2421,W2422,"f",FALSE)</f>
        <v>55936</v>
      </c>
      <c r="Y2422" s="174">
        <f>_xll.qlInterestRateIndexValueDate(IborIndex,X2422)</f>
        <v>55940</v>
      </c>
      <c r="Z2422" s="175" t="e">
        <v>#N/A</v>
      </c>
      <c r="AA2422" s="177" t="e">
        <v>#N/A</v>
      </c>
    </row>
    <row r="2423" spans="23:27" x14ac:dyDescent="0.2">
      <c r="W2423" s="173" t="str">
        <f t="shared" si="48"/>
        <v>1w</v>
      </c>
      <c r="X2423" s="180">
        <f>_xll.qlCalendarAdvance(LiborCalendar,X2422,W2423,"f",FALSE)</f>
        <v>55943</v>
      </c>
      <c r="Y2423" s="174">
        <f>_xll.qlInterestRateIndexValueDate(IborIndex,X2423)</f>
        <v>55947</v>
      </c>
      <c r="Z2423" s="175" t="e">
        <v>#N/A</v>
      </c>
      <c r="AA2423" s="177" t="e">
        <v>#N/A</v>
      </c>
    </row>
    <row r="2424" spans="23:27" x14ac:dyDescent="0.2">
      <c r="W2424" s="173" t="str">
        <f t="shared" si="48"/>
        <v>1w</v>
      </c>
      <c r="X2424" s="180">
        <f>_xll.qlCalendarAdvance(LiborCalendar,X2423,W2424,"f",FALSE)</f>
        <v>55950</v>
      </c>
      <c r="Y2424" s="174">
        <f>_xll.qlInterestRateIndexValueDate(IborIndex,X2424)</f>
        <v>55954</v>
      </c>
      <c r="Z2424" s="175" t="e">
        <v>#N/A</v>
      </c>
      <c r="AA2424" s="177" t="e">
        <v>#N/A</v>
      </c>
    </row>
    <row r="2425" spans="23:27" x14ac:dyDescent="0.2">
      <c r="W2425" s="173" t="str">
        <f t="shared" si="48"/>
        <v>1w</v>
      </c>
      <c r="X2425" s="180">
        <f>_xll.qlCalendarAdvance(LiborCalendar,X2424,W2425,"f",FALSE)</f>
        <v>55957</v>
      </c>
      <c r="Y2425" s="174">
        <f>_xll.qlInterestRateIndexValueDate(IborIndex,X2425)</f>
        <v>55961</v>
      </c>
      <c r="Z2425" s="175" t="e">
        <v>#N/A</v>
      </c>
      <c r="AA2425" s="177" t="e">
        <v>#N/A</v>
      </c>
    </row>
    <row r="2426" spans="23:27" x14ac:dyDescent="0.2">
      <c r="W2426" s="173" t="str">
        <f t="shared" si="48"/>
        <v>1w</v>
      </c>
      <c r="X2426" s="180">
        <f>_xll.qlCalendarAdvance(LiborCalendar,X2425,W2426,"f",FALSE)</f>
        <v>55964</v>
      </c>
      <c r="Y2426" s="174">
        <f>_xll.qlInterestRateIndexValueDate(IborIndex,X2426)</f>
        <v>55968</v>
      </c>
      <c r="Z2426" s="175" t="e">
        <v>#N/A</v>
      </c>
      <c r="AA2426" s="177" t="e">
        <v>#N/A</v>
      </c>
    </row>
    <row r="2427" spans="23:27" x14ac:dyDescent="0.2">
      <c r="W2427" s="173" t="str">
        <f t="shared" si="48"/>
        <v>1w</v>
      </c>
      <c r="X2427" s="180">
        <f>_xll.qlCalendarAdvance(LiborCalendar,X2426,W2427,"f",FALSE)</f>
        <v>55971</v>
      </c>
      <c r="Y2427" s="174">
        <f>_xll.qlInterestRateIndexValueDate(IborIndex,X2427)</f>
        <v>55975</v>
      </c>
      <c r="Z2427" s="175" t="e">
        <v>#N/A</v>
      </c>
      <c r="AA2427" s="177" t="e">
        <v>#N/A</v>
      </c>
    </row>
    <row r="2428" spans="23:27" x14ac:dyDescent="0.2">
      <c r="W2428" s="173" t="str">
        <f t="shared" si="48"/>
        <v>1w</v>
      </c>
      <c r="X2428" s="180">
        <f>_xll.qlCalendarAdvance(LiborCalendar,X2427,W2428,"f",FALSE)</f>
        <v>55982</v>
      </c>
      <c r="Y2428" s="174">
        <f>_xll.qlInterestRateIndexValueDate(IborIndex,X2428)</f>
        <v>55984</v>
      </c>
      <c r="Z2428" s="175" t="e">
        <v>#N/A</v>
      </c>
      <c r="AA2428" s="177" t="e">
        <v>#N/A</v>
      </c>
    </row>
    <row r="2429" spans="23:27" x14ac:dyDescent="0.2">
      <c r="W2429" s="173" t="str">
        <f t="shared" si="48"/>
        <v>1w</v>
      </c>
      <c r="X2429" s="180">
        <f>_xll.qlCalendarAdvance(LiborCalendar,X2428,W2429,"f",FALSE)</f>
        <v>55989</v>
      </c>
      <c r="Y2429" s="174">
        <f>_xll.qlInterestRateIndexValueDate(IborIndex,X2429)</f>
        <v>55991</v>
      </c>
      <c r="Z2429" s="175" t="e">
        <v>#N/A</v>
      </c>
      <c r="AA2429" s="177" t="e">
        <v>#N/A</v>
      </c>
    </row>
    <row r="2430" spans="23:27" x14ac:dyDescent="0.2">
      <c r="W2430" s="173" t="str">
        <f t="shared" si="48"/>
        <v>1w</v>
      </c>
      <c r="X2430" s="180">
        <f>_xll.qlCalendarAdvance(LiborCalendar,X2429,W2430,"f",FALSE)</f>
        <v>55996</v>
      </c>
      <c r="Y2430" s="174">
        <f>_xll.qlInterestRateIndexValueDate(IborIndex,X2430)</f>
        <v>55998</v>
      </c>
      <c r="Z2430" s="175" t="e">
        <v>#N/A</v>
      </c>
      <c r="AA2430" s="177" t="e">
        <v>#N/A</v>
      </c>
    </row>
    <row r="2431" spans="23:27" x14ac:dyDescent="0.2">
      <c r="W2431" s="173" t="str">
        <f t="shared" si="48"/>
        <v>1w</v>
      </c>
      <c r="X2431" s="180">
        <f>_xll.qlCalendarAdvance(LiborCalendar,X2430,W2431,"f",FALSE)</f>
        <v>56003</v>
      </c>
      <c r="Y2431" s="174">
        <f>_xll.qlInterestRateIndexValueDate(IborIndex,X2431)</f>
        <v>56005</v>
      </c>
      <c r="Z2431" s="175" t="e">
        <v>#N/A</v>
      </c>
      <c r="AA2431" s="177" t="e">
        <v>#N/A</v>
      </c>
    </row>
    <row r="2432" spans="23:27" x14ac:dyDescent="0.2">
      <c r="W2432" s="173" t="str">
        <f t="shared" si="48"/>
        <v>1w</v>
      </c>
      <c r="X2432" s="180">
        <f>_xll.qlCalendarAdvance(LiborCalendar,X2431,W2432,"f",FALSE)</f>
        <v>56010</v>
      </c>
      <c r="Y2432" s="174">
        <f>_xll.qlInterestRateIndexValueDate(IborIndex,X2432)</f>
        <v>56012</v>
      </c>
      <c r="Z2432" s="175" t="e">
        <v>#N/A</v>
      </c>
      <c r="AA2432" s="177" t="e">
        <v>#N/A</v>
      </c>
    </row>
    <row r="2433" spans="23:27" x14ac:dyDescent="0.2">
      <c r="W2433" s="173" t="str">
        <f t="shared" si="48"/>
        <v>1w</v>
      </c>
      <c r="X2433" s="180">
        <f>_xll.qlCalendarAdvance(LiborCalendar,X2432,W2433,"f",FALSE)</f>
        <v>56017</v>
      </c>
      <c r="Y2433" s="174">
        <f>_xll.qlInterestRateIndexValueDate(IborIndex,X2433)</f>
        <v>56019</v>
      </c>
      <c r="Z2433" s="175" t="e">
        <v>#N/A</v>
      </c>
      <c r="AA2433" s="177" t="e">
        <v>#N/A</v>
      </c>
    </row>
    <row r="2434" spans="23:27" x14ac:dyDescent="0.2">
      <c r="W2434" s="173" t="str">
        <f t="shared" si="48"/>
        <v>1w</v>
      </c>
      <c r="X2434" s="180">
        <f>_xll.qlCalendarAdvance(LiborCalendar,X2433,W2434,"f",FALSE)</f>
        <v>56024</v>
      </c>
      <c r="Y2434" s="174">
        <f>_xll.qlInterestRateIndexValueDate(IborIndex,X2434)</f>
        <v>56026</v>
      </c>
      <c r="Z2434" s="175" t="e">
        <v>#N/A</v>
      </c>
      <c r="AA2434" s="177" t="e">
        <v>#N/A</v>
      </c>
    </row>
    <row r="2435" spans="23:27" x14ac:dyDescent="0.2">
      <c r="W2435" s="173" t="str">
        <f t="shared" si="48"/>
        <v>1w</v>
      </c>
      <c r="X2435" s="180">
        <f>_xll.qlCalendarAdvance(LiborCalendar,X2434,W2435,"f",FALSE)</f>
        <v>56031</v>
      </c>
      <c r="Y2435" s="174">
        <f>_xll.qlInterestRateIndexValueDate(IborIndex,X2435)</f>
        <v>56033</v>
      </c>
      <c r="Z2435" s="175" t="e">
        <v>#N/A</v>
      </c>
      <c r="AA2435" s="177" t="e">
        <v>#N/A</v>
      </c>
    </row>
    <row r="2436" spans="23:27" x14ac:dyDescent="0.2">
      <c r="W2436" s="173" t="str">
        <f t="shared" si="48"/>
        <v>1w</v>
      </c>
      <c r="X2436" s="180">
        <f>_xll.qlCalendarAdvance(LiborCalendar,X2435,W2436,"f",FALSE)</f>
        <v>56038</v>
      </c>
      <c r="Y2436" s="174">
        <f>_xll.qlInterestRateIndexValueDate(IborIndex,X2436)</f>
        <v>56040</v>
      </c>
      <c r="Z2436" s="175" t="e">
        <v>#N/A</v>
      </c>
      <c r="AA2436" s="177" t="e">
        <v>#N/A</v>
      </c>
    </row>
    <row r="2437" spans="23:27" x14ac:dyDescent="0.2">
      <c r="W2437" s="173" t="str">
        <f t="shared" si="48"/>
        <v>1w</v>
      </c>
      <c r="X2437" s="180">
        <f>_xll.qlCalendarAdvance(LiborCalendar,X2436,W2437,"f",FALSE)</f>
        <v>56045</v>
      </c>
      <c r="Y2437" s="174">
        <f>_xll.qlInterestRateIndexValueDate(IborIndex,X2437)</f>
        <v>56047</v>
      </c>
      <c r="Z2437" s="175" t="e">
        <v>#N/A</v>
      </c>
      <c r="AA2437" s="177" t="e">
        <v>#N/A</v>
      </c>
    </row>
    <row r="2438" spans="23:27" x14ac:dyDescent="0.2">
      <c r="W2438" s="173" t="str">
        <f t="shared" si="48"/>
        <v>1w</v>
      </c>
      <c r="X2438" s="180">
        <f>_xll.qlCalendarAdvance(LiborCalendar,X2437,W2438,"f",FALSE)</f>
        <v>56052</v>
      </c>
      <c r="Y2438" s="174">
        <f>_xll.qlInterestRateIndexValueDate(IborIndex,X2438)</f>
        <v>56054</v>
      </c>
      <c r="Z2438" s="175" t="e">
        <v>#N/A</v>
      </c>
      <c r="AA2438" s="177" t="e">
        <v>#N/A</v>
      </c>
    </row>
    <row r="2439" spans="23:27" x14ac:dyDescent="0.2">
      <c r="W2439" s="173" t="str">
        <f t="shared" si="48"/>
        <v>1w</v>
      </c>
      <c r="X2439" s="180">
        <f>_xll.qlCalendarAdvance(LiborCalendar,X2438,W2439,"f",FALSE)</f>
        <v>56059</v>
      </c>
      <c r="Y2439" s="174">
        <f>_xll.qlInterestRateIndexValueDate(IborIndex,X2439)</f>
        <v>56061</v>
      </c>
      <c r="Z2439" s="175" t="e">
        <v>#N/A</v>
      </c>
      <c r="AA2439" s="177" t="e">
        <v>#N/A</v>
      </c>
    </row>
    <row r="2440" spans="23:27" x14ac:dyDescent="0.2">
      <c r="W2440" s="173" t="str">
        <f t="shared" si="48"/>
        <v>1w</v>
      </c>
      <c r="X2440" s="180">
        <f>_xll.qlCalendarAdvance(LiborCalendar,X2439,W2440,"f",FALSE)</f>
        <v>56066</v>
      </c>
      <c r="Y2440" s="174">
        <f>_xll.qlInterestRateIndexValueDate(IborIndex,X2440)</f>
        <v>56068</v>
      </c>
      <c r="Z2440" s="175" t="e">
        <v>#N/A</v>
      </c>
      <c r="AA2440" s="177" t="e">
        <v>#N/A</v>
      </c>
    </row>
    <row r="2441" spans="23:27" x14ac:dyDescent="0.2">
      <c r="W2441" s="173" t="str">
        <f t="shared" si="48"/>
        <v>1w</v>
      </c>
      <c r="X2441" s="180">
        <f>_xll.qlCalendarAdvance(LiborCalendar,X2440,W2441,"f",FALSE)</f>
        <v>56073</v>
      </c>
      <c r="Y2441" s="174">
        <f>_xll.qlInterestRateIndexValueDate(IborIndex,X2441)</f>
        <v>56075</v>
      </c>
      <c r="Z2441" s="175" t="e">
        <v>#N/A</v>
      </c>
      <c r="AA2441" s="177" t="e">
        <v>#N/A</v>
      </c>
    </row>
    <row r="2442" spans="23:27" x14ac:dyDescent="0.2">
      <c r="W2442" s="173" t="str">
        <f t="shared" si="48"/>
        <v>1w</v>
      </c>
      <c r="X2442" s="180">
        <f>_xll.qlCalendarAdvance(LiborCalendar,X2441,W2442,"f",FALSE)</f>
        <v>56080</v>
      </c>
      <c r="Y2442" s="174">
        <f>_xll.qlInterestRateIndexValueDate(IborIndex,X2442)</f>
        <v>56082</v>
      </c>
      <c r="Z2442" s="175" t="e">
        <v>#N/A</v>
      </c>
      <c r="AA2442" s="177" t="e">
        <v>#N/A</v>
      </c>
    </row>
    <row r="2443" spans="23:27" x14ac:dyDescent="0.2">
      <c r="W2443" s="173" t="str">
        <f t="shared" si="48"/>
        <v>1w</v>
      </c>
      <c r="X2443" s="180">
        <f>_xll.qlCalendarAdvance(LiborCalendar,X2442,W2443,"f",FALSE)</f>
        <v>56087</v>
      </c>
      <c r="Y2443" s="174">
        <f>_xll.qlInterestRateIndexValueDate(IborIndex,X2443)</f>
        <v>56089</v>
      </c>
      <c r="Z2443" s="175" t="e">
        <v>#N/A</v>
      </c>
      <c r="AA2443" s="177" t="e">
        <v>#N/A</v>
      </c>
    </row>
    <row r="2444" spans="23:27" x14ac:dyDescent="0.2">
      <c r="W2444" s="173" t="str">
        <f t="shared" si="48"/>
        <v>1w</v>
      </c>
      <c r="X2444" s="180">
        <f>_xll.qlCalendarAdvance(LiborCalendar,X2443,W2444,"f",FALSE)</f>
        <v>56094</v>
      </c>
      <c r="Y2444" s="174">
        <f>_xll.qlInterestRateIndexValueDate(IborIndex,X2444)</f>
        <v>56096</v>
      </c>
      <c r="Z2444" s="175" t="e">
        <v>#N/A</v>
      </c>
      <c r="AA2444" s="177" t="e">
        <v>#N/A</v>
      </c>
    </row>
    <row r="2445" spans="23:27" x14ac:dyDescent="0.2">
      <c r="W2445" s="173" t="str">
        <f t="shared" si="48"/>
        <v>1w</v>
      </c>
      <c r="X2445" s="180">
        <f>_xll.qlCalendarAdvance(LiborCalendar,X2444,W2445,"f",FALSE)</f>
        <v>56101</v>
      </c>
      <c r="Y2445" s="174">
        <f>_xll.qlInterestRateIndexValueDate(IborIndex,X2445)</f>
        <v>56103</v>
      </c>
      <c r="Z2445" s="175" t="e">
        <v>#N/A</v>
      </c>
      <c r="AA2445" s="177" t="e">
        <v>#N/A</v>
      </c>
    </row>
    <row r="2446" spans="23:27" x14ac:dyDescent="0.2">
      <c r="W2446" s="173" t="str">
        <f t="shared" si="48"/>
        <v>1w</v>
      </c>
      <c r="X2446" s="180">
        <f>_xll.qlCalendarAdvance(LiborCalendar,X2445,W2446,"f",FALSE)</f>
        <v>56108</v>
      </c>
      <c r="Y2446" s="174">
        <f>_xll.qlInterestRateIndexValueDate(IborIndex,X2446)</f>
        <v>56110</v>
      </c>
      <c r="Z2446" s="175" t="e">
        <v>#N/A</v>
      </c>
      <c r="AA2446" s="177" t="e">
        <v>#N/A</v>
      </c>
    </row>
    <row r="2447" spans="23:27" x14ac:dyDescent="0.2">
      <c r="W2447" s="173" t="str">
        <f t="shared" si="48"/>
        <v>1w</v>
      </c>
      <c r="X2447" s="180">
        <f>_xll.qlCalendarAdvance(LiborCalendar,X2446,W2447,"f",FALSE)</f>
        <v>56115</v>
      </c>
      <c r="Y2447" s="174">
        <f>_xll.qlInterestRateIndexValueDate(IborIndex,X2447)</f>
        <v>56117</v>
      </c>
      <c r="Z2447" s="175" t="e">
        <v>#N/A</v>
      </c>
      <c r="AA2447" s="177" t="e">
        <v>#N/A</v>
      </c>
    </row>
    <row r="2448" spans="23:27" x14ac:dyDescent="0.2">
      <c r="W2448" s="173" t="str">
        <f t="shared" si="48"/>
        <v>1w</v>
      </c>
      <c r="X2448" s="180">
        <f>_xll.qlCalendarAdvance(LiborCalendar,X2447,W2448,"f",FALSE)</f>
        <v>56122</v>
      </c>
      <c r="Y2448" s="174">
        <f>_xll.qlInterestRateIndexValueDate(IborIndex,X2448)</f>
        <v>56124</v>
      </c>
      <c r="Z2448" s="175" t="e">
        <v>#N/A</v>
      </c>
      <c r="AA2448" s="177" t="e">
        <v>#N/A</v>
      </c>
    </row>
    <row r="2449" spans="23:27" x14ac:dyDescent="0.2">
      <c r="W2449" s="173" t="str">
        <f t="shared" si="48"/>
        <v>1w</v>
      </c>
      <c r="X2449" s="180">
        <f>_xll.qlCalendarAdvance(LiborCalendar,X2448,W2449,"f",FALSE)</f>
        <v>56129</v>
      </c>
      <c r="Y2449" s="174">
        <f>_xll.qlInterestRateIndexValueDate(IborIndex,X2449)</f>
        <v>56131</v>
      </c>
      <c r="Z2449" s="175" t="e">
        <v>#N/A</v>
      </c>
      <c r="AA2449" s="177" t="e">
        <v>#N/A</v>
      </c>
    </row>
    <row r="2450" spans="23:27" x14ac:dyDescent="0.2">
      <c r="W2450" s="173" t="str">
        <f t="shared" si="48"/>
        <v>1w</v>
      </c>
      <c r="X2450" s="180">
        <f>_xll.qlCalendarAdvance(LiborCalendar,X2449,W2450,"f",FALSE)</f>
        <v>56136</v>
      </c>
      <c r="Y2450" s="174">
        <f>_xll.qlInterestRateIndexValueDate(IborIndex,X2450)</f>
        <v>56138</v>
      </c>
      <c r="Z2450" s="175" t="e">
        <v>#N/A</v>
      </c>
      <c r="AA2450" s="177" t="e">
        <v>#N/A</v>
      </c>
    </row>
    <row r="2451" spans="23:27" x14ac:dyDescent="0.2">
      <c r="W2451" s="173" t="str">
        <f t="shared" si="48"/>
        <v>1w</v>
      </c>
      <c r="X2451" s="180">
        <f>_xll.qlCalendarAdvance(LiborCalendar,X2450,W2451,"f",FALSE)</f>
        <v>56143</v>
      </c>
      <c r="Y2451" s="174">
        <f>_xll.qlInterestRateIndexValueDate(IborIndex,X2451)</f>
        <v>56145</v>
      </c>
      <c r="Z2451" s="175" t="e">
        <v>#N/A</v>
      </c>
      <c r="AA2451" s="177" t="e">
        <v>#N/A</v>
      </c>
    </row>
    <row r="2452" spans="23:27" x14ac:dyDescent="0.2">
      <c r="W2452" s="173" t="str">
        <f t="shared" si="48"/>
        <v>1w</v>
      </c>
      <c r="X2452" s="180">
        <f>_xll.qlCalendarAdvance(LiborCalendar,X2451,W2452,"f",FALSE)</f>
        <v>56150</v>
      </c>
      <c r="Y2452" s="174">
        <f>_xll.qlInterestRateIndexValueDate(IborIndex,X2452)</f>
        <v>56152</v>
      </c>
      <c r="Z2452" s="175" t="e">
        <v>#N/A</v>
      </c>
      <c r="AA2452" s="177" t="e">
        <v>#N/A</v>
      </c>
    </row>
    <row r="2453" spans="23:27" x14ac:dyDescent="0.2">
      <c r="W2453" s="173" t="str">
        <f t="shared" ref="W2453:W2516" si="49">W2452</f>
        <v>1w</v>
      </c>
      <c r="X2453" s="180">
        <f>_xll.qlCalendarAdvance(LiborCalendar,X2452,W2453,"f",FALSE)</f>
        <v>56157</v>
      </c>
      <c r="Y2453" s="174">
        <f>_xll.qlInterestRateIndexValueDate(IborIndex,X2453)</f>
        <v>56159</v>
      </c>
      <c r="Z2453" s="175" t="e">
        <v>#N/A</v>
      </c>
      <c r="AA2453" s="177" t="e">
        <v>#N/A</v>
      </c>
    </row>
    <row r="2454" spans="23:27" x14ac:dyDescent="0.2">
      <c r="W2454" s="173" t="str">
        <f t="shared" si="49"/>
        <v>1w</v>
      </c>
      <c r="X2454" s="180">
        <f>_xll.qlCalendarAdvance(LiborCalendar,X2453,W2454,"f",FALSE)</f>
        <v>56164</v>
      </c>
      <c r="Y2454" s="174">
        <f>_xll.qlInterestRateIndexValueDate(IborIndex,X2454)</f>
        <v>56166</v>
      </c>
      <c r="Z2454" s="175" t="e">
        <v>#N/A</v>
      </c>
      <c r="AA2454" s="177" t="e">
        <v>#N/A</v>
      </c>
    </row>
    <row r="2455" spans="23:27" x14ac:dyDescent="0.2">
      <c r="W2455" s="173" t="str">
        <f t="shared" si="49"/>
        <v>1w</v>
      </c>
      <c r="X2455" s="180">
        <f>_xll.qlCalendarAdvance(LiborCalendar,X2454,W2455,"f",FALSE)</f>
        <v>56171</v>
      </c>
      <c r="Y2455" s="174">
        <f>_xll.qlInterestRateIndexValueDate(IborIndex,X2455)</f>
        <v>56173</v>
      </c>
      <c r="Z2455" s="175" t="e">
        <v>#N/A</v>
      </c>
      <c r="AA2455" s="177" t="e">
        <v>#N/A</v>
      </c>
    </row>
    <row r="2456" spans="23:27" x14ac:dyDescent="0.2">
      <c r="W2456" s="173" t="str">
        <f t="shared" si="49"/>
        <v>1w</v>
      </c>
      <c r="X2456" s="180">
        <f>_xll.qlCalendarAdvance(LiborCalendar,X2455,W2456,"f",FALSE)</f>
        <v>56178</v>
      </c>
      <c r="Y2456" s="174">
        <f>_xll.qlInterestRateIndexValueDate(IborIndex,X2456)</f>
        <v>56180</v>
      </c>
      <c r="Z2456" s="175" t="e">
        <v>#N/A</v>
      </c>
      <c r="AA2456" s="177" t="e">
        <v>#N/A</v>
      </c>
    </row>
    <row r="2457" spans="23:27" x14ac:dyDescent="0.2">
      <c r="W2457" s="173" t="str">
        <f t="shared" si="49"/>
        <v>1w</v>
      </c>
      <c r="X2457" s="180">
        <f>_xll.qlCalendarAdvance(LiborCalendar,X2456,W2457,"f",FALSE)</f>
        <v>56185</v>
      </c>
      <c r="Y2457" s="174">
        <f>_xll.qlInterestRateIndexValueDate(IborIndex,X2457)</f>
        <v>56187</v>
      </c>
      <c r="Z2457" s="175" t="e">
        <v>#N/A</v>
      </c>
      <c r="AA2457" s="177" t="e">
        <v>#N/A</v>
      </c>
    </row>
    <row r="2458" spans="23:27" x14ac:dyDescent="0.2">
      <c r="W2458" s="173" t="str">
        <f t="shared" si="49"/>
        <v>1w</v>
      </c>
      <c r="X2458" s="180">
        <f>_xll.qlCalendarAdvance(LiborCalendar,X2457,W2458,"f",FALSE)</f>
        <v>56192</v>
      </c>
      <c r="Y2458" s="174">
        <f>_xll.qlInterestRateIndexValueDate(IborIndex,X2458)</f>
        <v>56194</v>
      </c>
      <c r="Z2458" s="175" t="e">
        <v>#N/A</v>
      </c>
      <c r="AA2458" s="177" t="e">
        <v>#N/A</v>
      </c>
    </row>
    <row r="2459" spans="23:27" x14ac:dyDescent="0.2">
      <c r="W2459" s="173" t="str">
        <f t="shared" si="49"/>
        <v>1w</v>
      </c>
      <c r="X2459" s="180">
        <f>_xll.qlCalendarAdvance(LiborCalendar,X2458,W2459,"f",FALSE)</f>
        <v>56199</v>
      </c>
      <c r="Y2459" s="174">
        <f>_xll.qlInterestRateIndexValueDate(IborIndex,X2459)</f>
        <v>56201</v>
      </c>
      <c r="Z2459" s="175" t="e">
        <v>#N/A</v>
      </c>
      <c r="AA2459" s="177" t="e">
        <v>#N/A</v>
      </c>
    </row>
    <row r="2460" spans="23:27" x14ac:dyDescent="0.2">
      <c r="W2460" s="173" t="str">
        <f t="shared" si="49"/>
        <v>1w</v>
      </c>
      <c r="X2460" s="180">
        <f>_xll.qlCalendarAdvance(LiborCalendar,X2459,W2460,"f",FALSE)</f>
        <v>56206</v>
      </c>
      <c r="Y2460" s="174">
        <f>_xll.qlInterestRateIndexValueDate(IborIndex,X2460)</f>
        <v>56208</v>
      </c>
      <c r="Z2460" s="175" t="e">
        <v>#N/A</v>
      </c>
      <c r="AA2460" s="177" t="e">
        <v>#N/A</v>
      </c>
    </row>
    <row r="2461" spans="23:27" x14ac:dyDescent="0.2">
      <c r="W2461" s="173" t="str">
        <f t="shared" si="49"/>
        <v>1w</v>
      </c>
      <c r="X2461" s="180">
        <f>_xll.qlCalendarAdvance(LiborCalendar,X2460,W2461,"f",FALSE)</f>
        <v>56213</v>
      </c>
      <c r="Y2461" s="174">
        <f>_xll.qlInterestRateIndexValueDate(IborIndex,X2461)</f>
        <v>56215</v>
      </c>
      <c r="Z2461" s="175" t="e">
        <v>#N/A</v>
      </c>
      <c r="AA2461" s="177" t="e">
        <v>#N/A</v>
      </c>
    </row>
    <row r="2462" spans="23:27" x14ac:dyDescent="0.2">
      <c r="W2462" s="173" t="str">
        <f t="shared" si="49"/>
        <v>1w</v>
      </c>
      <c r="X2462" s="180">
        <f>_xll.qlCalendarAdvance(LiborCalendar,X2461,W2462,"f",FALSE)</f>
        <v>56220</v>
      </c>
      <c r="Y2462" s="174">
        <f>_xll.qlInterestRateIndexValueDate(IborIndex,X2462)</f>
        <v>56222</v>
      </c>
      <c r="Z2462" s="175" t="e">
        <v>#N/A</v>
      </c>
      <c r="AA2462" s="177" t="e">
        <v>#N/A</v>
      </c>
    </row>
    <row r="2463" spans="23:27" x14ac:dyDescent="0.2">
      <c r="W2463" s="173" t="str">
        <f t="shared" si="49"/>
        <v>1w</v>
      </c>
      <c r="X2463" s="180">
        <f>_xll.qlCalendarAdvance(LiborCalendar,X2462,W2463,"f",FALSE)</f>
        <v>56227</v>
      </c>
      <c r="Y2463" s="174">
        <f>_xll.qlInterestRateIndexValueDate(IborIndex,X2463)</f>
        <v>56229</v>
      </c>
      <c r="Z2463" s="175" t="e">
        <v>#N/A</v>
      </c>
      <c r="AA2463" s="177" t="e">
        <v>#N/A</v>
      </c>
    </row>
    <row r="2464" spans="23:27" x14ac:dyDescent="0.2">
      <c r="W2464" s="173" t="str">
        <f t="shared" si="49"/>
        <v>1w</v>
      </c>
      <c r="X2464" s="180">
        <f>_xll.qlCalendarAdvance(LiborCalendar,X2463,W2464,"f",FALSE)</f>
        <v>56234</v>
      </c>
      <c r="Y2464" s="174">
        <f>_xll.qlInterestRateIndexValueDate(IborIndex,X2464)</f>
        <v>56236</v>
      </c>
      <c r="Z2464" s="175" t="e">
        <v>#N/A</v>
      </c>
      <c r="AA2464" s="177" t="e">
        <v>#N/A</v>
      </c>
    </row>
    <row r="2465" spans="23:27" x14ac:dyDescent="0.2">
      <c r="W2465" s="173" t="str">
        <f t="shared" si="49"/>
        <v>1w</v>
      </c>
      <c r="X2465" s="180">
        <f>_xll.qlCalendarAdvance(LiborCalendar,X2464,W2465,"f",FALSE)</f>
        <v>56241</v>
      </c>
      <c r="Y2465" s="174">
        <f>_xll.qlInterestRateIndexValueDate(IborIndex,X2465)</f>
        <v>56247</v>
      </c>
      <c r="Z2465" s="175" t="e">
        <v>#N/A</v>
      </c>
      <c r="AA2465" s="177" t="e">
        <v>#N/A</v>
      </c>
    </row>
    <row r="2466" spans="23:27" x14ac:dyDescent="0.2">
      <c r="W2466" s="173" t="str">
        <f t="shared" si="49"/>
        <v>1w</v>
      </c>
      <c r="X2466" s="180">
        <f>_xll.qlCalendarAdvance(LiborCalendar,X2465,W2466,"f",FALSE)</f>
        <v>56248</v>
      </c>
      <c r="Y2466" s="174">
        <f>_xll.qlInterestRateIndexValueDate(IborIndex,X2466)</f>
        <v>56254</v>
      </c>
      <c r="Z2466" s="175" t="e">
        <v>#N/A</v>
      </c>
      <c r="AA2466" s="177" t="e">
        <v>#N/A</v>
      </c>
    </row>
    <row r="2467" spans="23:27" x14ac:dyDescent="0.2">
      <c r="W2467" s="173" t="str">
        <f t="shared" si="49"/>
        <v>1w</v>
      </c>
      <c r="X2467" s="180">
        <f>_xll.qlCalendarAdvance(LiborCalendar,X2466,W2467,"f",FALSE)</f>
        <v>56255</v>
      </c>
      <c r="Y2467" s="174">
        <f>_xll.qlInterestRateIndexValueDate(IborIndex,X2467)</f>
        <v>56257</v>
      </c>
      <c r="Z2467" s="175" t="e">
        <v>#N/A</v>
      </c>
      <c r="AA2467" s="177" t="e">
        <v>#N/A</v>
      </c>
    </row>
    <row r="2468" spans="23:27" x14ac:dyDescent="0.2">
      <c r="W2468" s="173" t="str">
        <f t="shared" si="49"/>
        <v>1w</v>
      </c>
      <c r="X2468" s="180">
        <f>_xll.qlCalendarAdvance(LiborCalendar,X2467,W2468,"f",FALSE)</f>
        <v>56262</v>
      </c>
      <c r="Y2468" s="174">
        <f>_xll.qlInterestRateIndexValueDate(IborIndex,X2468)</f>
        <v>56264</v>
      </c>
      <c r="Z2468" s="175" t="e">
        <v>#N/A</v>
      </c>
      <c r="AA2468" s="177" t="e">
        <v>#N/A</v>
      </c>
    </row>
    <row r="2469" spans="23:27" x14ac:dyDescent="0.2">
      <c r="W2469" s="173" t="str">
        <f t="shared" si="49"/>
        <v>1w</v>
      </c>
      <c r="X2469" s="180">
        <f>_xll.qlCalendarAdvance(LiborCalendar,X2468,W2469,"f",FALSE)</f>
        <v>56269</v>
      </c>
      <c r="Y2469" s="174">
        <f>_xll.qlInterestRateIndexValueDate(IborIndex,X2469)</f>
        <v>56271</v>
      </c>
      <c r="Z2469" s="175" t="e">
        <v>#N/A</v>
      </c>
      <c r="AA2469" s="177" t="e">
        <v>#N/A</v>
      </c>
    </row>
    <row r="2470" spans="23:27" x14ac:dyDescent="0.2">
      <c r="W2470" s="173" t="str">
        <f t="shared" si="49"/>
        <v>1w</v>
      </c>
      <c r="X2470" s="180">
        <f>_xll.qlCalendarAdvance(LiborCalendar,X2469,W2470,"f",FALSE)</f>
        <v>56276</v>
      </c>
      <c r="Y2470" s="174">
        <f>_xll.qlInterestRateIndexValueDate(IborIndex,X2470)</f>
        <v>56278</v>
      </c>
      <c r="Z2470" s="175" t="e">
        <v>#N/A</v>
      </c>
      <c r="AA2470" s="177" t="e">
        <v>#N/A</v>
      </c>
    </row>
    <row r="2471" spans="23:27" x14ac:dyDescent="0.2">
      <c r="W2471" s="173" t="str">
        <f t="shared" si="49"/>
        <v>1w</v>
      </c>
      <c r="X2471" s="180">
        <f>_xll.qlCalendarAdvance(LiborCalendar,X2470,W2471,"f",FALSE)</f>
        <v>56283</v>
      </c>
      <c r="Y2471" s="174">
        <f>_xll.qlInterestRateIndexValueDate(IborIndex,X2471)</f>
        <v>56285</v>
      </c>
      <c r="Z2471" s="175" t="e">
        <v>#N/A</v>
      </c>
      <c r="AA2471" s="177" t="e">
        <v>#N/A</v>
      </c>
    </row>
    <row r="2472" spans="23:27" x14ac:dyDescent="0.2">
      <c r="W2472" s="173" t="str">
        <f t="shared" si="49"/>
        <v>1w</v>
      </c>
      <c r="X2472" s="180">
        <f>_xll.qlCalendarAdvance(LiborCalendar,X2471,W2472,"f",FALSE)</f>
        <v>56290</v>
      </c>
      <c r="Y2472" s="174">
        <f>_xll.qlInterestRateIndexValueDate(IborIndex,X2472)</f>
        <v>56292</v>
      </c>
      <c r="Z2472" s="175" t="e">
        <v>#N/A</v>
      </c>
      <c r="AA2472" s="177" t="e">
        <v>#N/A</v>
      </c>
    </row>
    <row r="2473" spans="23:27" x14ac:dyDescent="0.2">
      <c r="W2473" s="173" t="str">
        <f t="shared" si="49"/>
        <v>1w</v>
      </c>
      <c r="X2473" s="180">
        <f>_xll.qlCalendarAdvance(LiborCalendar,X2472,W2473,"f",FALSE)</f>
        <v>56297</v>
      </c>
      <c r="Y2473" s="174">
        <f>_xll.qlInterestRateIndexValueDate(IborIndex,X2473)</f>
        <v>56299</v>
      </c>
      <c r="Z2473" s="175" t="e">
        <v>#N/A</v>
      </c>
      <c r="AA2473" s="177" t="e">
        <v>#N/A</v>
      </c>
    </row>
    <row r="2474" spans="23:27" x14ac:dyDescent="0.2">
      <c r="W2474" s="173" t="str">
        <f t="shared" si="49"/>
        <v>1w</v>
      </c>
      <c r="X2474" s="180">
        <f>_xll.qlCalendarAdvance(LiborCalendar,X2473,W2474,"f",FALSE)</f>
        <v>56304</v>
      </c>
      <c r="Y2474" s="174">
        <f>_xll.qlInterestRateIndexValueDate(IborIndex,X2474)</f>
        <v>56306</v>
      </c>
      <c r="Z2474" s="175" t="e">
        <v>#N/A</v>
      </c>
      <c r="AA2474" s="177" t="e">
        <v>#N/A</v>
      </c>
    </row>
    <row r="2475" spans="23:27" x14ac:dyDescent="0.2">
      <c r="W2475" s="173" t="str">
        <f t="shared" si="49"/>
        <v>1w</v>
      </c>
      <c r="X2475" s="180">
        <f>_xll.qlCalendarAdvance(LiborCalendar,X2474,W2475,"f",FALSE)</f>
        <v>56311</v>
      </c>
      <c r="Y2475" s="174">
        <f>_xll.qlInterestRateIndexValueDate(IborIndex,X2475)</f>
        <v>56313</v>
      </c>
      <c r="Z2475" s="175" t="e">
        <v>#N/A</v>
      </c>
      <c r="AA2475" s="177" t="e">
        <v>#N/A</v>
      </c>
    </row>
    <row r="2476" spans="23:27" x14ac:dyDescent="0.2">
      <c r="W2476" s="173" t="str">
        <f t="shared" si="49"/>
        <v>1w</v>
      </c>
      <c r="X2476" s="180">
        <f>_xll.qlCalendarAdvance(LiborCalendar,X2475,W2476,"f",FALSE)</f>
        <v>56318</v>
      </c>
      <c r="Y2476" s="174">
        <f>_xll.qlInterestRateIndexValueDate(IborIndex,X2476)</f>
        <v>56320</v>
      </c>
      <c r="Z2476" s="175" t="e">
        <v>#N/A</v>
      </c>
      <c r="AA2476" s="177" t="e">
        <v>#N/A</v>
      </c>
    </row>
    <row r="2477" spans="23:27" x14ac:dyDescent="0.2">
      <c r="W2477" s="173" t="str">
        <f t="shared" si="49"/>
        <v>1w</v>
      </c>
      <c r="X2477" s="180">
        <f>_xll.qlCalendarAdvance(LiborCalendar,X2476,W2477,"f",FALSE)</f>
        <v>56325</v>
      </c>
      <c r="Y2477" s="174">
        <f>_xll.qlInterestRateIndexValueDate(IborIndex,X2477)</f>
        <v>56327</v>
      </c>
      <c r="Z2477" s="175" t="e">
        <v>#N/A</v>
      </c>
      <c r="AA2477" s="177" t="e">
        <v>#N/A</v>
      </c>
    </row>
    <row r="2478" spans="23:27" x14ac:dyDescent="0.2">
      <c r="W2478" s="173" t="str">
        <f t="shared" si="49"/>
        <v>1w</v>
      </c>
      <c r="X2478" s="180">
        <f>_xll.qlCalendarAdvance(LiborCalendar,X2477,W2478,"f",FALSE)</f>
        <v>56332</v>
      </c>
      <c r="Y2478" s="174">
        <f>_xll.qlInterestRateIndexValueDate(IborIndex,X2478)</f>
        <v>56334</v>
      </c>
      <c r="Z2478" s="175" t="e">
        <v>#N/A</v>
      </c>
      <c r="AA2478" s="177" t="e">
        <v>#N/A</v>
      </c>
    </row>
    <row r="2479" spans="23:27" x14ac:dyDescent="0.2">
      <c r="W2479" s="173" t="str">
        <f t="shared" si="49"/>
        <v>1w</v>
      </c>
      <c r="X2479" s="180">
        <f>_xll.qlCalendarAdvance(LiborCalendar,X2478,W2479,"f",FALSE)</f>
        <v>56339</v>
      </c>
      <c r="Y2479" s="174">
        <f>_xll.qlInterestRateIndexValueDate(IborIndex,X2479)</f>
        <v>56341</v>
      </c>
      <c r="Z2479" s="175" t="e">
        <v>#N/A</v>
      </c>
      <c r="AA2479" s="177" t="e">
        <v>#N/A</v>
      </c>
    </row>
    <row r="2480" spans="23:27" x14ac:dyDescent="0.2">
      <c r="W2480" s="173" t="str">
        <f t="shared" si="49"/>
        <v>1w</v>
      </c>
      <c r="X2480" s="180">
        <f>_xll.qlCalendarAdvance(LiborCalendar,X2479,W2480,"f",FALSE)</f>
        <v>56346</v>
      </c>
      <c r="Y2480" s="174">
        <f>_xll.qlInterestRateIndexValueDate(IborIndex,X2480)</f>
        <v>56348</v>
      </c>
      <c r="Z2480" s="175" t="e">
        <v>#N/A</v>
      </c>
      <c r="AA2480" s="177" t="e">
        <v>#N/A</v>
      </c>
    </row>
    <row r="2481" spans="23:27" x14ac:dyDescent="0.2">
      <c r="W2481" s="173" t="str">
        <f t="shared" si="49"/>
        <v>1w</v>
      </c>
      <c r="X2481" s="180">
        <f>_xll.qlCalendarAdvance(LiborCalendar,X2480,W2481,"f",FALSE)</f>
        <v>56353</v>
      </c>
      <c r="Y2481" s="174">
        <f>_xll.qlInterestRateIndexValueDate(IborIndex,X2481)</f>
        <v>56355</v>
      </c>
      <c r="Z2481" s="175" t="e">
        <v>#N/A</v>
      </c>
      <c r="AA2481" s="177" t="e">
        <v>#N/A</v>
      </c>
    </row>
    <row r="2482" spans="23:27" x14ac:dyDescent="0.2">
      <c r="W2482" s="173" t="str">
        <f t="shared" si="49"/>
        <v>1w</v>
      </c>
      <c r="X2482" s="180">
        <f>_xll.qlCalendarAdvance(LiborCalendar,X2481,W2482,"f",FALSE)</f>
        <v>56360</v>
      </c>
      <c r="Y2482" s="174">
        <f>_xll.qlInterestRateIndexValueDate(IborIndex,X2482)</f>
        <v>56362</v>
      </c>
      <c r="Z2482" s="175" t="e">
        <v>#N/A</v>
      </c>
      <c r="AA2482" s="177" t="e">
        <v>#N/A</v>
      </c>
    </row>
    <row r="2483" spans="23:27" x14ac:dyDescent="0.2">
      <c r="W2483" s="173" t="str">
        <f t="shared" si="49"/>
        <v>1w</v>
      </c>
      <c r="X2483" s="180">
        <f>_xll.qlCalendarAdvance(LiborCalendar,X2482,W2483,"f",FALSE)</f>
        <v>56367</v>
      </c>
      <c r="Y2483" s="174">
        <f>_xll.qlInterestRateIndexValueDate(IborIndex,X2483)</f>
        <v>56369</v>
      </c>
      <c r="Z2483" s="175" t="e">
        <v>#N/A</v>
      </c>
      <c r="AA2483" s="177" t="e">
        <v>#N/A</v>
      </c>
    </row>
    <row r="2484" spans="23:27" x14ac:dyDescent="0.2">
      <c r="W2484" s="173" t="str">
        <f t="shared" si="49"/>
        <v>1w</v>
      </c>
      <c r="X2484" s="180">
        <f>_xll.qlCalendarAdvance(LiborCalendar,X2483,W2484,"f",FALSE)</f>
        <v>56374</v>
      </c>
      <c r="Y2484" s="174">
        <f>_xll.qlInterestRateIndexValueDate(IborIndex,X2484)</f>
        <v>56376</v>
      </c>
      <c r="Z2484" s="175" t="e">
        <v>#N/A</v>
      </c>
      <c r="AA2484" s="177" t="e">
        <v>#N/A</v>
      </c>
    </row>
    <row r="2485" spans="23:27" x14ac:dyDescent="0.2">
      <c r="W2485" s="173" t="str">
        <f t="shared" si="49"/>
        <v>1w</v>
      </c>
      <c r="X2485" s="180">
        <f>_xll.qlCalendarAdvance(LiborCalendar,X2484,W2485,"f",FALSE)</f>
        <v>56381</v>
      </c>
      <c r="Y2485" s="174">
        <f>_xll.qlInterestRateIndexValueDate(IborIndex,X2485)</f>
        <v>56383</v>
      </c>
      <c r="Z2485" s="175" t="e">
        <v>#N/A</v>
      </c>
      <c r="AA2485" s="177" t="e">
        <v>#N/A</v>
      </c>
    </row>
    <row r="2486" spans="23:27" x14ac:dyDescent="0.2">
      <c r="W2486" s="173" t="str">
        <f t="shared" si="49"/>
        <v>1w</v>
      </c>
      <c r="X2486" s="180">
        <f>_xll.qlCalendarAdvance(LiborCalendar,X2485,W2486,"f",FALSE)</f>
        <v>56388</v>
      </c>
      <c r="Y2486" s="174">
        <f>_xll.qlInterestRateIndexValueDate(IborIndex,X2486)</f>
        <v>56390</v>
      </c>
      <c r="Z2486" s="175" t="e">
        <v>#N/A</v>
      </c>
      <c r="AA2486" s="177" t="e">
        <v>#N/A</v>
      </c>
    </row>
    <row r="2487" spans="23:27" x14ac:dyDescent="0.2">
      <c r="W2487" s="173" t="str">
        <f t="shared" si="49"/>
        <v>1w</v>
      </c>
      <c r="X2487" s="180">
        <f>_xll.qlCalendarAdvance(LiborCalendar,X2486,W2487,"f",FALSE)</f>
        <v>56395</v>
      </c>
      <c r="Y2487" s="174">
        <f>_xll.qlInterestRateIndexValueDate(IborIndex,X2487)</f>
        <v>56397</v>
      </c>
      <c r="Z2487" s="175" t="e">
        <v>#N/A</v>
      </c>
      <c r="AA2487" s="177" t="e">
        <v>#N/A</v>
      </c>
    </row>
    <row r="2488" spans="23:27" x14ac:dyDescent="0.2">
      <c r="W2488" s="173" t="str">
        <f t="shared" si="49"/>
        <v>1w</v>
      </c>
      <c r="X2488" s="180">
        <f>_xll.qlCalendarAdvance(LiborCalendar,X2487,W2488,"f",FALSE)</f>
        <v>56402</v>
      </c>
      <c r="Y2488" s="174">
        <f>_xll.qlInterestRateIndexValueDate(IborIndex,X2488)</f>
        <v>56404</v>
      </c>
      <c r="Z2488" s="175" t="e">
        <v>#N/A</v>
      </c>
      <c r="AA2488" s="177" t="e">
        <v>#N/A</v>
      </c>
    </row>
    <row r="2489" spans="23:27" x14ac:dyDescent="0.2">
      <c r="W2489" s="173" t="str">
        <f t="shared" si="49"/>
        <v>1w</v>
      </c>
      <c r="X2489" s="180">
        <f>_xll.qlCalendarAdvance(LiborCalendar,X2488,W2489,"f",FALSE)</f>
        <v>56409</v>
      </c>
      <c r="Y2489" s="174">
        <f>_xll.qlInterestRateIndexValueDate(IborIndex,X2489)</f>
        <v>56411</v>
      </c>
      <c r="Z2489" s="175" t="e">
        <v>#N/A</v>
      </c>
      <c r="AA2489" s="177" t="e">
        <v>#N/A</v>
      </c>
    </row>
    <row r="2490" spans="23:27" x14ac:dyDescent="0.2">
      <c r="W2490" s="173" t="str">
        <f t="shared" si="49"/>
        <v>1w</v>
      </c>
      <c r="X2490" s="180">
        <f>_xll.qlCalendarAdvance(LiborCalendar,X2489,W2490,"f",FALSE)</f>
        <v>56416</v>
      </c>
      <c r="Y2490" s="174">
        <f>_xll.qlInterestRateIndexValueDate(IborIndex,X2490)</f>
        <v>56418</v>
      </c>
      <c r="Z2490" s="175" t="e">
        <v>#N/A</v>
      </c>
      <c r="AA2490" s="177" t="e">
        <v>#N/A</v>
      </c>
    </row>
    <row r="2491" spans="23:27" x14ac:dyDescent="0.2">
      <c r="W2491" s="173" t="str">
        <f t="shared" si="49"/>
        <v>1w</v>
      </c>
      <c r="X2491" s="180">
        <f>_xll.qlCalendarAdvance(LiborCalendar,X2490,W2491,"f",FALSE)</f>
        <v>56423</v>
      </c>
      <c r="Y2491" s="174">
        <f>_xll.qlInterestRateIndexValueDate(IborIndex,X2491)</f>
        <v>56425</v>
      </c>
      <c r="Z2491" s="175" t="e">
        <v>#N/A</v>
      </c>
      <c r="AA2491" s="177" t="e">
        <v>#N/A</v>
      </c>
    </row>
    <row r="2492" spans="23:27" x14ac:dyDescent="0.2">
      <c r="W2492" s="173" t="str">
        <f t="shared" si="49"/>
        <v>1w</v>
      </c>
      <c r="X2492" s="180">
        <f>_xll.qlCalendarAdvance(LiborCalendar,X2491,W2492,"f",FALSE)</f>
        <v>56430</v>
      </c>
      <c r="Y2492" s="174">
        <f>_xll.qlInterestRateIndexValueDate(IborIndex,X2492)</f>
        <v>56432</v>
      </c>
      <c r="Z2492" s="175" t="e">
        <v>#N/A</v>
      </c>
      <c r="AA2492" s="177" t="e">
        <v>#N/A</v>
      </c>
    </row>
    <row r="2493" spans="23:27" x14ac:dyDescent="0.2">
      <c r="W2493" s="173" t="str">
        <f t="shared" si="49"/>
        <v>1w</v>
      </c>
      <c r="X2493" s="180">
        <f>_xll.qlCalendarAdvance(LiborCalendar,X2492,W2493,"f",FALSE)</f>
        <v>56437</v>
      </c>
      <c r="Y2493" s="174">
        <f>_xll.qlInterestRateIndexValueDate(IborIndex,X2493)</f>
        <v>56439</v>
      </c>
      <c r="Z2493" s="175" t="e">
        <v>#N/A</v>
      </c>
      <c r="AA2493" s="177" t="e">
        <v>#N/A</v>
      </c>
    </row>
    <row r="2494" spans="23:27" x14ac:dyDescent="0.2">
      <c r="W2494" s="173" t="str">
        <f t="shared" si="49"/>
        <v>1w</v>
      </c>
      <c r="X2494" s="180">
        <f>_xll.qlCalendarAdvance(LiborCalendar,X2493,W2494,"f",FALSE)</f>
        <v>56444</v>
      </c>
      <c r="Y2494" s="174">
        <f>_xll.qlInterestRateIndexValueDate(IborIndex,X2494)</f>
        <v>56446</v>
      </c>
      <c r="Z2494" s="175" t="e">
        <v>#N/A</v>
      </c>
      <c r="AA2494" s="177" t="e">
        <v>#N/A</v>
      </c>
    </row>
    <row r="2495" spans="23:27" x14ac:dyDescent="0.2">
      <c r="W2495" s="173" t="str">
        <f t="shared" si="49"/>
        <v>1w</v>
      </c>
      <c r="X2495" s="180">
        <f>_xll.qlCalendarAdvance(LiborCalendar,X2494,W2495,"f",FALSE)</f>
        <v>56451</v>
      </c>
      <c r="Y2495" s="174">
        <f>_xll.qlInterestRateIndexValueDate(IborIndex,X2495)</f>
        <v>56453</v>
      </c>
      <c r="Z2495" s="175" t="e">
        <v>#N/A</v>
      </c>
      <c r="AA2495" s="177" t="e">
        <v>#N/A</v>
      </c>
    </row>
    <row r="2496" spans="23:27" x14ac:dyDescent="0.2">
      <c r="W2496" s="173" t="str">
        <f t="shared" si="49"/>
        <v>1w</v>
      </c>
      <c r="X2496" s="180">
        <f>_xll.qlCalendarAdvance(LiborCalendar,X2495,W2496,"f",FALSE)</f>
        <v>56458</v>
      </c>
      <c r="Y2496" s="174">
        <f>_xll.qlInterestRateIndexValueDate(IborIndex,X2496)</f>
        <v>56460</v>
      </c>
      <c r="Z2496" s="175" t="e">
        <v>#N/A</v>
      </c>
      <c r="AA2496" s="177" t="e">
        <v>#N/A</v>
      </c>
    </row>
    <row r="2497" spans="23:27" x14ac:dyDescent="0.2">
      <c r="W2497" s="173" t="str">
        <f t="shared" si="49"/>
        <v>1w</v>
      </c>
      <c r="X2497" s="180">
        <f>_xll.qlCalendarAdvance(LiborCalendar,X2496,W2497,"f",FALSE)</f>
        <v>56465</v>
      </c>
      <c r="Y2497" s="174">
        <f>_xll.qlInterestRateIndexValueDate(IborIndex,X2497)</f>
        <v>56467</v>
      </c>
      <c r="Z2497" s="175" t="e">
        <v>#N/A</v>
      </c>
      <c r="AA2497" s="177" t="e">
        <v>#N/A</v>
      </c>
    </row>
    <row r="2498" spans="23:27" x14ac:dyDescent="0.2">
      <c r="W2498" s="173" t="str">
        <f t="shared" si="49"/>
        <v>1w</v>
      </c>
      <c r="X2498" s="180">
        <f>_xll.qlCalendarAdvance(LiborCalendar,X2497,W2498,"f",FALSE)</f>
        <v>56472</v>
      </c>
      <c r="Y2498" s="174">
        <f>_xll.qlInterestRateIndexValueDate(IborIndex,X2498)</f>
        <v>56474</v>
      </c>
      <c r="Z2498" s="175" t="e">
        <v>#N/A</v>
      </c>
      <c r="AA2498" s="177" t="e">
        <v>#N/A</v>
      </c>
    </row>
    <row r="2499" spans="23:27" x14ac:dyDescent="0.2">
      <c r="W2499" s="173" t="str">
        <f t="shared" si="49"/>
        <v>1w</v>
      </c>
      <c r="X2499" s="180">
        <f>_xll.qlCalendarAdvance(LiborCalendar,X2498,W2499,"f",FALSE)</f>
        <v>56479</v>
      </c>
      <c r="Y2499" s="174">
        <f>_xll.qlInterestRateIndexValueDate(IborIndex,X2499)</f>
        <v>56481</v>
      </c>
      <c r="Z2499" s="175" t="e">
        <v>#N/A</v>
      </c>
      <c r="AA2499" s="177" t="e">
        <v>#N/A</v>
      </c>
    </row>
    <row r="2500" spans="23:27" x14ac:dyDescent="0.2">
      <c r="W2500" s="173" t="str">
        <f t="shared" si="49"/>
        <v>1w</v>
      </c>
      <c r="X2500" s="180">
        <f>_xll.qlCalendarAdvance(LiborCalendar,X2499,W2500,"f",FALSE)</f>
        <v>56486</v>
      </c>
      <c r="Y2500" s="174">
        <f>_xll.qlInterestRateIndexValueDate(IborIndex,X2500)</f>
        <v>56488</v>
      </c>
      <c r="Z2500" s="175" t="e">
        <v>#N/A</v>
      </c>
      <c r="AA2500" s="177" t="e">
        <v>#N/A</v>
      </c>
    </row>
    <row r="2501" spans="23:27" x14ac:dyDescent="0.2">
      <c r="W2501" s="173" t="str">
        <f t="shared" si="49"/>
        <v>1w</v>
      </c>
      <c r="X2501" s="180">
        <f>_xll.qlCalendarAdvance(LiborCalendar,X2500,W2501,"f",FALSE)</f>
        <v>56493</v>
      </c>
      <c r="Y2501" s="174">
        <f>_xll.qlInterestRateIndexValueDate(IborIndex,X2501)</f>
        <v>56495</v>
      </c>
      <c r="Z2501" s="175" t="e">
        <v>#N/A</v>
      </c>
      <c r="AA2501" s="177" t="e">
        <v>#N/A</v>
      </c>
    </row>
    <row r="2502" spans="23:27" x14ac:dyDescent="0.2">
      <c r="W2502" s="173" t="str">
        <f t="shared" si="49"/>
        <v>1w</v>
      </c>
      <c r="X2502" s="180">
        <f>_xll.qlCalendarAdvance(LiborCalendar,X2501,W2502,"f",FALSE)</f>
        <v>56500</v>
      </c>
      <c r="Y2502" s="174">
        <f>_xll.qlInterestRateIndexValueDate(IborIndex,X2502)</f>
        <v>56502</v>
      </c>
      <c r="Z2502" s="175" t="e">
        <v>#N/A</v>
      </c>
      <c r="AA2502" s="177" t="e">
        <v>#N/A</v>
      </c>
    </row>
    <row r="2503" spans="23:27" x14ac:dyDescent="0.2">
      <c r="W2503" s="173" t="str">
        <f t="shared" si="49"/>
        <v>1w</v>
      </c>
      <c r="X2503" s="180">
        <f>_xll.qlCalendarAdvance(LiborCalendar,X2502,W2503,"f",FALSE)</f>
        <v>56507</v>
      </c>
      <c r="Y2503" s="174">
        <f>_xll.qlInterestRateIndexValueDate(IborIndex,X2503)</f>
        <v>56509</v>
      </c>
      <c r="Z2503" s="175" t="e">
        <v>#N/A</v>
      </c>
      <c r="AA2503" s="177" t="e">
        <v>#N/A</v>
      </c>
    </row>
    <row r="2504" spans="23:27" x14ac:dyDescent="0.2">
      <c r="W2504" s="173" t="str">
        <f t="shared" si="49"/>
        <v>1w</v>
      </c>
      <c r="X2504" s="180">
        <f>_xll.qlCalendarAdvance(LiborCalendar,X2503,W2504,"f",FALSE)</f>
        <v>56514</v>
      </c>
      <c r="Y2504" s="174">
        <f>_xll.qlInterestRateIndexValueDate(IborIndex,X2504)</f>
        <v>56516</v>
      </c>
      <c r="Z2504" s="175" t="e">
        <v>#N/A</v>
      </c>
      <c r="AA2504" s="177" t="e">
        <v>#N/A</v>
      </c>
    </row>
    <row r="2505" spans="23:27" x14ac:dyDescent="0.2">
      <c r="W2505" s="173" t="str">
        <f t="shared" si="49"/>
        <v>1w</v>
      </c>
      <c r="X2505" s="180">
        <f>_xll.qlCalendarAdvance(LiborCalendar,X2504,W2505,"f",FALSE)</f>
        <v>56521</v>
      </c>
      <c r="Y2505" s="174">
        <f>_xll.qlInterestRateIndexValueDate(IborIndex,X2505)</f>
        <v>56523</v>
      </c>
      <c r="Z2505" s="175" t="e">
        <v>#N/A</v>
      </c>
      <c r="AA2505" s="177" t="e">
        <v>#N/A</v>
      </c>
    </row>
    <row r="2506" spans="23:27" x14ac:dyDescent="0.2">
      <c r="W2506" s="173" t="str">
        <f t="shared" si="49"/>
        <v>1w</v>
      </c>
      <c r="X2506" s="180">
        <f>_xll.qlCalendarAdvance(LiborCalendar,X2505,W2506,"f",FALSE)</f>
        <v>56528</v>
      </c>
      <c r="Y2506" s="174">
        <f>_xll.qlInterestRateIndexValueDate(IborIndex,X2506)</f>
        <v>56530</v>
      </c>
      <c r="Z2506" s="175" t="e">
        <v>#N/A</v>
      </c>
      <c r="AA2506" s="177" t="e">
        <v>#N/A</v>
      </c>
    </row>
    <row r="2507" spans="23:27" x14ac:dyDescent="0.2">
      <c r="W2507" s="173" t="str">
        <f t="shared" si="49"/>
        <v>1w</v>
      </c>
      <c r="X2507" s="180">
        <f>_xll.qlCalendarAdvance(LiborCalendar,X2506,W2507,"f",FALSE)</f>
        <v>56535</v>
      </c>
      <c r="Y2507" s="174">
        <f>_xll.qlInterestRateIndexValueDate(IborIndex,X2507)</f>
        <v>56537</v>
      </c>
      <c r="Z2507" s="175" t="e">
        <v>#N/A</v>
      </c>
      <c r="AA2507" s="177" t="e">
        <v>#N/A</v>
      </c>
    </row>
    <row r="2508" spans="23:27" x14ac:dyDescent="0.2">
      <c r="W2508" s="173" t="str">
        <f t="shared" si="49"/>
        <v>1w</v>
      </c>
      <c r="X2508" s="180">
        <f>_xll.qlCalendarAdvance(LiborCalendar,X2507,W2508,"f",FALSE)</f>
        <v>56542</v>
      </c>
      <c r="Y2508" s="174">
        <f>_xll.qlInterestRateIndexValueDate(IborIndex,X2508)</f>
        <v>56544</v>
      </c>
      <c r="Z2508" s="175" t="e">
        <v>#N/A</v>
      </c>
      <c r="AA2508" s="177" t="e">
        <v>#N/A</v>
      </c>
    </row>
    <row r="2509" spans="23:27" x14ac:dyDescent="0.2">
      <c r="W2509" s="173" t="str">
        <f t="shared" si="49"/>
        <v>1w</v>
      </c>
      <c r="X2509" s="180">
        <f>_xll.qlCalendarAdvance(LiborCalendar,X2508,W2509,"f",FALSE)</f>
        <v>56549</v>
      </c>
      <c r="Y2509" s="174">
        <f>_xll.qlInterestRateIndexValueDate(IborIndex,X2509)</f>
        <v>56551</v>
      </c>
      <c r="Z2509" s="175" t="e">
        <v>#N/A</v>
      </c>
      <c r="AA2509" s="177" t="e">
        <v>#N/A</v>
      </c>
    </row>
    <row r="2510" spans="23:27" x14ac:dyDescent="0.2">
      <c r="W2510" s="173" t="str">
        <f t="shared" si="49"/>
        <v>1w</v>
      </c>
      <c r="X2510" s="180">
        <f>_xll.qlCalendarAdvance(LiborCalendar,X2509,W2510,"f",FALSE)</f>
        <v>56556</v>
      </c>
      <c r="Y2510" s="174">
        <f>_xll.qlInterestRateIndexValueDate(IborIndex,X2510)</f>
        <v>56558</v>
      </c>
      <c r="Z2510" s="175" t="e">
        <v>#N/A</v>
      </c>
      <c r="AA2510" s="177" t="e">
        <v>#N/A</v>
      </c>
    </row>
    <row r="2511" spans="23:27" x14ac:dyDescent="0.2">
      <c r="W2511" s="173" t="str">
        <f t="shared" si="49"/>
        <v>1w</v>
      </c>
      <c r="X2511" s="180">
        <f>_xll.qlCalendarAdvance(LiborCalendar,X2510,W2511,"f",FALSE)</f>
        <v>56563</v>
      </c>
      <c r="Y2511" s="174">
        <f>_xll.qlInterestRateIndexValueDate(IborIndex,X2511)</f>
        <v>56565</v>
      </c>
      <c r="Z2511" s="175" t="e">
        <v>#N/A</v>
      </c>
      <c r="AA2511" s="177" t="e">
        <v>#N/A</v>
      </c>
    </row>
    <row r="2512" spans="23:27" x14ac:dyDescent="0.2">
      <c r="W2512" s="173" t="str">
        <f t="shared" si="49"/>
        <v>1w</v>
      </c>
      <c r="X2512" s="180">
        <f>_xll.qlCalendarAdvance(LiborCalendar,X2511,W2512,"f",FALSE)</f>
        <v>56570</v>
      </c>
      <c r="Y2512" s="174">
        <f>_xll.qlInterestRateIndexValueDate(IborIndex,X2512)</f>
        <v>56572</v>
      </c>
      <c r="Z2512" s="175" t="e">
        <v>#N/A</v>
      </c>
      <c r="AA2512" s="177" t="e">
        <v>#N/A</v>
      </c>
    </row>
    <row r="2513" spans="23:27" x14ac:dyDescent="0.2">
      <c r="W2513" s="173" t="str">
        <f t="shared" si="49"/>
        <v>1w</v>
      </c>
      <c r="X2513" s="180">
        <f>_xll.qlCalendarAdvance(LiborCalendar,X2512,W2513,"f",FALSE)</f>
        <v>56577</v>
      </c>
      <c r="Y2513" s="174">
        <f>_xll.qlInterestRateIndexValueDate(IborIndex,X2513)</f>
        <v>56579</v>
      </c>
      <c r="Z2513" s="175" t="e">
        <v>#N/A</v>
      </c>
      <c r="AA2513" s="177" t="e">
        <v>#N/A</v>
      </c>
    </row>
    <row r="2514" spans="23:27" x14ac:dyDescent="0.2">
      <c r="W2514" s="173" t="str">
        <f t="shared" si="49"/>
        <v>1w</v>
      </c>
      <c r="X2514" s="180">
        <f>_xll.qlCalendarAdvance(LiborCalendar,X2513,W2514,"f",FALSE)</f>
        <v>56584</v>
      </c>
      <c r="Y2514" s="174">
        <f>_xll.qlInterestRateIndexValueDate(IborIndex,X2514)</f>
        <v>56586</v>
      </c>
      <c r="Z2514" s="175" t="e">
        <v>#N/A</v>
      </c>
      <c r="AA2514" s="177" t="e">
        <v>#N/A</v>
      </c>
    </row>
    <row r="2515" spans="23:27" x14ac:dyDescent="0.2">
      <c r="W2515" s="173" t="str">
        <f t="shared" si="49"/>
        <v>1w</v>
      </c>
      <c r="X2515" s="180">
        <f>_xll.qlCalendarAdvance(LiborCalendar,X2514,W2515,"f",FALSE)</f>
        <v>56591</v>
      </c>
      <c r="Y2515" s="174">
        <f>_xll.qlInterestRateIndexValueDate(IborIndex,X2515)</f>
        <v>56593</v>
      </c>
      <c r="Z2515" s="175" t="e">
        <v>#N/A</v>
      </c>
      <c r="AA2515" s="177" t="e">
        <v>#N/A</v>
      </c>
    </row>
    <row r="2516" spans="23:27" x14ac:dyDescent="0.2">
      <c r="W2516" s="173" t="str">
        <f t="shared" si="49"/>
        <v>1w</v>
      </c>
      <c r="X2516" s="180">
        <f>_xll.qlCalendarAdvance(LiborCalendar,X2515,W2516,"f",FALSE)</f>
        <v>56598</v>
      </c>
      <c r="Y2516" s="174">
        <f>_xll.qlInterestRateIndexValueDate(IborIndex,X2516)</f>
        <v>56600</v>
      </c>
      <c r="Z2516" s="175" t="e">
        <v>#N/A</v>
      </c>
      <c r="AA2516" s="177" t="e">
        <v>#N/A</v>
      </c>
    </row>
    <row r="2517" spans="23:27" x14ac:dyDescent="0.2">
      <c r="W2517" s="173" t="str">
        <f t="shared" ref="W2517:W2580" si="50">W2516</f>
        <v>1w</v>
      </c>
      <c r="X2517" s="180">
        <f>_xll.qlCalendarAdvance(LiborCalendar,X2516,W2517,"f",FALSE)</f>
        <v>56605</v>
      </c>
      <c r="Y2517" s="174">
        <f>_xll.qlInterestRateIndexValueDate(IborIndex,X2517)</f>
        <v>56607</v>
      </c>
      <c r="Z2517" s="175" t="e">
        <v>#N/A</v>
      </c>
      <c r="AA2517" s="177" t="e">
        <v>#N/A</v>
      </c>
    </row>
    <row r="2518" spans="23:27" x14ac:dyDescent="0.2">
      <c r="W2518" s="173" t="str">
        <f t="shared" si="50"/>
        <v>1w</v>
      </c>
      <c r="X2518" s="180">
        <f>_xll.qlCalendarAdvance(LiborCalendar,X2517,W2518,"f",FALSE)</f>
        <v>56612</v>
      </c>
      <c r="Y2518" s="174">
        <f>_xll.qlInterestRateIndexValueDate(IborIndex,X2518)</f>
        <v>56618</v>
      </c>
      <c r="Z2518" s="175" t="e">
        <v>#N/A</v>
      </c>
      <c r="AA2518" s="177" t="e">
        <v>#N/A</v>
      </c>
    </row>
    <row r="2519" spans="23:27" x14ac:dyDescent="0.2">
      <c r="W2519" s="173" t="str">
        <f t="shared" si="50"/>
        <v>1w</v>
      </c>
      <c r="X2519" s="180">
        <f>_xll.qlCalendarAdvance(LiborCalendar,X2518,W2519,"f",FALSE)</f>
        <v>56619</v>
      </c>
      <c r="Y2519" s="174">
        <f>_xll.qlInterestRateIndexValueDate(IborIndex,X2519)</f>
        <v>56621</v>
      </c>
      <c r="Z2519" s="175" t="e">
        <v>#N/A</v>
      </c>
      <c r="AA2519" s="177" t="e">
        <v>#N/A</v>
      </c>
    </row>
    <row r="2520" spans="23:27" x14ac:dyDescent="0.2">
      <c r="W2520" s="173" t="str">
        <f t="shared" si="50"/>
        <v>1w</v>
      </c>
      <c r="X2520" s="180">
        <f>_xll.qlCalendarAdvance(LiborCalendar,X2519,W2520,"f",FALSE)</f>
        <v>56626</v>
      </c>
      <c r="Y2520" s="174">
        <f>_xll.qlInterestRateIndexValueDate(IborIndex,X2520)</f>
        <v>56628</v>
      </c>
      <c r="Z2520" s="175" t="e">
        <v>#N/A</v>
      </c>
      <c r="AA2520" s="177" t="e">
        <v>#N/A</v>
      </c>
    </row>
    <row r="2521" spans="23:27" x14ac:dyDescent="0.2">
      <c r="W2521" s="173" t="str">
        <f t="shared" si="50"/>
        <v>1w</v>
      </c>
      <c r="X2521" s="180">
        <f>_xll.qlCalendarAdvance(LiborCalendar,X2520,W2521,"f",FALSE)</f>
        <v>56633</v>
      </c>
      <c r="Y2521" s="174">
        <f>_xll.qlInterestRateIndexValueDate(IborIndex,X2521)</f>
        <v>56635</v>
      </c>
      <c r="Z2521" s="175" t="e">
        <v>#N/A</v>
      </c>
      <c r="AA2521" s="177" t="e">
        <v>#N/A</v>
      </c>
    </row>
    <row r="2522" spans="23:27" x14ac:dyDescent="0.2">
      <c r="W2522" s="173" t="str">
        <f t="shared" si="50"/>
        <v>1w</v>
      </c>
      <c r="X2522" s="180">
        <f>_xll.qlCalendarAdvance(LiborCalendar,X2521,W2522,"f",FALSE)</f>
        <v>56640</v>
      </c>
      <c r="Y2522" s="174">
        <f>_xll.qlInterestRateIndexValueDate(IborIndex,X2522)</f>
        <v>56642</v>
      </c>
      <c r="Z2522" s="175" t="e">
        <v>#N/A</v>
      </c>
      <c r="AA2522" s="177" t="e">
        <v>#N/A</v>
      </c>
    </row>
    <row r="2523" spans="23:27" x14ac:dyDescent="0.2">
      <c r="W2523" s="173" t="str">
        <f t="shared" si="50"/>
        <v>1w</v>
      </c>
      <c r="X2523" s="180">
        <f>_xll.qlCalendarAdvance(LiborCalendar,X2522,W2523,"f",FALSE)</f>
        <v>56647</v>
      </c>
      <c r="Y2523" s="174">
        <f>_xll.qlInterestRateIndexValueDate(IborIndex,X2523)</f>
        <v>56649</v>
      </c>
      <c r="Z2523" s="175" t="e">
        <v>#N/A</v>
      </c>
      <c r="AA2523" s="177" t="e">
        <v>#N/A</v>
      </c>
    </row>
    <row r="2524" spans="23:27" x14ac:dyDescent="0.2">
      <c r="W2524" s="173" t="str">
        <f t="shared" si="50"/>
        <v>1w</v>
      </c>
      <c r="X2524" s="180">
        <f>_xll.qlCalendarAdvance(LiborCalendar,X2523,W2524,"f",FALSE)</f>
        <v>56654</v>
      </c>
      <c r="Y2524" s="174">
        <f>_xll.qlInterestRateIndexValueDate(IborIndex,X2524)</f>
        <v>56657</v>
      </c>
      <c r="Z2524" s="175" t="e">
        <v>#N/A</v>
      </c>
      <c r="AA2524" s="177" t="e">
        <v>#N/A</v>
      </c>
    </row>
    <row r="2525" spans="23:27" x14ac:dyDescent="0.2">
      <c r="W2525" s="173" t="str">
        <f t="shared" si="50"/>
        <v>1w</v>
      </c>
      <c r="X2525" s="180">
        <f>_xll.qlCalendarAdvance(LiborCalendar,X2524,W2525,"f",FALSE)</f>
        <v>56661</v>
      </c>
      <c r="Y2525" s="174">
        <f>_xll.qlInterestRateIndexValueDate(IborIndex,X2525)</f>
        <v>56663</v>
      </c>
      <c r="Z2525" s="175" t="e">
        <v>#N/A</v>
      </c>
      <c r="AA2525" s="177" t="e">
        <v>#N/A</v>
      </c>
    </row>
    <row r="2526" spans="23:27" x14ac:dyDescent="0.2">
      <c r="W2526" s="173" t="str">
        <f t="shared" si="50"/>
        <v>1w</v>
      </c>
      <c r="X2526" s="180">
        <f>_xll.qlCalendarAdvance(LiborCalendar,X2525,W2526,"f",FALSE)</f>
        <v>56668</v>
      </c>
      <c r="Y2526" s="174">
        <f>_xll.qlInterestRateIndexValueDate(IborIndex,X2526)</f>
        <v>56670</v>
      </c>
      <c r="Z2526" s="175" t="e">
        <v>#N/A</v>
      </c>
      <c r="AA2526" s="177" t="e">
        <v>#N/A</v>
      </c>
    </row>
    <row r="2527" spans="23:27" x14ac:dyDescent="0.2">
      <c r="W2527" s="173" t="str">
        <f t="shared" si="50"/>
        <v>1w</v>
      </c>
      <c r="X2527" s="180">
        <f>_xll.qlCalendarAdvance(LiborCalendar,X2526,W2527,"f",FALSE)</f>
        <v>56675</v>
      </c>
      <c r="Y2527" s="174">
        <f>_xll.qlInterestRateIndexValueDate(IborIndex,X2527)</f>
        <v>56677</v>
      </c>
      <c r="Z2527" s="175" t="e">
        <v>#N/A</v>
      </c>
      <c r="AA2527" s="177" t="e">
        <v>#N/A</v>
      </c>
    </row>
    <row r="2528" spans="23:27" x14ac:dyDescent="0.2">
      <c r="W2528" s="173" t="str">
        <f t="shared" si="50"/>
        <v>1w</v>
      </c>
      <c r="X2528" s="180">
        <f>_xll.qlCalendarAdvance(LiborCalendar,X2527,W2528,"f",FALSE)</f>
        <v>56682</v>
      </c>
      <c r="Y2528" s="174">
        <f>_xll.qlInterestRateIndexValueDate(IborIndex,X2528)</f>
        <v>56684</v>
      </c>
      <c r="Z2528" s="175" t="e">
        <v>#N/A</v>
      </c>
      <c r="AA2528" s="177" t="e">
        <v>#N/A</v>
      </c>
    </row>
    <row r="2529" spans="23:27" x14ac:dyDescent="0.2">
      <c r="W2529" s="173" t="str">
        <f t="shared" si="50"/>
        <v>1w</v>
      </c>
      <c r="X2529" s="180">
        <f>_xll.qlCalendarAdvance(LiborCalendar,X2528,W2529,"f",FALSE)</f>
        <v>56689</v>
      </c>
      <c r="Y2529" s="174">
        <f>_xll.qlInterestRateIndexValueDate(IborIndex,X2529)</f>
        <v>56691</v>
      </c>
      <c r="Z2529" s="175" t="e">
        <v>#N/A</v>
      </c>
      <c r="AA2529" s="177" t="e">
        <v>#N/A</v>
      </c>
    </row>
    <row r="2530" spans="23:27" x14ac:dyDescent="0.2">
      <c r="W2530" s="173" t="str">
        <f t="shared" si="50"/>
        <v>1w</v>
      </c>
      <c r="X2530" s="180">
        <f>_xll.qlCalendarAdvance(LiborCalendar,X2529,W2530,"f",FALSE)</f>
        <v>56696</v>
      </c>
      <c r="Y2530" s="174">
        <f>_xll.qlInterestRateIndexValueDate(IborIndex,X2530)</f>
        <v>56698</v>
      </c>
      <c r="Z2530" s="175" t="e">
        <v>#N/A</v>
      </c>
      <c r="AA2530" s="177" t="e">
        <v>#N/A</v>
      </c>
    </row>
    <row r="2531" spans="23:27" x14ac:dyDescent="0.2">
      <c r="W2531" s="173" t="str">
        <f t="shared" si="50"/>
        <v>1w</v>
      </c>
      <c r="X2531" s="180">
        <f>_xll.qlCalendarAdvance(LiborCalendar,X2530,W2531,"f",FALSE)</f>
        <v>56703</v>
      </c>
      <c r="Y2531" s="174">
        <f>_xll.qlInterestRateIndexValueDate(IborIndex,X2531)</f>
        <v>56705</v>
      </c>
      <c r="Z2531" s="175" t="e">
        <v>#N/A</v>
      </c>
      <c r="AA2531" s="177" t="e">
        <v>#N/A</v>
      </c>
    </row>
    <row r="2532" spans="23:27" x14ac:dyDescent="0.2">
      <c r="W2532" s="173" t="str">
        <f t="shared" si="50"/>
        <v>1w</v>
      </c>
      <c r="X2532" s="180">
        <f>_xll.qlCalendarAdvance(LiborCalendar,X2531,W2532,"f",FALSE)</f>
        <v>56710</v>
      </c>
      <c r="Y2532" s="174">
        <f>_xll.qlInterestRateIndexValueDate(IborIndex,X2532)</f>
        <v>56712</v>
      </c>
      <c r="Z2532" s="175" t="e">
        <v>#N/A</v>
      </c>
      <c r="AA2532" s="177" t="e">
        <v>#N/A</v>
      </c>
    </row>
    <row r="2533" spans="23:27" x14ac:dyDescent="0.2">
      <c r="W2533" s="173" t="str">
        <f t="shared" si="50"/>
        <v>1w</v>
      </c>
      <c r="X2533" s="180">
        <f>_xll.qlCalendarAdvance(LiborCalendar,X2532,W2533,"f",FALSE)</f>
        <v>56717</v>
      </c>
      <c r="Y2533" s="174">
        <f>_xll.qlInterestRateIndexValueDate(IborIndex,X2533)</f>
        <v>56719</v>
      </c>
      <c r="Z2533" s="175" t="e">
        <v>#N/A</v>
      </c>
      <c r="AA2533" s="177" t="e">
        <v>#N/A</v>
      </c>
    </row>
    <row r="2534" spans="23:27" x14ac:dyDescent="0.2">
      <c r="W2534" s="173" t="str">
        <f t="shared" si="50"/>
        <v>1w</v>
      </c>
      <c r="X2534" s="180">
        <f>_xll.qlCalendarAdvance(LiborCalendar,X2533,W2534,"f",FALSE)</f>
        <v>56724</v>
      </c>
      <c r="Y2534" s="174">
        <f>_xll.qlInterestRateIndexValueDate(IborIndex,X2534)</f>
        <v>56726</v>
      </c>
      <c r="Z2534" s="175" t="e">
        <v>#N/A</v>
      </c>
      <c r="AA2534" s="177" t="e">
        <v>#N/A</v>
      </c>
    </row>
    <row r="2535" spans="23:27" x14ac:dyDescent="0.2">
      <c r="W2535" s="173" t="str">
        <f t="shared" si="50"/>
        <v>1w</v>
      </c>
      <c r="X2535" s="180">
        <f>_xll.qlCalendarAdvance(LiborCalendar,X2534,W2535,"f",FALSE)</f>
        <v>56731</v>
      </c>
      <c r="Y2535" s="174">
        <f>_xll.qlInterestRateIndexValueDate(IborIndex,X2535)</f>
        <v>56734</v>
      </c>
      <c r="Z2535" s="175" t="e">
        <v>#N/A</v>
      </c>
      <c r="AA2535" s="177" t="e">
        <v>#N/A</v>
      </c>
    </row>
    <row r="2536" spans="23:27" x14ac:dyDescent="0.2">
      <c r="W2536" s="173" t="str">
        <f t="shared" si="50"/>
        <v>1w</v>
      </c>
      <c r="X2536" s="180">
        <f>_xll.qlCalendarAdvance(LiborCalendar,X2535,W2536,"f",FALSE)</f>
        <v>56738</v>
      </c>
      <c r="Y2536" s="174">
        <f>_xll.qlInterestRateIndexValueDate(IborIndex,X2536)</f>
        <v>56740</v>
      </c>
      <c r="Z2536" s="175" t="e">
        <v>#N/A</v>
      </c>
      <c r="AA2536" s="177" t="e">
        <v>#N/A</v>
      </c>
    </row>
    <row r="2537" spans="23:27" x14ac:dyDescent="0.2">
      <c r="W2537" s="173" t="str">
        <f t="shared" si="50"/>
        <v>1w</v>
      </c>
      <c r="X2537" s="180">
        <f>_xll.qlCalendarAdvance(LiborCalendar,X2536,W2537,"f",FALSE)</f>
        <v>56745</v>
      </c>
      <c r="Y2537" s="174">
        <f>_xll.qlInterestRateIndexValueDate(IborIndex,X2537)</f>
        <v>56747</v>
      </c>
      <c r="Z2537" s="175" t="e">
        <v>#N/A</v>
      </c>
      <c r="AA2537" s="177" t="e">
        <v>#N/A</v>
      </c>
    </row>
    <row r="2538" spans="23:27" x14ac:dyDescent="0.2">
      <c r="W2538" s="173" t="str">
        <f t="shared" si="50"/>
        <v>1w</v>
      </c>
      <c r="X2538" s="180">
        <f>_xll.qlCalendarAdvance(LiborCalendar,X2537,W2538,"f",FALSE)</f>
        <v>56752</v>
      </c>
      <c r="Y2538" s="174">
        <f>_xll.qlInterestRateIndexValueDate(IborIndex,X2538)</f>
        <v>56754</v>
      </c>
      <c r="Z2538" s="175" t="e">
        <v>#N/A</v>
      </c>
      <c r="AA2538" s="177" t="e">
        <v>#N/A</v>
      </c>
    </row>
    <row r="2539" spans="23:27" x14ac:dyDescent="0.2">
      <c r="W2539" s="173" t="str">
        <f t="shared" si="50"/>
        <v>1w</v>
      </c>
      <c r="X2539" s="180">
        <f>_xll.qlCalendarAdvance(LiborCalendar,X2538,W2539,"f",FALSE)</f>
        <v>56759</v>
      </c>
      <c r="Y2539" s="174">
        <f>_xll.qlInterestRateIndexValueDate(IborIndex,X2539)</f>
        <v>56761</v>
      </c>
      <c r="Z2539" s="175" t="e">
        <v>#N/A</v>
      </c>
      <c r="AA2539" s="177" t="e">
        <v>#N/A</v>
      </c>
    </row>
    <row r="2540" spans="23:27" x14ac:dyDescent="0.2">
      <c r="W2540" s="173" t="str">
        <f t="shared" si="50"/>
        <v>1w</v>
      </c>
      <c r="X2540" s="180">
        <f>_xll.qlCalendarAdvance(LiborCalendar,X2539,W2540,"f",FALSE)</f>
        <v>56766</v>
      </c>
      <c r="Y2540" s="174">
        <f>_xll.qlInterestRateIndexValueDate(IborIndex,X2540)</f>
        <v>56768</v>
      </c>
      <c r="Z2540" s="175" t="e">
        <v>#N/A</v>
      </c>
      <c r="AA2540" s="177" t="e">
        <v>#N/A</v>
      </c>
    </row>
    <row r="2541" spans="23:27" x14ac:dyDescent="0.2">
      <c r="W2541" s="173" t="str">
        <f t="shared" si="50"/>
        <v>1w</v>
      </c>
      <c r="X2541" s="180">
        <f>_xll.qlCalendarAdvance(LiborCalendar,X2540,W2541,"f",FALSE)</f>
        <v>56773</v>
      </c>
      <c r="Y2541" s="174">
        <f>_xll.qlInterestRateIndexValueDate(IborIndex,X2541)</f>
        <v>56775</v>
      </c>
      <c r="Z2541" s="175" t="e">
        <v>#N/A</v>
      </c>
      <c r="AA2541" s="177" t="e">
        <v>#N/A</v>
      </c>
    </row>
    <row r="2542" spans="23:27" x14ac:dyDescent="0.2">
      <c r="W2542" s="173" t="str">
        <f t="shared" si="50"/>
        <v>1w</v>
      </c>
      <c r="X2542" s="180">
        <f>_xll.qlCalendarAdvance(LiborCalendar,X2541,W2542,"f",FALSE)</f>
        <v>56780</v>
      </c>
      <c r="Y2542" s="174">
        <f>_xll.qlInterestRateIndexValueDate(IborIndex,X2542)</f>
        <v>56782</v>
      </c>
      <c r="Z2542" s="175" t="e">
        <v>#N/A</v>
      </c>
      <c r="AA2542" s="177" t="e">
        <v>#N/A</v>
      </c>
    </row>
    <row r="2543" spans="23:27" x14ac:dyDescent="0.2">
      <c r="W2543" s="173" t="str">
        <f t="shared" si="50"/>
        <v>1w</v>
      </c>
      <c r="X2543" s="180">
        <f>_xll.qlCalendarAdvance(LiborCalendar,X2542,W2543,"f",FALSE)</f>
        <v>56787</v>
      </c>
      <c r="Y2543" s="174">
        <f>_xll.qlInterestRateIndexValueDate(IborIndex,X2543)</f>
        <v>56789</v>
      </c>
      <c r="Z2543" s="175" t="e">
        <v>#N/A</v>
      </c>
      <c r="AA2543" s="177" t="e">
        <v>#N/A</v>
      </c>
    </row>
    <row r="2544" spans="23:27" x14ac:dyDescent="0.2">
      <c r="W2544" s="173" t="str">
        <f t="shared" si="50"/>
        <v>1w</v>
      </c>
      <c r="X2544" s="180">
        <f>_xll.qlCalendarAdvance(LiborCalendar,X2543,W2544,"f",FALSE)</f>
        <v>56794</v>
      </c>
      <c r="Y2544" s="174">
        <f>_xll.qlInterestRateIndexValueDate(IborIndex,X2544)</f>
        <v>56796</v>
      </c>
      <c r="Z2544" s="175" t="e">
        <v>#N/A</v>
      </c>
      <c r="AA2544" s="177" t="e">
        <v>#N/A</v>
      </c>
    </row>
    <row r="2545" spans="23:27" x14ac:dyDescent="0.2">
      <c r="W2545" s="173" t="str">
        <f t="shared" si="50"/>
        <v>1w</v>
      </c>
      <c r="X2545" s="180">
        <f>_xll.qlCalendarAdvance(LiborCalendar,X2544,W2545,"f",FALSE)</f>
        <v>56801</v>
      </c>
      <c r="Y2545" s="174">
        <f>_xll.qlInterestRateIndexValueDate(IborIndex,X2545)</f>
        <v>56803</v>
      </c>
      <c r="Z2545" s="175" t="e">
        <v>#N/A</v>
      </c>
      <c r="AA2545" s="177" t="e">
        <v>#N/A</v>
      </c>
    </row>
    <row r="2546" spans="23:27" x14ac:dyDescent="0.2">
      <c r="W2546" s="173" t="str">
        <f t="shared" si="50"/>
        <v>1w</v>
      </c>
      <c r="X2546" s="180">
        <f>_xll.qlCalendarAdvance(LiborCalendar,X2545,W2546,"f",FALSE)</f>
        <v>56808</v>
      </c>
      <c r="Y2546" s="174">
        <f>_xll.qlInterestRateIndexValueDate(IborIndex,X2546)</f>
        <v>56810</v>
      </c>
      <c r="Z2546" s="175" t="e">
        <v>#N/A</v>
      </c>
      <c r="AA2546" s="177" t="e">
        <v>#N/A</v>
      </c>
    </row>
    <row r="2547" spans="23:27" x14ac:dyDescent="0.2">
      <c r="W2547" s="173" t="str">
        <f t="shared" si="50"/>
        <v>1w</v>
      </c>
      <c r="X2547" s="180">
        <f>_xll.qlCalendarAdvance(LiborCalendar,X2546,W2547,"f",FALSE)</f>
        <v>56815</v>
      </c>
      <c r="Y2547" s="174">
        <f>_xll.qlInterestRateIndexValueDate(IborIndex,X2547)</f>
        <v>56817</v>
      </c>
      <c r="Z2547" s="175" t="e">
        <v>#N/A</v>
      </c>
      <c r="AA2547" s="177" t="e">
        <v>#N/A</v>
      </c>
    </row>
    <row r="2548" spans="23:27" x14ac:dyDescent="0.2">
      <c r="W2548" s="173" t="str">
        <f t="shared" si="50"/>
        <v>1w</v>
      </c>
      <c r="X2548" s="180">
        <f>_xll.qlCalendarAdvance(LiborCalendar,X2547,W2548,"f",FALSE)</f>
        <v>56822</v>
      </c>
      <c r="Y2548" s="174">
        <f>_xll.qlInterestRateIndexValueDate(IborIndex,X2548)</f>
        <v>56824</v>
      </c>
      <c r="Z2548" s="175" t="e">
        <v>#N/A</v>
      </c>
      <c r="AA2548" s="177" t="e">
        <v>#N/A</v>
      </c>
    </row>
    <row r="2549" spans="23:27" x14ac:dyDescent="0.2">
      <c r="W2549" s="173" t="str">
        <f t="shared" si="50"/>
        <v>1w</v>
      </c>
      <c r="X2549" s="180">
        <f>_xll.qlCalendarAdvance(LiborCalendar,X2548,W2549,"f",FALSE)</f>
        <v>56829</v>
      </c>
      <c r="Y2549" s="174">
        <f>_xll.qlInterestRateIndexValueDate(IborIndex,X2549)</f>
        <v>56831</v>
      </c>
      <c r="Z2549" s="175" t="e">
        <v>#N/A</v>
      </c>
      <c r="AA2549" s="177" t="e">
        <v>#N/A</v>
      </c>
    </row>
    <row r="2550" spans="23:27" x14ac:dyDescent="0.2">
      <c r="W2550" s="173" t="str">
        <f t="shared" si="50"/>
        <v>1w</v>
      </c>
      <c r="X2550" s="180">
        <f>_xll.qlCalendarAdvance(LiborCalendar,X2549,W2550,"f",FALSE)</f>
        <v>56836</v>
      </c>
      <c r="Y2550" s="174">
        <f>_xll.qlInterestRateIndexValueDate(IborIndex,X2550)</f>
        <v>56838</v>
      </c>
      <c r="Z2550" s="175" t="e">
        <v>#N/A</v>
      </c>
      <c r="AA2550" s="177" t="e">
        <v>#N/A</v>
      </c>
    </row>
    <row r="2551" spans="23:27" x14ac:dyDescent="0.2">
      <c r="W2551" s="173" t="str">
        <f t="shared" si="50"/>
        <v>1w</v>
      </c>
      <c r="X2551" s="180">
        <f>_xll.qlCalendarAdvance(LiborCalendar,X2550,W2551,"f",FALSE)</f>
        <v>56843</v>
      </c>
      <c r="Y2551" s="174">
        <f>_xll.qlInterestRateIndexValueDate(IborIndex,X2551)</f>
        <v>56845</v>
      </c>
      <c r="Z2551" s="175" t="e">
        <v>#N/A</v>
      </c>
      <c r="AA2551" s="177" t="e">
        <v>#N/A</v>
      </c>
    </row>
    <row r="2552" spans="23:27" x14ac:dyDescent="0.2">
      <c r="W2552" s="173" t="str">
        <f t="shared" si="50"/>
        <v>1w</v>
      </c>
      <c r="X2552" s="180">
        <f>_xll.qlCalendarAdvance(LiborCalendar,X2551,W2552,"f",FALSE)</f>
        <v>56850</v>
      </c>
      <c r="Y2552" s="174">
        <f>_xll.qlInterestRateIndexValueDate(IborIndex,X2552)</f>
        <v>56852</v>
      </c>
      <c r="Z2552" s="175" t="e">
        <v>#N/A</v>
      </c>
      <c r="AA2552" s="177" t="e">
        <v>#N/A</v>
      </c>
    </row>
    <row r="2553" spans="23:27" x14ac:dyDescent="0.2">
      <c r="W2553" s="173" t="str">
        <f t="shared" si="50"/>
        <v>1w</v>
      </c>
      <c r="X2553" s="180">
        <f>_xll.qlCalendarAdvance(LiborCalendar,X2552,W2553,"f",FALSE)</f>
        <v>56857</v>
      </c>
      <c r="Y2553" s="174">
        <f>_xll.qlInterestRateIndexValueDate(IborIndex,X2553)</f>
        <v>56859</v>
      </c>
      <c r="Z2553" s="175" t="e">
        <v>#N/A</v>
      </c>
      <c r="AA2553" s="177" t="e">
        <v>#N/A</v>
      </c>
    </row>
    <row r="2554" spans="23:27" x14ac:dyDescent="0.2">
      <c r="W2554" s="173" t="str">
        <f t="shared" si="50"/>
        <v>1w</v>
      </c>
      <c r="X2554" s="180">
        <f>_xll.qlCalendarAdvance(LiborCalendar,X2553,W2554,"f",FALSE)</f>
        <v>56864</v>
      </c>
      <c r="Y2554" s="174">
        <f>_xll.qlInterestRateIndexValueDate(IborIndex,X2554)</f>
        <v>56866</v>
      </c>
      <c r="Z2554" s="175" t="e">
        <v>#N/A</v>
      </c>
      <c r="AA2554" s="177" t="e">
        <v>#N/A</v>
      </c>
    </row>
    <row r="2555" spans="23:27" x14ac:dyDescent="0.2">
      <c r="W2555" s="173" t="str">
        <f t="shared" si="50"/>
        <v>1w</v>
      </c>
      <c r="X2555" s="180">
        <f>_xll.qlCalendarAdvance(LiborCalendar,X2554,W2555,"f",FALSE)</f>
        <v>56871</v>
      </c>
      <c r="Y2555" s="174">
        <f>_xll.qlInterestRateIndexValueDate(IborIndex,X2555)</f>
        <v>56873</v>
      </c>
      <c r="Z2555" s="175" t="e">
        <v>#N/A</v>
      </c>
      <c r="AA2555" s="177" t="e">
        <v>#N/A</v>
      </c>
    </row>
    <row r="2556" spans="23:27" x14ac:dyDescent="0.2">
      <c r="W2556" s="173" t="str">
        <f t="shared" si="50"/>
        <v>1w</v>
      </c>
      <c r="X2556" s="180">
        <f>_xll.qlCalendarAdvance(LiborCalendar,X2555,W2556,"f",FALSE)</f>
        <v>56878</v>
      </c>
      <c r="Y2556" s="174">
        <f>_xll.qlInterestRateIndexValueDate(IborIndex,X2556)</f>
        <v>56881</v>
      </c>
      <c r="Z2556" s="175" t="e">
        <v>#N/A</v>
      </c>
      <c r="AA2556" s="177" t="e">
        <v>#N/A</v>
      </c>
    </row>
    <row r="2557" spans="23:27" x14ac:dyDescent="0.2">
      <c r="W2557" s="173" t="str">
        <f t="shared" si="50"/>
        <v>1w</v>
      </c>
      <c r="X2557" s="180">
        <f>_xll.qlCalendarAdvance(LiborCalendar,X2556,W2557,"f",FALSE)</f>
        <v>56885</v>
      </c>
      <c r="Y2557" s="174">
        <f>_xll.qlInterestRateIndexValueDate(IborIndex,X2557)</f>
        <v>56887</v>
      </c>
      <c r="Z2557" s="175" t="e">
        <v>#N/A</v>
      </c>
      <c r="AA2557" s="177" t="e">
        <v>#N/A</v>
      </c>
    </row>
    <row r="2558" spans="23:27" x14ac:dyDescent="0.2">
      <c r="W2558" s="173" t="str">
        <f t="shared" si="50"/>
        <v>1w</v>
      </c>
      <c r="X2558" s="180">
        <f>_xll.qlCalendarAdvance(LiborCalendar,X2557,W2558,"f",FALSE)</f>
        <v>56892</v>
      </c>
      <c r="Y2558" s="174">
        <f>_xll.qlInterestRateIndexValueDate(IborIndex,X2558)</f>
        <v>56894</v>
      </c>
      <c r="Z2558" s="175" t="e">
        <v>#N/A</v>
      </c>
      <c r="AA2558" s="177" t="e">
        <v>#N/A</v>
      </c>
    </row>
    <row r="2559" spans="23:27" x14ac:dyDescent="0.2">
      <c r="W2559" s="173" t="str">
        <f t="shared" si="50"/>
        <v>1w</v>
      </c>
      <c r="X2559" s="180">
        <f>_xll.qlCalendarAdvance(LiborCalendar,X2558,W2559,"f",FALSE)</f>
        <v>56899</v>
      </c>
      <c r="Y2559" s="174">
        <f>_xll.qlInterestRateIndexValueDate(IborIndex,X2559)</f>
        <v>56901</v>
      </c>
      <c r="Z2559" s="175" t="e">
        <v>#N/A</v>
      </c>
      <c r="AA2559" s="177" t="e">
        <v>#N/A</v>
      </c>
    </row>
    <row r="2560" spans="23:27" x14ac:dyDescent="0.2">
      <c r="W2560" s="173" t="str">
        <f t="shared" si="50"/>
        <v>1w</v>
      </c>
      <c r="X2560" s="180">
        <f>_xll.qlCalendarAdvance(LiborCalendar,X2559,W2560,"f",FALSE)</f>
        <v>56906</v>
      </c>
      <c r="Y2560" s="174">
        <f>_xll.qlInterestRateIndexValueDate(IborIndex,X2560)</f>
        <v>56908</v>
      </c>
      <c r="Z2560" s="175" t="e">
        <v>#N/A</v>
      </c>
      <c r="AA2560" s="177" t="e">
        <v>#N/A</v>
      </c>
    </row>
    <row r="2561" spans="23:27" x14ac:dyDescent="0.2">
      <c r="W2561" s="173" t="str">
        <f t="shared" si="50"/>
        <v>1w</v>
      </c>
      <c r="X2561" s="180">
        <f>_xll.qlCalendarAdvance(LiborCalendar,X2560,W2561,"f",FALSE)</f>
        <v>56913</v>
      </c>
      <c r="Y2561" s="174">
        <f>_xll.qlInterestRateIndexValueDate(IborIndex,X2561)</f>
        <v>56915</v>
      </c>
      <c r="Z2561" s="175" t="e">
        <v>#N/A</v>
      </c>
      <c r="AA2561" s="177" t="e">
        <v>#N/A</v>
      </c>
    </row>
    <row r="2562" spans="23:27" x14ac:dyDescent="0.2">
      <c r="W2562" s="173" t="str">
        <f t="shared" si="50"/>
        <v>1w</v>
      </c>
      <c r="X2562" s="180">
        <f>_xll.qlCalendarAdvance(LiborCalendar,X2561,W2562,"f",FALSE)</f>
        <v>56920</v>
      </c>
      <c r="Y2562" s="174">
        <f>_xll.qlInterestRateIndexValueDate(IborIndex,X2562)</f>
        <v>56922</v>
      </c>
      <c r="Z2562" s="175" t="e">
        <v>#N/A</v>
      </c>
      <c r="AA2562" s="177" t="e">
        <v>#N/A</v>
      </c>
    </row>
    <row r="2563" spans="23:27" x14ac:dyDescent="0.2">
      <c r="W2563" s="173" t="str">
        <f t="shared" si="50"/>
        <v>1w</v>
      </c>
      <c r="X2563" s="180">
        <f>_xll.qlCalendarAdvance(LiborCalendar,X2562,W2563,"f",FALSE)</f>
        <v>56927</v>
      </c>
      <c r="Y2563" s="174">
        <f>_xll.qlInterestRateIndexValueDate(IborIndex,X2563)</f>
        <v>56929</v>
      </c>
      <c r="Z2563" s="175" t="e">
        <v>#N/A</v>
      </c>
      <c r="AA2563" s="177" t="e">
        <v>#N/A</v>
      </c>
    </row>
    <row r="2564" spans="23:27" x14ac:dyDescent="0.2">
      <c r="W2564" s="173" t="str">
        <f t="shared" si="50"/>
        <v>1w</v>
      </c>
      <c r="X2564" s="180">
        <f>_xll.qlCalendarAdvance(LiborCalendar,X2563,W2564,"f",FALSE)</f>
        <v>56934</v>
      </c>
      <c r="Y2564" s="174">
        <f>_xll.qlInterestRateIndexValueDate(IborIndex,X2564)</f>
        <v>56936</v>
      </c>
      <c r="Z2564" s="175" t="e">
        <v>#N/A</v>
      </c>
      <c r="AA2564" s="177" t="e">
        <v>#N/A</v>
      </c>
    </row>
    <row r="2565" spans="23:27" x14ac:dyDescent="0.2">
      <c r="W2565" s="173" t="str">
        <f t="shared" si="50"/>
        <v>1w</v>
      </c>
      <c r="X2565" s="180">
        <f>_xll.qlCalendarAdvance(LiborCalendar,X2564,W2565,"f",FALSE)</f>
        <v>56941</v>
      </c>
      <c r="Y2565" s="174">
        <f>_xll.qlInterestRateIndexValueDate(IborIndex,X2565)</f>
        <v>56943</v>
      </c>
      <c r="Z2565" s="175" t="e">
        <v>#N/A</v>
      </c>
      <c r="AA2565" s="177" t="e">
        <v>#N/A</v>
      </c>
    </row>
    <row r="2566" spans="23:27" x14ac:dyDescent="0.2">
      <c r="W2566" s="173" t="str">
        <f t="shared" si="50"/>
        <v>1w</v>
      </c>
      <c r="X2566" s="180">
        <f>_xll.qlCalendarAdvance(LiborCalendar,X2565,W2566,"f",FALSE)</f>
        <v>56948</v>
      </c>
      <c r="Y2566" s="174">
        <f>_xll.qlInterestRateIndexValueDate(IborIndex,X2566)</f>
        <v>56950</v>
      </c>
      <c r="Z2566" s="175" t="e">
        <v>#N/A</v>
      </c>
      <c r="AA2566" s="177" t="e">
        <v>#N/A</v>
      </c>
    </row>
    <row r="2567" spans="23:27" x14ac:dyDescent="0.2">
      <c r="W2567" s="173" t="str">
        <f t="shared" si="50"/>
        <v>1w</v>
      </c>
      <c r="X2567" s="180">
        <f>_xll.qlCalendarAdvance(LiborCalendar,X2566,W2567,"f",FALSE)</f>
        <v>56955</v>
      </c>
      <c r="Y2567" s="174">
        <f>_xll.qlInterestRateIndexValueDate(IborIndex,X2567)</f>
        <v>56957</v>
      </c>
      <c r="Z2567" s="175" t="e">
        <v>#N/A</v>
      </c>
      <c r="AA2567" s="177" t="e">
        <v>#N/A</v>
      </c>
    </row>
    <row r="2568" spans="23:27" x14ac:dyDescent="0.2">
      <c r="W2568" s="173" t="str">
        <f t="shared" si="50"/>
        <v>1w</v>
      </c>
      <c r="X2568" s="180">
        <f>_xll.qlCalendarAdvance(LiborCalendar,X2567,W2568,"f",FALSE)</f>
        <v>56962</v>
      </c>
      <c r="Y2568" s="174">
        <f>_xll.qlInterestRateIndexValueDate(IborIndex,X2568)</f>
        <v>56964</v>
      </c>
      <c r="Z2568" s="175" t="e">
        <v>#N/A</v>
      </c>
      <c r="AA2568" s="177" t="e">
        <v>#N/A</v>
      </c>
    </row>
    <row r="2569" spans="23:27" x14ac:dyDescent="0.2">
      <c r="W2569" s="173" t="str">
        <f t="shared" si="50"/>
        <v>1w</v>
      </c>
      <c r="X2569" s="180">
        <f>_xll.qlCalendarAdvance(LiborCalendar,X2568,W2569,"f",FALSE)</f>
        <v>56969</v>
      </c>
      <c r="Y2569" s="174">
        <f>_xll.qlInterestRateIndexValueDate(IborIndex,X2569)</f>
        <v>56972</v>
      </c>
      <c r="Z2569" s="175" t="e">
        <v>#N/A</v>
      </c>
      <c r="AA2569" s="177" t="e">
        <v>#N/A</v>
      </c>
    </row>
    <row r="2570" spans="23:27" x14ac:dyDescent="0.2">
      <c r="W2570" s="173" t="str">
        <f t="shared" si="50"/>
        <v>1w</v>
      </c>
      <c r="X2570" s="180">
        <f>_xll.qlCalendarAdvance(LiborCalendar,X2569,W2570,"f",FALSE)</f>
        <v>56977</v>
      </c>
      <c r="Y2570" s="174">
        <f>_xll.qlInterestRateIndexValueDate(IborIndex,X2570)</f>
        <v>56983</v>
      </c>
      <c r="Z2570" s="175" t="e">
        <v>#N/A</v>
      </c>
      <c r="AA2570" s="177" t="e">
        <v>#N/A</v>
      </c>
    </row>
    <row r="2571" spans="23:27" x14ac:dyDescent="0.2">
      <c r="W2571" s="173" t="str">
        <f t="shared" si="50"/>
        <v>1w</v>
      </c>
      <c r="X2571" s="180">
        <f>_xll.qlCalendarAdvance(LiborCalendar,X2570,W2571,"f",FALSE)</f>
        <v>56984</v>
      </c>
      <c r="Y2571" s="174">
        <f>_xll.qlInterestRateIndexValueDate(IborIndex,X2571)</f>
        <v>56986</v>
      </c>
      <c r="Z2571" s="175" t="e">
        <v>#N/A</v>
      </c>
      <c r="AA2571" s="177" t="e">
        <v>#N/A</v>
      </c>
    </row>
    <row r="2572" spans="23:27" x14ac:dyDescent="0.2">
      <c r="W2572" s="173" t="str">
        <f t="shared" si="50"/>
        <v>1w</v>
      </c>
      <c r="X2572" s="180">
        <f>_xll.qlCalendarAdvance(LiborCalendar,X2571,W2572,"f",FALSE)</f>
        <v>56991</v>
      </c>
      <c r="Y2572" s="174">
        <f>_xll.qlInterestRateIndexValueDate(IborIndex,X2572)</f>
        <v>56993</v>
      </c>
      <c r="Z2572" s="175" t="e">
        <v>#N/A</v>
      </c>
      <c r="AA2572" s="177" t="e">
        <v>#N/A</v>
      </c>
    </row>
    <row r="2573" spans="23:27" x14ac:dyDescent="0.2">
      <c r="W2573" s="173" t="str">
        <f t="shared" si="50"/>
        <v>1w</v>
      </c>
      <c r="X2573" s="180">
        <f>_xll.qlCalendarAdvance(LiborCalendar,X2572,W2573,"f",FALSE)</f>
        <v>56998</v>
      </c>
      <c r="Y2573" s="174">
        <f>_xll.qlInterestRateIndexValueDate(IborIndex,X2573)</f>
        <v>57000</v>
      </c>
      <c r="Z2573" s="175" t="e">
        <v>#N/A</v>
      </c>
      <c r="AA2573" s="177" t="e">
        <v>#N/A</v>
      </c>
    </row>
    <row r="2574" spans="23:27" x14ac:dyDescent="0.2">
      <c r="W2574" s="173" t="str">
        <f t="shared" si="50"/>
        <v>1w</v>
      </c>
      <c r="X2574" s="180">
        <f>_xll.qlCalendarAdvance(LiborCalendar,X2573,W2574,"f",FALSE)</f>
        <v>57005</v>
      </c>
      <c r="Y2574" s="174">
        <f>_xll.qlInterestRateIndexValueDate(IborIndex,X2574)</f>
        <v>57007</v>
      </c>
      <c r="Z2574" s="175" t="e">
        <v>#N/A</v>
      </c>
      <c r="AA2574" s="177" t="e">
        <v>#N/A</v>
      </c>
    </row>
    <row r="2575" spans="23:27" x14ac:dyDescent="0.2">
      <c r="W2575" s="173" t="str">
        <f t="shared" si="50"/>
        <v>1w</v>
      </c>
      <c r="X2575" s="180">
        <f>_xll.qlCalendarAdvance(LiborCalendar,X2574,W2575,"f",FALSE)</f>
        <v>57012</v>
      </c>
      <c r="Y2575" s="174">
        <f>_xll.qlInterestRateIndexValueDate(IborIndex,X2575)</f>
        <v>57014</v>
      </c>
      <c r="Z2575" s="175" t="e">
        <v>#N/A</v>
      </c>
      <c r="AA2575" s="177" t="e">
        <v>#N/A</v>
      </c>
    </row>
    <row r="2576" spans="23:27" x14ac:dyDescent="0.2">
      <c r="W2576" s="173" t="str">
        <f t="shared" si="50"/>
        <v>1w</v>
      </c>
      <c r="X2576" s="180">
        <f>_xll.qlCalendarAdvance(LiborCalendar,X2575,W2576,"f",FALSE)</f>
        <v>57019</v>
      </c>
      <c r="Y2576" s="174">
        <f>_xll.qlInterestRateIndexValueDate(IborIndex,X2576)</f>
        <v>57024</v>
      </c>
      <c r="Z2576" s="175" t="e">
        <v>#N/A</v>
      </c>
      <c r="AA2576" s="177" t="e">
        <v>#N/A</v>
      </c>
    </row>
    <row r="2577" spans="23:27" x14ac:dyDescent="0.2">
      <c r="W2577" s="173" t="str">
        <f t="shared" si="50"/>
        <v>1w</v>
      </c>
      <c r="X2577" s="180">
        <f>_xll.qlCalendarAdvance(LiborCalendar,X2576,W2577,"f",FALSE)</f>
        <v>57026</v>
      </c>
      <c r="Y2577" s="174">
        <f>_xll.qlInterestRateIndexValueDate(IborIndex,X2577)</f>
        <v>57028</v>
      </c>
      <c r="Z2577" s="175" t="e">
        <v>#N/A</v>
      </c>
      <c r="AA2577" s="177" t="e">
        <v>#N/A</v>
      </c>
    </row>
    <row r="2578" spans="23:27" x14ac:dyDescent="0.2">
      <c r="W2578" s="173" t="str">
        <f t="shared" si="50"/>
        <v>1w</v>
      </c>
      <c r="X2578" s="180">
        <f>_xll.qlCalendarAdvance(LiborCalendar,X2577,W2578,"f",FALSE)</f>
        <v>57033</v>
      </c>
      <c r="Y2578" s="174">
        <f>_xll.qlInterestRateIndexValueDate(IborIndex,X2578)</f>
        <v>57035</v>
      </c>
      <c r="Z2578" s="175" t="e">
        <v>#N/A</v>
      </c>
      <c r="AA2578" s="177" t="e">
        <v>#N/A</v>
      </c>
    </row>
    <row r="2579" spans="23:27" x14ac:dyDescent="0.2">
      <c r="W2579" s="173" t="str">
        <f t="shared" si="50"/>
        <v>1w</v>
      </c>
      <c r="X2579" s="180">
        <f>_xll.qlCalendarAdvance(LiborCalendar,X2578,W2579,"f",FALSE)</f>
        <v>57040</v>
      </c>
      <c r="Y2579" s="174">
        <f>_xll.qlInterestRateIndexValueDate(IborIndex,X2579)</f>
        <v>57042</v>
      </c>
      <c r="Z2579" s="175" t="e">
        <v>#N/A</v>
      </c>
      <c r="AA2579" s="177" t="e">
        <v>#N/A</v>
      </c>
    </row>
    <row r="2580" spans="23:27" x14ac:dyDescent="0.2">
      <c r="W2580" s="173" t="str">
        <f t="shared" si="50"/>
        <v>1w</v>
      </c>
      <c r="X2580" s="180">
        <f>_xll.qlCalendarAdvance(LiborCalendar,X2579,W2580,"f",FALSE)</f>
        <v>57047</v>
      </c>
      <c r="Y2580" s="174">
        <f>_xll.qlInterestRateIndexValueDate(IborIndex,X2580)</f>
        <v>57049</v>
      </c>
      <c r="Z2580" s="175" t="e">
        <v>#N/A</v>
      </c>
      <c r="AA2580" s="177" t="e">
        <v>#N/A</v>
      </c>
    </row>
    <row r="2581" spans="23:27" x14ac:dyDescent="0.2">
      <c r="W2581" s="173" t="str">
        <f t="shared" ref="W2581:W2644" si="51">W2580</f>
        <v>1w</v>
      </c>
      <c r="X2581" s="180">
        <f>_xll.qlCalendarAdvance(LiborCalendar,X2580,W2581,"f",FALSE)</f>
        <v>57054</v>
      </c>
      <c r="Y2581" s="174">
        <f>_xll.qlInterestRateIndexValueDate(IborIndex,X2581)</f>
        <v>57056</v>
      </c>
      <c r="Z2581" s="175" t="e">
        <v>#N/A</v>
      </c>
      <c r="AA2581" s="177" t="e">
        <v>#N/A</v>
      </c>
    </row>
    <row r="2582" spans="23:27" x14ac:dyDescent="0.2">
      <c r="W2582" s="173" t="str">
        <f t="shared" si="51"/>
        <v>1w</v>
      </c>
      <c r="X2582" s="180">
        <f>_xll.qlCalendarAdvance(LiborCalendar,X2581,W2582,"f",FALSE)</f>
        <v>57061</v>
      </c>
      <c r="Y2582" s="174">
        <f>_xll.qlInterestRateIndexValueDate(IborIndex,X2582)</f>
        <v>57063</v>
      </c>
      <c r="Z2582" s="175" t="e">
        <v>#N/A</v>
      </c>
      <c r="AA2582" s="177" t="e">
        <v>#N/A</v>
      </c>
    </row>
    <row r="2583" spans="23:27" x14ac:dyDescent="0.2">
      <c r="W2583" s="173" t="str">
        <f t="shared" si="51"/>
        <v>1w</v>
      </c>
      <c r="X2583" s="180">
        <f>_xll.qlCalendarAdvance(LiborCalendar,X2582,W2583,"f",FALSE)</f>
        <v>57068</v>
      </c>
      <c r="Y2583" s="174">
        <f>_xll.qlInterestRateIndexValueDate(IborIndex,X2583)</f>
        <v>57074</v>
      </c>
      <c r="Z2583" s="175" t="e">
        <v>#N/A</v>
      </c>
      <c r="AA2583" s="177" t="e">
        <v>#N/A</v>
      </c>
    </row>
    <row r="2584" spans="23:27" x14ac:dyDescent="0.2">
      <c r="W2584" s="173" t="str">
        <f t="shared" si="51"/>
        <v>1w</v>
      </c>
      <c r="X2584" s="180">
        <f>_xll.qlCalendarAdvance(LiborCalendar,X2583,W2584,"f",FALSE)</f>
        <v>57075</v>
      </c>
      <c r="Y2584" s="174">
        <f>_xll.qlInterestRateIndexValueDate(IborIndex,X2584)</f>
        <v>57077</v>
      </c>
      <c r="Z2584" s="175" t="e">
        <v>#N/A</v>
      </c>
      <c r="AA2584" s="177" t="e">
        <v>#N/A</v>
      </c>
    </row>
    <row r="2585" spans="23:27" x14ac:dyDescent="0.2">
      <c r="W2585" s="173" t="str">
        <f t="shared" si="51"/>
        <v>1w</v>
      </c>
      <c r="X2585" s="180">
        <f>_xll.qlCalendarAdvance(LiborCalendar,X2584,W2585,"f",FALSE)</f>
        <v>57082</v>
      </c>
      <c r="Y2585" s="174">
        <f>_xll.qlInterestRateIndexValueDate(IborIndex,X2585)</f>
        <v>57084</v>
      </c>
      <c r="Z2585" s="175" t="e">
        <v>#N/A</v>
      </c>
      <c r="AA2585" s="177" t="e">
        <v>#N/A</v>
      </c>
    </row>
    <row r="2586" spans="23:27" x14ac:dyDescent="0.2">
      <c r="W2586" s="173" t="str">
        <f t="shared" si="51"/>
        <v>1w</v>
      </c>
      <c r="X2586" s="180">
        <f>_xll.qlCalendarAdvance(LiborCalendar,X2585,W2586,"f",FALSE)</f>
        <v>57089</v>
      </c>
      <c r="Y2586" s="174">
        <f>_xll.qlInterestRateIndexValueDate(IborIndex,X2586)</f>
        <v>57091</v>
      </c>
      <c r="Z2586" s="175" t="e">
        <v>#N/A</v>
      </c>
      <c r="AA2586" s="177" t="e">
        <v>#N/A</v>
      </c>
    </row>
    <row r="2587" spans="23:27" x14ac:dyDescent="0.2">
      <c r="W2587" s="173" t="str">
        <f t="shared" si="51"/>
        <v>1w</v>
      </c>
      <c r="X2587" s="180">
        <f>_xll.qlCalendarAdvance(LiborCalendar,X2586,W2587,"f",FALSE)</f>
        <v>57096</v>
      </c>
      <c r="Y2587" s="174">
        <f>_xll.qlInterestRateIndexValueDate(IborIndex,X2587)</f>
        <v>57098</v>
      </c>
      <c r="Z2587" s="175" t="e">
        <v>#N/A</v>
      </c>
      <c r="AA2587" s="177" t="e">
        <v>#N/A</v>
      </c>
    </row>
    <row r="2588" spans="23:27" x14ac:dyDescent="0.2">
      <c r="W2588" s="173" t="str">
        <f t="shared" si="51"/>
        <v>1w</v>
      </c>
      <c r="X2588" s="180">
        <f>_xll.qlCalendarAdvance(LiborCalendar,X2587,W2588,"f",FALSE)</f>
        <v>57103</v>
      </c>
      <c r="Y2588" s="174">
        <f>_xll.qlInterestRateIndexValueDate(IborIndex,X2588)</f>
        <v>57108</v>
      </c>
      <c r="Z2588" s="175" t="e">
        <v>#N/A</v>
      </c>
      <c r="AA2588" s="177" t="e">
        <v>#N/A</v>
      </c>
    </row>
    <row r="2589" spans="23:27" x14ac:dyDescent="0.2">
      <c r="W2589" s="173" t="str">
        <f t="shared" si="51"/>
        <v>1w</v>
      </c>
      <c r="X2589" s="180">
        <f>_xll.qlCalendarAdvance(LiborCalendar,X2588,W2589,"f",FALSE)</f>
        <v>57110</v>
      </c>
      <c r="Y2589" s="174">
        <f>_xll.qlInterestRateIndexValueDate(IborIndex,X2589)</f>
        <v>57112</v>
      </c>
      <c r="Z2589" s="175" t="e">
        <v>#N/A</v>
      </c>
      <c r="AA2589" s="177" t="e">
        <v>#N/A</v>
      </c>
    </row>
    <row r="2590" spans="23:27" x14ac:dyDescent="0.2">
      <c r="W2590" s="173" t="str">
        <f t="shared" si="51"/>
        <v>1w</v>
      </c>
      <c r="X2590" s="180">
        <f>_xll.qlCalendarAdvance(LiborCalendar,X2589,W2590,"f",FALSE)</f>
        <v>57117</v>
      </c>
      <c r="Y2590" s="174">
        <f>_xll.qlInterestRateIndexValueDate(IborIndex,X2590)</f>
        <v>57119</v>
      </c>
      <c r="Z2590" s="175" t="e">
        <v>#N/A</v>
      </c>
      <c r="AA2590" s="177" t="e">
        <v>#N/A</v>
      </c>
    </row>
    <row r="2591" spans="23:27" x14ac:dyDescent="0.2">
      <c r="W2591" s="173" t="str">
        <f t="shared" si="51"/>
        <v>1w</v>
      </c>
      <c r="X2591" s="180">
        <f>_xll.qlCalendarAdvance(LiborCalendar,X2590,W2591,"f",FALSE)</f>
        <v>57124</v>
      </c>
      <c r="Y2591" s="174">
        <f>_xll.qlInterestRateIndexValueDate(IborIndex,X2591)</f>
        <v>57126</v>
      </c>
      <c r="Z2591" s="175" t="e">
        <v>#N/A</v>
      </c>
      <c r="AA2591" s="177" t="e">
        <v>#N/A</v>
      </c>
    </row>
    <row r="2592" spans="23:27" x14ac:dyDescent="0.2">
      <c r="W2592" s="173" t="str">
        <f t="shared" si="51"/>
        <v>1w</v>
      </c>
      <c r="X2592" s="180">
        <f>_xll.qlCalendarAdvance(LiborCalendar,X2591,W2592,"f",FALSE)</f>
        <v>57131</v>
      </c>
      <c r="Y2592" s="174">
        <f>_xll.qlInterestRateIndexValueDate(IborIndex,X2592)</f>
        <v>57133</v>
      </c>
      <c r="Z2592" s="175" t="e">
        <v>#N/A</v>
      </c>
      <c r="AA2592" s="177" t="e">
        <v>#N/A</v>
      </c>
    </row>
    <row r="2593" spans="23:27" x14ac:dyDescent="0.2">
      <c r="W2593" s="173" t="str">
        <f t="shared" si="51"/>
        <v>1w</v>
      </c>
      <c r="X2593" s="180">
        <f>_xll.qlCalendarAdvance(LiborCalendar,X2592,W2593,"f",FALSE)</f>
        <v>57138</v>
      </c>
      <c r="Y2593" s="174">
        <f>_xll.qlInterestRateIndexValueDate(IborIndex,X2593)</f>
        <v>57140</v>
      </c>
      <c r="Z2593" s="175" t="e">
        <v>#N/A</v>
      </c>
      <c r="AA2593" s="177" t="e">
        <v>#N/A</v>
      </c>
    </row>
    <row r="2594" spans="23:27" x14ac:dyDescent="0.2">
      <c r="W2594" s="173" t="str">
        <f t="shared" si="51"/>
        <v>1w</v>
      </c>
      <c r="X2594" s="180">
        <f>_xll.qlCalendarAdvance(LiborCalendar,X2593,W2594,"f",FALSE)</f>
        <v>57145</v>
      </c>
      <c r="Y2594" s="174">
        <f>_xll.qlInterestRateIndexValueDate(IborIndex,X2594)</f>
        <v>57147</v>
      </c>
      <c r="Z2594" s="175" t="e">
        <v>#N/A</v>
      </c>
      <c r="AA2594" s="177" t="e">
        <v>#N/A</v>
      </c>
    </row>
    <row r="2595" spans="23:27" x14ac:dyDescent="0.2">
      <c r="W2595" s="173" t="str">
        <f t="shared" si="51"/>
        <v>1w</v>
      </c>
      <c r="X2595" s="180">
        <f>_xll.qlCalendarAdvance(LiborCalendar,X2594,W2595,"f",FALSE)</f>
        <v>57152</v>
      </c>
      <c r="Y2595" s="174">
        <f>_xll.qlInterestRateIndexValueDate(IborIndex,X2595)</f>
        <v>57154</v>
      </c>
      <c r="Z2595" s="175" t="e">
        <v>#N/A</v>
      </c>
      <c r="AA2595" s="177" t="e">
        <v>#N/A</v>
      </c>
    </row>
    <row r="2596" spans="23:27" x14ac:dyDescent="0.2">
      <c r="W2596" s="173" t="str">
        <f t="shared" si="51"/>
        <v>1w</v>
      </c>
      <c r="X2596" s="180">
        <f>_xll.qlCalendarAdvance(LiborCalendar,X2595,W2596,"f",FALSE)</f>
        <v>57159</v>
      </c>
      <c r="Y2596" s="174">
        <f>_xll.qlInterestRateIndexValueDate(IborIndex,X2596)</f>
        <v>57161</v>
      </c>
      <c r="Z2596" s="175" t="e">
        <v>#N/A</v>
      </c>
      <c r="AA2596" s="177" t="e">
        <v>#N/A</v>
      </c>
    </row>
    <row r="2597" spans="23:27" x14ac:dyDescent="0.2">
      <c r="W2597" s="173" t="str">
        <f t="shared" si="51"/>
        <v>1w</v>
      </c>
      <c r="X2597" s="180">
        <f>_xll.qlCalendarAdvance(LiborCalendar,X2596,W2597,"f",FALSE)</f>
        <v>57166</v>
      </c>
      <c r="Y2597" s="174">
        <f>_xll.qlInterestRateIndexValueDate(IborIndex,X2597)</f>
        <v>57168</v>
      </c>
      <c r="Z2597" s="175" t="e">
        <v>#N/A</v>
      </c>
      <c r="AA2597" s="177" t="e">
        <v>#N/A</v>
      </c>
    </row>
    <row r="2598" spans="23:27" x14ac:dyDescent="0.2">
      <c r="W2598" s="173" t="str">
        <f t="shared" si="51"/>
        <v>1w</v>
      </c>
      <c r="X2598" s="180">
        <f>_xll.qlCalendarAdvance(LiborCalendar,X2597,W2598,"f",FALSE)</f>
        <v>57173</v>
      </c>
      <c r="Y2598" s="174">
        <f>_xll.qlInterestRateIndexValueDate(IborIndex,X2598)</f>
        <v>57175</v>
      </c>
      <c r="Z2598" s="175" t="e">
        <v>#N/A</v>
      </c>
      <c r="AA2598" s="177" t="e">
        <v>#N/A</v>
      </c>
    </row>
    <row r="2599" spans="23:27" x14ac:dyDescent="0.2">
      <c r="W2599" s="173" t="str">
        <f t="shared" si="51"/>
        <v>1w</v>
      </c>
      <c r="X2599" s="180">
        <f>_xll.qlCalendarAdvance(LiborCalendar,X2598,W2599,"f",FALSE)</f>
        <v>57180</v>
      </c>
      <c r="Y2599" s="174">
        <f>_xll.qlInterestRateIndexValueDate(IborIndex,X2599)</f>
        <v>57182</v>
      </c>
      <c r="Z2599" s="175" t="e">
        <v>#N/A</v>
      </c>
      <c r="AA2599" s="177" t="e">
        <v>#N/A</v>
      </c>
    </row>
    <row r="2600" spans="23:27" x14ac:dyDescent="0.2">
      <c r="W2600" s="173" t="str">
        <f t="shared" si="51"/>
        <v>1w</v>
      </c>
      <c r="X2600" s="180">
        <f>_xll.qlCalendarAdvance(LiborCalendar,X2599,W2600,"f",FALSE)</f>
        <v>57187</v>
      </c>
      <c r="Y2600" s="174">
        <f>_xll.qlInterestRateIndexValueDate(IborIndex,X2600)</f>
        <v>57189</v>
      </c>
      <c r="Z2600" s="175" t="e">
        <v>#N/A</v>
      </c>
      <c r="AA2600" s="177" t="e">
        <v>#N/A</v>
      </c>
    </row>
    <row r="2601" spans="23:27" x14ac:dyDescent="0.2">
      <c r="W2601" s="173" t="str">
        <f t="shared" si="51"/>
        <v>1w</v>
      </c>
      <c r="X2601" s="180">
        <f>_xll.qlCalendarAdvance(LiborCalendar,X2600,W2601,"f",FALSE)</f>
        <v>57194</v>
      </c>
      <c r="Y2601" s="174">
        <f>_xll.qlInterestRateIndexValueDate(IborIndex,X2601)</f>
        <v>57196</v>
      </c>
      <c r="Z2601" s="175" t="e">
        <v>#N/A</v>
      </c>
      <c r="AA2601" s="177" t="e">
        <v>#N/A</v>
      </c>
    </row>
    <row r="2602" spans="23:27" x14ac:dyDescent="0.2">
      <c r="W2602" s="173" t="str">
        <f t="shared" si="51"/>
        <v>1w</v>
      </c>
      <c r="X2602" s="180">
        <f>_xll.qlCalendarAdvance(LiborCalendar,X2601,W2602,"f",FALSE)</f>
        <v>57201</v>
      </c>
      <c r="Y2602" s="174">
        <f>_xll.qlInterestRateIndexValueDate(IborIndex,X2602)</f>
        <v>57203</v>
      </c>
      <c r="Z2602" s="175" t="e">
        <v>#N/A</v>
      </c>
      <c r="AA2602" s="177" t="e">
        <v>#N/A</v>
      </c>
    </row>
    <row r="2603" spans="23:27" x14ac:dyDescent="0.2">
      <c r="W2603" s="173" t="str">
        <f t="shared" si="51"/>
        <v>1w</v>
      </c>
      <c r="X2603" s="180">
        <f>_xll.qlCalendarAdvance(LiborCalendar,X2602,W2603,"f",FALSE)</f>
        <v>57208</v>
      </c>
      <c r="Y2603" s="174">
        <f>_xll.qlInterestRateIndexValueDate(IborIndex,X2603)</f>
        <v>57210</v>
      </c>
      <c r="Z2603" s="175" t="e">
        <v>#N/A</v>
      </c>
      <c r="AA2603" s="177" t="e">
        <v>#N/A</v>
      </c>
    </row>
    <row r="2604" spans="23:27" x14ac:dyDescent="0.2">
      <c r="W2604" s="173" t="str">
        <f t="shared" si="51"/>
        <v>1w</v>
      </c>
      <c r="X2604" s="180">
        <f>_xll.qlCalendarAdvance(LiborCalendar,X2603,W2604,"f",FALSE)</f>
        <v>57215</v>
      </c>
      <c r="Y2604" s="174">
        <f>_xll.qlInterestRateIndexValueDate(IborIndex,X2604)</f>
        <v>57217</v>
      </c>
      <c r="Z2604" s="175" t="e">
        <v>#N/A</v>
      </c>
      <c r="AA2604" s="177" t="e">
        <v>#N/A</v>
      </c>
    </row>
    <row r="2605" spans="23:27" x14ac:dyDescent="0.2">
      <c r="W2605" s="173" t="str">
        <f t="shared" si="51"/>
        <v>1w</v>
      </c>
      <c r="X2605" s="180">
        <f>_xll.qlCalendarAdvance(LiborCalendar,X2604,W2605,"f",FALSE)</f>
        <v>57222</v>
      </c>
      <c r="Y2605" s="174">
        <f>_xll.qlInterestRateIndexValueDate(IborIndex,X2605)</f>
        <v>57224</v>
      </c>
      <c r="Z2605" s="175" t="e">
        <v>#N/A</v>
      </c>
      <c r="AA2605" s="177" t="e">
        <v>#N/A</v>
      </c>
    </row>
    <row r="2606" spans="23:27" x14ac:dyDescent="0.2">
      <c r="W2606" s="173" t="str">
        <f t="shared" si="51"/>
        <v>1w</v>
      </c>
      <c r="X2606" s="180">
        <f>_xll.qlCalendarAdvance(LiborCalendar,X2605,W2606,"f",FALSE)</f>
        <v>57229</v>
      </c>
      <c r="Y2606" s="174">
        <f>_xll.qlInterestRateIndexValueDate(IborIndex,X2606)</f>
        <v>57231</v>
      </c>
      <c r="Z2606" s="175" t="e">
        <v>#N/A</v>
      </c>
      <c r="AA2606" s="177" t="e">
        <v>#N/A</v>
      </c>
    </row>
    <row r="2607" spans="23:27" x14ac:dyDescent="0.2">
      <c r="W2607" s="173" t="str">
        <f t="shared" si="51"/>
        <v>1w</v>
      </c>
      <c r="X2607" s="180">
        <f>_xll.qlCalendarAdvance(LiborCalendar,X2606,W2607,"f",FALSE)</f>
        <v>57236</v>
      </c>
      <c r="Y2607" s="174">
        <f>_xll.qlInterestRateIndexValueDate(IborIndex,X2607)</f>
        <v>57238</v>
      </c>
      <c r="Z2607" s="175" t="e">
        <v>#N/A</v>
      </c>
      <c r="AA2607" s="177" t="e">
        <v>#N/A</v>
      </c>
    </row>
    <row r="2608" spans="23:27" x14ac:dyDescent="0.2">
      <c r="W2608" s="173" t="str">
        <f t="shared" si="51"/>
        <v>1w</v>
      </c>
      <c r="X2608" s="180">
        <f>_xll.qlCalendarAdvance(LiborCalendar,X2607,W2608,"f",FALSE)</f>
        <v>57243</v>
      </c>
      <c r="Y2608" s="174">
        <f>_xll.qlInterestRateIndexValueDate(IborIndex,X2608)</f>
        <v>57248</v>
      </c>
      <c r="Z2608" s="175" t="e">
        <v>#N/A</v>
      </c>
      <c r="AA2608" s="177" t="e">
        <v>#N/A</v>
      </c>
    </row>
    <row r="2609" spans="23:27" x14ac:dyDescent="0.2">
      <c r="W2609" s="173" t="str">
        <f t="shared" si="51"/>
        <v>1w</v>
      </c>
      <c r="X2609" s="180">
        <f>_xll.qlCalendarAdvance(LiborCalendar,X2608,W2609,"f",FALSE)</f>
        <v>57250</v>
      </c>
      <c r="Y2609" s="174">
        <f>_xll.qlInterestRateIndexValueDate(IborIndex,X2609)</f>
        <v>57252</v>
      </c>
      <c r="Z2609" s="175" t="e">
        <v>#N/A</v>
      </c>
      <c r="AA2609" s="177" t="e">
        <v>#N/A</v>
      </c>
    </row>
    <row r="2610" spans="23:27" x14ac:dyDescent="0.2">
      <c r="W2610" s="173" t="str">
        <f t="shared" si="51"/>
        <v>1w</v>
      </c>
      <c r="X2610" s="180">
        <f>_xll.qlCalendarAdvance(LiborCalendar,X2609,W2610,"f",FALSE)</f>
        <v>57257</v>
      </c>
      <c r="Y2610" s="174">
        <f>_xll.qlInterestRateIndexValueDate(IborIndex,X2610)</f>
        <v>57259</v>
      </c>
      <c r="Z2610" s="175" t="e">
        <v>#N/A</v>
      </c>
      <c r="AA2610" s="177" t="e">
        <v>#N/A</v>
      </c>
    </row>
    <row r="2611" spans="23:27" x14ac:dyDescent="0.2">
      <c r="W2611" s="173" t="str">
        <f t="shared" si="51"/>
        <v>1w</v>
      </c>
      <c r="X2611" s="180">
        <f>_xll.qlCalendarAdvance(LiborCalendar,X2610,W2611,"f",FALSE)</f>
        <v>57264</v>
      </c>
      <c r="Y2611" s="174">
        <f>_xll.qlInterestRateIndexValueDate(IborIndex,X2611)</f>
        <v>57266</v>
      </c>
      <c r="Z2611" s="175" t="e">
        <v>#N/A</v>
      </c>
      <c r="AA2611" s="177" t="e">
        <v>#N/A</v>
      </c>
    </row>
    <row r="2612" spans="23:27" x14ac:dyDescent="0.2">
      <c r="W2612" s="173" t="str">
        <f t="shared" si="51"/>
        <v>1w</v>
      </c>
      <c r="X2612" s="180">
        <f>_xll.qlCalendarAdvance(LiborCalendar,X2611,W2612,"f",FALSE)</f>
        <v>57271</v>
      </c>
      <c r="Y2612" s="174">
        <f>_xll.qlInterestRateIndexValueDate(IborIndex,X2612)</f>
        <v>57273</v>
      </c>
      <c r="Z2612" s="175" t="e">
        <v>#N/A</v>
      </c>
      <c r="AA2612" s="177" t="e">
        <v>#N/A</v>
      </c>
    </row>
    <row r="2613" spans="23:27" x14ac:dyDescent="0.2">
      <c r="W2613" s="173" t="str">
        <f t="shared" si="51"/>
        <v>1w</v>
      </c>
      <c r="X2613" s="180">
        <f>_xll.qlCalendarAdvance(LiborCalendar,X2612,W2613,"f",FALSE)</f>
        <v>57278</v>
      </c>
      <c r="Y2613" s="174">
        <f>_xll.qlInterestRateIndexValueDate(IborIndex,X2613)</f>
        <v>57280</v>
      </c>
      <c r="Z2613" s="175" t="e">
        <v>#N/A</v>
      </c>
      <c r="AA2613" s="177" t="e">
        <v>#N/A</v>
      </c>
    </row>
    <row r="2614" spans="23:27" x14ac:dyDescent="0.2">
      <c r="W2614" s="173" t="str">
        <f t="shared" si="51"/>
        <v>1w</v>
      </c>
      <c r="X2614" s="180">
        <f>_xll.qlCalendarAdvance(LiborCalendar,X2613,W2614,"f",FALSE)</f>
        <v>57285</v>
      </c>
      <c r="Y2614" s="174">
        <f>_xll.qlInterestRateIndexValueDate(IborIndex,X2614)</f>
        <v>57290</v>
      </c>
      <c r="Z2614" s="175" t="e">
        <v>#N/A</v>
      </c>
      <c r="AA2614" s="177" t="e">
        <v>#N/A</v>
      </c>
    </row>
    <row r="2615" spans="23:27" x14ac:dyDescent="0.2">
      <c r="W2615" s="173" t="str">
        <f t="shared" si="51"/>
        <v>1w</v>
      </c>
      <c r="X2615" s="180">
        <f>_xll.qlCalendarAdvance(LiborCalendar,X2614,W2615,"f",FALSE)</f>
        <v>57292</v>
      </c>
      <c r="Y2615" s="174">
        <f>_xll.qlInterestRateIndexValueDate(IborIndex,X2615)</f>
        <v>57294</v>
      </c>
      <c r="Z2615" s="175" t="e">
        <v>#N/A</v>
      </c>
      <c r="AA2615" s="177" t="e">
        <v>#N/A</v>
      </c>
    </row>
    <row r="2616" spans="23:27" x14ac:dyDescent="0.2">
      <c r="W2616" s="173" t="str">
        <f t="shared" si="51"/>
        <v>1w</v>
      </c>
      <c r="X2616" s="180">
        <f>_xll.qlCalendarAdvance(LiborCalendar,X2615,W2616,"f",FALSE)</f>
        <v>57299</v>
      </c>
      <c r="Y2616" s="174">
        <f>_xll.qlInterestRateIndexValueDate(IborIndex,X2616)</f>
        <v>57301</v>
      </c>
      <c r="Z2616" s="175" t="e">
        <v>#N/A</v>
      </c>
      <c r="AA2616" s="177" t="e">
        <v>#N/A</v>
      </c>
    </row>
    <row r="2617" spans="23:27" x14ac:dyDescent="0.2">
      <c r="W2617" s="173" t="str">
        <f t="shared" si="51"/>
        <v>1w</v>
      </c>
      <c r="X2617" s="180">
        <f>_xll.qlCalendarAdvance(LiborCalendar,X2616,W2617,"f",FALSE)</f>
        <v>57306</v>
      </c>
      <c r="Y2617" s="174">
        <f>_xll.qlInterestRateIndexValueDate(IborIndex,X2617)</f>
        <v>57308</v>
      </c>
      <c r="Z2617" s="175" t="e">
        <v>#N/A</v>
      </c>
      <c r="AA2617" s="177" t="e">
        <v>#N/A</v>
      </c>
    </row>
    <row r="2618" spans="23:27" x14ac:dyDescent="0.2">
      <c r="W2618" s="173" t="str">
        <f t="shared" si="51"/>
        <v>1w</v>
      </c>
      <c r="X2618" s="180">
        <f>_xll.qlCalendarAdvance(LiborCalendar,X2617,W2618,"f",FALSE)</f>
        <v>57313</v>
      </c>
      <c r="Y2618" s="174">
        <f>_xll.qlInterestRateIndexValueDate(IborIndex,X2618)</f>
        <v>57315</v>
      </c>
      <c r="Z2618" s="175" t="e">
        <v>#N/A</v>
      </c>
      <c r="AA2618" s="177" t="e">
        <v>#N/A</v>
      </c>
    </row>
    <row r="2619" spans="23:27" x14ac:dyDescent="0.2">
      <c r="W2619" s="173" t="str">
        <f t="shared" si="51"/>
        <v>1w</v>
      </c>
      <c r="X2619" s="180">
        <f>_xll.qlCalendarAdvance(LiborCalendar,X2618,W2619,"f",FALSE)</f>
        <v>57320</v>
      </c>
      <c r="Y2619" s="174">
        <f>_xll.qlInterestRateIndexValueDate(IborIndex,X2619)</f>
        <v>57322</v>
      </c>
      <c r="Z2619" s="175" t="e">
        <v>#N/A</v>
      </c>
      <c r="AA2619" s="177" t="e">
        <v>#N/A</v>
      </c>
    </row>
    <row r="2620" spans="23:27" x14ac:dyDescent="0.2">
      <c r="W2620" s="173" t="str">
        <f t="shared" si="51"/>
        <v>1w</v>
      </c>
      <c r="X2620" s="180">
        <f>_xll.qlCalendarAdvance(LiborCalendar,X2619,W2620,"f",FALSE)</f>
        <v>57327</v>
      </c>
      <c r="Y2620" s="174">
        <f>_xll.qlInterestRateIndexValueDate(IborIndex,X2620)</f>
        <v>57329</v>
      </c>
      <c r="Z2620" s="175" t="e">
        <v>#N/A</v>
      </c>
      <c r="AA2620" s="177" t="e">
        <v>#N/A</v>
      </c>
    </row>
    <row r="2621" spans="23:27" x14ac:dyDescent="0.2">
      <c r="W2621" s="173" t="str">
        <f t="shared" si="51"/>
        <v>1w</v>
      </c>
      <c r="X2621" s="180">
        <f>_xll.qlCalendarAdvance(LiborCalendar,X2620,W2621,"f",FALSE)</f>
        <v>57334</v>
      </c>
      <c r="Y2621" s="174">
        <f>_xll.qlInterestRateIndexValueDate(IborIndex,X2621)</f>
        <v>57336</v>
      </c>
      <c r="Z2621" s="175" t="e">
        <v>#N/A</v>
      </c>
      <c r="AA2621" s="177" t="e">
        <v>#N/A</v>
      </c>
    </row>
    <row r="2622" spans="23:27" x14ac:dyDescent="0.2">
      <c r="W2622" s="173" t="str">
        <f t="shared" si="51"/>
        <v>1w</v>
      </c>
      <c r="X2622" s="180">
        <f>_xll.qlCalendarAdvance(LiborCalendar,X2621,W2622,"f",FALSE)</f>
        <v>57341</v>
      </c>
      <c r="Y2622" s="174">
        <f>_xll.qlInterestRateIndexValueDate(IborIndex,X2622)</f>
        <v>57343</v>
      </c>
      <c r="Z2622" s="175" t="e">
        <v>#N/A</v>
      </c>
      <c r="AA2622" s="177" t="e">
        <v>#N/A</v>
      </c>
    </row>
    <row r="2623" spans="23:27" x14ac:dyDescent="0.2">
      <c r="W2623" s="173" t="str">
        <f t="shared" si="51"/>
        <v>1w</v>
      </c>
      <c r="X2623" s="180">
        <f>_xll.qlCalendarAdvance(LiborCalendar,X2622,W2623,"f",FALSE)</f>
        <v>57348</v>
      </c>
      <c r="Y2623" s="174">
        <f>_xll.qlInterestRateIndexValueDate(IborIndex,X2623)</f>
        <v>57350</v>
      </c>
      <c r="Z2623" s="175" t="e">
        <v>#N/A</v>
      </c>
      <c r="AA2623" s="177" t="e">
        <v>#N/A</v>
      </c>
    </row>
    <row r="2624" spans="23:27" x14ac:dyDescent="0.2">
      <c r="W2624" s="173" t="str">
        <f t="shared" si="51"/>
        <v>1w</v>
      </c>
      <c r="X2624" s="180">
        <f>_xll.qlCalendarAdvance(LiborCalendar,X2623,W2624,"f",FALSE)</f>
        <v>57355</v>
      </c>
      <c r="Y2624" s="174">
        <f>_xll.qlInterestRateIndexValueDate(IborIndex,X2624)</f>
        <v>57357</v>
      </c>
      <c r="Z2624" s="175" t="e">
        <v>#N/A</v>
      </c>
      <c r="AA2624" s="177" t="e">
        <v>#N/A</v>
      </c>
    </row>
    <row r="2625" spans="23:27" x14ac:dyDescent="0.2">
      <c r="W2625" s="173" t="str">
        <f t="shared" si="51"/>
        <v>1w</v>
      </c>
      <c r="X2625" s="180">
        <f>_xll.qlCalendarAdvance(LiborCalendar,X2624,W2625,"f",FALSE)</f>
        <v>57362</v>
      </c>
      <c r="Y2625" s="174">
        <f>_xll.qlInterestRateIndexValueDate(IborIndex,X2625)</f>
        <v>57364</v>
      </c>
      <c r="Z2625" s="175" t="e">
        <v>#N/A</v>
      </c>
      <c r="AA2625" s="177" t="e">
        <v>#N/A</v>
      </c>
    </row>
    <row r="2626" spans="23:27" x14ac:dyDescent="0.2">
      <c r="W2626" s="173" t="str">
        <f t="shared" si="51"/>
        <v>1w</v>
      </c>
      <c r="X2626" s="180">
        <f>_xll.qlCalendarAdvance(LiborCalendar,X2625,W2626,"f",FALSE)</f>
        <v>57369</v>
      </c>
      <c r="Y2626" s="174">
        <f>_xll.qlInterestRateIndexValueDate(IborIndex,X2626)</f>
        <v>57371</v>
      </c>
      <c r="Z2626" s="175" t="e">
        <v>#N/A</v>
      </c>
      <c r="AA2626" s="177" t="e">
        <v>#N/A</v>
      </c>
    </row>
    <row r="2627" spans="23:27" x14ac:dyDescent="0.2">
      <c r="W2627" s="173" t="str">
        <f t="shared" si="51"/>
        <v>1w</v>
      </c>
      <c r="X2627" s="180">
        <f>_xll.qlCalendarAdvance(LiborCalendar,X2626,W2627,"f",FALSE)</f>
        <v>57376</v>
      </c>
      <c r="Y2627" s="174">
        <f>_xll.qlInterestRateIndexValueDate(IborIndex,X2627)</f>
        <v>57378</v>
      </c>
      <c r="Z2627" s="175" t="e">
        <v>#N/A</v>
      </c>
      <c r="AA2627" s="177" t="e">
        <v>#N/A</v>
      </c>
    </row>
    <row r="2628" spans="23:27" x14ac:dyDescent="0.2">
      <c r="W2628" s="173" t="str">
        <f t="shared" si="51"/>
        <v>1w</v>
      </c>
      <c r="X2628" s="180">
        <f>_xll.qlCalendarAdvance(LiborCalendar,X2627,W2628,"f",FALSE)</f>
        <v>57383</v>
      </c>
      <c r="Y2628" s="174">
        <f>_xll.qlInterestRateIndexValueDate(IborIndex,X2628)</f>
        <v>57385</v>
      </c>
      <c r="Z2628" s="175" t="e">
        <v>#N/A</v>
      </c>
      <c r="AA2628" s="177" t="e">
        <v>#N/A</v>
      </c>
    </row>
    <row r="2629" spans="23:27" x14ac:dyDescent="0.2">
      <c r="W2629" s="173" t="str">
        <f t="shared" si="51"/>
        <v>1w</v>
      </c>
      <c r="X2629" s="180">
        <f>_xll.qlCalendarAdvance(LiborCalendar,X2628,W2629,"f",FALSE)</f>
        <v>57390</v>
      </c>
      <c r="Y2629" s="174">
        <f>_xll.qlInterestRateIndexValueDate(IborIndex,X2629)</f>
        <v>57392</v>
      </c>
      <c r="Z2629" s="175" t="e">
        <v>#N/A</v>
      </c>
      <c r="AA2629" s="177" t="e">
        <v>#N/A</v>
      </c>
    </row>
    <row r="2630" spans="23:27" x14ac:dyDescent="0.2">
      <c r="W2630" s="173" t="str">
        <f t="shared" si="51"/>
        <v>1w</v>
      </c>
      <c r="X2630" s="180">
        <f>_xll.qlCalendarAdvance(LiborCalendar,X2629,W2630,"f",FALSE)</f>
        <v>57397</v>
      </c>
      <c r="Y2630" s="174">
        <f>_xll.qlInterestRateIndexValueDate(IborIndex,X2630)</f>
        <v>57399</v>
      </c>
      <c r="Z2630" s="175" t="e">
        <v>#N/A</v>
      </c>
      <c r="AA2630" s="177" t="e">
        <v>#N/A</v>
      </c>
    </row>
    <row r="2631" spans="23:27" x14ac:dyDescent="0.2">
      <c r="W2631" s="173" t="str">
        <f t="shared" si="51"/>
        <v>1w</v>
      </c>
      <c r="X2631" s="180">
        <f>_xll.qlCalendarAdvance(LiborCalendar,X2630,W2631,"f",FALSE)</f>
        <v>57404</v>
      </c>
      <c r="Y2631" s="174">
        <f>_xll.qlInterestRateIndexValueDate(IborIndex,X2631)</f>
        <v>57406</v>
      </c>
      <c r="Z2631" s="175" t="e">
        <v>#N/A</v>
      </c>
      <c r="AA2631" s="177" t="e">
        <v>#N/A</v>
      </c>
    </row>
    <row r="2632" spans="23:27" x14ac:dyDescent="0.2">
      <c r="W2632" s="173" t="str">
        <f t="shared" si="51"/>
        <v>1w</v>
      </c>
      <c r="X2632" s="180">
        <f>_xll.qlCalendarAdvance(LiborCalendar,X2631,W2632,"f",FALSE)</f>
        <v>57411</v>
      </c>
      <c r="Y2632" s="174">
        <f>_xll.qlInterestRateIndexValueDate(IborIndex,X2632)</f>
        <v>57413</v>
      </c>
      <c r="Z2632" s="175" t="e">
        <v>#N/A</v>
      </c>
      <c r="AA2632" s="177" t="e">
        <v>#N/A</v>
      </c>
    </row>
    <row r="2633" spans="23:27" x14ac:dyDescent="0.2">
      <c r="W2633" s="173" t="str">
        <f t="shared" si="51"/>
        <v>1w</v>
      </c>
      <c r="X2633" s="180">
        <f>_xll.qlCalendarAdvance(LiborCalendar,X2632,W2633,"f",FALSE)</f>
        <v>57418</v>
      </c>
      <c r="Y2633" s="174">
        <f>_xll.qlInterestRateIndexValueDate(IborIndex,X2633)</f>
        <v>57420</v>
      </c>
      <c r="Z2633" s="175" t="e">
        <v>#N/A</v>
      </c>
      <c r="AA2633" s="177" t="e">
        <v>#N/A</v>
      </c>
    </row>
    <row r="2634" spans="23:27" x14ac:dyDescent="0.2">
      <c r="W2634" s="173" t="str">
        <f t="shared" si="51"/>
        <v>1w</v>
      </c>
      <c r="X2634" s="180">
        <f>_xll.qlCalendarAdvance(LiborCalendar,X2633,W2634,"f",FALSE)</f>
        <v>57425</v>
      </c>
      <c r="Y2634" s="174">
        <f>_xll.qlInterestRateIndexValueDate(IborIndex,X2634)</f>
        <v>57427</v>
      </c>
      <c r="Z2634" s="175" t="e">
        <v>#N/A</v>
      </c>
      <c r="AA2634" s="177" t="e">
        <v>#N/A</v>
      </c>
    </row>
    <row r="2635" spans="23:27" x14ac:dyDescent="0.2">
      <c r="W2635" s="173" t="str">
        <f t="shared" si="51"/>
        <v>1w</v>
      </c>
      <c r="X2635" s="180">
        <f>_xll.qlCalendarAdvance(LiborCalendar,X2634,W2635,"f",FALSE)</f>
        <v>57432</v>
      </c>
      <c r="Y2635" s="174">
        <f>_xll.qlInterestRateIndexValueDate(IborIndex,X2635)</f>
        <v>57434</v>
      </c>
      <c r="Z2635" s="175" t="e">
        <v>#N/A</v>
      </c>
      <c r="AA2635" s="177" t="e">
        <v>#N/A</v>
      </c>
    </row>
    <row r="2636" spans="23:27" x14ac:dyDescent="0.2">
      <c r="W2636" s="173" t="str">
        <f t="shared" si="51"/>
        <v>1w</v>
      </c>
      <c r="X2636" s="180">
        <f>_xll.qlCalendarAdvance(LiborCalendar,X2635,W2636,"f",FALSE)</f>
        <v>57439</v>
      </c>
      <c r="Y2636" s="174">
        <f>_xll.qlInterestRateIndexValueDate(IborIndex,X2636)</f>
        <v>57441</v>
      </c>
      <c r="Z2636" s="175" t="e">
        <v>#N/A</v>
      </c>
      <c r="AA2636" s="177" t="e">
        <v>#N/A</v>
      </c>
    </row>
    <row r="2637" spans="23:27" x14ac:dyDescent="0.2">
      <c r="W2637" s="173" t="str">
        <f t="shared" si="51"/>
        <v>1w</v>
      </c>
      <c r="X2637" s="180">
        <f>_xll.qlCalendarAdvance(LiborCalendar,X2636,W2637,"f",FALSE)</f>
        <v>57446</v>
      </c>
      <c r="Y2637" s="174">
        <f>_xll.qlInterestRateIndexValueDate(IborIndex,X2637)</f>
        <v>57448</v>
      </c>
      <c r="Z2637" s="175" t="e">
        <v>#N/A</v>
      </c>
      <c r="AA2637" s="177" t="e">
        <v>#N/A</v>
      </c>
    </row>
    <row r="2638" spans="23:27" x14ac:dyDescent="0.2">
      <c r="W2638" s="173" t="str">
        <f t="shared" si="51"/>
        <v>1w</v>
      </c>
      <c r="X2638" s="180">
        <f>_xll.qlCalendarAdvance(LiborCalendar,X2637,W2638,"f",FALSE)</f>
        <v>57453</v>
      </c>
      <c r="Y2638" s="174">
        <f>_xll.qlInterestRateIndexValueDate(IborIndex,X2638)</f>
        <v>57459</v>
      </c>
      <c r="Z2638" s="175" t="e">
        <v>#N/A</v>
      </c>
      <c r="AA2638" s="177" t="e">
        <v>#N/A</v>
      </c>
    </row>
    <row r="2639" spans="23:27" x14ac:dyDescent="0.2">
      <c r="W2639" s="173" t="str">
        <f t="shared" si="51"/>
        <v>1w</v>
      </c>
      <c r="X2639" s="180">
        <f>_xll.qlCalendarAdvance(LiborCalendar,X2638,W2639,"f",FALSE)</f>
        <v>57460</v>
      </c>
      <c r="Y2639" s="174">
        <f>_xll.qlInterestRateIndexValueDate(IborIndex,X2639)</f>
        <v>57462</v>
      </c>
      <c r="Z2639" s="175" t="e">
        <v>#N/A</v>
      </c>
      <c r="AA2639" s="177" t="e">
        <v>#N/A</v>
      </c>
    </row>
    <row r="2640" spans="23:27" x14ac:dyDescent="0.2">
      <c r="W2640" s="173" t="str">
        <f t="shared" si="51"/>
        <v>1w</v>
      </c>
      <c r="X2640" s="180">
        <f>_xll.qlCalendarAdvance(LiborCalendar,X2639,W2640,"f",FALSE)</f>
        <v>57467</v>
      </c>
      <c r="Y2640" s="174">
        <f>_xll.qlInterestRateIndexValueDate(IborIndex,X2640)</f>
        <v>57473</v>
      </c>
      <c r="Z2640" s="175" t="e">
        <v>#N/A</v>
      </c>
      <c r="AA2640" s="177" t="e">
        <v>#N/A</v>
      </c>
    </row>
    <row r="2641" spans="23:27" x14ac:dyDescent="0.2">
      <c r="W2641" s="173" t="str">
        <f t="shared" si="51"/>
        <v>1w</v>
      </c>
      <c r="X2641" s="180">
        <f>_xll.qlCalendarAdvance(LiborCalendar,X2640,W2641,"f",FALSE)</f>
        <v>57474</v>
      </c>
      <c r="Y2641" s="174">
        <f>_xll.qlInterestRateIndexValueDate(IborIndex,X2641)</f>
        <v>57476</v>
      </c>
      <c r="Z2641" s="175" t="e">
        <v>#N/A</v>
      </c>
      <c r="AA2641" s="177" t="e">
        <v>#N/A</v>
      </c>
    </row>
    <row r="2642" spans="23:27" x14ac:dyDescent="0.2">
      <c r="W2642" s="173" t="str">
        <f t="shared" si="51"/>
        <v>1w</v>
      </c>
      <c r="X2642" s="180">
        <f>_xll.qlCalendarAdvance(LiborCalendar,X2641,W2642,"f",FALSE)</f>
        <v>57481</v>
      </c>
      <c r="Y2642" s="174">
        <f>_xll.qlInterestRateIndexValueDate(IborIndex,X2642)</f>
        <v>57483</v>
      </c>
      <c r="Z2642" s="175" t="e">
        <v>#N/A</v>
      </c>
      <c r="AA2642" s="177" t="e">
        <v>#N/A</v>
      </c>
    </row>
    <row r="2643" spans="23:27" x14ac:dyDescent="0.2">
      <c r="W2643" s="173" t="str">
        <f t="shared" si="51"/>
        <v>1w</v>
      </c>
      <c r="X2643" s="180">
        <f>_xll.qlCalendarAdvance(LiborCalendar,X2642,W2643,"f",FALSE)</f>
        <v>57488</v>
      </c>
      <c r="Y2643" s="174">
        <f>_xll.qlInterestRateIndexValueDate(IborIndex,X2643)</f>
        <v>57490</v>
      </c>
      <c r="Z2643" s="175" t="e">
        <v>#N/A</v>
      </c>
      <c r="AA2643" s="177" t="e">
        <v>#N/A</v>
      </c>
    </row>
    <row r="2644" spans="23:27" x14ac:dyDescent="0.2">
      <c r="W2644" s="173" t="str">
        <f t="shared" si="51"/>
        <v>1w</v>
      </c>
      <c r="X2644" s="180">
        <f>_xll.qlCalendarAdvance(LiborCalendar,X2643,W2644,"f",FALSE)</f>
        <v>57495</v>
      </c>
      <c r="Y2644" s="174">
        <f>_xll.qlInterestRateIndexValueDate(IborIndex,X2644)</f>
        <v>57497</v>
      </c>
      <c r="Z2644" s="175" t="e">
        <v>#N/A</v>
      </c>
      <c r="AA2644" s="177" t="e">
        <v>#N/A</v>
      </c>
    </row>
    <row r="2645" spans="23:27" x14ac:dyDescent="0.2">
      <c r="W2645" s="173" t="str">
        <f t="shared" ref="W2645:W2708" si="52">W2644</f>
        <v>1w</v>
      </c>
      <c r="X2645" s="180">
        <f>_xll.qlCalendarAdvance(LiborCalendar,X2644,W2645,"f",FALSE)</f>
        <v>57502</v>
      </c>
      <c r="Y2645" s="174">
        <f>_xll.qlInterestRateIndexValueDate(IborIndex,X2645)</f>
        <v>57504</v>
      </c>
      <c r="Z2645" s="175" t="e">
        <v>#N/A</v>
      </c>
      <c r="AA2645" s="177" t="e">
        <v>#N/A</v>
      </c>
    </row>
    <row r="2646" spans="23:27" x14ac:dyDescent="0.2">
      <c r="W2646" s="173" t="str">
        <f t="shared" si="52"/>
        <v>1w</v>
      </c>
      <c r="X2646" s="180">
        <f>_xll.qlCalendarAdvance(LiborCalendar,X2645,W2646,"f",FALSE)</f>
        <v>57509</v>
      </c>
      <c r="Y2646" s="174">
        <f>_xll.qlInterestRateIndexValueDate(IborIndex,X2646)</f>
        <v>57511</v>
      </c>
      <c r="Z2646" s="175" t="e">
        <v>#N/A</v>
      </c>
      <c r="AA2646" s="177" t="e">
        <v>#N/A</v>
      </c>
    </row>
    <row r="2647" spans="23:27" x14ac:dyDescent="0.2">
      <c r="W2647" s="173" t="str">
        <f t="shared" si="52"/>
        <v>1w</v>
      </c>
      <c r="X2647" s="180">
        <f>_xll.qlCalendarAdvance(LiborCalendar,X2646,W2647,"f",FALSE)</f>
        <v>57516</v>
      </c>
      <c r="Y2647" s="174">
        <f>_xll.qlInterestRateIndexValueDate(IborIndex,X2647)</f>
        <v>57518</v>
      </c>
      <c r="Z2647" s="175" t="e">
        <v>#N/A</v>
      </c>
      <c r="AA2647" s="177" t="e">
        <v>#N/A</v>
      </c>
    </row>
    <row r="2648" spans="23:27" x14ac:dyDescent="0.2">
      <c r="W2648" s="173" t="str">
        <f t="shared" si="52"/>
        <v>1w</v>
      </c>
      <c r="X2648" s="180">
        <f>_xll.qlCalendarAdvance(LiborCalendar,X2647,W2648,"f",FALSE)</f>
        <v>57523</v>
      </c>
      <c r="Y2648" s="174">
        <f>_xll.qlInterestRateIndexValueDate(IborIndex,X2648)</f>
        <v>57525</v>
      </c>
      <c r="Z2648" s="175" t="e">
        <v>#N/A</v>
      </c>
      <c r="AA2648" s="177" t="e">
        <v>#N/A</v>
      </c>
    </row>
    <row r="2649" spans="23:27" x14ac:dyDescent="0.2">
      <c r="W2649" s="173" t="str">
        <f t="shared" si="52"/>
        <v>1w</v>
      </c>
      <c r="X2649" s="180">
        <f>_xll.qlCalendarAdvance(LiborCalendar,X2648,W2649,"f",FALSE)</f>
        <v>57530</v>
      </c>
      <c r="Y2649" s="174">
        <f>_xll.qlInterestRateIndexValueDate(IborIndex,X2649)</f>
        <v>57532</v>
      </c>
      <c r="Z2649" s="175" t="e">
        <v>#N/A</v>
      </c>
      <c r="AA2649" s="177" t="e">
        <v>#N/A</v>
      </c>
    </row>
    <row r="2650" spans="23:27" x14ac:dyDescent="0.2">
      <c r="W2650" s="173" t="str">
        <f t="shared" si="52"/>
        <v>1w</v>
      </c>
      <c r="X2650" s="180">
        <f>_xll.qlCalendarAdvance(LiborCalendar,X2649,W2650,"f",FALSE)</f>
        <v>57537</v>
      </c>
      <c r="Y2650" s="174">
        <f>_xll.qlInterestRateIndexValueDate(IborIndex,X2650)</f>
        <v>57539</v>
      </c>
      <c r="Z2650" s="175" t="e">
        <v>#N/A</v>
      </c>
      <c r="AA2650" s="177" t="e">
        <v>#N/A</v>
      </c>
    </row>
    <row r="2651" spans="23:27" x14ac:dyDescent="0.2">
      <c r="W2651" s="173" t="str">
        <f t="shared" si="52"/>
        <v>1w</v>
      </c>
      <c r="X2651" s="180">
        <f>_xll.qlCalendarAdvance(LiborCalendar,X2650,W2651,"f",FALSE)</f>
        <v>57544</v>
      </c>
      <c r="Y2651" s="174">
        <f>_xll.qlInterestRateIndexValueDate(IborIndex,X2651)</f>
        <v>57546</v>
      </c>
      <c r="Z2651" s="175" t="e">
        <v>#N/A</v>
      </c>
      <c r="AA2651" s="177" t="e">
        <v>#N/A</v>
      </c>
    </row>
    <row r="2652" spans="23:27" x14ac:dyDescent="0.2">
      <c r="W2652" s="173" t="str">
        <f t="shared" si="52"/>
        <v>1w</v>
      </c>
      <c r="X2652" s="180">
        <f>_xll.qlCalendarAdvance(LiborCalendar,X2651,W2652,"f",FALSE)</f>
        <v>57551</v>
      </c>
      <c r="Y2652" s="174">
        <f>_xll.qlInterestRateIndexValueDate(IborIndex,X2652)</f>
        <v>57553</v>
      </c>
      <c r="Z2652" s="175" t="e">
        <v>#N/A</v>
      </c>
      <c r="AA2652" s="177" t="e">
        <v>#N/A</v>
      </c>
    </row>
    <row r="2653" spans="23:27" x14ac:dyDescent="0.2">
      <c r="W2653" s="173" t="str">
        <f t="shared" si="52"/>
        <v>1w</v>
      </c>
      <c r="X2653" s="180">
        <f>_xll.qlCalendarAdvance(LiborCalendar,X2652,W2653,"f",FALSE)</f>
        <v>57558</v>
      </c>
      <c r="Y2653" s="174">
        <f>_xll.qlInterestRateIndexValueDate(IborIndex,X2653)</f>
        <v>57560</v>
      </c>
      <c r="Z2653" s="175" t="e">
        <v>#N/A</v>
      </c>
      <c r="AA2653" s="177" t="e">
        <v>#N/A</v>
      </c>
    </row>
    <row r="2654" spans="23:27" x14ac:dyDescent="0.2">
      <c r="W2654" s="173" t="str">
        <f t="shared" si="52"/>
        <v>1w</v>
      </c>
      <c r="X2654" s="180">
        <f>_xll.qlCalendarAdvance(LiborCalendar,X2653,W2654,"f",FALSE)</f>
        <v>57565</v>
      </c>
      <c r="Y2654" s="174">
        <f>_xll.qlInterestRateIndexValueDate(IborIndex,X2654)</f>
        <v>57567</v>
      </c>
      <c r="Z2654" s="175" t="e">
        <v>#N/A</v>
      </c>
      <c r="AA2654" s="177" t="e">
        <v>#N/A</v>
      </c>
    </row>
    <row r="2655" spans="23:27" x14ac:dyDescent="0.2">
      <c r="W2655" s="173" t="str">
        <f t="shared" si="52"/>
        <v>1w</v>
      </c>
      <c r="X2655" s="180">
        <f>_xll.qlCalendarAdvance(LiborCalendar,X2654,W2655,"f",FALSE)</f>
        <v>57572</v>
      </c>
      <c r="Y2655" s="174">
        <f>_xll.qlInterestRateIndexValueDate(IborIndex,X2655)</f>
        <v>57574</v>
      </c>
      <c r="Z2655" s="175" t="e">
        <v>#N/A</v>
      </c>
      <c r="AA2655" s="177" t="e">
        <v>#N/A</v>
      </c>
    </row>
    <row r="2656" spans="23:27" x14ac:dyDescent="0.2">
      <c r="W2656" s="173" t="str">
        <f t="shared" si="52"/>
        <v>1w</v>
      </c>
      <c r="X2656" s="180">
        <f>_xll.qlCalendarAdvance(LiborCalendar,X2655,W2656,"f",FALSE)</f>
        <v>57579</v>
      </c>
      <c r="Y2656" s="174">
        <f>_xll.qlInterestRateIndexValueDate(IborIndex,X2656)</f>
        <v>57581</v>
      </c>
      <c r="Z2656" s="175" t="e">
        <v>#N/A</v>
      </c>
      <c r="AA2656" s="177" t="e">
        <v>#N/A</v>
      </c>
    </row>
    <row r="2657" spans="23:27" x14ac:dyDescent="0.2">
      <c r="W2657" s="173" t="str">
        <f t="shared" si="52"/>
        <v>1w</v>
      </c>
      <c r="X2657" s="180">
        <f>_xll.qlCalendarAdvance(LiborCalendar,X2656,W2657,"f",FALSE)</f>
        <v>57586</v>
      </c>
      <c r="Y2657" s="174">
        <f>_xll.qlInterestRateIndexValueDate(IborIndex,X2657)</f>
        <v>57588</v>
      </c>
      <c r="Z2657" s="175" t="e">
        <v>#N/A</v>
      </c>
      <c r="AA2657" s="177" t="e">
        <v>#N/A</v>
      </c>
    </row>
    <row r="2658" spans="23:27" x14ac:dyDescent="0.2">
      <c r="W2658" s="173" t="str">
        <f t="shared" si="52"/>
        <v>1w</v>
      </c>
      <c r="X2658" s="180">
        <f>_xll.qlCalendarAdvance(LiborCalendar,X2657,W2658,"f",FALSE)</f>
        <v>57593</v>
      </c>
      <c r="Y2658" s="174">
        <f>_xll.qlInterestRateIndexValueDate(IborIndex,X2658)</f>
        <v>57595</v>
      </c>
      <c r="Z2658" s="175" t="e">
        <v>#N/A</v>
      </c>
      <c r="AA2658" s="177" t="e">
        <v>#N/A</v>
      </c>
    </row>
    <row r="2659" spans="23:27" x14ac:dyDescent="0.2">
      <c r="W2659" s="173" t="str">
        <f t="shared" si="52"/>
        <v>1w</v>
      </c>
      <c r="X2659" s="180">
        <f>_xll.qlCalendarAdvance(LiborCalendar,X2658,W2659,"f",FALSE)</f>
        <v>57600</v>
      </c>
      <c r="Y2659" s="174">
        <f>_xll.qlInterestRateIndexValueDate(IborIndex,X2659)</f>
        <v>57602</v>
      </c>
      <c r="Z2659" s="175" t="e">
        <v>#N/A</v>
      </c>
      <c r="AA2659" s="177" t="e">
        <v>#N/A</v>
      </c>
    </row>
    <row r="2660" spans="23:27" x14ac:dyDescent="0.2">
      <c r="W2660" s="173" t="str">
        <f t="shared" si="52"/>
        <v>1w</v>
      </c>
      <c r="X2660" s="180">
        <f>_xll.qlCalendarAdvance(LiborCalendar,X2659,W2660,"f",FALSE)</f>
        <v>57607</v>
      </c>
      <c r="Y2660" s="174">
        <f>_xll.qlInterestRateIndexValueDate(IborIndex,X2660)</f>
        <v>57609</v>
      </c>
      <c r="Z2660" s="175" t="e">
        <v>#N/A</v>
      </c>
      <c r="AA2660" s="177" t="e">
        <v>#N/A</v>
      </c>
    </row>
    <row r="2661" spans="23:27" x14ac:dyDescent="0.2">
      <c r="W2661" s="173" t="str">
        <f t="shared" si="52"/>
        <v>1w</v>
      </c>
      <c r="X2661" s="180">
        <f>_xll.qlCalendarAdvance(LiborCalendar,X2660,W2661,"f",FALSE)</f>
        <v>57614</v>
      </c>
      <c r="Y2661" s="174">
        <f>_xll.qlInterestRateIndexValueDate(IborIndex,X2661)</f>
        <v>57616</v>
      </c>
      <c r="Z2661" s="175" t="e">
        <v>#N/A</v>
      </c>
      <c r="AA2661" s="177" t="e">
        <v>#N/A</v>
      </c>
    </row>
    <row r="2662" spans="23:27" x14ac:dyDescent="0.2">
      <c r="W2662" s="173" t="str">
        <f t="shared" si="52"/>
        <v>1w</v>
      </c>
      <c r="X2662" s="180">
        <f>_xll.qlCalendarAdvance(LiborCalendar,X2661,W2662,"f",FALSE)</f>
        <v>57621</v>
      </c>
      <c r="Y2662" s="174">
        <f>_xll.qlInterestRateIndexValueDate(IborIndex,X2662)</f>
        <v>57623</v>
      </c>
      <c r="Z2662" s="175" t="e">
        <v>#N/A</v>
      </c>
      <c r="AA2662" s="177" t="e">
        <v>#N/A</v>
      </c>
    </row>
    <row r="2663" spans="23:27" x14ac:dyDescent="0.2">
      <c r="W2663" s="173" t="str">
        <f t="shared" si="52"/>
        <v>1w</v>
      </c>
      <c r="X2663" s="180">
        <f>_xll.qlCalendarAdvance(LiborCalendar,X2662,W2663,"f",FALSE)</f>
        <v>57628</v>
      </c>
      <c r="Y2663" s="174">
        <f>_xll.qlInterestRateIndexValueDate(IborIndex,X2663)</f>
        <v>57630</v>
      </c>
      <c r="Z2663" s="175" t="e">
        <v>#N/A</v>
      </c>
      <c r="AA2663" s="177" t="e">
        <v>#N/A</v>
      </c>
    </row>
    <row r="2664" spans="23:27" x14ac:dyDescent="0.2">
      <c r="W2664" s="173" t="str">
        <f t="shared" si="52"/>
        <v>1w</v>
      </c>
      <c r="X2664" s="180">
        <f>_xll.qlCalendarAdvance(LiborCalendar,X2663,W2664,"f",FALSE)</f>
        <v>57635</v>
      </c>
      <c r="Y2664" s="174">
        <f>_xll.qlInterestRateIndexValueDate(IborIndex,X2664)</f>
        <v>57637</v>
      </c>
      <c r="Z2664" s="175" t="e">
        <v>#N/A</v>
      </c>
      <c r="AA2664" s="177" t="e">
        <v>#N/A</v>
      </c>
    </row>
    <row r="2665" spans="23:27" x14ac:dyDescent="0.2">
      <c r="W2665" s="173" t="str">
        <f t="shared" si="52"/>
        <v>1w</v>
      </c>
      <c r="X2665" s="180">
        <f>_xll.qlCalendarAdvance(LiborCalendar,X2664,W2665,"f",FALSE)</f>
        <v>57642</v>
      </c>
      <c r="Y2665" s="174">
        <f>_xll.qlInterestRateIndexValueDate(IborIndex,X2665)</f>
        <v>57644</v>
      </c>
      <c r="Z2665" s="175" t="e">
        <v>#N/A</v>
      </c>
      <c r="AA2665" s="177" t="e">
        <v>#N/A</v>
      </c>
    </row>
    <row r="2666" spans="23:27" x14ac:dyDescent="0.2">
      <c r="W2666" s="173" t="str">
        <f t="shared" si="52"/>
        <v>1w</v>
      </c>
      <c r="X2666" s="180">
        <f>_xll.qlCalendarAdvance(LiborCalendar,X2665,W2666,"f",FALSE)</f>
        <v>57649</v>
      </c>
      <c r="Y2666" s="174">
        <f>_xll.qlInterestRateIndexValueDate(IborIndex,X2666)</f>
        <v>57651</v>
      </c>
      <c r="Z2666" s="175" t="e">
        <v>#N/A</v>
      </c>
      <c r="AA2666" s="177" t="e">
        <v>#N/A</v>
      </c>
    </row>
    <row r="2667" spans="23:27" x14ac:dyDescent="0.2">
      <c r="W2667" s="173" t="str">
        <f t="shared" si="52"/>
        <v>1w</v>
      </c>
      <c r="X2667" s="180">
        <f>_xll.qlCalendarAdvance(LiborCalendar,X2666,W2667,"f",FALSE)</f>
        <v>57656</v>
      </c>
      <c r="Y2667" s="174">
        <f>_xll.qlInterestRateIndexValueDate(IborIndex,X2667)</f>
        <v>57658</v>
      </c>
      <c r="Z2667" s="175" t="e">
        <v>#N/A</v>
      </c>
      <c r="AA2667" s="177" t="e">
        <v>#N/A</v>
      </c>
    </row>
    <row r="2668" spans="23:27" x14ac:dyDescent="0.2">
      <c r="W2668" s="173" t="str">
        <f t="shared" si="52"/>
        <v>1w</v>
      </c>
      <c r="X2668" s="180">
        <f>_xll.qlCalendarAdvance(LiborCalendar,X2667,W2668,"f",FALSE)</f>
        <v>57663</v>
      </c>
      <c r="Y2668" s="174">
        <f>_xll.qlInterestRateIndexValueDate(IborIndex,X2668)</f>
        <v>57665</v>
      </c>
      <c r="Z2668" s="175" t="e">
        <v>#N/A</v>
      </c>
      <c r="AA2668" s="177" t="e">
        <v>#N/A</v>
      </c>
    </row>
    <row r="2669" spans="23:27" x14ac:dyDescent="0.2">
      <c r="W2669" s="173" t="str">
        <f t="shared" si="52"/>
        <v>1w</v>
      </c>
      <c r="X2669" s="180">
        <f>_xll.qlCalendarAdvance(LiborCalendar,X2668,W2669,"f",FALSE)</f>
        <v>57670</v>
      </c>
      <c r="Y2669" s="174">
        <f>_xll.qlInterestRateIndexValueDate(IborIndex,X2669)</f>
        <v>57675</v>
      </c>
      <c r="Z2669" s="175" t="e">
        <v>#N/A</v>
      </c>
      <c r="AA2669" s="177" t="e">
        <v>#N/A</v>
      </c>
    </row>
    <row r="2670" spans="23:27" x14ac:dyDescent="0.2">
      <c r="W2670" s="173" t="str">
        <f t="shared" si="52"/>
        <v>1w</v>
      </c>
      <c r="X2670" s="180">
        <f>_xll.qlCalendarAdvance(LiborCalendar,X2669,W2670,"f",FALSE)</f>
        <v>57677</v>
      </c>
      <c r="Y2670" s="174">
        <f>_xll.qlInterestRateIndexValueDate(IborIndex,X2670)</f>
        <v>57679</v>
      </c>
      <c r="Z2670" s="175" t="e">
        <v>#N/A</v>
      </c>
      <c r="AA2670" s="177" t="e">
        <v>#N/A</v>
      </c>
    </row>
    <row r="2671" spans="23:27" x14ac:dyDescent="0.2">
      <c r="W2671" s="173" t="str">
        <f t="shared" si="52"/>
        <v>1w</v>
      </c>
      <c r="X2671" s="180">
        <f>_xll.qlCalendarAdvance(LiborCalendar,X2670,W2671,"f",FALSE)</f>
        <v>57684</v>
      </c>
      <c r="Y2671" s="174">
        <f>_xll.qlInterestRateIndexValueDate(IborIndex,X2671)</f>
        <v>57686</v>
      </c>
      <c r="Z2671" s="175" t="e">
        <v>#N/A</v>
      </c>
      <c r="AA2671" s="177" t="e">
        <v>#N/A</v>
      </c>
    </row>
    <row r="2672" spans="23:27" x14ac:dyDescent="0.2">
      <c r="W2672" s="173" t="str">
        <f t="shared" si="52"/>
        <v>1w</v>
      </c>
      <c r="X2672" s="180">
        <f>_xll.qlCalendarAdvance(LiborCalendar,X2671,W2672,"f",FALSE)</f>
        <v>57691</v>
      </c>
      <c r="Y2672" s="174">
        <f>_xll.qlInterestRateIndexValueDate(IborIndex,X2672)</f>
        <v>57693</v>
      </c>
      <c r="Z2672" s="175" t="e">
        <v>#N/A</v>
      </c>
      <c r="AA2672" s="177" t="e">
        <v>#N/A</v>
      </c>
    </row>
    <row r="2673" spans="23:27" x14ac:dyDescent="0.2">
      <c r="W2673" s="173" t="str">
        <f t="shared" si="52"/>
        <v>1w</v>
      </c>
      <c r="X2673" s="180">
        <f>_xll.qlCalendarAdvance(LiborCalendar,X2672,W2673,"f",FALSE)</f>
        <v>57698</v>
      </c>
      <c r="Y2673" s="174">
        <f>_xll.qlInterestRateIndexValueDate(IborIndex,X2673)</f>
        <v>57700</v>
      </c>
      <c r="Z2673" s="175" t="e">
        <v>#N/A</v>
      </c>
      <c r="AA2673" s="177" t="e">
        <v>#N/A</v>
      </c>
    </row>
    <row r="2674" spans="23:27" x14ac:dyDescent="0.2">
      <c r="W2674" s="173" t="str">
        <f t="shared" si="52"/>
        <v>1w</v>
      </c>
      <c r="X2674" s="180">
        <f>_xll.qlCalendarAdvance(LiborCalendar,X2673,W2674,"f",FALSE)</f>
        <v>57706</v>
      </c>
      <c r="Y2674" s="174">
        <f>_xll.qlInterestRateIndexValueDate(IborIndex,X2674)</f>
        <v>57714</v>
      </c>
      <c r="Z2674" s="175" t="e">
        <v>#N/A</v>
      </c>
      <c r="AA2674" s="177" t="e">
        <v>#N/A</v>
      </c>
    </row>
    <row r="2675" spans="23:27" x14ac:dyDescent="0.2">
      <c r="W2675" s="173" t="str">
        <f t="shared" si="52"/>
        <v>1w</v>
      </c>
      <c r="X2675" s="180">
        <f>_xll.qlCalendarAdvance(LiborCalendar,X2674,W2675,"f",FALSE)</f>
        <v>57713</v>
      </c>
      <c r="Y2675" s="174">
        <f>_xll.qlInterestRateIndexValueDate(IborIndex,X2675)</f>
        <v>57717</v>
      </c>
      <c r="Z2675" s="175" t="e">
        <v>#N/A</v>
      </c>
      <c r="AA2675" s="177" t="e">
        <v>#N/A</v>
      </c>
    </row>
    <row r="2676" spans="23:27" x14ac:dyDescent="0.2">
      <c r="W2676" s="173" t="str">
        <f t="shared" si="52"/>
        <v>1w</v>
      </c>
      <c r="X2676" s="180">
        <f>_xll.qlCalendarAdvance(LiborCalendar,X2675,W2676,"f",FALSE)</f>
        <v>57720</v>
      </c>
      <c r="Y2676" s="174">
        <f>_xll.qlInterestRateIndexValueDate(IborIndex,X2676)</f>
        <v>57725</v>
      </c>
      <c r="Z2676" s="175" t="e">
        <v>#N/A</v>
      </c>
      <c r="AA2676" s="177" t="e">
        <v>#N/A</v>
      </c>
    </row>
    <row r="2677" spans="23:27" x14ac:dyDescent="0.2">
      <c r="W2677" s="173" t="str">
        <f t="shared" si="52"/>
        <v>1w</v>
      </c>
      <c r="X2677" s="180">
        <f>_xll.qlCalendarAdvance(LiborCalendar,X2676,W2677,"f",FALSE)</f>
        <v>57727</v>
      </c>
      <c r="Y2677" s="174">
        <f>_xll.qlInterestRateIndexValueDate(IborIndex,X2677)</f>
        <v>57731</v>
      </c>
      <c r="Z2677" s="175" t="e">
        <v>#N/A</v>
      </c>
      <c r="AA2677" s="177" t="e">
        <v>#N/A</v>
      </c>
    </row>
    <row r="2678" spans="23:27" x14ac:dyDescent="0.2">
      <c r="W2678" s="173" t="str">
        <f t="shared" si="52"/>
        <v>1w</v>
      </c>
      <c r="X2678" s="180">
        <f>_xll.qlCalendarAdvance(LiborCalendar,X2677,W2678,"f",FALSE)</f>
        <v>57734</v>
      </c>
      <c r="Y2678" s="174">
        <f>_xll.qlInterestRateIndexValueDate(IborIndex,X2678)</f>
        <v>57738</v>
      </c>
      <c r="Z2678" s="175" t="e">
        <v>#N/A</v>
      </c>
      <c r="AA2678" s="177" t="e">
        <v>#N/A</v>
      </c>
    </row>
    <row r="2679" spans="23:27" x14ac:dyDescent="0.2">
      <c r="W2679" s="173" t="str">
        <f t="shared" si="52"/>
        <v>1w</v>
      </c>
      <c r="X2679" s="180">
        <f>_xll.qlCalendarAdvance(LiborCalendar,X2678,W2679,"f",FALSE)</f>
        <v>57741</v>
      </c>
      <c r="Y2679" s="174">
        <f>_xll.qlInterestRateIndexValueDate(IborIndex,X2679)</f>
        <v>57745</v>
      </c>
      <c r="Z2679" s="175" t="e">
        <v>#N/A</v>
      </c>
      <c r="AA2679" s="177" t="e">
        <v>#N/A</v>
      </c>
    </row>
    <row r="2680" spans="23:27" x14ac:dyDescent="0.2">
      <c r="W2680" s="173" t="str">
        <f t="shared" si="52"/>
        <v>1w</v>
      </c>
      <c r="X2680" s="180">
        <f>_xll.qlCalendarAdvance(LiborCalendar,X2679,W2680,"f",FALSE)</f>
        <v>57748</v>
      </c>
      <c r="Y2680" s="174">
        <f>_xll.qlInterestRateIndexValueDate(IborIndex,X2680)</f>
        <v>57753</v>
      </c>
      <c r="Z2680" s="175" t="e">
        <v>#N/A</v>
      </c>
      <c r="AA2680" s="177" t="e">
        <v>#N/A</v>
      </c>
    </row>
    <row r="2681" spans="23:27" x14ac:dyDescent="0.2">
      <c r="W2681" s="173" t="str">
        <f t="shared" si="52"/>
        <v>1w</v>
      </c>
      <c r="X2681" s="180">
        <f>_xll.qlCalendarAdvance(LiborCalendar,X2680,W2681,"f",FALSE)</f>
        <v>57755</v>
      </c>
      <c r="Y2681" s="174">
        <f>_xll.qlInterestRateIndexValueDate(IborIndex,X2681)</f>
        <v>57759</v>
      </c>
      <c r="Z2681" s="175" t="e">
        <v>#N/A</v>
      </c>
      <c r="AA2681" s="177" t="e">
        <v>#N/A</v>
      </c>
    </row>
    <row r="2682" spans="23:27" x14ac:dyDescent="0.2">
      <c r="W2682" s="173" t="str">
        <f t="shared" si="52"/>
        <v>1w</v>
      </c>
      <c r="X2682" s="180">
        <f>_xll.qlCalendarAdvance(LiborCalendar,X2681,W2682,"f",FALSE)</f>
        <v>57762</v>
      </c>
      <c r="Y2682" s="174">
        <f>_xll.qlInterestRateIndexValueDate(IborIndex,X2682)</f>
        <v>57766</v>
      </c>
      <c r="Z2682" s="175" t="e">
        <v>#N/A</v>
      </c>
      <c r="AA2682" s="177" t="e">
        <v>#N/A</v>
      </c>
    </row>
    <row r="2683" spans="23:27" x14ac:dyDescent="0.2">
      <c r="W2683" s="173" t="str">
        <f t="shared" si="52"/>
        <v>1w</v>
      </c>
      <c r="X2683" s="180">
        <f>_xll.qlCalendarAdvance(LiborCalendar,X2682,W2683,"f",FALSE)</f>
        <v>57769</v>
      </c>
      <c r="Y2683" s="174">
        <f>_xll.qlInterestRateIndexValueDate(IborIndex,X2683)</f>
        <v>57773</v>
      </c>
      <c r="Z2683" s="175" t="e">
        <v>#N/A</v>
      </c>
      <c r="AA2683" s="177" t="e">
        <v>#N/A</v>
      </c>
    </row>
    <row r="2684" spans="23:27" x14ac:dyDescent="0.2">
      <c r="W2684" s="173" t="str">
        <f t="shared" si="52"/>
        <v>1w</v>
      </c>
      <c r="X2684" s="180">
        <f>_xll.qlCalendarAdvance(LiborCalendar,X2683,W2684,"f",FALSE)</f>
        <v>57776</v>
      </c>
      <c r="Y2684" s="174">
        <f>_xll.qlInterestRateIndexValueDate(IborIndex,X2684)</f>
        <v>57780</v>
      </c>
      <c r="Z2684" s="175" t="e">
        <v>#N/A</v>
      </c>
      <c r="AA2684" s="177" t="e">
        <v>#N/A</v>
      </c>
    </row>
    <row r="2685" spans="23:27" x14ac:dyDescent="0.2">
      <c r="W2685" s="173" t="str">
        <f t="shared" si="52"/>
        <v>1w</v>
      </c>
      <c r="X2685" s="180">
        <f>_xll.qlCalendarAdvance(LiborCalendar,X2684,W2685,"f",FALSE)</f>
        <v>57783</v>
      </c>
      <c r="Y2685" s="174">
        <f>_xll.qlInterestRateIndexValueDate(IborIndex,X2685)</f>
        <v>57787</v>
      </c>
      <c r="Z2685" s="175" t="e">
        <v>#N/A</v>
      </c>
      <c r="AA2685" s="177" t="e">
        <v>#N/A</v>
      </c>
    </row>
    <row r="2686" spans="23:27" x14ac:dyDescent="0.2">
      <c r="W2686" s="173" t="str">
        <f t="shared" si="52"/>
        <v>1w</v>
      </c>
      <c r="X2686" s="180">
        <f>_xll.qlCalendarAdvance(LiborCalendar,X2685,W2686,"f",FALSE)</f>
        <v>57790</v>
      </c>
      <c r="Y2686" s="174">
        <f>_xll.qlInterestRateIndexValueDate(IborIndex,X2686)</f>
        <v>57794</v>
      </c>
      <c r="Z2686" s="175" t="e">
        <v>#N/A</v>
      </c>
      <c r="AA2686" s="177" t="e">
        <v>#N/A</v>
      </c>
    </row>
    <row r="2687" spans="23:27" x14ac:dyDescent="0.2">
      <c r="W2687" s="173" t="str">
        <f t="shared" si="52"/>
        <v>1w</v>
      </c>
      <c r="X2687" s="180">
        <f>_xll.qlCalendarAdvance(LiborCalendar,X2686,W2687,"f",FALSE)</f>
        <v>57797</v>
      </c>
      <c r="Y2687" s="174">
        <f>_xll.qlInterestRateIndexValueDate(IborIndex,X2687)</f>
        <v>57801</v>
      </c>
      <c r="Z2687" s="175" t="e">
        <v>#N/A</v>
      </c>
      <c r="AA2687" s="177" t="e">
        <v>#N/A</v>
      </c>
    </row>
    <row r="2688" spans="23:27" x14ac:dyDescent="0.2">
      <c r="W2688" s="173" t="str">
        <f t="shared" si="52"/>
        <v>1w</v>
      </c>
      <c r="X2688" s="180">
        <f>_xll.qlCalendarAdvance(LiborCalendar,X2687,W2688,"f",FALSE)</f>
        <v>57804</v>
      </c>
      <c r="Y2688" s="174">
        <f>_xll.qlInterestRateIndexValueDate(IborIndex,X2688)</f>
        <v>57808</v>
      </c>
      <c r="Z2688" s="175" t="e">
        <v>#N/A</v>
      </c>
      <c r="AA2688" s="177" t="e">
        <v>#N/A</v>
      </c>
    </row>
    <row r="2689" spans="23:27" x14ac:dyDescent="0.2">
      <c r="W2689" s="173" t="str">
        <f t="shared" si="52"/>
        <v>1w</v>
      </c>
      <c r="X2689" s="180">
        <f>_xll.qlCalendarAdvance(LiborCalendar,X2688,W2689,"f",FALSE)</f>
        <v>57811</v>
      </c>
      <c r="Y2689" s="174">
        <f>_xll.qlInterestRateIndexValueDate(IborIndex,X2689)</f>
        <v>57817</v>
      </c>
      <c r="Z2689" s="175" t="e">
        <v>#N/A</v>
      </c>
      <c r="AA2689" s="177" t="e">
        <v>#N/A</v>
      </c>
    </row>
    <row r="2690" spans="23:27" x14ac:dyDescent="0.2">
      <c r="W2690" s="173" t="str">
        <f t="shared" si="52"/>
        <v>1w</v>
      </c>
      <c r="X2690" s="180">
        <f>_xll.qlCalendarAdvance(LiborCalendar,X2689,W2690,"f",FALSE)</f>
        <v>57818</v>
      </c>
      <c r="Y2690" s="174">
        <f>_xll.qlInterestRateIndexValueDate(IborIndex,X2690)</f>
        <v>57822</v>
      </c>
      <c r="Z2690" s="175" t="e">
        <v>#N/A</v>
      </c>
      <c r="AA2690" s="177" t="e">
        <v>#N/A</v>
      </c>
    </row>
    <row r="2691" spans="23:27" x14ac:dyDescent="0.2">
      <c r="W2691" s="173" t="str">
        <f t="shared" si="52"/>
        <v>1w</v>
      </c>
      <c r="X2691" s="180">
        <f>_xll.qlCalendarAdvance(LiborCalendar,X2690,W2691,"f",FALSE)</f>
        <v>57825</v>
      </c>
      <c r="Y2691" s="174">
        <f>_xll.qlInterestRateIndexValueDate(IborIndex,X2691)</f>
        <v>57830</v>
      </c>
      <c r="Z2691" s="175" t="e">
        <v>#N/A</v>
      </c>
      <c r="AA2691" s="177" t="e">
        <v>#N/A</v>
      </c>
    </row>
    <row r="2692" spans="23:27" x14ac:dyDescent="0.2">
      <c r="W2692" s="173" t="str">
        <f t="shared" si="52"/>
        <v>1w</v>
      </c>
      <c r="X2692" s="180">
        <f>_xll.qlCalendarAdvance(LiborCalendar,X2691,W2692,"f",FALSE)</f>
        <v>57832</v>
      </c>
      <c r="Y2692" s="174">
        <f>_xll.qlInterestRateIndexValueDate(IborIndex,X2692)</f>
        <v>57837</v>
      </c>
      <c r="Z2692" s="175" t="e">
        <v>#N/A</v>
      </c>
      <c r="AA2692" s="177" t="e">
        <v>#N/A</v>
      </c>
    </row>
    <row r="2693" spans="23:27" x14ac:dyDescent="0.2">
      <c r="W2693" s="173" t="str">
        <f t="shared" si="52"/>
        <v>1w</v>
      </c>
      <c r="X2693" s="180">
        <f>_xll.qlCalendarAdvance(LiborCalendar,X2692,W2693,"f",FALSE)</f>
        <v>57839</v>
      </c>
      <c r="Y2693" s="174">
        <f>_xll.qlInterestRateIndexValueDate(IborIndex,X2693)</f>
        <v>57843</v>
      </c>
      <c r="Z2693" s="175" t="e">
        <v>#N/A</v>
      </c>
      <c r="AA2693" s="177" t="e">
        <v>#N/A</v>
      </c>
    </row>
    <row r="2694" spans="23:27" x14ac:dyDescent="0.2">
      <c r="W2694" s="173" t="str">
        <f t="shared" si="52"/>
        <v>1w</v>
      </c>
      <c r="X2694" s="180">
        <f>_xll.qlCalendarAdvance(LiborCalendar,X2693,W2694,"f",FALSE)</f>
        <v>57846</v>
      </c>
      <c r="Y2694" s="174">
        <f>_xll.qlInterestRateIndexValueDate(IborIndex,X2694)</f>
        <v>57850</v>
      </c>
      <c r="Z2694" s="175" t="e">
        <v>#N/A</v>
      </c>
      <c r="AA2694" s="177" t="e">
        <v>#N/A</v>
      </c>
    </row>
    <row r="2695" spans="23:27" x14ac:dyDescent="0.2">
      <c r="W2695" s="173" t="str">
        <f t="shared" si="52"/>
        <v>1w</v>
      </c>
      <c r="X2695" s="180">
        <f>_xll.qlCalendarAdvance(LiborCalendar,X2694,W2695,"f",FALSE)</f>
        <v>57853</v>
      </c>
      <c r="Y2695" s="174">
        <f>_xll.qlInterestRateIndexValueDate(IborIndex,X2695)</f>
        <v>57858</v>
      </c>
      <c r="Z2695" s="175" t="e">
        <v>#N/A</v>
      </c>
      <c r="AA2695" s="177" t="e">
        <v>#N/A</v>
      </c>
    </row>
    <row r="2696" spans="23:27" x14ac:dyDescent="0.2">
      <c r="W2696" s="173" t="str">
        <f t="shared" si="52"/>
        <v>1w</v>
      </c>
      <c r="X2696" s="180">
        <f>_xll.qlCalendarAdvance(LiborCalendar,X2695,W2696,"f",FALSE)</f>
        <v>57860</v>
      </c>
      <c r="Y2696" s="174">
        <f>_xll.qlInterestRateIndexValueDate(IborIndex,X2696)</f>
        <v>57864</v>
      </c>
      <c r="Z2696" s="175" t="e">
        <v>#N/A</v>
      </c>
      <c r="AA2696" s="177" t="e">
        <v>#N/A</v>
      </c>
    </row>
    <row r="2697" spans="23:27" x14ac:dyDescent="0.2">
      <c r="W2697" s="173" t="str">
        <f t="shared" si="52"/>
        <v>1w</v>
      </c>
      <c r="X2697" s="180">
        <f>_xll.qlCalendarAdvance(LiborCalendar,X2696,W2697,"f",FALSE)</f>
        <v>57867</v>
      </c>
      <c r="Y2697" s="174">
        <f>_xll.qlInterestRateIndexValueDate(IborIndex,X2697)</f>
        <v>57871</v>
      </c>
      <c r="Z2697" s="175" t="e">
        <v>#N/A</v>
      </c>
      <c r="AA2697" s="177" t="e">
        <v>#N/A</v>
      </c>
    </row>
    <row r="2698" spans="23:27" x14ac:dyDescent="0.2">
      <c r="W2698" s="173" t="str">
        <f t="shared" si="52"/>
        <v>1w</v>
      </c>
      <c r="X2698" s="180">
        <f>_xll.qlCalendarAdvance(LiborCalendar,X2697,W2698,"f",FALSE)</f>
        <v>57874</v>
      </c>
      <c r="Y2698" s="174">
        <f>_xll.qlInterestRateIndexValueDate(IborIndex,X2698)</f>
        <v>57878</v>
      </c>
      <c r="Z2698" s="175" t="e">
        <v>#N/A</v>
      </c>
      <c r="AA2698" s="177" t="e">
        <v>#N/A</v>
      </c>
    </row>
    <row r="2699" spans="23:27" x14ac:dyDescent="0.2">
      <c r="W2699" s="173" t="str">
        <f t="shared" si="52"/>
        <v>1w</v>
      </c>
      <c r="X2699" s="180">
        <f>_xll.qlCalendarAdvance(LiborCalendar,X2698,W2699,"f",FALSE)</f>
        <v>57881</v>
      </c>
      <c r="Y2699" s="174">
        <f>_xll.qlInterestRateIndexValueDate(IborIndex,X2699)</f>
        <v>57885</v>
      </c>
      <c r="Z2699" s="175" t="e">
        <v>#N/A</v>
      </c>
      <c r="AA2699" s="177" t="e">
        <v>#N/A</v>
      </c>
    </row>
    <row r="2700" spans="23:27" x14ac:dyDescent="0.2">
      <c r="W2700" s="173" t="str">
        <f t="shared" si="52"/>
        <v>1w</v>
      </c>
      <c r="X2700" s="180">
        <f>_xll.qlCalendarAdvance(LiborCalendar,X2699,W2700,"f",FALSE)</f>
        <v>57888</v>
      </c>
      <c r="Y2700" s="174">
        <f>_xll.qlInterestRateIndexValueDate(IborIndex,X2700)</f>
        <v>57892</v>
      </c>
      <c r="Z2700" s="175" t="e">
        <v>#N/A</v>
      </c>
      <c r="AA2700" s="177" t="e">
        <v>#N/A</v>
      </c>
    </row>
    <row r="2701" spans="23:27" x14ac:dyDescent="0.2">
      <c r="W2701" s="173" t="str">
        <f t="shared" si="52"/>
        <v>1w</v>
      </c>
      <c r="X2701" s="180">
        <f>_xll.qlCalendarAdvance(LiborCalendar,X2700,W2701,"f",FALSE)</f>
        <v>57895</v>
      </c>
      <c r="Y2701" s="174">
        <f>_xll.qlInterestRateIndexValueDate(IborIndex,X2701)</f>
        <v>57899</v>
      </c>
      <c r="Z2701" s="175" t="e">
        <v>#N/A</v>
      </c>
      <c r="AA2701" s="177" t="e">
        <v>#N/A</v>
      </c>
    </row>
    <row r="2702" spans="23:27" x14ac:dyDescent="0.2">
      <c r="W2702" s="173" t="str">
        <f t="shared" si="52"/>
        <v>1w</v>
      </c>
      <c r="X2702" s="180">
        <f>_xll.qlCalendarAdvance(LiborCalendar,X2701,W2702,"f",FALSE)</f>
        <v>57902</v>
      </c>
      <c r="Y2702" s="174">
        <f>_xll.qlInterestRateIndexValueDate(IborIndex,X2702)</f>
        <v>57907</v>
      </c>
      <c r="Z2702" s="175" t="e">
        <v>#N/A</v>
      </c>
      <c r="AA2702" s="177" t="e">
        <v>#N/A</v>
      </c>
    </row>
    <row r="2703" spans="23:27" x14ac:dyDescent="0.2">
      <c r="W2703" s="173" t="str">
        <f t="shared" si="52"/>
        <v>1w</v>
      </c>
      <c r="X2703" s="180">
        <f>_xll.qlCalendarAdvance(LiborCalendar,X2702,W2703,"f",FALSE)</f>
        <v>57909</v>
      </c>
      <c r="Y2703" s="174">
        <f>_xll.qlInterestRateIndexValueDate(IborIndex,X2703)</f>
        <v>57913</v>
      </c>
      <c r="Z2703" s="175" t="e">
        <v>#N/A</v>
      </c>
      <c r="AA2703" s="177" t="e">
        <v>#N/A</v>
      </c>
    </row>
    <row r="2704" spans="23:27" x14ac:dyDescent="0.2">
      <c r="W2704" s="173" t="str">
        <f t="shared" si="52"/>
        <v>1w</v>
      </c>
      <c r="X2704" s="180">
        <f>_xll.qlCalendarAdvance(LiborCalendar,X2703,W2704,"f",FALSE)</f>
        <v>57916</v>
      </c>
      <c r="Y2704" s="174">
        <f>_xll.qlInterestRateIndexValueDate(IborIndex,X2704)</f>
        <v>57920</v>
      </c>
      <c r="Z2704" s="175" t="e">
        <v>#N/A</v>
      </c>
      <c r="AA2704" s="177" t="e">
        <v>#N/A</v>
      </c>
    </row>
    <row r="2705" spans="23:27" x14ac:dyDescent="0.2">
      <c r="W2705" s="173" t="str">
        <f t="shared" si="52"/>
        <v>1w</v>
      </c>
      <c r="X2705" s="180">
        <f>_xll.qlCalendarAdvance(LiborCalendar,X2704,W2705,"f",FALSE)</f>
        <v>57923</v>
      </c>
      <c r="Y2705" s="174">
        <f>_xll.qlInterestRateIndexValueDate(IborIndex,X2705)</f>
        <v>57927</v>
      </c>
      <c r="Z2705" s="175" t="e">
        <v>#N/A</v>
      </c>
      <c r="AA2705" s="177" t="e">
        <v>#N/A</v>
      </c>
    </row>
    <row r="2706" spans="23:27" x14ac:dyDescent="0.2">
      <c r="W2706" s="173" t="str">
        <f t="shared" si="52"/>
        <v>1w</v>
      </c>
      <c r="X2706" s="180">
        <f>_xll.qlCalendarAdvance(LiborCalendar,X2705,W2706,"f",FALSE)</f>
        <v>57930</v>
      </c>
      <c r="Y2706" s="174">
        <f>_xll.qlInterestRateIndexValueDate(IborIndex,X2706)</f>
        <v>57934</v>
      </c>
      <c r="Z2706" s="175" t="e">
        <v>#N/A</v>
      </c>
      <c r="AA2706" s="177" t="e">
        <v>#N/A</v>
      </c>
    </row>
    <row r="2707" spans="23:27" x14ac:dyDescent="0.2">
      <c r="W2707" s="173" t="str">
        <f t="shared" si="52"/>
        <v>1w</v>
      </c>
      <c r="X2707" s="180">
        <f>_xll.qlCalendarAdvance(LiborCalendar,X2706,W2707,"f",FALSE)</f>
        <v>57937</v>
      </c>
      <c r="Y2707" s="174">
        <f>_xll.qlInterestRateIndexValueDate(IborIndex,X2707)</f>
        <v>57941</v>
      </c>
      <c r="Z2707" s="175" t="e">
        <v>#N/A</v>
      </c>
      <c r="AA2707" s="177" t="e">
        <v>#N/A</v>
      </c>
    </row>
    <row r="2708" spans="23:27" x14ac:dyDescent="0.2">
      <c r="W2708" s="173" t="str">
        <f t="shared" si="52"/>
        <v>1w</v>
      </c>
      <c r="X2708" s="180">
        <f>_xll.qlCalendarAdvance(LiborCalendar,X2707,W2708,"f",FALSE)</f>
        <v>57944</v>
      </c>
      <c r="Y2708" s="174">
        <f>_xll.qlInterestRateIndexValueDate(IborIndex,X2708)</f>
        <v>57949</v>
      </c>
      <c r="Z2708" s="175" t="e">
        <v>#N/A</v>
      </c>
      <c r="AA2708" s="177" t="e">
        <v>#N/A</v>
      </c>
    </row>
    <row r="2709" spans="23:27" x14ac:dyDescent="0.2">
      <c r="W2709" s="173" t="str">
        <f t="shared" ref="W2709:W2772" si="53">W2708</f>
        <v>1w</v>
      </c>
      <c r="X2709" s="180">
        <f>_xll.qlCalendarAdvance(LiborCalendar,X2708,W2709,"f",FALSE)</f>
        <v>57951</v>
      </c>
      <c r="Y2709" s="174">
        <f>_xll.qlInterestRateIndexValueDate(IborIndex,X2709)</f>
        <v>57955</v>
      </c>
      <c r="Z2709" s="175" t="e">
        <v>#N/A</v>
      </c>
      <c r="AA2709" s="177" t="e">
        <v>#N/A</v>
      </c>
    </row>
    <row r="2710" spans="23:27" x14ac:dyDescent="0.2">
      <c r="W2710" s="173" t="str">
        <f t="shared" si="53"/>
        <v>1w</v>
      </c>
      <c r="X2710" s="180">
        <f>_xll.qlCalendarAdvance(LiborCalendar,X2709,W2710,"f",FALSE)</f>
        <v>57958</v>
      </c>
      <c r="Y2710" s="174">
        <f>_xll.qlInterestRateIndexValueDate(IborIndex,X2710)</f>
        <v>57962</v>
      </c>
      <c r="Z2710" s="175" t="e">
        <v>#N/A</v>
      </c>
      <c r="AA2710" s="177" t="e">
        <v>#N/A</v>
      </c>
    </row>
    <row r="2711" spans="23:27" x14ac:dyDescent="0.2">
      <c r="W2711" s="173" t="str">
        <f t="shared" si="53"/>
        <v>1w</v>
      </c>
      <c r="X2711" s="180">
        <f>_xll.qlCalendarAdvance(LiborCalendar,X2710,W2711,"f",FALSE)</f>
        <v>57965</v>
      </c>
      <c r="Y2711" s="174">
        <f>_xll.qlInterestRateIndexValueDate(IborIndex,X2711)</f>
        <v>57970</v>
      </c>
      <c r="Z2711" s="175" t="e">
        <v>#N/A</v>
      </c>
      <c r="AA2711" s="177" t="e">
        <v>#N/A</v>
      </c>
    </row>
    <row r="2712" spans="23:27" x14ac:dyDescent="0.2">
      <c r="W2712" s="173" t="str">
        <f t="shared" si="53"/>
        <v>1w</v>
      </c>
      <c r="X2712" s="180">
        <f>_xll.qlCalendarAdvance(LiborCalendar,X2711,W2712,"f",FALSE)</f>
        <v>57972</v>
      </c>
      <c r="Y2712" s="174">
        <f>_xll.qlInterestRateIndexValueDate(IborIndex,X2712)</f>
        <v>57977</v>
      </c>
      <c r="Z2712" s="175" t="e">
        <v>#N/A</v>
      </c>
      <c r="AA2712" s="177" t="e">
        <v>#N/A</v>
      </c>
    </row>
    <row r="2713" spans="23:27" x14ac:dyDescent="0.2">
      <c r="W2713" s="173" t="str">
        <f t="shared" si="53"/>
        <v>1w</v>
      </c>
      <c r="X2713" s="180">
        <f>_xll.qlCalendarAdvance(LiborCalendar,X2712,W2713,"f",FALSE)</f>
        <v>57979</v>
      </c>
      <c r="Y2713" s="174">
        <f>_xll.qlInterestRateIndexValueDate(IborIndex,X2713)</f>
        <v>57983</v>
      </c>
      <c r="Z2713" s="175" t="e">
        <v>#N/A</v>
      </c>
      <c r="AA2713" s="177" t="e">
        <v>#N/A</v>
      </c>
    </row>
    <row r="2714" spans="23:27" x14ac:dyDescent="0.2">
      <c r="W2714" s="173" t="str">
        <f t="shared" si="53"/>
        <v>1w</v>
      </c>
      <c r="X2714" s="180">
        <f>_xll.qlCalendarAdvance(LiborCalendar,X2713,W2714,"f",FALSE)</f>
        <v>57986</v>
      </c>
      <c r="Y2714" s="174">
        <f>_xll.qlInterestRateIndexValueDate(IborIndex,X2714)</f>
        <v>57990</v>
      </c>
      <c r="Z2714" s="175" t="e">
        <v>#N/A</v>
      </c>
      <c r="AA2714" s="177" t="e">
        <v>#N/A</v>
      </c>
    </row>
    <row r="2715" spans="23:27" x14ac:dyDescent="0.2">
      <c r="W2715" s="173" t="str">
        <f t="shared" si="53"/>
        <v>1w</v>
      </c>
      <c r="X2715" s="180">
        <f>_xll.qlCalendarAdvance(LiborCalendar,X2714,W2715,"f",FALSE)</f>
        <v>57993</v>
      </c>
      <c r="Y2715" s="174">
        <f>_xll.qlInterestRateIndexValueDate(IborIndex,X2715)</f>
        <v>57998</v>
      </c>
      <c r="Z2715" s="175" t="e">
        <v>#N/A</v>
      </c>
      <c r="AA2715" s="177" t="e">
        <v>#N/A</v>
      </c>
    </row>
    <row r="2716" spans="23:27" x14ac:dyDescent="0.2">
      <c r="W2716" s="173" t="str">
        <f t="shared" si="53"/>
        <v>1w</v>
      </c>
      <c r="X2716" s="180">
        <f>_xll.qlCalendarAdvance(LiborCalendar,X2715,W2716,"f",FALSE)</f>
        <v>58000</v>
      </c>
      <c r="Y2716" s="174">
        <f>_xll.qlInterestRateIndexValueDate(IborIndex,X2716)</f>
        <v>58004</v>
      </c>
      <c r="Z2716" s="175" t="e">
        <v>#N/A</v>
      </c>
      <c r="AA2716" s="177" t="e">
        <v>#N/A</v>
      </c>
    </row>
    <row r="2717" spans="23:27" x14ac:dyDescent="0.2">
      <c r="W2717" s="173" t="str">
        <f t="shared" si="53"/>
        <v>1w</v>
      </c>
      <c r="X2717" s="180">
        <f>_xll.qlCalendarAdvance(LiborCalendar,X2716,W2717,"f",FALSE)</f>
        <v>58007</v>
      </c>
      <c r="Y2717" s="174">
        <f>_xll.qlInterestRateIndexValueDate(IborIndex,X2717)</f>
        <v>58011</v>
      </c>
      <c r="Z2717" s="175" t="e">
        <v>#N/A</v>
      </c>
      <c r="AA2717" s="177" t="e">
        <v>#N/A</v>
      </c>
    </row>
    <row r="2718" spans="23:27" x14ac:dyDescent="0.2">
      <c r="W2718" s="173" t="str">
        <f t="shared" si="53"/>
        <v>1w</v>
      </c>
      <c r="X2718" s="180">
        <f>_xll.qlCalendarAdvance(LiborCalendar,X2717,W2718,"f",FALSE)</f>
        <v>58014</v>
      </c>
      <c r="Y2718" s="174">
        <f>_xll.qlInterestRateIndexValueDate(IborIndex,X2718)</f>
        <v>58019</v>
      </c>
      <c r="Z2718" s="175" t="e">
        <v>#N/A</v>
      </c>
      <c r="AA2718" s="177" t="e">
        <v>#N/A</v>
      </c>
    </row>
    <row r="2719" spans="23:27" x14ac:dyDescent="0.2">
      <c r="W2719" s="173" t="str">
        <f t="shared" si="53"/>
        <v>1w</v>
      </c>
      <c r="X2719" s="180">
        <f>_xll.qlCalendarAdvance(LiborCalendar,X2718,W2719,"f",FALSE)</f>
        <v>58021</v>
      </c>
      <c r="Y2719" s="174">
        <f>_xll.qlInterestRateIndexValueDate(IborIndex,X2719)</f>
        <v>58025</v>
      </c>
      <c r="Z2719" s="175" t="e">
        <v>#N/A</v>
      </c>
      <c r="AA2719" s="177" t="e">
        <v>#N/A</v>
      </c>
    </row>
    <row r="2720" spans="23:27" x14ac:dyDescent="0.2">
      <c r="W2720" s="173" t="str">
        <f t="shared" si="53"/>
        <v>1w</v>
      </c>
      <c r="X2720" s="180">
        <f>_xll.qlCalendarAdvance(LiborCalendar,X2719,W2720,"f",FALSE)</f>
        <v>58028</v>
      </c>
      <c r="Y2720" s="174">
        <f>_xll.qlInterestRateIndexValueDate(IborIndex,X2720)</f>
        <v>58032</v>
      </c>
      <c r="Z2720" s="175" t="e">
        <v>#N/A</v>
      </c>
      <c r="AA2720" s="177" t="e">
        <v>#N/A</v>
      </c>
    </row>
    <row r="2721" spans="23:27" x14ac:dyDescent="0.2">
      <c r="W2721" s="173" t="str">
        <f t="shared" si="53"/>
        <v>1w</v>
      </c>
      <c r="X2721" s="180">
        <f>_xll.qlCalendarAdvance(LiborCalendar,X2720,W2721,"f",FALSE)</f>
        <v>58035</v>
      </c>
      <c r="Y2721" s="174">
        <f>_xll.qlInterestRateIndexValueDate(IborIndex,X2721)</f>
        <v>58039</v>
      </c>
      <c r="Z2721" s="175" t="e">
        <v>#N/A</v>
      </c>
      <c r="AA2721" s="177" t="e">
        <v>#N/A</v>
      </c>
    </row>
    <row r="2722" spans="23:27" x14ac:dyDescent="0.2">
      <c r="W2722" s="173" t="str">
        <f t="shared" si="53"/>
        <v>1w</v>
      </c>
      <c r="X2722" s="180">
        <f>_xll.qlCalendarAdvance(LiborCalendar,X2721,W2722,"f",FALSE)</f>
        <v>58042</v>
      </c>
      <c r="Y2722" s="174">
        <f>_xll.qlInterestRateIndexValueDate(IborIndex,X2722)</f>
        <v>58046</v>
      </c>
      <c r="Z2722" s="175" t="e">
        <v>#N/A</v>
      </c>
      <c r="AA2722" s="177" t="e">
        <v>#N/A</v>
      </c>
    </row>
    <row r="2723" spans="23:27" x14ac:dyDescent="0.2">
      <c r="W2723" s="173" t="str">
        <f t="shared" si="53"/>
        <v>1w</v>
      </c>
      <c r="X2723" s="180">
        <f>_xll.qlCalendarAdvance(LiborCalendar,X2722,W2723,"f",FALSE)</f>
        <v>58049</v>
      </c>
      <c r="Y2723" s="174">
        <f>_xll.qlInterestRateIndexValueDate(IborIndex,X2723)</f>
        <v>58053</v>
      </c>
      <c r="Z2723" s="175" t="e">
        <v>#N/A</v>
      </c>
      <c r="AA2723" s="177" t="e">
        <v>#N/A</v>
      </c>
    </row>
    <row r="2724" spans="23:27" x14ac:dyDescent="0.2">
      <c r="W2724" s="173" t="str">
        <f t="shared" si="53"/>
        <v>1w</v>
      </c>
      <c r="X2724" s="180">
        <f>_xll.qlCalendarAdvance(LiborCalendar,X2723,W2724,"f",FALSE)</f>
        <v>58056</v>
      </c>
      <c r="Y2724" s="174">
        <f>_xll.qlInterestRateIndexValueDate(IborIndex,X2724)</f>
        <v>58060</v>
      </c>
      <c r="Z2724" s="175" t="e">
        <v>#N/A</v>
      </c>
      <c r="AA2724" s="177" t="e">
        <v>#N/A</v>
      </c>
    </row>
    <row r="2725" spans="23:27" x14ac:dyDescent="0.2">
      <c r="W2725" s="173" t="str">
        <f t="shared" si="53"/>
        <v>1w</v>
      </c>
      <c r="X2725" s="180">
        <f>_xll.qlCalendarAdvance(LiborCalendar,X2724,W2725,"f",FALSE)</f>
        <v>58063</v>
      </c>
      <c r="Y2725" s="174">
        <f>_xll.qlInterestRateIndexValueDate(IborIndex,X2725)</f>
        <v>58068</v>
      </c>
      <c r="Z2725" s="175" t="e">
        <v>#N/A</v>
      </c>
      <c r="AA2725" s="177" t="e">
        <v>#N/A</v>
      </c>
    </row>
    <row r="2726" spans="23:27" x14ac:dyDescent="0.2">
      <c r="W2726" s="173" t="str">
        <f t="shared" si="53"/>
        <v>1w</v>
      </c>
      <c r="X2726" s="180">
        <f>_xll.qlCalendarAdvance(LiborCalendar,X2725,W2726,"f",FALSE)</f>
        <v>58071</v>
      </c>
      <c r="Y2726" s="174">
        <f>_xll.qlInterestRateIndexValueDate(IborIndex,X2726)</f>
        <v>58081</v>
      </c>
      <c r="Z2726" s="175" t="e">
        <v>#N/A</v>
      </c>
      <c r="AA2726" s="177" t="e">
        <v>#N/A</v>
      </c>
    </row>
    <row r="2727" spans="23:27" x14ac:dyDescent="0.2">
      <c r="W2727" s="173" t="str">
        <f t="shared" si="53"/>
        <v>1w</v>
      </c>
      <c r="X2727" s="180">
        <f>_xll.qlCalendarAdvance(LiborCalendar,X2726,W2727,"f",FALSE)</f>
        <v>58078</v>
      </c>
      <c r="Y2727" s="174">
        <f>_xll.qlInterestRateIndexValueDate(IborIndex,X2727)</f>
        <v>58082</v>
      </c>
      <c r="Z2727" s="175" t="e">
        <v>#N/A</v>
      </c>
      <c r="AA2727" s="177" t="e">
        <v>#N/A</v>
      </c>
    </row>
    <row r="2728" spans="23:27" x14ac:dyDescent="0.2">
      <c r="W2728" s="173" t="str">
        <f t="shared" si="53"/>
        <v>1w</v>
      </c>
      <c r="X2728" s="180">
        <f>_xll.qlCalendarAdvance(LiborCalendar,X2727,W2728,"f",FALSE)</f>
        <v>58085</v>
      </c>
      <c r="Y2728" s="174">
        <f>_xll.qlInterestRateIndexValueDate(IborIndex,X2728)</f>
        <v>58089</v>
      </c>
      <c r="Z2728" s="175" t="e">
        <v>#N/A</v>
      </c>
      <c r="AA2728" s="177" t="e">
        <v>#N/A</v>
      </c>
    </row>
    <row r="2729" spans="23:27" x14ac:dyDescent="0.2">
      <c r="W2729" s="173" t="str">
        <f t="shared" si="53"/>
        <v>1w</v>
      </c>
      <c r="X2729" s="180">
        <f>_xll.qlCalendarAdvance(LiborCalendar,X2728,W2729,"f",FALSE)</f>
        <v>58092</v>
      </c>
      <c r="Y2729" s="174">
        <f>_xll.qlInterestRateIndexValueDate(IborIndex,X2729)</f>
        <v>58096</v>
      </c>
      <c r="Z2729" s="175" t="e">
        <v>#N/A</v>
      </c>
      <c r="AA2729" s="177" t="e">
        <v>#N/A</v>
      </c>
    </row>
    <row r="2730" spans="23:27" x14ac:dyDescent="0.2">
      <c r="W2730" s="173" t="str">
        <f t="shared" si="53"/>
        <v>1w</v>
      </c>
      <c r="X2730" s="180">
        <f>_xll.qlCalendarAdvance(LiborCalendar,X2729,W2730,"f",FALSE)</f>
        <v>58099</v>
      </c>
      <c r="Y2730" s="174">
        <f>_xll.qlInterestRateIndexValueDate(IborIndex,X2730)</f>
        <v>58103</v>
      </c>
      <c r="Z2730" s="175" t="e">
        <v>#N/A</v>
      </c>
      <c r="AA2730" s="177" t="e">
        <v>#N/A</v>
      </c>
    </row>
    <row r="2731" spans="23:27" x14ac:dyDescent="0.2">
      <c r="W2731" s="173" t="str">
        <f t="shared" si="53"/>
        <v>1w</v>
      </c>
      <c r="X2731" s="180">
        <f>_xll.qlCalendarAdvance(LiborCalendar,X2730,W2731,"f",FALSE)</f>
        <v>58106</v>
      </c>
      <c r="Y2731" s="174">
        <f>_xll.qlInterestRateIndexValueDate(IborIndex,X2731)</f>
        <v>58110</v>
      </c>
      <c r="Z2731" s="175" t="e">
        <v>#N/A</v>
      </c>
      <c r="AA2731" s="177" t="e">
        <v>#N/A</v>
      </c>
    </row>
    <row r="2732" spans="23:27" x14ac:dyDescent="0.2">
      <c r="W2732" s="173" t="str">
        <f t="shared" si="53"/>
        <v>1w</v>
      </c>
      <c r="X2732" s="180">
        <f>_xll.qlCalendarAdvance(LiborCalendar,X2731,W2732,"f",FALSE)</f>
        <v>58113</v>
      </c>
      <c r="Y2732" s="174">
        <f>_xll.qlInterestRateIndexValueDate(IborIndex,X2732)</f>
        <v>58118</v>
      </c>
      <c r="Z2732" s="175" t="e">
        <v>#N/A</v>
      </c>
      <c r="AA2732" s="177" t="e">
        <v>#N/A</v>
      </c>
    </row>
    <row r="2733" spans="23:27" x14ac:dyDescent="0.2">
      <c r="W2733" s="173" t="str">
        <f t="shared" si="53"/>
        <v>1w</v>
      </c>
      <c r="X2733" s="180">
        <f>_xll.qlCalendarAdvance(LiborCalendar,X2732,W2733,"f",FALSE)</f>
        <v>58120</v>
      </c>
      <c r="Y2733" s="174">
        <f>_xll.qlInterestRateIndexValueDate(IborIndex,X2733)</f>
        <v>58124</v>
      </c>
      <c r="Z2733" s="175" t="e">
        <v>#N/A</v>
      </c>
      <c r="AA2733" s="177" t="e">
        <v>#N/A</v>
      </c>
    </row>
    <row r="2734" spans="23:27" x14ac:dyDescent="0.2">
      <c r="W2734" s="173" t="str">
        <f t="shared" si="53"/>
        <v>1w</v>
      </c>
      <c r="X2734" s="180">
        <f>_xll.qlCalendarAdvance(LiborCalendar,X2733,W2734,"f",FALSE)</f>
        <v>58127</v>
      </c>
      <c r="Y2734" s="174">
        <f>_xll.qlInterestRateIndexValueDate(IborIndex,X2734)</f>
        <v>58131</v>
      </c>
      <c r="Z2734" s="175" t="e">
        <v>#N/A</v>
      </c>
      <c r="AA2734" s="177" t="e">
        <v>#N/A</v>
      </c>
    </row>
    <row r="2735" spans="23:27" x14ac:dyDescent="0.2">
      <c r="W2735" s="173" t="str">
        <f t="shared" si="53"/>
        <v>1w</v>
      </c>
      <c r="X2735" s="180">
        <f>_xll.qlCalendarAdvance(LiborCalendar,X2734,W2735,"f",FALSE)</f>
        <v>58134</v>
      </c>
      <c r="Y2735" s="174">
        <f>_xll.qlInterestRateIndexValueDate(IborIndex,X2735)</f>
        <v>58138</v>
      </c>
      <c r="Z2735" s="175" t="e">
        <v>#N/A</v>
      </c>
      <c r="AA2735" s="177" t="e">
        <v>#N/A</v>
      </c>
    </row>
    <row r="2736" spans="23:27" x14ac:dyDescent="0.2">
      <c r="W2736" s="173" t="str">
        <f t="shared" si="53"/>
        <v>1w</v>
      </c>
      <c r="X2736" s="180">
        <f>_xll.qlCalendarAdvance(LiborCalendar,X2735,W2736,"f",FALSE)</f>
        <v>58141</v>
      </c>
      <c r="Y2736" s="174">
        <f>_xll.qlInterestRateIndexValueDate(IborIndex,X2736)</f>
        <v>58145</v>
      </c>
      <c r="Z2736" s="175" t="e">
        <v>#N/A</v>
      </c>
      <c r="AA2736" s="177" t="e">
        <v>#N/A</v>
      </c>
    </row>
    <row r="2737" spans="23:27" x14ac:dyDescent="0.2">
      <c r="W2737" s="173" t="str">
        <f t="shared" si="53"/>
        <v>1w</v>
      </c>
      <c r="X2737" s="180">
        <f>_xll.qlCalendarAdvance(LiborCalendar,X2736,W2737,"f",FALSE)</f>
        <v>58148</v>
      </c>
      <c r="Y2737" s="174">
        <f>_xll.qlInterestRateIndexValueDate(IborIndex,X2737)</f>
        <v>58152</v>
      </c>
      <c r="Z2737" s="175" t="e">
        <v>#N/A</v>
      </c>
      <c r="AA2737" s="177" t="e">
        <v>#N/A</v>
      </c>
    </row>
    <row r="2738" spans="23:27" x14ac:dyDescent="0.2">
      <c r="W2738" s="173" t="str">
        <f t="shared" si="53"/>
        <v>1w</v>
      </c>
      <c r="X2738" s="180">
        <f>_xll.qlCalendarAdvance(LiborCalendar,X2737,W2738,"f",FALSE)</f>
        <v>58155</v>
      </c>
      <c r="Y2738" s="174">
        <f>_xll.qlInterestRateIndexValueDate(IborIndex,X2738)</f>
        <v>58159</v>
      </c>
      <c r="Z2738" s="175" t="e">
        <v>#N/A</v>
      </c>
      <c r="AA2738" s="177" t="e">
        <v>#N/A</v>
      </c>
    </row>
    <row r="2739" spans="23:27" x14ac:dyDescent="0.2">
      <c r="W2739" s="173" t="str">
        <f t="shared" si="53"/>
        <v>1w</v>
      </c>
      <c r="X2739" s="180">
        <f>_xll.qlCalendarAdvance(LiborCalendar,X2738,W2739,"f",FALSE)</f>
        <v>58166</v>
      </c>
      <c r="Y2739" s="174">
        <f>_xll.qlInterestRateIndexValueDate(IborIndex,X2739)</f>
        <v>58168</v>
      </c>
      <c r="Z2739" s="175" t="e">
        <v>#N/A</v>
      </c>
      <c r="AA2739" s="177" t="e">
        <v>#N/A</v>
      </c>
    </row>
    <row r="2740" spans="23:27" x14ac:dyDescent="0.2">
      <c r="W2740" s="173" t="str">
        <f t="shared" si="53"/>
        <v>1w</v>
      </c>
      <c r="X2740" s="180">
        <f>_xll.qlCalendarAdvance(LiborCalendar,X2739,W2740,"f",FALSE)</f>
        <v>58173</v>
      </c>
      <c r="Y2740" s="174">
        <f>_xll.qlInterestRateIndexValueDate(IborIndex,X2740)</f>
        <v>58175</v>
      </c>
      <c r="Z2740" s="175" t="e">
        <v>#N/A</v>
      </c>
      <c r="AA2740" s="177" t="e">
        <v>#N/A</v>
      </c>
    </row>
    <row r="2741" spans="23:27" x14ac:dyDescent="0.2">
      <c r="W2741" s="173" t="str">
        <f t="shared" si="53"/>
        <v>1w</v>
      </c>
      <c r="X2741" s="180">
        <f>_xll.qlCalendarAdvance(LiborCalendar,X2740,W2741,"f",FALSE)</f>
        <v>58180</v>
      </c>
      <c r="Y2741" s="174">
        <f>_xll.qlInterestRateIndexValueDate(IborIndex,X2741)</f>
        <v>58182</v>
      </c>
      <c r="Z2741" s="175" t="e">
        <v>#N/A</v>
      </c>
      <c r="AA2741" s="177" t="e">
        <v>#N/A</v>
      </c>
    </row>
    <row r="2742" spans="23:27" x14ac:dyDescent="0.2">
      <c r="W2742" s="173" t="str">
        <f t="shared" si="53"/>
        <v>1w</v>
      </c>
      <c r="X2742" s="180">
        <f>_xll.qlCalendarAdvance(LiborCalendar,X2741,W2742,"f",FALSE)</f>
        <v>58187</v>
      </c>
      <c r="Y2742" s="174">
        <f>_xll.qlInterestRateIndexValueDate(IborIndex,X2742)</f>
        <v>58189</v>
      </c>
      <c r="Z2742" s="175" t="e">
        <v>#N/A</v>
      </c>
      <c r="AA2742" s="177" t="e">
        <v>#N/A</v>
      </c>
    </row>
    <row r="2743" spans="23:27" x14ac:dyDescent="0.2">
      <c r="W2743" s="173" t="str">
        <f t="shared" si="53"/>
        <v>1w</v>
      </c>
      <c r="X2743" s="180">
        <f>_xll.qlCalendarAdvance(LiborCalendar,X2742,W2743,"f",FALSE)</f>
        <v>58194</v>
      </c>
      <c r="Y2743" s="174">
        <f>_xll.qlInterestRateIndexValueDate(IborIndex,X2743)</f>
        <v>58196</v>
      </c>
      <c r="Z2743" s="175" t="e">
        <v>#N/A</v>
      </c>
      <c r="AA2743" s="177" t="e">
        <v>#N/A</v>
      </c>
    </row>
    <row r="2744" spans="23:27" x14ac:dyDescent="0.2">
      <c r="W2744" s="173" t="str">
        <f t="shared" si="53"/>
        <v>1w</v>
      </c>
      <c r="X2744" s="180">
        <f>_xll.qlCalendarAdvance(LiborCalendar,X2743,W2744,"f",FALSE)</f>
        <v>58201</v>
      </c>
      <c r="Y2744" s="174">
        <f>_xll.qlInterestRateIndexValueDate(IborIndex,X2744)</f>
        <v>58203</v>
      </c>
      <c r="Z2744" s="175" t="e">
        <v>#N/A</v>
      </c>
      <c r="AA2744" s="177" t="e">
        <v>#N/A</v>
      </c>
    </row>
    <row r="2745" spans="23:27" x14ac:dyDescent="0.2">
      <c r="W2745" s="173" t="str">
        <f t="shared" si="53"/>
        <v>1w</v>
      </c>
      <c r="X2745" s="180">
        <f>_xll.qlCalendarAdvance(LiborCalendar,X2744,W2745,"f",FALSE)</f>
        <v>58208</v>
      </c>
      <c r="Y2745" s="174">
        <f>_xll.qlInterestRateIndexValueDate(IborIndex,X2745)</f>
        <v>58210</v>
      </c>
      <c r="Z2745" s="175" t="e">
        <v>#N/A</v>
      </c>
      <c r="AA2745" s="177" t="e">
        <v>#N/A</v>
      </c>
    </row>
    <row r="2746" spans="23:27" x14ac:dyDescent="0.2">
      <c r="W2746" s="173" t="str">
        <f t="shared" si="53"/>
        <v>1w</v>
      </c>
      <c r="X2746" s="180">
        <f>_xll.qlCalendarAdvance(LiborCalendar,X2745,W2746,"f",FALSE)</f>
        <v>58215</v>
      </c>
      <c r="Y2746" s="174">
        <f>_xll.qlInterestRateIndexValueDate(IborIndex,X2746)</f>
        <v>58217</v>
      </c>
      <c r="Z2746" s="175" t="e">
        <v>#N/A</v>
      </c>
      <c r="AA2746" s="177" t="e">
        <v>#N/A</v>
      </c>
    </row>
    <row r="2747" spans="23:27" x14ac:dyDescent="0.2">
      <c r="W2747" s="173" t="str">
        <f t="shared" si="53"/>
        <v>1w</v>
      </c>
      <c r="X2747" s="180">
        <f>_xll.qlCalendarAdvance(LiborCalendar,X2746,W2747,"f",FALSE)</f>
        <v>58222</v>
      </c>
      <c r="Y2747" s="174">
        <f>_xll.qlInterestRateIndexValueDate(IborIndex,X2747)</f>
        <v>58224</v>
      </c>
      <c r="Z2747" s="175" t="e">
        <v>#N/A</v>
      </c>
      <c r="AA2747" s="177" t="e">
        <v>#N/A</v>
      </c>
    </row>
    <row r="2748" spans="23:27" x14ac:dyDescent="0.2">
      <c r="W2748" s="173" t="str">
        <f t="shared" si="53"/>
        <v>1w</v>
      </c>
      <c r="X2748" s="180">
        <f>_xll.qlCalendarAdvance(LiborCalendar,X2747,W2748,"f",FALSE)</f>
        <v>58229</v>
      </c>
      <c r="Y2748" s="174">
        <f>_xll.qlInterestRateIndexValueDate(IborIndex,X2748)</f>
        <v>58231</v>
      </c>
      <c r="Z2748" s="175" t="e">
        <v>#N/A</v>
      </c>
      <c r="AA2748" s="177" t="e">
        <v>#N/A</v>
      </c>
    </row>
    <row r="2749" spans="23:27" x14ac:dyDescent="0.2">
      <c r="W2749" s="173" t="str">
        <f t="shared" si="53"/>
        <v>1w</v>
      </c>
      <c r="X2749" s="180">
        <f>_xll.qlCalendarAdvance(LiborCalendar,X2748,W2749,"f",FALSE)</f>
        <v>58236</v>
      </c>
      <c r="Y2749" s="174">
        <f>_xll.qlInterestRateIndexValueDate(IborIndex,X2749)</f>
        <v>58238</v>
      </c>
      <c r="Z2749" s="175" t="e">
        <v>#N/A</v>
      </c>
      <c r="AA2749" s="177" t="e">
        <v>#N/A</v>
      </c>
    </row>
    <row r="2750" spans="23:27" x14ac:dyDescent="0.2">
      <c r="W2750" s="173" t="str">
        <f t="shared" si="53"/>
        <v>1w</v>
      </c>
      <c r="X2750" s="180">
        <f>_xll.qlCalendarAdvance(LiborCalendar,X2749,W2750,"f",FALSE)</f>
        <v>58243</v>
      </c>
      <c r="Y2750" s="174">
        <f>_xll.qlInterestRateIndexValueDate(IborIndex,X2750)</f>
        <v>58245</v>
      </c>
      <c r="Z2750" s="175" t="e">
        <v>#N/A</v>
      </c>
      <c r="AA2750" s="177" t="e">
        <v>#N/A</v>
      </c>
    </row>
    <row r="2751" spans="23:27" x14ac:dyDescent="0.2">
      <c r="W2751" s="173" t="str">
        <f t="shared" si="53"/>
        <v>1w</v>
      </c>
      <c r="X2751" s="180">
        <f>_xll.qlCalendarAdvance(LiborCalendar,X2750,W2751,"f",FALSE)</f>
        <v>58250</v>
      </c>
      <c r="Y2751" s="174">
        <f>_xll.qlInterestRateIndexValueDate(IborIndex,X2751)</f>
        <v>58252</v>
      </c>
      <c r="Z2751" s="175" t="e">
        <v>#N/A</v>
      </c>
      <c r="AA2751" s="177" t="e">
        <v>#N/A</v>
      </c>
    </row>
    <row r="2752" spans="23:27" x14ac:dyDescent="0.2">
      <c r="W2752" s="173" t="str">
        <f t="shared" si="53"/>
        <v>1w</v>
      </c>
      <c r="X2752" s="180">
        <f>_xll.qlCalendarAdvance(LiborCalendar,X2751,W2752,"f",FALSE)</f>
        <v>58257</v>
      </c>
      <c r="Y2752" s="174">
        <f>_xll.qlInterestRateIndexValueDate(IborIndex,X2752)</f>
        <v>58259</v>
      </c>
      <c r="Z2752" s="175" t="e">
        <v>#N/A</v>
      </c>
      <c r="AA2752" s="177" t="e">
        <v>#N/A</v>
      </c>
    </row>
    <row r="2753" spans="23:27" x14ac:dyDescent="0.2">
      <c r="W2753" s="173" t="str">
        <f t="shared" si="53"/>
        <v>1w</v>
      </c>
      <c r="X2753" s="180">
        <f>_xll.qlCalendarAdvance(LiborCalendar,X2752,W2753,"f",FALSE)</f>
        <v>58264</v>
      </c>
      <c r="Y2753" s="174">
        <f>_xll.qlInterestRateIndexValueDate(IborIndex,X2753)</f>
        <v>58266</v>
      </c>
      <c r="Z2753" s="175" t="e">
        <v>#N/A</v>
      </c>
      <c r="AA2753" s="177" t="e">
        <v>#N/A</v>
      </c>
    </row>
    <row r="2754" spans="23:27" x14ac:dyDescent="0.2">
      <c r="W2754" s="173" t="str">
        <f t="shared" si="53"/>
        <v>1w</v>
      </c>
      <c r="X2754" s="180">
        <f>_xll.qlCalendarAdvance(LiborCalendar,X2753,W2754,"f",FALSE)</f>
        <v>58271</v>
      </c>
      <c r="Y2754" s="174">
        <f>_xll.qlInterestRateIndexValueDate(IborIndex,X2754)</f>
        <v>58273</v>
      </c>
      <c r="Z2754" s="175" t="e">
        <v>#N/A</v>
      </c>
      <c r="AA2754" s="177" t="e">
        <v>#N/A</v>
      </c>
    </row>
    <row r="2755" spans="23:27" x14ac:dyDescent="0.2">
      <c r="W2755" s="173" t="str">
        <f t="shared" si="53"/>
        <v>1w</v>
      </c>
      <c r="X2755" s="180">
        <f>_xll.qlCalendarAdvance(LiborCalendar,X2754,W2755,"f",FALSE)</f>
        <v>58278</v>
      </c>
      <c r="Y2755" s="174">
        <f>_xll.qlInterestRateIndexValueDate(IborIndex,X2755)</f>
        <v>58280</v>
      </c>
      <c r="Z2755" s="175" t="e">
        <v>#N/A</v>
      </c>
      <c r="AA2755" s="177" t="e">
        <v>#N/A</v>
      </c>
    </row>
    <row r="2756" spans="23:27" x14ac:dyDescent="0.2">
      <c r="W2756" s="173" t="str">
        <f t="shared" si="53"/>
        <v>1w</v>
      </c>
      <c r="X2756" s="180">
        <f>_xll.qlCalendarAdvance(LiborCalendar,X2755,W2756,"f",FALSE)</f>
        <v>58285</v>
      </c>
      <c r="Y2756" s="174">
        <f>_xll.qlInterestRateIndexValueDate(IborIndex,X2756)</f>
        <v>58287</v>
      </c>
      <c r="Z2756" s="175" t="e">
        <v>#N/A</v>
      </c>
      <c r="AA2756" s="177" t="e">
        <v>#N/A</v>
      </c>
    </row>
    <row r="2757" spans="23:27" x14ac:dyDescent="0.2">
      <c r="W2757" s="173" t="str">
        <f t="shared" si="53"/>
        <v>1w</v>
      </c>
      <c r="X2757" s="180">
        <f>_xll.qlCalendarAdvance(LiborCalendar,X2756,W2757,"f",FALSE)</f>
        <v>58292</v>
      </c>
      <c r="Y2757" s="174">
        <f>_xll.qlInterestRateIndexValueDate(IborIndex,X2757)</f>
        <v>58294</v>
      </c>
      <c r="Z2757" s="175" t="e">
        <v>#N/A</v>
      </c>
      <c r="AA2757" s="177" t="e">
        <v>#N/A</v>
      </c>
    </row>
    <row r="2758" spans="23:27" x14ac:dyDescent="0.2">
      <c r="W2758" s="173" t="str">
        <f t="shared" si="53"/>
        <v>1w</v>
      </c>
      <c r="X2758" s="180">
        <f>_xll.qlCalendarAdvance(LiborCalendar,X2757,W2758,"f",FALSE)</f>
        <v>58299</v>
      </c>
      <c r="Y2758" s="174">
        <f>_xll.qlInterestRateIndexValueDate(IborIndex,X2758)</f>
        <v>58301</v>
      </c>
      <c r="Z2758" s="175" t="e">
        <v>#N/A</v>
      </c>
      <c r="AA2758" s="177" t="e">
        <v>#N/A</v>
      </c>
    </row>
    <row r="2759" spans="23:27" x14ac:dyDescent="0.2">
      <c r="W2759" s="173" t="str">
        <f t="shared" si="53"/>
        <v>1w</v>
      </c>
      <c r="X2759" s="180">
        <f>_xll.qlCalendarAdvance(LiborCalendar,X2758,W2759,"f",FALSE)</f>
        <v>58306</v>
      </c>
      <c r="Y2759" s="174">
        <f>_xll.qlInterestRateIndexValueDate(IborIndex,X2759)</f>
        <v>58308</v>
      </c>
      <c r="Z2759" s="175" t="e">
        <v>#N/A</v>
      </c>
      <c r="AA2759" s="177" t="e">
        <v>#N/A</v>
      </c>
    </row>
    <row r="2760" spans="23:27" x14ac:dyDescent="0.2">
      <c r="W2760" s="173" t="str">
        <f t="shared" si="53"/>
        <v>1w</v>
      </c>
      <c r="X2760" s="180">
        <f>_xll.qlCalendarAdvance(LiborCalendar,X2759,W2760,"f",FALSE)</f>
        <v>58313</v>
      </c>
      <c r="Y2760" s="174">
        <f>_xll.qlInterestRateIndexValueDate(IborIndex,X2760)</f>
        <v>58315</v>
      </c>
      <c r="Z2760" s="175" t="e">
        <v>#N/A</v>
      </c>
      <c r="AA2760" s="177" t="e">
        <v>#N/A</v>
      </c>
    </row>
    <row r="2761" spans="23:27" x14ac:dyDescent="0.2">
      <c r="W2761" s="173" t="str">
        <f t="shared" si="53"/>
        <v>1w</v>
      </c>
      <c r="X2761" s="180">
        <f>_xll.qlCalendarAdvance(LiborCalendar,X2760,W2761,"f",FALSE)</f>
        <v>58320</v>
      </c>
      <c r="Y2761" s="174">
        <f>_xll.qlInterestRateIndexValueDate(IborIndex,X2761)</f>
        <v>58322</v>
      </c>
      <c r="Z2761" s="175" t="e">
        <v>#N/A</v>
      </c>
      <c r="AA2761" s="177" t="e">
        <v>#N/A</v>
      </c>
    </row>
    <row r="2762" spans="23:27" x14ac:dyDescent="0.2">
      <c r="W2762" s="173" t="str">
        <f t="shared" si="53"/>
        <v>1w</v>
      </c>
      <c r="X2762" s="180">
        <f>_xll.qlCalendarAdvance(LiborCalendar,X2761,W2762,"f",FALSE)</f>
        <v>58327</v>
      </c>
      <c r="Y2762" s="174">
        <f>_xll.qlInterestRateIndexValueDate(IborIndex,X2762)</f>
        <v>58329</v>
      </c>
      <c r="Z2762" s="175" t="e">
        <v>#N/A</v>
      </c>
      <c r="AA2762" s="177" t="e">
        <v>#N/A</v>
      </c>
    </row>
    <row r="2763" spans="23:27" x14ac:dyDescent="0.2">
      <c r="W2763" s="173" t="str">
        <f t="shared" si="53"/>
        <v>1w</v>
      </c>
      <c r="X2763" s="180">
        <f>_xll.qlCalendarAdvance(LiborCalendar,X2762,W2763,"f",FALSE)</f>
        <v>58334</v>
      </c>
      <c r="Y2763" s="174">
        <f>_xll.qlInterestRateIndexValueDate(IborIndex,X2763)</f>
        <v>58336</v>
      </c>
      <c r="Z2763" s="175" t="e">
        <v>#N/A</v>
      </c>
      <c r="AA2763" s="177" t="e">
        <v>#N/A</v>
      </c>
    </row>
    <row r="2764" spans="23:27" x14ac:dyDescent="0.2">
      <c r="W2764" s="173" t="str">
        <f t="shared" si="53"/>
        <v>1w</v>
      </c>
      <c r="X2764" s="180">
        <f>_xll.qlCalendarAdvance(LiborCalendar,X2763,W2764,"f",FALSE)</f>
        <v>58341</v>
      </c>
      <c r="Y2764" s="174">
        <f>_xll.qlInterestRateIndexValueDate(IborIndex,X2764)</f>
        <v>58343</v>
      </c>
      <c r="Z2764" s="175" t="e">
        <v>#N/A</v>
      </c>
      <c r="AA2764" s="177" t="e">
        <v>#N/A</v>
      </c>
    </row>
    <row r="2765" spans="23:27" x14ac:dyDescent="0.2">
      <c r="W2765" s="173" t="str">
        <f t="shared" si="53"/>
        <v>1w</v>
      </c>
      <c r="X2765" s="180">
        <f>_xll.qlCalendarAdvance(LiborCalendar,X2764,W2765,"f",FALSE)</f>
        <v>58348</v>
      </c>
      <c r="Y2765" s="174">
        <f>_xll.qlInterestRateIndexValueDate(IborIndex,X2765)</f>
        <v>58350</v>
      </c>
      <c r="Z2765" s="175" t="e">
        <v>#N/A</v>
      </c>
      <c r="AA2765" s="177" t="e">
        <v>#N/A</v>
      </c>
    </row>
    <row r="2766" spans="23:27" x14ac:dyDescent="0.2">
      <c r="W2766" s="173" t="str">
        <f t="shared" si="53"/>
        <v>1w</v>
      </c>
      <c r="X2766" s="180">
        <f>_xll.qlCalendarAdvance(LiborCalendar,X2765,W2766,"f",FALSE)</f>
        <v>58355</v>
      </c>
      <c r="Y2766" s="174">
        <f>_xll.qlInterestRateIndexValueDate(IborIndex,X2766)</f>
        <v>58357</v>
      </c>
      <c r="Z2766" s="175" t="e">
        <v>#N/A</v>
      </c>
      <c r="AA2766" s="177" t="e">
        <v>#N/A</v>
      </c>
    </row>
    <row r="2767" spans="23:27" x14ac:dyDescent="0.2">
      <c r="W2767" s="173" t="str">
        <f t="shared" si="53"/>
        <v>1w</v>
      </c>
      <c r="X2767" s="180">
        <f>_xll.qlCalendarAdvance(LiborCalendar,X2766,W2767,"f",FALSE)</f>
        <v>58362</v>
      </c>
      <c r="Y2767" s="174">
        <f>_xll.qlInterestRateIndexValueDate(IborIndex,X2767)</f>
        <v>58364</v>
      </c>
      <c r="Z2767" s="175" t="e">
        <v>#N/A</v>
      </c>
      <c r="AA2767" s="177" t="e">
        <v>#N/A</v>
      </c>
    </row>
    <row r="2768" spans="23:27" x14ac:dyDescent="0.2">
      <c r="W2768" s="173" t="str">
        <f t="shared" si="53"/>
        <v>1w</v>
      </c>
      <c r="X2768" s="180">
        <f>_xll.qlCalendarAdvance(LiborCalendar,X2767,W2768,"f",FALSE)</f>
        <v>58369</v>
      </c>
      <c r="Y2768" s="174">
        <f>_xll.qlInterestRateIndexValueDate(IborIndex,X2768)</f>
        <v>58371</v>
      </c>
      <c r="Z2768" s="175" t="e">
        <v>#N/A</v>
      </c>
      <c r="AA2768" s="177" t="e">
        <v>#N/A</v>
      </c>
    </row>
    <row r="2769" spans="23:27" x14ac:dyDescent="0.2">
      <c r="W2769" s="173" t="str">
        <f t="shared" si="53"/>
        <v>1w</v>
      </c>
      <c r="X2769" s="180">
        <f>_xll.qlCalendarAdvance(LiborCalendar,X2768,W2769,"f",FALSE)</f>
        <v>58376</v>
      </c>
      <c r="Y2769" s="174">
        <f>_xll.qlInterestRateIndexValueDate(IborIndex,X2769)</f>
        <v>58378</v>
      </c>
      <c r="Z2769" s="175" t="e">
        <v>#N/A</v>
      </c>
      <c r="AA2769" s="177" t="e">
        <v>#N/A</v>
      </c>
    </row>
    <row r="2770" spans="23:27" x14ac:dyDescent="0.2">
      <c r="W2770" s="173" t="str">
        <f t="shared" si="53"/>
        <v>1w</v>
      </c>
      <c r="X2770" s="180">
        <f>_xll.qlCalendarAdvance(LiborCalendar,X2769,W2770,"f",FALSE)</f>
        <v>58383</v>
      </c>
      <c r="Y2770" s="174">
        <f>_xll.qlInterestRateIndexValueDate(IborIndex,X2770)</f>
        <v>58385</v>
      </c>
      <c r="Z2770" s="175" t="e">
        <v>#N/A</v>
      </c>
      <c r="AA2770" s="177" t="e">
        <v>#N/A</v>
      </c>
    </row>
    <row r="2771" spans="23:27" x14ac:dyDescent="0.2">
      <c r="W2771" s="173" t="str">
        <f t="shared" si="53"/>
        <v>1w</v>
      </c>
      <c r="X2771" s="180">
        <f>_xll.qlCalendarAdvance(LiborCalendar,X2770,W2771,"f",FALSE)</f>
        <v>58390</v>
      </c>
      <c r="Y2771" s="174">
        <f>_xll.qlInterestRateIndexValueDate(IborIndex,X2771)</f>
        <v>58392</v>
      </c>
      <c r="Z2771" s="175" t="e">
        <v>#N/A</v>
      </c>
      <c r="AA2771" s="177" t="e">
        <v>#N/A</v>
      </c>
    </row>
    <row r="2772" spans="23:27" x14ac:dyDescent="0.2">
      <c r="W2772" s="173" t="str">
        <f t="shared" si="53"/>
        <v>1w</v>
      </c>
      <c r="X2772" s="180">
        <f>_xll.qlCalendarAdvance(LiborCalendar,X2771,W2772,"f",FALSE)</f>
        <v>58397</v>
      </c>
      <c r="Y2772" s="174">
        <f>_xll.qlInterestRateIndexValueDate(IborIndex,X2772)</f>
        <v>58399</v>
      </c>
      <c r="Z2772" s="175" t="e">
        <v>#N/A</v>
      </c>
      <c r="AA2772" s="177" t="e">
        <v>#N/A</v>
      </c>
    </row>
    <row r="2773" spans="23:27" x14ac:dyDescent="0.2">
      <c r="W2773" s="173" t="str">
        <f t="shared" ref="W2773:W2836" si="54">W2772</f>
        <v>1w</v>
      </c>
      <c r="X2773" s="180">
        <f>_xll.qlCalendarAdvance(LiborCalendar,X2772,W2773,"f",FALSE)</f>
        <v>58404</v>
      </c>
      <c r="Y2773" s="174">
        <f>_xll.qlInterestRateIndexValueDate(IborIndex,X2773)</f>
        <v>58406</v>
      </c>
      <c r="Z2773" s="175" t="e">
        <v>#N/A</v>
      </c>
      <c r="AA2773" s="177" t="e">
        <v>#N/A</v>
      </c>
    </row>
    <row r="2774" spans="23:27" x14ac:dyDescent="0.2">
      <c r="W2774" s="173" t="str">
        <f t="shared" si="54"/>
        <v>1w</v>
      </c>
      <c r="X2774" s="180">
        <f>_xll.qlCalendarAdvance(LiborCalendar,X2773,W2774,"f",FALSE)</f>
        <v>58411</v>
      </c>
      <c r="Y2774" s="174">
        <f>_xll.qlInterestRateIndexValueDate(IborIndex,X2774)</f>
        <v>58413</v>
      </c>
      <c r="Z2774" s="175" t="e">
        <v>#N/A</v>
      </c>
      <c r="AA2774" s="177" t="e">
        <v>#N/A</v>
      </c>
    </row>
    <row r="2775" spans="23:27" x14ac:dyDescent="0.2">
      <c r="W2775" s="173" t="str">
        <f t="shared" si="54"/>
        <v>1w</v>
      </c>
      <c r="X2775" s="180">
        <f>_xll.qlCalendarAdvance(LiborCalendar,X2774,W2775,"f",FALSE)</f>
        <v>58418</v>
      </c>
      <c r="Y2775" s="174">
        <f>_xll.qlInterestRateIndexValueDate(IborIndex,X2775)</f>
        <v>58420</v>
      </c>
      <c r="Z2775" s="175" t="e">
        <v>#N/A</v>
      </c>
      <c r="AA2775" s="177" t="e">
        <v>#N/A</v>
      </c>
    </row>
    <row r="2776" spans="23:27" x14ac:dyDescent="0.2">
      <c r="W2776" s="173" t="str">
        <f t="shared" si="54"/>
        <v>1w</v>
      </c>
      <c r="X2776" s="180">
        <f>_xll.qlCalendarAdvance(LiborCalendar,X2775,W2776,"f",FALSE)</f>
        <v>58425</v>
      </c>
      <c r="Y2776" s="174">
        <f>_xll.qlInterestRateIndexValueDate(IborIndex,X2776)</f>
        <v>58427</v>
      </c>
      <c r="Z2776" s="175" t="e">
        <v>#N/A</v>
      </c>
      <c r="AA2776" s="177" t="e">
        <v>#N/A</v>
      </c>
    </row>
    <row r="2777" spans="23:27" x14ac:dyDescent="0.2">
      <c r="W2777" s="173" t="str">
        <f t="shared" si="54"/>
        <v>1w</v>
      </c>
      <c r="X2777" s="180">
        <f>_xll.qlCalendarAdvance(LiborCalendar,X2776,W2777,"f",FALSE)</f>
        <v>58432</v>
      </c>
      <c r="Y2777" s="174">
        <f>_xll.qlInterestRateIndexValueDate(IborIndex,X2777)</f>
        <v>58438</v>
      </c>
      <c r="Z2777" s="175" t="e">
        <v>#N/A</v>
      </c>
      <c r="AA2777" s="177" t="e">
        <v>#N/A</v>
      </c>
    </row>
    <row r="2778" spans="23:27" x14ac:dyDescent="0.2">
      <c r="W2778" s="173" t="str">
        <f t="shared" si="54"/>
        <v>1w</v>
      </c>
      <c r="X2778" s="180">
        <f>_xll.qlCalendarAdvance(LiborCalendar,X2777,W2778,"f",FALSE)</f>
        <v>58439</v>
      </c>
      <c r="Y2778" s="174">
        <f>_xll.qlInterestRateIndexValueDate(IborIndex,X2778)</f>
        <v>58445</v>
      </c>
      <c r="Z2778" s="175" t="e">
        <v>#N/A</v>
      </c>
      <c r="AA2778" s="177" t="e">
        <v>#N/A</v>
      </c>
    </row>
    <row r="2779" spans="23:27" x14ac:dyDescent="0.2">
      <c r="W2779" s="173" t="str">
        <f t="shared" si="54"/>
        <v>1w</v>
      </c>
      <c r="X2779" s="180">
        <f>_xll.qlCalendarAdvance(LiborCalendar,X2778,W2779,"f",FALSE)</f>
        <v>58446</v>
      </c>
      <c r="Y2779" s="174">
        <f>_xll.qlInterestRateIndexValueDate(IborIndex,X2779)</f>
        <v>58448</v>
      </c>
      <c r="Z2779" s="175" t="e">
        <v>#N/A</v>
      </c>
      <c r="AA2779" s="177" t="e">
        <v>#N/A</v>
      </c>
    </row>
    <row r="2780" spans="23:27" x14ac:dyDescent="0.2">
      <c r="W2780" s="173" t="str">
        <f t="shared" si="54"/>
        <v>1w</v>
      </c>
      <c r="X2780" s="180">
        <f>_xll.qlCalendarAdvance(LiborCalendar,X2779,W2780,"f",FALSE)</f>
        <v>58453</v>
      </c>
      <c r="Y2780" s="174">
        <f>_xll.qlInterestRateIndexValueDate(IborIndex,X2780)</f>
        <v>58455</v>
      </c>
      <c r="Z2780" s="175" t="e">
        <v>#N/A</v>
      </c>
      <c r="AA2780" s="177" t="e">
        <v>#N/A</v>
      </c>
    </row>
    <row r="2781" spans="23:27" x14ac:dyDescent="0.2">
      <c r="W2781" s="173" t="str">
        <f t="shared" si="54"/>
        <v>1w</v>
      </c>
      <c r="X2781" s="180">
        <f>_xll.qlCalendarAdvance(LiborCalendar,X2780,W2781,"f",FALSE)</f>
        <v>58460</v>
      </c>
      <c r="Y2781" s="174">
        <f>_xll.qlInterestRateIndexValueDate(IborIndex,X2781)</f>
        <v>58462</v>
      </c>
      <c r="Z2781" s="175" t="e">
        <v>#N/A</v>
      </c>
      <c r="AA2781" s="177" t="e">
        <v>#N/A</v>
      </c>
    </row>
    <row r="2782" spans="23:27" x14ac:dyDescent="0.2">
      <c r="W2782" s="173" t="str">
        <f t="shared" si="54"/>
        <v>1w</v>
      </c>
      <c r="X2782" s="180">
        <f>_xll.qlCalendarAdvance(LiborCalendar,X2781,W2782,"f",FALSE)</f>
        <v>58467</v>
      </c>
      <c r="Y2782" s="174">
        <f>_xll.qlInterestRateIndexValueDate(IborIndex,X2782)</f>
        <v>58469</v>
      </c>
      <c r="Z2782" s="175" t="e">
        <v>#N/A</v>
      </c>
      <c r="AA2782" s="177" t="e">
        <v>#N/A</v>
      </c>
    </row>
    <row r="2783" spans="23:27" x14ac:dyDescent="0.2">
      <c r="W2783" s="173" t="str">
        <f t="shared" si="54"/>
        <v>1w</v>
      </c>
      <c r="X2783" s="180">
        <f>_xll.qlCalendarAdvance(LiborCalendar,X2782,W2783,"f",FALSE)</f>
        <v>58474</v>
      </c>
      <c r="Y2783" s="174">
        <f>_xll.qlInterestRateIndexValueDate(IborIndex,X2783)</f>
        <v>58476</v>
      </c>
      <c r="Z2783" s="175" t="e">
        <v>#N/A</v>
      </c>
      <c r="AA2783" s="177" t="e">
        <v>#N/A</v>
      </c>
    </row>
    <row r="2784" spans="23:27" x14ac:dyDescent="0.2">
      <c r="W2784" s="173" t="str">
        <f t="shared" si="54"/>
        <v>1w</v>
      </c>
      <c r="X2784" s="180">
        <f>_xll.qlCalendarAdvance(LiborCalendar,X2783,W2784,"f",FALSE)</f>
        <v>58481</v>
      </c>
      <c r="Y2784" s="174">
        <f>_xll.qlInterestRateIndexValueDate(IborIndex,X2784)</f>
        <v>58483</v>
      </c>
      <c r="Z2784" s="175" t="e">
        <v>#N/A</v>
      </c>
      <c r="AA2784" s="177" t="e">
        <v>#N/A</v>
      </c>
    </row>
    <row r="2785" spans="23:27" x14ac:dyDescent="0.2">
      <c r="W2785" s="173" t="str">
        <f t="shared" si="54"/>
        <v>1w</v>
      </c>
      <c r="X2785" s="180">
        <f>_xll.qlCalendarAdvance(LiborCalendar,X2784,W2785,"f",FALSE)</f>
        <v>58488</v>
      </c>
      <c r="Y2785" s="174">
        <f>_xll.qlInterestRateIndexValueDate(IborIndex,X2785)</f>
        <v>58490</v>
      </c>
      <c r="Z2785" s="175" t="e">
        <v>#N/A</v>
      </c>
      <c r="AA2785" s="177" t="e">
        <v>#N/A</v>
      </c>
    </row>
    <row r="2786" spans="23:27" x14ac:dyDescent="0.2">
      <c r="W2786" s="173" t="str">
        <f t="shared" si="54"/>
        <v>1w</v>
      </c>
      <c r="X2786" s="180">
        <f>_xll.qlCalendarAdvance(LiborCalendar,X2785,W2786,"f",FALSE)</f>
        <v>58495</v>
      </c>
      <c r="Y2786" s="174">
        <f>_xll.qlInterestRateIndexValueDate(IborIndex,X2786)</f>
        <v>58497</v>
      </c>
      <c r="Z2786" s="175" t="e">
        <v>#N/A</v>
      </c>
      <c r="AA2786" s="177" t="e">
        <v>#N/A</v>
      </c>
    </row>
    <row r="2787" spans="23:27" x14ac:dyDescent="0.2">
      <c r="W2787" s="173" t="str">
        <f t="shared" si="54"/>
        <v>1w</v>
      </c>
      <c r="X2787" s="180">
        <f>_xll.qlCalendarAdvance(LiborCalendar,X2786,W2787,"f",FALSE)</f>
        <v>58502</v>
      </c>
      <c r="Y2787" s="174">
        <f>_xll.qlInterestRateIndexValueDate(IborIndex,X2787)</f>
        <v>58504</v>
      </c>
      <c r="Z2787" s="175" t="e">
        <v>#N/A</v>
      </c>
      <c r="AA2787" s="177" t="e">
        <v>#N/A</v>
      </c>
    </row>
    <row r="2788" spans="23:27" x14ac:dyDescent="0.2">
      <c r="W2788" s="173" t="str">
        <f t="shared" si="54"/>
        <v>1w</v>
      </c>
      <c r="X2788" s="180">
        <f>_xll.qlCalendarAdvance(LiborCalendar,X2787,W2788,"f",FALSE)</f>
        <v>58509</v>
      </c>
      <c r="Y2788" s="174">
        <f>_xll.qlInterestRateIndexValueDate(IborIndex,X2788)</f>
        <v>58511</v>
      </c>
      <c r="Z2788" s="175" t="e">
        <v>#N/A</v>
      </c>
      <c r="AA2788" s="177" t="e">
        <v>#N/A</v>
      </c>
    </row>
    <row r="2789" spans="23:27" x14ac:dyDescent="0.2">
      <c r="W2789" s="173" t="str">
        <f t="shared" si="54"/>
        <v>1w</v>
      </c>
      <c r="X2789" s="180">
        <f>_xll.qlCalendarAdvance(LiborCalendar,X2788,W2789,"f",FALSE)</f>
        <v>58516</v>
      </c>
      <c r="Y2789" s="174">
        <f>_xll.qlInterestRateIndexValueDate(IborIndex,X2789)</f>
        <v>58518</v>
      </c>
      <c r="Z2789" s="175" t="e">
        <v>#N/A</v>
      </c>
      <c r="AA2789" s="177" t="e">
        <v>#N/A</v>
      </c>
    </row>
    <row r="2790" spans="23:27" x14ac:dyDescent="0.2">
      <c r="W2790" s="173" t="str">
        <f t="shared" si="54"/>
        <v>1w</v>
      </c>
      <c r="X2790" s="180">
        <f>_xll.qlCalendarAdvance(LiborCalendar,X2789,W2790,"f",FALSE)</f>
        <v>58523</v>
      </c>
      <c r="Y2790" s="174">
        <f>_xll.qlInterestRateIndexValueDate(IborIndex,X2790)</f>
        <v>58525</v>
      </c>
      <c r="Z2790" s="175" t="e">
        <v>#N/A</v>
      </c>
      <c r="AA2790" s="177" t="e">
        <v>#N/A</v>
      </c>
    </row>
    <row r="2791" spans="23:27" x14ac:dyDescent="0.2">
      <c r="W2791" s="173" t="str">
        <f t="shared" si="54"/>
        <v>1w</v>
      </c>
      <c r="X2791" s="180">
        <f>_xll.qlCalendarAdvance(LiborCalendar,X2790,W2791,"f",FALSE)</f>
        <v>58530</v>
      </c>
      <c r="Y2791" s="174">
        <f>_xll.qlInterestRateIndexValueDate(IborIndex,X2791)</f>
        <v>58532</v>
      </c>
      <c r="Z2791" s="175" t="e">
        <v>#N/A</v>
      </c>
      <c r="AA2791" s="177" t="e">
        <v>#N/A</v>
      </c>
    </row>
    <row r="2792" spans="23:27" x14ac:dyDescent="0.2">
      <c r="W2792" s="173" t="str">
        <f t="shared" si="54"/>
        <v>1w</v>
      </c>
      <c r="X2792" s="180">
        <f>_xll.qlCalendarAdvance(LiborCalendar,X2791,W2792,"f",FALSE)</f>
        <v>58537</v>
      </c>
      <c r="Y2792" s="174">
        <f>_xll.qlInterestRateIndexValueDate(IborIndex,X2792)</f>
        <v>58539</v>
      </c>
      <c r="Z2792" s="175" t="e">
        <v>#N/A</v>
      </c>
      <c r="AA2792" s="177" t="e">
        <v>#N/A</v>
      </c>
    </row>
    <row r="2793" spans="23:27" x14ac:dyDescent="0.2">
      <c r="W2793" s="173" t="str">
        <f t="shared" si="54"/>
        <v>1w</v>
      </c>
      <c r="X2793" s="180">
        <f>_xll.qlCalendarAdvance(LiborCalendar,X2792,W2793,"f",FALSE)</f>
        <v>58544</v>
      </c>
      <c r="Y2793" s="174">
        <f>_xll.qlInterestRateIndexValueDate(IborIndex,X2793)</f>
        <v>58546</v>
      </c>
      <c r="Z2793" s="175" t="e">
        <v>#N/A</v>
      </c>
      <c r="AA2793" s="177" t="e">
        <v>#N/A</v>
      </c>
    </row>
    <row r="2794" spans="23:27" x14ac:dyDescent="0.2">
      <c r="W2794" s="173" t="str">
        <f t="shared" si="54"/>
        <v>1w</v>
      </c>
      <c r="X2794" s="180">
        <f>_xll.qlCalendarAdvance(LiborCalendar,X2793,W2794,"f",FALSE)</f>
        <v>58551</v>
      </c>
      <c r="Y2794" s="174">
        <f>_xll.qlInterestRateIndexValueDate(IborIndex,X2794)</f>
        <v>58553</v>
      </c>
      <c r="Z2794" s="175" t="e">
        <v>#N/A</v>
      </c>
      <c r="AA2794" s="177" t="e">
        <v>#N/A</v>
      </c>
    </row>
    <row r="2795" spans="23:27" x14ac:dyDescent="0.2">
      <c r="W2795" s="173" t="str">
        <f t="shared" si="54"/>
        <v>1w</v>
      </c>
      <c r="X2795" s="180">
        <f>_xll.qlCalendarAdvance(LiborCalendar,X2794,W2795,"f",FALSE)</f>
        <v>58558</v>
      </c>
      <c r="Y2795" s="174">
        <f>_xll.qlInterestRateIndexValueDate(IborIndex,X2795)</f>
        <v>58561</v>
      </c>
      <c r="Z2795" s="175" t="e">
        <v>#N/A</v>
      </c>
      <c r="AA2795" s="177" t="e">
        <v>#N/A</v>
      </c>
    </row>
    <row r="2796" spans="23:27" x14ac:dyDescent="0.2">
      <c r="W2796" s="173" t="str">
        <f t="shared" si="54"/>
        <v>1w</v>
      </c>
      <c r="X2796" s="180">
        <f>_xll.qlCalendarAdvance(LiborCalendar,X2795,W2796,"f",FALSE)</f>
        <v>58565</v>
      </c>
      <c r="Y2796" s="174">
        <f>_xll.qlInterestRateIndexValueDate(IborIndex,X2796)</f>
        <v>58567</v>
      </c>
      <c r="Z2796" s="175" t="e">
        <v>#N/A</v>
      </c>
      <c r="AA2796" s="177" t="e">
        <v>#N/A</v>
      </c>
    </row>
    <row r="2797" spans="23:27" x14ac:dyDescent="0.2">
      <c r="W2797" s="173" t="str">
        <f t="shared" si="54"/>
        <v>1w</v>
      </c>
      <c r="X2797" s="180">
        <f>_xll.qlCalendarAdvance(LiborCalendar,X2796,W2797,"f",FALSE)</f>
        <v>58572</v>
      </c>
      <c r="Y2797" s="174">
        <f>_xll.qlInterestRateIndexValueDate(IborIndex,X2797)</f>
        <v>58574</v>
      </c>
      <c r="Z2797" s="175" t="e">
        <v>#N/A</v>
      </c>
      <c r="AA2797" s="177" t="e">
        <v>#N/A</v>
      </c>
    </row>
    <row r="2798" spans="23:27" x14ac:dyDescent="0.2">
      <c r="W2798" s="173" t="str">
        <f t="shared" si="54"/>
        <v>1w</v>
      </c>
      <c r="X2798" s="180">
        <f>_xll.qlCalendarAdvance(LiborCalendar,X2797,W2798,"f",FALSE)</f>
        <v>58579</v>
      </c>
      <c r="Y2798" s="174">
        <f>_xll.qlInterestRateIndexValueDate(IborIndex,X2798)</f>
        <v>58581</v>
      </c>
      <c r="Z2798" s="175" t="e">
        <v>#N/A</v>
      </c>
      <c r="AA2798" s="177" t="e">
        <v>#N/A</v>
      </c>
    </row>
    <row r="2799" spans="23:27" x14ac:dyDescent="0.2">
      <c r="W2799" s="173" t="str">
        <f t="shared" si="54"/>
        <v>1w</v>
      </c>
      <c r="X2799" s="180">
        <f>_xll.qlCalendarAdvance(LiborCalendar,X2798,W2799,"f",FALSE)</f>
        <v>58586</v>
      </c>
      <c r="Y2799" s="174">
        <f>_xll.qlInterestRateIndexValueDate(IborIndex,X2799)</f>
        <v>58588</v>
      </c>
      <c r="Z2799" s="175" t="e">
        <v>#N/A</v>
      </c>
      <c r="AA2799" s="177" t="e">
        <v>#N/A</v>
      </c>
    </row>
    <row r="2800" spans="23:27" x14ac:dyDescent="0.2">
      <c r="W2800" s="173" t="str">
        <f t="shared" si="54"/>
        <v>1w</v>
      </c>
      <c r="X2800" s="180">
        <f>_xll.qlCalendarAdvance(LiborCalendar,X2799,W2800,"f",FALSE)</f>
        <v>58593</v>
      </c>
      <c r="Y2800" s="174">
        <f>_xll.qlInterestRateIndexValueDate(IborIndex,X2800)</f>
        <v>58595</v>
      </c>
      <c r="Z2800" s="175" t="e">
        <v>#N/A</v>
      </c>
      <c r="AA2800" s="177" t="e">
        <v>#N/A</v>
      </c>
    </row>
    <row r="2801" spans="23:27" x14ac:dyDescent="0.2">
      <c r="W2801" s="173" t="str">
        <f t="shared" si="54"/>
        <v>1w</v>
      </c>
      <c r="X2801" s="180">
        <f>_xll.qlCalendarAdvance(LiborCalendar,X2800,W2801,"f",FALSE)</f>
        <v>58600</v>
      </c>
      <c r="Y2801" s="174">
        <f>_xll.qlInterestRateIndexValueDate(IborIndex,X2801)</f>
        <v>58602</v>
      </c>
      <c r="Z2801" s="175" t="e">
        <v>#N/A</v>
      </c>
      <c r="AA2801" s="177" t="e">
        <v>#N/A</v>
      </c>
    </row>
    <row r="2802" spans="23:27" x14ac:dyDescent="0.2">
      <c r="W2802" s="173" t="str">
        <f t="shared" si="54"/>
        <v>1w</v>
      </c>
      <c r="X2802" s="180">
        <f>_xll.qlCalendarAdvance(LiborCalendar,X2801,W2802,"f",FALSE)</f>
        <v>58607</v>
      </c>
      <c r="Y2802" s="174">
        <f>_xll.qlInterestRateIndexValueDate(IborIndex,X2802)</f>
        <v>58609</v>
      </c>
      <c r="Z2802" s="175" t="e">
        <v>#N/A</v>
      </c>
      <c r="AA2802" s="177" t="e">
        <v>#N/A</v>
      </c>
    </row>
    <row r="2803" spans="23:27" x14ac:dyDescent="0.2">
      <c r="W2803" s="173" t="str">
        <f t="shared" si="54"/>
        <v>1w</v>
      </c>
      <c r="X2803" s="180">
        <f>_xll.qlCalendarAdvance(LiborCalendar,X2802,W2803,"f",FALSE)</f>
        <v>58614</v>
      </c>
      <c r="Y2803" s="174">
        <f>_xll.qlInterestRateIndexValueDate(IborIndex,X2803)</f>
        <v>58616</v>
      </c>
      <c r="Z2803" s="175" t="e">
        <v>#N/A</v>
      </c>
      <c r="AA2803" s="177" t="e">
        <v>#N/A</v>
      </c>
    </row>
    <row r="2804" spans="23:27" x14ac:dyDescent="0.2">
      <c r="W2804" s="173" t="str">
        <f t="shared" si="54"/>
        <v>1w</v>
      </c>
      <c r="X2804" s="180">
        <f>_xll.qlCalendarAdvance(LiborCalendar,X2803,W2804,"f",FALSE)</f>
        <v>58621</v>
      </c>
      <c r="Y2804" s="174">
        <f>_xll.qlInterestRateIndexValueDate(IborIndex,X2804)</f>
        <v>58623</v>
      </c>
      <c r="Z2804" s="175" t="e">
        <v>#N/A</v>
      </c>
      <c r="AA2804" s="177" t="e">
        <v>#N/A</v>
      </c>
    </row>
    <row r="2805" spans="23:27" x14ac:dyDescent="0.2">
      <c r="W2805" s="173" t="str">
        <f t="shared" si="54"/>
        <v>1w</v>
      </c>
      <c r="X2805" s="180">
        <f>_xll.qlCalendarAdvance(LiborCalendar,X2804,W2805,"f",FALSE)</f>
        <v>58628</v>
      </c>
      <c r="Y2805" s="174">
        <f>_xll.qlInterestRateIndexValueDate(IborIndex,X2805)</f>
        <v>58630</v>
      </c>
      <c r="Z2805" s="175" t="e">
        <v>#N/A</v>
      </c>
      <c r="AA2805" s="177" t="e">
        <v>#N/A</v>
      </c>
    </row>
    <row r="2806" spans="23:27" x14ac:dyDescent="0.2">
      <c r="W2806" s="173" t="str">
        <f t="shared" si="54"/>
        <v>1w</v>
      </c>
      <c r="X2806" s="180">
        <f>_xll.qlCalendarAdvance(LiborCalendar,X2805,W2806,"f",FALSE)</f>
        <v>58635</v>
      </c>
      <c r="Y2806" s="174">
        <f>_xll.qlInterestRateIndexValueDate(IborIndex,X2806)</f>
        <v>58637</v>
      </c>
      <c r="Z2806" s="175" t="e">
        <v>#N/A</v>
      </c>
      <c r="AA2806" s="177" t="e">
        <v>#N/A</v>
      </c>
    </row>
    <row r="2807" spans="23:27" x14ac:dyDescent="0.2">
      <c r="W2807" s="173" t="str">
        <f t="shared" si="54"/>
        <v>1w</v>
      </c>
      <c r="X2807" s="180">
        <f>_xll.qlCalendarAdvance(LiborCalendar,X2806,W2807,"f",FALSE)</f>
        <v>58642</v>
      </c>
      <c r="Y2807" s="174">
        <f>_xll.qlInterestRateIndexValueDate(IborIndex,X2807)</f>
        <v>58644</v>
      </c>
      <c r="Z2807" s="175" t="e">
        <v>#N/A</v>
      </c>
      <c r="AA2807" s="177" t="e">
        <v>#N/A</v>
      </c>
    </row>
    <row r="2808" spans="23:27" x14ac:dyDescent="0.2">
      <c r="W2808" s="173" t="str">
        <f t="shared" si="54"/>
        <v>1w</v>
      </c>
      <c r="X2808" s="180">
        <f>_xll.qlCalendarAdvance(LiborCalendar,X2807,W2808,"f",FALSE)</f>
        <v>58649</v>
      </c>
      <c r="Y2808" s="174">
        <f>_xll.qlInterestRateIndexValueDate(IborIndex,X2808)</f>
        <v>58651</v>
      </c>
      <c r="Z2808" s="175" t="e">
        <v>#N/A</v>
      </c>
      <c r="AA2808" s="177" t="e">
        <v>#N/A</v>
      </c>
    </row>
    <row r="2809" spans="23:27" x14ac:dyDescent="0.2">
      <c r="W2809" s="173" t="str">
        <f t="shared" si="54"/>
        <v>1w</v>
      </c>
      <c r="X2809" s="180">
        <f>_xll.qlCalendarAdvance(LiborCalendar,X2808,W2809,"f",FALSE)</f>
        <v>58656</v>
      </c>
      <c r="Y2809" s="174">
        <f>_xll.qlInterestRateIndexValueDate(IborIndex,X2809)</f>
        <v>58658</v>
      </c>
      <c r="Z2809" s="175" t="e">
        <v>#N/A</v>
      </c>
      <c r="AA2809" s="177" t="e">
        <v>#N/A</v>
      </c>
    </row>
    <row r="2810" spans="23:27" x14ac:dyDescent="0.2">
      <c r="W2810" s="173" t="str">
        <f t="shared" si="54"/>
        <v>1w</v>
      </c>
      <c r="X2810" s="180">
        <f>_xll.qlCalendarAdvance(LiborCalendar,X2809,W2810,"f",FALSE)</f>
        <v>58663</v>
      </c>
      <c r="Y2810" s="174">
        <f>_xll.qlInterestRateIndexValueDate(IborIndex,X2810)</f>
        <v>58665</v>
      </c>
      <c r="Z2810" s="175" t="e">
        <v>#N/A</v>
      </c>
      <c r="AA2810" s="177" t="e">
        <v>#N/A</v>
      </c>
    </row>
    <row r="2811" spans="23:27" x14ac:dyDescent="0.2">
      <c r="W2811" s="173" t="str">
        <f t="shared" si="54"/>
        <v>1w</v>
      </c>
      <c r="X2811" s="180">
        <f>_xll.qlCalendarAdvance(LiborCalendar,X2810,W2811,"f",FALSE)</f>
        <v>58670</v>
      </c>
      <c r="Y2811" s="174">
        <f>_xll.qlInterestRateIndexValueDate(IborIndex,X2811)</f>
        <v>58672</v>
      </c>
      <c r="Z2811" s="175" t="e">
        <v>#N/A</v>
      </c>
      <c r="AA2811" s="177" t="e">
        <v>#N/A</v>
      </c>
    </row>
    <row r="2812" spans="23:27" x14ac:dyDescent="0.2">
      <c r="W2812" s="173" t="str">
        <f t="shared" si="54"/>
        <v>1w</v>
      </c>
      <c r="X2812" s="180">
        <f>_xll.qlCalendarAdvance(LiborCalendar,X2811,W2812,"f",FALSE)</f>
        <v>58677</v>
      </c>
      <c r="Y2812" s="174">
        <f>_xll.qlInterestRateIndexValueDate(IborIndex,X2812)</f>
        <v>58679</v>
      </c>
      <c r="Z2812" s="175" t="e">
        <v>#N/A</v>
      </c>
      <c r="AA2812" s="177" t="e">
        <v>#N/A</v>
      </c>
    </row>
    <row r="2813" spans="23:27" x14ac:dyDescent="0.2">
      <c r="W2813" s="173" t="str">
        <f t="shared" si="54"/>
        <v>1w</v>
      </c>
      <c r="X2813" s="180">
        <f>_xll.qlCalendarAdvance(LiborCalendar,X2812,W2813,"f",FALSE)</f>
        <v>58684</v>
      </c>
      <c r="Y2813" s="174">
        <f>_xll.qlInterestRateIndexValueDate(IborIndex,X2813)</f>
        <v>58686</v>
      </c>
      <c r="Z2813" s="175" t="e">
        <v>#N/A</v>
      </c>
      <c r="AA2813" s="177" t="e">
        <v>#N/A</v>
      </c>
    </row>
    <row r="2814" spans="23:27" x14ac:dyDescent="0.2">
      <c r="W2814" s="173" t="str">
        <f t="shared" si="54"/>
        <v>1w</v>
      </c>
      <c r="X2814" s="180">
        <f>_xll.qlCalendarAdvance(LiborCalendar,X2813,W2814,"f",FALSE)</f>
        <v>58691</v>
      </c>
      <c r="Y2814" s="174">
        <f>_xll.qlInterestRateIndexValueDate(IborIndex,X2814)</f>
        <v>58693</v>
      </c>
      <c r="Z2814" s="175" t="e">
        <v>#N/A</v>
      </c>
      <c r="AA2814" s="177" t="e">
        <v>#N/A</v>
      </c>
    </row>
    <row r="2815" spans="23:27" x14ac:dyDescent="0.2">
      <c r="W2815" s="173" t="str">
        <f t="shared" si="54"/>
        <v>1w</v>
      </c>
      <c r="X2815" s="180">
        <f>_xll.qlCalendarAdvance(LiborCalendar,X2814,W2815,"f",FALSE)</f>
        <v>58698</v>
      </c>
      <c r="Y2815" s="174">
        <f>_xll.qlInterestRateIndexValueDate(IborIndex,X2815)</f>
        <v>58700</v>
      </c>
      <c r="Z2815" s="175" t="e">
        <v>#N/A</v>
      </c>
      <c r="AA2815" s="177" t="e">
        <v>#N/A</v>
      </c>
    </row>
    <row r="2816" spans="23:27" x14ac:dyDescent="0.2">
      <c r="W2816" s="173" t="str">
        <f t="shared" si="54"/>
        <v>1w</v>
      </c>
      <c r="X2816" s="180">
        <f>_xll.qlCalendarAdvance(LiborCalendar,X2815,W2816,"f",FALSE)</f>
        <v>58705</v>
      </c>
      <c r="Y2816" s="174">
        <f>_xll.qlInterestRateIndexValueDate(IborIndex,X2816)</f>
        <v>58707</v>
      </c>
      <c r="Z2816" s="175" t="e">
        <v>#N/A</v>
      </c>
      <c r="AA2816" s="177" t="e">
        <v>#N/A</v>
      </c>
    </row>
    <row r="2817" spans="23:27" x14ac:dyDescent="0.2">
      <c r="W2817" s="173" t="str">
        <f t="shared" si="54"/>
        <v>1w</v>
      </c>
      <c r="X2817" s="180">
        <f>_xll.qlCalendarAdvance(LiborCalendar,X2816,W2817,"f",FALSE)</f>
        <v>58712</v>
      </c>
      <c r="Y2817" s="174">
        <f>_xll.qlInterestRateIndexValueDate(IborIndex,X2817)</f>
        <v>58714</v>
      </c>
      <c r="Z2817" s="175" t="e">
        <v>#N/A</v>
      </c>
      <c r="AA2817" s="177" t="e">
        <v>#N/A</v>
      </c>
    </row>
    <row r="2818" spans="23:27" x14ac:dyDescent="0.2">
      <c r="W2818" s="173" t="str">
        <f t="shared" si="54"/>
        <v>1w</v>
      </c>
      <c r="X2818" s="180">
        <f>_xll.qlCalendarAdvance(LiborCalendar,X2817,W2818,"f",FALSE)</f>
        <v>58719</v>
      </c>
      <c r="Y2818" s="174">
        <f>_xll.qlInterestRateIndexValueDate(IborIndex,X2818)</f>
        <v>58721</v>
      </c>
      <c r="Z2818" s="175" t="e">
        <v>#N/A</v>
      </c>
      <c r="AA2818" s="177" t="e">
        <v>#N/A</v>
      </c>
    </row>
    <row r="2819" spans="23:27" x14ac:dyDescent="0.2">
      <c r="W2819" s="173" t="str">
        <f t="shared" si="54"/>
        <v>1w</v>
      </c>
      <c r="X2819" s="180">
        <f>_xll.qlCalendarAdvance(LiborCalendar,X2818,W2819,"f",FALSE)</f>
        <v>58726</v>
      </c>
      <c r="Y2819" s="174">
        <f>_xll.qlInterestRateIndexValueDate(IborIndex,X2819)</f>
        <v>58728</v>
      </c>
      <c r="Z2819" s="175" t="e">
        <v>#N/A</v>
      </c>
      <c r="AA2819" s="177" t="e">
        <v>#N/A</v>
      </c>
    </row>
    <row r="2820" spans="23:27" x14ac:dyDescent="0.2">
      <c r="W2820" s="173" t="str">
        <f t="shared" si="54"/>
        <v>1w</v>
      </c>
      <c r="X2820" s="180">
        <f>_xll.qlCalendarAdvance(LiborCalendar,X2819,W2820,"f",FALSE)</f>
        <v>58733</v>
      </c>
      <c r="Y2820" s="174">
        <f>_xll.qlInterestRateIndexValueDate(IborIndex,X2820)</f>
        <v>58735</v>
      </c>
      <c r="Z2820" s="175" t="e">
        <v>#N/A</v>
      </c>
      <c r="AA2820" s="177" t="e">
        <v>#N/A</v>
      </c>
    </row>
    <row r="2821" spans="23:27" x14ac:dyDescent="0.2">
      <c r="W2821" s="173" t="str">
        <f t="shared" si="54"/>
        <v>1w</v>
      </c>
      <c r="X2821" s="180">
        <f>_xll.qlCalendarAdvance(LiborCalendar,X2820,W2821,"f",FALSE)</f>
        <v>58740</v>
      </c>
      <c r="Y2821" s="174">
        <f>_xll.qlInterestRateIndexValueDate(IborIndex,X2821)</f>
        <v>58742</v>
      </c>
      <c r="Z2821" s="175" t="e">
        <v>#N/A</v>
      </c>
      <c r="AA2821" s="177" t="e">
        <v>#N/A</v>
      </c>
    </row>
    <row r="2822" spans="23:27" x14ac:dyDescent="0.2">
      <c r="W2822" s="173" t="str">
        <f t="shared" si="54"/>
        <v>1w</v>
      </c>
      <c r="X2822" s="180">
        <f>_xll.qlCalendarAdvance(LiborCalendar,X2821,W2822,"f",FALSE)</f>
        <v>58747</v>
      </c>
      <c r="Y2822" s="174">
        <f>_xll.qlInterestRateIndexValueDate(IborIndex,X2822)</f>
        <v>58749</v>
      </c>
      <c r="Z2822" s="175" t="e">
        <v>#N/A</v>
      </c>
      <c r="AA2822" s="177" t="e">
        <v>#N/A</v>
      </c>
    </row>
    <row r="2823" spans="23:27" x14ac:dyDescent="0.2">
      <c r="W2823" s="173" t="str">
        <f t="shared" si="54"/>
        <v>1w</v>
      </c>
      <c r="X2823" s="180">
        <f>_xll.qlCalendarAdvance(LiborCalendar,X2822,W2823,"f",FALSE)</f>
        <v>58754</v>
      </c>
      <c r="Y2823" s="174">
        <f>_xll.qlInterestRateIndexValueDate(IborIndex,X2823)</f>
        <v>58756</v>
      </c>
      <c r="Z2823" s="175" t="e">
        <v>#N/A</v>
      </c>
      <c r="AA2823" s="177" t="e">
        <v>#N/A</v>
      </c>
    </row>
    <row r="2824" spans="23:27" x14ac:dyDescent="0.2">
      <c r="W2824" s="173" t="str">
        <f t="shared" si="54"/>
        <v>1w</v>
      </c>
      <c r="X2824" s="180">
        <f>_xll.qlCalendarAdvance(LiborCalendar,X2823,W2824,"f",FALSE)</f>
        <v>58761</v>
      </c>
      <c r="Y2824" s="174">
        <f>_xll.qlInterestRateIndexValueDate(IborIndex,X2824)</f>
        <v>58763</v>
      </c>
      <c r="Z2824" s="175" t="e">
        <v>#N/A</v>
      </c>
      <c r="AA2824" s="177" t="e">
        <v>#N/A</v>
      </c>
    </row>
    <row r="2825" spans="23:27" x14ac:dyDescent="0.2">
      <c r="W2825" s="173" t="str">
        <f t="shared" si="54"/>
        <v>1w</v>
      </c>
      <c r="X2825" s="180">
        <f>_xll.qlCalendarAdvance(LiborCalendar,X2824,W2825,"f",FALSE)</f>
        <v>58768</v>
      </c>
      <c r="Y2825" s="174">
        <f>_xll.qlInterestRateIndexValueDate(IborIndex,X2825)</f>
        <v>58770</v>
      </c>
      <c r="Z2825" s="175" t="e">
        <v>#N/A</v>
      </c>
      <c r="AA2825" s="177" t="e">
        <v>#N/A</v>
      </c>
    </row>
    <row r="2826" spans="23:27" x14ac:dyDescent="0.2">
      <c r="W2826" s="173" t="str">
        <f t="shared" si="54"/>
        <v>1w</v>
      </c>
      <c r="X2826" s="180">
        <f>_xll.qlCalendarAdvance(LiborCalendar,X2825,W2826,"f",FALSE)</f>
        <v>58775</v>
      </c>
      <c r="Y2826" s="174">
        <f>_xll.qlInterestRateIndexValueDate(IborIndex,X2826)</f>
        <v>58777</v>
      </c>
      <c r="Z2826" s="175" t="e">
        <v>#N/A</v>
      </c>
      <c r="AA2826" s="177" t="e">
        <v>#N/A</v>
      </c>
    </row>
    <row r="2827" spans="23:27" x14ac:dyDescent="0.2">
      <c r="W2827" s="173" t="str">
        <f t="shared" si="54"/>
        <v>1w</v>
      </c>
      <c r="X2827" s="180">
        <f>_xll.qlCalendarAdvance(LiborCalendar,X2826,W2827,"f",FALSE)</f>
        <v>58782</v>
      </c>
      <c r="Y2827" s="174">
        <f>_xll.qlInterestRateIndexValueDate(IborIndex,X2827)</f>
        <v>58784</v>
      </c>
      <c r="Z2827" s="175" t="e">
        <v>#N/A</v>
      </c>
      <c r="AA2827" s="177" t="e">
        <v>#N/A</v>
      </c>
    </row>
    <row r="2828" spans="23:27" x14ac:dyDescent="0.2">
      <c r="W2828" s="173" t="str">
        <f t="shared" si="54"/>
        <v>1w</v>
      </c>
      <c r="X2828" s="180">
        <f>_xll.qlCalendarAdvance(LiborCalendar,X2827,W2828,"f",FALSE)</f>
        <v>58789</v>
      </c>
      <c r="Y2828" s="174">
        <f>_xll.qlInterestRateIndexValueDate(IborIndex,X2828)</f>
        <v>58791</v>
      </c>
      <c r="Z2828" s="175" t="e">
        <v>#N/A</v>
      </c>
      <c r="AA2828" s="177" t="e">
        <v>#N/A</v>
      </c>
    </row>
    <row r="2829" spans="23:27" x14ac:dyDescent="0.2">
      <c r="W2829" s="173" t="str">
        <f t="shared" si="54"/>
        <v>1w</v>
      </c>
      <c r="X2829" s="180">
        <f>_xll.qlCalendarAdvance(LiborCalendar,X2828,W2829,"f",FALSE)</f>
        <v>58796</v>
      </c>
      <c r="Y2829" s="174">
        <f>_xll.qlInterestRateIndexValueDate(IborIndex,X2829)</f>
        <v>58799</v>
      </c>
      <c r="Z2829" s="175" t="e">
        <v>#N/A</v>
      </c>
      <c r="AA2829" s="177" t="e">
        <v>#N/A</v>
      </c>
    </row>
    <row r="2830" spans="23:27" x14ac:dyDescent="0.2">
      <c r="W2830" s="173" t="str">
        <f t="shared" si="54"/>
        <v>1w</v>
      </c>
      <c r="X2830" s="180">
        <f>_xll.qlCalendarAdvance(LiborCalendar,X2829,W2830,"f",FALSE)</f>
        <v>58804</v>
      </c>
      <c r="Y2830" s="174">
        <f>_xll.qlInterestRateIndexValueDate(IborIndex,X2830)</f>
        <v>58810</v>
      </c>
      <c r="Z2830" s="175" t="e">
        <v>#N/A</v>
      </c>
      <c r="AA2830" s="177" t="e">
        <v>#N/A</v>
      </c>
    </row>
    <row r="2831" spans="23:27" x14ac:dyDescent="0.2">
      <c r="W2831" s="173" t="str">
        <f t="shared" si="54"/>
        <v>1w</v>
      </c>
      <c r="X2831" s="180">
        <f>_xll.qlCalendarAdvance(LiborCalendar,X2830,W2831,"f",FALSE)</f>
        <v>58811</v>
      </c>
      <c r="Y2831" s="174">
        <f>_xll.qlInterestRateIndexValueDate(IborIndex,X2831)</f>
        <v>58813</v>
      </c>
      <c r="Z2831" s="175" t="e">
        <v>#N/A</v>
      </c>
      <c r="AA2831" s="177" t="e">
        <v>#N/A</v>
      </c>
    </row>
    <row r="2832" spans="23:27" x14ac:dyDescent="0.2">
      <c r="W2832" s="173" t="str">
        <f t="shared" si="54"/>
        <v>1w</v>
      </c>
      <c r="X2832" s="180">
        <f>_xll.qlCalendarAdvance(LiborCalendar,X2831,W2832,"f",FALSE)</f>
        <v>58818</v>
      </c>
      <c r="Y2832" s="174">
        <f>_xll.qlInterestRateIndexValueDate(IborIndex,X2832)</f>
        <v>58820</v>
      </c>
      <c r="Z2832" s="175" t="e">
        <v>#N/A</v>
      </c>
      <c r="AA2832" s="177" t="e">
        <v>#N/A</v>
      </c>
    </row>
    <row r="2833" spans="23:27" x14ac:dyDescent="0.2">
      <c r="W2833" s="173" t="str">
        <f t="shared" si="54"/>
        <v>1w</v>
      </c>
      <c r="X2833" s="180">
        <f>_xll.qlCalendarAdvance(LiborCalendar,X2832,W2833,"f",FALSE)</f>
        <v>58825</v>
      </c>
      <c r="Y2833" s="174">
        <f>_xll.qlInterestRateIndexValueDate(IborIndex,X2833)</f>
        <v>58827</v>
      </c>
      <c r="Z2833" s="175" t="e">
        <v>#N/A</v>
      </c>
      <c r="AA2833" s="177" t="e">
        <v>#N/A</v>
      </c>
    </row>
    <row r="2834" spans="23:27" x14ac:dyDescent="0.2">
      <c r="W2834" s="173" t="str">
        <f t="shared" si="54"/>
        <v>1w</v>
      </c>
      <c r="X2834" s="180">
        <f>_xll.qlCalendarAdvance(LiborCalendar,X2833,W2834,"f",FALSE)</f>
        <v>58832</v>
      </c>
      <c r="Y2834" s="174">
        <f>_xll.qlInterestRateIndexValueDate(IborIndex,X2834)</f>
        <v>58834</v>
      </c>
      <c r="Z2834" s="175" t="e">
        <v>#N/A</v>
      </c>
      <c r="AA2834" s="177" t="e">
        <v>#N/A</v>
      </c>
    </row>
    <row r="2835" spans="23:27" x14ac:dyDescent="0.2">
      <c r="W2835" s="173" t="str">
        <f t="shared" si="54"/>
        <v>1w</v>
      </c>
      <c r="X2835" s="180">
        <f>_xll.qlCalendarAdvance(LiborCalendar,X2834,W2835,"f",FALSE)</f>
        <v>58839</v>
      </c>
      <c r="Y2835" s="174">
        <f>_xll.qlInterestRateIndexValueDate(IborIndex,X2835)</f>
        <v>58841</v>
      </c>
      <c r="Z2835" s="175" t="e">
        <v>#N/A</v>
      </c>
      <c r="AA2835" s="177" t="e">
        <v>#N/A</v>
      </c>
    </row>
    <row r="2836" spans="23:27" x14ac:dyDescent="0.2">
      <c r="W2836" s="173" t="str">
        <f t="shared" si="54"/>
        <v>1w</v>
      </c>
      <c r="X2836" s="180">
        <f>_xll.qlCalendarAdvance(LiborCalendar,X2835,W2836,"f",FALSE)</f>
        <v>58846</v>
      </c>
      <c r="Y2836" s="174">
        <f>_xll.qlInterestRateIndexValueDate(IborIndex,X2836)</f>
        <v>58851</v>
      </c>
      <c r="Z2836" s="175" t="e">
        <v>#N/A</v>
      </c>
      <c r="AA2836" s="177" t="e">
        <v>#N/A</v>
      </c>
    </row>
    <row r="2837" spans="23:27" x14ac:dyDescent="0.2">
      <c r="W2837" s="173" t="str">
        <f t="shared" ref="W2837:W2900" si="55">W2836</f>
        <v>1w</v>
      </c>
      <c r="X2837" s="180">
        <f>_xll.qlCalendarAdvance(LiborCalendar,X2836,W2837,"f",FALSE)</f>
        <v>58853</v>
      </c>
      <c r="Y2837" s="174">
        <f>_xll.qlInterestRateIndexValueDate(IborIndex,X2837)</f>
        <v>58855</v>
      </c>
      <c r="Z2837" s="175" t="e">
        <v>#N/A</v>
      </c>
      <c r="AA2837" s="177" t="e">
        <v>#N/A</v>
      </c>
    </row>
    <row r="2838" spans="23:27" x14ac:dyDescent="0.2">
      <c r="W2838" s="173" t="str">
        <f t="shared" si="55"/>
        <v>1w</v>
      </c>
      <c r="X2838" s="180">
        <f>_xll.qlCalendarAdvance(LiborCalendar,X2837,W2838,"f",FALSE)</f>
        <v>58860</v>
      </c>
      <c r="Y2838" s="174">
        <f>_xll.qlInterestRateIndexValueDate(IborIndex,X2838)</f>
        <v>58862</v>
      </c>
      <c r="Z2838" s="175" t="e">
        <v>#N/A</v>
      </c>
      <c r="AA2838" s="177" t="e">
        <v>#N/A</v>
      </c>
    </row>
    <row r="2839" spans="23:27" x14ac:dyDescent="0.2">
      <c r="W2839" s="173" t="str">
        <f t="shared" si="55"/>
        <v>1w</v>
      </c>
      <c r="X2839" s="180">
        <f>_xll.qlCalendarAdvance(LiborCalendar,X2838,W2839,"f",FALSE)</f>
        <v>58867</v>
      </c>
      <c r="Y2839" s="174">
        <f>_xll.qlInterestRateIndexValueDate(IborIndex,X2839)</f>
        <v>58869</v>
      </c>
      <c r="Z2839" s="175" t="e">
        <v>#N/A</v>
      </c>
      <c r="AA2839" s="177" t="e">
        <v>#N/A</v>
      </c>
    </row>
    <row r="2840" spans="23:27" x14ac:dyDescent="0.2">
      <c r="W2840" s="173" t="str">
        <f t="shared" si="55"/>
        <v>1w</v>
      </c>
      <c r="X2840" s="180">
        <f>_xll.qlCalendarAdvance(LiborCalendar,X2839,W2840,"f",FALSE)</f>
        <v>58874</v>
      </c>
      <c r="Y2840" s="174">
        <f>_xll.qlInterestRateIndexValueDate(IborIndex,X2840)</f>
        <v>58876</v>
      </c>
      <c r="Z2840" s="175" t="e">
        <v>#N/A</v>
      </c>
      <c r="AA2840" s="177" t="e">
        <v>#N/A</v>
      </c>
    </row>
    <row r="2841" spans="23:27" x14ac:dyDescent="0.2">
      <c r="W2841" s="173" t="str">
        <f t="shared" si="55"/>
        <v>1w</v>
      </c>
      <c r="X2841" s="180">
        <f>_xll.qlCalendarAdvance(LiborCalendar,X2840,W2841,"f",FALSE)</f>
        <v>58881</v>
      </c>
      <c r="Y2841" s="174">
        <f>_xll.qlInterestRateIndexValueDate(IborIndex,X2841)</f>
        <v>58883</v>
      </c>
      <c r="Z2841" s="175" t="e">
        <v>#N/A</v>
      </c>
      <c r="AA2841" s="177" t="e">
        <v>#N/A</v>
      </c>
    </row>
    <row r="2842" spans="23:27" x14ac:dyDescent="0.2">
      <c r="W2842" s="173" t="str">
        <f t="shared" si="55"/>
        <v>1w</v>
      </c>
      <c r="X2842" s="180">
        <f>_xll.qlCalendarAdvance(LiborCalendar,X2841,W2842,"f",FALSE)</f>
        <v>58888</v>
      </c>
      <c r="Y2842" s="174">
        <f>_xll.qlInterestRateIndexValueDate(IborIndex,X2842)</f>
        <v>58890</v>
      </c>
      <c r="Z2842" s="175" t="e">
        <v>#N/A</v>
      </c>
      <c r="AA2842" s="177" t="e">
        <v>#N/A</v>
      </c>
    </row>
    <row r="2843" spans="23:27" x14ac:dyDescent="0.2">
      <c r="W2843" s="173" t="str">
        <f t="shared" si="55"/>
        <v>1w</v>
      </c>
      <c r="X2843" s="180">
        <f>_xll.qlCalendarAdvance(LiborCalendar,X2842,W2843,"f",FALSE)</f>
        <v>58895</v>
      </c>
      <c r="Y2843" s="174">
        <f>_xll.qlInterestRateIndexValueDate(IborIndex,X2843)</f>
        <v>58897</v>
      </c>
      <c r="Z2843" s="175" t="e">
        <v>#N/A</v>
      </c>
      <c r="AA2843" s="177" t="e">
        <v>#N/A</v>
      </c>
    </row>
    <row r="2844" spans="23:27" x14ac:dyDescent="0.2">
      <c r="W2844" s="173" t="str">
        <f t="shared" si="55"/>
        <v>1w</v>
      </c>
      <c r="X2844" s="180">
        <f>_xll.qlCalendarAdvance(LiborCalendar,X2843,W2844,"f",FALSE)</f>
        <v>58902</v>
      </c>
      <c r="Y2844" s="174">
        <f>_xll.qlInterestRateIndexValueDate(IborIndex,X2844)</f>
        <v>58908</v>
      </c>
      <c r="Z2844" s="175" t="e">
        <v>#N/A</v>
      </c>
      <c r="AA2844" s="177" t="e">
        <v>#N/A</v>
      </c>
    </row>
    <row r="2845" spans="23:27" x14ac:dyDescent="0.2">
      <c r="W2845" s="173" t="str">
        <f t="shared" si="55"/>
        <v>1w</v>
      </c>
      <c r="X2845" s="180">
        <f>_xll.qlCalendarAdvance(LiborCalendar,X2844,W2845,"f",FALSE)</f>
        <v>58909</v>
      </c>
      <c r="Y2845" s="174">
        <f>_xll.qlInterestRateIndexValueDate(IborIndex,X2845)</f>
        <v>58911</v>
      </c>
      <c r="Z2845" s="175" t="e">
        <v>#N/A</v>
      </c>
      <c r="AA2845" s="177" t="e">
        <v>#N/A</v>
      </c>
    </row>
    <row r="2846" spans="23:27" x14ac:dyDescent="0.2">
      <c r="W2846" s="173" t="str">
        <f t="shared" si="55"/>
        <v>1w</v>
      </c>
      <c r="X2846" s="180">
        <f>_xll.qlCalendarAdvance(LiborCalendar,X2845,W2846,"f",FALSE)</f>
        <v>58916</v>
      </c>
      <c r="Y2846" s="174">
        <f>_xll.qlInterestRateIndexValueDate(IborIndex,X2846)</f>
        <v>58918</v>
      </c>
      <c r="Z2846" s="175" t="e">
        <v>#N/A</v>
      </c>
      <c r="AA2846" s="177" t="e">
        <v>#N/A</v>
      </c>
    </row>
    <row r="2847" spans="23:27" x14ac:dyDescent="0.2">
      <c r="W2847" s="173" t="str">
        <f t="shared" si="55"/>
        <v>1w</v>
      </c>
      <c r="X2847" s="180">
        <f>_xll.qlCalendarAdvance(LiborCalendar,X2846,W2847,"f",FALSE)</f>
        <v>58923</v>
      </c>
      <c r="Y2847" s="174">
        <f>_xll.qlInterestRateIndexValueDate(IborIndex,X2847)</f>
        <v>58932</v>
      </c>
      <c r="Z2847" s="175" t="e">
        <v>#N/A</v>
      </c>
      <c r="AA2847" s="177" t="e">
        <v>#N/A</v>
      </c>
    </row>
    <row r="2848" spans="23:27" x14ac:dyDescent="0.2">
      <c r="W2848" s="173" t="str">
        <f t="shared" si="55"/>
        <v>1w</v>
      </c>
      <c r="X2848" s="180">
        <f>_xll.qlCalendarAdvance(LiborCalendar,X2847,W2848,"f",FALSE)</f>
        <v>58930</v>
      </c>
      <c r="Y2848" s="174">
        <f>_xll.qlInterestRateIndexValueDate(IborIndex,X2848)</f>
        <v>58932</v>
      </c>
      <c r="Z2848" s="175" t="e">
        <v>#N/A</v>
      </c>
      <c r="AA2848" s="177" t="e">
        <v>#N/A</v>
      </c>
    </row>
    <row r="2849" spans="23:27" x14ac:dyDescent="0.2">
      <c r="W2849" s="173" t="str">
        <f t="shared" si="55"/>
        <v>1w</v>
      </c>
      <c r="X2849" s="180">
        <f>_xll.qlCalendarAdvance(LiborCalendar,X2848,W2849,"f",FALSE)</f>
        <v>58937</v>
      </c>
      <c r="Y2849" s="174">
        <f>_xll.qlInterestRateIndexValueDate(IborIndex,X2849)</f>
        <v>58939</v>
      </c>
      <c r="Z2849" s="175" t="e">
        <v>#N/A</v>
      </c>
      <c r="AA2849" s="177" t="e">
        <v>#N/A</v>
      </c>
    </row>
    <row r="2850" spans="23:27" x14ac:dyDescent="0.2">
      <c r="W2850" s="173" t="str">
        <f t="shared" si="55"/>
        <v>1w</v>
      </c>
      <c r="X2850" s="180">
        <f>_xll.qlCalendarAdvance(LiborCalendar,X2849,W2850,"f",FALSE)</f>
        <v>58944</v>
      </c>
      <c r="Y2850" s="174">
        <f>_xll.qlInterestRateIndexValueDate(IborIndex,X2850)</f>
        <v>58946</v>
      </c>
      <c r="Z2850" s="175" t="e">
        <v>#N/A</v>
      </c>
      <c r="AA2850" s="177" t="e">
        <v>#N/A</v>
      </c>
    </row>
    <row r="2851" spans="23:27" x14ac:dyDescent="0.2">
      <c r="W2851" s="173" t="str">
        <f t="shared" si="55"/>
        <v>1w</v>
      </c>
      <c r="X2851" s="180">
        <f>_xll.qlCalendarAdvance(LiborCalendar,X2850,W2851,"f",FALSE)</f>
        <v>58951</v>
      </c>
      <c r="Y2851" s="174">
        <f>_xll.qlInterestRateIndexValueDate(IborIndex,X2851)</f>
        <v>58953</v>
      </c>
      <c r="Z2851" s="175" t="e">
        <v>#N/A</v>
      </c>
      <c r="AA2851" s="177" t="e">
        <v>#N/A</v>
      </c>
    </row>
    <row r="2852" spans="23:27" x14ac:dyDescent="0.2">
      <c r="W2852" s="173" t="str">
        <f t="shared" si="55"/>
        <v>1w</v>
      </c>
      <c r="X2852" s="180">
        <f>_xll.qlCalendarAdvance(LiborCalendar,X2851,W2852,"f",FALSE)</f>
        <v>58958</v>
      </c>
      <c r="Y2852" s="174">
        <f>_xll.qlInterestRateIndexValueDate(IborIndex,X2852)</f>
        <v>58960</v>
      </c>
      <c r="Z2852" s="175" t="e">
        <v>#N/A</v>
      </c>
      <c r="AA2852" s="177" t="e">
        <v>#N/A</v>
      </c>
    </row>
    <row r="2853" spans="23:27" x14ac:dyDescent="0.2">
      <c r="W2853" s="173" t="str">
        <f t="shared" si="55"/>
        <v>1w</v>
      </c>
      <c r="X2853" s="180">
        <f>_xll.qlCalendarAdvance(LiborCalendar,X2852,W2853,"f",FALSE)</f>
        <v>58965</v>
      </c>
      <c r="Y2853" s="174">
        <f>_xll.qlInterestRateIndexValueDate(IborIndex,X2853)</f>
        <v>58967</v>
      </c>
      <c r="Z2853" s="175" t="e">
        <v>#N/A</v>
      </c>
      <c r="AA2853" s="177" t="e">
        <v>#N/A</v>
      </c>
    </row>
    <row r="2854" spans="23:27" x14ac:dyDescent="0.2">
      <c r="W2854" s="173" t="str">
        <f t="shared" si="55"/>
        <v>1w</v>
      </c>
      <c r="X2854" s="180">
        <f>_xll.qlCalendarAdvance(LiborCalendar,X2853,W2854,"f",FALSE)</f>
        <v>58972</v>
      </c>
      <c r="Y2854" s="174">
        <f>_xll.qlInterestRateIndexValueDate(IborIndex,X2854)</f>
        <v>58974</v>
      </c>
      <c r="Z2854" s="175" t="e">
        <v>#N/A</v>
      </c>
      <c r="AA2854" s="177" t="e">
        <v>#N/A</v>
      </c>
    </row>
    <row r="2855" spans="23:27" x14ac:dyDescent="0.2">
      <c r="W2855" s="173" t="str">
        <f t="shared" si="55"/>
        <v>1w</v>
      </c>
      <c r="X2855" s="180">
        <f>_xll.qlCalendarAdvance(LiborCalendar,X2854,W2855,"f",FALSE)</f>
        <v>58979</v>
      </c>
      <c r="Y2855" s="174">
        <f>_xll.qlInterestRateIndexValueDate(IborIndex,X2855)</f>
        <v>58981</v>
      </c>
      <c r="Z2855" s="175" t="e">
        <v>#N/A</v>
      </c>
      <c r="AA2855" s="177" t="e">
        <v>#N/A</v>
      </c>
    </row>
    <row r="2856" spans="23:27" x14ac:dyDescent="0.2">
      <c r="W2856" s="173" t="str">
        <f t="shared" si="55"/>
        <v>1w</v>
      </c>
      <c r="X2856" s="180">
        <f>_xll.qlCalendarAdvance(LiborCalendar,X2855,W2856,"f",FALSE)</f>
        <v>58986</v>
      </c>
      <c r="Y2856" s="174">
        <f>_xll.qlInterestRateIndexValueDate(IborIndex,X2856)</f>
        <v>58988</v>
      </c>
      <c r="Z2856" s="175" t="e">
        <v>#N/A</v>
      </c>
      <c r="AA2856" s="177" t="e">
        <v>#N/A</v>
      </c>
    </row>
    <row r="2857" spans="23:27" x14ac:dyDescent="0.2">
      <c r="W2857" s="173" t="str">
        <f t="shared" si="55"/>
        <v>1w</v>
      </c>
      <c r="X2857" s="180">
        <f>_xll.qlCalendarAdvance(LiborCalendar,X2856,W2857,"f",FALSE)</f>
        <v>58993</v>
      </c>
      <c r="Y2857" s="174">
        <f>_xll.qlInterestRateIndexValueDate(IborIndex,X2857)</f>
        <v>58995</v>
      </c>
      <c r="Z2857" s="175" t="e">
        <v>#N/A</v>
      </c>
      <c r="AA2857" s="177" t="e">
        <v>#N/A</v>
      </c>
    </row>
    <row r="2858" spans="23:27" x14ac:dyDescent="0.2">
      <c r="W2858" s="173" t="str">
        <f t="shared" si="55"/>
        <v>1w</v>
      </c>
      <c r="X2858" s="180">
        <f>_xll.qlCalendarAdvance(LiborCalendar,X2857,W2858,"f",FALSE)</f>
        <v>59000</v>
      </c>
      <c r="Y2858" s="174">
        <f>_xll.qlInterestRateIndexValueDate(IborIndex,X2858)</f>
        <v>59002</v>
      </c>
      <c r="Z2858" s="175" t="e">
        <v>#N/A</v>
      </c>
      <c r="AA2858" s="177" t="e">
        <v>#N/A</v>
      </c>
    </row>
    <row r="2859" spans="23:27" x14ac:dyDescent="0.2">
      <c r="W2859" s="173" t="str">
        <f t="shared" si="55"/>
        <v>1w</v>
      </c>
      <c r="X2859" s="180">
        <f>_xll.qlCalendarAdvance(LiborCalendar,X2858,W2859,"f",FALSE)</f>
        <v>59007</v>
      </c>
      <c r="Y2859" s="174">
        <f>_xll.qlInterestRateIndexValueDate(IborIndex,X2859)</f>
        <v>59009</v>
      </c>
      <c r="Z2859" s="175" t="e">
        <v>#N/A</v>
      </c>
      <c r="AA2859" s="177" t="e">
        <v>#N/A</v>
      </c>
    </row>
    <row r="2860" spans="23:27" x14ac:dyDescent="0.2">
      <c r="W2860" s="173" t="str">
        <f t="shared" si="55"/>
        <v>1w</v>
      </c>
      <c r="X2860" s="180">
        <f>_xll.qlCalendarAdvance(LiborCalendar,X2859,W2860,"f",FALSE)</f>
        <v>59014</v>
      </c>
      <c r="Y2860" s="174">
        <f>_xll.qlInterestRateIndexValueDate(IborIndex,X2860)</f>
        <v>59016</v>
      </c>
      <c r="Z2860" s="175" t="e">
        <v>#N/A</v>
      </c>
      <c r="AA2860" s="177" t="e">
        <v>#N/A</v>
      </c>
    </row>
    <row r="2861" spans="23:27" x14ac:dyDescent="0.2">
      <c r="W2861" s="173" t="str">
        <f t="shared" si="55"/>
        <v>1w</v>
      </c>
      <c r="X2861" s="180">
        <f>_xll.qlCalendarAdvance(LiborCalendar,X2860,W2861,"f",FALSE)</f>
        <v>59021</v>
      </c>
      <c r="Y2861" s="174">
        <f>_xll.qlInterestRateIndexValueDate(IborIndex,X2861)</f>
        <v>59023</v>
      </c>
      <c r="Z2861" s="175" t="e">
        <v>#N/A</v>
      </c>
      <c r="AA2861" s="177" t="e">
        <v>#N/A</v>
      </c>
    </row>
    <row r="2862" spans="23:27" x14ac:dyDescent="0.2">
      <c r="W2862" s="173" t="str">
        <f t="shared" si="55"/>
        <v>1w</v>
      </c>
      <c r="X2862" s="180">
        <f>_xll.qlCalendarAdvance(LiborCalendar,X2861,W2862,"f",FALSE)</f>
        <v>59028</v>
      </c>
      <c r="Y2862" s="174">
        <f>_xll.qlInterestRateIndexValueDate(IborIndex,X2862)</f>
        <v>59030</v>
      </c>
      <c r="Z2862" s="175" t="e">
        <v>#N/A</v>
      </c>
      <c r="AA2862" s="177" t="e">
        <v>#N/A</v>
      </c>
    </row>
    <row r="2863" spans="23:27" x14ac:dyDescent="0.2">
      <c r="W2863" s="173" t="str">
        <f t="shared" si="55"/>
        <v>1w</v>
      </c>
      <c r="X2863" s="180">
        <f>_xll.qlCalendarAdvance(LiborCalendar,X2862,W2863,"f",FALSE)</f>
        <v>59035</v>
      </c>
      <c r="Y2863" s="174">
        <f>_xll.qlInterestRateIndexValueDate(IborIndex,X2863)</f>
        <v>59037</v>
      </c>
      <c r="Z2863" s="175" t="e">
        <v>#N/A</v>
      </c>
      <c r="AA2863" s="177" t="e">
        <v>#N/A</v>
      </c>
    </row>
    <row r="2864" spans="23:27" x14ac:dyDescent="0.2">
      <c r="W2864" s="173" t="str">
        <f t="shared" si="55"/>
        <v>1w</v>
      </c>
      <c r="X2864" s="180">
        <f>_xll.qlCalendarAdvance(LiborCalendar,X2863,W2864,"f",FALSE)</f>
        <v>59042</v>
      </c>
      <c r="Y2864" s="174">
        <f>_xll.qlInterestRateIndexValueDate(IborIndex,X2864)</f>
        <v>59044</v>
      </c>
      <c r="Z2864" s="175" t="e">
        <v>#N/A</v>
      </c>
      <c r="AA2864" s="177" t="e">
        <v>#N/A</v>
      </c>
    </row>
    <row r="2865" spans="23:27" x14ac:dyDescent="0.2">
      <c r="W2865" s="173" t="str">
        <f t="shared" si="55"/>
        <v>1w</v>
      </c>
      <c r="X2865" s="180">
        <f>_xll.qlCalendarAdvance(LiborCalendar,X2864,W2865,"f",FALSE)</f>
        <v>59049</v>
      </c>
      <c r="Y2865" s="174">
        <f>_xll.qlInterestRateIndexValueDate(IborIndex,X2865)</f>
        <v>59051</v>
      </c>
      <c r="Z2865" s="175" t="e">
        <v>#N/A</v>
      </c>
      <c r="AA2865" s="177" t="e">
        <v>#N/A</v>
      </c>
    </row>
    <row r="2866" spans="23:27" x14ac:dyDescent="0.2">
      <c r="W2866" s="173" t="str">
        <f t="shared" si="55"/>
        <v>1w</v>
      </c>
      <c r="X2866" s="180">
        <f>_xll.qlCalendarAdvance(LiborCalendar,X2865,W2866,"f",FALSE)</f>
        <v>59056</v>
      </c>
      <c r="Y2866" s="174">
        <f>_xll.qlInterestRateIndexValueDate(IborIndex,X2866)</f>
        <v>59058</v>
      </c>
      <c r="Z2866" s="175" t="e">
        <v>#N/A</v>
      </c>
      <c r="AA2866" s="177" t="e">
        <v>#N/A</v>
      </c>
    </row>
    <row r="2867" spans="23:27" x14ac:dyDescent="0.2">
      <c r="W2867" s="173" t="str">
        <f t="shared" si="55"/>
        <v>1w</v>
      </c>
      <c r="X2867" s="180">
        <f>_xll.qlCalendarAdvance(LiborCalendar,X2866,W2867,"f",FALSE)</f>
        <v>59063</v>
      </c>
      <c r="Y2867" s="174">
        <f>_xll.qlInterestRateIndexValueDate(IborIndex,X2867)</f>
        <v>59065</v>
      </c>
      <c r="Z2867" s="175" t="e">
        <v>#N/A</v>
      </c>
      <c r="AA2867" s="177" t="e">
        <v>#N/A</v>
      </c>
    </row>
    <row r="2868" spans="23:27" x14ac:dyDescent="0.2">
      <c r="W2868" s="173" t="str">
        <f t="shared" si="55"/>
        <v>1w</v>
      </c>
      <c r="X2868" s="180">
        <f>_xll.qlCalendarAdvance(LiborCalendar,X2867,W2868,"f",FALSE)</f>
        <v>59070</v>
      </c>
      <c r="Y2868" s="174">
        <f>_xll.qlInterestRateIndexValueDate(IborIndex,X2868)</f>
        <v>59072</v>
      </c>
      <c r="Z2868" s="175" t="e">
        <v>#N/A</v>
      </c>
      <c r="AA2868" s="177" t="e">
        <v>#N/A</v>
      </c>
    </row>
    <row r="2869" spans="23:27" x14ac:dyDescent="0.2">
      <c r="W2869" s="173" t="str">
        <f t="shared" si="55"/>
        <v>1w</v>
      </c>
      <c r="X2869" s="180">
        <f>_xll.qlCalendarAdvance(LiborCalendar,X2868,W2869,"f",FALSE)</f>
        <v>59077</v>
      </c>
      <c r="Y2869" s="174">
        <f>_xll.qlInterestRateIndexValueDate(IborIndex,X2869)</f>
        <v>59079</v>
      </c>
      <c r="Z2869" s="175" t="e">
        <v>#N/A</v>
      </c>
      <c r="AA2869" s="177" t="e">
        <v>#N/A</v>
      </c>
    </row>
    <row r="2870" spans="23:27" x14ac:dyDescent="0.2">
      <c r="W2870" s="173" t="str">
        <f t="shared" si="55"/>
        <v>1w</v>
      </c>
      <c r="X2870" s="180">
        <f>_xll.qlCalendarAdvance(LiborCalendar,X2869,W2870,"f",FALSE)</f>
        <v>59084</v>
      </c>
      <c r="Y2870" s="174">
        <f>_xll.qlInterestRateIndexValueDate(IborIndex,X2870)</f>
        <v>59086</v>
      </c>
      <c r="Z2870" s="175" t="e">
        <v>#N/A</v>
      </c>
      <c r="AA2870" s="177" t="e">
        <v>#N/A</v>
      </c>
    </row>
    <row r="2871" spans="23:27" x14ac:dyDescent="0.2">
      <c r="W2871" s="173" t="str">
        <f t="shared" si="55"/>
        <v>1w</v>
      </c>
      <c r="X2871" s="180">
        <f>_xll.qlCalendarAdvance(LiborCalendar,X2870,W2871,"f",FALSE)</f>
        <v>59091</v>
      </c>
      <c r="Y2871" s="174">
        <f>_xll.qlInterestRateIndexValueDate(IborIndex,X2871)</f>
        <v>59093</v>
      </c>
      <c r="Z2871" s="175" t="e">
        <v>#N/A</v>
      </c>
      <c r="AA2871" s="177" t="e">
        <v>#N/A</v>
      </c>
    </row>
    <row r="2872" spans="23:27" x14ac:dyDescent="0.2">
      <c r="W2872" s="173" t="str">
        <f t="shared" si="55"/>
        <v>1w</v>
      </c>
      <c r="X2872" s="180">
        <f>_xll.qlCalendarAdvance(LiborCalendar,X2871,W2872,"f",FALSE)</f>
        <v>59098</v>
      </c>
      <c r="Y2872" s="174">
        <f>_xll.qlInterestRateIndexValueDate(IborIndex,X2872)</f>
        <v>59100</v>
      </c>
      <c r="Z2872" s="175" t="e">
        <v>#N/A</v>
      </c>
      <c r="AA2872" s="177" t="e">
        <v>#N/A</v>
      </c>
    </row>
    <row r="2873" spans="23:27" x14ac:dyDescent="0.2">
      <c r="W2873" s="173" t="str">
        <f t="shared" si="55"/>
        <v>1w</v>
      </c>
      <c r="X2873" s="180">
        <f>_xll.qlCalendarAdvance(LiborCalendar,X2872,W2873,"f",FALSE)</f>
        <v>59105</v>
      </c>
      <c r="Y2873" s="174">
        <f>_xll.qlInterestRateIndexValueDate(IborIndex,X2873)</f>
        <v>59107</v>
      </c>
      <c r="Z2873" s="175" t="e">
        <v>#N/A</v>
      </c>
      <c r="AA2873" s="177" t="e">
        <v>#N/A</v>
      </c>
    </row>
    <row r="2874" spans="23:27" x14ac:dyDescent="0.2">
      <c r="W2874" s="173" t="str">
        <f t="shared" si="55"/>
        <v>1w</v>
      </c>
      <c r="X2874" s="180">
        <f>_xll.qlCalendarAdvance(LiborCalendar,X2873,W2874,"f",FALSE)</f>
        <v>59112</v>
      </c>
      <c r="Y2874" s="174">
        <f>_xll.qlInterestRateIndexValueDate(IborIndex,X2874)</f>
        <v>59114</v>
      </c>
      <c r="Z2874" s="175" t="e">
        <v>#N/A</v>
      </c>
      <c r="AA2874" s="177" t="e">
        <v>#N/A</v>
      </c>
    </row>
    <row r="2875" spans="23:27" x14ac:dyDescent="0.2">
      <c r="W2875" s="173" t="str">
        <f t="shared" si="55"/>
        <v>1w</v>
      </c>
      <c r="X2875" s="180">
        <f>_xll.qlCalendarAdvance(LiborCalendar,X2874,W2875,"f",FALSE)</f>
        <v>59119</v>
      </c>
      <c r="Y2875" s="174">
        <f>_xll.qlInterestRateIndexValueDate(IborIndex,X2875)</f>
        <v>59121</v>
      </c>
      <c r="Z2875" s="175" t="e">
        <v>#N/A</v>
      </c>
      <c r="AA2875" s="177" t="e">
        <v>#N/A</v>
      </c>
    </row>
    <row r="2876" spans="23:27" x14ac:dyDescent="0.2">
      <c r="W2876" s="173" t="str">
        <f t="shared" si="55"/>
        <v>1w</v>
      </c>
      <c r="X2876" s="180">
        <f>_xll.qlCalendarAdvance(LiborCalendar,X2875,W2876,"f",FALSE)</f>
        <v>59126</v>
      </c>
      <c r="Y2876" s="174">
        <f>_xll.qlInterestRateIndexValueDate(IborIndex,X2876)</f>
        <v>59128</v>
      </c>
      <c r="Z2876" s="175" t="e">
        <v>#N/A</v>
      </c>
      <c r="AA2876" s="177" t="e">
        <v>#N/A</v>
      </c>
    </row>
    <row r="2877" spans="23:27" x14ac:dyDescent="0.2">
      <c r="W2877" s="173" t="str">
        <f t="shared" si="55"/>
        <v>1w</v>
      </c>
      <c r="X2877" s="180">
        <f>_xll.qlCalendarAdvance(LiborCalendar,X2876,W2877,"f",FALSE)</f>
        <v>59133</v>
      </c>
      <c r="Y2877" s="174">
        <f>_xll.qlInterestRateIndexValueDate(IborIndex,X2877)</f>
        <v>59135</v>
      </c>
      <c r="Z2877" s="175" t="e">
        <v>#N/A</v>
      </c>
      <c r="AA2877" s="177" t="e">
        <v>#N/A</v>
      </c>
    </row>
    <row r="2878" spans="23:27" x14ac:dyDescent="0.2">
      <c r="W2878" s="173" t="str">
        <f t="shared" si="55"/>
        <v>1w</v>
      </c>
      <c r="X2878" s="180">
        <f>_xll.qlCalendarAdvance(LiborCalendar,X2877,W2878,"f",FALSE)</f>
        <v>59140</v>
      </c>
      <c r="Y2878" s="174">
        <f>_xll.qlInterestRateIndexValueDate(IborIndex,X2878)</f>
        <v>59142</v>
      </c>
      <c r="Z2878" s="175" t="e">
        <v>#N/A</v>
      </c>
      <c r="AA2878" s="177" t="e">
        <v>#N/A</v>
      </c>
    </row>
    <row r="2879" spans="23:27" x14ac:dyDescent="0.2">
      <c r="W2879" s="173" t="str">
        <f t="shared" si="55"/>
        <v>1w</v>
      </c>
      <c r="X2879" s="180">
        <f>_xll.qlCalendarAdvance(LiborCalendar,X2878,W2879,"f",FALSE)</f>
        <v>59147</v>
      </c>
      <c r="Y2879" s="174">
        <f>_xll.qlInterestRateIndexValueDate(IborIndex,X2879)</f>
        <v>59149</v>
      </c>
      <c r="Z2879" s="175" t="e">
        <v>#N/A</v>
      </c>
      <c r="AA2879" s="177" t="e">
        <v>#N/A</v>
      </c>
    </row>
    <row r="2880" spans="23:27" x14ac:dyDescent="0.2">
      <c r="W2880" s="173" t="str">
        <f t="shared" si="55"/>
        <v>1w</v>
      </c>
      <c r="X2880" s="180">
        <f>_xll.qlCalendarAdvance(LiborCalendar,X2879,W2880,"f",FALSE)</f>
        <v>59154</v>
      </c>
      <c r="Y2880" s="174">
        <f>_xll.qlInterestRateIndexValueDate(IborIndex,X2880)</f>
        <v>59156</v>
      </c>
      <c r="Z2880" s="175" t="e">
        <v>#N/A</v>
      </c>
      <c r="AA2880" s="177" t="e">
        <v>#N/A</v>
      </c>
    </row>
    <row r="2881" spans="23:27" x14ac:dyDescent="0.2">
      <c r="W2881" s="173" t="str">
        <f t="shared" si="55"/>
        <v>1w</v>
      </c>
      <c r="X2881" s="180">
        <f>_xll.qlCalendarAdvance(LiborCalendar,X2880,W2881,"f",FALSE)</f>
        <v>59161</v>
      </c>
      <c r="Y2881" s="174">
        <f>_xll.qlInterestRateIndexValueDate(IborIndex,X2881)</f>
        <v>59168</v>
      </c>
      <c r="Z2881" s="175" t="e">
        <v>#N/A</v>
      </c>
      <c r="AA2881" s="177" t="e">
        <v>#N/A</v>
      </c>
    </row>
    <row r="2882" spans="23:27" x14ac:dyDescent="0.2">
      <c r="W2882" s="173" t="str">
        <f t="shared" si="55"/>
        <v>1w</v>
      </c>
      <c r="X2882" s="180">
        <f>_xll.qlCalendarAdvance(LiborCalendar,X2881,W2882,"f",FALSE)</f>
        <v>59168</v>
      </c>
      <c r="Y2882" s="174">
        <f>_xll.qlInterestRateIndexValueDate(IborIndex,X2882)</f>
        <v>59170</v>
      </c>
      <c r="Z2882" s="175" t="e">
        <v>#N/A</v>
      </c>
      <c r="AA2882" s="177" t="e">
        <v>#N/A</v>
      </c>
    </row>
    <row r="2883" spans="23:27" x14ac:dyDescent="0.2">
      <c r="W2883" s="173" t="str">
        <f t="shared" si="55"/>
        <v>1w</v>
      </c>
      <c r="X2883" s="180">
        <f>_xll.qlCalendarAdvance(LiborCalendar,X2882,W2883,"f",FALSE)</f>
        <v>59175</v>
      </c>
      <c r="Y2883" s="174">
        <f>_xll.qlInterestRateIndexValueDate(IborIndex,X2883)</f>
        <v>59177</v>
      </c>
      <c r="Z2883" s="175" t="e">
        <v>#N/A</v>
      </c>
      <c r="AA2883" s="177" t="e">
        <v>#N/A</v>
      </c>
    </row>
    <row r="2884" spans="23:27" x14ac:dyDescent="0.2">
      <c r="W2884" s="173" t="str">
        <f t="shared" si="55"/>
        <v>1w</v>
      </c>
      <c r="X2884" s="180">
        <f>_xll.qlCalendarAdvance(LiborCalendar,X2883,W2884,"f",FALSE)</f>
        <v>59182</v>
      </c>
      <c r="Y2884" s="174">
        <f>_xll.qlInterestRateIndexValueDate(IborIndex,X2884)</f>
        <v>59184</v>
      </c>
      <c r="Z2884" s="175" t="e">
        <v>#N/A</v>
      </c>
      <c r="AA2884" s="177" t="e">
        <v>#N/A</v>
      </c>
    </row>
    <row r="2885" spans="23:27" x14ac:dyDescent="0.2">
      <c r="W2885" s="173" t="str">
        <f t="shared" si="55"/>
        <v>1w</v>
      </c>
      <c r="X2885" s="180">
        <f>_xll.qlCalendarAdvance(LiborCalendar,X2884,W2885,"f",FALSE)</f>
        <v>59189</v>
      </c>
      <c r="Y2885" s="174">
        <f>_xll.qlInterestRateIndexValueDate(IborIndex,X2885)</f>
        <v>59191</v>
      </c>
      <c r="Z2885" s="175" t="e">
        <v>#N/A</v>
      </c>
      <c r="AA2885" s="177" t="e">
        <v>#N/A</v>
      </c>
    </row>
    <row r="2886" spans="23:27" x14ac:dyDescent="0.2">
      <c r="W2886" s="173" t="str">
        <f t="shared" si="55"/>
        <v>1w</v>
      </c>
      <c r="X2886" s="180">
        <f>_xll.qlCalendarAdvance(LiborCalendar,X2885,W2886,"f",FALSE)</f>
        <v>59196</v>
      </c>
      <c r="Y2886" s="174">
        <f>_xll.qlInterestRateIndexValueDate(IborIndex,X2886)</f>
        <v>59198</v>
      </c>
      <c r="Z2886" s="175" t="e">
        <v>#N/A</v>
      </c>
      <c r="AA2886" s="177" t="e">
        <v>#N/A</v>
      </c>
    </row>
    <row r="2887" spans="23:27" x14ac:dyDescent="0.2">
      <c r="W2887" s="173" t="str">
        <f t="shared" si="55"/>
        <v>1w</v>
      </c>
      <c r="X2887" s="180">
        <f>_xll.qlCalendarAdvance(LiborCalendar,X2886,W2887,"f",FALSE)</f>
        <v>59203</v>
      </c>
      <c r="Y2887" s="174">
        <f>_xll.qlInterestRateIndexValueDate(IborIndex,X2887)</f>
        <v>59205</v>
      </c>
      <c r="Z2887" s="175" t="e">
        <v>#N/A</v>
      </c>
      <c r="AA2887" s="177" t="e">
        <v>#N/A</v>
      </c>
    </row>
    <row r="2888" spans="23:27" x14ac:dyDescent="0.2">
      <c r="W2888" s="173" t="str">
        <f t="shared" si="55"/>
        <v>1w</v>
      </c>
      <c r="X2888" s="180">
        <f>_xll.qlCalendarAdvance(LiborCalendar,X2887,W2888,"f",FALSE)</f>
        <v>59210</v>
      </c>
      <c r="Y2888" s="174">
        <f>_xll.qlInterestRateIndexValueDate(IborIndex,X2888)</f>
        <v>59212</v>
      </c>
      <c r="Z2888" s="175" t="e">
        <v>#N/A</v>
      </c>
      <c r="AA2888" s="177" t="e">
        <v>#N/A</v>
      </c>
    </row>
    <row r="2889" spans="23:27" x14ac:dyDescent="0.2">
      <c r="W2889" s="173" t="str">
        <f t="shared" si="55"/>
        <v>1w</v>
      </c>
      <c r="X2889" s="180">
        <f>_xll.qlCalendarAdvance(LiborCalendar,X2888,W2889,"f",FALSE)</f>
        <v>59217</v>
      </c>
      <c r="Y2889" s="174">
        <f>_xll.qlInterestRateIndexValueDate(IborIndex,X2889)</f>
        <v>59219</v>
      </c>
      <c r="Z2889" s="175" t="e">
        <v>#N/A</v>
      </c>
      <c r="AA2889" s="177" t="e">
        <v>#N/A</v>
      </c>
    </row>
    <row r="2890" spans="23:27" x14ac:dyDescent="0.2">
      <c r="W2890" s="173" t="str">
        <f t="shared" si="55"/>
        <v>1w</v>
      </c>
      <c r="X2890" s="180">
        <f>_xll.qlCalendarAdvance(LiborCalendar,X2889,W2890,"f",FALSE)</f>
        <v>59224</v>
      </c>
      <c r="Y2890" s="174">
        <f>_xll.qlInterestRateIndexValueDate(IborIndex,X2890)</f>
        <v>59226</v>
      </c>
      <c r="Z2890" s="175" t="e">
        <v>#N/A</v>
      </c>
      <c r="AA2890" s="177" t="e">
        <v>#N/A</v>
      </c>
    </row>
    <row r="2891" spans="23:27" x14ac:dyDescent="0.2">
      <c r="W2891" s="173" t="str">
        <f t="shared" si="55"/>
        <v>1w</v>
      </c>
      <c r="X2891" s="180">
        <f>_xll.qlCalendarAdvance(LiborCalendar,X2890,W2891,"f",FALSE)</f>
        <v>59231</v>
      </c>
      <c r="Y2891" s="174">
        <f>_xll.qlInterestRateIndexValueDate(IborIndex,X2891)</f>
        <v>59233</v>
      </c>
      <c r="Z2891" s="175" t="e">
        <v>#N/A</v>
      </c>
      <c r="AA2891" s="177" t="e">
        <v>#N/A</v>
      </c>
    </row>
    <row r="2892" spans="23:27" x14ac:dyDescent="0.2">
      <c r="W2892" s="173" t="str">
        <f t="shared" si="55"/>
        <v>1w</v>
      </c>
      <c r="X2892" s="180">
        <f>_xll.qlCalendarAdvance(LiborCalendar,X2891,W2892,"f",FALSE)</f>
        <v>59238</v>
      </c>
      <c r="Y2892" s="174">
        <f>_xll.qlInterestRateIndexValueDate(IborIndex,X2892)</f>
        <v>59240</v>
      </c>
      <c r="Z2892" s="175" t="e">
        <v>#N/A</v>
      </c>
      <c r="AA2892" s="177" t="e">
        <v>#N/A</v>
      </c>
    </row>
    <row r="2893" spans="23:27" x14ac:dyDescent="0.2">
      <c r="W2893" s="173" t="str">
        <f t="shared" si="55"/>
        <v>1w</v>
      </c>
      <c r="X2893" s="180">
        <f>_xll.qlCalendarAdvance(LiborCalendar,X2892,W2893,"f",FALSE)</f>
        <v>59245</v>
      </c>
      <c r="Y2893" s="174">
        <f>_xll.qlInterestRateIndexValueDate(IborIndex,X2893)</f>
        <v>59247</v>
      </c>
      <c r="Z2893" s="175" t="e">
        <v>#N/A</v>
      </c>
      <c r="AA2893" s="177" t="e">
        <v>#N/A</v>
      </c>
    </row>
    <row r="2894" spans="23:27" x14ac:dyDescent="0.2">
      <c r="W2894" s="173" t="str">
        <f t="shared" si="55"/>
        <v>1w</v>
      </c>
      <c r="X2894" s="180">
        <f>_xll.qlCalendarAdvance(LiborCalendar,X2893,W2894,"f",FALSE)</f>
        <v>59252</v>
      </c>
      <c r="Y2894" s="174">
        <f>_xll.qlInterestRateIndexValueDate(IborIndex,X2894)</f>
        <v>59258</v>
      </c>
      <c r="Z2894" s="175" t="e">
        <v>#N/A</v>
      </c>
      <c r="AA2894" s="177" t="e">
        <v>#N/A</v>
      </c>
    </row>
    <row r="2895" spans="23:27" x14ac:dyDescent="0.2">
      <c r="W2895" s="173" t="str">
        <f t="shared" si="55"/>
        <v>1w</v>
      </c>
      <c r="X2895" s="180">
        <f>_xll.qlCalendarAdvance(LiborCalendar,X2894,W2895,"f",FALSE)</f>
        <v>59259</v>
      </c>
      <c r="Y2895" s="174">
        <f>_xll.qlInterestRateIndexValueDate(IborIndex,X2895)</f>
        <v>59261</v>
      </c>
      <c r="Z2895" s="175" t="e">
        <v>#N/A</v>
      </c>
      <c r="AA2895" s="177" t="e">
        <v>#N/A</v>
      </c>
    </row>
    <row r="2896" spans="23:27" x14ac:dyDescent="0.2">
      <c r="W2896" s="173" t="str">
        <f t="shared" si="55"/>
        <v>1w</v>
      </c>
      <c r="X2896" s="180">
        <f>_xll.qlCalendarAdvance(LiborCalendar,X2895,W2896,"f",FALSE)</f>
        <v>59266</v>
      </c>
      <c r="Y2896" s="174">
        <f>_xll.qlInterestRateIndexValueDate(IborIndex,X2896)</f>
        <v>59268</v>
      </c>
      <c r="Z2896" s="175" t="e">
        <v>#N/A</v>
      </c>
      <c r="AA2896" s="177" t="e">
        <v>#N/A</v>
      </c>
    </row>
    <row r="2897" spans="23:27" x14ac:dyDescent="0.2">
      <c r="W2897" s="173" t="str">
        <f t="shared" si="55"/>
        <v>1w</v>
      </c>
      <c r="X2897" s="180">
        <f>_xll.qlCalendarAdvance(LiborCalendar,X2896,W2897,"f",FALSE)</f>
        <v>59273</v>
      </c>
      <c r="Y2897" s="174">
        <f>_xll.qlInterestRateIndexValueDate(IborIndex,X2897)</f>
        <v>59275</v>
      </c>
      <c r="Z2897" s="175" t="e">
        <v>#N/A</v>
      </c>
      <c r="AA2897" s="177" t="e">
        <v>#N/A</v>
      </c>
    </row>
    <row r="2898" spans="23:27" x14ac:dyDescent="0.2">
      <c r="W2898" s="173" t="str">
        <f t="shared" si="55"/>
        <v>1w</v>
      </c>
      <c r="X2898" s="180">
        <f>_xll.qlCalendarAdvance(LiborCalendar,X2897,W2898,"f",FALSE)</f>
        <v>59280</v>
      </c>
      <c r="Y2898" s="174">
        <f>_xll.qlInterestRateIndexValueDate(IborIndex,X2898)</f>
        <v>59282</v>
      </c>
      <c r="Z2898" s="175" t="e">
        <v>#N/A</v>
      </c>
      <c r="AA2898" s="177" t="e">
        <v>#N/A</v>
      </c>
    </row>
    <row r="2899" spans="23:27" x14ac:dyDescent="0.2">
      <c r="W2899" s="173" t="str">
        <f t="shared" si="55"/>
        <v>1w</v>
      </c>
      <c r="X2899" s="180">
        <f>_xll.qlCalendarAdvance(LiborCalendar,X2898,W2899,"f",FALSE)</f>
        <v>59287</v>
      </c>
      <c r="Y2899" s="174">
        <f>_xll.qlInterestRateIndexValueDate(IborIndex,X2899)</f>
        <v>59289</v>
      </c>
      <c r="Z2899" s="175" t="e">
        <v>#N/A</v>
      </c>
      <c r="AA2899" s="177" t="e">
        <v>#N/A</v>
      </c>
    </row>
    <row r="2900" spans="23:27" x14ac:dyDescent="0.2">
      <c r="W2900" s="173" t="str">
        <f t="shared" si="55"/>
        <v>1w</v>
      </c>
      <c r="X2900" s="180">
        <f>_xll.qlCalendarAdvance(LiborCalendar,X2899,W2900,"f",FALSE)</f>
        <v>59294</v>
      </c>
      <c r="Y2900" s="174">
        <f>_xll.qlInterestRateIndexValueDate(IborIndex,X2900)</f>
        <v>59299</v>
      </c>
      <c r="Z2900" s="175" t="e">
        <v>#N/A</v>
      </c>
      <c r="AA2900" s="177" t="e">
        <v>#N/A</v>
      </c>
    </row>
    <row r="2901" spans="23:27" x14ac:dyDescent="0.2">
      <c r="W2901" s="173" t="str">
        <f t="shared" ref="W2901:W2964" si="56">W2900</f>
        <v>1w</v>
      </c>
      <c r="X2901" s="180">
        <f>_xll.qlCalendarAdvance(LiborCalendar,X2900,W2901,"f",FALSE)</f>
        <v>59301</v>
      </c>
      <c r="Y2901" s="174">
        <f>_xll.qlInterestRateIndexValueDate(IborIndex,X2901)</f>
        <v>59303</v>
      </c>
      <c r="Z2901" s="175" t="e">
        <v>#N/A</v>
      </c>
      <c r="AA2901" s="177" t="e">
        <v>#N/A</v>
      </c>
    </row>
    <row r="2902" spans="23:27" x14ac:dyDescent="0.2">
      <c r="W2902" s="173" t="str">
        <f t="shared" si="56"/>
        <v>1w</v>
      </c>
      <c r="X2902" s="180">
        <f>_xll.qlCalendarAdvance(LiborCalendar,X2901,W2902,"f",FALSE)</f>
        <v>59308</v>
      </c>
      <c r="Y2902" s="174">
        <f>_xll.qlInterestRateIndexValueDate(IborIndex,X2902)</f>
        <v>59310</v>
      </c>
      <c r="Z2902" s="175" t="e">
        <v>#N/A</v>
      </c>
      <c r="AA2902" s="177" t="e">
        <v>#N/A</v>
      </c>
    </row>
    <row r="2903" spans="23:27" x14ac:dyDescent="0.2">
      <c r="W2903" s="173" t="str">
        <f t="shared" si="56"/>
        <v>1w</v>
      </c>
      <c r="X2903" s="180">
        <f>_xll.qlCalendarAdvance(LiborCalendar,X2902,W2903,"f",FALSE)</f>
        <v>59315</v>
      </c>
      <c r="Y2903" s="174">
        <f>_xll.qlInterestRateIndexValueDate(IborIndex,X2903)</f>
        <v>59317</v>
      </c>
      <c r="Z2903" s="175" t="e">
        <v>#N/A</v>
      </c>
      <c r="AA2903" s="177" t="e">
        <v>#N/A</v>
      </c>
    </row>
    <row r="2904" spans="23:27" x14ac:dyDescent="0.2">
      <c r="W2904" s="173" t="str">
        <f t="shared" si="56"/>
        <v>1w</v>
      </c>
      <c r="X2904" s="180">
        <f>_xll.qlCalendarAdvance(LiborCalendar,X2903,W2904,"f",FALSE)</f>
        <v>59322</v>
      </c>
      <c r="Y2904" s="174">
        <f>_xll.qlInterestRateIndexValueDate(IborIndex,X2904)</f>
        <v>59324</v>
      </c>
      <c r="Z2904" s="175" t="e">
        <v>#N/A</v>
      </c>
      <c r="AA2904" s="177" t="e">
        <v>#N/A</v>
      </c>
    </row>
    <row r="2905" spans="23:27" x14ac:dyDescent="0.2">
      <c r="W2905" s="173" t="str">
        <f t="shared" si="56"/>
        <v>1w</v>
      </c>
      <c r="X2905" s="180">
        <f>_xll.qlCalendarAdvance(LiborCalendar,X2904,W2905,"f",FALSE)</f>
        <v>59329</v>
      </c>
      <c r="Y2905" s="174">
        <f>_xll.qlInterestRateIndexValueDate(IborIndex,X2905)</f>
        <v>59331</v>
      </c>
      <c r="Z2905" s="175" t="e">
        <v>#N/A</v>
      </c>
      <c r="AA2905" s="177" t="e">
        <v>#N/A</v>
      </c>
    </row>
    <row r="2906" spans="23:27" x14ac:dyDescent="0.2">
      <c r="W2906" s="173" t="str">
        <f t="shared" si="56"/>
        <v>1w</v>
      </c>
      <c r="X2906" s="180">
        <f>_xll.qlCalendarAdvance(LiborCalendar,X2905,W2906,"f",FALSE)</f>
        <v>59336</v>
      </c>
      <c r="Y2906" s="174">
        <f>_xll.qlInterestRateIndexValueDate(IborIndex,X2906)</f>
        <v>59338</v>
      </c>
      <c r="Z2906" s="175" t="e">
        <v>#N/A</v>
      </c>
      <c r="AA2906" s="177" t="e">
        <v>#N/A</v>
      </c>
    </row>
    <row r="2907" spans="23:27" x14ac:dyDescent="0.2">
      <c r="W2907" s="173" t="str">
        <f t="shared" si="56"/>
        <v>1w</v>
      </c>
      <c r="X2907" s="180">
        <f>_xll.qlCalendarAdvance(LiborCalendar,X2906,W2907,"f",FALSE)</f>
        <v>59343</v>
      </c>
      <c r="Y2907" s="174">
        <f>_xll.qlInterestRateIndexValueDate(IborIndex,X2907)</f>
        <v>59345</v>
      </c>
      <c r="Z2907" s="175" t="e">
        <v>#N/A</v>
      </c>
      <c r="AA2907" s="177" t="e">
        <v>#N/A</v>
      </c>
    </row>
    <row r="2908" spans="23:27" x14ac:dyDescent="0.2">
      <c r="W2908" s="173" t="str">
        <f t="shared" si="56"/>
        <v>1w</v>
      </c>
      <c r="X2908" s="180">
        <f>_xll.qlCalendarAdvance(LiborCalendar,X2907,W2908,"f",FALSE)</f>
        <v>59350</v>
      </c>
      <c r="Y2908" s="174">
        <f>_xll.qlInterestRateIndexValueDate(IborIndex,X2908)</f>
        <v>59352</v>
      </c>
      <c r="Z2908" s="175" t="e">
        <v>#N/A</v>
      </c>
      <c r="AA2908" s="177" t="e">
        <v>#N/A</v>
      </c>
    </row>
    <row r="2909" spans="23:27" x14ac:dyDescent="0.2">
      <c r="W2909" s="173" t="str">
        <f t="shared" si="56"/>
        <v>1w</v>
      </c>
      <c r="X2909" s="180">
        <f>_xll.qlCalendarAdvance(LiborCalendar,X2908,W2909,"f",FALSE)</f>
        <v>59357</v>
      </c>
      <c r="Y2909" s="174">
        <f>_xll.qlInterestRateIndexValueDate(IborIndex,X2909)</f>
        <v>59359</v>
      </c>
      <c r="Z2909" s="175" t="e">
        <v>#N/A</v>
      </c>
      <c r="AA2909" s="177" t="e">
        <v>#N/A</v>
      </c>
    </row>
    <row r="2910" spans="23:27" x14ac:dyDescent="0.2">
      <c r="W2910" s="173" t="str">
        <f t="shared" si="56"/>
        <v>1w</v>
      </c>
      <c r="X2910" s="180">
        <f>_xll.qlCalendarAdvance(LiborCalendar,X2909,W2910,"f",FALSE)</f>
        <v>59364</v>
      </c>
      <c r="Y2910" s="174">
        <f>_xll.qlInterestRateIndexValueDate(IborIndex,X2910)</f>
        <v>59366</v>
      </c>
      <c r="Z2910" s="175" t="e">
        <v>#N/A</v>
      </c>
      <c r="AA2910" s="177" t="e">
        <v>#N/A</v>
      </c>
    </row>
    <row r="2911" spans="23:27" x14ac:dyDescent="0.2">
      <c r="W2911" s="173" t="str">
        <f t="shared" si="56"/>
        <v>1w</v>
      </c>
      <c r="X2911" s="180">
        <f>_xll.qlCalendarAdvance(LiborCalendar,X2910,W2911,"f",FALSE)</f>
        <v>59371</v>
      </c>
      <c r="Y2911" s="174">
        <f>_xll.qlInterestRateIndexValueDate(IborIndex,X2911)</f>
        <v>59373</v>
      </c>
      <c r="Z2911" s="175" t="e">
        <v>#N/A</v>
      </c>
      <c r="AA2911" s="177" t="e">
        <v>#N/A</v>
      </c>
    </row>
    <row r="2912" spans="23:27" x14ac:dyDescent="0.2">
      <c r="W2912" s="173" t="str">
        <f t="shared" si="56"/>
        <v>1w</v>
      </c>
      <c r="X2912" s="180">
        <f>_xll.qlCalendarAdvance(LiborCalendar,X2911,W2912,"f",FALSE)</f>
        <v>59378</v>
      </c>
      <c r="Y2912" s="174">
        <f>_xll.qlInterestRateIndexValueDate(IborIndex,X2912)</f>
        <v>59380</v>
      </c>
      <c r="Z2912" s="175" t="e">
        <v>#N/A</v>
      </c>
      <c r="AA2912" s="177" t="e">
        <v>#N/A</v>
      </c>
    </row>
    <row r="2913" spans="23:27" x14ac:dyDescent="0.2">
      <c r="W2913" s="173" t="str">
        <f t="shared" si="56"/>
        <v>1w</v>
      </c>
      <c r="X2913" s="180">
        <f>_xll.qlCalendarAdvance(LiborCalendar,X2912,W2913,"f",FALSE)</f>
        <v>59385</v>
      </c>
      <c r="Y2913" s="174">
        <f>_xll.qlInterestRateIndexValueDate(IborIndex,X2913)</f>
        <v>59387</v>
      </c>
      <c r="Z2913" s="175" t="e">
        <v>#N/A</v>
      </c>
      <c r="AA2913" s="177" t="e">
        <v>#N/A</v>
      </c>
    </row>
    <row r="2914" spans="23:27" x14ac:dyDescent="0.2">
      <c r="W2914" s="173" t="str">
        <f t="shared" si="56"/>
        <v>1w</v>
      </c>
      <c r="X2914" s="180">
        <f>_xll.qlCalendarAdvance(LiborCalendar,X2913,W2914,"f",FALSE)</f>
        <v>59392</v>
      </c>
      <c r="Y2914" s="174">
        <f>_xll.qlInterestRateIndexValueDate(IborIndex,X2914)</f>
        <v>59394</v>
      </c>
      <c r="Z2914" s="175" t="e">
        <v>#N/A</v>
      </c>
      <c r="AA2914" s="177" t="e">
        <v>#N/A</v>
      </c>
    </row>
    <row r="2915" spans="23:27" x14ac:dyDescent="0.2">
      <c r="W2915" s="173" t="str">
        <f t="shared" si="56"/>
        <v>1w</v>
      </c>
      <c r="X2915" s="180">
        <f>_xll.qlCalendarAdvance(LiborCalendar,X2914,W2915,"f",FALSE)</f>
        <v>59399</v>
      </c>
      <c r="Y2915" s="174">
        <f>_xll.qlInterestRateIndexValueDate(IborIndex,X2915)</f>
        <v>59401</v>
      </c>
      <c r="Z2915" s="175" t="e">
        <v>#N/A</v>
      </c>
      <c r="AA2915" s="177" t="e">
        <v>#N/A</v>
      </c>
    </row>
    <row r="2916" spans="23:27" x14ac:dyDescent="0.2">
      <c r="W2916" s="173" t="str">
        <f t="shared" si="56"/>
        <v>1w</v>
      </c>
      <c r="X2916" s="180">
        <f>_xll.qlCalendarAdvance(LiborCalendar,X2915,W2916,"f",FALSE)</f>
        <v>59406</v>
      </c>
      <c r="Y2916" s="174">
        <f>_xll.qlInterestRateIndexValueDate(IborIndex,X2916)</f>
        <v>59408</v>
      </c>
      <c r="Z2916" s="175" t="e">
        <v>#N/A</v>
      </c>
      <c r="AA2916" s="177" t="e">
        <v>#N/A</v>
      </c>
    </row>
    <row r="2917" spans="23:27" x14ac:dyDescent="0.2">
      <c r="W2917" s="173" t="str">
        <f t="shared" si="56"/>
        <v>1w</v>
      </c>
      <c r="X2917" s="180">
        <f>_xll.qlCalendarAdvance(LiborCalendar,X2916,W2917,"f",FALSE)</f>
        <v>59413</v>
      </c>
      <c r="Y2917" s="174">
        <f>_xll.qlInterestRateIndexValueDate(IborIndex,X2917)</f>
        <v>59415</v>
      </c>
      <c r="Z2917" s="175" t="e">
        <v>#N/A</v>
      </c>
      <c r="AA2917" s="177" t="e">
        <v>#N/A</v>
      </c>
    </row>
    <row r="2918" spans="23:27" x14ac:dyDescent="0.2">
      <c r="W2918" s="173" t="str">
        <f t="shared" si="56"/>
        <v>1w</v>
      </c>
      <c r="X2918" s="180">
        <f>_xll.qlCalendarAdvance(LiborCalendar,X2917,W2918,"f",FALSE)</f>
        <v>59420</v>
      </c>
      <c r="Y2918" s="174">
        <f>_xll.qlInterestRateIndexValueDate(IborIndex,X2918)</f>
        <v>59422</v>
      </c>
      <c r="Z2918" s="175" t="e">
        <v>#N/A</v>
      </c>
      <c r="AA2918" s="177" t="e">
        <v>#N/A</v>
      </c>
    </row>
    <row r="2919" spans="23:27" x14ac:dyDescent="0.2">
      <c r="W2919" s="173" t="str">
        <f t="shared" si="56"/>
        <v>1w</v>
      </c>
      <c r="X2919" s="180">
        <f>_xll.qlCalendarAdvance(LiborCalendar,X2918,W2919,"f",FALSE)</f>
        <v>59427</v>
      </c>
      <c r="Y2919" s="174">
        <f>_xll.qlInterestRateIndexValueDate(IborIndex,X2919)</f>
        <v>59429</v>
      </c>
      <c r="Z2919" s="175" t="e">
        <v>#N/A</v>
      </c>
      <c r="AA2919" s="177" t="e">
        <v>#N/A</v>
      </c>
    </row>
    <row r="2920" spans="23:27" x14ac:dyDescent="0.2">
      <c r="W2920" s="173" t="str">
        <f t="shared" si="56"/>
        <v>1w</v>
      </c>
      <c r="X2920" s="180">
        <f>_xll.qlCalendarAdvance(LiborCalendar,X2919,W2920,"f",FALSE)</f>
        <v>59434</v>
      </c>
      <c r="Y2920" s="174">
        <f>_xll.qlInterestRateIndexValueDate(IborIndex,X2920)</f>
        <v>59436</v>
      </c>
      <c r="Z2920" s="175" t="e">
        <v>#N/A</v>
      </c>
      <c r="AA2920" s="177" t="e">
        <v>#N/A</v>
      </c>
    </row>
    <row r="2921" spans="23:27" x14ac:dyDescent="0.2">
      <c r="W2921" s="173" t="str">
        <f t="shared" si="56"/>
        <v>1w</v>
      </c>
      <c r="X2921" s="180">
        <f>_xll.qlCalendarAdvance(LiborCalendar,X2920,W2921,"f",FALSE)</f>
        <v>59441</v>
      </c>
      <c r="Y2921" s="174">
        <f>_xll.qlInterestRateIndexValueDate(IborIndex,X2921)</f>
        <v>59443</v>
      </c>
      <c r="Z2921" s="175" t="e">
        <v>#N/A</v>
      </c>
      <c r="AA2921" s="177" t="e">
        <v>#N/A</v>
      </c>
    </row>
    <row r="2922" spans="23:27" x14ac:dyDescent="0.2">
      <c r="W2922" s="173" t="str">
        <f t="shared" si="56"/>
        <v>1w</v>
      </c>
      <c r="X2922" s="180">
        <f>_xll.qlCalendarAdvance(LiborCalendar,X2921,W2922,"f",FALSE)</f>
        <v>59448</v>
      </c>
      <c r="Y2922" s="174">
        <f>_xll.qlInterestRateIndexValueDate(IborIndex,X2922)</f>
        <v>59450</v>
      </c>
      <c r="Z2922" s="175" t="e">
        <v>#N/A</v>
      </c>
      <c r="AA2922" s="177" t="e">
        <v>#N/A</v>
      </c>
    </row>
    <row r="2923" spans="23:27" x14ac:dyDescent="0.2">
      <c r="W2923" s="173" t="str">
        <f t="shared" si="56"/>
        <v>1w</v>
      </c>
      <c r="X2923" s="180">
        <f>_xll.qlCalendarAdvance(LiborCalendar,X2922,W2923,"f",FALSE)</f>
        <v>59455</v>
      </c>
      <c r="Y2923" s="174">
        <f>_xll.qlInterestRateIndexValueDate(IborIndex,X2923)</f>
        <v>59457</v>
      </c>
      <c r="Z2923" s="175" t="e">
        <v>#N/A</v>
      </c>
      <c r="AA2923" s="177" t="e">
        <v>#N/A</v>
      </c>
    </row>
    <row r="2924" spans="23:27" x14ac:dyDescent="0.2">
      <c r="W2924" s="173" t="str">
        <f t="shared" si="56"/>
        <v>1w</v>
      </c>
      <c r="X2924" s="180">
        <f>_xll.qlCalendarAdvance(LiborCalendar,X2923,W2924,"f",FALSE)</f>
        <v>59462</v>
      </c>
      <c r="Y2924" s="174">
        <f>_xll.qlInterestRateIndexValueDate(IborIndex,X2924)</f>
        <v>59464</v>
      </c>
      <c r="Z2924" s="175" t="e">
        <v>#N/A</v>
      </c>
      <c r="AA2924" s="177" t="e">
        <v>#N/A</v>
      </c>
    </row>
    <row r="2925" spans="23:27" x14ac:dyDescent="0.2">
      <c r="W2925" s="173" t="str">
        <f t="shared" si="56"/>
        <v>1w</v>
      </c>
      <c r="X2925" s="180">
        <f>_xll.qlCalendarAdvance(LiborCalendar,X2924,W2925,"f",FALSE)</f>
        <v>59469</v>
      </c>
      <c r="Y2925" s="174">
        <f>_xll.qlInterestRateIndexValueDate(IborIndex,X2925)</f>
        <v>59471</v>
      </c>
      <c r="Z2925" s="175" t="e">
        <v>#N/A</v>
      </c>
      <c r="AA2925" s="177" t="e">
        <v>#N/A</v>
      </c>
    </row>
    <row r="2926" spans="23:27" x14ac:dyDescent="0.2">
      <c r="W2926" s="173" t="str">
        <f t="shared" si="56"/>
        <v>1w</v>
      </c>
      <c r="X2926" s="180">
        <f>_xll.qlCalendarAdvance(LiborCalendar,X2925,W2926,"f",FALSE)</f>
        <v>59476</v>
      </c>
      <c r="Y2926" s="174">
        <f>_xll.qlInterestRateIndexValueDate(IborIndex,X2926)</f>
        <v>59481</v>
      </c>
      <c r="Z2926" s="175" t="e">
        <v>#N/A</v>
      </c>
      <c r="AA2926" s="177" t="e">
        <v>#N/A</v>
      </c>
    </row>
    <row r="2927" spans="23:27" x14ac:dyDescent="0.2">
      <c r="W2927" s="173" t="str">
        <f t="shared" si="56"/>
        <v>1w</v>
      </c>
      <c r="X2927" s="180">
        <f>_xll.qlCalendarAdvance(LiborCalendar,X2926,W2927,"f",FALSE)</f>
        <v>59483</v>
      </c>
      <c r="Y2927" s="174">
        <f>_xll.qlInterestRateIndexValueDate(IborIndex,X2927)</f>
        <v>59485</v>
      </c>
      <c r="Z2927" s="175" t="e">
        <v>#N/A</v>
      </c>
      <c r="AA2927" s="177" t="e">
        <v>#N/A</v>
      </c>
    </row>
    <row r="2928" spans="23:27" x14ac:dyDescent="0.2">
      <c r="W2928" s="173" t="str">
        <f t="shared" si="56"/>
        <v>1w</v>
      </c>
      <c r="X2928" s="180">
        <f>_xll.qlCalendarAdvance(LiborCalendar,X2927,W2928,"f",FALSE)</f>
        <v>59490</v>
      </c>
      <c r="Y2928" s="174">
        <f>_xll.qlInterestRateIndexValueDate(IborIndex,X2928)</f>
        <v>59492</v>
      </c>
      <c r="Z2928" s="175" t="e">
        <v>#N/A</v>
      </c>
      <c r="AA2928" s="177" t="e">
        <v>#N/A</v>
      </c>
    </row>
    <row r="2929" spans="23:27" x14ac:dyDescent="0.2">
      <c r="W2929" s="173" t="str">
        <f t="shared" si="56"/>
        <v>1w</v>
      </c>
      <c r="X2929" s="180">
        <f>_xll.qlCalendarAdvance(LiborCalendar,X2928,W2929,"f",FALSE)</f>
        <v>59497</v>
      </c>
      <c r="Y2929" s="174">
        <f>_xll.qlInterestRateIndexValueDate(IborIndex,X2929)</f>
        <v>59499</v>
      </c>
      <c r="Z2929" s="175" t="e">
        <v>#N/A</v>
      </c>
      <c r="AA2929" s="177" t="e">
        <v>#N/A</v>
      </c>
    </row>
    <row r="2930" spans="23:27" x14ac:dyDescent="0.2">
      <c r="W2930" s="173" t="str">
        <f t="shared" si="56"/>
        <v>1w</v>
      </c>
      <c r="X2930" s="180">
        <f>_xll.qlCalendarAdvance(LiborCalendar,X2929,W2930,"f",FALSE)</f>
        <v>59504</v>
      </c>
      <c r="Y2930" s="174">
        <f>_xll.qlInterestRateIndexValueDate(IborIndex,X2930)</f>
        <v>59506</v>
      </c>
      <c r="Z2930" s="175" t="e">
        <v>#N/A</v>
      </c>
      <c r="AA2930" s="177" t="e">
        <v>#N/A</v>
      </c>
    </row>
    <row r="2931" spans="23:27" x14ac:dyDescent="0.2">
      <c r="W2931" s="173" t="str">
        <f t="shared" si="56"/>
        <v>1w</v>
      </c>
      <c r="X2931" s="180">
        <f>_xll.qlCalendarAdvance(LiborCalendar,X2930,W2931,"f",FALSE)</f>
        <v>59511</v>
      </c>
      <c r="Y2931" s="174">
        <f>_xll.qlInterestRateIndexValueDate(IborIndex,X2931)</f>
        <v>59513</v>
      </c>
      <c r="Z2931" s="175" t="e">
        <v>#N/A</v>
      </c>
      <c r="AA2931" s="177" t="e">
        <v>#N/A</v>
      </c>
    </row>
    <row r="2932" spans="23:27" x14ac:dyDescent="0.2">
      <c r="W2932" s="173" t="str">
        <f t="shared" si="56"/>
        <v>1w</v>
      </c>
      <c r="X2932" s="180">
        <f>_xll.qlCalendarAdvance(LiborCalendar,X2931,W2932,"f",FALSE)</f>
        <v>59518</v>
      </c>
      <c r="Y2932" s="174">
        <f>_xll.qlInterestRateIndexValueDate(IborIndex,X2932)</f>
        <v>59520</v>
      </c>
      <c r="Z2932" s="175" t="e">
        <v>#N/A</v>
      </c>
      <c r="AA2932" s="177" t="e">
        <v>#N/A</v>
      </c>
    </row>
    <row r="2933" spans="23:27" x14ac:dyDescent="0.2">
      <c r="W2933" s="173" t="str">
        <f t="shared" si="56"/>
        <v>1w</v>
      </c>
      <c r="X2933" s="180">
        <f>_xll.qlCalendarAdvance(LiborCalendar,X2932,W2933,"f",FALSE)</f>
        <v>59525</v>
      </c>
      <c r="Y2933" s="174">
        <f>_xll.qlInterestRateIndexValueDate(IborIndex,X2933)</f>
        <v>59527</v>
      </c>
      <c r="Z2933" s="175" t="e">
        <v>#N/A</v>
      </c>
      <c r="AA2933" s="177" t="e">
        <v>#N/A</v>
      </c>
    </row>
    <row r="2934" spans="23:27" x14ac:dyDescent="0.2">
      <c r="W2934" s="173" t="str">
        <f t="shared" si="56"/>
        <v>1w</v>
      </c>
      <c r="X2934" s="180">
        <f>_xll.qlCalendarAdvance(LiborCalendar,X2933,W2934,"f",FALSE)</f>
        <v>59532</v>
      </c>
      <c r="Y2934" s="174">
        <f>_xll.qlInterestRateIndexValueDate(IborIndex,X2934)</f>
        <v>59534</v>
      </c>
      <c r="Z2934" s="175" t="e">
        <v>#N/A</v>
      </c>
      <c r="AA2934" s="177" t="e">
        <v>#N/A</v>
      </c>
    </row>
    <row r="2935" spans="23:27" x14ac:dyDescent="0.2">
      <c r="W2935" s="173" t="str">
        <f t="shared" si="56"/>
        <v>1w</v>
      </c>
      <c r="X2935" s="180">
        <f>_xll.qlCalendarAdvance(LiborCalendar,X2934,W2935,"f",FALSE)</f>
        <v>59539</v>
      </c>
      <c r="Y2935" s="174">
        <f>_xll.qlInterestRateIndexValueDate(IborIndex,X2935)</f>
        <v>59541</v>
      </c>
      <c r="Z2935" s="175" t="e">
        <v>#N/A</v>
      </c>
      <c r="AA2935" s="177" t="e">
        <v>#N/A</v>
      </c>
    </row>
    <row r="2936" spans="23:27" x14ac:dyDescent="0.2">
      <c r="W2936" s="173" t="str">
        <f t="shared" si="56"/>
        <v>1w</v>
      </c>
      <c r="X2936" s="180">
        <f>_xll.qlCalendarAdvance(LiborCalendar,X2935,W2936,"f",FALSE)</f>
        <v>59546</v>
      </c>
      <c r="Y2936" s="174">
        <f>_xll.qlInterestRateIndexValueDate(IborIndex,X2936)</f>
        <v>59548</v>
      </c>
      <c r="Z2936" s="175" t="e">
        <v>#N/A</v>
      </c>
      <c r="AA2936" s="177" t="e">
        <v>#N/A</v>
      </c>
    </row>
    <row r="2937" spans="23:27" x14ac:dyDescent="0.2">
      <c r="W2937" s="173" t="str">
        <f t="shared" si="56"/>
        <v>1w</v>
      </c>
      <c r="X2937" s="180">
        <f>_xll.qlCalendarAdvance(LiborCalendar,X2936,W2937,"f",FALSE)</f>
        <v>59553</v>
      </c>
      <c r="Y2937" s="174">
        <f>_xll.qlInterestRateIndexValueDate(IborIndex,X2937)</f>
        <v>59555</v>
      </c>
      <c r="Z2937" s="175" t="e">
        <v>#N/A</v>
      </c>
      <c r="AA2937" s="177" t="e">
        <v>#N/A</v>
      </c>
    </row>
    <row r="2938" spans="23:27" x14ac:dyDescent="0.2">
      <c r="W2938" s="173" t="str">
        <f t="shared" si="56"/>
        <v>1w</v>
      </c>
      <c r="X2938" s="180">
        <f>_xll.qlCalendarAdvance(LiborCalendar,X2937,W2938,"f",FALSE)</f>
        <v>59560</v>
      </c>
      <c r="Y2938" s="174">
        <f>_xll.qlInterestRateIndexValueDate(IborIndex,X2938)</f>
        <v>59562</v>
      </c>
      <c r="Z2938" s="175" t="e">
        <v>#N/A</v>
      </c>
      <c r="AA2938" s="177" t="e">
        <v>#N/A</v>
      </c>
    </row>
    <row r="2939" spans="23:27" x14ac:dyDescent="0.2">
      <c r="W2939" s="173" t="str">
        <f t="shared" si="56"/>
        <v>1w</v>
      </c>
      <c r="X2939" s="180">
        <f>_xll.qlCalendarAdvance(LiborCalendar,X2938,W2939,"f",FALSE)</f>
        <v>59567</v>
      </c>
      <c r="Y2939" s="174">
        <f>_xll.qlInterestRateIndexValueDate(IborIndex,X2939)</f>
        <v>59569</v>
      </c>
      <c r="Z2939" s="175" t="e">
        <v>#N/A</v>
      </c>
      <c r="AA2939" s="177" t="e">
        <v>#N/A</v>
      </c>
    </row>
    <row r="2940" spans="23:27" x14ac:dyDescent="0.2">
      <c r="W2940" s="173" t="str">
        <f t="shared" si="56"/>
        <v>1w</v>
      </c>
      <c r="X2940" s="180">
        <f>_xll.qlCalendarAdvance(LiborCalendar,X2939,W2940,"f",FALSE)</f>
        <v>59574</v>
      </c>
      <c r="Y2940" s="174">
        <f>_xll.qlInterestRateIndexValueDate(IborIndex,X2940)</f>
        <v>59576</v>
      </c>
      <c r="Z2940" s="175" t="e">
        <v>#N/A</v>
      </c>
      <c r="AA2940" s="177" t="e">
        <v>#N/A</v>
      </c>
    </row>
    <row r="2941" spans="23:27" x14ac:dyDescent="0.2">
      <c r="W2941" s="173" t="str">
        <f t="shared" si="56"/>
        <v>1w</v>
      </c>
      <c r="X2941" s="180">
        <f>_xll.qlCalendarAdvance(LiborCalendar,X2940,W2941,"f",FALSE)</f>
        <v>59581</v>
      </c>
      <c r="Y2941" s="174">
        <f>_xll.qlInterestRateIndexValueDate(IborIndex,X2941)</f>
        <v>59583</v>
      </c>
      <c r="Z2941" s="175" t="e">
        <v>#N/A</v>
      </c>
      <c r="AA2941" s="177" t="e">
        <v>#N/A</v>
      </c>
    </row>
    <row r="2942" spans="23:27" x14ac:dyDescent="0.2">
      <c r="W2942" s="173" t="str">
        <f t="shared" si="56"/>
        <v>1w</v>
      </c>
      <c r="X2942" s="180">
        <f>_xll.qlCalendarAdvance(LiborCalendar,X2941,W2942,"f",FALSE)</f>
        <v>59588</v>
      </c>
      <c r="Y2942" s="174">
        <f>_xll.qlInterestRateIndexValueDate(IborIndex,X2942)</f>
        <v>59590</v>
      </c>
      <c r="Z2942" s="175" t="e">
        <v>#N/A</v>
      </c>
      <c r="AA2942" s="177" t="e">
        <v>#N/A</v>
      </c>
    </row>
    <row r="2943" spans="23:27" x14ac:dyDescent="0.2">
      <c r="W2943" s="173" t="str">
        <f t="shared" si="56"/>
        <v>1w</v>
      </c>
      <c r="X2943" s="180">
        <f>_xll.qlCalendarAdvance(LiborCalendar,X2942,W2943,"f",FALSE)</f>
        <v>59595</v>
      </c>
      <c r="Y2943" s="174">
        <f>_xll.qlInterestRateIndexValueDate(IborIndex,X2943)</f>
        <v>59597</v>
      </c>
      <c r="Z2943" s="175" t="e">
        <v>#N/A</v>
      </c>
      <c r="AA2943" s="177" t="e">
        <v>#N/A</v>
      </c>
    </row>
    <row r="2944" spans="23:27" x14ac:dyDescent="0.2">
      <c r="W2944" s="173" t="str">
        <f t="shared" si="56"/>
        <v>1w</v>
      </c>
      <c r="X2944" s="180">
        <f>_xll.qlCalendarAdvance(LiborCalendar,X2943,W2944,"f",FALSE)</f>
        <v>59602</v>
      </c>
      <c r="Y2944" s="174">
        <f>_xll.qlInterestRateIndexValueDate(IborIndex,X2944)</f>
        <v>59604</v>
      </c>
      <c r="Z2944" s="175" t="e">
        <v>#N/A</v>
      </c>
      <c r="AA2944" s="177" t="e">
        <v>#N/A</v>
      </c>
    </row>
    <row r="2945" spans="23:27" x14ac:dyDescent="0.2">
      <c r="W2945" s="173" t="str">
        <f t="shared" si="56"/>
        <v>1w</v>
      </c>
      <c r="X2945" s="180">
        <f>_xll.qlCalendarAdvance(LiborCalendar,X2944,W2945,"f",FALSE)</f>
        <v>59609</v>
      </c>
      <c r="Y2945" s="174">
        <f>_xll.qlInterestRateIndexValueDate(IborIndex,X2945)</f>
        <v>59611</v>
      </c>
      <c r="Z2945" s="175" t="e">
        <v>#N/A</v>
      </c>
      <c r="AA2945" s="177" t="e">
        <v>#N/A</v>
      </c>
    </row>
    <row r="2946" spans="23:27" x14ac:dyDescent="0.2">
      <c r="W2946" s="173" t="str">
        <f t="shared" si="56"/>
        <v>1w</v>
      </c>
      <c r="X2946" s="180">
        <f>_xll.qlCalendarAdvance(LiborCalendar,X2945,W2946,"f",FALSE)</f>
        <v>59616</v>
      </c>
      <c r="Y2946" s="174">
        <f>_xll.qlInterestRateIndexValueDate(IborIndex,X2946)</f>
        <v>59618</v>
      </c>
      <c r="Z2946" s="175" t="e">
        <v>#N/A</v>
      </c>
      <c r="AA2946" s="177" t="e">
        <v>#N/A</v>
      </c>
    </row>
    <row r="2947" spans="23:27" x14ac:dyDescent="0.2">
      <c r="W2947" s="173" t="str">
        <f t="shared" si="56"/>
        <v>1w</v>
      </c>
      <c r="X2947" s="180">
        <f>_xll.qlCalendarAdvance(LiborCalendar,X2946,W2947,"f",FALSE)</f>
        <v>59623</v>
      </c>
      <c r="Y2947" s="174">
        <f>_xll.qlInterestRateIndexValueDate(IborIndex,X2947)</f>
        <v>59625</v>
      </c>
      <c r="Z2947" s="175" t="e">
        <v>#N/A</v>
      </c>
      <c r="AA2947" s="177" t="e">
        <v>#N/A</v>
      </c>
    </row>
    <row r="2948" spans="23:27" x14ac:dyDescent="0.2">
      <c r="W2948" s="173" t="str">
        <f t="shared" si="56"/>
        <v>1w</v>
      </c>
      <c r="X2948" s="180">
        <f>_xll.qlCalendarAdvance(LiborCalendar,X2947,W2948,"f",FALSE)</f>
        <v>59630</v>
      </c>
      <c r="Y2948" s="174">
        <f>_xll.qlInterestRateIndexValueDate(IborIndex,X2948)</f>
        <v>59632</v>
      </c>
      <c r="Z2948" s="175" t="e">
        <v>#N/A</v>
      </c>
      <c r="AA2948" s="177" t="e">
        <v>#N/A</v>
      </c>
    </row>
    <row r="2949" spans="23:27" x14ac:dyDescent="0.2">
      <c r="W2949" s="173" t="str">
        <f t="shared" si="56"/>
        <v>1w</v>
      </c>
      <c r="X2949" s="180">
        <f>_xll.qlCalendarAdvance(LiborCalendar,X2948,W2949,"f",FALSE)</f>
        <v>59637</v>
      </c>
      <c r="Y2949" s="174">
        <f>_xll.qlInterestRateIndexValueDate(IborIndex,X2949)</f>
        <v>59643</v>
      </c>
      <c r="Z2949" s="175" t="e">
        <v>#N/A</v>
      </c>
      <c r="AA2949" s="177" t="e">
        <v>#N/A</v>
      </c>
    </row>
    <row r="2950" spans="23:27" x14ac:dyDescent="0.2">
      <c r="W2950" s="173" t="str">
        <f t="shared" si="56"/>
        <v>1w</v>
      </c>
      <c r="X2950" s="180">
        <f>_xll.qlCalendarAdvance(LiborCalendar,X2949,W2950,"f",FALSE)</f>
        <v>59644</v>
      </c>
      <c r="Y2950" s="174">
        <f>_xll.qlInterestRateIndexValueDate(IborIndex,X2950)</f>
        <v>59646</v>
      </c>
      <c r="Z2950" s="175" t="e">
        <v>#N/A</v>
      </c>
      <c r="AA2950" s="177" t="e">
        <v>#N/A</v>
      </c>
    </row>
    <row r="2951" spans="23:27" x14ac:dyDescent="0.2">
      <c r="W2951" s="173" t="str">
        <f t="shared" si="56"/>
        <v>1w</v>
      </c>
      <c r="X2951" s="180">
        <f>_xll.qlCalendarAdvance(LiborCalendar,X2950,W2951,"f",FALSE)</f>
        <v>59651</v>
      </c>
      <c r="Y2951" s="174">
        <f>_xll.qlInterestRateIndexValueDate(IborIndex,X2951)</f>
        <v>59653</v>
      </c>
      <c r="Z2951" s="175" t="e">
        <v>#N/A</v>
      </c>
      <c r="AA2951" s="177" t="e">
        <v>#N/A</v>
      </c>
    </row>
    <row r="2952" spans="23:27" x14ac:dyDescent="0.2">
      <c r="W2952" s="173" t="str">
        <f t="shared" si="56"/>
        <v>1w</v>
      </c>
      <c r="X2952" s="180">
        <f>_xll.qlCalendarAdvance(LiborCalendar,X2951,W2952,"f",FALSE)</f>
        <v>59658</v>
      </c>
      <c r="Y2952" s="174">
        <f>_xll.qlInterestRateIndexValueDate(IborIndex,X2952)</f>
        <v>59664</v>
      </c>
      <c r="Z2952" s="175" t="e">
        <v>#N/A</v>
      </c>
      <c r="AA2952" s="177" t="e">
        <v>#N/A</v>
      </c>
    </row>
    <row r="2953" spans="23:27" x14ac:dyDescent="0.2">
      <c r="W2953" s="173" t="str">
        <f t="shared" si="56"/>
        <v>1w</v>
      </c>
      <c r="X2953" s="180">
        <f>_xll.qlCalendarAdvance(LiborCalendar,X2952,W2953,"f",FALSE)</f>
        <v>59665</v>
      </c>
      <c r="Y2953" s="174">
        <f>_xll.qlInterestRateIndexValueDate(IborIndex,X2953)</f>
        <v>59667</v>
      </c>
      <c r="Z2953" s="175" t="e">
        <v>#N/A</v>
      </c>
      <c r="AA2953" s="177" t="e">
        <v>#N/A</v>
      </c>
    </row>
    <row r="2954" spans="23:27" x14ac:dyDescent="0.2">
      <c r="W2954" s="173" t="str">
        <f t="shared" si="56"/>
        <v>1w</v>
      </c>
      <c r="X2954" s="180">
        <f>_xll.qlCalendarAdvance(LiborCalendar,X2953,W2954,"f",FALSE)</f>
        <v>59672</v>
      </c>
      <c r="Y2954" s="174">
        <f>_xll.qlInterestRateIndexValueDate(IborIndex,X2954)</f>
        <v>59674</v>
      </c>
      <c r="Z2954" s="175" t="e">
        <v>#N/A</v>
      </c>
      <c r="AA2954" s="177" t="e">
        <v>#N/A</v>
      </c>
    </row>
    <row r="2955" spans="23:27" x14ac:dyDescent="0.2">
      <c r="W2955" s="173" t="str">
        <f t="shared" si="56"/>
        <v>1w</v>
      </c>
      <c r="X2955" s="180">
        <f>_xll.qlCalendarAdvance(LiborCalendar,X2954,W2955,"f",FALSE)</f>
        <v>59679</v>
      </c>
      <c r="Y2955" s="174">
        <f>_xll.qlInterestRateIndexValueDate(IborIndex,X2955)</f>
        <v>59681</v>
      </c>
      <c r="Z2955" s="175" t="e">
        <v>#N/A</v>
      </c>
      <c r="AA2955" s="177" t="e">
        <v>#N/A</v>
      </c>
    </row>
    <row r="2956" spans="23:27" x14ac:dyDescent="0.2">
      <c r="W2956" s="173" t="str">
        <f t="shared" si="56"/>
        <v>1w</v>
      </c>
      <c r="X2956" s="180">
        <f>_xll.qlCalendarAdvance(LiborCalendar,X2955,W2956,"f",FALSE)</f>
        <v>59686</v>
      </c>
      <c r="Y2956" s="174">
        <f>_xll.qlInterestRateIndexValueDate(IborIndex,X2956)</f>
        <v>59688</v>
      </c>
      <c r="Z2956" s="175" t="e">
        <v>#N/A</v>
      </c>
      <c r="AA2956" s="177" t="e">
        <v>#N/A</v>
      </c>
    </row>
    <row r="2957" spans="23:27" x14ac:dyDescent="0.2">
      <c r="W2957" s="173" t="str">
        <f t="shared" si="56"/>
        <v>1w</v>
      </c>
      <c r="X2957" s="180">
        <f>_xll.qlCalendarAdvance(LiborCalendar,X2956,W2957,"f",FALSE)</f>
        <v>59693</v>
      </c>
      <c r="Y2957" s="174">
        <f>_xll.qlInterestRateIndexValueDate(IborIndex,X2957)</f>
        <v>59695</v>
      </c>
      <c r="Z2957" s="175" t="e">
        <v>#N/A</v>
      </c>
      <c r="AA2957" s="177" t="e">
        <v>#N/A</v>
      </c>
    </row>
    <row r="2958" spans="23:27" x14ac:dyDescent="0.2">
      <c r="W2958" s="173" t="str">
        <f t="shared" si="56"/>
        <v>1w</v>
      </c>
      <c r="X2958" s="180">
        <f>_xll.qlCalendarAdvance(LiborCalendar,X2957,W2958,"f",FALSE)</f>
        <v>59700</v>
      </c>
      <c r="Y2958" s="174">
        <f>_xll.qlInterestRateIndexValueDate(IborIndex,X2958)</f>
        <v>59702</v>
      </c>
      <c r="Z2958" s="175" t="e">
        <v>#N/A</v>
      </c>
      <c r="AA2958" s="177" t="e">
        <v>#N/A</v>
      </c>
    </row>
    <row r="2959" spans="23:27" x14ac:dyDescent="0.2">
      <c r="W2959" s="173" t="str">
        <f t="shared" si="56"/>
        <v>1w</v>
      </c>
      <c r="X2959" s="180">
        <f>_xll.qlCalendarAdvance(LiborCalendar,X2958,W2959,"f",FALSE)</f>
        <v>59707</v>
      </c>
      <c r="Y2959" s="174">
        <f>_xll.qlInterestRateIndexValueDate(IborIndex,X2959)</f>
        <v>59709</v>
      </c>
      <c r="Z2959" s="175" t="e">
        <v>#N/A</v>
      </c>
      <c r="AA2959" s="177" t="e">
        <v>#N/A</v>
      </c>
    </row>
    <row r="2960" spans="23:27" x14ac:dyDescent="0.2">
      <c r="W2960" s="173" t="str">
        <f t="shared" si="56"/>
        <v>1w</v>
      </c>
      <c r="X2960" s="180">
        <f>_xll.qlCalendarAdvance(LiborCalendar,X2959,W2960,"f",FALSE)</f>
        <v>59714</v>
      </c>
      <c r="Y2960" s="174">
        <f>_xll.qlInterestRateIndexValueDate(IborIndex,X2960)</f>
        <v>59716</v>
      </c>
      <c r="Z2960" s="175" t="e">
        <v>#N/A</v>
      </c>
      <c r="AA2960" s="177" t="e">
        <v>#N/A</v>
      </c>
    </row>
    <row r="2961" spans="23:27" x14ac:dyDescent="0.2">
      <c r="W2961" s="173" t="str">
        <f t="shared" si="56"/>
        <v>1w</v>
      </c>
      <c r="X2961" s="180">
        <f>_xll.qlCalendarAdvance(LiborCalendar,X2960,W2961,"f",FALSE)</f>
        <v>59721</v>
      </c>
      <c r="Y2961" s="174">
        <f>_xll.qlInterestRateIndexValueDate(IborIndex,X2961)</f>
        <v>59723</v>
      </c>
      <c r="Z2961" s="175" t="e">
        <v>#N/A</v>
      </c>
      <c r="AA2961" s="177" t="e">
        <v>#N/A</v>
      </c>
    </row>
    <row r="2962" spans="23:27" x14ac:dyDescent="0.2">
      <c r="W2962" s="173" t="str">
        <f t="shared" si="56"/>
        <v>1w</v>
      </c>
      <c r="X2962" s="180">
        <f>_xll.qlCalendarAdvance(LiborCalendar,X2961,W2962,"f",FALSE)</f>
        <v>59728</v>
      </c>
      <c r="Y2962" s="174">
        <f>_xll.qlInterestRateIndexValueDate(IborIndex,X2962)</f>
        <v>59730</v>
      </c>
      <c r="Z2962" s="175" t="e">
        <v>#N/A</v>
      </c>
      <c r="AA2962" s="177" t="e">
        <v>#N/A</v>
      </c>
    </row>
    <row r="2963" spans="23:27" x14ac:dyDescent="0.2">
      <c r="W2963" s="173" t="str">
        <f t="shared" si="56"/>
        <v>1w</v>
      </c>
      <c r="X2963" s="180">
        <f>_xll.qlCalendarAdvance(LiborCalendar,X2962,W2963,"f",FALSE)</f>
        <v>59735</v>
      </c>
      <c r="Y2963" s="174">
        <f>_xll.qlInterestRateIndexValueDate(IborIndex,X2963)</f>
        <v>59737</v>
      </c>
      <c r="Z2963" s="175" t="e">
        <v>#N/A</v>
      </c>
      <c r="AA2963" s="177" t="e">
        <v>#N/A</v>
      </c>
    </row>
    <row r="2964" spans="23:27" x14ac:dyDescent="0.2">
      <c r="W2964" s="173" t="str">
        <f t="shared" si="56"/>
        <v>1w</v>
      </c>
      <c r="X2964" s="180">
        <f>_xll.qlCalendarAdvance(LiborCalendar,X2963,W2964,"f",FALSE)</f>
        <v>59742</v>
      </c>
      <c r="Y2964" s="174">
        <f>_xll.qlInterestRateIndexValueDate(IborIndex,X2964)</f>
        <v>59744</v>
      </c>
      <c r="Z2964" s="175" t="e">
        <v>#N/A</v>
      </c>
      <c r="AA2964" s="177" t="e">
        <v>#N/A</v>
      </c>
    </row>
    <row r="2965" spans="23:27" x14ac:dyDescent="0.2">
      <c r="W2965" s="173" t="str">
        <f t="shared" ref="W2965:W3028" si="57">W2964</f>
        <v>1w</v>
      </c>
      <c r="X2965" s="180">
        <f>_xll.qlCalendarAdvance(LiborCalendar,X2964,W2965,"f",FALSE)</f>
        <v>59749</v>
      </c>
      <c r="Y2965" s="174">
        <f>_xll.qlInterestRateIndexValueDate(IborIndex,X2965)</f>
        <v>59751</v>
      </c>
      <c r="Z2965" s="175" t="e">
        <v>#N/A</v>
      </c>
      <c r="AA2965" s="177" t="e">
        <v>#N/A</v>
      </c>
    </row>
    <row r="2966" spans="23:27" x14ac:dyDescent="0.2">
      <c r="W2966" s="173" t="str">
        <f t="shared" si="57"/>
        <v>1w</v>
      </c>
      <c r="X2966" s="180">
        <f>_xll.qlCalendarAdvance(LiborCalendar,X2965,W2966,"f",FALSE)</f>
        <v>59756</v>
      </c>
      <c r="Y2966" s="174">
        <f>_xll.qlInterestRateIndexValueDate(IborIndex,X2966)</f>
        <v>59758</v>
      </c>
      <c r="Z2966" s="175" t="e">
        <v>#N/A</v>
      </c>
      <c r="AA2966" s="177" t="e">
        <v>#N/A</v>
      </c>
    </row>
    <row r="2967" spans="23:27" x14ac:dyDescent="0.2">
      <c r="W2967" s="173" t="str">
        <f t="shared" si="57"/>
        <v>1w</v>
      </c>
      <c r="X2967" s="180">
        <f>_xll.qlCalendarAdvance(LiborCalendar,X2966,W2967,"f",FALSE)</f>
        <v>59763</v>
      </c>
      <c r="Y2967" s="174">
        <f>_xll.qlInterestRateIndexValueDate(IborIndex,X2967)</f>
        <v>59765</v>
      </c>
      <c r="Z2967" s="175" t="e">
        <v>#N/A</v>
      </c>
      <c r="AA2967" s="177" t="e">
        <v>#N/A</v>
      </c>
    </row>
    <row r="2968" spans="23:27" x14ac:dyDescent="0.2">
      <c r="W2968" s="173" t="str">
        <f t="shared" si="57"/>
        <v>1w</v>
      </c>
      <c r="X2968" s="180">
        <f>_xll.qlCalendarAdvance(LiborCalendar,X2967,W2968,"f",FALSE)</f>
        <v>59770</v>
      </c>
      <c r="Y2968" s="174">
        <f>_xll.qlInterestRateIndexValueDate(IborIndex,X2968)</f>
        <v>59772</v>
      </c>
      <c r="Z2968" s="175" t="e">
        <v>#N/A</v>
      </c>
      <c r="AA2968" s="177" t="e">
        <v>#N/A</v>
      </c>
    </row>
    <row r="2969" spans="23:27" x14ac:dyDescent="0.2">
      <c r="W2969" s="173" t="str">
        <f t="shared" si="57"/>
        <v>1w</v>
      </c>
      <c r="X2969" s="180">
        <f>_xll.qlCalendarAdvance(LiborCalendar,X2968,W2969,"f",FALSE)</f>
        <v>59777</v>
      </c>
      <c r="Y2969" s="174">
        <f>_xll.qlInterestRateIndexValueDate(IborIndex,X2969)</f>
        <v>59779</v>
      </c>
      <c r="Z2969" s="175" t="e">
        <v>#N/A</v>
      </c>
      <c r="AA2969" s="177" t="e">
        <v>#N/A</v>
      </c>
    </row>
    <row r="2970" spans="23:27" x14ac:dyDescent="0.2">
      <c r="W2970" s="173" t="str">
        <f t="shared" si="57"/>
        <v>1w</v>
      </c>
      <c r="X2970" s="180">
        <f>_xll.qlCalendarAdvance(LiborCalendar,X2969,W2970,"f",FALSE)</f>
        <v>59784</v>
      </c>
      <c r="Y2970" s="174">
        <f>_xll.qlInterestRateIndexValueDate(IborIndex,X2970)</f>
        <v>59786</v>
      </c>
      <c r="Z2970" s="175" t="e">
        <v>#N/A</v>
      </c>
      <c r="AA2970" s="177" t="e">
        <v>#N/A</v>
      </c>
    </row>
    <row r="2971" spans="23:27" x14ac:dyDescent="0.2">
      <c r="W2971" s="173" t="str">
        <f t="shared" si="57"/>
        <v>1w</v>
      </c>
      <c r="X2971" s="180">
        <f>_xll.qlCalendarAdvance(LiborCalendar,X2970,W2971,"f",FALSE)</f>
        <v>59791</v>
      </c>
      <c r="Y2971" s="174">
        <f>_xll.qlInterestRateIndexValueDate(IborIndex,X2971)</f>
        <v>59793</v>
      </c>
      <c r="Z2971" s="175" t="e">
        <v>#N/A</v>
      </c>
      <c r="AA2971" s="177" t="e">
        <v>#N/A</v>
      </c>
    </row>
    <row r="2972" spans="23:27" x14ac:dyDescent="0.2">
      <c r="W2972" s="173" t="str">
        <f t="shared" si="57"/>
        <v>1w</v>
      </c>
      <c r="X2972" s="180">
        <f>_xll.qlCalendarAdvance(LiborCalendar,X2971,W2972,"f",FALSE)</f>
        <v>59798</v>
      </c>
      <c r="Y2972" s="174">
        <f>_xll.qlInterestRateIndexValueDate(IborIndex,X2972)</f>
        <v>59800</v>
      </c>
      <c r="Z2972" s="175" t="e">
        <v>#N/A</v>
      </c>
      <c r="AA2972" s="177" t="e">
        <v>#N/A</v>
      </c>
    </row>
    <row r="2973" spans="23:27" x14ac:dyDescent="0.2">
      <c r="W2973" s="173" t="str">
        <f t="shared" si="57"/>
        <v>1w</v>
      </c>
      <c r="X2973" s="180">
        <f>_xll.qlCalendarAdvance(LiborCalendar,X2972,W2973,"f",FALSE)</f>
        <v>59805</v>
      </c>
      <c r="Y2973" s="174">
        <f>_xll.qlInterestRateIndexValueDate(IborIndex,X2973)</f>
        <v>59807</v>
      </c>
      <c r="Z2973" s="175" t="e">
        <v>#N/A</v>
      </c>
      <c r="AA2973" s="177" t="e">
        <v>#N/A</v>
      </c>
    </row>
    <row r="2974" spans="23:27" x14ac:dyDescent="0.2">
      <c r="W2974" s="173" t="str">
        <f t="shared" si="57"/>
        <v>1w</v>
      </c>
      <c r="X2974" s="180">
        <f>_xll.qlCalendarAdvance(LiborCalendar,X2973,W2974,"f",FALSE)</f>
        <v>59812</v>
      </c>
      <c r="Y2974" s="174">
        <f>_xll.qlInterestRateIndexValueDate(IborIndex,X2974)</f>
        <v>59814</v>
      </c>
      <c r="Z2974" s="175" t="e">
        <v>#N/A</v>
      </c>
      <c r="AA2974" s="177" t="e">
        <v>#N/A</v>
      </c>
    </row>
    <row r="2975" spans="23:27" x14ac:dyDescent="0.2">
      <c r="W2975" s="173" t="str">
        <f t="shared" si="57"/>
        <v>1w</v>
      </c>
      <c r="X2975" s="180">
        <f>_xll.qlCalendarAdvance(LiborCalendar,X2974,W2975,"f",FALSE)</f>
        <v>59819</v>
      </c>
      <c r="Y2975" s="174">
        <f>_xll.qlInterestRateIndexValueDate(IborIndex,X2975)</f>
        <v>59821</v>
      </c>
      <c r="Z2975" s="175" t="e">
        <v>#N/A</v>
      </c>
      <c r="AA2975" s="177" t="e">
        <v>#N/A</v>
      </c>
    </row>
    <row r="2976" spans="23:27" x14ac:dyDescent="0.2">
      <c r="W2976" s="173" t="str">
        <f t="shared" si="57"/>
        <v>1w</v>
      </c>
      <c r="X2976" s="180">
        <f>_xll.qlCalendarAdvance(LiborCalendar,X2975,W2976,"f",FALSE)</f>
        <v>59826</v>
      </c>
      <c r="Y2976" s="174">
        <f>_xll.qlInterestRateIndexValueDate(IborIndex,X2976)</f>
        <v>59828</v>
      </c>
      <c r="Z2976" s="175" t="e">
        <v>#N/A</v>
      </c>
      <c r="AA2976" s="177" t="e">
        <v>#N/A</v>
      </c>
    </row>
    <row r="2977" spans="23:27" x14ac:dyDescent="0.2">
      <c r="W2977" s="173" t="str">
        <f t="shared" si="57"/>
        <v>1w</v>
      </c>
      <c r="X2977" s="180">
        <f>_xll.qlCalendarAdvance(LiborCalendar,X2976,W2977,"f",FALSE)</f>
        <v>59833</v>
      </c>
      <c r="Y2977" s="174">
        <f>_xll.qlInterestRateIndexValueDate(IborIndex,X2977)</f>
        <v>59835</v>
      </c>
      <c r="Z2977" s="175" t="e">
        <v>#N/A</v>
      </c>
      <c r="AA2977" s="177" t="e">
        <v>#N/A</v>
      </c>
    </row>
    <row r="2978" spans="23:27" x14ac:dyDescent="0.2">
      <c r="W2978" s="173" t="str">
        <f t="shared" si="57"/>
        <v>1w</v>
      </c>
      <c r="X2978" s="180">
        <f>_xll.qlCalendarAdvance(LiborCalendar,X2977,W2978,"f",FALSE)</f>
        <v>59840</v>
      </c>
      <c r="Y2978" s="174">
        <f>_xll.qlInterestRateIndexValueDate(IborIndex,X2978)</f>
        <v>59842</v>
      </c>
      <c r="Z2978" s="175" t="e">
        <v>#N/A</v>
      </c>
      <c r="AA2978" s="177" t="e">
        <v>#N/A</v>
      </c>
    </row>
    <row r="2979" spans="23:27" x14ac:dyDescent="0.2">
      <c r="W2979" s="173" t="str">
        <f t="shared" si="57"/>
        <v>1w</v>
      </c>
      <c r="X2979" s="180">
        <f>_xll.qlCalendarAdvance(LiborCalendar,X2978,W2979,"f",FALSE)</f>
        <v>59847</v>
      </c>
      <c r="Y2979" s="174">
        <f>_xll.qlInterestRateIndexValueDate(IborIndex,X2979)</f>
        <v>59849</v>
      </c>
      <c r="Z2979" s="175" t="e">
        <v>#N/A</v>
      </c>
      <c r="AA2979" s="177" t="e">
        <v>#N/A</v>
      </c>
    </row>
    <row r="2980" spans="23:27" x14ac:dyDescent="0.2">
      <c r="W2980" s="173" t="str">
        <f t="shared" si="57"/>
        <v>1w</v>
      </c>
      <c r="X2980" s="180">
        <f>_xll.qlCalendarAdvance(LiborCalendar,X2979,W2980,"f",FALSE)</f>
        <v>59854</v>
      </c>
      <c r="Y2980" s="174">
        <f>_xll.qlInterestRateIndexValueDate(IborIndex,X2980)</f>
        <v>59856</v>
      </c>
      <c r="Z2980" s="175" t="e">
        <v>#N/A</v>
      </c>
      <c r="AA2980" s="177" t="e">
        <v>#N/A</v>
      </c>
    </row>
    <row r="2981" spans="23:27" x14ac:dyDescent="0.2">
      <c r="W2981" s="173" t="str">
        <f t="shared" si="57"/>
        <v>1w</v>
      </c>
      <c r="X2981" s="180">
        <f>_xll.qlCalendarAdvance(LiborCalendar,X2980,W2981,"f",FALSE)</f>
        <v>59861</v>
      </c>
      <c r="Y2981" s="174">
        <f>_xll.qlInterestRateIndexValueDate(IborIndex,X2981)</f>
        <v>59866</v>
      </c>
      <c r="Z2981" s="175" t="e">
        <v>#N/A</v>
      </c>
      <c r="AA2981" s="177" t="e">
        <v>#N/A</v>
      </c>
    </row>
    <row r="2982" spans="23:27" x14ac:dyDescent="0.2">
      <c r="W2982" s="173" t="str">
        <f t="shared" si="57"/>
        <v>1w</v>
      </c>
      <c r="X2982" s="180">
        <f>_xll.qlCalendarAdvance(LiborCalendar,X2981,W2982,"f",FALSE)</f>
        <v>59868</v>
      </c>
      <c r="Y2982" s="174">
        <f>_xll.qlInterestRateIndexValueDate(IborIndex,X2982)</f>
        <v>59870</v>
      </c>
      <c r="Z2982" s="175" t="e">
        <v>#N/A</v>
      </c>
      <c r="AA2982" s="177" t="e">
        <v>#N/A</v>
      </c>
    </row>
    <row r="2983" spans="23:27" x14ac:dyDescent="0.2">
      <c r="W2983" s="173" t="str">
        <f t="shared" si="57"/>
        <v>1w</v>
      </c>
      <c r="X2983" s="180">
        <f>_xll.qlCalendarAdvance(LiborCalendar,X2982,W2983,"f",FALSE)</f>
        <v>59875</v>
      </c>
      <c r="Y2983" s="174">
        <f>_xll.qlInterestRateIndexValueDate(IborIndex,X2983)</f>
        <v>59877</v>
      </c>
      <c r="Z2983" s="175" t="e">
        <v>#N/A</v>
      </c>
      <c r="AA2983" s="177" t="e">
        <v>#N/A</v>
      </c>
    </row>
    <row r="2984" spans="23:27" x14ac:dyDescent="0.2">
      <c r="W2984" s="173" t="str">
        <f t="shared" si="57"/>
        <v>1w</v>
      </c>
      <c r="X2984" s="180">
        <f>_xll.qlCalendarAdvance(LiborCalendar,X2983,W2984,"f",FALSE)</f>
        <v>59882</v>
      </c>
      <c r="Y2984" s="174">
        <f>_xll.qlInterestRateIndexValueDate(IborIndex,X2984)</f>
        <v>59884</v>
      </c>
      <c r="Z2984" s="175" t="e">
        <v>#N/A</v>
      </c>
      <c r="AA2984" s="177" t="e">
        <v>#N/A</v>
      </c>
    </row>
    <row r="2985" spans="23:27" x14ac:dyDescent="0.2">
      <c r="W2985" s="173" t="str">
        <f t="shared" si="57"/>
        <v>1w</v>
      </c>
      <c r="X2985" s="180">
        <f>_xll.qlCalendarAdvance(LiborCalendar,X2984,W2985,"f",FALSE)</f>
        <v>59889</v>
      </c>
      <c r="Y2985" s="174">
        <f>_xll.qlInterestRateIndexValueDate(IborIndex,X2985)</f>
        <v>59891</v>
      </c>
      <c r="Z2985" s="175" t="e">
        <v>#N/A</v>
      </c>
      <c r="AA2985" s="177" t="e">
        <v>#N/A</v>
      </c>
    </row>
    <row r="2986" spans="23:27" x14ac:dyDescent="0.2">
      <c r="W2986" s="173" t="str">
        <f t="shared" si="57"/>
        <v>1w</v>
      </c>
      <c r="X2986" s="180">
        <f>_xll.qlCalendarAdvance(LiborCalendar,X2985,W2986,"f",FALSE)</f>
        <v>59897</v>
      </c>
      <c r="Y2986" s="174">
        <f>_xll.qlInterestRateIndexValueDate(IborIndex,X2986)</f>
        <v>59905</v>
      </c>
      <c r="Z2986" s="175" t="e">
        <v>#N/A</v>
      </c>
      <c r="AA2986" s="177" t="e">
        <v>#N/A</v>
      </c>
    </row>
    <row r="2987" spans="23:27" x14ac:dyDescent="0.2">
      <c r="W2987" s="173" t="str">
        <f t="shared" si="57"/>
        <v>1w</v>
      </c>
      <c r="X2987" s="180">
        <f>_xll.qlCalendarAdvance(LiborCalendar,X2986,W2987,"f",FALSE)</f>
        <v>59904</v>
      </c>
      <c r="Y2987" s="174">
        <f>_xll.qlInterestRateIndexValueDate(IborIndex,X2987)</f>
        <v>59908</v>
      </c>
      <c r="Z2987" s="175" t="e">
        <v>#N/A</v>
      </c>
      <c r="AA2987" s="177" t="e">
        <v>#N/A</v>
      </c>
    </row>
    <row r="2988" spans="23:27" x14ac:dyDescent="0.2">
      <c r="W2988" s="173" t="str">
        <f t="shared" si="57"/>
        <v>1w</v>
      </c>
      <c r="X2988" s="180">
        <f>_xll.qlCalendarAdvance(LiborCalendar,X2987,W2988,"f",FALSE)</f>
        <v>59911</v>
      </c>
      <c r="Y2988" s="174">
        <f>_xll.qlInterestRateIndexValueDate(IborIndex,X2988)</f>
        <v>59916</v>
      </c>
      <c r="Z2988" s="175" t="e">
        <v>#N/A</v>
      </c>
      <c r="AA2988" s="177" t="e">
        <v>#N/A</v>
      </c>
    </row>
    <row r="2989" spans="23:27" x14ac:dyDescent="0.2">
      <c r="W2989" s="173" t="str">
        <f t="shared" si="57"/>
        <v>1w</v>
      </c>
      <c r="X2989" s="180">
        <f>_xll.qlCalendarAdvance(LiborCalendar,X2988,W2989,"f",FALSE)</f>
        <v>59918</v>
      </c>
      <c r="Y2989" s="174">
        <f>_xll.qlInterestRateIndexValueDate(IborIndex,X2989)</f>
        <v>59922</v>
      </c>
      <c r="Z2989" s="175" t="e">
        <v>#N/A</v>
      </c>
      <c r="AA2989" s="177" t="e">
        <v>#N/A</v>
      </c>
    </row>
    <row r="2990" spans="23:27" x14ac:dyDescent="0.2">
      <c r="W2990" s="173" t="str">
        <f t="shared" si="57"/>
        <v>1w</v>
      </c>
      <c r="X2990" s="180">
        <f>_xll.qlCalendarAdvance(LiborCalendar,X2989,W2990,"f",FALSE)</f>
        <v>59925</v>
      </c>
      <c r="Y2990" s="174">
        <f>_xll.qlInterestRateIndexValueDate(IborIndex,X2990)</f>
        <v>59929</v>
      </c>
      <c r="Z2990" s="175" t="e">
        <v>#N/A</v>
      </c>
      <c r="AA2990" s="177" t="e">
        <v>#N/A</v>
      </c>
    </row>
    <row r="2991" spans="23:27" x14ac:dyDescent="0.2">
      <c r="W2991" s="173" t="str">
        <f t="shared" si="57"/>
        <v>1w</v>
      </c>
      <c r="X2991" s="180">
        <f>_xll.qlCalendarAdvance(LiborCalendar,X2990,W2991,"f",FALSE)</f>
        <v>59932</v>
      </c>
      <c r="Y2991" s="174">
        <f>_xll.qlInterestRateIndexValueDate(IborIndex,X2991)</f>
        <v>59936</v>
      </c>
      <c r="Z2991" s="175" t="e">
        <v>#N/A</v>
      </c>
      <c r="AA2991" s="177" t="e">
        <v>#N/A</v>
      </c>
    </row>
    <row r="2992" spans="23:27" x14ac:dyDescent="0.2">
      <c r="W2992" s="173" t="str">
        <f t="shared" si="57"/>
        <v>1w</v>
      </c>
      <c r="X2992" s="180">
        <f>_xll.qlCalendarAdvance(LiborCalendar,X2991,W2992,"f",FALSE)</f>
        <v>59939</v>
      </c>
      <c r="Y2992" s="174">
        <f>_xll.qlInterestRateIndexValueDate(IborIndex,X2992)</f>
        <v>59944</v>
      </c>
      <c r="Z2992" s="175" t="e">
        <v>#N/A</v>
      </c>
      <c r="AA2992" s="177" t="e">
        <v>#N/A</v>
      </c>
    </row>
    <row r="2993" spans="23:27" x14ac:dyDescent="0.2">
      <c r="W2993" s="173" t="str">
        <f t="shared" si="57"/>
        <v>1w</v>
      </c>
      <c r="X2993" s="180">
        <f>_xll.qlCalendarAdvance(LiborCalendar,X2992,W2993,"f",FALSE)</f>
        <v>59946</v>
      </c>
      <c r="Y2993" s="174">
        <f>_xll.qlInterestRateIndexValueDate(IborIndex,X2993)</f>
        <v>59950</v>
      </c>
      <c r="Z2993" s="175" t="e">
        <v>#N/A</v>
      </c>
      <c r="AA2993" s="177" t="e">
        <v>#N/A</v>
      </c>
    </row>
    <row r="2994" spans="23:27" x14ac:dyDescent="0.2">
      <c r="W2994" s="173" t="str">
        <f t="shared" si="57"/>
        <v>1w</v>
      </c>
      <c r="X2994" s="180">
        <f>_xll.qlCalendarAdvance(LiborCalendar,X2993,W2994,"f",FALSE)</f>
        <v>59953</v>
      </c>
      <c r="Y2994" s="174">
        <f>_xll.qlInterestRateIndexValueDate(IborIndex,X2994)</f>
        <v>59957</v>
      </c>
      <c r="Z2994" s="175" t="e">
        <v>#N/A</v>
      </c>
      <c r="AA2994" s="177" t="e">
        <v>#N/A</v>
      </c>
    </row>
    <row r="2995" spans="23:27" x14ac:dyDescent="0.2">
      <c r="W2995" s="173" t="str">
        <f t="shared" si="57"/>
        <v>1w</v>
      </c>
      <c r="X2995" s="180">
        <f>_xll.qlCalendarAdvance(LiborCalendar,X2994,W2995,"f",FALSE)</f>
        <v>59960</v>
      </c>
      <c r="Y2995" s="174">
        <f>_xll.qlInterestRateIndexValueDate(IborIndex,X2995)</f>
        <v>59964</v>
      </c>
      <c r="Z2995" s="175" t="e">
        <v>#N/A</v>
      </c>
      <c r="AA2995" s="177" t="e">
        <v>#N/A</v>
      </c>
    </row>
    <row r="2996" spans="23:27" x14ac:dyDescent="0.2">
      <c r="W2996" s="173" t="str">
        <f t="shared" si="57"/>
        <v>1w</v>
      </c>
      <c r="X2996" s="180">
        <f>_xll.qlCalendarAdvance(LiborCalendar,X2995,W2996,"f",FALSE)</f>
        <v>59967</v>
      </c>
      <c r="Y2996" s="174">
        <f>_xll.qlInterestRateIndexValueDate(IborIndex,X2996)</f>
        <v>59971</v>
      </c>
      <c r="Z2996" s="175" t="e">
        <v>#N/A</v>
      </c>
      <c r="AA2996" s="177" t="e">
        <v>#N/A</v>
      </c>
    </row>
    <row r="2997" spans="23:27" x14ac:dyDescent="0.2">
      <c r="W2997" s="173" t="str">
        <f t="shared" si="57"/>
        <v>1w</v>
      </c>
      <c r="X2997" s="180">
        <f>_xll.qlCalendarAdvance(LiborCalendar,X2996,W2997,"f",FALSE)</f>
        <v>59974</v>
      </c>
      <c r="Y2997" s="174">
        <f>_xll.qlInterestRateIndexValueDate(IborIndex,X2997)</f>
        <v>59978</v>
      </c>
      <c r="Z2997" s="175" t="e">
        <v>#N/A</v>
      </c>
      <c r="AA2997" s="177" t="e">
        <v>#N/A</v>
      </c>
    </row>
    <row r="2998" spans="23:27" x14ac:dyDescent="0.2">
      <c r="W2998" s="173" t="str">
        <f t="shared" si="57"/>
        <v>1w</v>
      </c>
      <c r="X2998" s="180">
        <f>_xll.qlCalendarAdvance(LiborCalendar,X2997,W2998,"f",FALSE)</f>
        <v>59981</v>
      </c>
      <c r="Y2998" s="174">
        <f>_xll.qlInterestRateIndexValueDate(IborIndex,X2998)</f>
        <v>59985</v>
      </c>
      <c r="Z2998" s="175" t="e">
        <v>#N/A</v>
      </c>
      <c r="AA2998" s="177" t="e">
        <v>#N/A</v>
      </c>
    </row>
    <row r="2999" spans="23:27" x14ac:dyDescent="0.2">
      <c r="W2999" s="173" t="str">
        <f t="shared" si="57"/>
        <v>1w</v>
      </c>
      <c r="X2999" s="180">
        <f>_xll.qlCalendarAdvance(LiborCalendar,X2998,W2999,"f",FALSE)</f>
        <v>59988</v>
      </c>
      <c r="Y2999" s="174">
        <f>_xll.qlInterestRateIndexValueDate(IborIndex,X2999)</f>
        <v>59992</v>
      </c>
      <c r="Z2999" s="175" t="e">
        <v>#N/A</v>
      </c>
      <c r="AA2999" s="177" t="e">
        <v>#N/A</v>
      </c>
    </row>
    <row r="3000" spans="23:27" x14ac:dyDescent="0.2">
      <c r="W3000" s="173" t="str">
        <f t="shared" si="57"/>
        <v>1w</v>
      </c>
      <c r="X3000" s="180">
        <f>_xll.qlCalendarAdvance(LiborCalendar,X2999,W3000,"f",FALSE)</f>
        <v>59995</v>
      </c>
      <c r="Y3000" s="174">
        <f>_xll.qlInterestRateIndexValueDate(IborIndex,X3000)</f>
        <v>60001</v>
      </c>
      <c r="Z3000" s="175" t="e">
        <v>#N/A</v>
      </c>
      <c r="AA3000" s="177" t="e">
        <v>#N/A</v>
      </c>
    </row>
    <row r="3001" spans="23:27" x14ac:dyDescent="0.2">
      <c r="W3001" s="173" t="str">
        <f t="shared" si="57"/>
        <v>1w</v>
      </c>
      <c r="X3001" s="180">
        <f>_xll.qlCalendarAdvance(LiborCalendar,X3000,W3001,"f",FALSE)</f>
        <v>60002</v>
      </c>
      <c r="Y3001" s="174">
        <f>_xll.qlInterestRateIndexValueDate(IborIndex,X3001)</f>
        <v>60006</v>
      </c>
      <c r="Z3001" s="175" t="e">
        <v>#N/A</v>
      </c>
      <c r="AA3001" s="177" t="e">
        <v>#N/A</v>
      </c>
    </row>
    <row r="3002" spans="23:27" x14ac:dyDescent="0.2">
      <c r="W3002" s="173" t="str">
        <f t="shared" si="57"/>
        <v>1w</v>
      </c>
      <c r="X3002" s="180">
        <f>_xll.qlCalendarAdvance(LiborCalendar,X3001,W3002,"f",FALSE)</f>
        <v>60009</v>
      </c>
      <c r="Y3002" s="174">
        <f>_xll.qlInterestRateIndexValueDate(IborIndex,X3002)</f>
        <v>60013</v>
      </c>
      <c r="Z3002" s="175" t="e">
        <v>#N/A</v>
      </c>
      <c r="AA3002" s="177" t="e">
        <v>#N/A</v>
      </c>
    </row>
    <row r="3003" spans="23:27" x14ac:dyDescent="0.2">
      <c r="W3003" s="173" t="str">
        <f t="shared" si="57"/>
        <v>1w</v>
      </c>
      <c r="X3003" s="180">
        <f>_xll.qlCalendarAdvance(LiborCalendar,X3002,W3003,"f",FALSE)</f>
        <v>60016</v>
      </c>
      <c r="Y3003" s="174">
        <f>_xll.qlInterestRateIndexValueDate(IborIndex,X3003)</f>
        <v>60020</v>
      </c>
      <c r="Z3003" s="175" t="e">
        <v>#N/A</v>
      </c>
      <c r="AA3003" s="177" t="e">
        <v>#N/A</v>
      </c>
    </row>
    <row r="3004" spans="23:27" x14ac:dyDescent="0.2">
      <c r="W3004" s="173" t="str">
        <f t="shared" si="57"/>
        <v>1w</v>
      </c>
      <c r="X3004" s="180">
        <f>_xll.qlCalendarAdvance(LiborCalendar,X3003,W3004,"f",FALSE)</f>
        <v>60023</v>
      </c>
      <c r="Y3004" s="174">
        <f>_xll.qlInterestRateIndexValueDate(IborIndex,X3004)</f>
        <v>60029</v>
      </c>
      <c r="Z3004" s="175" t="e">
        <v>#N/A</v>
      </c>
      <c r="AA3004" s="177" t="e">
        <v>#N/A</v>
      </c>
    </row>
    <row r="3005" spans="23:27" x14ac:dyDescent="0.2">
      <c r="W3005" s="173" t="str">
        <f t="shared" si="57"/>
        <v>1w</v>
      </c>
      <c r="X3005" s="180">
        <f>_xll.qlCalendarAdvance(LiborCalendar,X3004,W3005,"f",FALSE)</f>
        <v>60030</v>
      </c>
      <c r="Y3005" s="174">
        <f>_xll.qlInterestRateIndexValueDate(IborIndex,X3005)</f>
        <v>60034</v>
      </c>
      <c r="Z3005" s="175" t="e">
        <v>#N/A</v>
      </c>
      <c r="AA3005" s="177" t="e">
        <v>#N/A</v>
      </c>
    </row>
    <row r="3006" spans="23:27" x14ac:dyDescent="0.2">
      <c r="W3006" s="173" t="str">
        <f t="shared" si="57"/>
        <v>1w</v>
      </c>
      <c r="X3006" s="180">
        <f>_xll.qlCalendarAdvance(LiborCalendar,X3005,W3006,"f",FALSE)</f>
        <v>60037</v>
      </c>
      <c r="Y3006" s="174">
        <f>_xll.qlInterestRateIndexValueDate(IborIndex,X3006)</f>
        <v>60041</v>
      </c>
      <c r="Z3006" s="175" t="e">
        <v>#N/A</v>
      </c>
      <c r="AA3006" s="177" t="e">
        <v>#N/A</v>
      </c>
    </row>
    <row r="3007" spans="23:27" x14ac:dyDescent="0.2">
      <c r="W3007" s="173" t="str">
        <f t="shared" si="57"/>
        <v>1w</v>
      </c>
      <c r="X3007" s="180">
        <f>_xll.qlCalendarAdvance(LiborCalendar,X3006,W3007,"f",FALSE)</f>
        <v>60044</v>
      </c>
      <c r="Y3007" s="174">
        <f>_xll.qlInterestRateIndexValueDate(IborIndex,X3007)</f>
        <v>60049</v>
      </c>
      <c r="Z3007" s="175" t="e">
        <v>#N/A</v>
      </c>
      <c r="AA3007" s="177" t="e">
        <v>#N/A</v>
      </c>
    </row>
    <row r="3008" spans="23:27" x14ac:dyDescent="0.2">
      <c r="W3008" s="173" t="str">
        <f t="shared" si="57"/>
        <v>1w</v>
      </c>
      <c r="X3008" s="180">
        <f>_xll.qlCalendarAdvance(LiborCalendar,X3007,W3008,"f",FALSE)</f>
        <v>60051</v>
      </c>
      <c r="Y3008" s="174">
        <f>_xll.qlInterestRateIndexValueDate(IborIndex,X3008)</f>
        <v>60055</v>
      </c>
      <c r="Z3008" s="175" t="e">
        <v>#N/A</v>
      </c>
      <c r="AA3008" s="177" t="e">
        <v>#N/A</v>
      </c>
    </row>
    <row r="3009" spans="23:27" x14ac:dyDescent="0.2">
      <c r="W3009" s="173" t="str">
        <f t="shared" si="57"/>
        <v>1w</v>
      </c>
      <c r="X3009" s="180">
        <f>_xll.qlCalendarAdvance(LiborCalendar,X3008,W3009,"f",FALSE)</f>
        <v>60058</v>
      </c>
      <c r="Y3009" s="174">
        <f>_xll.qlInterestRateIndexValueDate(IborIndex,X3009)</f>
        <v>60062</v>
      </c>
      <c r="Z3009" s="175" t="e">
        <v>#N/A</v>
      </c>
      <c r="AA3009" s="177" t="e">
        <v>#N/A</v>
      </c>
    </row>
    <row r="3010" spans="23:27" x14ac:dyDescent="0.2">
      <c r="W3010" s="173" t="str">
        <f t="shared" si="57"/>
        <v>1w</v>
      </c>
      <c r="X3010" s="180">
        <f>_xll.qlCalendarAdvance(LiborCalendar,X3009,W3010,"f",FALSE)</f>
        <v>60065</v>
      </c>
      <c r="Y3010" s="174">
        <f>_xll.qlInterestRateIndexValueDate(IborIndex,X3010)</f>
        <v>60069</v>
      </c>
      <c r="Z3010" s="175" t="e">
        <v>#N/A</v>
      </c>
      <c r="AA3010" s="177" t="e">
        <v>#N/A</v>
      </c>
    </row>
    <row r="3011" spans="23:27" x14ac:dyDescent="0.2">
      <c r="W3011" s="173" t="str">
        <f t="shared" si="57"/>
        <v>1w</v>
      </c>
      <c r="X3011" s="180">
        <f>_xll.qlCalendarAdvance(LiborCalendar,X3010,W3011,"f",FALSE)</f>
        <v>60072</v>
      </c>
      <c r="Y3011" s="174">
        <f>_xll.qlInterestRateIndexValueDate(IborIndex,X3011)</f>
        <v>60076</v>
      </c>
      <c r="Z3011" s="175" t="e">
        <v>#N/A</v>
      </c>
      <c r="AA3011" s="177" t="e">
        <v>#N/A</v>
      </c>
    </row>
    <row r="3012" spans="23:27" x14ac:dyDescent="0.2">
      <c r="W3012" s="173" t="str">
        <f t="shared" si="57"/>
        <v>1w</v>
      </c>
      <c r="X3012" s="180">
        <f>_xll.qlCalendarAdvance(LiborCalendar,X3011,W3012,"f",FALSE)</f>
        <v>60079</v>
      </c>
      <c r="Y3012" s="174">
        <f>_xll.qlInterestRateIndexValueDate(IborIndex,X3012)</f>
        <v>60083</v>
      </c>
      <c r="Z3012" s="175" t="e">
        <v>#N/A</v>
      </c>
      <c r="AA3012" s="177" t="e">
        <v>#N/A</v>
      </c>
    </row>
    <row r="3013" spans="23:27" x14ac:dyDescent="0.2">
      <c r="W3013" s="173" t="str">
        <f t="shared" si="57"/>
        <v>1w</v>
      </c>
      <c r="X3013" s="180">
        <f>_xll.qlCalendarAdvance(LiborCalendar,X3012,W3013,"f",FALSE)</f>
        <v>60086</v>
      </c>
      <c r="Y3013" s="174">
        <f>_xll.qlInterestRateIndexValueDate(IborIndex,X3013)</f>
        <v>60090</v>
      </c>
      <c r="Z3013" s="175" t="e">
        <v>#N/A</v>
      </c>
      <c r="AA3013" s="177" t="e">
        <v>#N/A</v>
      </c>
    </row>
    <row r="3014" spans="23:27" x14ac:dyDescent="0.2">
      <c r="W3014" s="173" t="str">
        <f t="shared" si="57"/>
        <v>1w</v>
      </c>
      <c r="X3014" s="180">
        <f>_xll.qlCalendarAdvance(LiborCalendar,X3013,W3014,"f",FALSE)</f>
        <v>60093</v>
      </c>
      <c r="Y3014" s="174">
        <f>_xll.qlInterestRateIndexValueDate(IborIndex,X3014)</f>
        <v>60097</v>
      </c>
      <c r="Z3014" s="175" t="e">
        <v>#N/A</v>
      </c>
      <c r="AA3014" s="177" t="e">
        <v>#N/A</v>
      </c>
    </row>
    <row r="3015" spans="23:27" x14ac:dyDescent="0.2">
      <c r="W3015" s="173" t="str">
        <f t="shared" si="57"/>
        <v>1w</v>
      </c>
      <c r="X3015" s="180">
        <f>_xll.qlCalendarAdvance(LiborCalendar,X3014,W3015,"f",FALSE)</f>
        <v>60100</v>
      </c>
      <c r="Y3015" s="174">
        <f>_xll.qlInterestRateIndexValueDate(IborIndex,X3015)</f>
        <v>60105</v>
      </c>
      <c r="Z3015" s="175" t="e">
        <v>#N/A</v>
      </c>
      <c r="AA3015" s="177" t="e">
        <v>#N/A</v>
      </c>
    </row>
    <row r="3016" spans="23:27" x14ac:dyDescent="0.2">
      <c r="W3016" s="173" t="str">
        <f t="shared" si="57"/>
        <v>1w</v>
      </c>
      <c r="X3016" s="180">
        <f>_xll.qlCalendarAdvance(LiborCalendar,X3015,W3016,"f",FALSE)</f>
        <v>60107</v>
      </c>
      <c r="Y3016" s="174">
        <f>_xll.qlInterestRateIndexValueDate(IborIndex,X3016)</f>
        <v>60111</v>
      </c>
      <c r="Z3016" s="175" t="e">
        <v>#N/A</v>
      </c>
      <c r="AA3016" s="177" t="e">
        <v>#N/A</v>
      </c>
    </row>
    <row r="3017" spans="23:27" x14ac:dyDescent="0.2">
      <c r="W3017" s="173" t="str">
        <f t="shared" si="57"/>
        <v>1w</v>
      </c>
      <c r="X3017" s="180">
        <f>_xll.qlCalendarAdvance(LiborCalendar,X3016,W3017,"f",FALSE)</f>
        <v>60114</v>
      </c>
      <c r="Y3017" s="174">
        <f>_xll.qlInterestRateIndexValueDate(IborIndex,X3017)</f>
        <v>60118</v>
      </c>
      <c r="Z3017" s="175" t="e">
        <v>#N/A</v>
      </c>
      <c r="AA3017" s="177" t="e">
        <v>#N/A</v>
      </c>
    </row>
    <row r="3018" spans="23:27" x14ac:dyDescent="0.2">
      <c r="W3018" s="173" t="str">
        <f t="shared" si="57"/>
        <v>1w</v>
      </c>
      <c r="X3018" s="180">
        <f>_xll.qlCalendarAdvance(LiborCalendar,X3017,W3018,"f",FALSE)</f>
        <v>60121</v>
      </c>
      <c r="Y3018" s="174">
        <f>_xll.qlInterestRateIndexValueDate(IborIndex,X3018)</f>
        <v>60125</v>
      </c>
      <c r="Z3018" s="175" t="e">
        <v>#N/A</v>
      </c>
      <c r="AA3018" s="177" t="e">
        <v>#N/A</v>
      </c>
    </row>
    <row r="3019" spans="23:27" x14ac:dyDescent="0.2">
      <c r="W3019" s="173" t="str">
        <f t="shared" si="57"/>
        <v>1w</v>
      </c>
      <c r="X3019" s="180">
        <f>_xll.qlCalendarAdvance(LiborCalendar,X3018,W3019,"f",FALSE)</f>
        <v>60128</v>
      </c>
      <c r="Y3019" s="174">
        <f>_xll.qlInterestRateIndexValueDate(IborIndex,X3019)</f>
        <v>60132</v>
      </c>
      <c r="Z3019" s="175" t="e">
        <v>#N/A</v>
      </c>
      <c r="AA3019" s="177" t="e">
        <v>#N/A</v>
      </c>
    </row>
    <row r="3020" spans="23:27" x14ac:dyDescent="0.2">
      <c r="W3020" s="173" t="str">
        <f t="shared" si="57"/>
        <v>1w</v>
      </c>
      <c r="X3020" s="180">
        <f>_xll.qlCalendarAdvance(LiborCalendar,X3019,W3020,"f",FALSE)</f>
        <v>60135</v>
      </c>
      <c r="Y3020" s="174">
        <f>_xll.qlInterestRateIndexValueDate(IborIndex,X3020)</f>
        <v>60140</v>
      </c>
      <c r="Z3020" s="175" t="e">
        <v>#N/A</v>
      </c>
      <c r="AA3020" s="177" t="e">
        <v>#N/A</v>
      </c>
    </row>
    <row r="3021" spans="23:27" x14ac:dyDescent="0.2">
      <c r="W3021" s="173" t="str">
        <f t="shared" si="57"/>
        <v>1w</v>
      </c>
      <c r="X3021" s="180">
        <f>_xll.qlCalendarAdvance(LiborCalendar,X3020,W3021,"f",FALSE)</f>
        <v>60142</v>
      </c>
      <c r="Y3021" s="174">
        <f>_xll.qlInterestRateIndexValueDate(IborIndex,X3021)</f>
        <v>60146</v>
      </c>
      <c r="Z3021" s="175" t="e">
        <v>#N/A</v>
      </c>
      <c r="AA3021" s="177" t="e">
        <v>#N/A</v>
      </c>
    </row>
    <row r="3022" spans="23:27" x14ac:dyDescent="0.2">
      <c r="W3022" s="173" t="str">
        <f t="shared" si="57"/>
        <v>1w</v>
      </c>
      <c r="X3022" s="180">
        <f>_xll.qlCalendarAdvance(LiborCalendar,X3021,W3022,"f",FALSE)</f>
        <v>60149</v>
      </c>
      <c r="Y3022" s="174">
        <f>_xll.qlInterestRateIndexValueDate(IborIndex,X3022)</f>
        <v>60153</v>
      </c>
      <c r="Z3022" s="175" t="e">
        <v>#N/A</v>
      </c>
      <c r="AA3022" s="177" t="e">
        <v>#N/A</v>
      </c>
    </row>
    <row r="3023" spans="23:27" x14ac:dyDescent="0.2">
      <c r="W3023" s="173" t="str">
        <f t="shared" si="57"/>
        <v>1w</v>
      </c>
      <c r="X3023" s="180">
        <f>_xll.qlCalendarAdvance(LiborCalendar,X3022,W3023,"f",FALSE)</f>
        <v>60156</v>
      </c>
      <c r="Y3023" s="174">
        <f>_xll.qlInterestRateIndexValueDate(IborIndex,X3023)</f>
        <v>60161</v>
      </c>
      <c r="Z3023" s="175" t="e">
        <v>#N/A</v>
      </c>
      <c r="AA3023" s="177" t="e">
        <v>#N/A</v>
      </c>
    </row>
    <row r="3024" spans="23:27" x14ac:dyDescent="0.2">
      <c r="W3024" s="173" t="str">
        <f t="shared" si="57"/>
        <v>1w</v>
      </c>
      <c r="X3024" s="180">
        <f>_xll.qlCalendarAdvance(LiborCalendar,X3023,W3024,"f",FALSE)</f>
        <v>60163</v>
      </c>
      <c r="Y3024" s="174">
        <f>_xll.qlInterestRateIndexValueDate(IborIndex,X3024)</f>
        <v>60168</v>
      </c>
      <c r="Z3024" s="175" t="e">
        <v>#N/A</v>
      </c>
      <c r="AA3024" s="177" t="e">
        <v>#N/A</v>
      </c>
    </row>
    <row r="3025" spans="23:27" x14ac:dyDescent="0.2">
      <c r="W3025" s="173" t="str">
        <f t="shared" si="57"/>
        <v>1w</v>
      </c>
      <c r="X3025" s="180">
        <f>_xll.qlCalendarAdvance(LiborCalendar,X3024,W3025,"f",FALSE)</f>
        <v>60170</v>
      </c>
      <c r="Y3025" s="174">
        <f>_xll.qlInterestRateIndexValueDate(IborIndex,X3025)</f>
        <v>60174</v>
      </c>
      <c r="Z3025" s="175" t="e">
        <v>#N/A</v>
      </c>
      <c r="AA3025" s="177" t="e">
        <v>#N/A</v>
      </c>
    </row>
    <row r="3026" spans="23:27" x14ac:dyDescent="0.2">
      <c r="W3026" s="173" t="str">
        <f t="shared" si="57"/>
        <v>1w</v>
      </c>
      <c r="X3026" s="180">
        <f>_xll.qlCalendarAdvance(LiborCalendar,X3025,W3026,"f",FALSE)</f>
        <v>60177</v>
      </c>
      <c r="Y3026" s="174">
        <f>_xll.qlInterestRateIndexValueDate(IborIndex,X3026)</f>
        <v>60181</v>
      </c>
      <c r="Z3026" s="175" t="e">
        <v>#N/A</v>
      </c>
      <c r="AA3026" s="177" t="e">
        <v>#N/A</v>
      </c>
    </row>
    <row r="3027" spans="23:27" x14ac:dyDescent="0.2">
      <c r="W3027" s="173" t="str">
        <f t="shared" si="57"/>
        <v>1w</v>
      </c>
      <c r="X3027" s="180">
        <f>_xll.qlCalendarAdvance(LiborCalendar,X3026,W3027,"f",FALSE)</f>
        <v>60184</v>
      </c>
      <c r="Y3027" s="174">
        <f>_xll.qlInterestRateIndexValueDate(IborIndex,X3027)</f>
        <v>60189</v>
      </c>
      <c r="Z3027" s="175" t="e">
        <v>#N/A</v>
      </c>
      <c r="AA3027" s="177" t="e">
        <v>#N/A</v>
      </c>
    </row>
    <row r="3028" spans="23:27" x14ac:dyDescent="0.2">
      <c r="W3028" s="173" t="str">
        <f t="shared" si="57"/>
        <v>1w</v>
      </c>
      <c r="X3028" s="180">
        <f>_xll.qlCalendarAdvance(LiborCalendar,X3027,W3028,"f",FALSE)</f>
        <v>60191</v>
      </c>
      <c r="Y3028" s="174">
        <f>_xll.qlInterestRateIndexValueDate(IborIndex,X3028)</f>
        <v>60195</v>
      </c>
      <c r="Z3028" s="175" t="e">
        <v>#N/A</v>
      </c>
      <c r="AA3028" s="177" t="e">
        <v>#N/A</v>
      </c>
    </row>
    <row r="3029" spans="23:27" x14ac:dyDescent="0.2">
      <c r="W3029" s="173" t="str">
        <f t="shared" ref="W3029:W3092" si="58">W3028</f>
        <v>1w</v>
      </c>
      <c r="X3029" s="180">
        <f>_xll.qlCalendarAdvance(LiborCalendar,X3028,W3029,"f",FALSE)</f>
        <v>60198</v>
      </c>
      <c r="Y3029" s="174">
        <f>_xll.qlInterestRateIndexValueDate(IborIndex,X3029)</f>
        <v>60202</v>
      </c>
      <c r="Z3029" s="175" t="e">
        <v>#N/A</v>
      </c>
      <c r="AA3029" s="177" t="e">
        <v>#N/A</v>
      </c>
    </row>
    <row r="3030" spans="23:27" x14ac:dyDescent="0.2">
      <c r="W3030" s="173" t="str">
        <f t="shared" si="58"/>
        <v>1w</v>
      </c>
      <c r="X3030" s="180">
        <f>_xll.qlCalendarAdvance(LiborCalendar,X3029,W3030,"f",FALSE)</f>
        <v>60205</v>
      </c>
      <c r="Y3030" s="174">
        <f>_xll.qlInterestRateIndexValueDate(IborIndex,X3030)</f>
        <v>60210</v>
      </c>
      <c r="Z3030" s="175" t="e">
        <v>#N/A</v>
      </c>
      <c r="AA3030" s="177" t="e">
        <v>#N/A</v>
      </c>
    </row>
    <row r="3031" spans="23:27" x14ac:dyDescent="0.2">
      <c r="W3031" s="173" t="str">
        <f t="shared" si="58"/>
        <v>1w</v>
      </c>
      <c r="X3031" s="180">
        <f>_xll.qlCalendarAdvance(LiborCalendar,X3030,W3031,"f",FALSE)</f>
        <v>60212</v>
      </c>
      <c r="Y3031" s="174">
        <f>_xll.qlInterestRateIndexValueDate(IborIndex,X3031)</f>
        <v>60216</v>
      </c>
      <c r="Z3031" s="175" t="e">
        <v>#N/A</v>
      </c>
      <c r="AA3031" s="177" t="e">
        <v>#N/A</v>
      </c>
    </row>
    <row r="3032" spans="23:27" x14ac:dyDescent="0.2">
      <c r="W3032" s="173" t="str">
        <f t="shared" si="58"/>
        <v>1w</v>
      </c>
      <c r="X3032" s="180">
        <f>_xll.qlCalendarAdvance(LiborCalendar,X3031,W3032,"f",FALSE)</f>
        <v>60219</v>
      </c>
      <c r="Y3032" s="174">
        <f>_xll.qlInterestRateIndexValueDate(IborIndex,X3032)</f>
        <v>60223</v>
      </c>
      <c r="Z3032" s="175" t="e">
        <v>#N/A</v>
      </c>
      <c r="AA3032" s="177" t="e">
        <v>#N/A</v>
      </c>
    </row>
    <row r="3033" spans="23:27" x14ac:dyDescent="0.2">
      <c r="W3033" s="173" t="str">
        <f t="shared" si="58"/>
        <v>1w</v>
      </c>
      <c r="X3033" s="180">
        <f>_xll.qlCalendarAdvance(LiborCalendar,X3032,W3033,"f",FALSE)</f>
        <v>60226</v>
      </c>
      <c r="Y3033" s="174">
        <f>_xll.qlInterestRateIndexValueDate(IborIndex,X3033)</f>
        <v>60231</v>
      </c>
      <c r="Z3033" s="175" t="e">
        <v>#N/A</v>
      </c>
      <c r="AA3033" s="177" t="e">
        <v>#N/A</v>
      </c>
    </row>
    <row r="3034" spans="23:27" x14ac:dyDescent="0.2">
      <c r="W3034" s="173" t="str">
        <f t="shared" si="58"/>
        <v>1w</v>
      </c>
      <c r="X3034" s="180">
        <f>_xll.qlCalendarAdvance(LiborCalendar,X3033,W3034,"f",FALSE)</f>
        <v>60233</v>
      </c>
      <c r="Y3034" s="174">
        <f>_xll.qlInterestRateIndexValueDate(IborIndex,X3034)</f>
        <v>60237</v>
      </c>
      <c r="Z3034" s="175" t="e">
        <v>#N/A</v>
      </c>
      <c r="AA3034" s="177" t="e">
        <v>#N/A</v>
      </c>
    </row>
    <row r="3035" spans="23:27" x14ac:dyDescent="0.2">
      <c r="W3035" s="173" t="str">
        <f t="shared" si="58"/>
        <v>1w</v>
      </c>
      <c r="X3035" s="180">
        <f>_xll.qlCalendarAdvance(LiborCalendar,X3034,W3035,"f",FALSE)</f>
        <v>60240</v>
      </c>
      <c r="Y3035" s="174">
        <f>_xll.qlInterestRateIndexValueDate(IborIndex,X3035)</f>
        <v>60244</v>
      </c>
      <c r="Z3035" s="175" t="e">
        <v>#N/A</v>
      </c>
      <c r="AA3035" s="177" t="e">
        <v>#N/A</v>
      </c>
    </row>
    <row r="3036" spans="23:27" x14ac:dyDescent="0.2">
      <c r="W3036" s="173" t="str">
        <f t="shared" si="58"/>
        <v>1w</v>
      </c>
      <c r="X3036" s="180">
        <f>_xll.qlCalendarAdvance(LiborCalendar,X3035,W3036,"f",FALSE)</f>
        <v>60247</v>
      </c>
      <c r="Y3036" s="174">
        <f>_xll.qlInterestRateIndexValueDate(IborIndex,X3036)</f>
        <v>60251</v>
      </c>
      <c r="Z3036" s="175" t="e">
        <v>#N/A</v>
      </c>
      <c r="AA3036" s="177" t="e">
        <v>#N/A</v>
      </c>
    </row>
    <row r="3037" spans="23:27" x14ac:dyDescent="0.2">
      <c r="W3037" s="173" t="str">
        <f t="shared" si="58"/>
        <v>1w</v>
      </c>
      <c r="X3037" s="180">
        <f>_xll.qlCalendarAdvance(LiborCalendar,X3036,W3037,"f",FALSE)</f>
        <v>60254</v>
      </c>
      <c r="Y3037" s="174">
        <f>_xll.qlInterestRateIndexValueDate(IborIndex,X3037)</f>
        <v>60258</v>
      </c>
      <c r="Z3037" s="175" t="e">
        <v>#N/A</v>
      </c>
      <c r="AA3037" s="177" t="e">
        <v>#N/A</v>
      </c>
    </row>
    <row r="3038" spans="23:27" x14ac:dyDescent="0.2">
      <c r="W3038" s="173" t="str">
        <f t="shared" si="58"/>
        <v>1w</v>
      </c>
      <c r="X3038" s="180">
        <f>_xll.qlCalendarAdvance(LiborCalendar,X3037,W3038,"f",FALSE)</f>
        <v>60265</v>
      </c>
      <c r="Y3038" s="174">
        <f>_xll.qlInterestRateIndexValueDate(IborIndex,X3038)</f>
        <v>60272</v>
      </c>
      <c r="Z3038" s="175" t="e">
        <v>#N/A</v>
      </c>
      <c r="AA3038" s="177" t="e">
        <v>#N/A</v>
      </c>
    </row>
    <row r="3039" spans="23:27" x14ac:dyDescent="0.2">
      <c r="W3039" s="173" t="str">
        <f t="shared" si="58"/>
        <v>1w</v>
      </c>
      <c r="X3039" s="180">
        <f>_xll.qlCalendarAdvance(LiborCalendar,X3038,W3039,"f",FALSE)</f>
        <v>60272</v>
      </c>
      <c r="Y3039" s="174">
        <f>_xll.qlInterestRateIndexValueDate(IborIndex,X3039)</f>
        <v>60274</v>
      </c>
      <c r="Z3039" s="175" t="e">
        <v>#N/A</v>
      </c>
      <c r="AA3039" s="177" t="e">
        <v>#N/A</v>
      </c>
    </row>
    <row r="3040" spans="23:27" x14ac:dyDescent="0.2">
      <c r="W3040" s="173" t="str">
        <f t="shared" si="58"/>
        <v>1w</v>
      </c>
      <c r="X3040" s="180">
        <f>_xll.qlCalendarAdvance(LiborCalendar,X3039,W3040,"f",FALSE)</f>
        <v>60279</v>
      </c>
      <c r="Y3040" s="174">
        <f>_xll.qlInterestRateIndexValueDate(IborIndex,X3040)</f>
        <v>60281</v>
      </c>
      <c r="Z3040" s="175" t="e">
        <v>#N/A</v>
      </c>
      <c r="AA3040" s="177" t="e">
        <v>#N/A</v>
      </c>
    </row>
    <row r="3041" spans="23:27" x14ac:dyDescent="0.2">
      <c r="W3041" s="173" t="str">
        <f t="shared" si="58"/>
        <v>1w</v>
      </c>
      <c r="X3041" s="180">
        <f>_xll.qlCalendarAdvance(LiborCalendar,X3040,W3041,"f",FALSE)</f>
        <v>60286</v>
      </c>
      <c r="Y3041" s="174">
        <f>_xll.qlInterestRateIndexValueDate(IborIndex,X3041)</f>
        <v>60288</v>
      </c>
      <c r="Z3041" s="175" t="e">
        <v>#N/A</v>
      </c>
      <c r="AA3041" s="177" t="e">
        <v>#N/A</v>
      </c>
    </row>
    <row r="3042" spans="23:27" x14ac:dyDescent="0.2">
      <c r="W3042" s="173" t="str">
        <f t="shared" si="58"/>
        <v>1w</v>
      </c>
      <c r="X3042" s="180">
        <f>_xll.qlCalendarAdvance(LiborCalendar,X3041,W3042,"f",FALSE)</f>
        <v>60293</v>
      </c>
      <c r="Y3042" s="174">
        <f>_xll.qlInterestRateIndexValueDate(IborIndex,X3042)</f>
        <v>60295</v>
      </c>
      <c r="Z3042" s="175" t="e">
        <v>#N/A</v>
      </c>
      <c r="AA3042" s="177" t="e">
        <v>#N/A</v>
      </c>
    </row>
    <row r="3043" spans="23:27" x14ac:dyDescent="0.2">
      <c r="W3043" s="173" t="str">
        <f t="shared" si="58"/>
        <v>1w</v>
      </c>
      <c r="X3043" s="180">
        <f>_xll.qlCalendarAdvance(LiborCalendar,X3042,W3043,"f",FALSE)</f>
        <v>60300</v>
      </c>
      <c r="Y3043" s="174">
        <f>_xll.qlInterestRateIndexValueDate(IborIndex,X3043)</f>
        <v>60302</v>
      </c>
      <c r="Z3043" s="175" t="e">
        <v>#N/A</v>
      </c>
      <c r="AA3043" s="177" t="e">
        <v>#N/A</v>
      </c>
    </row>
    <row r="3044" spans="23:27" x14ac:dyDescent="0.2">
      <c r="W3044" s="173" t="str">
        <f t="shared" si="58"/>
        <v>1w</v>
      </c>
      <c r="X3044" s="180">
        <f>_xll.qlCalendarAdvance(LiborCalendar,X3043,W3044,"f",FALSE)</f>
        <v>60307</v>
      </c>
      <c r="Y3044" s="174">
        <f>_xll.qlInterestRateIndexValueDate(IborIndex,X3044)</f>
        <v>60310</v>
      </c>
      <c r="Z3044" s="175" t="e">
        <v>#N/A</v>
      </c>
      <c r="AA3044" s="177" t="e">
        <v>#N/A</v>
      </c>
    </row>
    <row r="3045" spans="23:27" x14ac:dyDescent="0.2">
      <c r="W3045" s="173" t="str">
        <f t="shared" si="58"/>
        <v>1w</v>
      </c>
      <c r="X3045" s="180">
        <f>_xll.qlCalendarAdvance(LiborCalendar,X3044,W3045,"f",FALSE)</f>
        <v>60314</v>
      </c>
      <c r="Y3045" s="174">
        <f>_xll.qlInterestRateIndexValueDate(IborIndex,X3045)</f>
        <v>60316</v>
      </c>
      <c r="Z3045" s="175" t="e">
        <v>#N/A</v>
      </c>
      <c r="AA3045" s="177" t="e">
        <v>#N/A</v>
      </c>
    </row>
    <row r="3046" spans="23:27" x14ac:dyDescent="0.2">
      <c r="W3046" s="173" t="str">
        <f t="shared" si="58"/>
        <v>1w</v>
      </c>
      <c r="X3046" s="180">
        <f>_xll.qlCalendarAdvance(LiborCalendar,X3045,W3046,"f",FALSE)</f>
        <v>60321</v>
      </c>
      <c r="Y3046" s="174">
        <f>_xll.qlInterestRateIndexValueDate(IborIndex,X3046)</f>
        <v>60323</v>
      </c>
      <c r="Z3046" s="175" t="e">
        <v>#N/A</v>
      </c>
      <c r="AA3046" s="177" t="e">
        <v>#N/A</v>
      </c>
    </row>
    <row r="3047" spans="23:27" x14ac:dyDescent="0.2">
      <c r="W3047" s="173" t="str">
        <f t="shared" si="58"/>
        <v>1w</v>
      </c>
      <c r="X3047" s="180">
        <f>_xll.qlCalendarAdvance(LiborCalendar,X3046,W3047,"f",FALSE)</f>
        <v>60328</v>
      </c>
      <c r="Y3047" s="174">
        <f>_xll.qlInterestRateIndexValueDate(IborIndex,X3047)</f>
        <v>60330</v>
      </c>
      <c r="Z3047" s="175" t="e">
        <v>#N/A</v>
      </c>
      <c r="AA3047" s="177" t="e">
        <v>#N/A</v>
      </c>
    </row>
    <row r="3048" spans="23:27" x14ac:dyDescent="0.2">
      <c r="W3048" s="173" t="str">
        <f t="shared" si="58"/>
        <v>1w</v>
      </c>
      <c r="X3048" s="180">
        <f>_xll.qlCalendarAdvance(LiborCalendar,X3047,W3048,"f",FALSE)</f>
        <v>60335</v>
      </c>
      <c r="Y3048" s="174">
        <f>_xll.qlInterestRateIndexValueDate(IborIndex,X3048)</f>
        <v>60337</v>
      </c>
      <c r="Z3048" s="175" t="e">
        <v>#N/A</v>
      </c>
      <c r="AA3048" s="177" t="e">
        <v>#N/A</v>
      </c>
    </row>
    <row r="3049" spans="23:27" x14ac:dyDescent="0.2">
      <c r="W3049" s="173" t="str">
        <f t="shared" si="58"/>
        <v>1w</v>
      </c>
      <c r="X3049" s="180">
        <f>_xll.qlCalendarAdvance(LiborCalendar,X3048,W3049,"f",FALSE)</f>
        <v>60342</v>
      </c>
      <c r="Y3049" s="174">
        <f>_xll.qlInterestRateIndexValueDate(IborIndex,X3049)</f>
        <v>60344</v>
      </c>
      <c r="Z3049" s="175" t="e">
        <v>#N/A</v>
      </c>
      <c r="AA3049" s="177" t="e">
        <v>#N/A</v>
      </c>
    </row>
    <row r="3050" spans="23:27" x14ac:dyDescent="0.2">
      <c r="W3050" s="173" t="str">
        <f t="shared" si="58"/>
        <v>1w</v>
      </c>
      <c r="X3050" s="180">
        <f>_xll.qlCalendarAdvance(LiborCalendar,X3049,W3050,"f",FALSE)</f>
        <v>60349</v>
      </c>
      <c r="Y3050" s="174">
        <f>_xll.qlInterestRateIndexValueDate(IborIndex,X3050)</f>
        <v>60351</v>
      </c>
      <c r="Z3050" s="175" t="e">
        <v>#N/A</v>
      </c>
      <c r="AA3050" s="177" t="e">
        <v>#N/A</v>
      </c>
    </row>
    <row r="3051" spans="23:27" x14ac:dyDescent="0.2">
      <c r="W3051" s="173" t="str">
        <f t="shared" si="58"/>
        <v>1w</v>
      </c>
      <c r="X3051" s="180">
        <f>_xll.qlCalendarAdvance(LiborCalendar,X3050,W3051,"f",FALSE)</f>
        <v>60357</v>
      </c>
      <c r="Y3051" s="174">
        <f>_xll.qlInterestRateIndexValueDate(IborIndex,X3051)</f>
        <v>60359</v>
      </c>
      <c r="Z3051" s="175" t="e">
        <v>#N/A</v>
      </c>
      <c r="AA3051" s="177" t="e">
        <v>#N/A</v>
      </c>
    </row>
    <row r="3052" spans="23:27" x14ac:dyDescent="0.2">
      <c r="W3052" s="173" t="str">
        <f t="shared" si="58"/>
        <v>1w</v>
      </c>
      <c r="X3052" s="180">
        <f>_xll.qlCalendarAdvance(LiborCalendar,X3051,W3052,"f",FALSE)</f>
        <v>60364</v>
      </c>
      <c r="Y3052" s="174">
        <f>_xll.qlInterestRateIndexValueDate(IborIndex,X3052)</f>
        <v>60366</v>
      </c>
      <c r="Z3052" s="175" t="e">
        <v>#N/A</v>
      </c>
      <c r="AA3052" s="177" t="e">
        <v>#N/A</v>
      </c>
    </row>
    <row r="3053" spans="23:27" x14ac:dyDescent="0.2">
      <c r="W3053" s="173" t="str">
        <f t="shared" si="58"/>
        <v>1w</v>
      </c>
      <c r="X3053" s="180">
        <f>_xll.qlCalendarAdvance(LiborCalendar,X3052,W3053,"f",FALSE)</f>
        <v>60371</v>
      </c>
      <c r="Y3053" s="174">
        <f>_xll.qlInterestRateIndexValueDate(IborIndex,X3053)</f>
        <v>60373</v>
      </c>
      <c r="Z3053" s="175" t="e">
        <v>#N/A</v>
      </c>
      <c r="AA3053" s="177" t="e">
        <v>#N/A</v>
      </c>
    </row>
    <row r="3054" spans="23:27" x14ac:dyDescent="0.2">
      <c r="W3054" s="173" t="str">
        <f t="shared" si="58"/>
        <v>1w</v>
      </c>
      <c r="X3054" s="180">
        <f>_xll.qlCalendarAdvance(LiborCalendar,X3053,W3054,"f",FALSE)</f>
        <v>60378</v>
      </c>
      <c r="Y3054" s="174">
        <f>_xll.qlInterestRateIndexValueDate(IborIndex,X3054)</f>
        <v>60380</v>
      </c>
      <c r="Z3054" s="175" t="e">
        <v>#N/A</v>
      </c>
      <c r="AA3054" s="177" t="e">
        <v>#N/A</v>
      </c>
    </row>
    <row r="3055" spans="23:27" x14ac:dyDescent="0.2">
      <c r="W3055" s="173" t="str">
        <f t="shared" si="58"/>
        <v>1w</v>
      </c>
      <c r="X3055" s="180">
        <f>_xll.qlCalendarAdvance(LiborCalendar,X3054,W3055,"f",FALSE)</f>
        <v>60385</v>
      </c>
      <c r="Y3055" s="174">
        <f>_xll.qlInterestRateIndexValueDate(IborIndex,X3055)</f>
        <v>60387</v>
      </c>
      <c r="Z3055" s="175" t="e">
        <v>#N/A</v>
      </c>
      <c r="AA3055" s="177" t="e">
        <v>#N/A</v>
      </c>
    </row>
    <row r="3056" spans="23:27" x14ac:dyDescent="0.2">
      <c r="W3056" s="173" t="str">
        <f t="shared" si="58"/>
        <v>1w</v>
      </c>
      <c r="X3056" s="180">
        <f>_xll.qlCalendarAdvance(LiborCalendar,X3055,W3056,"f",FALSE)</f>
        <v>60392</v>
      </c>
      <c r="Y3056" s="174">
        <f>_xll.qlInterestRateIndexValueDate(IborIndex,X3056)</f>
        <v>60394</v>
      </c>
      <c r="Z3056" s="175" t="e">
        <v>#N/A</v>
      </c>
      <c r="AA3056" s="177" t="e">
        <v>#N/A</v>
      </c>
    </row>
    <row r="3057" spans="23:27" x14ac:dyDescent="0.2">
      <c r="W3057" s="173" t="str">
        <f t="shared" si="58"/>
        <v>1w</v>
      </c>
      <c r="X3057" s="180">
        <f>_xll.qlCalendarAdvance(LiborCalendar,X3056,W3057,"f",FALSE)</f>
        <v>60399</v>
      </c>
      <c r="Y3057" s="174">
        <f>_xll.qlInterestRateIndexValueDate(IborIndex,X3057)</f>
        <v>60401</v>
      </c>
      <c r="Z3057" s="175" t="e">
        <v>#N/A</v>
      </c>
      <c r="AA3057" s="177" t="e">
        <v>#N/A</v>
      </c>
    </row>
    <row r="3058" spans="23:27" x14ac:dyDescent="0.2">
      <c r="W3058" s="173" t="str">
        <f t="shared" si="58"/>
        <v>1w</v>
      </c>
      <c r="X3058" s="180">
        <f>_xll.qlCalendarAdvance(LiborCalendar,X3057,W3058,"f",FALSE)</f>
        <v>60406</v>
      </c>
      <c r="Y3058" s="174">
        <f>_xll.qlInterestRateIndexValueDate(IborIndex,X3058)</f>
        <v>60408</v>
      </c>
      <c r="Z3058" s="175" t="e">
        <v>#N/A</v>
      </c>
      <c r="AA3058" s="177" t="e">
        <v>#N/A</v>
      </c>
    </row>
    <row r="3059" spans="23:27" x14ac:dyDescent="0.2">
      <c r="W3059" s="173" t="str">
        <f t="shared" si="58"/>
        <v>1w</v>
      </c>
      <c r="X3059" s="180">
        <f>_xll.qlCalendarAdvance(LiborCalendar,X3058,W3059,"f",FALSE)</f>
        <v>60413</v>
      </c>
      <c r="Y3059" s="174">
        <f>_xll.qlInterestRateIndexValueDate(IborIndex,X3059)</f>
        <v>60415</v>
      </c>
      <c r="Z3059" s="175" t="e">
        <v>#N/A</v>
      </c>
      <c r="AA3059" s="177" t="e">
        <v>#N/A</v>
      </c>
    </row>
    <row r="3060" spans="23:27" x14ac:dyDescent="0.2">
      <c r="W3060" s="173" t="str">
        <f t="shared" si="58"/>
        <v>1w</v>
      </c>
      <c r="X3060" s="180">
        <f>_xll.qlCalendarAdvance(LiborCalendar,X3059,W3060,"f",FALSE)</f>
        <v>60420</v>
      </c>
      <c r="Y3060" s="174">
        <f>_xll.qlInterestRateIndexValueDate(IborIndex,X3060)</f>
        <v>60422</v>
      </c>
      <c r="Z3060" s="175" t="e">
        <v>#N/A</v>
      </c>
      <c r="AA3060" s="177" t="e">
        <v>#N/A</v>
      </c>
    </row>
    <row r="3061" spans="23:27" x14ac:dyDescent="0.2">
      <c r="W3061" s="173" t="str">
        <f t="shared" si="58"/>
        <v>1w</v>
      </c>
      <c r="X3061" s="180">
        <f>_xll.qlCalendarAdvance(LiborCalendar,X3060,W3061,"f",FALSE)</f>
        <v>60427</v>
      </c>
      <c r="Y3061" s="174">
        <f>_xll.qlInterestRateIndexValueDate(IborIndex,X3061)</f>
        <v>60429</v>
      </c>
      <c r="Z3061" s="175" t="e">
        <v>#N/A</v>
      </c>
      <c r="AA3061" s="177" t="e">
        <v>#N/A</v>
      </c>
    </row>
    <row r="3062" spans="23:27" x14ac:dyDescent="0.2">
      <c r="W3062" s="173" t="str">
        <f t="shared" si="58"/>
        <v>1w</v>
      </c>
      <c r="X3062" s="180">
        <f>_xll.qlCalendarAdvance(LiborCalendar,X3061,W3062,"f",FALSE)</f>
        <v>60434</v>
      </c>
      <c r="Y3062" s="174">
        <f>_xll.qlInterestRateIndexValueDate(IborIndex,X3062)</f>
        <v>60436</v>
      </c>
      <c r="Z3062" s="175" t="e">
        <v>#N/A</v>
      </c>
      <c r="AA3062" s="177" t="e">
        <v>#N/A</v>
      </c>
    </row>
    <row r="3063" spans="23:27" x14ac:dyDescent="0.2">
      <c r="W3063" s="173" t="str">
        <f t="shared" si="58"/>
        <v>1w</v>
      </c>
      <c r="X3063" s="180">
        <f>_xll.qlCalendarAdvance(LiborCalendar,X3062,W3063,"f",FALSE)</f>
        <v>60441</v>
      </c>
      <c r="Y3063" s="174">
        <f>_xll.qlInterestRateIndexValueDate(IborIndex,X3063)</f>
        <v>60443</v>
      </c>
      <c r="Z3063" s="175" t="e">
        <v>#N/A</v>
      </c>
      <c r="AA3063" s="177" t="e">
        <v>#N/A</v>
      </c>
    </row>
    <row r="3064" spans="23:27" x14ac:dyDescent="0.2">
      <c r="W3064" s="173" t="str">
        <f t="shared" si="58"/>
        <v>1w</v>
      </c>
      <c r="X3064" s="180">
        <f>_xll.qlCalendarAdvance(LiborCalendar,X3063,W3064,"f",FALSE)</f>
        <v>60448</v>
      </c>
      <c r="Y3064" s="174">
        <f>_xll.qlInterestRateIndexValueDate(IborIndex,X3064)</f>
        <v>60450</v>
      </c>
      <c r="Z3064" s="175" t="e">
        <v>#N/A</v>
      </c>
      <c r="AA3064" s="177" t="e">
        <v>#N/A</v>
      </c>
    </row>
    <row r="3065" spans="23:27" x14ac:dyDescent="0.2">
      <c r="W3065" s="173" t="str">
        <f t="shared" si="58"/>
        <v>1w</v>
      </c>
      <c r="X3065" s="180">
        <f>_xll.qlCalendarAdvance(LiborCalendar,X3064,W3065,"f",FALSE)</f>
        <v>60455</v>
      </c>
      <c r="Y3065" s="174">
        <f>_xll.qlInterestRateIndexValueDate(IborIndex,X3065)</f>
        <v>60457</v>
      </c>
      <c r="Z3065" s="175" t="e">
        <v>#N/A</v>
      </c>
      <c r="AA3065" s="177" t="e">
        <v>#N/A</v>
      </c>
    </row>
    <row r="3066" spans="23:27" x14ac:dyDescent="0.2">
      <c r="W3066" s="173" t="str">
        <f t="shared" si="58"/>
        <v>1w</v>
      </c>
      <c r="X3066" s="180">
        <f>_xll.qlCalendarAdvance(LiborCalendar,X3065,W3066,"f",FALSE)</f>
        <v>60462</v>
      </c>
      <c r="Y3066" s="174">
        <f>_xll.qlInterestRateIndexValueDate(IborIndex,X3066)</f>
        <v>60464</v>
      </c>
      <c r="Z3066" s="175" t="e">
        <v>#N/A</v>
      </c>
      <c r="AA3066" s="177" t="e">
        <v>#N/A</v>
      </c>
    </row>
    <row r="3067" spans="23:27" x14ac:dyDescent="0.2">
      <c r="W3067" s="173" t="str">
        <f t="shared" si="58"/>
        <v>1w</v>
      </c>
      <c r="X3067" s="180">
        <f>_xll.qlCalendarAdvance(LiborCalendar,X3066,W3067,"f",FALSE)</f>
        <v>60469</v>
      </c>
      <c r="Y3067" s="174">
        <f>_xll.qlInterestRateIndexValueDate(IborIndex,X3067)</f>
        <v>60471</v>
      </c>
      <c r="Z3067" s="175" t="e">
        <v>#N/A</v>
      </c>
      <c r="AA3067" s="177" t="e">
        <v>#N/A</v>
      </c>
    </row>
    <row r="3068" spans="23:27" x14ac:dyDescent="0.2">
      <c r="W3068" s="173" t="str">
        <f t="shared" si="58"/>
        <v>1w</v>
      </c>
      <c r="X3068" s="180">
        <f>_xll.qlCalendarAdvance(LiborCalendar,X3067,W3068,"f",FALSE)</f>
        <v>60476</v>
      </c>
      <c r="Y3068" s="174">
        <f>_xll.qlInterestRateIndexValueDate(IborIndex,X3068)</f>
        <v>60478</v>
      </c>
      <c r="Z3068" s="175" t="e">
        <v>#N/A</v>
      </c>
      <c r="AA3068" s="177" t="e">
        <v>#N/A</v>
      </c>
    </row>
    <row r="3069" spans="23:27" x14ac:dyDescent="0.2">
      <c r="W3069" s="173" t="str">
        <f t="shared" si="58"/>
        <v>1w</v>
      </c>
      <c r="X3069" s="180">
        <f>_xll.qlCalendarAdvance(LiborCalendar,X3068,W3069,"f",FALSE)</f>
        <v>60483</v>
      </c>
      <c r="Y3069" s="174">
        <f>_xll.qlInterestRateIndexValueDate(IborIndex,X3069)</f>
        <v>60485</v>
      </c>
      <c r="Z3069" s="175" t="e">
        <v>#N/A</v>
      </c>
      <c r="AA3069" s="177" t="e">
        <v>#N/A</v>
      </c>
    </row>
    <row r="3070" spans="23:27" x14ac:dyDescent="0.2">
      <c r="W3070" s="173" t="str">
        <f t="shared" si="58"/>
        <v>1w</v>
      </c>
      <c r="X3070" s="180">
        <f>_xll.qlCalendarAdvance(LiborCalendar,X3069,W3070,"f",FALSE)</f>
        <v>60490</v>
      </c>
      <c r="Y3070" s="174">
        <f>_xll.qlInterestRateIndexValueDate(IborIndex,X3070)</f>
        <v>60492</v>
      </c>
      <c r="Z3070" s="175" t="e">
        <v>#N/A</v>
      </c>
      <c r="AA3070" s="177" t="e">
        <v>#N/A</v>
      </c>
    </row>
    <row r="3071" spans="23:27" x14ac:dyDescent="0.2">
      <c r="W3071" s="173" t="str">
        <f t="shared" si="58"/>
        <v>1w</v>
      </c>
      <c r="X3071" s="180">
        <f>_xll.qlCalendarAdvance(LiborCalendar,X3070,W3071,"f",FALSE)</f>
        <v>60497</v>
      </c>
      <c r="Y3071" s="174">
        <f>_xll.qlInterestRateIndexValueDate(IborIndex,X3071)</f>
        <v>60499</v>
      </c>
      <c r="Z3071" s="175" t="e">
        <v>#N/A</v>
      </c>
      <c r="AA3071" s="177" t="e">
        <v>#N/A</v>
      </c>
    </row>
    <row r="3072" spans="23:27" x14ac:dyDescent="0.2">
      <c r="W3072" s="173" t="str">
        <f t="shared" si="58"/>
        <v>1w</v>
      </c>
      <c r="X3072" s="180">
        <f>_xll.qlCalendarAdvance(LiborCalendar,X3071,W3072,"f",FALSE)</f>
        <v>60504</v>
      </c>
      <c r="Y3072" s="174">
        <f>_xll.qlInterestRateIndexValueDate(IborIndex,X3072)</f>
        <v>60506</v>
      </c>
      <c r="Z3072" s="175" t="e">
        <v>#N/A</v>
      </c>
      <c r="AA3072" s="177" t="e">
        <v>#N/A</v>
      </c>
    </row>
    <row r="3073" spans="23:27" x14ac:dyDescent="0.2">
      <c r="W3073" s="173" t="str">
        <f t="shared" si="58"/>
        <v>1w</v>
      </c>
      <c r="X3073" s="180">
        <f>_xll.qlCalendarAdvance(LiborCalendar,X3072,W3073,"f",FALSE)</f>
        <v>60511</v>
      </c>
      <c r="Y3073" s="174">
        <f>_xll.qlInterestRateIndexValueDate(IborIndex,X3073)</f>
        <v>60513</v>
      </c>
      <c r="Z3073" s="175" t="e">
        <v>#N/A</v>
      </c>
      <c r="AA3073" s="177" t="e">
        <v>#N/A</v>
      </c>
    </row>
    <row r="3074" spans="23:27" x14ac:dyDescent="0.2">
      <c r="W3074" s="173" t="str">
        <f t="shared" si="58"/>
        <v>1w</v>
      </c>
      <c r="X3074" s="180">
        <f>_xll.qlCalendarAdvance(LiborCalendar,X3073,W3074,"f",FALSE)</f>
        <v>60518</v>
      </c>
      <c r="Y3074" s="174">
        <f>_xll.qlInterestRateIndexValueDate(IborIndex,X3074)</f>
        <v>60520</v>
      </c>
      <c r="Z3074" s="175" t="e">
        <v>#N/A</v>
      </c>
      <c r="AA3074" s="177" t="e">
        <v>#N/A</v>
      </c>
    </row>
    <row r="3075" spans="23:27" x14ac:dyDescent="0.2">
      <c r="W3075" s="173" t="str">
        <f t="shared" si="58"/>
        <v>1w</v>
      </c>
      <c r="X3075" s="180">
        <f>_xll.qlCalendarAdvance(LiborCalendar,X3074,W3075,"f",FALSE)</f>
        <v>60525</v>
      </c>
      <c r="Y3075" s="174">
        <f>_xll.qlInterestRateIndexValueDate(IborIndex,X3075)</f>
        <v>60527</v>
      </c>
      <c r="Z3075" s="175" t="e">
        <v>#N/A</v>
      </c>
      <c r="AA3075" s="177" t="e">
        <v>#N/A</v>
      </c>
    </row>
    <row r="3076" spans="23:27" x14ac:dyDescent="0.2">
      <c r="W3076" s="173" t="str">
        <f t="shared" si="58"/>
        <v>1w</v>
      </c>
      <c r="X3076" s="180">
        <f>_xll.qlCalendarAdvance(LiborCalendar,X3075,W3076,"f",FALSE)</f>
        <v>60532</v>
      </c>
      <c r="Y3076" s="174">
        <f>_xll.qlInterestRateIndexValueDate(IborIndex,X3076)</f>
        <v>60534</v>
      </c>
      <c r="Z3076" s="175" t="e">
        <v>#N/A</v>
      </c>
      <c r="AA3076" s="177" t="e">
        <v>#N/A</v>
      </c>
    </row>
    <row r="3077" spans="23:27" x14ac:dyDescent="0.2">
      <c r="W3077" s="173" t="str">
        <f t="shared" si="58"/>
        <v>1w</v>
      </c>
      <c r="X3077" s="180">
        <f>_xll.qlCalendarAdvance(LiborCalendar,X3076,W3077,"f",FALSE)</f>
        <v>60539</v>
      </c>
      <c r="Y3077" s="174">
        <f>_xll.qlInterestRateIndexValueDate(IborIndex,X3077)</f>
        <v>60541</v>
      </c>
      <c r="Z3077" s="175" t="e">
        <v>#N/A</v>
      </c>
      <c r="AA3077" s="177" t="e">
        <v>#N/A</v>
      </c>
    </row>
    <row r="3078" spans="23:27" x14ac:dyDescent="0.2">
      <c r="W3078" s="173" t="str">
        <f t="shared" si="58"/>
        <v>1w</v>
      </c>
      <c r="X3078" s="180">
        <f>_xll.qlCalendarAdvance(LiborCalendar,X3077,W3078,"f",FALSE)</f>
        <v>60546</v>
      </c>
      <c r="Y3078" s="174">
        <f>_xll.qlInterestRateIndexValueDate(IborIndex,X3078)</f>
        <v>60548</v>
      </c>
      <c r="Z3078" s="175" t="e">
        <v>#N/A</v>
      </c>
      <c r="AA3078" s="177" t="e">
        <v>#N/A</v>
      </c>
    </row>
    <row r="3079" spans="23:27" x14ac:dyDescent="0.2">
      <c r="W3079" s="173" t="str">
        <f t="shared" si="58"/>
        <v>1w</v>
      </c>
      <c r="X3079" s="180">
        <f>_xll.qlCalendarAdvance(LiborCalendar,X3078,W3079,"f",FALSE)</f>
        <v>60553</v>
      </c>
      <c r="Y3079" s="174">
        <f>_xll.qlInterestRateIndexValueDate(IborIndex,X3079)</f>
        <v>60555</v>
      </c>
      <c r="Z3079" s="175" t="e">
        <v>#N/A</v>
      </c>
      <c r="AA3079" s="177" t="e">
        <v>#N/A</v>
      </c>
    </row>
    <row r="3080" spans="23:27" x14ac:dyDescent="0.2">
      <c r="W3080" s="173" t="str">
        <f t="shared" si="58"/>
        <v>1w</v>
      </c>
      <c r="X3080" s="180">
        <f>_xll.qlCalendarAdvance(LiborCalendar,X3079,W3080,"f",FALSE)</f>
        <v>60560</v>
      </c>
      <c r="Y3080" s="174">
        <f>_xll.qlInterestRateIndexValueDate(IborIndex,X3080)</f>
        <v>60562</v>
      </c>
      <c r="Z3080" s="175" t="e">
        <v>#N/A</v>
      </c>
      <c r="AA3080" s="177" t="e">
        <v>#N/A</v>
      </c>
    </row>
    <row r="3081" spans="23:27" x14ac:dyDescent="0.2">
      <c r="W3081" s="173" t="str">
        <f t="shared" si="58"/>
        <v>1w</v>
      </c>
      <c r="X3081" s="180">
        <f>_xll.qlCalendarAdvance(LiborCalendar,X3080,W3081,"f",FALSE)</f>
        <v>60567</v>
      </c>
      <c r="Y3081" s="174">
        <f>_xll.qlInterestRateIndexValueDate(IborIndex,X3081)</f>
        <v>60569</v>
      </c>
      <c r="Z3081" s="175" t="e">
        <v>#N/A</v>
      </c>
      <c r="AA3081" s="177" t="e">
        <v>#N/A</v>
      </c>
    </row>
    <row r="3082" spans="23:27" x14ac:dyDescent="0.2">
      <c r="W3082" s="173" t="str">
        <f t="shared" si="58"/>
        <v>1w</v>
      </c>
      <c r="X3082" s="180">
        <f>_xll.qlCalendarAdvance(LiborCalendar,X3081,W3082,"f",FALSE)</f>
        <v>60574</v>
      </c>
      <c r="Y3082" s="174">
        <f>_xll.qlInterestRateIndexValueDate(IborIndex,X3082)</f>
        <v>60576</v>
      </c>
      <c r="Z3082" s="175" t="e">
        <v>#N/A</v>
      </c>
      <c r="AA3082" s="177" t="e">
        <v>#N/A</v>
      </c>
    </row>
    <row r="3083" spans="23:27" x14ac:dyDescent="0.2">
      <c r="W3083" s="173" t="str">
        <f t="shared" si="58"/>
        <v>1w</v>
      </c>
      <c r="X3083" s="180">
        <f>_xll.qlCalendarAdvance(LiborCalendar,X3082,W3083,"f",FALSE)</f>
        <v>60581</v>
      </c>
      <c r="Y3083" s="174">
        <f>_xll.qlInterestRateIndexValueDate(IborIndex,X3083)</f>
        <v>60583</v>
      </c>
      <c r="Z3083" s="175" t="e">
        <v>#N/A</v>
      </c>
      <c r="AA3083" s="177" t="e">
        <v>#N/A</v>
      </c>
    </row>
    <row r="3084" spans="23:27" x14ac:dyDescent="0.2">
      <c r="W3084" s="173" t="str">
        <f t="shared" si="58"/>
        <v>1w</v>
      </c>
      <c r="X3084" s="180">
        <f>_xll.qlCalendarAdvance(LiborCalendar,X3083,W3084,"f",FALSE)</f>
        <v>60588</v>
      </c>
      <c r="Y3084" s="174">
        <f>_xll.qlInterestRateIndexValueDate(IborIndex,X3084)</f>
        <v>60590</v>
      </c>
      <c r="Z3084" s="175" t="e">
        <v>#N/A</v>
      </c>
      <c r="AA3084" s="177" t="e">
        <v>#N/A</v>
      </c>
    </row>
    <row r="3085" spans="23:27" x14ac:dyDescent="0.2">
      <c r="W3085" s="173" t="str">
        <f t="shared" si="58"/>
        <v>1w</v>
      </c>
      <c r="X3085" s="180">
        <f>_xll.qlCalendarAdvance(LiborCalendar,X3084,W3085,"f",FALSE)</f>
        <v>60595</v>
      </c>
      <c r="Y3085" s="174">
        <f>_xll.qlInterestRateIndexValueDate(IborIndex,X3085)</f>
        <v>60597</v>
      </c>
      <c r="Z3085" s="175" t="e">
        <v>#N/A</v>
      </c>
      <c r="AA3085" s="177" t="e">
        <v>#N/A</v>
      </c>
    </row>
    <row r="3086" spans="23:27" x14ac:dyDescent="0.2">
      <c r="W3086" s="173" t="str">
        <f t="shared" si="58"/>
        <v>1w</v>
      </c>
      <c r="X3086" s="180">
        <f>_xll.qlCalendarAdvance(LiborCalendar,X3085,W3086,"f",FALSE)</f>
        <v>60602</v>
      </c>
      <c r="Y3086" s="174">
        <f>_xll.qlInterestRateIndexValueDate(IborIndex,X3086)</f>
        <v>60604</v>
      </c>
      <c r="Z3086" s="175" t="e">
        <v>#N/A</v>
      </c>
      <c r="AA3086" s="177" t="e">
        <v>#N/A</v>
      </c>
    </row>
    <row r="3087" spans="23:27" x14ac:dyDescent="0.2">
      <c r="W3087" s="173" t="str">
        <f t="shared" si="58"/>
        <v>1w</v>
      </c>
      <c r="X3087" s="180">
        <f>_xll.qlCalendarAdvance(LiborCalendar,X3086,W3087,"f",FALSE)</f>
        <v>60609</v>
      </c>
      <c r="Y3087" s="174">
        <f>_xll.qlInterestRateIndexValueDate(IborIndex,X3087)</f>
        <v>60611</v>
      </c>
      <c r="Z3087" s="175" t="e">
        <v>#N/A</v>
      </c>
      <c r="AA3087" s="177" t="e">
        <v>#N/A</v>
      </c>
    </row>
    <row r="3088" spans="23:27" x14ac:dyDescent="0.2">
      <c r="W3088" s="173" t="str">
        <f t="shared" si="58"/>
        <v>1w</v>
      </c>
      <c r="X3088" s="180">
        <f>_xll.qlCalendarAdvance(LiborCalendar,X3087,W3088,"f",FALSE)</f>
        <v>60616</v>
      </c>
      <c r="Y3088" s="174">
        <f>_xll.qlInterestRateIndexValueDate(IborIndex,X3088)</f>
        <v>60618</v>
      </c>
      <c r="Z3088" s="175" t="e">
        <v>#N/A</v>
      </c>
      <c r="AA3088" s="177" t="e">
        <v>#N/A</v>
      </c>
    </row>
    <row r="3089" spans="23:27" x14ac:dyDescent="0.2">
      <c r="W3089" s="173" t="str">
        <f t="shared" si="58"/>
        <v>1w</v>
      </c>
      <c r="X3089" s="180">
        <f>_xll.qlCalendarAdvance(LiborCalendar,X3088,W3089,"f",FALSE)</f>
        <v>60623</v>
      </c>
      <c r="Y3089" s="174">
        <f>_xll.qlInterestRateIndexValueDate(IborIndex,X3089)</f>
        <v>60625</v>
      </c>
      <c r="Z3089" s="175" t="e">
        <v>#N/A</v>
      </c>
      <c r="AA3089" s="177" t="e">
        <v>#N/A</v>
      </c>
    </row>
    <row r="3090" spans="23:27" x14ac:dyDescent="0.2">
      <c r="W3090" s="173" t="str">
        <f t="shared" si="58"/>
        <v>1w</v>
      </c>
      <c r="X3090" s="180">
        <f>_xll.qlCalendarAdvance(LiborCalendar,X3089,W3090,"f",FALSE)</f>
        <v>60630</v>
      </c>
      <c r="Y3090" s="174">
        <f>_xll.qlInterestRateIndexValueDate(IborIndex,X3090)</f>
        <v>60636</v>
      </c>
      <c r="Z3090" s="175" t="e">
        <v>#N/A</v>
      </c>
      <c r="AA3090" s="177" t="e">
        <v>#N/A</v>
      </c>
    </row>
    <row r="3091" spans="23:27" x14ac:dyDescent="0.2">
      <c r="W3091" s="173" t="str">
        <f t="shared" si="58"/>
        <v>1w</v>
      </c>
      <c r="X3091" s="180">
        <f>_xll.qlCalendarAdvance(LiborCalendar,X3090,W3091,"f",FALSE)</f>
        <v>60637</v>
      </c>
      <c r="Y3091" s="174">
        <f>_xll.qlInterestRateIndexValueDate(IborIndex,X3091)</f>
        <v>60639</v>
      </c>
      <c r="Z3091" s="175" t="e">
        <v>#N/A</v>
      </c>
      <c r="AA3091" s="177" t="e">
        <v>#N/A</v>
      </c>
    </row>
    <row r="3092" spans="23:27" x14ac:dyDescent="0.2">
      <c r="W3092" s="173" t="str">
        <f t="shared" si="58"/>
        <v>1w</v>
      </c>
      <c r="X3092" s="180">
        <f>_xll.qlCalendarAdvance(LiborCalendar,X3091,W3092,"f",FALSE)</f>
        <v>60644</v>
      </c>
      <c r="Y3092" s="174">
        <f>_xll.qlInterestRateIndexValueDate(IborIndex,X3092)</f>
        <v>60646</v>
      </c>
      <c r="Z3092" s="175" t="e">
        <v>#N/A</v>
      </c>
      <c r="AA3092" s="177" t="e">
        <v>#N/A</v>
      </c>
    </row>
    <row r="3093" spans="23:27" x14ac:dyDescent="0.2">
      <c r="W3093" s="173" t="str">
        <f t="shared" ref="W3093:W3156" si="59">W3092</f>
        <v>1w</v>
      </c>
      <c r="X3093" s="180">
        <f>_xll.qlCalendarAdvance(LiborCalendar,X3092,W3093,"f",FALSE)</f>
        <v>60651</v>
      </c>
      <c r="Y3093" s="174">
        <f>_xll.qlInterestRateIndexValueDate(IborIndex,X3093)</f>
        <v>60653</v>
      </c>
      <c r="Z3093" s="175" t="e">
        <v>#N/A</v>
      </c>
      <c r="AA3093" s="177" t="e">
        <v>#N/A</v>
      </c>
    </row>
    <row r="3094" spans="23:27" x14ac:dyDescent="0.2">
      <c r="W3094" s="173" t="str">
        <f t="shared" si="59"/>
        <v>1w</v>
      </c>
      <c r="X3094" s="180">
        <f>_xll.qlCalendarAdvance(LiborCalendar,X3093,W3094,"f",FALSE)</f>
        <v>60658</v>
      </c>
      <c r="Y3094" s="174">
        <f>_xll.qlInterestRateIndexValueDate(IborIndex,X3094)</f>
        <v>60660</v>
      </c>
      <c r="Z3094" s="175" t="e">
        <v>#N/A</v>
      </c>
      <c r="AA3094" s="177" t="e">
        <v>#N/A</v>
      </c>
    </row>
    <row r="3095" spans="23:27" x14ac:dyDescent="0.2">
      <c r="W3095" s="173" t="str">
        <f t="shared" si="59"/>
        <v>1w</v>
      </c>
      <c r="X3095" s="180">
        <f>_xll.qlCalendarAdvance(LiborCalendar,X3094,W3095,"f",FALSE)</f>
        <v>60665</v>
      </c>
      <c r="Y3095" s="174">
        <f>_xll.qlInterestRateIndexValueDate(IborIndex,X3095)</f>
        <v>60667</v>
      </c>
      <c r="Z3095" s="175" t="e">
        <v>#N/A</v>
      </c>
      <c r="AA3095" s="177" t="e">
        <v>#N/A</v>
      </c>
    </row>
    <row r="3096" spans="23:27" x14ac:dyDescent="0.2">
      <c r="W3096" s="173" t="str">
        <f t="shared" si="59"/>
        <v>1w</v>
      </c>
      <c r="X3096" s="180">
        <f>_xll.qlCalendarAdvance(LiborCalendar,X3095,W3096,"f",FALSE)</f>
        <v>60672</v>
      </c>
      <c r="Y3096" s="174">
        <f>_xll.qlInterestRateIndexValueDate(IborIndex,X3096)</f>
        <v>60675</v>
      </c>
      <c r="Z3096" s="175" t="e">
        <v>#N/A</v>
      </c>
      <c r="AA3096" s="177" t="e">
        <v>#N/A</v>
      </c>
    </row>
    <row r="3097" spans="23:27" x14ac:dyDescent="0.2">
      <c r="W3097" s="173" t="str">
        <f t="shared" si="59"/>
        <v>1w</v>
      </c>
      <c r="X3097" s="180">
        <f>_xll.qlCalendarAdvance(LiborCalendar,X3096,W3097,"f",FALSE)</f>
        <v>60679</v>
      </c>
      <c r="Y3097" s="174">
        <f>_xll.qlInterestRateIndexValueDate(IborIndex,X3097)</f>
        <v>60681</v>
      </c>
      <c r="Z3097" s="175" t="e">
        <v>#N/A</v>
      </c>
      <c r="AA3097" s="177" t="e">
        <v>#N/A</v>
      </c>
    </row>
    <row r="3098" spans="23:27" x14ac:dyDescent="0.2">
      <c r="W3098" s="173" t="str">
        <f t="shared" si="59"/>
        <v>1w</v>
      </c>
      <c r="X3098" s="180">
        <f>_xll.qlCalendarAdvance(LiborCalendar,X3097,W3098,"f",FALSE)</f>
        <v>60686</v>
      </c>
      <c r="Y3098" s="174">
        <f>_xll.qlInterestRateIndexValueDate(IborIndex,X3098)</f>
        <v>60688</v>
      </c>
      <c r="Z3098" s="175" t="e">
        <v>#N/A</v>
      </c>
      <c r="AA3098" s="177" t="e">
        <v>#N/A</v>
      </c>
    </row>
    <row r="3099" spans="23:27" x14ac:dyDescent="0.2">
      <c r="W3099" s="173" t="str">
        <f t="shared" si="59"/>
        <v>1w</v>
      </c>
      <c r="X3099" s="180">
        <f>_xll.qlCalendarAdvance(LiborCalendar,X3098,W3099,"f",FALSE)</f>
        <v>60693</v>
      </c>
      <c r="Y3099" s="174">
        <f>_xll.qlInterestRateIndexValueDate(IborIndex,X3099)</f>
        <v>60695</v>
      </c>
      <c r="Z3099" s="175" t="e">
        <v>#N/A</v>
      </c>
      <c r="AA3099" s="177" t="e">
        <v>#N/A</v>
      </c>
    </row>
    <row r="3100" spans="23:27" x14ac:dyDescent="0.2">
      <c r="W3100" s="173" t="str">
        <f t="shared" si="59"/>
        <v>1w</v>
      </c>
      <c r="X3100" s="180">
        <f>_xll.qlCalendarAdvance(LiborCalendar,X3099,W3100,"f",FALSE)</f>
        <v>60700</v>
      </c>
      <c r="Y3100" s="174">
        <f>_xll.qlInterestRateIndexValueDate(IborIndex,X3100)</f>
        <v>60702</v>
      </c>
      <c r="Z3100" s="175" t="e">
        <v>#N/A</v>
      </c>
      <c r="AA3100" s="177" t="e">
        <v>#N/A</v>
      </c>
    </row>
    <row r="3101" spans="23:27" x14ac:dyDescent="0.2">
      <c r="W3101" s="173" t="str">
        <f t="shared" si="59"/>
        <v>1w</v>
      </c>
      <c r="X3101" s="180">
        <f>_xll.qlCalendarAdvance(LiborCalendar,X3100,W3101,"f",FALSE)</f>
        <v>60707</v>
      </c>
      <c r="Y3101" s="174">
        <f>_xll.qlInterestRateIndexValueDate(IborIndex,X3101)</f>
        <v>60709</v>
      </c>
      <c r="Z3101" s="175" t="e">
        <v>#N/A</v>
      </c>
      <c r="AA3101" s="177" t="e">
        <v>#N/A</v>
      </c>
    </row>
    <row r="3102" spans="23:27" x14ac:dyDescent="0.2">
      <c r="W3102" s="173" t="str">
        <f t="shared" si="59"/>
        <v>1w</v>
      </c>
      <c r="X3102" s="180">
        <f>_xll.qlCalendarAdvance(LiborCalendar,X3101,W3102,"f",FALSE)</f>
        <v>60714</v>
      </c>
      <c r="Y3102" s="174">
        <f>_xll.qlInterestRateIndexValueDate(IborIndex,X3102)</f>
        <v>60716</v>
      </c>
      <c r="Z3102" s="175" t="e">
        <v>#N/A</v>
      </c>
      <c r="AA3102" s="177" t="e">
        <v>#N/A</v>
      </c>
    </row>
    <row r="3103" spans="23:27" x14ac:dyDescent="0.2">
      <c r="W3103" s="173" t="str">
        <f t="shared" si="59"/>
        <v>1w</v>
      </c>
      <c r="X3103" s="180">
        <f>_xll.qlCalendarAdvance(LiborCalendar,X3102,W3103,"f",FALSE)</f>
        <v>60721</v>
      </c>
      <c r="Y3103" s="174">
        <f>_xll.qlInterestRateIndexValueDate(IborIndex,X3103)</f>
        <v>60723</v>
      </c>
      <c r="Z3103" s="175" t="e">
        <v>#N/A</v>
      </c>
      <c r="AA3103" s="177" t="e">
        <v>#N/A</v>
      </c>
    </row>
    <row r="3104" spans="23:27" x14ac:dyDescent="0.2">
      <c r="W3104" s="173" t="str">
        <f t="shared" si="59"/>
        <v>1w</v>
      </c>
      <c r="X3104" s="180">
        <f>_xll.qlCalendarAdvance(LiborCalendar,X3103,W3104,"f",FALSE)</f>
        <v>60728</v>
      </c>
      <c r="Y3104" s="174">
        <f>_xll.qlInterestRateIndexValueDate(IborIndex,X3104)</f>
        <v>60730</v>
      </c>
      <c r="Z3104" s="175" t="e">
        <v>#N/A</v>
      </c>
      <c r="AA3104" s="177" t="e">
        <v>#N/A</v>
      </c>
    </row>
    <row r="3105" spans="23:27" x14ac:dyDescent="0.2">
      <c r="W3105" s="173" t="str">
        <f t="shared" si="59"/>
        <v>1w</v>
      </c>
      <c r="X3105" s="180">
        <f>_xll.qlCalendarAdvance(LiborCalendar,X3104,W3105,"f",FALSE)</f>
        <v>60735</v>
      </c>
      <c r="Y3105" s="174">
        <f>_xll.qlInterestRateIndexValueDate(IborIndex,X3105)</f>
        <v>60737</v>
      </c>
      <c r="Z3105" s="175" t="e">
        <v>#N/A</v>
      </c>
      <c r="AA3105" s="177" t="e">
        <v>#N/A</v>
      </c>
    </row>
    <row r="3106" spans="23:27" x14ac:dyDescent="0.2">
      <c r="W3106" s="173" t="str">
        <f t="shared" si="59"/>
        <v>1w</v>
      </c>
      <c r="X3106" s="180">
        <f>_xll.qlCalendarAdvance(LiborCalendar,X3105,W3106,"f",FALSE)</f>
        <v>60742</v>
      </c>
      <c r="Y3106" s="174">
        <f>_xll.qlInterestRateIndexValueDate(IborIndex,X3106)</f>
        <v>60744</v>
      </c>
      <c r="Z3106" s="175" t="e">
        <v>#N/A</v>
      </c>
      <c r="AA3106" s="177" t="e">
        <v>#N/A</v>
      </c>
    </row>
    <row r="3107" spans="23:27" x14ac:dyDescent="0.2">
      <c r="W3107" s="173" t="str">
        <f t="shared" si="59"/>
        <v>1w</v>
      </c>
      <c r="X3107" s="180">
        <f>_xll.qlCalendarAdvance(LiborCalendar,X3106,W3107,"f",FALSE)</f>
        <v>60749</v>
      </c>
      <c r="Y3107" s="174">
        <f>_xll.qlInterestRateIndexValueDate(IborIndex,X3107)</f>
        <v>60752</v>
      </c>
      <c r="Z3107" s="175" t="e">
        <v>#N/A</v>
      </c>
      <c r="AA3107" s="177" t="e">
        <v>#N/A</v>
      </c>
    </row>
    <row r="3108" spans="23:27" x14ac:dyDescent="0.2">
      <c r="W3108" s="173" t="str">
        <f t="shared" si="59"/>
        <v>1w</v>
      </c>
      <c r="X3108" s="180">
        <f>_xll.qlCalendarAdvance(LiborCalendar,X3107,W3108,"f",FALSE)</f>
        <v>60756</v>
      </c>
      <c r="Y3108" s="174">
        <f>_xll.qlInterestRateIndexValueDate(IborIndex,X3108)</f>
        <v>60758</v>
      </c>
      <c r="Z3108" s="175" t="e">
        <v>#N/A</v>
      </c>
      <c r="AA3108" s="177" t="e">
        <v>#N/A</v>
      </c>
    </row>
    <row r="3109" spans="23:27" x14ac:dyDescent="0.2">
      <c r="W3109" s="173" t="str">
        <f t="shared" si="59"/>
        <v>1w</v>
      </c>
      <c r="X3109" s="180">
        <f>_xll.qlCalendarAdvance(LiborCalendar,X3108,W3109,"f",FALSE)</f>
        <v>60763</v>
      </c>
      <c r="Y3109" s="174">
        <f>_xll.qlInterestRateIndexValueDate(IborIndex,X3109)</f>
        <v>60765</v>
      </c>
      <c r="Z3109" s="175" t="e">
        <v>#N/A</v>
      </c>
      <c r="AA3109" s="177" t="e">
        <v>#N/A</v>
      </c>
    </row>
    <row r="3110" spans="23:27" x14ac:dyDescent="0.2">
      <c r="W3110" s="173" t="str">
        <f t="shared" si="59"/>
        <v>1w</v>
      </c>
      <c r="X3110" s="180">
        <f>_xll.qlCalendarAdvance(LiborCalendar,X3109,W3110,"f",FALSE)</f>
        <v>60770</v>
      </c>
      <c r="Y3110" s="174">
        <f>_xll.qlInterestRateIndexValueDate(IborIndex,X3110)</f>
        <v>60772</v>
      </c>
      <c r="Z3110" s="175" t="e">
        <v>#N/A</v>
      </c>
      <c r="AA3110" s="177" t="e">
        <v>#N/A</v>
      </c>
    </row>
    <row r="3111" spans="23:27" x14ac:dyDescent="0.2">
      <c r="W3111" s="173" t="str">
        <f t="shared" si="59"/>
        <v>1w</v>
      </c>
      <c r="X3111" s="180">
        <f>_xll.qlCalendarAdvance(LiborCalendar,X3110,W3111,"f",FALSE)</f>
        <v>60777</v>
      </c>
      <c r="Y3111" s="174">
        <f>_xll.qlInterestRateIndexValueDate(IborIndex,X3111)</f>
        <v>60779</v>
      </c>
      <c r="Z3111" s="175" t="e">
        <v>#N/A</v>
      </c>
      <c r="AA3111" s="177" t="e">
        <v>#N/A</v>
      </c>
    </row>
    <row r="3112" spans="23:27" x14ac:dyDescent="0.2">
      <c r="W3112" s="173" t="str">
        <f t="shared" si="59"/>
        <v>1w</v>
      </c>
      <c r="X3112" s="180">
        <f>_xll.qlCalendarAdvance(LiborCalendar,X3111,W3112,"f",FALSE)</f>
        <v>60784</v>
      </c>
      <c r="Y3112" s="174">
        <f>_xll.qlInterestRateIndexValueDate(IborIndex,X3112)</f>
        <v>60786</v>
      </c>
      <c r="Z3112" s="175" t="e">
        <v>#N/A</v>
      </c>
      <c r="AA3112" s="177" t="e">
        <v>#N/A</v>
      </c>
    </row>
    <row r="3113" spans="23:27" x14ac:dyDescent="0.2">
      <c r="W3113" s="173" t="str">
        <f t="shared" si="59"/>
        <v>1w</v>
      </c>
      <c r="X3113" s="180">
        <f>_xll.qlCalendarAdvance(LiborCalendar,X3112,W3113,"f",FALSE)</f>
        <v>60791</v>
      </c>
      <c r="Y3113" s="174">
        <f>_xll.qlInterestRateIndexValueDate(IborIndex,X3113)</f>
        <v>60793</v>
      </c>
      <c r="Z3113" s="175" t="e">
        <v>#N/A</v>
      </c>
      <c r="AA3113" s="177" t="e">
        <v>#N/A</v>
      </c>
    </row>
    <row r="3114" spans="23:27" x14ac:dyDescent="0.2">
      <c r="W3114" s="173" t="str">
        <f t="shared" si="59"/>
        <v>1w</v>
      </c>
      <c r="X3114" s="180">
        <f>_xll.qlCalendarAdvance(LiborCalendar,X3113,W3114,"f",FALSE)</f>
        <v>60798</v>
      </c>
      <c r="Y3114" s="174">
        <f>_xll.qlInterestRateIndexValueDate(IborIndex,X3114)</f>
        <v>60800</v>
      </c>
      <c r="Z3114" s="175" t="e">
        <v>#N/A</v>
      </c>
      <c r="AA3114" s="177" t="e">
        <v>#N/A</v>
      </c>
    </row>
    <row r="3115" spans="23:27" x14ac:dyDescent="0.2">
      <c r="W3115" s="173" t="str">
        <f t="shared" si="59"/>
        <v>1w</v>
      </c>
      <c r="X3115" s="180">
        <f>_xll.qlCalendarAdvance(LiborCalendar,X3114,W3115,"f",FALSE)</f>
        <v>60805</v>
      </c>
      <c r="Y3115" s="174">
        <f>_xll.qlInterestRateIndexValueDate(IborIndex,X3115)</f>
        <v>60807</v>
      </c>
      <c r="Z3115" s="175" t="e">
        <v>#N/A</v>
      </c>
      <c r="AA3115" s="177" t="e">
        <v>#N/A</v>
      </c>
    </row>
    <row r="3116" spans="23:27" x14ac:dyDescent="0.2">
      <c r="W3116" s="173" t="str">
        <f t="shared" si="59"/>
        <v>1w</v>
      </c>
      <c r="X3116" s="180">
        <f>_xll.qlCalendarAdvance(LiborCalendar,X3115,W3116,"f",FALSE)</f>
        <v>60812</v>
      </c>
      <c r="Y3116" s="174">
        <f>_xll.qlInterestRateIndexValueDate(IborIndex,X3116)</f>
        <v>60814</v>
      </c>
      <c r="Z3116" s="175" t="e">
        <v>#N/A</v>
      </c>
      <c r="AA3116" s="177" t="e">
        <v>#N/A</v>
      </c>
    </row>
    <row r="3117" spans="23:27" x14ac:dyDescent="0.2">
      <c r="W3117" s="173" t="str">
        <f t="shared" si="59"/>
        <v>1w</v>
      </c>
      <c r="X3117" s="180">
        <f>_xll.qlCalendarAdvance(LiborCalendar,X3116,W3117,"f",FALSE)</f>
        <v>60819</v>
      </c>
      <c r="Y3117" s="174">
        <f>_xll.qlInterestRateIndexValueDate(IborIndex,X3117)</f>
        <v>60821</v>
      </c>
      <c r="Z3117" s="175" t="e">
        <v>#N/A</v>
      </c>
      <c r="AA3117" s="177" t="e">
        <v>#N/A</v>
      </c>
    </row>
    <row r="3118" spans="23:27" x14ac:dyDescent="0.2">
      <c r="W3118" s="173" t="str">
        <f t="shared" si="59"/>
        <v>1w</v>
      </c>
      <c r="X3118" s="180">
        <f>_xll.qlCalendarAdvance(LiborCalendar,X3117,W3118,"f",FALSE)</f>
        <v>60826</v>
      </c>
      <c r="Y3118" s="174">
        <f>_xll.qlInterestRateIndexValueDate(IborIndex,X3118)</f>
        <v>60828</v>
      </c>
      <c r="Z3118" s="175" t="e">
        <v>#N/A</v>
      </c>
      <c r="AA3118" s="177" t="e">
        <v>#N/A</v>
      </c>
    </row>
    <row r="3119" spans="23:27" x14ac:dyDescent="0.2">
      <c r="W3119" s="173" t="str">
        <f t="shared" si="59"/>
        <v>1w</v>
      </c>
      <c r="X3119" s="180">
        <f>_xll.qlCalendarAdvance(LiborCalendar,X3118,W3119,"f",FALSE)</f>
        <v>60833</v>
      </c>
      <c r="Y3119" s="174">
        <f>_xll.qlInterestRateIndexValueDate(IborIndex,X3119)</f>
        <v>60835</v>
      </c>
      <c r="Z3119" s="175" t="e">
        <v>#N/A</v>
      </c>
      <c r="AA3119" s="177" t="e">
        <v>#N/A</v>
      </c>
    </row>
    <row r="3120" spans="23:27" x14ac:dyDescent="0.2">
      <c r="W3120" s="173" t="str">
        <f t="shared" si="59"/>
        <v>1w</v>
      </c>
      <c r="X3120" s="180">
        <f>_xll.qlCalendarAdvance(LiborCalendar,X3119,W3120,"f",FALSE)</f>
        <v>60840</v>
      </c>
      <c r="Y3120" s="174">
        <f>_xll.qlInterestRateIndexValueDate(IborIndex,X3120)</f>
        <v>60842</v>
      </c>
      <c r="Z3120" s="175" t="e">
        <v>#N/A</v>
      </c>
      <c r="AA3120" s="177" t="e">
        <v>#N/A</v>
      </c>
    </row>
    <row r="3121" spans="23:27" x14ac:dyDescent="0.2">
      <c r="W3121" s="173" t="str">
        <f t="shared" si="59"/>
        <v>1w</v>
      </c>
      <c r="X3121" s="180">
        <f>_xll.qlCalendarAdvance(LiborCalendar,X3120,W3121,"f",FALSE)</f>
        <v>60847</v>
      </c>
      <c r="Y3121" s="174">
        <f>_xll.qlInterestRateIndexValueDate(IborIndex,X3121)</f>
        <v>60849</v>
      </c>
      <c r="Z3121" s="175" t="e">
        <v>#N/A</v>
      </c>
      <c r="AA3121" s="177" t="e">
        <v>#N/A</v>
      </c>
    </row>
    <row r="3122" spans="23:27" x14ac:dyDescent="0.2">
      <c r="W3122" s="173" t="str">
        <f t="shared" si="59"/>
        <v>1w</v>
      </c>
      <c r="X3122" s="180">
        <f>_xll.qlCalendarAdvance(LiborCalendar,X3121,W3122,"f",FALSE)</f>
        <v>60854</v>
      </c>
      <c r="Y3122" s="174">
        <f>_xll.qlInterestRateIndexValueDate(IborIndex,X3122)</f>
        <v>60856</v>
      </c>
      <c r="Z3122" s="175" t="e">
        <v>#N/A</v>
      </c>
      <c r="AA3122" s="177" t="e">
        <v>#N/A</v>
      </c>
    </row>
    <row r="3123" spans="23:27" x14ac:dyDescent="0.2">
      <c r="W3123" s="173" t="str">
        <f t="shared" si="59"/>
        <v>1w</v>
      </c>
      <c r="X3123" s="180">
        <f>_xll.qlCalendarAdvance(LiborCalendar,X3122,W3123,"f",FALSE)</f>
        <v>60861</v>
      </c>
      <c r="Y3123" s="174">
        <f>_xll.qlInterestRateIndexValueDate(IborIndex,X3123)</f>
        <v>60863</v>
      </c>
      <c r="Z3123" s="175" t="e">
        <v>#N/A</v>
      </c>
      <c r="AA3123" s="177" t="e">
        <v>#N/A</v>
      </c>
    </row>
    <row r="3124" spans="23:27" x14ac:dyDescent="0.2">
      <c r="W3124" s="173" t="str">
        <f t="shared" si="59"/>
        <v>1w</v>
      </c>
      <c r="X3124" s="180">
        <f>_xll.qlCalendarAdvance(LiborCalendar,X3123,W3124,"f",FALSE)</f>
        <v>60868</v>
      </c>
      <c r="Y3124" s="174">
        <f>_xll.qlInterestRateIndexValueDate(IborIndex,X3124)</f>
        <v>60870</v>
      </c>
      <c r="Z3124" s="175" t="e">
        <v>#N/A</v>
      </c>
      <c r="AA3124" s="177" t="e">
        <v>#N/A</v>
      </c>
    </row>
    <row r="3125" spans="23:27" x14ac:dyDescent="0.2">
      <c r="W3125" s="173" t="str">
        <f t="shared" si="59"/>
        <v>1w</v>
      </c>
      <c r="X3125" s="180">
        <f>_xll.qlCalendarAdvance(LiborCalendar,X3124,W3125,"f",FALSE)</f>
        <v>60875</v>
      </c>
      <c r="Y3125" s="174">
        <f>_xll.qlInterestRateIndexValueDate(IborIndex,X3125)</f>
        <v>60877</v>
      </c>
      <c r="Z3125" s="175" t="e">
        <v>#N/A</v>
      </c>
      <c r="AA3125" s="177" t="e">
        <v>#N/A</v>
      </c>
    </row>
    <row r="3126" spans="23:27" x14ac:dyDescent="0.2">
      <c r="W3126" s="173" t="str">
        <f t="shared" si="59"/>
        <v>1w</v>
      </c>
      <c r="X3126" s="180">
        <f>_xll.qlCalendarAdvance(LiborCalendar,X3125,W3126,"f",FALSE)</f>
        <v>60882</v>
      </c>
      <c r="Y3126" s="174">
        <f>_xll.qlInterestRateIndexValueDate(IborIndex,X3126)</f>
        <v>60884</v>
      </c>
      <c r="Z3126" s="175" t="e">
        <v>#N/A</v>
      </c>
      <c r="AA3126" s="177" t="e">
        <v>#N/A</v>
      </c>
    </row>
    <row r="3127" spans="23:27" x14ac:dyDescent="0.2">
      <c r="W3127" s="173" t="str">
        <f t="shared" si="59"/>
        <v>1w</v>
      </c>
      <c r="X3127" s="180">
        <f>_xll.qlCalendarAdvance(LiborCalendar,X3126,W3127,"f",FALSE)</f>
        <v>60889</v>
      </c>
      <c r="Y3127" s="174">
        <f>_xll.qlInterestRateIndexValueDate(IborIndex,X3127)</f>
        <v>60891</v>
      </c>
      <c r="Z3127" s="175" t="e">
        <v>#N/A</v>
      </c>
      <c r="AA3127" s="177" t="e">
        <v>#N/A</v>
      </c>
    </row>
    <row r="3128" spans="23:27" x14ac:dyDescent="0.2">
      <c r="W3128" s="173" t="str">
        <f t="shared" si="59"/>
        <v>1w</v>
      </c>
      <c r="X3128" s="180">
        <f>_xll.qlCalendarAdvance(LiborCalendar,X3127,W3128,"f",FALSE)</f>
        <v>60896</v>
      </c>
      <c r="Y3128" s="174">
        <f>_xll.qlInterestRateIndexValueDate(IborIndex,X3128)</f>
        <v>60899</v>
      </c>
      <c r="Z3128" s="175" t="e">
        <v>#N/A</v>
      </c>
      <c r="AA3128" s="177" t="e">
        <v>#N/A</v>
      </c>
    </row>
    <row r="3129" spans="23:27" x14ac:dyDescent="0.2">
      <c r="W3129" s="173" t="str">
        <f t="shared" si="59"/>
        <v>1w</v>
      </c>
      <c r="X3129" s="180">
        <f>_xll.qlCalendarAdvance(LiborCalendar,X3128,W3129,"f",FALSE)</f>
        <v>60903</v>
      </c>
      <c r="Y3129" s="174">
        <f>_xll.qlInterestRateIndexValueDate(IborIndex,X3129)</f>
        <v>60905</v>
      </c>
      <c r="Z3129" s="175" t="e">
        <v>#N/A</v>
      </c>
      <c r="AA3129" s="177" t="e">
        <v>#N/A</v>
      </c>
    </row>
    <row r="3130" spans="23:27" x14ac:dyDescent="0.2">
      <c r="W3130" s="173" t="str">
        <f t="shared" si="59"/>
        <v>1w</v>
      </c>
      <c r="X3130" s="180">
        <f>_xll.qlCalendarAdvance(LiborCalendar,X3129,W3130,"f",FALSE)</f>
        <v>60910</v>
      </c>
      <c r="Y3130" s="174">
        <f>_xll.qlInterestRateIndexValueDate(IborIndex,X3130)</f>
        <v>60912</v>
      </c>
      <c r="Z3130" s="175" t="e">
        <v>#N/A</v>
      </c>
      <c r="AA3130" s="177" t="e">
        <v>#N/A</v>
      </c>
    </row>
    <row r="3131" spans="23:27" x14ac:dyDescent="0.2">
      <c r="W3131" s="173" t="str">
        <f t="shared" si="59"/>
        <v>1w</v>
      </c>
      <c r="X3131" s="180">
        <f>_xll.qlCalendarAdvance(LiborCalendar,X3130,W3131,"f",FALSE)</f>
        <v>60917</v>
      </c>
      <c r="Y3131" s="174">
        <f>_xll.qlInterestRateIndexValueDate(IborIndex,X3131)</f>
        <v>60919</v>
      </c>
      <c r="Z3131" s="175" t="e">
        <v>#N/A</v>
      </c>
      <c r="AA3131" s="177" t="e">
        <v>#N/A</v>
      </c>
    </row>
    <row r="3132" spans="23:27" x14ac:dyDescent="0.2">
      <c r="W3132" s="173" t="str">
        <f t="shared" si="59"/>
        <v>1w</v>
      </c>
      <c r="X3132" s="180">
        <f>_xll.qlCalendarAdvance(LiborCalendar,X3131,W3132,"f",FALSE)</f>
        <v>60924</v>
      </c>
      <c r="Y3132" s="174">
        <f>_xll.qlInterestRateIndexValueDate(IborIndex,X3132)</f>
        <v>60926</v>
      </c>
      <c r="Z3132" s="175" t="e">
        <v>#N/A</v>
      </c>
      <c r="AA3132" s="177" t="e">
        <v>#N/A</v>
      </c>
    </row>
    <row r="3133" spans="23:27" x14ac:dyDescent="0.2">
      <c r="W3133" s="173" t="str">
        <f t="shared" si="59"/>
        <v>1w</v>
      </c>
      <c r="X3133" s="180">
        <f>_xll.qlCalendarAdvance(LiborCalendar,X3132,W3133,"f",FALSE)</f>
        <v>60931</v>
      </c>
      <c r="Y3133" s="174">
        <f>_xll.qlInterestRateIndexValueDate(IborIndex,X3133)</f>
        <v>60933</v>
      </c>
      <c r="Z3133" s="175" t="e">
        <v>#N/A</v>
      </c>
      <c r="AA3133" s="177" t="e">
        <v>#N/A</v>
      </c>
    </row>
    <row r="3134" spans="23:27" x14ac:dyDescent="0.2">
      <c r="W3134" s="173" t="str">
        <f t="shared" si="59"/>
        <v>1w</v>
      </c>
      <c r="X3134" s="180">
        <f>_xll.qlCalendarAdvance(LiborCalendar,X3133,W3134,"f",FALSE)</f>
        <v>60938</v>
      </c>
      <c r="Y3134" s="174">
        <f>_xll.qlInterestRateIndexValueDate(IborIndex,X3134)</f>
        <v>60940</v>
      </c>
      <c r="Z3134" s="175" t="e">
        <v>#N/A</v>
      </c>
      <c r="AA3134" s="177" t="e">
        <v>#N/A</v>
      </c>
    </row>
    <row r="3135" spans="23:27" x14ac:dyDescent="0.2">
      <c r="W3135" s="173" t="str">
        <f t="shared" si="59"/>
        <v>1w</v>
      </c>
      <c r="X3135" s="180">
        <f>_xll.qlCalendarAdvance(LiborCalendar,X3134,W3135,"f",FALSE)</f>
        <v>60945</v>
      </c>
      <c r="Y3135" s="174">
        <f>_xll.qlInterestRateIndexValueDate(IborIndex,X3135)</f>
        <v>60947</v>
      </c>
      <c r="Z3135" s="175" t="e">
        <v>#N/A</v>
      </c>
      <c r="AA3135" s="177" t="e">
        <v>#N/A</v>
      </c>
    </row>
    <row r="3136" spans="23:27" x14ac:dyDescent="0.2">
      <c r="W3136" s="173" t="str">
        <f t="shared" si="59"/>
        <v>1w</v>
      </c>
      <c r="X3136" s="180">
        <f>_xll.qlCalendarAdvance(LiborCalendar,X3135,W3136,"f",FALSE)</f>
        <v>60952</v>
      </c>
      <c r="Y3136" s="174">
        <f>_xll.qlInterestRateIndexValueDate(IborIndex,X3136)</f>
        <v>60954</v>
      </c>
      <c r="Z3136" s="175" t="e">
        <v>#N/A</v>
      </c>
      <c r="AA3136" s="177" t="e">
        <v>#N/A</v>
      </c>
    </row>
    <row r="3137" spans="23:27" x14ac:dyDescent="0.2">
      <c r="W3137" s="173" t="str">
        <f t="shared" si="59"/>
        <v>1w</v>
      </c>
      <c r="X3137" s="180">
        <f>_xll.qlCalendarAdvance(LiborCalendar,X3136,W3137,"f",FALSE)</f>
        <v>60959</v>
      </c>
      <c r="Y3137" s="174">
        <f>_xll.qlInterestRateIndexValueDate(IborIndex,X3137)</f>
        <v>60961</v>
      </c>
      <c r="Z3137" s="175" t="e">
        <v>#N/A</v>
      </c>
      <c r="AA3137" s="177" t="e">
        <v>#N/A</v>
      </c>
    </row>
    <row r="3138" spans="23:27" x14ac:dyDescent="0.2">
      <c r="W3138" s="173" t="str">
        <f t="shared" si="59"/>
        <v>1w</v>
      </c>
      <c r="X3138" s="180">
        <f>_xll.qlCalendarAdvance(LiborCalendar,X3137,W3138,"f",FALSE)</f>
        <v>60966</v>
      </c>
      <c r="Y3138" s="174">
        <f>_xll.qlInterestRateIndexValueDate(IborIndex,X3138)</f>
        <v>60968</v>
      </c>
      <c r="Z3138" s="175" t="e">
        <v>#N/A</v>
      </c>
      <c r="AA3138" s="177" t="e">
        <v>#N/A</v>
      </c>
    </row>
    <row r="3139" spans="23:27" x14ac:dyDescent="0.2">
      <c r="W3139" s="173" t="str">
        <f t="shared" si="59"/>
        <v>1w</v>
      </c>
      <c r="X3139" s="180">
        <f>_xll.qlCalendarAdvance(LiborCalendar,X3138,W3139,"f",FALSE)</f>
        <v>60973</v>
      </c>
      <c r="Y3139" s="174">
        <f>_xll.qlInterestRateIndexValueDate(IborIndex,X3139)</f>
        <v>60975</v>
      </c>
      <c r="Z3139" s="175" t="e">
        <v>#N/A</v>
      </c>
      <c r="AA3139" s="177" t="e">
        <v>#N/A</v>
      </c>
    </row>
    <row r="3140" spans="23:27" x14ac:dyDescent="0.2">
      <c r="W3140" s="173" t="str">
        <f t="shared" si="59"/>
        <v>1w</v>
      </c>
      <c r="X3140" s="180">
        <f>_xll.qlCalendarAdvance(LiborCalendar,X3139,W3140,"f",FALSE)</f>
        <v>60980</v>
      </c>
      <c r="Y3140" s="174">
        <f>_xll.qlInterestRateIndexValueDate(IborIndex,X3140)</f>
        <v>60982</v>
      </c>
      <c r="Z3140" s="175" t="e">
        <v>#N/A</v>
      </c>
      <c r="AA3140" s="177" t="e">
        <v>#N/A</v>
      </c>
    </row>
    <row r="3141" spans="23:27" x14ac:dyDescent="0.2">
      <c r="W3141" s="173" t="str">
        <f t="shared" si="59"/>
        <v>1w</v>
      </c>
      <c r="X3141" s="180">
        <f>_xll.qlCalendarAdvance(LiborCalendar,X3140,W3141,"f",FALSE)</f>
        <v>60987</v>
      </c>
      <c r="Y3141" s="174">
        <f>_xll.qlInterestRateIndexValueDate(IborIndex,X3141)</f>
        <v>60990</v>
      </c>
      <c r="Z3141" s="175" t="e">
        <v>#N/A</v>
      </c>
      <c r="AA3141" s="177" t="e">
        <v>#N/A</v>
      </c>
    </row>
    <row r="3142" spans="23:27" x14ac:dyDescent="0.2">
      <c r="W3142" s="173" t="str">
        <f t="shared" si="59"/>
        <v>1w</v>
      </c>
      <c r="X3142" s="180">
        <f>_xll.qlCalendarAdvance(LiborCalendar,X3141,W3142,"f",FALSE)</f>
        <v>60995</v>
      </c>
      <c r="Y3142" s="174">
        <f>_xll.qlInterestRateIndexValueDate(IborIndex,X3142)</f>
        <v>61001</v>
      </c>
      <c r="Z3142" s="175" t="e">
        <v>#N/A</v>
      </c>
      <c r="AA3142" s="177" t="e">
        <v>#N/A</v>
      </c>
    </row>
    <row r="3143" spans="23:27" x14ac:dyDescent="0.2">
      <c r="W3143" s="173" t="str">
        <f t="shared" si="59"/>
        <v>1w</v>
      </c>
      <c r="X3143" s="180">
        <f>_xll.qlCalendarAdvance(LiborCalendar,X3142,W3143,"f",FALSE)</f>
        <v>61002</v>
      </c>
      <c r="Y3143" s="174">
        <f>_xll.qlInterestRateIndexValueDate(IborIndex,X3143)</f>
        <v>61004</v>
      </c>
      <c r="Z3143" s="175" t="e">
        <v>#N/A</v>
      </c>
      <c r="AA3143" s="177" t="e">
        <v>#N/A</v>
      </c>
    </row>
    <row r="3144" spans="23:27" x14ac:dyDescent="0.2">
      <c r="W3144" s="173" t="str">
        <f t="shared" si="59"/>
        <v>1w</v>
      </c>
      <c r="X3144" s="180">
        <f>_xll.qlCalendarAdvance(LiborCalendar,X3143,W3144,"f",FALSE)</f>
        <v>61009</v>
      </c>
      <c r="Y3144" s="174">
        <f>_xll.qlInterestRateIndexValueDate(IborIndex,X3144)</f>
        <v>61011</v>
      </c>
      <c r="Z3144" s="175" t="e">
        <v>#N/A</v>
      </c>
      <c r="AA3144" s="177" t="e">
        <v>#N/A</v>
      </c>
    </row>
    <row r="3145" spans="23:27" x14ac:dyDescent="0.2">
      <c r="W3145" s="173" t="str">
        <f t="shared" si="59"/>
        <v>1w</v>
      </c>
      <c r="X3145" s="180">
        <f>_xll.qlCalendarAdvance(LiborCalendar,X3144,W3145,"f",FALSE)</f>
        <v>61016</v>
      </c>
      <c r="Y3145" s="174">
        <f>_xll.qlInterestRateIndexValueDate(IborIndex,X3145)</f>
        <v>61018</v>
      </c>
      <c r="Z3145" s="175" t="e">
        <v>#N/A</v>
      </c>
      <c r="AA3145" s="177" t="e">
        <v>#N/A</v>
      </c>
    </row>
    <row r="3146" spans="23:27" x14ac:dyDescent="0.2">
      <c r="W3146" s="173" t="str">
        <f t="shared" si="59"/>
        <v>1w</v>
      </c>
      <c r="X3146" s="180">
        <f>_xll.qlCalendarAdvance(LiborCalendar,X3145,W3146,"f",FALSE)</f>
        <v>61023</v>
      </c>
      <c r="Y3146" s="174">
        <f>_xll.qlInterestRateIndexValueDate(IborIndex,X3146)</f>
        <v>61025</v>
      </c>
      <c r="Z3146" s="175" t="e">
        <v>#N/A</v>
      </c>
      <c r="AA3146" s="177" t="e">
        <v>#N/A</v>
      </c>
    </row>
    <row r="3147" spans="23:27" x14ac:dyDescent="0.2">
      <c r="W3147" s="173" t="str">
        <f t="shared" si="59"/>
        <v>1w</v>
      </c>
      <c r="X3147" s="180">
        <f>_xll.qlCalendarAdvance(LiborCalendar,X3146,W3147,"f",FALSE)</f>
        <v>61030</v>
      </c>
      <c r="Y3147" s="174">
        <f>_xll.qlInterestRateIndexValueDate(IborIndex,X3147)</f>
        <v>61032</v>
      </c>
      <c r="Z3147" s="175" t="e">
        <v>#N/A</v>
      </c>
      <c r="AA3147" s="177" t="e">
        <v>#N/A</v>
      </c>
    </row>
    <row r="3148" spans="23:27" x14ac:dyDescent="0.2">
      <c r="W3148" s="173" t="str">
        <f t="shared" si="59"/>
        <v>1w</v>
      </c>
      <c r="X3148" s="180">
        <f>_xll.qlCalendarAdvance(LiborCalendar,X3147,W3148,"f",FALSE)</f>
        <v>61037</v>
      </c>
      <c r="Y3148" s="174">
        <f>_xll.qlInterestRateIndexValueDate(IborIndex,X3148)</f>
        <v>61042</v>
      </c>
      <c r="Z3148" s="175" t="e">
        <v>#N/A</v>
      </c>
      <c r="AA3148" s="177" t="e">
        <v>#N/A</v>
      </c>
    </row>
    <row r="3149" spans="23:27" x14ac:dyDescent="0.2">
      <c r="W3149" s="173" t="str">
        <f t="shared" si="59"/>
        <v>1w</v>
      </c>
      <c r="X3149" s="180">
        <f>_xll.qlCalendarAdvance(LiborCalendar,X3148,W3149,"f",FALSE)</f>
        <v>61044</v>
      </c>
      <c r="Y3149" s="174">
        <f>_xll.qlInterestRateIndexValueDate(IborIndex,X3149)</f>
        <v>61046</v>
      </c>
      <c r="Z3149" s="175" t="e">
        <v>#N/A</v>
      </c>
      <c r="AA3149" s="177" t="e">
        <v>#N/A</v>
      </c>
    </row>
    <row r="3150" spans="23:27" x14ac:dyDescent="0.2">
      <c r="W3150" s="173" t="str">
        <f t="shared" si="59"/>
        <v>1w</v>
      </c>
      <c r="X3150" s="180">
        <f>_xll.qlCalendarAdvance(LiborCalendar,X3149,W3150,"f",FALSE)</f>
        <v>61051</v>
      </c>
      <c r="Y3150" s="174">
        <f>_xll.qlInterestRateIndexValueDate(IborIndex,X3150)</f>
        <v>61053</v>
      </c>
      <c r="Z3150" s="175" t="e">
        <v>#N/A</v>
      </c>
      <c r="AA3150" s="177" t="e">
        <v>#N/A</v>
      </c>
    </row>
    <row r="3151" spans="23:27" x14ac:dyDescent="0.2">
      <c r="W3151" s="173" t="str">
        <f t="shared" si="59"/>
        <v>1w</v>
      </c>
      <c r="X3151" s="180">
        <f>_xll.qlCalendarAdvance(LiborCalendar,X3150,W3151,"f",FALSE)</f>
        <v>61058</v>
      </c>
      <c r="Y3151" s="174">
        <f>_xll.qlInterestRateIndexValueDate(IborIndex,X3151)</f>
        <v>61060</v>
      </c>
      <c r="Z3151" s="175" t="e">
        <v>#N/A</v>
      </c>
      <c r="AA3151" s="177" t="e">
        <v>#N/A</v>
      </c>
    </row>
    <row r="3152" spans="23:27" x14ac:dyDescent="0.2">
      <c r="W3152" s="173" t="str">
        <f t="shared" si="59"/>
        <v>1w</v>
      </c>
      <c r="X3152" s="180">
        <f>_xll.qlCalendarAdvance(LiborCalendar,X3151,W3152,"f",FALSE)</f>
        <v>61065</v>
      </c>
      <c r="Y3152" s="174">
        <f>_xll.qlInterestRateIndexValueDate(IborIndex,X3152)</f>
        <v>61067</v>
      </c>
      <c r="Z3152" s="175" t="e">
        <v>#N/A</v>
      </c>
      <c r="AA3152" s="177" t="e">
        <v>#N/A</v>
      </c>
    </row>
    <row r="3153" spans="23:27" x14ac:dyDescent="0.2">
      <c r="W3153" s="173" t="str">
        <f t="shared" si="59"/>
        <v>1w</v>
      </c>
      <c r="X3153" s="180">
        <f>_xll.qlCalendarAdvance(LiborCalendar,X3152,W3153,"f",FALSE)</f>
        <v>61072</v>
      </c>
      <c r="Y3153" s="174">
        <f>_xll.qlInterestRateIndexValueDate(IborIndex,X3153)</f>
        <v>61074</v>
      </c>
      <c r="Z3153" s="175" t="e">
        <v>#N/A</v>
      </c>
      <c r="AA3153" s="177" t="e">
        <v>#N/A</v>
      </c>
    </row>
    <row r="3154" spans="23:27" x14ac:dyDescent="0.2">
      <c r="W3154" s="173" t="str">
        <f t="shared" si="59"/>
        <v>1w</v>
      </c>
      <c r="X3154" s="180">
        <f>_xll.qlCalendarAdvance(LiborCalendar,X3153,W3154,"f",FALSE)</f>
        <v>61079</v>
      </c>
      <c r="Y3154" s="174">
        <f>_xll.qlInterestRateIndexValueDate(IborIndex,X3154)</f>
        <v>61081</v>
      </c>
      <c r="Z3154" s="175" t="e">
        <v>#N/A</v>
      </c>
      <c r="AA3154" s="177" t="e">
        <v>#N/A</v>
      </c>
    </row>
    <row r="3155" spans="23:27" x14ac:dyDescent="0.2">
      <c r="W3155" s="173" t="str">
        <f t="shared" si="59"/>
        <v>1w</v>
      </c>
      <c r="X3155" s="180">
        <f>_xll.qlCalendarAdvance(LiborCalendar,X3154,W3155,"f",FALSE)</f>
        <v>61086</v>
      </c>
      <c r="Y3155" s="174">
        <f>_xll.qlInterestRateIndexValueDate(IborIndex,X3155)</f>
        <v>61092</v>
      </c>
      <c r="Z3155" s="175" t="e">
        <v>#N/A</v>
      </c>
      <c r="AA3155" s="177" t="e">
        <v>#N/A</v>
      </c>
    </row>
    <row r="3156" spans="23:27" x14ac:dyDescent="0.2">
      <c r="W3156" s="173" t="str">
        <f t="shared" si="59"/>
        <v>1w</v>
      </c>
      <c r="X3156" s="180">
        <f>_xll.qlCalendarAdvance(LiborCalendar,X3155,W3156,"f",FALSE)</f>
        <v>61093</v>
      </c>
      <c r="Y3156" s="174">
        <f>_xll.qlInterestRateIndexValueDate(IborIndex,X3156)</f>
        <v>61095</v>
      </c>
      <c r="Z3156" s="175" t="e">
        <v>#N/A</v>
      </c>
      <c r="AA3156" s="177" t="e">
        <v>#N/A</v>
      </c>
    </row>
    <row r="3157" spans="23:27" x14ac:dyDescent="0.2">
      <c r="W3157" s="173" t="str">
        <f t="shared" ref="W3157:W3220" si="60">W3156</f>
        <v>1w</v>
      </c>
      <c r="X3157" s="180">
        <f>_xll.qlCalendarAdvance(LiborCalendar,X3156,W3157,"f",FALSE)</f>
        <v>61100</v>
      </c>
      <c r="Y3157" s="174">
        <f>_xll.qlInterestRateIndexValueDate(IborIndex,X3157)</f>
        <v>61102</v>
      </c>
      <c r="Z3157" s="175" t="e">
        <v>#N/A</v>
      </c>
      <c r="AA3157" s="177" t="e">
        <v>#N/A</v>
      </c>
    </row>
    <row r="3158" spans="23:27" x14ac:dyDescent="0.2">
      <c r="W3158" s="173" t="str">
        <f t="shared" si="60"/>
        <v>1w</v>
      </c>
      <c r="X3158" s="180">
        <f>_xll.qlCalendarAdvance(LiborCalendar,X3157,W3158,"f",FALSE)</f>
        <v>61107</v>
      </c>
      <c r="Y3158" s="174">
        <f>_xll.qlInterestRateIndexValueDate(IborIndex,X3158)</f>
        <v>61109</v>
      </c>
      <c r="Z3158" s="175" t="e">
        <v>#N/A</v>
      </c>
      <c r="AA3158" s="177" t="e">
        <v>#N/A</v>
      </c>
    </row>
    <row r="3159" spans="23:27" x14ac:dyDescent="0.2">
      <c r="W3159" s="173" t="str">
        <f t="shared" si="60"/>
        <v>1w</v>
      </c>
      <c r="X3159" s="180">
        <f>_xll.qlCalendarAdvance(LiborCalendar,X3158,W3159,"f",FALSE)</f>
        <v>61114</v>
      </c>
      <c r="Y3159" s="174">
        <f>_xll.qlInterestRateIndexValueDate(IborIndex,X3159)</f>
        <v>61123</v>
      </c>
      <c r="Z3159" s="175" t="e">
        <v>#N/A</v>
      </c>
      <c r="AA3159" s="177" t="e">
        <v>#N/A</v>
      </c>
    </row>
    <row r="3160" spans="23:27" x14ac:dyDescent="0.2">
      <c r="W3160" s="173" t="str">
        <f t="shared" si="60"/>
        <v>1w</v>
      </c>
      <c r="X3160" s="180">
        <f>_xll.qlCalendarAdvance(LiborCalendar,X3159,W3160,"f",FALSE)</f>
        <v>61121</v>
      </c>
      <c r="Y3160" s="174">
        <f>_xll.qlInterestRateIndexValueDate(IborIndex,X3160)</f>
        <v>61123</v>
      </c>
      <c r="Z3160" s="175" t="e">
        <v>#N/A</v>
      </c>
      <c r="AA3160" s="177" t="e">
        <v>#N/A</v>
      </c>
    </row>
    <row r="3161" spans="23:27" x14ac:dyDescent="0.2">
      <c r="W3161" s="173" t="str">
        <f t="shared" si="60"/>
        <v>1w</v>
      </c>
      <c r="X3161" s="180">
        <f>_xll.qlCalendarAdvance(LiborCalendar,X3160,W3161,"f",FALSE)</f>
        <v>61128</v>
      </c>
      <c r="Y3161" s="174">
        <f>_xll.qlInterestRateIndexValueDate(IborIndex,X3161)</f>
        <v>61130</v>
      </c>
      <c r="Z3161" s="175" t="e">
        <v>#N/A</v>
      </c>
      <c r="AA3161" s="177" t="e">
        <v>#N/A</v>
      </c>
    </row>
    <row r="3162" spans="23:27" x14ac:dyDescent="0.2">
      <c r="W3162" s="173" t="str">
        <f t="shared" si="60"/>
        <v>1w</v>
      </c>
      <c r="X3162" s="180">
        <f>_xll.qlCalendarAdvance(LiborCalendar,X3161,W3162,"f",FALSE)</f>
        <v>61135</v>
      </c>
      <c r="Y3162" s="174">
        <f>_xll.qlInterestRateIndexValueDate(IborIndex,X3162)</f>
        <v>61137</v>
      </c>
      <c r="Z3162" s="175" t="e">
        <v>#N/A</v>
      </c>
      <c r="AA3162" s="177" t="e">
        <v>#N/A</v>
      </c>
    </row>
    <row r="3163" spans="23:27" x14ac:dyDescent="0.2">
      <c r="W3163" s="173" t="str">
        <f t="shared" si="60"/>
        <v>1w</v>
      </c>
      <c r="X3163" s="180">
        <f>_xll.qlCalendarAdvance(LiborCalendar,X3162,W3163,"f",FALSE)</f>
        <v>61142</v>
      </c>
      <c r="Y3163" s="174">
        <f>_xll.qlInterestRateIndexValueDate(IborIndex,X3163)</f>
        <v>61144</v>
      </c>
      <c r="Z3163" s="175" t="e">
        <v>#N/A</v>
      </c>
      <c r="AA3163" s="177" t="e">
        <v>#N/A</v>
      </c>
    </row>
    <row r="3164" spans="23:27" x14ac:dyDescent="0.2">
      <c r="W3164" s="173" t="str">
        <f t="shared" si="60"/>
        <v>1w</v>
      </c>
      <c r="X3164" s="180">
        <f>_xll.qlCalendarAdvance(LiborCalendar,X3163,W3164,"f",FALSE)</f>
        <v>61149</v>
      </c>
      <c r="Y3164" s="174">
        <f>_xll.qlInterestRateIndexValueDate(IborIndex,X3164)</f>
        <v>61151</v>
      </c>
      <c r="Z3164" s="175" t="e">
        <v>#N/A</v>
      </c>
      <c r="AA3164" s="177" t="e">
        <v>#N/A</v>
      </c>
    </row>
    <row r="3165" spans="23:27" x14ac:dyDescent="0.2">
      <c r="W3165" s="173" t="str">
        <f t="shared" si="60"/>
        <v>1w</v>
      </c>
      <c r="X3165" s="180">
        <f>_xll.qlCalendarAdvance(LiborCalendar,X3164,W3165,"f",FALSE)</f>
        <v>61156</v>
      </c>
      <c r="Y3165" s="174">
        <f>_xll.qlInterestRateIndexValueDate(IborIndex,X3165)</f>
        <v>61158</v>
      </c>
      <c r="Z3165" s="175" t="e">
        <v>#N/A</v>
      </c>
      <c r="AA3165" s="177" t="e">
        <v>#N/A</v>
      </c>
    </row>
    <row r="3166" spans="23:27" x14ac:dyDescent="0.2">
      <c r="W3166" s="173" t="str">
        <f t="shared" si="60"/>
        <v>1w</v>
      </c>
      <c r="X3166" s="180">
        <f>_xll.qlCalendarAdvance(LiborCalendar,X3165,W3166,"f",FALSE)</f>
        <v>61163</v>
      </c>
      <c r="Y3166" s="174">
        <f>_xll.qlInterestRateIndexValueDate(IborIndex,X3166)</f>
        <v>61165</v>
      </c>
      <c r="Z3166" s="175" t="e">
        <v>#N/A</v>
      </c>
      <c r="AA3166" s="177" t="e">
        <v>#N/A</v>
      </c>
    </row>
    <row r="3167" spans="23:27" x14ac:dyDescent="0.2">
      <c r="W3167" s="173" t="str">
        <f t="shared" si="60"/>
        <v>1w</v>
      </c>
      <c r="X3167" s="180">
        <f>_xll.qlCalendarAdvance(LiborCalendar,X3166,W3167,"f",FALSE)</f>
        <v>61170</v>
      </c>
      <c r="Y3167" s="174">
        <f>_xll.qlInterestRateIndexValueDate(IborIndex,X3167)</f>
        <v>61172</v>
      </c>
      <c r="Z3167" s="175" t="e">
        <v>#N/A</v>
      </c>
      <c r="AA3167" s="177" t="e">
        <v>#N/A</v>
      </c>
    </row>
    <row r="3168" spans="23:27" x14ac:dyDescent="0.2">
      <c r="W3168" s="173" t="str">
        <f t="shared" si="60"/>
        <v>1w</v>
      </c>
      <c r="X3168" s="180">
        <f>_xll.qlCalendarAdvance(LiborCalendar,X3167,W3168,"f",FALSE)</f>
        <v>61177</v>
      </c>
      <c r="Y3168" s="174">
        <f>_xll.qlInterestRateIndexValueDate(IborIndex,X3168)</f>
        <v>61179</v>
      </c>
      <c r="Z3168" s="175" t="e">
        <v>#N/A</v>
      </c>
      <c r="AA3168" s="177" t="e">
        <v>#N/A</v>
      </c>
    </row>
    <row r="3169" spans="23:27" x14ac:dyDescent="0.2">
      <c r="W3169" s="173" t="str">
        <f t="shared" si="60"/>
        <v>1w</v>
      </c>
      <c r="X3169" s="180">
        <f>_xll.qlCalendarAdvance(LiborCalendar,X3168,W3169,"f",FALSE)</f>
        <v>61184</v>
      </c>
      <c r="Y3169" s="174">
        <f>_xll.qlInterestRateIndexValueDate(IborIndex,X3169)</f>
        <v>61186</v>
      </c>
      <c r="Z3169" s="175" t="e">
        <v>#N/A</v>
      </c>
      <c r="AA3169" s="177" t="e">
        <v>#N/A</v>
      </c>
    </row>
    <row r="3170" spans="23:27" x14ac:dyDescent="0.2">
      <c r="W3170" s="173" t="str">
        <f t="shared" si="60"/>
        <v>1w</v>
      </c>
      <c r="X3170" s="180">
        <f>_xll.qlCalendarAdvance(LiborCalendar,X3169,W3170,"f",FALSE)</f>
        <v>61191</v>
      </c>
      <c r="Y3170" s="174">
        <f>_xll.qlInterestRateIndexValueDate(IborIndex,X3170)</f>
        <v>61193</v>
      </c>
      <c r="Z3170" s="175" t="e">
        <v>#N/A</v>
      </c>
      <c r="AA3170" s="177" t="e">
        <v>#N/A</v>
      </c>
    </row>
    <row r="3171" spans="23:27" x14ac:dyDescent="0.2">
      <c r="W3171" s="173" t="str">
        <f t="shared" si="60"/>
        <v>1w</v>
      </c>
      <c r="X3171" s="180">
        <f>_xll.qlCalendarAdvance(LiborCalendar,X3170,W3171,"f",FALSE)</f>
        <v>61198</v>
      </c>
      <c r="Y3171" s="174">
        <f>_xll.qlInterestRateIndexValueDate(IborIndex,X3171)</f>
        <v>61200</v>
      </c>
      <c r="Z3171" s="175" t="e">
        <v>#N/A</v>
      </c>
      <c r="AA3171" s="177" t="e">
        <v>#N/A</v>
      </c>
    </row>
    <row r="3172" spans="23:27" x14ac:dyDescent="0.2">
      <c r="W3172" s="173" t="str">
        <f t="shared" si="60"/>
        <v>1w</v>
      </c>
      <c r="X3172" s="180">
        <f>_xll.qlCalendarAdvance(LiborCalendar,X3171,W3172,"f",FALSE)</f>
        <v>61205</v>
      </c>
      <c r="Y3172" s="174">
        <f>_xll.qlInterestRateIndexValueDate(IborIndex,X3172)</f>
        <v>61207</v>
      </c>
      <c r="Z3172" s="175" t="e">
        <v>#N/A</v>
      </c>
      <c r="AA3172" s="177" t="e">
        <v>#N/A</v>
      </c>
    </row>
    <row r="3173" spans="23:27" x14ac:dyDescent="0.2">
      <c r="W3173" s="173" t="str">
        <f t="shared" si="60"/>
        <v>1w</v>
      </c>
      <c r="X3173" s="180">
        <f>_xll.qlCalendarAdvance(LiborCalendar,X3172,W3173,"f",FALSE)</f>
        <v>61212</v>
      </c>
      <c r="Y3173" s="174">
        <f>_xll.qlInterestRateIndexValueDate(IborIndex,X3173)</f>
        <v>61214</v>
      </c>
      <c r="Z3173" s="175" t="e">
        <v>#N/A</v>
      </c>
      <c r="AA3173" s="177" t="e">
        <v>#N/A</v>
      </c>
    </row>
    <row r="3174" spans="23:27" x14ac:dyDescent="0.2">
      <c r="W3174" s="173" t="str">
        <f t="shared" si="60"/>
        <v>1w</v>
      </c>
      <c r="X3174" s="180">
        <f>_xll.qlCalendarAdvance(LiborCalendar,X3173,W3174,"f",FALSE)</f>
        <v>61219</v>
      </c>
      <c r="Y3174" s="174">
        <f>_xll.qlInterestRateIndexValueDate(IborIndex,X3174)</f>
        <v>61221</v>
      </c>
      <c r="Z3174" s="175" t="e">
        <v>#N/A</v>
      </c>
      <c r="AA3174" s="177" t="e">
        <v>#N/A</v>
      </c>
    </row>
    <row r="3175" spans="23:27" x14ac:dyDescent="0.2">
      <c r="W3175" s="173" t="str">
        <f t="shared" si="60"/>
        <v>1w</v>
      </c>
      <c r="X3175" s="180">
        <f>_xll.qlCalendarAdvance(LiborCalendar,X3174,W3175,"f",FALSE)</f>
        <v>61226</v>
      </c>
      <c r="Y3175" s="174">
        <f>_xll.qlInterestRateIndexValueDate(IborIndex,X3175)</f>
        <v>61228</v>
      </c>
      <c r="Z3175" s="175" t="e">
        <v>#N/A</v>
      </c>
      <c r="AA3175" s="177" t="e">
        <v>#N/A</v>
      </c>
    </row>
    <row r="3176" spans="23:27" x14ac:dyDescent="0.2">
      <c r="W3176" s="173" t="str">
        <f t="shared" si="60"/>
        <v>1w</v>
      </c>
      <c r="X3176" s="180">
        <f>_xll.qlCalendarAdvance(LiborCalendar,X3175,W3176,"f",FALSE)</f>
        <v>61233</v>
      </c>
      <c r="Y3176" s="174">
        <f>_xll.qlInterestRateIndexValueDate(IborIndex,X3176)</f>
        <v>61235</v>
      </c>
      <c r="Z3176" s="175" t="e">
        <v>#N/A</v>
      </c>
      <c r="AA3176" s="177" t="e">
        <v>#N/A</v>
      </c>
    </row>
    <row r="3177" spans="23:27" x14ac:dyDescent="0.2">
      <c r="W3177" s="173" t="str">
        <f t="shared" si="60"/>
        <v>1w</v>
      </c>
      <c r="X3177" s="180">
        <f>_xll.qlCalendarAdvance(LiborCalendar,X3176,W3177,"f",FALSE)</f>
        <v>61240</v>
      </c>
      <c r="Y3177" s="174">
        <f>_xll.qlInterestRateIndexValueDate(IborIndex,X3177)</f>
        <v>61242</v>
      </c>
      <c r="Z3177" s="175" t="e">
        <v>#N/A</v>
      </c>
      <c r="AA3177" s="177" t="e">
        <v>#N/A</v>
      </c>
    </row>
    <row r="3178" spans="23:27" x14ac:dyDescent="0.2">
      <c r="W3178" s="173" t="str">
        <f t="shared" si="60"/>
        <v>1w</v>
      </c>
      <c r="X3178" s="180">
        <f>_xll.qlCalendarAdvance(LiborCalendar,X3177,W3178,"f",FALSE)</f>
        <v>61247</v>
      </c>
      <c r="Y3178" s="174">
        <f>_xll.qlInterestRateIndexValueDate(IborIndex,X3178)</f>
        <v>61249</v>
      </c>
      <c r="Z3178" s="175" t="e">
        <v>#N/A</v>
      </c>
      <c r="AA3178" s="177" t="e">
        <v>#N/A</v>
      </c>
    </row>
    <row r="3179" spans="23:27" x14ac:dyDescent="0.2">
      <c r="W3179" s="173" t="str">
        <f t="shared" si="60"/>
        <v>1w</v>
      </c>
      <c r="X3179" s="180">
        <f>_xll.qlCalendarAdvance(LiborCalendar,X3178,W3179,"f",FALSE)</f>
        <v>61254</v>
      </c>
      <c r="Y3179" s="174">
        <f>_xll.qlInterestRateIndexValueDate(IborIndex,X3179)</f>
        <v>61256</v>
      </c>
      <c r="Z3179" s="175" t="e">
        <v>#N/A</v>
      </c>
      <c r="AA3179" s="177" t="e">
        <v>#N/A</v>
      </c>
    </row>
    <row r="3180" spans="23:27" x14ac:dyDescent="0.2">
      <c r="W3180" s="173" t="str">
        <f t="shared" si="60"/>
        <v>1w</v>
      </c>
      <c r="X3180" s="180">
        <f>_xll.qlCalendarAdvance(LiborCalendar,X3179,W3180,"f",FALSE)</f>
        <v>61261</v>
      </c>
      <c r="Y3180" s="174">
        <f>_xll.qlInterestRateIndexValueDate(IborIndex,X3180)</f>
        <v>61266</v>
      </c>
      <c r="Z3180" s="175" t="e">
        <v>#N/A</v>
      </c>
      <c r="AA3180" s="177" t="e">
        <v>#N/A</v>
      </c>
    </row>
    <row r="3181" spans="23:27" x14ac:dyDescent="0.2">
      <c r="W3181" s="173" t="str">
        <f t="shared" si="60"/>
        <v>1w</v>
      </c>
      <c r="X3181" s="180">
        <f>_xll.qlCalendarAdvance(LiborCalendar,X3180,W3181,"f",FALSE)</f>
        <v>61268</v>
      </c>
      <c r="Y3181" s="174">
        <f>_xll.qlInterestRateIndexValueDate(IborIndex,X3181)</f>
        <v>61270</v>
      </c>
      <c r="Z3181" s="175" t="e">
        <v>#N/A</v>
      </c>
      <c r="AA3181" s="177" t="e">
        <v>#N/A</v>
      </c>
    </row>
    <row r="3182" spans="23:27" x14ac:dyDescent="0.2">
      <c r="W3182" s="173" t="str">
        <f t="shared" si="60"/>
        <v>1w</v>
      </c>
      <c r="X3182" s="180">
        <f>_xll.qlCalendarAdvance(LiborCalendar,X3181,W3182,"f",FALSE)</f>
        <v>61275</v>
      </c>
      <c r="Y3182" s="174">
        <f>_xll.qlInterestRateIndexValueDate(IborIndex,X3182)</f>
        <v>61277</v>
      </c>
      <c r="Z3182" s="175" t="e">
        <v>#N/A</v>
      </c>
      <c r="AA3182" s="177" t="e">
        <v>#N/A</v>
      </c>
    </row>
    <row r="3183" spans="23:27" x14ac:dyDescent="0.2">
      <c r="W3183" s="173" t="str">
        <f t="shared" si="60"/>
        <v>1w</v>
      </c>
      <c r="X3183" s="180">
        <f>_xll.qlCalendarAdvance(LiborCalendar,X3182,W3183,"f",FALSE)</f>
        <v>61282</v>
      </c>
      <c r="Y3183" s="174">
        <f>_xll.qlInterestRateIndexValueDate(IborIndex,X3183)</f>
        <v>61284</v>
      </c>
      <c r="Z3183" s="175" t="e">
        <v>#N/A</v>
      </c>
      <c r="AA3183" s="177" t="e">
        <v>#N/A</v>
      </c>
    </row>
    <row r="3184" spans="23:27" x14ac:dyDescent="0.2">
      <c r="W3184" s="173" t="str">
        <f t="shared" si="60"/>
        <v>1w</v>
      </c>
      <c r="X3184" s="180">
        <f>_xll.qlCalendarAdvance(LiborCalendar,X3183,W3184,"f",FALSE)</f>
        <v>61289</v>
      </c>
      <c r="Y3184" s="174">
        <f>_xll.qlInterestRateIndexValueDate(IborIndex,X3184)</f>
        <v>61291</v>
      </c>
      <c r="Z3184" s="175" t="e">
        <v>#N/A</v>
      </c>
      <c r="AA3184" s="177" t="e">
        <v>#N/A</v>
      </c>
    </row>
    <row r="3185" spans="23:27" x14ac:dyDescent="0.2">
      <c r="W3185" s="173" t="str">
        <f t="shared" si="60"/>
        <v>1w</v>
      </c>
      <c r="X3185" s="180">
        <f>_xll.qlCalendarAdvance(LiborCalendar,X3184,W3185,"f",FALSE)</f>
        <v>61296</v>
      </c>
      <c r="Y3185" s="174">
        <f>_xll.qlInterestRateIndexValueDate(IborIndex,X3185)</f>
        <v>61298</v>
      </c>
      <c r="Z3185" s="175" t="e">
        <v>#N/A</v>
      </c>
      <c r="AA3185" s="177" t="e">
        <v>#N/A</v>
      </c>
    </row>
    <row r="3186" spans="23:27" x14ac:dyDescent="0.2">
      <c r="W3186" s="173" t="str">
        <f t="shared" si="60"/>
        <v>1w</v>
      </c>
      <c r="X3186" s="180">
        <f>_xll.qlCalendarAdvance(LiborCalendar,X3185,W3186,"f",FALSE)</f>
        <v>61303</v>
      </c>
      <c r="Y3186" s="174">
        <f>_xll.qlInterestRateIndexValueDate(IborIndex,X3186)</f>
        <v>61305</v>
      </c>
      <c r="Z3186" s="175" t="e">
        <v>#N/A</v>
      </c>
      <c r="AA3186" s="177" t="e">
        <v>#N/A</v>
      </c>
    </row>
    <row r="3187" spans="23:27" x14ac:dyDescent="0.2">
      <c r="W3187" s="173" t="str">
        <f t="shared" si="60"/>
        <v>1w</v>
      </c>
      <c r="X3187" s="180">
        <f>_xll.qlCalendarAdvance(LiborCalendar,X3186,W3187,"f",FALSE)</f>
        <v>61310</v>
      </c>
      <c r="Y3187" s="174">
        <f>_xll.qlInterestRateIndexValueDate(IborIndex,X3187)</f>
        <v>61312</v>
      </c>
      <c r="Z3187" s="175" t="e">
        <v>#N/A</v>
      </c>
      <c r="AA3187" s="177" t="e">
        <v>#N/A</v>
      </c>
    </row>
    <row r="3188" spans="23:27" x14ac:dyDescent="0.2">
      <c r="W3188" s="173" t="str">
        <f t="shared" si="60"/>
        <v>1w</v>
      </c>
      <c r="X3188" s="180">
        <f>_xll.qlCalendarAdvance(LiborCalendar,X3187,W3188,"f",FALSE)</f>
        <v>61317</v>
      </c>
      <c r="Y3188" s="174">
        <f>_xll.qlInterestRateIndexValueDate(IborIndex,X3188)</f>
        <v>61319</v>
      </c>
      <c r="Z3188" s="175" t="e">
        <v>#N/A</v>
      </c>
      <c r="AA3188" s="177" t="e">
        <v>#N/A</v>
      </c>
    </row>
    <row r="3189" spans="23:27" x14ac:dyDescent="0.2">
      <c r="W3189" s="173" t="str">
        <f t="shared" si="60"/>
        <v>1w</v>
      </c>
      <c r="X3189" s="180">
        <f>_xll.qlCalendarAdvance(LiborCalendar,X3188,W3189,"f",FALSE)</f>
        <v>61324</v>
      </c>
      <c r="Y3189" s="174">
        <f>_xll.qlInterestRateIndexValueDate(IborIndex,X3189)</f>
        <v>61326</v>
      </c>
      <c r="Z3189" s="175" t="e">
        <v>#N/A</v>
      </c>
      <c r="AA3189" s="177" t="e">
        <v>#N/A</v>
      </c>
    </row>
    <row r="3190" spans="23:27" x14ac:dyDescent="0.2">
      <c r="W3190" s="173" t="str">
        <f t="shared" si="60"/>
        <v>1w</v>
      </c>
      <c r="X3190" s="180">
        <f>_xll.qlCalendarAdvance(LiborCalendar,X3189,W3190,"f",FALSE)</f>
        <v>61331</v>
      </c>
      <c r="Y3190" s="174">
        <f>_xll.qlInterestRateIndexValueDate(IborIndex,X3190)</f>
        <v>61333</v>
      </c>
      <c r="Z3190" s="175" t="e">
        <v>#N/A</v>
      </c>
      <c r="AA3190" s="177" t="e">
        <v>#N/A</v>
      </c>
    </row>
    <row r="3191" spans="23:27" x14ac:dyDescent="0.2">
      <c r="W3191" s="173" t="str">
        <f t="shared" si="60"/>
        <v>1w</v>
      </c>
      <c r="X3191" s="180">
        <f>_xll.qlCalendarAdvance(LiborCalendar,X3190,W3191,"f",FALSE)</f>
        <v>61338</v>
      </c>
      <c r="Y3191" s="174">
        <f>_xll.qlInterestRateIndexValueDate(IborIndex,X3191)</f>
        <v>61340</v>
      </c>
      <c r="Z3191" s="175" t="e">
        <v>#N/A</v>
      </c>
      <c r="AA3191" s="177" t="e">
        <v>#N/A</v>
      </c>
    </row>
    <row r="3192" spans="23:27" x14ac:dyDescent="0.2">
      <c r="W3192" s="173" t="str">
        <f t="shared" si="60"/>
        <v>1w</v>
      </c>
      <c r="X3192" s="180">
        <f>_xll.qlCalendarAdvance(LiborCalendar,X3191,W3192,"f",FALSE)</f>
        <v>61345</v>
      </c>
      <c r="Y3192" s="174">
        <f>_xll.qlInterestRateIndexValueDate(IborIndex,X3192)</f>
        <v>61347</v>
      </c>
      <c r="Z3192" s="175" t="e">
        <v>#N/A</v>
      </c>
      <c r="AA3192" s="177" t="e">
        <v>#N/A</v>
      </c>
    </row>
    <row r="3193" spans="23:27" x14ac:dyDescent="0.2">
      <c r="W3193" s="173" t="str">
        <f t="shared" si="60"/>
        <v>1w</v>
      </c>
      <c r="X3193" s="180">
        <f>_xll.qlCalendarAdvance(LiborCalendar,X3192,W3193,"f",FALSE)</f>
        <v>61352</v>
      </c>
      <c r="Y3193" s="174">
        <f>_xll.qlInterestRateIndexValueDate(IborIndex,X3193)</f>
        <v>61359</v>
      </c>
      <c r="Z3193" s="175" t="e">
        <v>#N/A</v>
      </c>
      <c r="AA3193" s="177" t="e">
        <v>#N/A</v>
      </c>
    </row>
    <row r="3194" spans="23:27" x14ac:dyDescent="0.2">
      <c r="W3194" s="173" t="str">
        <f t="shared" si="60"/>
        <v>1w</v>
      </c>
      <c r="X3194" s="180">
        <f>_xll.qlCalendarAdvance(LiborCalendar,X3193,W3194,"f",FALSE)</f>
        <v>61359</v>
      </c>
      <c r="Y3194" s="174">
        <f>_xll.qlInterestRateIndexValueDate(IborIndex,X3194)</f>
        <v>61361</v>
      </c>
      <c r="Z3194" s="175" t="e">
        <v>#N/A</v>
      </c>
      <c r="AA3194" s="177" t="e">
        <v>#N/A</v>
      </c>
    </row>
    <row r="3195" spans="23:27" x14ac:dyDescent="0.2">
      <c r="W3195" s="173" t="str">
        <f t="shared" si="60"/>
        <v>1w</v>
      </c>
      <c r="X3195" s="180">
        <f>_xll.qlCalendarAdvance(LiborCalendar,X3194,W3195,"f",FALSE)</f>
        <v>61366</v>
      </c>
      <c r="Y3195" s="174">
        <f>_xll.qlInterestRateIndexValueDate(IborIndex,X3195)</f>
        <v>61368</v>
      </c>
      <c r="Z3195" s="175" t="e">
        <v>#N/A</v>
      </c>
      <c r="AA3195" s="177" t="e">
        <v>#N/A</v>
      </c>
    </row>
    <row r="3196" spans="23:27" x14ac:dyDescent="0.2">
      <c r="W3196" s="173" t="str">
        <f t="shared" si="60"/>
        <v>1w</v>
      </c>
      <c r="X3196" s="180">
        <f>_xll.qlCalendarAdvance(LiborCalendar,X3195,W3196,"f",FALSE)</f>
        <v>61373</v>
      </c>
      <c r="Y3196" s="174">
        <f>_xll.qlInterestRateIndexValueDate(IborIndex,X3196)</f>
        <v>61375</v>
      </c>
      <c r="Z3196" s="175" t="e">
        <v>#N/A</v>
      </c>
      <c r="AA3196" s="177" t="e">
        <v>#N/A</v>
      </c>
    </row>
    <row r="3197" spans="23:27" x14ac:dyDescent="0.2">
      <c r="W3197" s="173" t="str">
        <f t="shared" si="60"/>
        <v>1w</v>
      </c>
      <c r="X3197" s="180">
        <f>_xll.qlCalendarAdvance(LiborCalendar,X3196,W3197,"f",FALSE)</f>
        <v>61380</v>
      </c>
      <c r="Y3197" s="174">
        <f>_xll.qlInterestRateIndexValueDate(IborIndex,X3197)</f>
        <v>61382</v>
      </c>
      <c r="Z3197" s="175" t="e">
        <v>#N/A</v>
      </c>
      <c r="AA3197" s="177" t="e">
        <v>#N/A</v>
      </c>
    </row>
    <row r="3198" spans="23:27" x14ac:dyDescent="0.2">
      <c r="W3198" s="173" t="str">
        <f t="shared" si="60"/>
        <v>1w</v>
      </c>
      <c r="X3198" s="180">
        <f>_xll.qlCalendarAdvance(LiborCalendar,X3197,W3198,"f",FALSE)</f>
        <v>61387</v>
      </c>
      <c r="Y3198" s="174">
        <f>_xll.qlInterestRateIndexValueDate(IborIndex,X3198)</f>
        <v>61389</v>
      </c>
      <c r="Z3198" s="175" t="e">
        <v>#N/A</v>
      </c>
      <c r="AA3198" s="177" t="e">
        <v>#N/A</v>
      </c>
    </row>
    <row r="3199" spans="23:27" x14ac:dyDescent="0.2">
      <c r="W3199" s="173" t="str">
        <f t="shared" si="60"/>
        <v>1w</v>
      </c>
      <c r="X3199" s="180">
        <f>_xll.qlCalendarAdvance(LiborCalendar,X3198,W3199,"f",FALSE)</f>
        <v>61394</v>
      </c>
      <c r="Y3199" s="174">
        <f>_xll.qlInterestRateIndexValueDate(IborIndex,X3199)</f>
        <v>61396</v>
      </c>
      <c r="Z3199" s="175" t="e">
        <v>#N/A</v>
      </c>
      <c r="AA3199" s="177" t="e">
        <v>#N/A</v>
      </c>
    </row>
    <row r="3200" spans="23:27" x14ac:dyDescent="0.2">
      <c r="W3200" s="173" t="str">
        <f t="shared" si="60"/>
        <v>1w</v>
      </c>
      <c r="X3200" s="180">
        <f>_xll.qlCalendarAdvance(LiborCalendar,X3199,W3200,"f",FALSE)</f>
        <v>61401</v>
      </c>
      <c r="Y3200" s="174">
        <f>_xll.qlInterestRateIndexValueDate(IborIndex,X3200)</f>
        <v>61403</v>
      </c>
      <c r="Z3200" s="175" t="e">
        <v>#N/A</v>
      </c>
      <c r="AA3200" s="177" t="e">
        <v>#N/A</v>
      </c>
    </row>
    <row r="3201" spans="23:27" x14ac:dyDescent="0.2">
      <c r="W3201" s="173" t="str">
        <f t="shared" si="60"/>
        <v>1w</v>
      </c>
      <c r="X3201" s="180">
        <f>_xll.qlCalendarAdvance(LiborCalendar,X3200,W3201,"f",FALSE)</f>
        <v>61408</v>
      </c>
      <c r="Y3201" s="174">
        <f>_xll.qlInterestRateIndexValueDate(IborIndex,X3201)</f>
        <v>61410</v>
      </c>
      <c r="Z3201" s="175" t="e">
        <v>#N/A</v>
      </c>
      <c r="AA3201" s="177" t="e">
        <v>#N/A</v>
      </c>
    </row>
    <row r="3202" spans="23:27" x14ac:dyDescent="0.2">
      <c r="W3202" s="173" t="str">
        <f t="shared" si="60"/>
        <v>1w</v>
      </c>
      <c r="X3202" s="180">
        <f>_xll.qlCalendarAdvance(LiborCalendar,X3201,W3202,"f",FALSE)</f>
        <v>61415</v>
      </c>
      <c r="Y3202" s="174">
        <f>_xll.qlInterestRateIndexValueDate(IborIndex,X3202)</f>
        <v>61417</v>
      </c>
      <c r="Z3202" s="175" t="e">
        <v>#N/A</v>
      </c>
      <c r="AA3202" s="177" t="e">
        <v>#N/A</v>
      </c>
    </row>
    <row r="3203" spans="23:27" x14ac:dyDescent="0.2">
      <c r="W3203" s="173" t="str">
        <f t="shared" si="60"/>
        <v>1w</v>
      </c>
      <c r="X3203" s="180">
        <f>_xll.qlCalendarAdvance(LiborCalendar,X3202,W3203,"f",FALSE)</f>
        <v>61422</v>
      </c>
      <c r="Y3203" s="174">
        <f>_xll.qlInterestRateIndexValueDate(IborIndex,X3203)</f>
        <v>61424</v>
      </c>
      <c r="Z3203" s="175" t="e">
        <v>#N/A</v>
      </c>
      <c r="AA3203" s="177" t="e">
        <v>#N/A</v>
      </c>
    </row>
    <row r="3204" spans="23:27" x14ac:dyDescent="0.2">
      <c r="W3204" s="173" t="str">
        <f t="shared" si="60"/>
        <v>1w</v>
      </c>
      <c r="X3204" s="180">
        <f>_xll.qlCalendarAdvance(LiborCalendar,X3203,W3204,"f",FALSE)</f>
        <v>61429</v>
      </c>
      <c r="Y3204" s="174">
        <f>_xll.qlInterestRateIndexValueDate(IborIndex,X3204)</f>
        <v>61431</v>
      </c>
      <c r="Z3204" s="175" t="e">
        <v>#N/A</v>
      </c>
      <c r="AA3204" s="177" t="e">
        <v>#N/A</v>
      </c>
    </row>
    <row r="3205" spans="23:27" x14ac:dyDescent="0.2">
      <c r="W3205" s="173" t="str">
        <f t="shared" si="60"/>
        <v>1w</v>
      </c>
      <c r="X3205" s="180">
        <f>_xll.qlCalendarAdvance(LiborCalendar,X3204,W3205,"f",FALSE)</f>
        <v>61436</v>
      </c>
      <c r="Y3205" s="174">
        <f>_xll.qlInterestRateIndexValueDate(IborIndex,X3205)</f>
        <v>61438</v>
      </c>
      <c r="Z3205" s="175" t="e">
        <v>#N/A</v>
      </c>
      <c r="AA3205" s="177" t="e">
        <v>#N/A</v>
      </c>
    </row>
    <row r="3206" spans="23:27" x14ac:dyDescent="0.2">
      <c r="W3206" s="173" t="str">
        <f t="shared" si="60"/>
        <v>1w</v>
      </c>
      <c r="X3206" s="180">
        <f>_xll.qlCalendarAdvance(LiborCalendar,X3205,W3206,"f",FALSE)</f>
        <v>61443</v>
      </c>
      <c r="Y3206" s="174">
        <f>_xll.qlInterestRateIndexValueDate(IborIndex,X3206)</f>
        <v>61445</v>
      </c>
      <c r="Z3206" s="175" t="e">
        <v>#N/A</v>
      </c>
      <c r="AA3206" s="177" t="e">
        <v>#N/A</v>
      </c>
    </row>
    <row r="3207" spans="23:27" x14ac:dyDescent="0.2">
      <c r="W3207" s="173" t="str">
        <f t="shared" si="60"/>
        <v>1w</v>
      </c>
      <c r="X3207" s="180">
        <f>_xll.qlCalendarAdvance(LiborCalendar,X3206,W3207,"f",FALSE)</f>
        <v>61450</v>
      </c>
      <c r="Y3207" s="174">
        <f>_xll.qlInterestRateIndexValueDate(IborIndex,X3207)</f>
        <v>61452</v>
      </c>
      <c r="Z3207" s="175" t="e">
        <v>#N/A</v>
      </c>
      <c r="AA3207" s="177" t="e">
        <v>#N/A</v>
      </c>
    </row>
    <row r="3208" spans="23:27" x14ac:dyDescent="0.2">
      <c r="W3208" s="173" t="str">
        <f t="shared" si="60"/>
        <v>1w</v>
      </c>
      <c r="X3208" s="180">
        <f>_xll.qlCalendarAdvance(LiborCalendar,X3207,W3208,"f",FALSE)</f>
        <v>61457</v>
      </c>
      <c r="Y3208" s="174">
        <f>_xll.qlInterestRateIndexValueDate(IborIndex,X3208)</f>
        <v>61459</v>
      </c>
      <c r="Z3208" s="175" t="e">
        <v>#N/A</v>
      </c>
      <c r="AA3208" s="177" t="e">
        <v>#N/A</v>
      </c>
    </row>
    <row r="3209" spans="23:27" x14ac:dyDescent="0.2">
      <c r="W3209" s="173" t="str">
        <f t="shared" si="60"/>
        <v>1w</v>
      </c>
      <c r="X3209" s="180">
        <f>_xll.qlCalendarAdvance(LiborCalendar,X3208,W3209,"f",FALSE)</f>
        <v>61464</v>
      </c>
      <c r="Y3209" s="174">
        <f>_xll.qlInterestRateIndexValueDate(IborIndex,X3209)</f>
        <v>61466</v>
      </c>
      <c r="Z3209" s="175" t="e">
        <v>#N/A</v>
      </c>
      <c r="AA3209" s="177" t="e">
        <v>#N/A</v>
      </c>
    </row>
    <row r="3210" spans="23:27" x14ac:dyDescent="0.2">
      <c r="W3210" s="173" t="str">
        <f t="shared" si="60"/>
        <v>1w</v>
      </c>
      <c r="X3210" s="180">
        <f>_xll.qlCalendarAdvance(LiborCalendar,X3209,W3210,"f",FALSE)</f>
        <v>61471</v>
      </c>
      <c r="Y3210" s="174">
        <f>_xll.qlInterestRateIndexValueDate(IborIndex,X3210)</f>
        <v>61477</v>
      </c>
      <c r="Z3210" s="175" t="e">
        <v>#N/A</v>
      </c>
      <c r="AA3210" s="177" t="e">
        <v>#N/A</v>
      </c>
    </row>
    <row r="3211" spans="23:27" x14ac:dyDescent="0.2">
      <c r="W3211" s="173" t="str">
        <f t="shared" si="60"/>
        <v>1w</v>
      </c>
      <c r="X3211" s="180">
        <f>_xll.qlCalendarAdvance(LiborCalendar,X3210,W3211,"f",FALSE)</f>
        <v>61478</v>
      </c>
      <c r="Y3211" s="174">
        <f>_xll.qlInterestRateIndexValueDate(IborIndex,X3211)</f>
        <v>61480</v>
      </c>
      <c r="Z3211" s="175" t="e">
        <v>#N/A</v>
      </c>
      <c r="AA3211" s="177" t="e">
        <v>#N/A</v>
      </c>
    </row>
    <row r="3212" spans="23:27" x14ac:dyDescent="0.2">
      <c r="W3212" s="173" t="str">
        <f t="shared" si="60"/>
        <v>1w</v>
      </c>
      <c r="X3212" s="180">
        <f>_xll.qlCalendarAdvance(LiborCalendar,X3211,W3212,"f",FALSE)</f>
        <v>61485</v>
      </c>
      <c r="Y3212" s="174">
        <f>_xll.qlInterestRateIndexValueDate(IborIndex,X3212)</f>
        <v>61491</v>
      </c>
      <c r="Z3212" s="175" t="e">
        <v>#N/A</v>
      </c>
      <c r="AA3212" s="177" t="e">
        <v>#N/A</v>
      </c>
    </row>
    <row r="3213" spans="23:27" x14ac:dyDescent="0.2">
      <c r="W3213" s="173" t="str">
        <f t="shared" si="60"/>
        <v>1w</v>
      </c>
      <c r="X3213" s="180">
        <f>_xll.qlCalendarAdvance(LiborCalendar,X3212,W3213,"f",FALSE)</f>
        <v>61492</v>
      </c>
      <c r="Y3213" s="174">
        <f>_xll.qlInterestRateIndexValueDate(IborIndex,X3213)</f>
        <v>61494</v>
      </c>
      <c r="Z3213" s="175" t="e">
        <v>#N/A</v>
      </c>
      <c r="AA3213" s="177" t="e">
        <v>#N/A</v>
      </c>
    </row>
    <row r="3214" spans="23:27" x14ac:dyDescent="0.2">
      <c r="W3214" s="173" t="str">
        <f t="shared" si="60"/>
        <v>1w</v>
      </c>
      <c r="X3214" s="180">
        <f>_xll.qlCalendarAdvance(LiborCalendar,X3213,W3214,"f",FALSE)</f>
        <v>61499</v>
      </c>
      <c r="Y3214" s="174">
        <f>_xll.qlInterestRateIndexValueDate(IborIndex,X3214)</f>
        <v>61501</v>
      </c>
      <c r="Z3214" s="175" t="e">
        <v>#N/A</v>
      </c>
      <c r="AA3214" s="177" t="e">
        <v>#N/A</v>
      </c>
    </row>
    <row r="3215" spans="23:27" x14ac:dyDescent="0.2">
      <c r="W3215" s="173" t="str">
        <f t="shared" si="60"/>
        <v>1w</v>
      </c>
      <c r="X3215" s="180">
        <f>_xll.qlCalendarAdvance(LiborCalendar,X3214,W3215,"f",FALSE)</f>
        <v>61506</v>
      </c>
      <c r="Y3215" s="174">
        <f>_xll.qlInterestRateIndexValueDate(IborIndex,X3215)</f>
        <v>61508</v>
      </c>
      <c r="Z3215" s="175" t="e">
        <v>#N/A</v>
      </c>
      <c r="AA3215" s="177" t="e">
        <v>#N/A</v>
      </c>
    </row>
    <row r="3216" spans="23:27" x14ac:dyDescent="0.2">
      <c r="W3216" s="173" t="str">
        <f t="shared" si="60"/>
        <v>1w</v>
      </c>
      <c r="X3216" s="180">
        <f>_xll.qlCalendarAdvance(LiborCalendar,X3215,W3216,"f",FALSE)</f>
        <v>61513</v>
      </c>
      <c r="Y3216" s="174">
        <f>_xll.qlInterestRateIndexValueDate(IborIndex,X3216)</f>
        <v>61515</v>
      </c>
      <c r="Z3216" s="175" t="e">
        <v>#N/A</v>
      </c>
      <c r="AA3216" s="177" t="e">
        <v>#N/A</v>
      </c>
    </row>
    <row r="3217" spans="23:27" x14ac:dyDescent="0.2">
      <c r="W3217" s="173" t="str">
        <f t="shared" si="60"/>
        <v>1w</v>
      </c>
      <c r="X3217" s="180">
        <f>_xll.qlCalendarAdvance(LiborCalendar,X3216,W3217,"f",FALSE)</f>
        <v>61520</v>
      </c>
      <c r="Y3217" s="174">
        <f>_xll.qlInterestRateIndexValueDate(IborIndex,X3217)</f>
        <v>61522</v>
      </c>
      <c r="Z3217" s="175" t="e">
        <v>#N/A</v>
      </c>
      <c r="AA3217" s="177" t="e">
        <v>#N/A</v>
      </c>
    </row>
    <row r="3218" spans="23:27" x14ac:dyDescent="0.2">
      <c r="W3218" s="173" t="str">
        <f t="shared" si="60"/>
        <v>1w</v>
      </c>
      <c r="X3218" s="180">
        <f>_xll.qlCalendarAdvance(LiborCalendar,X3217,W3218,"f",FALSE)</f>
        <v>61527</v>
      </c>
      <c r="Y3218" s="174">
        <f>_xll.qlInterestRateIndexValueDate(IborIndex,X3218)</f>
        <v>61529</v>
      </c>
      <c r="Z3218" s="175" t="e">
        <v>#N/A</v>
      </c>
      <c r="AA3218" s="177" t="e">
        <v>#N/A</v>
      </c>
    </row>
    <row r="3219" spans="23:27" x14ac:dyDescent="0.2">
      <c r="W3219" s="173" t="str">
        <f t="shared" si="60"/>
        <v>1w</v>
      </c>
      <c r="X3219" s="180">
        <f>_xll.qlCalendarAdvance(LiborCalendar,X3218,W3219,"f",FALSE)</f>
        <v>61534</v>
      </c>
      <c r="Y3219" s="174">
        <f>_xll.qlInterestRateIndexValueDate(IborIndex,X3219)</f>
        <v>61536</v>
      </c>
      <c r="Z3219" s="175" t="e">
        <v>#N/A</v>
      </c>
      <c r="AA3219" s="177" t="e">
        <v>#N/A</v>
      </c>
    </row>
    <row r="3220" spans="23:27" x14ac:dyDescent="0.2">
      <c r="W3220" s="173" t="str">
        <f t="shared" si="60"/>
        <v>1w</v>
      </c>
      <c r="X3220" s="180">
        <f>_xll.qlCalendarAdvance(LiborCalendar,X3219,W3220,"f",FALSE)</f>
        <v>61541</v>
      </c>
      <c r="Y3220" s="174">
        <f>_xll.qlInterestRateIndexValueDate(IborIndex,X3220)</f>
        <v>61543</v>
      </c>
      <c r="Z3220" s="175" t="e">
        <v>#N/A</v>
      </c>
      <c r="AA3220" s="177" t="e">
        <v>#N/A</v>
      </c>
    </row>
    <row r="3221" spans="23:27" x14ac:dyDescent="0.2">
      <c r="W3221" s="173" t="str">
        <f t="shared" ref="W3221:W3284" si="61">W3220</f>
        <v>1w</v>
      </c>
      <c r="X3221" s="180">
        <f>_xll.qlCalendarAdvance(LiborCalendar,X3220,W3221,"f",FALSE)</f>
        <v>61548</v>
      </c>
      <c r="Y3221" s="174">
        <f>_xll.qlInterestRateIndexValueDate(IborIndex,X3221)</f>
        <v>61550</v>
      </c>
      <c r="Z3221" s="175" t="e">
        <v>#N/A</v>
      </c>
      <c r="AA3221" s="177" t="e">
        <v>#N/A</v>
      </c>
    </row>
    <row r="3222" spans="23:27" x14ac:dyDescent="0.2">
      <c r="W3222" s="173" t="str">
        <f t="shared" si="61"/>
        <v>1w</v>
      </c>
      <c r="X3222" s="180">
        <f>_xll.qlCalendarAdvance(LiborCalendar,X3221,W3222,"f",FALSE)</f>
        <v>61555</v>
      </c>
      <c r="Y3222" s="174">
        <f>_xll.qlInterestRateIndexValueDate(IborIndex,X3222)</f>
        <v>61557</v>
      </c>
      <c r="Z3222" s="175" t="e">
        <v>#N/A</v>
      </c>
      <c r="AA3222" s="177" t="e">
        <v>#N/A</v>
      </c>
    </row>
    <row r="3223" spans="23:27" x14ac:dyDescent="0.2">
      <c r="W3223" s="173" t="str">
        <f t="shared" si="61"/>
        <v>1w</v>
      </c>
      <c r="X3223" s="180">
        <f>_xll.qlCalendarAdvance(LiborCalendar,X3222,W3223,"f",FALSE)</f>
        <v>61562</v>
      </c>
      <c r="Y3223" s="174">
        <f>_xll.qlInterestRateIndexValueDate(IborIndex,X3223)</f>
        <v>61564</v>
      </c>
      <c r="Z3223" s="175" t="e">
        <v>#N/A</v>
      </c>
      <c r="AA3223" s="177" t="e">
        <v>#N/A</v>
      </c>
    </row>
    <row r="3224" spans="23:27" x14ac:dyDescent="0.2">
      <c r="W3224" s="173" t="str">
        <f t="shared" si="61"/>
        <v>1w</v>
      </c>
      <c r="X3224" s="180">
        <f>_xll.qlCalendarAdvance(LiborCalendar,X3223,W3224,"f",FALSE)</f>
        <v>61569</v>
      </c>
      <c r="Y3224" s="174">
        <f>_xll.qlInterestRateIndexValueDate(IborIndex,X3224)</f>
        <v>61571</v>
      </c>
      <c r="Z3224" s="175" t="e">
        <v>#N/A</v>
      </c>
      <c r="AA3224" s="177" t="e">
        <v>#N/A</v>
      </c>
    </row>
    <row r="3225" spans="23:27" x14ac:dyDescent="0.2">
      <c r="W3225" s="173" t="str">
        <f t="shared" si="61"/>
        <v>1w</v>
      </c>
      <c r="X3225" s="180">
        <f>_xll.qlCalendarAdvance(LiborCalendar,X3224,W3225,"f",FALSE)</f>
        <v>61576</v>
      </c>
      <c r="Y3225" s="174">
        <f>_xll.qlInterestRateIndexValueDate(IborIndex,X3225)</f>
        <v>61578</v>
      </c>
      <c r="Z3225" s="175" t="e">
        <v>#N/A</v>
      </c>
      <c r="AA3225" s="177" t="e">
        <v>#N/A</v>
      </c>
    </row>
    <row r="3226" spans="23:27" x14ac:dyDescent="0.2">
      <c r="W3226" s="173" t="str">
        <f t="shared" si="61"/>
        <v>1w</v>
      </c>
      <c r="X3226" s="180">
        <f>_xll.qlCalendarAdvance(LiborCalendar,X3225,W3226,"f",FALSE)</f>
        <v>61583</v>
      </c>
      <c r="Y3226" s="174">
        <f>_xll.qlInterestRateIndexValueDate(IborIndex,X3226)</f>
        <v>61585</v>
      </c>
      <c r="Z3226" s="175" t="e">
        <v>#N/A</v>
      </c>
      <c r="AA3226" s="177" t="e">
        <v>#N/A</v>
      </c>
    </row>
    <row r="3227" spans="23:27" x14ac:dyDescent="0.2">
      <c r="W3227" s="173" t="str">
        <f t="shared" si="61"/>
        <v>1w</v>
      </c>
      <c r="X3227" s="180">
        <f>_xll.qlCalendarAdvance(LiborCalendar,X3226,W3227,"f",FALSE)</f>
        <v>61590</v>
      </c>
      <c r="Y3227" s="174">
        <f>_xll.qlInterestRateIndexValueDate(IborIndex,X3227)</f>
        <v>61592</v>
      </c>
      <c r="Z3227" s="175" t="e">
        <v>#N/A</v>
      </c>
      <c r="AA3227" s="177" t="e">
        <v>#N/A</v>
      </c>
    </row>
    <row r="3228" spans="23:27" x14ac:dyDescent="0.2">
      <c r="W3228" s="173" t="str">
        <f t="shared" si="61"/>
        <v>1w</v>
      </c>
      <c r="X3228" s="180">
        <f>_xll.qlCalendarAdvance(LiborCalendar,X3227,W3228,"f",FALSE)</f>
        <v>61597</v>
      </c>
      <c r="Y3228" s="174">
        <f>_xll.qlInterestRateIndexValueDate(IborIndex,X3228)</f>
        <v>61599</v>
      </c>
      <c r="Z3228" s="175" t="e">
        <v>#N/A</v>
      </c>
      <c r="AA3228" s="177" t="e">
        <v>#N/A</v>
      </c>
    </row>
    <row r="3229" spans="23:27" x14ac:dyDescent="0.2">
      <c r="W3229" s="173" t="str">
        <f t="shared" si="61"/>
        <v>1w</v>
      </c>
      <c r="X3229" s="180">
        <f>_xll.qlCalendarAdvance(LiborCalendar,X3228,W3229,"f",FALSE)</f>
        <v>61604</v>
      </c>
      <c r="Y3229" s="174">
        <f>_xll.qlInterestRateIndexValueDate(IborIndex,X3229)</f>
        <v>61606</v>
      </c>
      <c r="Z3229" s="175" t="e">
        <v>#N/A</v>
      </c>
      <c r="AA3229" s="177" t="e">
        <v>#N/A</v>
      </c>
    </row>
    <row r="3230" spans="23:27" x14ac:dyDescent="0.2">
      <c r="W3230" s="173" t="str">
        <f t="shared" si="61"/>
        <v>1w</v>
      </c>
      <c r="X3230" s="180">
        <f>_xll.qlCalendarAdvance(LiborCalendar,X3229,W3230,"f",FALSE)</f>
        <v>61611</v>
      </c>
      <c r="Y3230" s="174">
        <f>_xll.qlInterestRateIndexValueDate(IborIndex,X3230)</f>
        <v>61613</v>
      </c>
      <c r="Z3230" s="175" t="e">
        <v>#N/A</v>
      </c>
      <c r="AA3230" s="177" t="e">
        <v>#N/A</v>
      </c>
    </row>
    <row r="3231" spans="23:27" x14ac:dyDescent="0.2">
      <c r="W3231" s="173" t="str">
        <f t="shared" si="61"/>
        <v>1w</v>
      </c>
      <c r="X3231" s="180">
        <f>_xll.qlCalendarAdvance(LiborCalendar,X3230,W3231,"f",FALSE)</f>
        <v>61618</v>
      </c>
      <c r="Y3231" s="174">
        <f>_xll.qlInterestRateIndexValueDate(IborIndex,X3231)</f>
        <v>61620</v>
      </c>
      <c r="Z3231" s="175" t="e">
        <v>#N/A</v>
      </c>
      <c r="AA3231" s="177" t="e">
        <v>#N/A</v>
      </c>
    </row>
    <row r="3232" spans="23:27" x14ac:dyDescent="0.2">
      <c r="W3232" s="173" t="str">
        <f t="shared" si="61"/>
        <v>1w</v>
      </c>
      <c r="X3232" s="180">
        <f>_xll.qlCalendarAdvance(LiborCalendar,X3231,W3232,"f",FALSE)</f>
        <v>61625</v>
      </c>
      <c r="Y3232" s="174">
        <f>_xll.qlInterestRateIndexValueDate(IborIndex,X3232)</f>
        <v>61627</v>
      </c>
      <c r="Z3232" s="175" t="e">
        <v>#N/A</v>
      </c>
      <c r="AA3232" s="177" t="e">
        <v>#N/A</v>
      </c>
    </row>
    <row r="3233" spans="23:27" x14ac:dyDescent="0.2">
      <c r="W3233" s="173" t="str">
        <f t="shared" si="61"/>
        <v>1w</v>
      </c>
      <c r="X3233" s="180">
        <f>_xll.qlCalendarAdvance(LiborCalendar,X3232,W3233,"f",FALSE)</f>
        <v>61632</v>
      </c>
      <c r="Y3233" s="174">
        <f>_xll.qlInterestRateIndexValueDate(IborIndex,X3233)</f>
        <v>61634</v>
      </c>
      <c r="Z3233" s="175" t="e">
        <v>#N/A</v>
      </c>
      <c r="AA3233" s="177" t="e">
        <v>#N/A</v>
      </c>
    </row>
    <row r="3234" spans="23:27" x14ac:dyDescent="0.2">
      <c r="W3234" s="173" t="str">
        <f t="shared" si="61"/>
        <v>1w</v>
      </c>
      <c r="X3234" s="180">
        <f>_xll.qlCalendarAdvance(LiborCalendar,X3233,W3234,"f",FALSE)</f>
        <v>61639</v>
      </c>
      <c r="Y3234" s="174">
        <f>_xll.qlInterestRateIndexValueDate(IborIndex,X3234)</f>
        <v>61641</v>
      </c>
      <c r="Z3234" s="175" t="e">
        <v>#N/A</v>
      </c>
      <c r="AA3234" s="177" t="e">
        <v>#N/A</v>
      </c>
    </row>
    <row r="3235" spans="23:27" x14ac:dyDescent="0.2">
      <c r="W3235" s="173" t="str">
        <f t="shared" si="61"/>
        <v>1w</v>
      </c>
      <c r="X3235" s="180">
        <f>_xll.qlCalendarAdvance(LiborCalendar,X3234,W3235,"f",FALSE)</f>
        <v>61646</v>
      </c>
      <c r="Y3235" s="174">
        <f>_xll.qlInterestRateIndexValueDate(IborIndex,X3235)</f>
        <v>61648</v>
      </c>
      <c r="Z3235" s="175" t="e">
        <v>#N/A</v>
      </c>
      <c r="AA3235" s="177" t="e">
        <v>#N/A</v>
      </c>
    </row>
    <row r="3236" spans="23:27" x14ac:dyDescent="0.2">
      <c r="W3236" s="173" t="str">
        <f t="shared" si="61"/>
        <v>1w</v>
      </c>
      <c r="X3236" s="180">
        <f>_xll.qlCalendarAdvance(LiborCalendar,X3235,W3236,"f",FALSE)</f>
        <v>61653</v>
      </c>
      <c r="Y3236" s="174">
        <f>_xll.qlInterestRateIndexValueDate(IborIndex,X3236)</f>
        <v>61655</v>
      </c>
      <c r="Z3236" s="175" t="e">
        <v>#N/A</v>
      </c>
      <c r="AA3236" s="177" t="e">
        <v>#N/A</v>
      </c>
    </row>
    <row r="3237" spans="23:27" x14ac:dyDescent="0.2">
      <c r="W3237" s="173" t="str">
        <f t="shared" si="61"/>
        <v>1w</v>
      </c>
      <c r="X3237" s="180">
        <f>_xll.qlCalendarAdvance(LiborCalendar,X3236,W3237,"f",FALSE)</f>
        <v>61660</v>
      </c>
      <c r="Y3237" s="174">
        <f>_xll.qlInterestRateIndexValueDate(IborIndex,X3237)</f>
        <v>61662</v>
      </c>
      <c r="Z3237" s="175" t="e">
        <v>#N/A</v>
      </c>
      <c r="AA3237" s="177" t="e">
        <v>#N/A</v>
      </c>
    </row>
    <row r="3238" spans="23:27" x14ac:dyDescent="0.2">
      <c r="W3238" s="173" t="str">
        <f t="shared" si="61"/>
        <v>1w</v>
      </c>
      <c r="X3238" s="180">
        <f>_xll.qlCalendarAdvance(LiborCalendar,X3237,W3238,"f",FALSE)</f>
        <v>61667</v>
      </c>
      <c r="Y3238" s="174">
        <f>_xll.qlInterestRateIndexValueDate(IborIndex,X3238)</f>
        <v>61669</v>
      </c>
      <c r="Z3238" s="175" t="e">
        <v>#N/A</v>
      </c>
      <c r="AA3238" s="177" t="e">
        <v>#N/A</v>
      </c>
    </row>
    <row r="3239" spans="23:27" x14ac:dyDescent="0.2">
      <c r="W3239" s="173" t="str">
        <f t="shared" si="61"/>
        <v>1w</v>
      </c>
      <c r="X3239" s="180">
        <f>_xll.qlCalendarAdvance(LiborCalendar,X3238,W3239,"f",FALSE)</f>
        <v>61674</v>
      </c>
      <c r="Y3239" s="174">
        <f>_xll.qlInterestRateIndexValueDate(IborIndex,X3239)</f>
        <v>61676</v>
      </c>
      <c r="Z3239" s="175" t="e">
        <v>#N/A</v>
      </c>
      <c r="AA3239" s="177" t="e">
        <v>#N/A</v>
      </c>
    </row>
    <row r="3240" spans="23:27" x14ac:dyDescent="0.2">
      <c r="W3240" s="173" t="str">
        <f t="shared" si="61"/>
        <v>1w</v>
      </c>
      <c r="X3240" s="180">
        <f>_xll.qlCalendarAdvance(LiborCalendar,X3239,W3240,"f",FALSE)</f>
        <v>61681</v>
      </c>
      <c r="Y3240" s="174">
        <f>_xll.qlInterestRateIndexValueDate(IborIndex,X3240)</f>
        <v>61683</v>
      </c>
      <c r="Z3240" s="175" t="e">
        <v>#N/A</v>
      </c>
      <c r="AA3240" s="177" t="e">
        <v>#N/A</v>
      </c>
    </row>
    <row r="3241" spans="23:27" x14ac:dyDescent="0.2">
      <c r="W3241" s="173" t="str">
        <f t="shared" si="61"/>
        <v>1w</v>
      </c>
      <c r="X3241" s="180">
        <f>_xll.qlCalendarAdvance(LiborCalendar,X3240,W3241,"f",FALSE)</f>
        <v>61688</v>
      </c>
      <c r="Y3241" s="174">
        <f>_xll.qlInterestRateIndexValueDate(IborIndex,X3241)</f>
        <v>61693</v>
      </c>
      <c r="Z3241" s="175" t="e">
        <v>#N/A</v>
      </c>
      <c r="AA3241" s="177" t="e">
        <v>#N/A</v>
      </c>
    </row>
    <row r="3242" spans="23:27" x14ac:dyDescent="0.2">
      <c r="W3242" s="173" t="str">
        <f t="shared" si="61"/>
        <v>1w</v>
      </c>
      <c r="X3242" s="180">
        <f>_xll.qlCalendarAdvance(LiborCalendar,X3241,W3242,"f",FALSE)</f>
        <v>61695</v>
      </c>
      <c r="Y3242" s="174">
        <f>_xll.qlInterestRateIndexValueDate(IborIndex,X3242)</f>
        <v>61697</v>
      </c>
      <c r="Z3242" s="175" t="e">
        <v>#N/A</v>
      </c>
      <c r="AA3242" s="177" t="e">
        <v>#N/A</v>
      </c>
    </row>
    <row r="3243" spans="23:27" x14ac:dyDescent="0.2">
      <c r="W3243" s="173" t="str">
        <f t="shared" si="61"/>
        <v>1w</v>
      </c>
      <c r="X3243" s="180">
        <f>_xll.qlCalendarAdvance(LiborCalendar,X3242,W3243,"f",FALSE)</f>
        <v>61702</v>
      </c>
      <c r="Y3243" s="174">
        <f>_xll.qlInterestRateIndexValueDate(IborIndex,X3243)</f>
        <v>61704</v>
      </c>
      <c r="Z3243" s="175" t="e">
        <v>#N/A</v>
      </c>
      <c r="AA3243" s="177" t="e">
        <v>#N/A</v>
      </c>
    </row>
    <row r="3244" spans="23:27" x14ac:dyDescent="0.2">
      <c r="W3244" s="173" t="str">
        <f t="shared" si="61"/>
        <v>1w</v>
      </c>
      <c r="X3244" s="180">
        <f>_xll.qlCalendarAdvance(LiborCalendar,X3243,W3244,"f",FALSE)</f>
        <v>61709</v>
      </c>
      <c r="Y3244" s="174">
        <f>_xll.qlInterestRateIndexValueDate(IborIndex,X3244)</f>
        <v>61711</v>
      </c>
      <c r="Z3244" s="175" t="e">
        <v>#N/A</v>
      </c>
      <c r="AA3244" s="177" t="e">
        <v>#N/A</v>
      </c>
    </row>
    <row r="3245" spans="23:27" x14ac:dyDescent="0.2">
      <c r="W3245" s="173" t="str">
        <f t="shared" si="61"/>
        <v>1w</v>
      </c>
      <c r="X3245" s="180">
        <f>_xll.qlCalendarAdvance(LiborCalendar,X3244,W3245,"f",FALSE)</f>
        <v>61716</v>
      </c>
      <c r="Y3245" s="174">
        <f>_xll.qlInterestRateIndexValueDate(IborIndex,X3245)</f>
        <v>61718</v>
      </c>
      <c r="Z3245" s="175" t="e">
        <v>#N/A</v>
      </c>
      <c r="AA3245" s="177" t="e">
        <v>#N/A</v>
      </c>
    </row>
    <row r="3246" spans="23:27" x14ac:dyDescent="0.2">
      <c r="W3246" s="173" t="str">
        <f t="shared" si="61"/>
        <v>1w</v>
      </c>
      <c r="X3246" s="180">
        <f>_xll.qlCalendarAdvance(LiborCalendar,X3245,W3246,"f",FALSE)</f>
        <v>61724</v>
      </c>
      <c r="Y3246" s="174">
        <f>_xll.qlInterestRateIndexValueDate(IborIndex,X3246)</f>
        <v>61732</v>
      </c>
      <c r="Z3246" s="175" t="e">
        <v>#N/A</v>
      </c>
      <c r="AA3246" s="177" t="e">
        <v>#N/A</v>
      </c>
    </row>
    <row r="3247" spans="23:27" x14ac:dyDescent="0.2">
      <c r="W3247" s="173" t="str">
        <f t="shared" si="61"/>
        <v>1w</v>
      </c>
      <c r="X3247" s="180">
        <f>_xll.qlCalendarAdvance(LiborCalendar,X3246,W3247,"f",FALSE)</f>
        <v>61731</v>
      </c>
      <c r="Y3247" s="174">
        <f>_xll.qlInterestRateIndexValueDate(IborIndex,X3247)</f>
        <v>61735</v>
      </c>
      <c r="Z3247" s="175" t="e">
        <v>#N/A</v>
      </c>
      <c r="AA3247" s="177" t="e">
        <v>#N/A</v>
      </c>
    </row>
    <row r="3248" spans="23:27" x14ac:dyDescent="0.2">
      <c r="W3248" s="173" t="str">
        <f t="shared" si="61"/>
        <v>1w</v>
      </c>
      <c r="X3248" s="180">
        <f>_xll.qlCalendarAdvance(LiborCalendar,X3247,W3248,"f",FALSE)</f>
        <v>61738</v>
      </c>
      <c r="Y3248" s="174">
        <f>_xll.qlInterestRateIndexValueDate(IborIndex,X3248)</f>
        <v>61743</v>
      </c>
      <c r="Z3248" s="175" t="e">
        <v>#N/A</v>
      </c>
      <c r="AA3248" s="177" t="e">
        <v>#N/A</v>
      </c>
    </row>
    <row r="3249" spans="23:27" x14ac:dyDescent="0.2">
      <c r="W3249" s="173" t="str">
        <f t="shared" si="61"/>
        <v>1w</v>
      </c>
      <c r="X3249" s="180">
        <f>_xll.qlCalendarAdvance(LiborCalendar,X3248,W3249,"f",FALSE)</f>
        <v>61745</v>
      </c>
      <c r="Y3249" s="174">
        <f>_xll.qlInterestRateIndexValueDate(IborIndex,X3249)</f>
        <v>61749</v>
      </c>
      <c r="Z3249" s="175" t="e">
        <v>#N/A</v>
      </c>
      <c r="AA3249" s="177" t="e">
        <v>#N/A</v>
      </c>
    </row>
    <row r="3250" spans="23:27" x14ac:dyDescent="0.2">
      <c r="W3250" s="173" t="str">
        <f t="shared" si="61"/>
        <v>1w</v>
      </c>
      <c r="X3250" s="180">
        <f>_xll.qlCalendarAdvance(LiborCalendar,X3249,W3250,"f",FALSE)</f>
        <v>61752</v>
      </c>
      <c r="Y3250" s="174">
        <f>_xll.qlInterestRateIndexValueDate(IborIndex,X3250)</f>
        <v>61756</v>
      </c>
      <c r="Z3250" s="175" t="e">
        <v>#N/A</v>
      </c>
      <c r="AA3250" s="177" t="e">
        <v>#N/A</v>
      </c>
    </row>
    <row r="3251" spans="23:27" x14ac:dyDescent="0.2">
      <c r="W3251" s="173" t="str">
        <f t="shared" si="61"/>
        <v>1w</v>
      </c>
      <c r="X3251" s="180">
        <f>_xll.qlCalendarAdvance(LiborCalendar,X3250,W3251,"f",FALSE)</f>
        <v>61759</v>
      </c>
      <c r="Y3251" s="174">
        <f>_xll.qlInterestRateIndexValueDate(IborIndex,X3251)</f>
        <v>61763</v>
      </c>
      <c r="Z3251" s="175" t="e">
        <v>#N/A</v>
      </c>
      <c r="AA3251" s="177" t="e">
        <v>#N/A</v>
      </c>
    </row>
    <row r="3252" spans="23:27" x14ac:dyDescent="0.2">
      <c r="W3252" s="173" t="str">
        <f t="shared" si="61"/>
        <v>1w</v>
      </c>
      <c r="X3252" s="180">
        <f>_xll.qlCalendarAdvance(LiborCalendar,X3251,W3252,"f",FALSE)</f>
        <v>61766</v>
      </c>
      <c r="Y3252" s="174">
        <f>_xll.qlInterestRateIndexValueDate(IborIndex,X3252)</f>
        <v>61771</v>
      </c>
      <c r="Z3252" s="175" t="e">
        <v>#N/A</v>
      </c>
      <c r="AA3252" s="177" t="e">
        <v>#N/A</v>
      </c>
    </row>
    <row r="3253" spans="23:27" x14ac:dyDescent="0.2">
      <c r="W3253" s="173" t="str">
        <f t="shared" si="61"/>
        <v>1w</v>
      </c>
      <c r="X3253" s="180">
        <f>_xll.qlCalendarAdvance(LiborCalendar,X3252,W3253,"f",FALSE)</f>
        <v>61773</v>
      </c>
      <c r="Y3253" s="174">
        <f>_xll.qlInterestRateIndexValueDate(IborIndex,X3253)</f>
        <v>61777</v>
      </c>
      <c r="Z3253" s="175" t="e">
        <v>#N/A</v>
      </c>
      <c r="AA3253" s="177" t="e">
        <v>#N/A</v>
      </c>
    </row>
    <row r="3254" spans="23:27" x14ac:dyDescent="0.2">
      <c r="W3254" s="173" t="str">
        <f t="shared" si="61"/>
        <v>1w</v>
      </c>
      <c r="X3254" s="180">
        <f>_xll.qlCalendarAdvance(LiborCalendar,X3253,W3254,"f",FALSE)</f>
        <v>61780</v>
      </c>
      <c r="Y3254" s="174">
        <f>_xll.qlInterestRateIndexValueDate(IborIndex,X3254)</f>
        <v>61784</v>
      </c>
      <c r="Z3254" s="175" t="e">
        <v>#N/A</v>
      </c>
      <c r="AA3254" s="177" t="e">
        <v>#N/A</v>
      </c>
    </row>
    <row r="3255" spans="23:27" x14ac:dyDescent="0.2">
      <c r="W3255" s="173" t="str">
        <f t="shared" si="61"/>
        <v>1w</v>
      </c>
      <c r="X3255" s="180">
        <f>_xll.qlCalendarAdvance(LiborCalendar,X3254,W3255,"f",FALSE)</f>
        <v>61787</v>
      </c>
      <c r="Y3255" s="174">
        <f>_xll.qlInterestRateIndexValueDate(IborIndex,X3255)</f>
        <v>61791</v>
      </c>
      <c r="Z3255" s="175" t="e">
        <v>#N/A</v>
      </c>
      <c r="AA3255" s="177" t="e">
        <v>#N/A</v>
      </c>
    </row>
    <row r="3256" spans="23:27" x14ac:dyDescent="0.2">
      <c r="W3256" s="173" t="str">
        <f t="shared" si="61"/>
        <v>1w</v>
      </c>
      <c r="X3256" s="180">
        <f>_xll.qlCalendarAdvance(LiborCalendar,X3255,W3256,"f",FALSE)</f>
        <v>61794</v>
      </c>
      <c r="Y3256" s="174">
        <f>_xll.qlInterestRateIndexValueDate(IborIndex,X3256)</f>
        <v>61798</v>
      </c>
      <c r="Z3256" s="175" t="e">
        <v>#N/A</v>
      </c>
      <c r="AA3256" s="177" t="e">
        <v>#N/A</v>
      </c>
    </row>
    <row r="3257" spans="23:27" x14ac:dyDescent="0.2">
      <c r="W3257" s="173" t="str">
        <f t="shared" si="61"/>
        <v>1w</v>
      </c>
      <c r="X3257" s="180">
        <f>_xll.qlCalendarAdvance(LiborCalendar,X3256,W3257,"f",FALSE)</f>
        <v>61801</v>
      </c>
      <c r="Y3257" s="174">
        <f>_xll.qlInterestRateIndexValueDate(IborIndex,X3257)</f>
        <v>61805</v>
      </c>
      <c r="Z3257" s="175" t="e">
        <v>#N/A</v>
      </c>
      <c r="AA3257" s="177" t="e">
        <v>#N/A</v>
      </c>
    </row>
    <row r="3258" spans="23:27" x14ac:dyDescent="0.2">
      <c r="W3258" s="173" t="str">
        <f t="shared" si="61"/>
        <v>1w</v>
      </c>
      <c r="X3258" s="180">
        <f>_xll.qlCalendarAdvance(LiborCalendar,X3257,W3258,"f",FALSE)</f>
        <v>61808</v>
      </c>
      <c r="Y3258" s="174">
        <f>_xll.qlInterestRateIndexValueDate(IborIndex,X3258)</f>
        <v>61812</v>
      </c>
      <c r="Z3258" s="175" t="e">
        <v>#N/A</v>
      </c>
      <c r="AA3258" s="177" t="e">
        <v>#N/A</v>
      </c>
    </row>
    <row r="3259" spans="23:27" x14ac:dyDescent="0.2">
      <c r="W3259" s="173" t="str">
        <f t="shared" si="61"/>
        <v>1w</v>
      </c>
      <c r="X3259" s="180">
        <f>_xll.qlCalendarAdvance(LiborCalendar,X3258,W3259,"f",FALSE)</f>
        <v>61815</v>
      </c>
      <c r="Y3259" s="174">
        <f>_xll.qlInterestRateIndexValueDate(IborIndex,X3259)</f>
        <v>61819</v>
      </c>
      <c r="Z3259" s="175" t="e">
        <v>#N/A</v>
      </c>
      <c r="AA3259" s="177" t="e">
        <v>#N/A</v>
      </c>
    </row>
    <row r="3260" spans="23:27" x14ac:dyDescent="0.2">
      <c r="W3260" s="173" t="str">
        <f t="shared" si="61"/>
        <v>1w</v>
      </c>
      <c r="X3260" s="180">
        <f>_xll.qlCalendarAdvance(LiborCalendar,X3259,W3260,"f",FALSE)</f>
        <v>61822</v>
      </c>
      <c r="Y3260" s="174">
        <f>_xll.qlInterestRateIndexValueDate(IborIndex,X3260)</f>
        <v>61826</v>
      </c>
      <c r="Z3260" s="175" t="e">
        <v>#N/A</v>
      </c>
      <c r="AA3260" s="177" t="e">
        <v>#N/A</v>
      </c>
    </row>
    <row r="3261" spans="23:27" x14ac:dyDescent="0.2">
      <c r="W3261" s="173" t="str">
        <f t="shared" si="61"/>
        <v>1w</v>
      </c>
      <c r="X3261" s="180">
        <f>_xll.qlCalendarAdvance(LiborCalendar,X3260,W3261,"f",FALSE)</f>
        <v>61829</v>
      </c>
      <c r="Y3261" s="174">
        <f>_xll.qlInterestRateIndexValueDate(IborIndex,X3261)</f>
        <v>61835</v>
      </c>
      <c r="Z3261" s="175" t="e">
        <v>#N/A</v>
      </c>
      <c r="AA3261" s="177" t="e">
        <v>#N/A</v>
      </c>
    </row>
    <row r="3262" spans="23:27" x14ac:dyDescent="0.2">
      <c r="W3262" s="173" t="str">
        <f t="shared" si="61"/>
        <v>1w</v>
      </c>
      <c r="X3262" s="180">
        <f>_xll.qlCalendarAdvance(LiborCalendar,X3261,W3262,"f",FALSE)</f>
        <v>61836</v>
      </c>
      <c r="Y3262" s="174">
        <f>_xll.qlInterestRateIndexValueDate(IborIndex,X3262)</f>
        <v>61840</v>
      </c>
      <c r="Z3262" s="175" t="e">
        <v>#N/A</v>
      </c>
      <c r="AA3262" s="177" t="e">
        <v>#N/A</v>
      </c>
    </row>
    <row r="3263" spans="23:27" x14ac:dyDescent="0.2">
      <c r="W3263" s="173" t="str">
        <f t="shared" si="61"/>
        <v>1w</v>
      </c>
      <c r="X3263" s="180">
        <f>_xll.qlCalendarAdvance(LiborCalendar,X3262,W3263,"f",FALSE)</f>
        <v>61843</v>
      </c>
      <c r="Y3263" s="174">
        <f>_xll.qlInterestRateIndexValueDate(IborIndex,X3263)</f>
        <v>61848</v>
      </c>
      <c r="Z3263" s="175" t="e">
        <v>#N/A</v>
      </c>
      <c r="AA3263" s="177" t="e">
        <v>#N/A</v>
      </c>
    </row>
    <row r="3264" spans="23:27" x14ac:dyDescent="0.2">
      <c r="W3264" s="173" t="str">
        <f t="shared" si="61"/>
        <v>1w</v>
      </c>
      <c r="X3264" s="180">
        <f>_xll.qlCalendarAdvance(LiborCalendar,X3263,W3264,"f",FALSE)</f>
        <v>61850</v>
      </c>
      <c r="Y3264" s="174">
        <f>_xll.qlInterestRateIndexValueDate(IborIndex,X3264)</f>
        <v>61855</v>
      </c>
      <c r="Z3264" s="175" t="e">
        <v>#N/A</v>
      </c>
      <c r="AA3264" s="177" t="e">
        <v>#N/A</v>
      </c>
    </row>
    <row r="3265" spans="23:27" x14ac:dyDescent="0.2">
      <c r="W3265" s="173" t="str">
        <f t="shared" si="61"/>
        <v>1w</v>
      </c>
      <c r="X3265" s="180">
        <f>_xll.qlCalendarAdvance(LiborCalendar,X3264,W3265,"f",FALSE)</f>
        <v>61857</v>
      </c>
      <c r="Y3265" s="174">
        <f>_xll.qlInterestRateIndexValueDate(IborIndex,X3265)</f>
        <v>61861</v>
      </c>
      <c r="Z3265" s="175" t="e">
        <v>#N/A</v>
      </c>
      <c r="AA3265" s="177" t="e">
        <v>#N/A</v>
      </c>
    </row>
    <row r="3266" spans="23:27" x14ac:dyDescent="0.2">
      <c r="W3266" s="173" t="str">
        <f t="shared" si="61"/>
        <v>1w</v>
      </c>
      <c r="X3266" s="180">
        <f>_xll.qlCalendarAdvance(LiborCalendar,X3265,W3266,"f",FALSE)</f>
        <v>61864</v>
      </c>
      <c r="Y3266" s="174">
        <f>_xll.qlInterestRateIndexValueDate(IborIndex,X3266)</f>
        <v>61868</v>
      </c>
      <c r="Z3266" s="175" t="e">
        <v>#N/A</v>
      </c>
      <c r="AA3266" s="177" t="e">
        <v>#N/A</v>
      </c>
    </row>
    <row r="3267" spans="23:27" x14ac:dyDescent="0.2">
      <c r="W3267" s="173" t="str">
        <f t="shared" si="61"/>
        <v>1w</v>
      </c>
      <c r="X3267" s="180">
        <f>_xll.qlCalendarAdvance(LiborCalendar,X3266,W3267,"f",FALSE)</f>
        <v>61871</v>
      </c>
      <c r="Y3267" s="174">
        <f>_xll.qlInterestRateIndexValueDate(IborIndex,X3267)</f>
        <v>61876</v>
      </c>
      <c r="Z3267" s="175" t="e">
        <v>#N/A</v>
      </c>
      <c r="AA3267" s="177" t="e">
        <v>#N/A</v>
      </c>
    </row>
    <row r="3268" spans="23:27" x14ac:dyDescent="0.2">
      <c r="W3268" s="173" t="str">
        <f t="shared" si="61"/>
        <v>1w</v>
      </c>
      <c r="X3268" s="180">
        <f>_xll.qlCalendarAdvance(LiborCalendar,X3267,W3268,"f",FALSE)</f>
        <v>61878</v>
      </c>
      <c r="Y3268" s="174">
        <f>_xll.qlInterestRateIndexValueDate(IborIndex,X3268)</f>
        <v>61882</v>
      </c>
      <c r="Z3268" s="175" t="e">
        <v>#N/A</v>
      </c>
      <c r="AA3268" s="177" t="e">
        <v>#N/A</v>
      </c>
    </row>
    <row r="3269" spans="23:27" x14ac:dyDescent="0.2">
      <c r="W3269" s="173" t="str">
        <f t="shared" si="61"/>
        <v>1w</v>
      </c>
      <c r="X3269" s="180">
        <f>_xll.qlCalendarAdvance(LiborCalendar,X3268,W3269,"f",FALSE)</f>
        <v>61885</v>
      </c>
      <c r="Y3269" s="174">
        <f>_xll.qlInterestRateIndexValueDate(IborIndex,X3269)</f>
        <v>61889</v>
      </c>
      <c r="Z3269" s="175" t="e">
        <v>#N/A</v>
      </c>
      <c r="AA3269" s="177" t="e">
        <v>#N/A</v>
      </c>
    </row>
    <row r="3270" spans="23:27" x14ac:dyDescent="0.2">
      <c r="W3270" s="173" t="str">
        <f t="shared" si="61"/>
        <v>1w</v>
      </c>
      <c r="X3270" s="180">
        <f>_xll.qlCalendarAdvance(LiborCalendar,X3269,W3270,"f",FALSE)</f>
        <v>61892</v>
      </c>
      <c r="Y3270" s="174">
        <f>_xll.qlInterestRateIndexValueDate(IborIndex,X3270)</f>
        <v>61896</v>
      </c>
      <c r="Z3270" s="175" t="e">
        <v>#N/A</v>
      </c>
      <c r="AA3270" s="177" t="e">
        <v>#N/A</v>
      </c>
    </row>
    <row r="3271" spans="23:27" x14ac:dyDescent="0.2">
      <c r="W3271" s="173" t="str">
        <f t="shared" si="61"/>
        <v>1w</v>
      </c>
      <c r="X3271" s="180">
        <f>_xll.qlCalendarAdvance(LiborCalendar,X3270,W3271,"f",FALSE)</f>
        <v>61899</v>
      </c>
      <c r="Y3271" s="174">
        <f>_xll.qlInterestRateIndexValueDate(IborIndex,X3271)</f>
        <v>61903</v>
      </c>
      <c r="Z3271" s="175" t="e">
        <v>#N/A</v>
      </c>
      <c r="AA3271" s="177" t="e">
        <v>#N/A</v>
      </c>
    </row>
    <row r="3272" spans="23:27" x14ac:dyDescent="0.2">
      <c r="W3272" s="173" t="str">
        <f t="shared" si="61"/>
        <v>1w</v>
      </c>
      <c r="X3272" s="180">
        <f>_xll.qlCalendarAdvance(LiborCalendar,X3271,W3272,"f",FALSE)</f>
        <v>61906</v>
      </c>
      <c r="Y3272" s="174">
        <f>_xll.qlInterestRateIndexValueDate(IborIndex,X3272)</f>
        <v>61910</v>
      </c>
      <c r="Z3272" s="175" t="e">
        <v>#N/A</v>
      </c>
      <c r="AA3272" s="177" t="e">
        <v>#N/A</v>
      </c>
    </row>
    <row r="3273" spans="23:27" x14ac:dyDescent="0.2">
      <c r="W3273" s="173" t="str">
        <f t="shared" si="61"/>
        <v>1w</v>
      </c>
      <c r="X3273" s="180">
        <f>_xll.qlCalendarAdvance(LiborCalendar,X3272,W3273,"f",FALSE)</f>
        <v>61913</v>
      </c>
      <c r="Y3273" s="174">
        <f>_xll.qlInterestRateIndexValueDate(IborIndex,X3273)</f>
        <v>61917</v>
      </c>
      <c r="Z3273" s="175" t="e">
        <v>#N/A</v>
      </c>
      <c r="AA3273" s="177" t="e">
        <v>#N/A</v>
      </c>
    </row>
    <row r="3274" spans="23:27" x14ac:dyDescent="0.2">
      <c r="W3274" s="173" t="str">
        <f t="shared" si="61"/>
        <v>1w</v>
      </c>
      <c r="X3274" s="180">
        <f>_xll.qlCalendarAdvance(LiborCalendar,X3273,W3274,"f",FALSE)</f>
        <v>61920</v>
      </c>
      <c r="Y3274" s="174">
        <f>_xll.qlInterestRateIndexValueDate(IborIndex,X3274)</f>
        <v>61925</v>
      </c>
      <c r="Z3274" s="175" t="e">
        <v>#N/A</v>
      </c>
      <c r="AA3274" s="177" t="e">
        <v>#N/A</v>
      </c>
    </row>
    <row r="3275" spans="23:27" x14ac:dyDescent="0.2">
      <c r="W3275" s="173" t="str">
        <f t="shared" si="61"/>
        <v>1w</v>
      </c>
      <c r="X3275" s="180">
        <f>_xll.qlCalendarAdvance(LiborCalendar,X3274,W3275,"f",FALSE)</f>
        <v>61927</v>
      </c>
      <c r="Y3275" s="174">
        <f>_xll.qlInterestRateIndexValueDate(IborIndex,X3275)</f>
        <v>61931</v>
      </c>
      <c r="Z3275" s="175" t="e">
        <v>#N/A</v>
      </c>
      <c r="AA3275" s="177" t="e">
        <v>#N/A</v>
      </c>
    </row>
    <row r="3276" spans="23:27" x14ac:dyDescent="0.2">
      <c r="W3276" s="173" t="str">
        <f t="shared" si="61"/>
        <v>1w</v>
      </c>
      <c r="X3276" s="180">
        <f>_xll.qlCalendarAdvance(LiborCalendar,X3275,W3276,"f",FALSE)</f>
        <v>61934</v>
      </c>
      <c r="Y3276" s="174">
        <f>_xll.qlInterestRateIndexValueDate(IborIndex,X3276)</f>
        <v>61938</v>
      </c>
      <c r="Z3276" s="175" t="e">
        <v>#N/A</v>
      </c>
      <c r="AA3276" s="177" t="e">
        <v>#N/A</v>
      </c>
    </row>
    <row r="3277" spans="23:27" x14ac:dyDescent="0.2">
      <c r="W3277" s="173" t="str">
        <f t="shared" si="61"/>
        <v>1w</v>
      </c>
      <c r="X3277" s="180">
        <f>_xll.qlCalendarAdvance(LiborCalendar,X3276,W3277,"f",FALSE)</f>
        <v>61941</v>
      </c>
      <c r="Y3277" s="174">
        <f>_xll.qlInterestRateIndexValueDate(IborIndex,X3277)</f>
        <v>61945</v>
      </c>
      <c r="Z3277" s="175" t="e">
        <v>#N/A</v>
      </c>
      <c r="AA3277" s="177" t="e">
        <v>#N/A</v>
      </c>
    </row>
    <row r="3278" spans="23:27" x14ac:dyDescent="0.2">
      <c r="W3278" s="173" t="str">
        <f t="shared" si="61"/>
        <v>1w</v>
      </c>
      <c r="X3278" s="180">
        <f>_xll.qlCalendarAdvance(LiborCalendar,X3277,W3278,"f",FALSE)</f>
        <v>61948</v>
      </c>
      <c r="Y3278" s="174">
        <f>_xll.qlInterestRateIndexValueDate(IborIndex,X3278)</f>
        <v>61952</v>
      </c>
      <c r="Z3278" s="175" t="e">
        <v>#N/A</v>
      </c>
      <c r="AA3278" s="177" t="e">
        <v>#N/A</v>
      </c>
    </row>
    <row r="3279" spans="23:27" x14ac:dyDescent="0.2">
      <c r="W3279" s="173" t="str">
        <f t="shared" si="61"/>
        <v>1w</v>
      </c>
      <c r="X3279" s="180">
        <f>_xll.qlCalendarAdvance(LiborCalendar,X3278,W3279,"f",FALSE)</f>
        <v>61955</v>
      </c>
      <c r="Y3279" s="174">
        <f>_xll.qlInterestRateIndexValueDate(IborIndex,X3279)</f>
        <v>61959</v>
      </c>
      <c r="Z3279" s="175" t="e">
        <v>#N/A</v>
      </c>
      <c r="AA3279" s="177" t="e">
        <v>#N/A</v>
      </c>
    </row>
    <row r="3280" spans="23:27" x14ac:dyDescent="0.2">
      <c r="W3280" s="173" t="str">
        <f t="shared" si="61"/>
        <v>1w</v>
      </c>
      <c r="X3280" s="180">
        <f>_xll.qlCalendarAdvance(LiborCalendar,X3279,W3280,"f",FALSE)</f>
        <v>61962</v>
      </c>
      <c r="Y3280" s="174">
        <f>_xll.qlInterestRateIndexValueDate(IborIndex,X3280)</f>
        <v>61967</v>
      </c>
      <c r="Z3280" s="175" t="e">
        <v>#N/A</v>
      </c>
      <c r="AA3280" s="177" t="e">
        <v>#N/A</v>
      </c>
    </row>
    <row r="3281" spans="23:27" x14ac:dyDescent="0.2">
      <c r="W3281" s="173" t="str">
        <f t="shared" si="61"/>
        <v>1w</v>
      </c>
      <c r="X3281" s="180">
        <f>_xll.qlCalendarAdvance(LiborCalendar,X3280,W3281,"f",FALSE)</f>
        <v>61969</v>
      </c>
      <c r="Y3281" s="174">
        <f>_xll.qlInterestRateIndexValueDate(IborIndex,X3281)</f>
        <v>61973</v>
      </c>
      <c r="Z3281" s="175" t="e">
        <v>#N/A</v>
      </c>
      <c r="AA3281" s="177" t="e">
        <v>#N/A</v>
      </c>
    </row>
    <row r="3282" spans="23:27" x14ac:dyDescent="0.2">
      <c r="W3282" s="173" t="str">
        <f t="shared" si="61"/>
        <v>1w</v>
      </c>
      <c r="X3282" s="180">
        <f>_xll.qlCalendarAdvance(LiborCalendar,X3281,W3282,"f",FALSE)</f>
        <v>61976</v>
      </c>
      <c r="Y3282" s="174">
        <f>_xll.qlInterestRateIndexValueDate(IborIndex,X3282)</f>
        <v>61980</v>
      </c>
      <c r="Z3282" s="175" t="e">
        <v>#N/A</v>
      </c>
      <c r="AA3282" s="177" t="e">
        <v>#N/A</v>
      </c>
    </row>
    <row r="3283" spans="23:27" x14ac:dyDescent="0.2">
      <c r="W3283" s="173" t="str">
        <f t="shared" si="61"/>
        <v>1w</v>
      </c>
      <c r="X3283" s="180">
        <f>_xll.qlCalendarAdvance(LiborCalendar,X3282,W3283,"f",FALSE)</f>
        <v>61983</v>
      </c>
      <c r="Y3283" s="174">
        <f>_xll.qlInterestRateIndexValueDate(IborIndex,X3283)</f>
        <v>61988</v>
      </c>
      <c r="Z3283" s="175" t="e">
        <v>#N/A</v>
      </c>
      <c r="AA3283" s="177" t="e">
        <v>#N/A</v>
      </c>
    </row>
    <row r="3284" spans="23:27" x14ac:dyDescent="0.2">
      <c r="W3284" s="173" t="str">
        <f t="shared" si="61"/>
        <v>1w</v>
      </c>
      <c r="X3284" s="180">
        <f>_xll.qlCalendarAdvance(LiborCalendar,X3283,W3284,"f",FALSE)</f>
        <v>61990</v>
      </c>
      <c r="Y3284" s="174">
        <f>_xll.qlInterestRateIndexValueDate(IborIndex,X3284)</f>
        <v>61995</v>
      </c>
      <c r="Z3284" s="175" t="e">
        <v>#N/A</v>
      </c>
      <c r="AA3284" s="177" t="e">
        <v>#N/A</v>
      </c>
    </row>
    <row r="3285" spans="23:27" x14ac:dyDescent="0.2">
      <c r="W3285" s="173" t="str">
        <f t="shared" ref="W3285:W3348" si="62">W3284</f>
        <v>1w</v>
      </c>
      <c r="X3285" s="180">
        <f>_xll.qlCalendarAdvance(LiborCalendar,X3284,W3285,"f",FALSE)</f>
        <v>61997</v>
      </c>
      <c r="Y3285" s="174">
        <f>_xll.qlInterestRateIndexValueDate(IborIndex,X3285)</f>
        <v>62001</v>
      </c>
      <c r="Z3285" s="175" t="e">
        <v>#N/A</v>
      </c>
      <c r="AA3285" s="177" t="e">
        <v>#N/A</v>
      </c>
    </row>
    <row r="3286" spans="23:27" x14ac:dyDescent="0.2">
      <c r="W3286" s="173" t="str">
        <f t="shared" si="62"/>
        <v>1w</v>
      </c>
      <c r="X3286" s="180">
        <f>_xll.qlCalendarAdvance(LiborCalendar,X3285,W3286,"f",FALSE)</f>
        <v>62004</v>
      </c>
      <c r="Y3286" s="174">
        <f>_xll.qlInterestRateIndexValueDate(IborIndex,X3286)</f>
        <v>62008</v>
      </c>
      <c r="Z3286" s="175" t="e">
        <v>#N/A</v>
      </c>
      <c r="AA3286" s="177" t="e">
        <v>#N/A</v>
      </c>
    </row>
    <row r="3287" spans="23:27" x14ac:dyDescent="0.2">
      <c r="W3287" s="173" t="str">
        <f t="shared" si="62"/>
        <v>1w</v>
      </c>
      <c r="X3287" s="180">
        <f>_xll.qlCalendarAdvance(LiborCalendar,X3286,W3287,"f",FALSE)</f>
        <v>62011</v>
      </c>
      <c r="Y3287" s="174">
        <f>_xll.qlInterestRateIndexValueDate(IborIndex,X3287)</f>
        <v>62016</v>
      </c>
      <c r="Z3287" s="175" t="e">
        <v>#N/A</v>
      </c>
      <c r="AA3287" s="177" t="e">
        <v>#N/A</v>
      </c>
    </row>
    <row r="3288" spans="23:27" x14ac:dyDescent="0.2">
      <c r="W3288" s="173" t="str">
        <f t="shared" si="62"/>
        <v>1w</v>
      </c>
      <c r="X3288" s="180">
        <f>_xll.qlCalendarAdvance(LiborCalendar,X3287,W3288,"f",FALSE)</f>
        <v>62018</v>
      </c>
      <c r="Y3288" s="174">
        <f>_xll.qlInterestRateIndexValueDate(IborIndex,X3288)</f>
        <v>62022</v>
      </c>
      <c r="Z3288" s="175" t="e">
        <v>#N/A</v>
      </c>
      <c r="AA3288" s="177" t="e">
        <v>#N/A</v>
      </c>
    </row>
    <row r="3289" spans="23:27" x14ac:dyDescent="0.2">
      <c r="W3289" s="173" t="str">
        <f t="shared" si="62"/>
        <v>1w</v>
      </c>
      <c r="X3289" s="180">
        <f>_xll.qlCalendarAdvance(LiborCalendar,X3288,W3289,"f",FALSE)</f>
        <v>62025</v>
      </c>
      <c r="Y3289" s="174">
        <f>_xll.qlInterestRateIndexValueDate(IborIndex,X3289)</f>
        <v>62029</v>
      </c>
      <c r="Z3289" s="175" t="e">
        <v>#N/A</v>
      </c>
      <c r="AA3289" s="177" t="e">
        <v>#N/A</v>
      </c>
    </row>
    <row r="3290" spans="23:27" x14ac:dyDescent="0.2">
      <c r="W3290" s="173" t="str">
        <f t="shared" si="62"/>
        <v>1w</v>
      </c>
      <c r="X3290" s="180">
        <f>_xll.qlCalendarAdvance(LiborCalendar,X3289,W3290,"f",FALSE)</f>
        <v>62032</v>
      </c>
      <c r="Y3290" s="174">
        <f>_xll.qlInterestRateIndexValueDate(IborIndex,X3290)</f>
        <v>62037</v>
      </c>
      <c r="Z3290" s="175" t="e">
        <v>#N/A</v>
      </c>
      <c r="AA3290" s="177" t="e">
        <v>#N/A</v>
      </c>
    </row>
    <row r="3291" spans="23:27" x14ac:dyDescent="0.2">
      <c r="W3291" s="173" t="str">
        <f t="shared" si="62"/>
        <v>1w</v>
      </c>
      <c r="X3291" s="180">
        <f>_xll.qlCalendarAdvance(LiborCalendar,X3290,W3291,"f",FALSE)</f>
        <v>62039</v>
      </c>
      <c r="Y3291" s="174">
        <f>_xll.qlInterestRateIndexValueDate(IborIndex,X3291)</f>
        <v>62043</v>
      </c>
      <c r="Z3291" s="175" t="e">
        <v>#N/A</v>
      </c>
      <c r="AA3291" s="177" t="e">
        <v>#N/A</v>
      </c>
    </row>
    <row r="3292" spans="23:27" x14ac:dyDescent="0.2">
      <c r="W3292" s="173" t="str">
        <f t="shared" si="62"/>
        <v>1w</v>
      </c>
      <c r="X3292" s="180">
        <f>_xll.qlCalendarAdvance(LiborCalendar,X3291,W3292,"f",FALSE)</f>
        <v>62046</v>
      </c>
      <c r="Y3292" s="174">
        <f>_xll.qlInterestRateIndexValueDate(IborIndex,X3292)</f>
        <v>62050</v>
      </c>
      <c r="Z3292" s="175" t="e">
        <v>#N/A</v>
      </c>
      <c r="AA3292" s="177" t="e">
        <v>#N/A</v>
      </c>
    </row>
    <row r="3293" spans="23:27" x14ac:dyDescent="0.2">
      <c r="W3293" s="173" t="str">
        <f t="shared" si="62"/>
        <v>1w</v>
      </c>
      <c r="X3293" s="180">
        <f>_xll.qlCalendarAdvance(LiborCalendar,X3292,W3293,"f",FALSE)</f>
        <v>62053</v>
      </c>
      <c r="Y3293" s="174">
        <f>_xll.qlInterestRateIndexValueDate(IborIndex,X3293)</f>
        <v>62057</v>
      </c>
      <c r="Z3293" s="175" t="e">
        <v>#N/A</v>
      </c>
      <c r="AA3293" s="177" t="e">
        <v>#N/A</v>
      </c>
    </row>
    <row r="3294" spans="23:27" x14ac:dyDescent="0.2">
      <c r="W3294" s="173" t="str">
        <f t="shared" si="62"/>
        <v>1w</v>
      </c>
      <c r="X3294" s="180">
        <f>_xll.qlCalendarAdvance(LiborCalendar,X3293,W3294,"f",FALSE)</f>
        <v>62060</v>
      </c>
      <c r="Y3294" s="174">
        <f>_xll.qlInterestRateIndexValueDate(IborIndex,X3294)</f>
        <v>62064</v>
      </c>
      <c r="Z3294" s="175" t="e">
        <v>#N/A</v>
      </c>
      <c r="AA3294" s="177" t="e">
        <v>#N/A</v>
      </c>
    </row>
    <row r="3295" spans="23:27" x14ac:dyDescent="0.2">
      <c r="W3295" s="173" t="str">
        <f t="shared" si="62"/>
        <v>1w</v>
      </c>
      <c r="X3295" s="180">
        <f>_xll.qlCalendarAdvance(LiborCalendar,X3294,W3295,"f",FALSE)</f>
        <v>62067</v>
      </c>
      <c r="Y3295" s="174">
        <f>_xll.qlInterestRateIndexValueDate(IborIndex,X3295)</f>
        <v>62071</v>
      </c>
      <c r="Z3295" s="175" t="e">
        <v>#N/A</v>
      </c>
      <c r="AA3295" s="177" t="e">
        <v>#N/A</v>
      </c>
    </row>
    <row r="3296" spans="23:27" x14ac:dyDescent="0.2">
      <c r="W3296" s="173" t="str">
        <f t="shared" si="62"/>
        <v>1w</v>
      </c>
      <c r="X3296" s="180">
        <f>_xll.qlCalendarAdvance(LiborCalendar,X3295,W3296,"f",FALSE)</f>
        <v>62074</v>
      </c>
      <c r="Y3296" s="174">
        <f>_xll.qlInterestRateIndexValueDate(IborIndex,X3296)</f>
        <v>62078</v>
      </c>
      <c r="Z3296" s="175" t="e">
        <v>#N/A</v>
      </c>
      <c r="AA3296" s="177" t="e">
        <v>#N/A</v>
      </c>
    </row>
    <row r="3297" spans="23:27" x14ac:dyDescent="0.2">
      <c r="W3297" s="173" t="str">
        <f t="shared" si="62"/>
        <v>1w</v>
      </c>
      <c r="X3297" s="180">
        <f>_xll.qlCalendarAdvance(LiborCalendar,X3296,W3297,"f",FALSE)</f>
        <v>62081</v>
      </c>
      <c r="Y3297" s="174">
        <f>_xll.qlInterestRateIndexValueDate(IborIndex,X3297)</f>
        <v>62086</v>
      </c>
      <c r="Z3297" s="175" t="e">
        <v>#N/A</v>
      </c>
      <c r="AA3297" s="177" t="e">
        <v>#N/A</v>
      </c>
    </row>
    <row r="3298" spans="23:27" x14ac:dyDescent="0.2">
      <c r="W3298" s="173" t="str">
        <f t="shared" si="62"/>
        <v>1w</v>
      </c>
      <c r="X3298" s="180">
        <f>_xll.qlCalendarAdvance(LiborCalendar,X3297,W3298,"f",FALSE)</f>
        <v>62089</v>
      </c>
      <c r="Y3298" s="174">
        <f>_xll.qlInterestRateIndexValueDate(IborIndex,X3298)</f>
        <v>62099</v>
      </c>
      <c r="Z3298" s="175" t="e">
        <v>#N/A</v>
      </c>
      <c r="AA3298" s="177" t="e">
        <v>#N/A</v>
      </c>
    </row>
    <row r="3299" spans="23:27" x14ac:dyDescent="0.2">
      <c r="W3299" s="173" t="str">
        <f t="shared" si="62"/>
        <v>1w</v>
      </c>
      <c r="X3299" s="180">
        <f>_xll.qlCalendarAdvance(LiborCalendar,X3298,W3299,"f",FALSE)</f>
        <v>62096</v>
      </c>
      <c r="Y3299" s="174">
        <f>_xll.qlInterestRateIndexValueDate(IborIndex,X3299)</f>
        <v>62100</v>
      </c>
      <c r="Z3299" s="175" t="e">
        <v>#N/A</v>
      </c>
      <c r="AA3299" s="177" t="e">
        <v>#N/A</v>
      </c>
    </row>
    <row r="3300" spans="23:27" x14ac:dyDescent="0.2">
      <c r="W3300" s="173" t="str">
        <f t="shared" si="62"/>
        <v>1w</v>
      </c>
      <c r="X3300" s="180">
        <f>_xll.qlCalendarAdvance(LiborCalendar,X3299,W3300,"f",FALSE)</f>
        <v>62103</v>
      </c>
      <c r="Y3300" s="174">
        <f>_xll.qlInterestRateIndexValueDate(IborIndex,X3300)</f>
        <v>62107</v>
      </c>
      <c r="Z3300" s="175" t="e">
        <v>#N/A</v>
      </c>
      <c r="AA3300" s="177" t="e">
        <v>#N/A</v>
      </c>
    </row>
    <row r="3301" spans="23:27" x14ac:dyDescent="0.2">
      <c r="W3301" s="173" t="str">
        <f t="shared" si="62"/>
        <v>1w</v>
      </c>
      <c r="X3301" s="180">
        <f>_xll.qlCalendarAdvance(LiborCalendar,X3300,W3301,"f",FALSE)</f>
        <v>62110</v>
      </c>
      <c r="Y3301" s="174">
        <f>_xll.qlInterestRateIndexValueDate(IborIndex,X3301)</f>
        <v>62114</v>
      </c>
      <c r="Z3301" s="175" t="e">
        <v>#N/A</v>
      </c>
      <c r="AA3301" s="177" t="e">
        <v>#N/A</v>
      </c>
    </row>
    <row r="3302" spans="23:27" x14ac:dyDescent="0.2">
      <c r="W3302" s="173" t="str">
        <f t="shared" si="62"/>
        <v>1w</v>
      </c>
      <c r="X3302" s="180">
        <f>_xll.qlCalendarAdvance(LiborCalendar,X3301,W3302,"f",FALSE)</f>
        <v>62117</v>
      </c>
      <c r="Y3302" s="174">
        <f>_xll.qlInterestRateIndexValueDate(IborIndex,X3302)</f>
        <v>62121</v>
      </c>
      <c r="Z3302" s="175" t="e">
        <v>#N/A</v>
      </c>
      <c r="AA3302" s="177" t="e">
        <v>#N/A</v>
      </c>
    </row>
    <row r="3303" spans="23:27" x14ac:dyDescent="0.2">
      <c r="W3303" s="173" t="str">
        <f t="shared" si="62"/>
        <v>1w</v>
      </c>
      <c r="X3303" s="180">
        <f>_xll.qlCalendarAdvance(LiborCalendar,X3302,W3303,"f",FALSE)</f>
        <v>62124</v>
      </c>
      <c r="Y3303" s="174">
        <f>_xll.qlInterestRateIndexValueDate(IborIndex,X3303)</f>
        <v>62128</v>
      </c>
      <c r="Z3303" s="175" t="e">
        <v>#N/A</v>
      </c>
      <c r="AA3303" s="177" t="e">
        <v>#N/A</v>
      </c>
    </row>
    <row r="3304" spans="23:27" x14ac:dyDescent="0.2">
      <c r="W3304" s="173" t="str">
        <f t="shared" si="62"/>
        <v>1w</v>
      </c>
      <c r="X3304" s="180">
        <f>_xll.qlCalendarAdvance(LiborCalendar,X3303,W3304,"f",FALSE)</f>
        <v>62131</v>
      </c>
      <c r="Y3304" s="174">
        <f>_xll.qlInterestRateIndexValueDate(IborIndex,X3304)</f>
        <v>62136</v>
      </c>
      <c r="Z3304" s="175" t="e">
        <v>#N/A</v>
      </c>
      <c r="AA3304" s="177" t="e">
        <v>#N/A</v>
      </c>
    </row>
    <row r="3305" spans="23:27" x14ac:dyDescent="0.2">
      <c r="W3305" s="173" t="str">
        <f t="shared" si="62"/>
        <v>1w</v>
      </c>
      <c r="X3305" s="180">
        <f>_xll.qlCalendarAdvance(LiborCalendar,X3304,W3305,"f",FALSE)</f>
        <v>62138</v>
      </c>
      <c r="Y3305" s="174">
        <f>_xll.qlInterestRateIndexValueDate(IborIndex,X3305)</f>
        <v>62142</v>
      </c>
      <c r="Z3305" s="175" t="e">
        <v>#N/A</v>
      </c>
      <c r="AA3305" s="177" t="e">
        <v>#N/A</v>
      </c>
    </row>
    <row r="3306" spans="23:27" x14ac:dyDescent="0.2">
      <c r="W3306" s="173" t="str">
        <f t="shared" si="62"/>
        <v>1w</v>
      </c>
      <c r="X3306" s="180">
        <f>_xll.qlCalendarAdvance(LiborCalendar,X3305,W3306,"f",FALSE)</f>
        <v>62145</v>
      </c>
      <c r="Y3306" s="174">
        <f>_xll.qlInterestRateIndexValueDate(IborIndex,X3306)</f>
        <v>62149</v>
      </c>
      <c r="Z3306" s="175" t="e">
        <v>#N/A</v>
      </c>
      <c r="AA3306" s="177" t="e">
        <v>#N/A</v>
      </c>
    </row>
    <row r="3307" spans="23:27" x14ac:dyDescent="0.2">
      <c r="W3307" s="173" t="str">
        <f t="shared" si="62"/>
        <v>1w</v>
      </c>
      <c r="X3307" s="180">
        <f>_xll.qlCalendarAdvance(LiborCalendar,X3306,W3307,"f",FALSE)</f>
        <v>62152</v>
      </c>
      <c r="Y3307" s="174">
        <f>_xll.qlInterestRateIndexValueDate(IborIndex,X3307)</f>
        <v>62156</v>
      </c>
      <c r="Z3307" s="175" t="e">
        <v>#N/A</v>
      </c>
      <c r="AA3307" s="177" t="e">
        <v>#N/A</v>
      </c>
    </row>
    <row r="3308" spans="23:27" x14ac:dyDescent="0.2">
      <c r="W3308" s="173" t="str">
        <f t="shared" si="62"/>
        <v>1w</v>
      </c>
      <c r="X3308" s="180">
        <f>_xll.qlCalendarAdvance(LiborCalendar,X3307,W3308,"f",FALSE)</f>
        <v>62159</v>
      </c>
      <c r="Y3308" s="174">
        <f>_xll.qlInterestRateIndexValueDate(IborIndex,X3308)</f>
        <v>62163</v>
      </c>
      <c r="Z3308" s="175" t="e">
        <v>#N/A</v>
      </c>
      <c r="AA3308" s="177" t="e">
        <v>#N/A</v>
      </c>
    </row>
    <row r="3309" spans="23:27" x14ac:dyDescent="0.2">
      <c r="W3309" s="173" t="str">
        <f t="shared" si="62"/>
        <v>1w</v>
      </c>
      <c r="X3309" s="180">
        <f>_xll.qlCalendarAdvance(LiborCalendar,X3308,W3309,"f",FALSE)</f>
        <v>62166</v>
      </c>
      <c r="Y3309" s="174">
        <f>_xll.qlInterestRateIndexValueDate(IborIndex,X3309)</f>
        <v>62170</v>
      </c>
      <c r="Z3309" s="175" t="e">
        <v>#N/A</v>
      </c>
      <c r="AA3309" s="177" t="e">
        <v>#N/A</v>
      </c>
    </row>
    <row r="3310" spans="23:27" x14ac:dyDescent="0.2">
      <c r="W3310" s="173" t="str">
        <f t="shared" si="62"/>
        <v>1w</v>
      </c>
      <c r="X3310" s="180">
        <f>_xll.qlCalendarAdvance(LiborCalendar,X3309,W3310,"f",FALSE)</f>
        <v>62173</v>
      </c>
      <c r="Y3310" s="174">
        <f>_xll.qlInterestRateIndexValueDate(IborIndex,X3310)</f>
        <v>62177</v>
      </c>
      <c r="Z3310" s="175" t="e">
        <v>#N/A</v>
      </c>
      <c r="AA3310" s="177" t="e">
        <v>#N/A</v>
      </c>
    </row>
    <row r="3311" spans="23:27" x14ac:dyDescent="0.2">
      <c r="W3311" s="173" t="str">
        <f t="shared" si="62"/>
        <v>1w</v>
      </c>
      <c r="X3311" s="180">
        <f>_xll.qlCalendarAdvance(LiborCalendar,X3310,W3311,"f",FALSE)</f>
        <v>62184</v>
      </c>
      <c r="Y3311" s="174">
        <f>_xll.qlInterestRateIndexValueDate(IborIndex,X3311)</f>
        <v>62186</v>
      </c>
      <c r="Z3311" s="175" t="e">
        <v>#N/A</v>
      </c>
      <c r="AA3311" s="177" t="e">
        <v>#N/A</v>
      </c>
    </row>
    <row r="3312" spans="23:27" x14ac:dyDescent="0.2">
      <c r="W3312" s="173" t="str">
        <f t="shared" si="62"/>
        <v>1w</v>
      </c>
      <c r="X3312" s="180">
        <f>_xll.qlCalendarAdvance(LiborCalendar,X3311,W3312,"f",FALSE)</f>
        <v>62191</v>
      </c>
      <c r="Y3312" s="174">
        <f>_xll.qlInterestRateIndexValueDate(IborIndex,X3312)</f>
        <v>62193</v>
      </c>
      <c r="Z3312" s="175" t="e">
        <v>#N/A</v>
      </c>
      <c r="AA3312" s="177" t="e">
        <v>#N/A</v>
      </c>
    </row>
    <row r="3313" spans="23:27" x14ac:dyDescent="0.2">
      <c r="W3313" s="173" t="str">
        <f t="shared" si="62"/>
        <v>1w</v>
      </c>
      <c r="X3313" s="180">
        <f>_xll.qlCalendarAdvance(LiborCalendar,X3312,W3313,"f",FALSE)</f>
        <v>62198</v>
      </c>
      <c r="Y3313" s="174">
        <f>_xll.qlInterestRateIndexValueDate(IborIndex,X3313)</f>
        <v>62200</v>
      </c>
      <c r="Z3313" s="175" t="e">
        <v>#N/A</v>
      </c>
      <c r="AA3313" s="177" t="e">
        <v>#N/A</v>
      </c>
    </row>
    <row r="3314" spans="23:27" x14ac:dyDescent="0.2">
      <c r="W3314" s="173" t="str">
        <f t="shared" si="62"/>
        <v>1w</v>
      </c>
      <c r="X3314" s="180">
        <f>_xll.qlCalendarAdvance(LiborCalendar,X3313,W3314,"f",FALSE)</f>
        <v>62205</v>
      </c>
      <c r="Y3314" s="174">
        <f>_xll.qlInterestRateIndexValueDate(IborIndex,X3314)</f>
        <v>62207</v>
      </c>
      <c r="Z3314" s="175" t="e">
        <v>#N/A</v>
      </c>
      <c r="AA3314" s="177" t="e">
        <v>#N/A</v>
      </c>
    </row>
    <row r="3315" spans="23:27" x14ac:dyDescent="0.2">
      <c r="W3315" s="173" t="str">
        <f t="shared" si="62"/>
        <v>1w</v>
      </c>
      <c r="X3315" s="180">
        <f>_xll.qlCalendarAdvance(LiborCalendar,X3314,W3315,"f",FALSE)</f>
        <v>62212</v>
      </c>
      <c r="Y3315" s="174">
        <f>_xll.qlInterestRateIndexValueDate(IborIndex,X3315)</f>
        <v>62214</v>
      </c>
      <c r="Z3315" s="175" t="e">
        <v>#N/A</v>
      </c>
      <c r="AA3315" s="177" t="e">
        <v>#N/A</v>
      </c>
    </row>
    <row r="3316" spans="23:27" x14ac:dyDescent="0.2">
      <c r="W3316" s="173" t="str">
        <f t="shared" si="62"/>
        <v>1w</v>
      </c>
      <c r="X3316" s="180">
        <f>_xll.qlCalendarAdvance(LiborCalendar,X3315,W3316,"f",FALSE)</f>
        <v>62219</v>
      </c>
      <c r="Y3316" s="174">
        <f>_xll.qlInterestRateIndexValueDate(IborIndex,X3316)</f>
        <v>62221</v>
      </c>
      <c r="Z3316" s="175" t="e">
        <v>#N/A</v>
      </c>
      <c r="AA3316" s="177" t="e">
        <v>#N/A</v>
      </c>
    </row>
    <row r="3317" spans="23:27" x14ac:dyDescent="0.2">
      <c r="W3317" s="173" t="str">
        <f t="shared" si="62"/>
        <v>1w</v>
      </c>
      <c r="X3317" s="180">
        <f>_xll.qlCalendarAdvance(LiborCalendar,X3316,W3317,"f",FALSE)</f>
        <v>62226</v>
      </c>
      <c r="Y3317" s="174">
        <f>_xll.qlInterestRateIndexValueDate(IborIndex,X3317)</f>
        <v>62228</v>
      </c>
      <c r="Z3317" s="175" t="e">
        <v>#N/A</v>
      </c>
      <c r="AA3317" s="177" t="e">
        <v>#N/A</v>
      </c>
    </row>
    <row r="3318" spans="23:27" x14ac:dyDescent="0.2">
      <c r="W3318" s="173" t="str">
        <f t="shared" si="62"/>
        <v>1w</v>
      </c>
      <c r="X3318" s="180">
        <f>_xll.qlCalendarAdvance(LiborCalendar,X3317,W3318,"f",FALSE)</f>
        <v>62233</v>
      </c>
      <c r="Y3318" s="174">
        <f>_xll.qlInterestRateIndexValueDate(IborIndex,X3318)</f>
        <v>62235</v>
      </c>
      <c r="Z3318" s="175" t="e">
        <v>#N/A</v>
      </c>
      <c r="AA3318" s="177" t="e">
        <v>#N/A</v>
      </c>
    </row>
    <row r="3319" spans="23:27" x14ac:dyDescent="0.2">
      <c r="W3319" s="173" t="str">
        <f t="shared" si="62"/>
        <v>1w</v>
      </c>
      <c r="X3319" s="180">
        <f>_xll.qlCalendarAdvance(LiborCalendar,X3318,W3319,"f",FALSE)</f>
        <v>62240</v>
      </c>
      <c r="Y3319" s="174">
        <f>_xll.qlInterestRateIndexValueDate(IborIndex,X3319)</f>
        <v>62242</v>
      </c>
      <c r="Z3319" s="175" t="e">
        <v>#N/A</v>
      </c>
      <c r="AA3319" s="177" t="e">
        <v>#N/A</v>
      </c>
    </row>
    <row r="3320" spans="23:27" x14ac:dyDescent="0.2">
      <c r="W3320" s="173" t="str">
        <f t="shared" si="62"/>
        <v>1w</v>
      </c>
      <c r="X3320" s="180">
        <f>_xll.qlCalendarAdvance(LiborCalendar,X3319,W3320,"f",FALSE)</f>
        <v>62247</v>
      </c>
      <c r="Y3320" s="174">
        <f>_xll.qlInterestRateIndexValueDate(IborIndex,X3320)</f>
        <v>62249</v>
      </c>
      <c r="Z3320" s="175" t="e">
        <v>#N/A</v>
      </c>
      <c r="AA3320" s="177" t="e">
        <v>#N/A</v>
      </c>
    </row>
    <row r="3321" spans="23:27" x14ac:dyDescent="0.2">
      <c r="W3321" s="173" t="str">
        <f t="shared" si="62"/>
        <v>1w</v>
      </c>
      <c r="X3321" s="180">
        <f>_xll.qlCalendarAdvance(LiborCalendar,X3320,W3321,"f",FALSE)</f>
        <v>62254</v>
      </c>
      <c r="Y3321" s="174">
        <f>_xll.qlInterestRateIndexValueDate(IborIndex,X3321)</f>
        <v>62256</v>
      </c>
      <c r="Z3321" s="175" t="e">
        <v>#N/A</v>
      </c>
      <c r="AA3321" s="177" t="e">
        <v>#N/A</v>
      </c>
    </row>
    <row r="3322" spans="23:27" x14ac:dyDescent="0.2">
      <c r="W3322" s="173" t="str">
        <f t="shared" si="62"/>
        <v>1w</v>
      </c>
      <c r="X3322" s="180">
        <f>_xll.qlCalendarAdvance(LiborCalendar,X3321,W3322,"f",FALSE)</f>
        <v>62261</v>
      </c>
      <c r="Y3322" s="174">
        <f>_xll.qlInterestRateIndexValueDate(IborIndex,X3322)</f>
        <v>62263</v>
      </c>
      <c r="Z3322" s="175" t="e">
        <v>#N/A</v>
      </c>
      <c r="AA3322" s="177" t="e">
        <v>#N/A</v>
      </c>
    </row>
    <row r="3323" spans="23:27" x14ac:dyDescent="0.2">
      <c r="W3323" s="173" t="str">
        <f t="shared" si="62"/>
        <v>1w</v>
      </c>
      <c r="X3323" s="180">
        <f>_xll.qlCalendarAdvance(LiborCalendar,X3322,W3323,"f",FALSE)</f>
        <v>62268</v>
      </c>
      <c r="Y3323" s="174">
        <f>_xll.qlInterestRateIndexValueDate(IborIndex,X3323)</f>
        <v>62270</v>
      </c>
      <c r="Z3323" s="175" t="e">
        <v>#N/A</v>
      </c>
      <c r="AA3323" s="177" t="e">
        <v>#N/A</v>
      </c>
    </row>
    <row r="3324" spans="23:27" x14ac:dyDescent="0.2">
      <c r="W3324" s="173" t="str">
        <f t="shared" si="62"/>
        <v>1w</v>
      </c>
      <c r="X3324" s="180">
        <f>_xll.qlCalendarAdvance(LiborCalendar,X3323,W3324,"f",FALSE)</f>
        <v>62275</v>
      </c>
      <c r="Y3324" s="174">
        <f>_xll.qlInterestRateIndexValueDate(IborIndex,X3324)</f>
        <v>62277</v>
      </c>
      <c r="Z3324" s="175" t="e">
        <v>#N/A</v>
      </c>
      <c r="AA3324" s="177" t="e">
        <v>#N/A</v>
      </c>
    </row>
    <row r="3325" spans="23:27" x14ac:dyDescent="0.2">
      <c r="W3325" s="173" t="str">
        <f t="shared" si="62"/>
        <v>1w</v>
      </c>
      <c r="X3325" s="180">
        <f>_xll.qlCalendarAdvance(LiborCalendar,X3324,W3325,"f",FALSE)</f>
        <v>62282</v>
      </c>
      <c r="Y3325" s="174">
        <f>_xll.qlInterestRateIndexValueDate(IborIndex,X3325)</f>
        <v>62284</v>
      </c>
      <c r="Z3325" s="175" t="e">
        <v>#N/A</v>
      </c>
      <c r="AA3325" s="177" t="e">
        <v>#N/A</v>
      </c>
    </row>
    <row r="3326" spans="23:27" x14ac:dyDescent="0.2">
      <c r="W3326" s="173" t="str">
        <f t="shared" si="62"/>
        <v>1w</v>
      </c>
      <c r="X3326" s="180">
        <f>_xll.qlCalendarAdvance(LiborCalendar,X3325,W3326,"f",FALSE)</f>
        <v>62289</v>
      </c>
      <c r="Y3326" s="174">
        <f>_xll.qlInterestRateIndexValueDate(IborIndex,X3326)</f>
        <v>62291</v>
      </c>
      <c r="Z3326" s="175" t="e">
        <v>#N/A</v>
      </c>
      <c r="AA3326" s="177" t="e">
        <v>#N/A</v>
      </c>
    </row>
    <row r="3327" spans="23:27" x14ac:dyDescent="0.2">
      <c r="W3327" s="173" t="str">
        <f t="shared" si="62"/>
        <v>1w</v>
      </c>
      <c r="X3327" s="180">
        <f>_xll.qlCalendarAdvance(LiborCalendar,X3326,W3327,"f",FALSE)</f>
        <v>62296</v>
      </c>
      <c r="Y3327" s="174">
        <f>_xll.qlInterestRateIndexValueDate(IborIndex,X3327)</f>
        <v>62298</v>
      </c>
      <c r="Z3327" s="175" t="e">
        <v>#N/A</v>
      </c>
      <c r="AA3327" s="177" t="e">
        <v>#N/A</v>
      </c>
    </row>
    <row r="3328" spans="23:27" x14ac:dyDescent="0.2">
      <c r="W3328" s="173" t="str">
        <f t="shared" si="62"/>
        <v>1w</v>
      </c>
      <c r="X3328" s="180">
        <f>_xll.qlCalendarAdvance(LiborCalendar,X3327,W3328,"f",FALSE)</f>
        <v>62303</v>
      </c>
      <c r="Y3328" s="174">
        <f>_xll.qlInterestRateIndexValueDate(IborIndex,X3328)</f>
        <v>62305</v>
      </c>
      <c r="Z3328" s="175" t="e">
        <v>#N/A</v>
      </c>
      <c r="AA3328" s="177" t="e">
        <v>#N/A</v>
      </c>
    </row>
    <row r="3329" spans="23:27" x14ac:dyDescent="0.2">
      <c r="W3329" s="173" t="str">
        <f t="shared" si="62"/>
        <v>1w</v>
      </c>
      <c r="X3329" s="180">
        <f>_xll.qlCalendarAdvance(LiborCalendar,X3328,W3329,"f",FALSE)</f>
        <v>62310</v>
      </c>
      <c r="Y3329" s="174">
        <f>_xll.qlInterestRateIndexValueDate(IborIndex,X3329)</f>
        <v>62312</v>
      </c>
      <c r="Z3329" s="175" t="e">
        <v>#N/A</v>
      </c>
      <c r="AA3329" s="177" t="e">
        <v>#N/A</v>
      </c>
    </row>
    <row r="3330" spans="23:27" x14ac:dyDescent="0.2">
      <c r="W3330" s="173" t="str">
        <f t="shared" si="62"/>
        <v>1w</v>
      </c>
      <c r="X3330" s="180">
        <f>_xll.qlCalendarAdvance(LiborCalendar,X3329,W3330,"f",FALSE)</f>
        <v>62317</v>
      </c>
      <c r="Y3330" s="174">
        <f>_xll.qlInterestRateIndexValueDate(IborIndex,X3330)</f>
        <v>62319</v>
      </c>
      <c r="Z3330" s="175" t="e">
        <v>#N/A</v>
      </c>
      <c r="AA3330" s="177" t="e">
        <v>#N/A</v>
      </c>
    </row>
    <row r="3331" spans="23:27" x14ac:dyDescent="0.2">
      <c r="W3331" s="173" t="str">
        <f t="shared" si="62"/>
        <v>1w</v>
      </c>
      <c r="X3331" s="180">
        <f>_xll.qlCalendarAdvance(LiborCalendar,X3330,W3331,"f",FALSE)</f>
        <v>62324</v>
      </c>
      <c r="Y3331" s="174">
        <f>_xll.qlInterestRateIndexValueDate(IborIndex,X3331)</f>
        <v>62326</v>
      </c>
      <c r="Z3331" s="175" t="e">
        <v>#N/A</v>
      </c>
      <c r="AA3331" s="177" t="e">
        <v>#N/A</v>
      </c>
    </row>
    <row r="3332" spans="23:27" x14ac:dyDescent="0.2">
      <c r="W3332" s="173" t="str">
        <f t="shared" si="62"/>
        <v>1w</v>
      </c>
      <c r="X3332" s="180">
        <f>_xll.qlCalendarAdvance(LiborCalendar,X3331,W3332,"f",FALSE)</f>
        <v>62331</v>
      </c>
      <c r="Y3332" s="174">
        <f>_xll.qlInterestRateIndexValueDate(IborIndex,X3332)</f>
        <v>62333</v>
      </c>
      <c r="Z3332" s="175" t="e">
        <v>#N/A</v>
      </c>
      <c r="AA3332" s="177" t="e">
        <v>#N/A</v>
      </c>
    </row>
    <row r="3333" spans="23:27" x14ac:dyDescent="0.2">
      <c r="W3333" s="173" t="str">
        <f t="shared" si="62"/>
        <v>1w</v>
      </c>
      <c r="X3333" s="180">
        <f>_xll.qlCalendarAdvance(LiborCalendar,X3332,W3333,"f",FALSE)</f>
        <v>62338</v>
      </c>
      <c r="Y3333" s="174">
        <f>_xll.qlInterestRateIndexValueDate(IborIndex,X3333)</f>
        <v>62340</v>
      </c>
      <c r="Z3333" s="175" t="e">
        <v>#N/A</v>
      </c>
      <c r="AA3333" s="177" t="e">
        <v>#N/A</v>
      </c>
    </row>
    <row r="3334" spans="23:27" x14ac:dyDescent="0.2">
      <c r="W3334" s="173" t="str">
        <f t="shared" si="62"/>
        <v>1w</v>
      </c>
      <c r="X3334" s="180">
        <f>_xll.qlCalendarAdvance(LiborCalendar,X3333,W3334,"f",FALSE)</f>
        <v>62345</v>
      </c>
      <c r="Y3334" s="174">
        <f>_xll.qlInterestRateIndexValueDate(IborIndex,X3334)</f>
        <v>62347</v>
      </c>
      <c r="Z3334" s="175" t="e">
        <v>#N/A</v>
      </c>
      <c r="AA3334" s="177" t="e">
        <v>#N/A</v>
      </c>
    </row>
    <row r="3335" spans="23:27" x14ac:dyDescent="0.2">
      <c r="W3335" s="173" t="str">
        <f t="shared" si="62"/>
        <v>1w</v>
      </c>
      <c r="X3335" s="180">
        <f>_xll.qlCalendarAdvance(LiborCalendar,X3334,W3335,"f",FALSE)</f>
        <v>62352</v>
      </c>
      <c r="Y3335" s="174">
        <f>_xll.qlInterestRateIndexValueDate(IborIndex,X3335)</f>
        <v>62354</v>
      </c>
      <c r="Z3335" s="175" t="e">
        <v>#N/A</v>
      </c>
      <c r="AA3335" s="177" t="e">
        <v>#N/A</v>
      </c>
    </row>
    <row r="3336" spans="23:27" x14ac:dyDescent="0.2">
      <c r="W3336" s="173" t="str">
        <f t="shared" si="62"/>
        <v>1w</v>
      </c>
      <c r="X3336" s="180">
        <f>_xll.qlCalendarAdvance(LiborCalendar,X3335,W3336,"f",FALSE)</f>
        <v>62359</v>
      </c>
      <c r="Y3336" s="174">
        <f>_xll.qlInterestRateIndexValueDate(IborIndex,X3336)</f>
        <v>62361</v>
      </c>
      <c r="Z3336" s="175" t="e">
        <v>#N/A</v>
      </c>
      <c r="AA3336" s="177" t="e">
        <v>#N/A</v>
      </c>
    </row>
    <row r="3337" spans="23:27" x14ac:dyDescent="0.2">
      <c r="W3337" s="173" t="str">
        <f t="shared" si="62"/>
        <v>1w</v>
      </c>
      <c r="X3337" s="180">
        <f>_xll.qlCalendarAdvance(LiborCalendar,X3336,W3337,"f",FALSE)</f>
        <v>62366</v>
      </c>
      <c r="Y3337" s="174">
        <f>_xll.qlInterestRateIndexValueDate(IborIndex,X3337)</f>
        <v>62368</v>
      </c>
      <c r="Z3337" s="175" t="e">
        <v>#N/A</v>
      </c>
      <c r="AA3337" s="177" t="e">
        <v>#N/A</v>
      </c>
    </row>
    <row r="3338" spans="23:27" x14ac:dyDescent="0.2">
      <c r="W3338" s="173" t="str">
        <f t="shared" si="62"/>
        <v>1w</v>
      </c>
      <c r="X3338" s="180">
        <f>_xll.qlCalendarAdvance(LiborCalendar,X3337,W3338,"f",FALSE)</f>
        <v>62373</v>
      </c>
      <c r="Y3338" s="174">
        <f>_xll.qlInterestRateIndexValueDate(IborIndex,X3338)</f>
        <v>62375</v>
      </c>
      <c r="Z3338" s="175" t="e">
        <v>#N/A</v>
      </c>
      <c r="AA3338" s="177" t="e">
        <v>#N/A</v>
      </c>
    </row>
    <row r="3339" spans="23:27" x14ac:dyDescent="0.2">
      <c r="W3339" s="173" t="str">
        <f t="shared" si="62"/>
        <v>1w</v>
      </c>
      <c r="X3339" s="180">
        <f>_xll.qlCalendarAdvance(LiborCalendar,X3338,W3339,"f",FALSE)</f>
        <v>62380</v>
      </c>
      <c r="Y3339" s="174">
        <f>_xll.qlInterestRateIndexValueDate(IborIndex,X3339)</f>
        <v>62382</v>
      </c>
      <c r="Z3339" s="175" t="e">
        <v>#N/A</v>
      </c>
      <c r="AA3339" s="177" t="e">
        <v>#N/A</v>
      </c>
    </row>
    <row r="3340" spans="23:27" x14ac:dyDescent="0.2">
      <c r="W3340" s="173" t="str">
        <f t="shared" si="62"/>
        <v>1w</v>
      </c>
      <c r="X3340" s="180">
        <f>_xll.qlCalendarAdvance(LiborCalendar,X3339,W3340,"f",FALSE)</f>
        <v>62387</v>
      </c>
      <c r="Y3340" s="174">
        <f>_xll.qlInterestRateIndexValueDate(IborIndex,X3340)</f>
        <v>62389</v>
      </c>
      <c r="Z3340" s="175" t="e">
        <v>#N/A</v>
      </c>
      <c r="AA3340" s="177" t="e">
        <v>#N/A</v>
      </c>
    </row>
    <row r="3341" spans="23:27" x14ac:dyDescent="0.2">
      <c r="W3341" s="173" t="str">
        <f t="shared" si="62"/>
        <v>1w</v>
      </c>
      <c r="X3341" s="180">
        <f>_xll.qlCalendarAdvance(LiborCalendar,X3340,W3341,"f",FALSE)</f>
        <v>62394</v>
      </c>
      <c r="Y3341" s="174">
        <f>_xll.qlInterestRateIndexValueDate(IborIndex,X3341)</f>
        <v>62396</v>
      </c>
      <c r="Z3341" s="175" t="e">
        <v>#N/A</v>
      </c>
      <c r="AA3341" s="177" t="e">
        <v>#N/A</v>
      </c>
    </row>
    <row r="3342" spans="23:27" x14ac:dyDescent="0.2">
      <c r="W3342" s="173" t="str">
        <f t="shared" si="62"/>
        <v>1w</v>
      </c>
      <c r="X3342" s="180">
        <f>_xll.qlCalendarAdvance(LiborCalendar,X3341,W3342,"f",FALSE)</f>
        <v>62401</v>
      </c>
      <c r="Y3342" s="174">
        <f>_xll.qlInterestRateIndexValueDate(IborIndex,X3342)</f>
        <v>62403</v>
      </c>
      <c r="Z3342" s="175" t="e">
        <v>#N/A</v>
      </c>
      <c r="AA3342" s="177" t="e">
        <v>#N/A</v>
      </c>
    </row>
    <row r="3343" spans="23:27" x14ac:dyDescent="0.2">
      <c r="W3343" s="173" t="str">
        <f t="shared" si="62"/>
        <v>1w</v>
      </c>
      <c r="X3343" s="180">
        <f>_xll.qlCalendarAdvance(LiborCalendar,X3342,W3343,"f",FALSE)</f>
        <v>62408</v>
      </c>
      <c r="Y3343" s="174">
        <f>_xll.qlInterestRateIndexValueDate(IborIndex,X3343)</f>
        <v>62410</v>
      </c>
      <c r="Z3343" s="175" t="e">
        <v>#N/A</v>
      </c>
      <c r="AA3343" s="177" t="e">
        <v>#N/A</v>
      </c>
    </row>
    <row r="3344" spans="23:27" x14ac:dyDescent="0.2">
      <c r="W3344" s="173" t="str">
        <f t="shared" si="62"/>
        <v>1w</v>
      </c>
      <c r="X3344" s="180">
        <f>_xll.qlCalendarAdvance(LiborCalendar,X3343,W3344,"f",FALSE)</f>
        <v>62415</v>
      </c>
      <c r="Y3344" s="174">
        <f>_xll.qlInterestRateIndexValueDate(IborIndex,X3344)</f>
        <v>62417</v>
      </c>
      <c r="Z3344" s="175" t="e">
        <v>#N/A</v>
      </c>
      <c r="AA3344" s="177" t="e">
        <v>#N/A</v>
      </c>
    </row>
    <row r="3345" spans="23:27" x14ac:dyDescent="0.2">
      <c r="W3345" s="173" t="str">
        <f t="shared" si="62"/>
        <v>1w</v>
      </c>
      <c r="X3345" s="180">
        <f>_xll.qlCalendarAdvance(LiborCalendar,X3344,W3345,"f",FALSE)</f>
        <v>62422</v>
      </c>
      <c r="Y3345" s="174">
        <f>_xll.qlInterestRateIndexValueDate(IborIndex,X3345)</f>
        <v>62424</v>
      </c>
      <c r="Z3345" s="175" t="e">
        <v>#N/A</v>
      </c>
      <c r="AA3345" s="177" t="e">
        <v>#N/A</v>
      </c>
    </row>
    <row r="3346" spans="23:27" x14ac:dyDescent="0.2">
      <c r="W3346" s="173" t="str">
        <f t="shared" si="62"/>
        <v>1w</v>
      </c>
      <c r="X3346" s="180">
        <f>_xll.qlCalendarAdvance(LiborCalendar,X3345,W3346,"f",FALSE)</f>
        <v>62429</v>
      </c>
      <c r="Y3346" s="174">
        <f>_xll.qlInterestRateIndexValueDate(IborIndex,X3346)</f>
        <v>62431</v>
      </c>
      <c r="Z3346" s="175" t="e">
        <v>#N/A</v>
      </c>
      <c r="AA3346" s="177" t="e">
        <v>#N/A</v>
      </c>
    </row>
    <row r="3347" spans="23:27" x14ac:dyDescent="0.2">
      <c r="W3347" s="173" t="str">
        <f t="shared" si="62"/>
        <v>1w</v>
      </c>
      <c r="X3347" s="180">
        <f>_xll.qlCalendarAdvance(LiborCalendar,X3346,W3347,"f",FALSE)</f>
        <v>62436</v>
      </c>
      <c r="Y3347" s="174">
        <f>_xll.qlInterestRateIndexValueDate(IborIndex,X3347)</f>
        <v>62438</v>
      </c>
      <c r="Z3347" s="175" t="e">
        <v>#N/A</v>
      </c>
      <c r="AA3347" s="177" t="e">
        <v>#N/A</v>
      </c>
    </row>
    <row r="3348" spans="23:27" x14ac:dyDescent="0.2">
      <c r="W3348" s="173" t="str">
        <f t="shared" si="62"/>
        <v>1w</v>
      </c>
      <c r="X3348" s="180">
        <f>_xll.qlCalendarAdvance(LiborCalendar,X3347,W3348,"f",FALSE)</f>
        <v>62443</v>
      </c>
      <c r="Y3348" s="174">
        <f>_xll.qlInterestRateIndexValueDate(IborIndex,X3348)</f>
        <v>62445</v>
      </c>
      <c r="Z3348" s="175" t="e">
        <v>#N/A</v>
      </c>
      <c r="AA3348" s="177" t="e">
        <v>#N/A</v>
      </c>
    </row>
    <row r="3349" spans="23:27" x14ac:dyDescent="0.2">
      <c r="W3349" s="173" t="str">
        <f t="shared" ref="W3349:W3412" si="63">W3348</f>
        <v>1w</v>
      </c>
      <c r="X3349" s="180">
        <f>_xll.qlCalendarAdvance(LiborCalendar,X3348,W3349,"f",FALSE)</f>
        <v>62450</v>
      </c>
      <c r="Y3349" s="174">
        <f>_xll.qlInterestRateIndexValueDate(IborIndex,X3349)</f>
        <v>62456</v>
      </c>
      <c r="Z3349" s="175" t="e">
        <v>#N/A</v>
      </c>
      <c r="AA3349" s="177" t="e">
        <v>#N/A</v>
      </c>
    </row>
    <row r="3350" spans="23:27" x14ac:dyDescent="0.2">
      <c r="W3350" s="173" t="str">
        <f t="shared" si="63"/>
        <v>1w</v>
      </c>
      <c r="X3350" s="180">
        <f>_xll.qlCalendarAdvance(LiborCalendar,X3349,W3350,"f",FALSE)</f>
        <v>62457</v>
      </c>
      <c r="Y3350" s="174">
        <f>_xll.qlInterestRateIndexValueDate(IborIndex,X3350)</f>
        <v>62463</v>
      </c>
      <c r="Z3350" s="175" t="e">
        <v>#N/A</v>
      </c>
      <c r="AA3350" s="177" t="e">
        <v>#N/A</v>
      </c>
    </row>
    <row r="3351" spans="23:27" x14ac:dyDescent="0.2">
      <c r="W3351" s="173" t="str">
        <f t="shared" si="63"/>
        <v>1w</v>
      </c>
      <c r="X3351" s="180">
        <f>_xll.qlCalendarAdvance(LiborCalendar,X3350,W3351,"f",FALSE)</f>
        <v>62464</v>
      </c>
      <c r="Y3351" s="174">
        <f>_xll.qlInterestRateIndexValueDate(IborIndex,X3351)</f>
        <v>62466</v>
      </c>
      <c r="Z3351" s="175" t="e">
        <v>#N/A</v>
      </c>
      <c r="AA3351" s="177" t="e">
        <v>#N/A</v>
      </c>
    </row>
    <row r="3352" spans="23:27" x14ac:dyDescent="0.2">
      <c r="W3352" s="173" t="str">
        <f t="shared" si="63"/>
        <v>1w</v>
      </c>
      <c r="X3352" s="180">
        <f>_xll.qlCalendarAdvance(LiborCalendar,X3351,W3352,"f",FALSE)</f>
        <v>62471</v>
      </c>
      <c r="Y3352" s="174">
        <f>_xll.qlInterestRateIndexValueDate(IborIndex,X3352)</f>
        <v>62473</v>
      </c>
      <c r="Z3352" s="175" t="e">
        <v>#N/A</v>
      </c>
      <c r="AA3352" s="177" t="e">
        <v>#N/A</v>
      </c>
    </row>
    <row r="3353" spans="23:27" x14ac:dyDescent="0.2">
      <c r="W3353" s="173" t="str">
        <f t="shared" si="63"/>
        <v>1w</v>
      </c>
      <c r="X3353" s="180">
        <f>_xll.qlCalendarAdvance(LiborCalendar,X3352,W3353,"f",FALSE)</f>
        <v>62478</v>
      </c>
      <c r="Y3353" s="174">
        <f>_xll.qlInterestRateIndexValueDate(IborIndex,X3353)</f>
        <v>62480</v>
      </c>
      <c r="Z3353" s="175" t="e">
        <v>#N/A</v>
      </c>
      <c r="AA3353" s="177" t="e">
        <v>#N/A</v>
      </c>
    </row>
    <row r="3354" spans="23:27" x14ac:dyDescent="0.2">
      <c r="W3354" s="173" t="str">
        <f t="shared" si="63"/>
        <v>1w</v>
      </c>
      <c r="X3354" s="180">
        <f>_xll.qlCalendarAdvance(LiborCalendar,X3353,W3354,"f",FALSE)</f>
        <v>62485</v>
      </c>
      <c r="Y3354" s="174">
        <f>_xll.qlInterestRateIndexValueDate(IborIndex,X3354)</f>
        <v>62487</v>
      </c>
      <c r="Z3354" s="175" t="e">
        <v>#N/A</v>
      </c>
      <c r="AA3354" s="177" t="e">
        <v>#N/A</v>
      </c>
    </row>
    <row r="3355" spans="23:27" x14ac:dyDescent="0.2">
      <c r="W3355" s="173" t="str">
        <f t="shared" si="63"/>
        <v>1w</v>
      </c>
      <c r="X3355" s="180">
        <f>_xll.qlCalendarAdvance(LiborCalendar,X3354,W3355,"f",FALSE)</f>
        <v>62492</v>
      </c>
      <c r="Y3355" s="174">
        <f>_xll.qlInterestRateIndexValueDate(IborIndex,X3355)</f>
        <v>62494</v>
      </c>
      <c r="Z3355" s="175" t="e">
        <v>#N/A</v>
      </c>
      <c r="AA3355" s="177" t="e">
        <v>#N/A</v>
      </c>
    </row>
    <row r="3356" spans="23:27" x14ac:dyDescent="0.2">
      <c r="W3356" s="173" t="str">
        <f t="shared" si="63"/>
        <v>1w</v>
      </c>
      <c r="X3356" s="180">
        <f>_xll.qlCalendarAdvance(LiborCalendar,X3355,W3356,"f",FALSE)</f>
        <v>62499</v>
      </c>
      <c r="Y3356" s="174">
        <f>_xll.qlInterestRateIndexValueDate(IborIndex,X3356)</f>
        <v>62501</v>
      </c>
      <c r="Z3356" s="175" t="e">
        <v>#N/A</v>
      </c>
      <c r="AA3356" s="177" t="e">
        <v>#N/A</v>
      </c>
    </row>
    <row r="3357" spans="23:27" x14ac:dyDescent="0.2">
      <c r="W3357" s="173" t="str">
        <f t="shared" si="63"/>
        <v>1w</v>
      </c>
      <c r="X3357" s="180">
        <f>_xll.qlCalendarAdvance(LiborCalendar,X3356,W3357,"f",FALSE)</f>
        <v>62506</v>
      </c>
      <c r="Y3357" s="174">
        <f>_xll.qlInterestRateIndexValueDate(IborIndex,X3357)</f>
        <v>62508</v>
      </c>
      <c r="Z3357" s="175" t="e">
        <v>#N/A</v>
      </c>
      <c r="AA3357" s="177" t="e">
        <v>#N/A</v>
      </c>
    </row>
    <row r="3358" spans="23:27" x14ac:dyDescent="0.2">
      <c r="W3358" s="173" t="str">
        <f t="shared" si="63"/>
        <v>1w</v>
      </c>
      <c r="X3358" s="180">
        <f>_xll.qlCalendarAdvance(LiborCalendar,X3357,W3358,"f",FALSE)</f>
        <v>62513</v>
      </c>
      <c r="Y3358" s="174">
        <f>_xll.qlInterestRateIndexValueDate(IborIndex,X3358)</f>
        <v>62515</v>
      </c>
      <c r="Z3358" s="175" t="e">
        <v>#N/A</v>
      </c>
      <c r="AA3358" s="177" t="e">
        <v>#N/A</v>
      </c>
    </row>
    <row r="3359" spans="23:27" x14ac:dyDescent="0.2">
      <c r="W3359" s="173" t="str">
        <f t="shared" si="63"/>
        <v>1w</v>
      </c>
      <c r="X3359" s="180">
        <f>_xll.qlCalendarAdvance(LiborCalendar,X3358,W3359,"f",FALSE)</f>
        <v>62520</v>
      </c>
      <c r="Y3359" s="174">
        <f>_xll.qlInterestRateIndexValueDate(IborIndex,X3359)</f>
        <v>62522</v>
      </c>
      <c r="Z3359" s="175" t="e">
        <v>#N/A</v>
      </c>
      <c r="AA3359" s="177" t="e">
        <v>#N/A</v>
      </c>
    </row>
    <row r="3360" spans="23:27" x14ac:dyDescent="0.2">
      <c r="W3360" s="173" t="str">
        <f t="shared" si="63"/>
        <v>1w</v>
      </c>
      <c r="X3360" s="180">
        <f>_xll.qlCalendarAdvance(LiborCalendar,X3359,W3360,"f",FALSE)</f>
        <v>62527</v>
      </c>
      <c r="Y3360" s="174">
        <f>_xll.qlInterestRateIndexValueDate(IborIndex,X3360)</f>
        <v>62529</v>
      </c>
      <c r="Z3360" s="175" t="e">
        <v>#N/A</v>
      </c>
      <c r="AA3360" s="177" t="e">
        <v>#N/A</v>
      </c>
    </row>
    <row r="3361" spans="23:27" x14ac:dyDescent="0.2">
      <c r="W3361" s="173" t="str">
        <f t="shared" si="63"/>
        <v>1w</v>
      </c>
      <c r="X3361" s="180">
        <f>_xll.qlCalendarAdvance(LiborCalendar,X3360,W3361,"f",FALSE)</f>
        <v>62534</v>
      </c>
      <c r="Y3361" s="174">
        <f>_xll.qlInterestRateIndexValueDate(IborIndex,X3361)</f>
        <v>62536</v>
      </c>
      <c r="Z3361" s="175" t="e">
        <v>#N/A</v>
      </c>
      <c r="AA3361" s="177" t="e">
        <v>#N/A</v>
      </c>
    </row>
    <row r="3362" spans="23:27" x14ac:dyDescent="0.2">
      <c r="W3362" s="173" t="str">
        <f t="shared" si="63"/>
        <v>1w</v>
      </c>
      <c r="X3362" s="180">
        <f>_xll.qlCalendarAdvance(LiborCalendar,X3361,W3362,"f",FALSE)</f>
        <v>62541</v>
      </c>
      <c r="Y3362" s="174">
        <f>_xll.qlInterestRateIndexValueDate(IborIndex,X3362)</f>
        <v>62543</v>
      </c>
      <c r="Z3362" s="175" t="e">
        <v>#N/A</v>
      </c>
      <c r="AA3362" s="177" t="e">
        <v>#N/A</v>
      </c>
    </row>
    <row r="3363" spans="23:27" x14ac:dyDescent="0.2">
      <c r="W3363" s="173" t="str">
        <f t="shared" si="63"/>
        <v>1w</v>
      </c>
      <c r="X3363" s="180">
        <f>_xll.qlCalendarAdvance(LiborCalendar,X3362,W3363,"f",FALSE)</f>
        <v>62548</v>
      </c>
      <c r="Y3363" s="174">
        <f>_xll.qlInterestRateIndexValueDate(IborIndex,X3363)</f>
        <v>62550</v>
      </c>
      <c r="Z3363" s="175" t="e">
        <v>#N/A</v>
      </c>
      <c r="AA3363" s="177" t="e">
        <v>#N/A</v>
      </c>
    </row>
    <row r="3364" spans="23:27" x14ac:dyDescent="0.2">
      <c r="W3364" s="173" t="str">
        <f t="shared" si="63"/>
        <v>1w</v>
      </c>
      <c r="X3364" s="180">
        <f>_xll.qlCalendarAdvance(LiborCalendar,X3363,W3364,"f",FALSE)</f>
        <v>62555</v>
      </c>
      <c r="Y3364" s="174">
        <f>_xll.qlInterestRateIndexValueDate(IborIndex,X3364)</f>
        <v>62557</v>
      </c>
      <c r="Z3364" s="175" t="e">
        <v>#N/A</v>
      </c>
      <c r="AA3364" s="177" t="e">
        <v>#N/A</v>
      </c>
    </row>
    <row r="3365" spans="23:27" x14ac:dyDescent="0.2">
      <c r="W3365" s="173" t="str">
        <f t="shared" si="63"/>
        <v>1w</v>
      </c>
      <c r="X3365" s="180">
        <f>_xll.qlCalendarAdvance(LiborCalendar,X3364,W3365,"f",FALSE)</f>
        <v>62562</v>
      </c>
      <c r="Y3365" s="174">
        <f>_xll.qlInterestRateIndexValueDate(IborIndex,X3365)</f>
        <v>62564</v>
      </c>
      <c r="Z3365" s="175" t="e">
        <v>#N/A</v>
      </c>
      <c r="AA3365" s="177" t="e">
        <v>#N/A</v>
      </c>
    </row>
    <row r="3366" spans="23:27" x14ac:dyDescent="0.2">
      <c r="W3366" s="173" t="str">
        <f t="shared" si="63"/>
        <v>1w</v>
      </c>
      <c r="X3366" s="180">
        <f>_xll.qlCalendarAdvance(LiborCalendar,X3365,W3366,"f",FALSE)</f>
        <v>62569</v>
      </c>
      <c r="Y3366" s="174">
        <f>_xll.qlInterestRateIndexValueDate(IborIndex,X3366)</f>
        <v>62571</v>
      </c>
      <c r="Z3366" s="175" t="e">
        <v>#N/A</v>
      </c>
      <c r="AA3366" s="177" t="e">
        <v>#N/A</v>
      </c>
    </row>
    <row r="3367" spans="23:27" x14ac:dyDescent="0.2">
      <c r="W3367" s="173" t="str">
        <f t="shared" si="63"/>
        <v>1w</v>
      </c>
      <c r="X3367" s="180">
        <f>_xll.qlCalendarAdvance(LiborCalendar,X3366,W3367,"f",FALSE)</f>
        <v>62576</v>
      </c>
      <c r="Y3367" s="174">
        <f>_xll.qlInterestRateIndexValueDate(IborIndex,X3367)</f>
        <v>62578</v>
      </c>
      <c r="Z3367" s="175" t="e">
        <v>#N/A</v>
      </c>
      <c r="AA3367" s="177" t="e">
        <v>#N/A</v>
      </c>
    </row>
    <row r="3368" spans="23:27" x14ac:dyDescent="0.2">
      <c r="W3368" s="173" t="str">
        <f t="shared" si="63"/>
        <v>1w</v>
      </c>
      <c r="X3368" s="180">
        <f>_xll.qlCalendarAdvance(LiborCalendar,X3367,W3368,"f",FALSE)</f>
        <v>62583</v>
      </c>
      <c r="Y3368" s="174">
        <f>_xll.qlInterestRateIndexValueDate(IborIndex,X3368)</f>
        <v>62585</v>
      </c>
      <c r="Z3368" s="175" t="e">
        <v>#N/A</v>
      </c>
      <c r="AA3368" s="177" t="e">
        <v>#N/A</v>
      </c>
    </row>
    <row r="3369" spans="23:27" x14ac:dyDescent="0.2">
      <c r="W3369" s="173" t="str">
        <f t="shared" si="63"/>
        <v>1w</v>
      </c>
      <c r="X3369" s="180">
        <f>_xll.qlCalendarAdvance(LiborCalendar,X3368,W3369,"f",FALSE)</f>
        <v>62590</v>
      </c>
      <c r="Y3369" s="174">
        <f>_xll.qlInterestRateIndexValueDate(IborIndex,X3369)</f>
        <v>62592</v>
      </c>
      <c r="Z3369" s="175" t="e">
        <v>#N/A</v>
      </c>
      <c r="AA3369" s="177" t="e">
        <v>#N/A</v>
      </c>
    </row>
    <row r="3370" spans="23:27" x14ac:dyDescent="0.2">
      <c r="W3370" s="173" t="str">
        <f t="shared" si="63"/>
        <v>1w</v>
      </c>
      <c r="X3370" s="180">
        <f>_xll.qlCalendarAdvance(LiborCalendar,X3369,W3370,"f",FALSE)</f>
        <v>62597</v>
      </c>
      <c r="Y3370" s="174">
        <f>_xll.qlInterestRateIndexValueDate(IborIndex,X3370)</f>
        <v>62599</v>
      </c>
      <c r="Z3370" s="175" t="e">
        <v>#N/A</v>
      </c>
      <c r="AA3370" s="177" t="e">
        <v>#N/A</v>
      </c>
    </row>
    <row r="3371" spans="23:27" x14ac:dyDescent="0.2">
      <c r="W3371" s="173" t="str">
        <f t="shared" si="63"/>
        <v>1w</v>
      </c>
      <c r="X3371" s="180">
        <f>_xll.qlCalendarAdvance(LiborCalendar,X3370,W3371,"f",FALSE)</f>
        <v>62604</v>
      </c>
      <c r="Y3371" s="174">
        <f>_xll.qlInterestRateIndexValueDate(IborIndex,X3371)</f>
        <v>62606</v>
      </c>
      <c r="Z3371" s="175" t="e">
        <v>#N/A</v>
      </c>
      <c r="AA3371" s="177" t="e">
        <v>#N/A</v>
      </c>
    </row>
    <row r="3372" spans="23:27" x14ac:dyDescent="0.2">
      <c r="W3372" s="173" t="str">
        <f t="shared" si="63"/>
        <v>1w</v>
      </c>
      <c r="X3372" s="180">
        <f>_xll.qlCalendarAdvance(LiborCalendar,X3371,W3372,"f",FALSE)</f>
        <v>62611</v>
      </c>
      <c r="Y3372" s="174">
        <f>_xll.qlInterestRateIndexValueDate(IborIndex,X3372)</f>
        <v>62613</v>
      </c>
      <c r="Z3372" s="175" t="e">
        <v>#N/A</v>
      </c>
      <c r="AA3372" s="177" t="e">
        <v>#N/A</v>
      </c>
    </row>
    <row r="3373" spans="23:27" x14ac:dyDescent="0.2">
      <c r="W3373" s="173" t="str">
        <f t="shared" si="63"/>
        <v>1w</v>
      </c>
      <c r="X3373" s="180">
        <f>_xll.qlCalendarAdvance(LiborCalendar,X3372,W3373,"f",FALSE)</f>
        <v>62618</v>
      </c>
      <c r="Y3373" s="174">
        <f>_xll.qlInterestRateIndexValueDate(IborIndex,X3373)</f>
        <v>62620</v>
      </c>
      <c r="Z3373" s="175" t="e">
        <v>#N/A</v>
      </c>
      <c r="AA3373" s="177" t="e">
        <v>#N/A</v>
      </c>
    </row>
    <row r="3374" spans="23:27" x14ac:dyDescent="0.2">
      <c r="W3374" s="173" t="str">
        <f t="shared" si="63"/>
        <v>1w</v>
      </c>
      <c r="X3374" s="180">
        <f>_xll.qlCalendarAdvance(LiborCalendar,X3373,W3374,"f",FALSE)</f>
        <v>62625</v>
      </c>
      <c r="Y3374" s="174">
        <f>_xll.qlInterestRateIndexValueDate(IborIndex,X3374)</f>
        <v>62627</v>
      </c>
      <c r="Z3374" s="175" t="e">
        <v>#N/A</v>
      </c>
      <c r="AA3374" s="177" t="e">
        <v>#N/A</v>
      </c>
    </row>
    <row r="3375" spans="23:27" x14ac:dyDescent="0.2">
      <c r="W3375" s="173" t="str">
        <f t="shared" si="63"/>
        <v>1w</v>
      </c>
      <c r="X3375" s="180">
        <f>_xll.qlCalendarAdvance(LiborCalendar,X3374,W3375,"f",FALSE)</f>
        <v>62632</v>
      </c>
      <c r="Y3375" s="174">
        <f>_xll.qlInterestRateIndexValueDate(IborIndex,X3375)</f>
        <v>62634</v>
      </c>
      <c r="Z3375" s="175" t="e">
        <v>#N/A</v>
      </c>
      <c r="AA3375" s="177" t="e">
        <v>#N/A</v>
      </c>
    </row>
    <row r="3376" spans="23:27" x14ac:dyDescent="0.2">
      <c r="W3376" s="173" t="str">
        <f t="shared" si="63"/>
        <v>1w</v>
      </c>
      <c r="X3376" s="180">
        <f>_xll.qlCalendarAdvance(LiborCalendar,X3375,W3376,"f",FALSE)</f>
        <v>62639</v>
      </c>
      <c r="Y3376" s="174">
        <f>_xll.qlInterestRateIndexValueDate(IborIndex,X3376)</f>
        <v>62641</v>
      </c>
      <c r="Z3376" s="175" t="e">
        <v>#N/A</v>
      </c>
      <c r="AA3376" s="177" t="e">
        <v>#N/A</v>
      </c>
    </row>
    <row r="3377" spans="23:27" x14ac:dyDescent="0.2">
      <c r="W3377" s="173" t="str">
        <f t="shared" si="63"/>
        <v>1w</v>
      </c>
      <c r="X3377" s="180">
        <f>_xll.qlCalendarAdvance(LiborCalendar,X3376,W3377,"f",FALSE)</f>
        <v>62646</v>
      </c>
      <c r="Y3377" s="174">
        <f>_xll.qlInterestRateIndexValueDate(IborIndex,X3377)</f>
        <v>62648</v>
      </c>
      <c r="Z3377" s="175" t="e">
        <v>#N/A</v>
      </c>
      <c r="AA3377" s="177" t="e">
        <v>#N/A</v>
      </c>
    </row>
    <row r="3378" spans="23:27" x14ac:dyDescent="0.2">
      <c r="W3378" s="173" t="str">
        <f t="shared" si="63"/>
        <v>1w</v>
      </c>
      <c r="X3378" s="180">
        <f>_xll.qlCalendarAdvance(LiborCalendar,X3377,W3378,"f",FALSE)</f>
        <v>62653</v>
      </c>
      <c r="Y3378" s="174">
        <f>_xll.qlInterestRateIndexValueDate(IborIndex,X3378)</f>
        <v>62655</v>
      </c>
      <c r="Z3378" s="175" t="e">
        <v>#N/A</v>
      </c>
      <c r="AA3378" s="177" t="e">
        <v>#N/A</v>
      </c>
    </row>
    <row r="3379" spans="23:27" x14ac:dyDescent="0.2">
      <c r="W3379" s="173" t="str">
        <f t="shared" si="63"/>
        <v>1w</v>
      </c>
      <c r="X3379" s="180">
        <f>_xll.qlCalendarAdvance(LiborCalendar,X3378,W3379,"f",FALSE)</f>
        <v>62660</v>
      </c>
      <c r="Y3379" s="174">
        <f>_xll.qlInterestRateIndexValueDate(IborIndex,X3379)</f>
        <v>62662</v>
      </c>
      <c r="Z3379" s="175" t="e">
        <v>#N/A</v>
      </c>
      <c r="AA3379" s="177" t="e">
        <v>#N/A</v>
      </c>
    </row>
    <row r="3380" spans="23:27" x14ac:dyDescent="0.2">
      <c r="W3380" s="173" t="str">
        <f t="shared" si="63"/>
        <v>1w</v>
      </c>
      <c r="X3380" s="180">
        <f>_xll.qlCalendarAdvance(LiborCalendar,X3379,W3380,"f",FALSE)</f>
        <v>62667</v>
      </c>
      <c r="Y3380" s="174">
        <f>_xll.qlInterestRateIndexValueDate(IborIndex,X3380)</f>
        <v>62669</v>
      </c>
      <c r="Z3380" s="175" t="e">
        <v>#N/A</v>
      </c>
      <c r="AA3380" s="177" t="e">
        <v>#N/A</v>
      </c>
    </row>
    <row r="3381" spans="23:27" x14ac:dyDescent="0.2">
      <c r="W3381" s="173" t="str">
        <f t="shared" si="63"/>
        <v>1w</v>
      </c>
      <c r="X3381" s="180">
        <f>_xll.qlCalendarAdvance(LiborCalendar,X3380,W3381,"f",FALSE)</f>
        <v>62674</v>
      </c>
      <c r="Y3381" s="174">
        <f>_xll.qlInterestRateIndexValueDate(IborIndex,X3381)</f>
        <v>62676</v>
      </c>
      <c r="Z3381" s="175" t="e">
        <v>#N/A</v>
      </c>
      <c r="AA3381" s="177" t="e">
        <v>#N/A</v>
      </c>
    </row>
    <row r="3382" spans="23:27" x14ac:dyDescent="0.2">
      <c r="W3382" s="173" t="str">
        <f t="shared" si="63"/>
        <v>1w</v>
      </c>
      <c r="X3382" s="180">
        <f>_xll.qlCalendarAdvance(LiborCalendar,X3381,W3382,"f",FALSE)</f>
        <v>62681</v>
      </c>
      <c r="Y3382" s="174">
        <f>_xll.qlInterestRateIndexValueDate(IborIndex,X3382)</f>
        <v>62683</v>
      </c>
      <c r="Z3382" s="175" t="e">
        <v>#N/A</v>
      </c>
      <c r="AA3382" s="177" t="e">
        <v>#N/A</v>
      </c>
    </row>
    <row r="3383" spans="23:27" x14ac:dyDescent="0.2">
      <c r="W3383" s="173" t="str">
        <f t="shared" si="63"/>
        <v>1w</v>
      </c>
      <c r="X3383" s="180">
        <f>_xll.qlCalendarAdvance(LiborCalendar,X3382,W3383,"f",FALSE)</f>
        <v>62688</v>
      </c>
      <c r="Y3383" s="174">
        <f>_xll.qlInterestRateIndexValueDate(IborIndex,X3383)</f>
        <v>62690</v>
      </c>
      <c r="Z3383" s="175" t="e">
        <v>#N/A</v>
      </c>
      <c r="AA3383" s="177" t="e">
        <v>#N/A</v>
      </c>
    </row>
    <row r="3384" spans="23:27" x14ac:dyDescent="0.2">
      <c r="W3384" s="173" t="str">
        <f t="shared" si="63"/>
        <v>1w</v>
      </c>
      <c r="X3384" s="180">
        <f>_xll.qlCalendarAdvance(LiborCalendar,X3383,W3384,"f",FALSE)</f>
        <v>62695</v>
      </c>
      <c r="Y3384" s="174">
        <f>_xll.qlInterestRateIndexValueDate(IborIndex,X3384)</f>
        <v>62697</v>
      </c>
      <c r="Z3384" s="175" t="e">
        <v>#N/A</v>
      </c>
      <c r="AA3384" s="177" t="e">
        <v>#N/A</v>
      </c>
    </row>
    <row r="3385" spans="23:27" x14ac:dyDescent="0.2">
      <c r="W3385" s="173" t="str">
        <f t="shared" si="63"/>
        <v>1w</v>
      </c>
      <c r="X3385" s="180">
        <f>_xll.qlCalendarAdvance(LiborCalendar,X3384,W3385,"f",FALSE)</f>
        <v>62702</v>
      </c>
      <c r="Y3385" s="174">
        <f>_xll.qlInterestRateIndexValueDate(IborIndex,X3385)</f>
        <v>62704</v>
      </c>
      <c r="Z3385" s="175" t="e">
        <v>#N/A</v>
      </c>
      <c r="AA3385" s="177" t="e">
        <v>#N/A</v>
      </c>
    </row>
    <row r="3386" spans="23:27" x14ac:dyDescent="0.2">
      <c r="W3386" s="173" t="str">
        <f t="shared" si="63"/>
        <v>1w</v>
      </c>
      <c r="X3386" s="180">
        <f>_xll.qlCalendarAdvance(LiborCalendar,X3385,W3386,"f",FALSE)</f>
        <v>62709</v>
      </c>
      <c r="Y3386" s="174">
        <f>_xll.qlInterestRateIndexValueDate(IborIndex,X3386)</f>
        <v>62711</v>
      </c>
      <c r="Z3386" s="175" t="e">
        <v>#N/A</v>
      </c>
      <c r="AA3386" s="177" t="e">
        <v>#N/A</v>
      </c>
    </row>
    <row r="3387" spans="23:27" x14ac:dyDescent="0.2">
      <c r="W3387" s="173" t="str">
        <f t="shared" si="63"/>
        <v>1w</v>
      </c>
      <c r="X3387" s="180">
        <f>_xll.qlCalendarAdvance(LiborCalendar,X3386,W3387,"f",FALSE)</f>
        <v>62716</v>
      </c>
      <c r="Y3387" s="174">
        <f>_xll.qlInterestRateIndexValueDate(IborIndex,X3387)</f>
        <v>62718</v>
      </c>
      <c r="Z3387" s="175" t="e">
        <v>#N/A</v>
      </c>
      <c r="AA3387" s="177" t="e">
        <v>#N/A</v>
      </c>
    </row>
    <row r="3388" spans="23:27" x14ac:dyDescent="0.2">
      <c r="W3388" s="173" t="str">
        <f t="shared" si="63"/>
        <v>1w</v>
      </c>
      <c r="X3388" s="180">
        <f>_xll.qlCalendarAdvance(LiborCalendar,X3387,W3388,"f",FALSE)</f>
        <v>62723</v>
      </c>
      <c r="Y3388" s="174">
        <f>_xll.qlInterestRateIndexValueDate(IborIndex,X3388)</f>
        <v>62725</v>
      </c>
      <c r="Z3388" s="175" t="e">
        <v>#N/A</v>
      </c>
      <c r="AA3388" s="177" t="e">
        <v>#N/A</v>
      </c>
    </row>
    <row r="3389" spans="23:27" x14ac:dyDescent="0.2">
      <c r="W3389" s="173" t="str">
        <f t="shared" si="63"/>
        <v>1w</v>
      </c>
      <c r="X3389" s="180">
        <f>_xll.qlCalendarAdvance(LiborCalendar,X3388,W3389,"f",FALSE)</f>
        <v>62730</v>
      </c>
      <c r="Y3389" s="174">
        <f>_xll.qlInterestRateIndexValueDate(IborIndex,X3389)</f>
        <v>62732</v>
      </c>
      <c r="Z3389" s="175" t="e">
        <v>#N/A</v>
      </c>
      <c r="AA3389" s="177" t="e">
        <v>#N/A</v>
      </c>
    </row>
    <row r="3390" spans="23:27" x14ac:dyDescent="0.2">
      <c r="W3390" s="173" t="str">
        <f t="shared" si="63"/>
        <v>1w</v>
      </c>
      <c r="X3390" s="180">
        <f>_xll.qlCalendarAdvance(LiborCalendar,X3389,W3390,"f",FALSE)</f>
        <v>62737</v>
      </c>
      <c r="Y3390" s="174">
        <f>_xll.qlInterestRateIndexValueDate(IborIndex,X3390)</f>
        <v>62739</v>
      </c>
      <c r="Z3390" s="175" t="e">
        <v>#N/A</v>
      </c>
      <c r="AA3390" s="177" t="e">
        <v>#N/A</v>
      </c>
    </row>
    <row r="3391" spans="23:27" x14ac:dyDescent="0.2">
      <c r="W3391" s="173" t="str">
        <f t="shared" si="63"/>
        <v>1w</v>
      </c>
      <c r="X3391" s="180">
        <f>_xll.qlCalendarAdvance(LiborCalendar,X3390,W3391,"f",FALSE)</f>
        <v>62744</v>
      </c>
      <c r="Y3391" s="174">
        <f>_xll.qlInterestRateIndexValueDate(IborIndex,X3391)</f>
        <v>62746</v>
      </c>
      <c r="Z3391" s="175" t="e">
        <v>#N/A</v>
      </c>
      <c r="AA3391" s="177" t="e">
        <v>#N/A</v>
      </c>
    </row>
    <row r="3392" spans="23:27" x14ac:dyDescent="0.2">
      <c r="W3392" s="173" t="str">
        <f t="shared" si="63"/>
        <v>1w</v>
      </c>
      <c r="X3392" s="180">
        <f>_xll.qlCalendarAdvance(LiborCalendar,X3391,W3392,"f",FALSE)</f>
        <v>62751</v>
      </c>
      <c r="Y3392" s="174">
        <f>_xll.qlInterestRateIndexValueDate(IborIndex,X3392)</f>
        <v>62753</v>
      </c>
      <c r="Z3392" s="175" t="e">
        <v>#N/A</v>
      </c>
      <c r="AA3392" s="177" t="e">
        <v>#N/A</v>
      </c>
    </row>
    <row r="3393" spans="23:27" x14ac:dyDescent="0.2">
      <c r="W3393" s="173" t="str">
        <f t="shared" si="63"/>
        <v>1w</v>
      </c>
      <c r="X3393" s="180">
        <f>_xll.qlCalendarAdvance(LiborCalendar,X3392,W3393,"f",FALSE)</f>
        <v>62758</v>
      </c>
      <c r="Y3393" s="174">
        <f>_xll.qlInterestRateIndexValueDate(IborIndex,X3393)</f>
        <v>62760</v>
      </c>
      <c r="Z3393" s="175" t="e">
        <v>#N/A</v>
      </c>
      <c r="AA3393" s="177" t="e">
        <v>#N/A</v>
      </c>
    </row>
    <row r="3394" spans="23:27" x14ac:dyDescent="0.2">
      <c r="W3394" s="173" t="str">
        <f t="shared" si="63"/>
        <v>1w</v>
      </c>
      <c r="X3394" s="180">
        <f>_xll.qlCalendarAdvance(LiborCalendar,X3393,W3394,"f",FALSE)</f>
        <v>62765</v>
      </c>
      <c r="Y3394" s="174">
        <f>_xll.qlInterestRateIndexValueDate(IborIndex,X3394)</f>
        <v>62767</v>
      </c>
      <c r="Z3394" s="175" t="e">
        <v>#N/A</v>
      </c>
      <c r="AA3394" s="177" t="e">
        <v>#N/A</v>
      </c>
    </row>
    <row r="3395" spans="23:27" x14ac:dyDescent="0.2">
      <c r="W3395" s="173" t="str">
        <f t="shared" si="63"/>
        <v>1w</v>
      </c>
      <c r="X3395" s="180">
        <f>_xll.qlCalendarAdvance(LiborCalendar,X3394,W3395,"f",FALSE)</f>
        <v>62772</v>
      </c>
      <c r="Y3395" s="174">
        <f>_xll.qlInterestRateIndexValueDate(IborIndex,X3395)</f>
        <v>62774</v>
      </c>
      <c r="Z3395" s="175" t="e">
        <v>#N/A</v>
      </c>
      <c r="AA3395" s="177" t="e">
        <v>#N/A</v>
      </c>
    </row>
    <row r="3396" spans="23:27" x14ac:dyDescent="0.2">
      <c r="W3396" s="173" t="str">
        <f t="shared" si="63"/>
        <v>1w</v>
      </c>
      <c r="X3396" s="180">
        <f>_xll.qlCalendarAdvance(LiborCalendar,X3395,W3396,"f",FALSE)</f>
        <v>62779</v>
      </c>
      <c r="Y3396" s="174">
        <f>_xll.qlInterestRateIndexValueDate(IborIndex,X3396)</f>
        <v>62781</v>
      </c>
      <c r="Z3396" s="175" t="e">
        <v>#N/A</v>
      </c>
      <c r="AA3396" s="177" t="e">
        <v>#N/A</v>
      </c>
    </row>
    <row r="3397" spans="23:27" x14ac:dyDescent="0.2">
      <c r="W3397" s="173" t="str">
        <f t="shared" si="63"/>
        <v>1w</v>
      </c>
      <c r="X3397" s="180">
        <f>_xll.qlCalendarAdvance(LiborCalendar,X3396,W3397,"f",FALSE)</f>
        <v>62786</v>
      </c>
      <c r="Y3397" s="174">
        <f>_xll.qlInterestRateIndexValueDate(IborIndex,X3397)</f>
        <v>62788</v>
      </c>
      <c r="Z3397" s="175" t="e">
        <v>#N/A</v>
      </c>
      <c r="AA3397" s="177" t="e">
        <v>#N/A</v>
      </c>
    </row>
    <row r="3398" spans="23:27" x14ac:dyDescent="0.2">
      <c r="W3398" s="173" t="str">
        <f t="shared" si="63"/>
        <v>1w</v>
      </c>
      <c r="X3398" s="180">
        <f>_xll.qlCalendarAdvance(LiborCalendar,X3397,W3398,"f",FALSE)</f>
        <v>62793</v>
      </c>
      <c r="Y3398" s="174">
        <f>_xll.qlInterestRateIndexValueDate(IborIndex,X3398)</f>
        <v>62795</v>
      </c>
      <c r="Z3398" s="175" t="e">
        <v>#N/A</v>
      </c>
      <c r="AA3398" s="177" t="e">
        <v>#N/A</v>
      </c>
    </row>
    <row r="3399" spans="23:27" x14ac:dyDescent="0.2">
      <c r="W3399" s="173" t="str">
        <f t="shared" si="63"/>
        <v>1w</v>
      </c>
      <c r="X3399" s="180">
        <f>_xll.qlCalendarAdvance(LiborCalendar,X3398,W3399,"f",FALSE)</f>
        <v>62800</v>
      </c>
      <c r="Y3399" s="174">
        <f>_xll.qlInterestRateIndexValueDate(IborIndex,X3399)</f>
        <v>62802</v>
      </c>
      <c r="Z3399" s="175" t="e">
        <v>#N/A</v>
      </c>
      <c r="AA3399" s="177" t="e">
        <v>#N/A</v>
      </c>
    </row>
    <row r="3400" spans="23:27" x14ac:dyDescent="0.2">
      <c r="W3400" s="173" t="str">
        <f t="shared" si="63"/>
        <v>1w</v>
      </c>
      <c r="X3400" s="180">
        <f>_xll.qlCalendarAdvance(LiborCalendar,X3399,W3400,"f",FALSE)</f>
        <v>62807</v>
      </c>
      <c r="Y3400" s="174">
        <f>_xll.qlInterestRateIndexValueDate(IborIndex,X3400)</f>
        <v>62809</v>
      </c>
      <c r="Z3400" s="175" t="e">
        <v>#N/A</v>
      </c>
      <c r="AA3400" s="177" t="e">
        <v>#N/A</v>
      </c>
    </row>
    <row r="3401" spans="23:27" x14ac:dyDescent="0.2">
      <c r="W3401" s="173" t="str">
        <f t="shared" si="63"/>
        <v>1w</v>
      </c>
      <c r="X3401" s="180">
        <f>_xll.qlCalendarAdvance(LiborCalendar,X3400,W3401,"f",FALSE)</f>
        <v>62814</v>
      </c>
      <c r="Y3401" s="174">
        <f>_xll.qlInterestRateIndexValueDate(IborIndex,X3401)</f>
        <v>62816</v>
      </c>
      <c r="Z3401" s="175" t="e">
        <v>#N/A</v>
      </c>
      <c r="AA3401" s="177" t="e">
        <v>#N/A</v>
      </c>
    </row>
    <row r="3402" spans="23:27" x14ac:dyDescent="0.2">
      <c r="W3402" s="173" t="str">
        <f t="shared" si="63"/>
        <v>1w</v>
      </c>
      <c r="X3402" s="180">
        <f>_xll.qlCalendarAdvance(LiborCalendar,X3401,W3402,"f",FALSE)</f>
        <v>62821</v>
      </c>
      <c r="Y3402" s="174">
        <f>_xll.qlInterestRateIndexValueDate(IborIndex,X3402)</f>
        <v>62827</v>
      </c>
      <c r="Z3402" s="175" t="e">
        <v>#N/A</v>
      </c>
      <c r="AA3402" s="177" t="e">
        <v>#N/A</v>
      </c>
    </row>
    <row r="3403" spans="23:27" x14ac:dyDescent="0.2">
      <c r="W3403" s="173" t="str">
        <f t="shared" si="63"/>
        <v>1w</v>
      </c>
      <c r="X3403" s="180">
        <f>_xll.qlCalendarAdvance(LiborCalendar,X3402,W3403,"f",FALSE)</f>
        <v>62828</v>
      </c>
      <c r="Y3403" s="174">
        <f>_xll.qlInterestRateIndexValueDate(IborIndex,X3403)</f>
        <v>62830</v>
      </c>
      <c r="Z3403" s="175" t="e">
        <v>#N/A</v>
      </c>
      <c r="AA3403" s="177" t="e">
        <v>#N/A</v>
      </c>
    </row>
    <row r="3404" spans="23:27" x14ac:dyDescent="0.2">
      <c r="W3404" s="173" t="str">
        <f t="shared" si="63"/>
        <v>1w</v>
      </c>
      <c r="X3404" s="180">
        <f>_xll.qlCalendarAdvance(LiborCalendar,X3403,W3404,"f",FALSE)</f>
        <v>62835</v>
      </c>
      <c r="Y3404" s="174">
        <f>_xll.qlInterestRateIndexValueDate(IborIndex,X3404)</f>
        <v>62837</v>
      </c>
      <c r="Z3404" s="175" t="e">
        <v>#N/A</v>
      </c>
      <c r="AA3404" s="177" t="e">
        <v>#N/A</v>
      </c>
    </row>
    <row r="3405" spans="23:27" x14ac:dyDescent="0.2">
      <c r="W3405" s="173" t="str">
        <f t="shared" si="63"/>
        <v>1w</v>
      </c>
      <c r="X3405" s="180">
        <f>_xll.qlCalendarAdvance(LiborCalendar,X3404,W3405,"f",FALSE)</f>
        <v>62842</v>
      </c>
      <c r="Y3405" s="174">
        <f>_xll.qlInterestRateIndexValueDate(IborIndex,X3405)</f>
        <v>62844</v>
      </c>
      <c r="Z3405" s="175" t="e">
        <v>#N/A</v>
      </c>
      <c r="AA3405" s="177" t="e">
        <v>#N/A</v>
      </c>
    </row>
    <row r="3406" spans="23:27" x14ac:dyDescent="0.2">
      <c r="W3406" s="173" t="str">
        <f t="shared" si="63"/>
        <v>1w</v>
      </c>
      <c r="X3406" s="180">
        <f>_xll.qlCalendarAdvance(LiborCalendar,X3405,W3406,"f",FALSE)</f>
        <v>62849</v>
      </c>
      <c r="Y3406" s="174">
        <f>_xll.qlInterestRateIndexValueDate(IborIndex,X3406)</f>
        <v>62851</v>
      </c>
      <c r="Z3406" s="175" t="e">
        <v>#N/A</v>
      </c>
      <c r="AA3406" s="177" t="e">
        <v>#N/A</v>
      </c>
    </row>
    <row r="3407" spans="23:27" x14ac:dyDescent="0.2">
      <c r="W3407" s="173" t="str">
        <f t="shared" si="63"/>
        <v>1w</v>
      </c>
      <c r="X3407" s="180">
        <f>_xll.qlCalendarAdvance(LiborCalendar,X3406,W3407,"f",FALSE)</f>
        <v>62856</v>
      </c>
      <c r="Y3407" s="174">
        <f>_xll.qlInterestRateIndexValueDate(IborIndex,X3407)</f>
        <v>62858</v>
      </c>
      <c r="Z3407" s="175" t="e">
        <v>#N/A</v>
      </c>
      <c r="AA3407" s="177" t="e">
        <v>#N/A</v>
      </c>
    </row>
    <row r="3408" spans="23:27" x14ac:dyDescent="0.2">
      <c r="W3408" s="173" t="str">
        <f t="shared" si="63"/>
        <v>1w</v>
      </c>
      <c r="X3408" s="180">
        <f>_xll.qlCalendarAdvance(LiborCalendar,X3407,W3408,"f",FALSE)</f>
        <v>62863</v>
      </c>
      <c r="Y3408" s="174">
        <f>_xll.qlInterestRateIndexValueDate(IborIndex,X3408)</f>
        <v>62866</v>
      </c>
      <c r="Z3408" s="175" t="e">
        <v>#N/A</v>
      </c>
      <c r="AA3408" s="177" t="e">
        <v>#N/A</v>
      </c>
    </row>
    <row r="3409" spans="23:27" x14ac:dyDescent="0.2">
      <c r="W3409" s="173" t="str">
        <f t="shared" si="63"/>
        <v>1w</v>
      </c>
      <c r="X3409" s="180">
        <f>_xll.qlCalendarAdvance(LiborCalendar,X3408,W3409,"f",FALSE)</f>
        <v>62870</v>
      </c>
      <c r="Y3409" s="174">
        <f>_xll.qlInterestRateIndexValueDate(IborIndex,X3409)</f>
        <v>62872</v>
      </c>
      <c r="Z3409" s="175" t="e">
        <v>#N/A</v>
      </c>
      <c r="AA3409" s="177" t="e">
        <v>#N/A</v>
      </c>
    </row>
    <row r="3410" spans="23:27" x14ac:dyDescent="0.2">
      <c r="W3410" s="173" t="str">
        <f t="shared" si="63"/>
        <v>1w</v>
      </c>
      <c r="X3410" s="180">
        <f>_xll.qlCalendarAdvance(LiborCalendar,X3409,W3410,"f",FALSE)</f>
        <v>62877</v>
      </c>
      <c r="Y3410" s="174">
        <f>_xll.qlInterestRateIndexValueDate(IborIndex,X3410)</f>
        <v>62879</v>
      </c>
      <c r="Z3410" s="175" t="e">
        <v>#N/A</v>
      </c>
      <c r="AA3410" s="177" t="e">
        <v>#N/A</v>
      </c>
    </row>
    <row r="3411" spans="23:27" x14ac:dyDescent="0.2">
      <c r="W3411" s="173" t="str">
        <f t="shared" si="63"/>
        <v>1w</v>
      </c>
      <c r="X3411" s="180">
        <f>_xll.qlCalendarAdvance(LiborCalendar,X3410,W3411,"f",FALSE)</f>
        <v>62884</v>
      </c>
      <c r="Y3411" s="174">
        <f>_xll.qlInterestRateIndexValueDate(IborIndex,X3411)</f>
        <v>62886</v>
      </c>
      <c r="Z3411" s="175" t="e">
        <v>#N/A</v>
      </c>
      <c r="AA3411" s="177" t="e">
        <v>#N/A</v>
      </c>
    </row>
    <row r="3412" spans="23:27" x14ac:dyDescent="0.2">
      <c r="W3412" s="173" t="str">
        <f t="shared" si="63"/>
        <v>1w</v>
      </c>
      <c r="X3412" s="180">
        <f>_xll.qlCalendarAdvance(LiborCalendar,X3411,W3412,"f",FALSE)</f>
        <v>62891</v>
      </c>
      <c r="Y3412" s="174">
        <f>_xll.qlInterestRateIndexValueDate(IborIndex,X3412)</f>
        <v>62893</v>
      </c>
      <c r="Z3412" s="175" t="e">
        <v>#N/A</v>
      </c>
      <c r="AA3412" s="177" t="e">
        <v>#N/A</v>
      </c>
    </row>
    <row r="3413" spans="23:27" x14ac:dyDescent="0.2">
      <c r="W3413" s="173" t="str">
        <f t="shared" ref="W3413:W3476" si="64">W3412</f>
        <v>1w</v>
      </c>
      <c r="X3413" s="180">
        <f>_xll.qlCalendarAdvance(LiborCalendar,X3412,W3413,"f",FALSE)</f>
        <v>62898</v>
      </c>
      <c r="Y3413" s="174">
        <f>_xll.qlInterestRateIndexValueDate(IborIndex,X3413)</f>
        <v>62900</v>
      </c>
      <c r="Z3413" s="175" t="e">
        <v>#N/A</v>
      </c>
      <c r="AA3413" s="177" t="e">
        <v>#N/A</v>
      </c>
    </row>
    <row r="3414" spans="23:27" x14ac:dyDescent="0.2">
      <c r="W3414" s="173" t="str">
        <f t="shared" si="64"/>
        <v>1w</v>
      </c>
      <c r="X3414" s="180">
        <f>_xll.qlCalendarAdvance(LiborCalendar,X3413,W3414,"f",FALSE)</f>
        <v>62905</v>
      </c>
      <c r="Y3414" s="174">
        <f>_xll.qlInterestRateIndexValueDate(IborIndex,X3414)</f>
        <v>62907</v>
      </c>
      <c r="Z3414" s="175" t="e">
        <v>#N/A</v>
      </c>
      <c r="AA3414" s="177" t="e">
        <v>#N/A</v>
      </c>
    </row>
    <row r="3415" spans="23:27" x14ac:dyDescent="0.2">
      <c r="W3415" s="173" t="str">
        <f t="shared" si="64"/>
        <v>1w</v>
      </c>
      <c r="X3415" s="180">
        <f>_xll.qlCalendarAdvance(LiborCalendar,X3414,W3415,"f",FALSE)</f>
        <v>62912</v>
      </c>
      <c r="Y3415" s="174">
        <f>_xll.qlInterestRateIndexValueDate(IborIndex,X3415)</f>
        <v>62914</v>
      </c>
      <c r="Z3415" s="175" t="e">
        <v>#N/A</v>
      </c>
      <c r="AA3415" s="177" t="e">
        <v>#N/A</v>
      </c>
    </row>
    <row r="3416" spans="23:27" x14ac:dyDescent="0.2">
      <c r="W3416" s="173" t="str">
        <f t="shared" si="64"/>
        <v>1w</v>
      </c>
      <c r="X3416" s="180">
        <f>_xll.qlCalendarAdvance(LiborCalendar,X3415,W3416,"f",FALSE)</f>
        <v>62919</v>
      </c>
      <c r="Y3416" s="174">
        <f>_xll.qlInterestRateIndexValueDate(IborIndex,X3416)</f>
        <v>62921</v>
      </c>
      <c r="Z3416" s="175" t="e">
        <v>#N/A</v>
      </c>
      <c r="AA3416" s="177" t="e">
        <v>#N/A</v>
      </c>
    </row>
    <row r="3417" spans="23:27" x14ac:dyDescent="0.2">
      <c r="W3417" s="173" t="str">
        <f t="shared" si="64"/>
        <v>1w</v>
      </c>
      <c r="X3417" s="180">
        <f>_xll.qlCalendarAdvance(LiborCalendar,X3416,W3417,"f",FALSE)</f>
        <v>62926</v>
      </c>
      <c r="Y3417" s="174">
        <f>_xll.qlInterestRateIndexValueDate(IborIndex,X3417)</f>
        <v>62928</v>
      </c>
      <c r="Z3417" s="175" t="e">
        <v>#N/A</v>
      </c>
      <c r="AA3417" s="177" t="e">
        <v>#N/A</v>
      </c>
    </row>
    <row r="3418" spans="23:27" x14ac:dyDescent="0.2">
      <c r="W3418" s="173" t="str">
        <f t="shared" si="64"/>
        <v>1w</v>
      </c>
      <c r="X3418" s="180">
        <f>_xll.qlCalendarAdvance(LiborCalendar,X3417,W3418,"f",FALSE)</f>
        <v>62933</v>
      </c>
      <c r="Y3418" s="174">
        <f>_xll.qlInterestRateIndexValueDate(IborIndex,X3418)</f>
        <v>62935</v>
      </c>
      <c r="Z3418" s="175" t="e">
        <v>#N/A</v>
      </c>
      <c r="AA3418" s="177" t="e">
        <v>#N/A</v>
      </c>
    </row>
    <row r="3419" spans="23:27" x14ac:dyDescent="0.2">
      <c r="W3419" s="173" t="str">
        <f t="shared" si="64"/>
        <v>1w</v>
      </c>
      <c r="X3419" s="180">
        <f>_xll.qlCalendarAdvance(LiborCalendar,X3418,W3419,"f",FALSE)</f>
        <v>62940</v>
      </c>
      <c r="Y3419" s="174">
        <f>_xll.qlInterestRateIndexValueDate(IborIndex,X3419)</f>
        <v>62942</v>
      </c>
      <c r="Z3419" s="175" t="e">
        <v>#N/A</v>
      </c>
      <c r="AA3419" s="177" t="e">
        <v>#N/A</v>
      </c>
    </row>
    <row r="3420" spans="23:27" x14ac:dyDescent="0.2">
      <c r="W3420" s="173" t="str">
        <f t="shared" si="64"/>
        <v>1w</v>
      </c>
      <c r="X3420" s="180">
        <f>_xll.qlCalendarAdvance(LiborCalendar,X3419,W3420,"f",FALSE)</f>
        <v>62947</v>
      </c>
      <c r="Y3420" s="174">
        <f>_xll.qlInterestRateIndexValueDate(IborIndex,X3420)</f>
        <v>62950</v>
      </c>
      <c r="Z3420" s="175" t="e">
        <v>#N/A</v>
      </c>
      <c r="AA3420" s="177" t="e">
        <v>#N/A</v>
      </c>
    </row>
    <row r="3421" spans="23:27" x14ac:dyDescent="0.2">
      <c r="W3421" s="173" t="str">
        <f t="shared" si="64"/>
        <v>1w</v>
      </c>
      <c r="X3421" s="180">
        <f>_xll.qlCalendarAdvance(LiborCalendar,X3420,W3421,"f",FALSE)</f>
        <v>62954</v>
      </c>
      <c r="Y3421" s="174">
        <f>_xll.qlInterestRateIndexValueDate(IborIndex,X3421)</f>
        <v>62956</v>
      </c>
      <c r="Z3421" s="175" t="e">
        <v>#N/A</v>
      </c>
      <c r="AA3421" s="177" t="e">
        <v>#N/A</v>
      </c>
    </row>
    <row r="3422" spans="23:27" x14ac:dyDescent="0.2">
      <c r="W3422" s="173" t="str">
        <f t="shared" si="64"/>
        <v>1w</v>
      </c>
      <c r="X3422" s="180">
        <f>_xll.qlCalendarAdvance(LiborCalendar,X3421,W3422,"f",FALSE)</f>
        <v>62961</v>
      </c>
      <c r="Y3422" s="174">
        <f>_xll.qlInterestRateIndexValueDate(IborIndex,X3422)</f>
        <v>62963</v>
      </c>
      <c r="Z3422" s="175" t="e">
        <v>#N/A</v>
      </c>
      <c r="AA3422" s="177" t="e">
        <v>#N/A</v>
      </c>
    </row>
    <row r="3423" spans="23:27" x14ac:dyDescent="0.2">
      <c r="W3423" s="173" t="str">
        <f t="shared" si="64"/>
        <v>1w</v>
      </c>
      <c r="X3423" s="180">
        <f>_xll.qlCalendarAdvance(LiborCalendar,X3422,W3423,"f",FALSE)</f>
        <v>62968</v>
      </c>
      <c r="Y3423" s="174">
        <f>_xll.qlInterestRateIndexValueDate(IborIndex,X3423)</f>
        <v>62970</v>
      </c>
      <c r="Z3423" s="175" t="e">
        <v>#N/A</v>
      </c>
      <c r="AA3423" s="177" t="e">
        <v>#N/A</v>
      </c>
    </row>
    <row r="3424" spans="23:27" x14ac:dyDescent="0.2">
      <c r="W3424" s="173" t="str">
        <f t="shared" si="64"/>
        <v>1w</v>
      </c>
      <c r="X3424" s="180">
        <f>_xll.qlCalendarAdvance(LiborCalendar,X3423,W3424,"f",FALSE)</f>
        <v>62975</v>
      </c>
      <c r="Y3424" s="174">
        <f>_xll.qlInterestRateIndexValueDate(IborIndex,X3424)</f>
        <v>62977</v>
      </c>
      <c r="Z3424" s="175" t="e">
        <v>#N/A</v>
      </c>
      <c r="AA3424" s="177" t="e">
        <v>#N/A</v>
      </c>
    </row>
    <row r="3425" spans="23:27" x14ac:dyDescent="0.2">
      <c r="W3425" s="173" t="str">
        <f t="shared" si="64"/>
        <v>1w</v>
      </c>
      <c r="X3425" s="180">
        <f>_xll.qlCalendarAdvance(LiborCalendar,X3424,W3425,"f",FALSE)</f>
        <v>62982</v>
      </c>
      <c r="Y3425" s="174">
        <f>_xll.qlInterestRateIndexValueDate(IborIndex,X3425)</f>
        <v>62984</v>
      </c>
      <c r="Z3425" s="175" t="e">
        <v>#N/A</v>
      </c>
      <c r="AA3425" s="177" t="e">
        <v>#N/A</v>
      </c>
    </row>
    <row r="3426" spans="23:27" x14ac:dyDescent="0.2">
      <c r="W3426" s="173" t="str">
        <f t="shared" si="64"/>
        <v>1w</v>
      </c>
      <c r="X3426" s="180">
        <f>_xll.qlCalendarAdvance(LiborCalendar,X3425,W3426,"f",FALSE)</f>
        <v>62989</v>
      </c>
      <c r="Y3426" s="174">
        <f>_xll.qlInterestRateIndexValueDate(IborIndex,X3426)</f>
        <v>62991</v>
      </c>
      <c r="Z3426" s="175" t="e">
        <v>#N/A</v>
      </c>
      <c r="AA3426" s="177" t="e">
        <v>#N/A</v>
      </c>
    </row>
    <row r="3427" spans="23:27" x14ac:dyDescent="0.2">
      <c r="W3427" s="173" t="str">
        <f t="shared" si="64"/>
        <v>1w</v>
      </c>
      <c r="X3427" s="180">
        <f>_xll.qlCalendarAdvance(LiborCalendar,X3426,W3427,"f",FALSE)</f>
        <v>62996</v>
      </c>
      <c r="Y3427" s="174">
        <f>_xll.qlInterestRateIndexValueDate(IborIndex,X3427)</f>
        <v>62998</v>
      </c>
      <c r="Z3427" s="175" t="e">
        <v>#N/A</v>
      </c>
      <c r="AA3427" s="177" t="e">
        <v>#N/A</v>
      </c>
    </row>
    <row r="3428" spans="23:27" x14ac:dyDescent="0.2">
      <c r="W3428" s="173" t="str">
        <f t="shared" si="64"/>
        <v>1w</v>
      </c>
      <c r="X3428" s="180">
        <f>_xll.qlCalendarAdvance(LiborCalendar,X3427,W3428,"f",FALSE)</f>
        <v>63003</v>
      </c>
      <c r="Y3428" s="174">
        <f>_xll.qlInterestRateIndexValueDate(IborIndex,X3428)</f>
        <v>63005</v>
      </c>
      <c r="Z3428" s="175" t="e">
        <v>#N/A</v>
      </c>
      <c r="AA3428" s="177" t="e">
        <v>#N/A</v>
      </c>
    </row>
    <row r="3429" spans="23:27" x14ac:dyDescent="0.2">
      <c r="W3429" s="173" t="str">
        <f t="shared" si="64"/>
        <v>1w</v>
      </c>
      <c r="X3429" s="180">
        <f>_xll.qlCalendarAdvance(LiborCalendar,X3428,W3429,"f",FALSE)</f>
        <v>63010</v>
      </c>
      <c r="Y3429" s="174">
        <f>_xll.qlInterestRateIndexValueDate(IborIndex,X3429)</f>
        <v>63012</v>
      </c>
      <c r="Z3429" s="175" t="e">
        <v>#N/A</v>
      </c>
      <c r="AA3429" s="177" t="e">
        <v>#N/A</v>
      </c>
    </row>
    <row r="3430" spans="23:27" x14ac:dyDescent="0.2">
      <c r="W3430" s="173" t="str">
        <f t="shared" si="64"/>
        <v>1w</v>
      </c>
      <c r="X3430" s="180">
        <f>_xll.qlCalendarAdvance(LiborCalendar,X3429,W3430,"f",FALSE)</f>
        <v>63017</v>
      </c>
      <c r="Y3430" s="174">
        <f>_xll.qlInterestRateIndexValueDate(IborIndex,X3430)</f>
        <v>63019</v>
      </c>
      <c r="Z3430" s="175" t="e">
        <v>#N/A</v>
      </c>
      <c r="AA3430" s="177" t="e">
        <v>#N/A</v>
      </c>
    </row>
    <row r="3431" spans="23:27" x14ac:dyDescent="0.2">
      <c r="W3431" s="173" t="str">
        <f t="shared" si="64"/>
        <v>1w</v>
      </c>
      <c r="X3431" s="180">
        <f>_xll.qlCalendarAdvance(LiborCalendar,X3430,W3431,"f",FALSE)</f>
        <v>63024</v>
      </c>
      <c r="Y3431" s="174">
        <f>_xll.qlInterestRateIndexValueDate(IborIndex,X3431)</f>
        <v>63026</v>
      </c>
      <c r="Z3431" s="175" t="e">
        <v>#N/A</v>
      </c>
      <c r="AA3431" s="177" t="e">
        <v>#N/A</v>
      </c>
    </row>
    <row r="3432" spans="23:27" x14ac:dyDescent="0.2">
      <c r="W3432" s="173" t="str">
        <f t="shared" si="64"/>
        <v>1w</v>
      </c>
      <c r="X3432" s="180">
        <f>_xll.qlCalendarAdvance(LiborCalendar,X3431,W3432,"f",FALSE)</f>
        <v>63031</v>
      </c>
      <c r="Y3432" s="174">
        <f>_xll.qlInterestRateIndexValueDate(IborIndex,X3432)</f>
        <v>63033</v>
      </c>
      <c r="Z3432" s="175" t="e">
        <v>#N/A</v>
      </c>
      <c r="AA3432" s="177" t="e">
        <v>#N/A</v>
      </c>
    </row>
    <row r="3433" spans="23:27" x14ac:dyDescent="0.2">
      <c r="W3433" s="173" t="str">
        <f t="shared" si="64"/>
        <v>1w</v>
      </c>
      <c r="X3433" s="180">
        <f>_xll.qlCalendarAdvance(LiborCalendar,X3432,W3433,"f",FALSE)</f>
        <v>63038</v>
      </c>
      <c r="Y3433" s="174">
        <f>_xll.qlInterestRateIndexValueDate(IborIndex,X3433)</f>
        <v>63040</v>
      </c>
      <c r="Z3433" s="175" t="e">
        <v>#N/A</v>
      </c>
      <c r="AA3433" s="177" t="e">
        <v>#N/A</v>
      </c>
    </row>
    <row r="3434" spans="23:27" x14ac:dyDescent="0.2">
      <c r="W3434" s="173" t="str">
        <f t="shared" si="64"/>
        <v>1w</v>
      </c>
      <c r="X3434" s="180">
        <f>_xll.qlCalendarAdvance(LiborCalendar,X3433,W3434,"f",FALSE)</f>
        <v>63045</v>
      </c>
      <c r="Y3434" s="174">
        <f>_xll.qlInterestRateIndexValueDate(IborIndex,X3434)</f>
        <v>63047</v>
      </c>
      <c r="Z3434" s="175" t="e">
        <v>#N/A</v>
      </c>
      <c r="AA3434" s="177" t="e">
        <v>#N/A</v>
      </c>
    </row>
    <row r="3435" spans="23:27" x14ac:dyDescent="0.2">
      <c r="W3435" s="173" t="str">
        <f t="shared" si="64"/>
        <v>1w</v>
      </c>
      <c r="X3435" s="180">
        <f>_xll.qlCalendarAdvance(LiborCalendar,X3434,W3435,"f",FALSE)</f>
        <v>63052</v>
      </c>
      <c r="Y3435" s="174">
        <f>_xll.qlInterestRateIndexValueDate(IborIndex,X3435)</f>
        <v>63054</v>
      </c>
      <c r="Z3435" s="175" t="e">
        <v>#N/A</v>
      </c>
      <c r="AA3435" s="177" t="e">
        <v>#N/A</v>
      </c>
    </row>
    <row r="3436" spans="23:27" x14ac:dyDescent="0.2">
      <c r="W3436" s="173" t="str">
        <f t="shared" si="64"/>
        <v>1w</v>
      </c>
      <c r="X3436" s="180">
        <f>_xll.qlCalendarAdvance(LiborCalendar,X3435,W3436,"f",FALSE)</f>
        <v>63059</v>
      </c>
      <c r="Y3436" s="174">
        <f>_xll.qlInterestRateIndexValueDate(IborIndex,X3436)</f>
        <v>63061</v>
      </c>
      <c r="Z3436" s="175" t="e">
        <v>#N/A</v>
      </c>
      <c r="AA3436" s="177" t="e">
        <v>#N/A</v>
      </c>
    </row>
    <row r="3437" spans="23:27" x14ac:dyDescent="0.2">
      <c r="W3437" s="173" t="str">
        <f t="shared" si="64"/>
        <v>1w</v>
      </c>
      <c r="X3437" s="180">
        <f>_xll.qlCalendarAdvance(LiborCalendar,X3436,W3437,"f",FALSE)</f>
        <v>63066</v>
      </c>
      <c r="Y3437" s="174">
        <f>_xll.qlInterestRateIndexValueDate(IborIndex,X3437)</f>
        <v>63068</v>
      </c>
      <c r="Z3437" s="175" t="e">
        <v>#N/A</v>
      </c>
      <c r="AA3437" s="177" t="e">
        <v>#N/A</v>
      </c>
    </row>
    <row r="3438" spans="23:27" x14ac:dyDescent="0.2">
      <c r="W3438" s="173" t="str">
        <f t="shared" si="64"/>
        <v>1w</v>
      </c>
      <c r="X3438" s="180">
        <f>_xll.qlCalendarAdvance(LiborCalendar,X3437,W3438,"f",FALSE)</f>
        <v>63073</v>
      </c>
      <c r="Y3438" s="174">
        <f>_xll.qlInterestRateIndexValueDate(IborIndex,X3438)</f>
        <v>63075</v>
      </c>
      <c r="Z3438" s="175" t="e">
        <v>#N/A</v>
      </c>
      <c r="AA3438" s="177" t="e">
        <v>#N/A</v>
      </c>
    </row>
    <row r="3439" spans="23:27" x14ac:dyDescent="0.2">
      <c r="W3439" s="173" t="str">
        <f t="shared" si="64"/>
        <v>1w</v>
      </c>
      <c r="X3439" s="180">
        <f>_xll.qlCalendarAdvance(LiborCalendar,X3438,W3439,"f",FALSE)</f>
        <v>63080</v>
      </c>
      <c r="Y3439" s="174">
        <f>_xll.qlInterestRateIndexValueDate(IborIndex,X3439)</f>
        <v>63082</v>
      </c>
      <c r="Z3439" s="175" t="e">
        <v>#N/A</v>
      </c>
      <c r="AA3439" s="177" t="e">
        <v>#N/A</v>
      </c>
    </row>
    <row r="3440" spans="23:27" x14ac:dyDescent="0.2">
      <c r="W3440" s="173" t="str">
        <f t="shared" si="64"/>
        <v>1w</v>
      </c>
      <c r="X3440" s="180">
        <f>_xll.qlCalendarAdvance(LiborCalendar,X3439,W3440,"f",FALSE)</f>
        <v>63087</v>
      </c>
      <c r="Y3440" s="174">
        <f>_xll.qlInterestRateIndexValueDate(IborIndex,X3440)</f>
        <v>63090</v>
      </c>
      <c r="Z3440" s="175" t="e">
        <v>#N/A</v>
      </c>
      <c r="AA3440" s="177" t="e">
        <v>#N/A</v>
      </c>
    </row>
    <row r="3441" spans="23:27" x14ac:dyDescent="0.2">
      <c r="W3441" s="173" t="str">
        <f t="shared" si="64"/>
        <v>1w</v>
      </c>
      <c r="X3441" s="180">
        <f>_xll.qlCalendarAdvance(LiborCalendar,X3440,W3441,"f",FALSE)</f>
        <v>63094</v>
      </c>
      <c r="Y3441" s="174">
        <f>_xll.qlInterestRateIndexValueDate(IborIndex,X3441)</f>
        <v>63096</v>
      </c>
      <c r="Z3441" s="175" t="e">
        <v>#N/A</v>
      </c>
      <c r="AA3441" s="177" t="e">
        <v>#N/A</v>
      </c>
    </row>
    <row r="3442" spans="23:27" x14ac:dyDescent="0.2">
      <c r="W3442" s="173" t="str">
        <f t="shared" si="64"/>
        <v>1w</v>
      </c>
      <c r="X3442" s="180">
        <f>_xll.qlCalendarAdvance(LiborCalendar,X3441,W3442,"f",FALSE)</f>
        <v>63101</v>
      </c>
      <c r="Y3442" s="174">
        <f>_xll.qlInterestRateIndexValueDate(IborIndex,X3442)</f>
        <v>63103</v>
      </c>
      <c r="Z3442" s="175" t="e">
        <v>#N/A</v>
      </c>
      <c r="AA3442" s="177" t="e">
        <v>#N/A</v>
      </c>
    </row>
    <row r="3443" spans="23:27" x14ac:dyDescent="0.2">
      <c r="W3443" s="173" t="str">
        <f t="shared" si="64"/>
        <v>1w</v>
      </c>
      <c r="X3443" s="180">
        <f>_xll.qlCalendarAdvance(LiborCalendar,X3442,W3443,"f",FALSE)</f>
        <v>63108</v>
      </c>
      <c r="Y3443" s="174">
        <f>_xll.qlInterestRateIndexValueDate(IborIndex,X3443)</f>
        <v>63110</v>
      </c>
      <c r="Z3443" s="175" t="e">
        <v>#N/A</v>
      </c>
      <c r="AA3443" s="177" t="e">
        <v>#N/A</v>
      </c>
    </row>
    <row r="3444" spans="23:27" x14ac:dyDescent="0.2">
      <c r="W3444" s="173" t="str">
        <f t="shared" si="64"/>
        <v>1w</v>
      </c>
      <c r="X3444" s="180">
        <f>_xll.qlCalendarAdvance(LiborCalendar,X3443,W3444,"f",FALSE)</f>
        <v>63115</v>
      </c>
      <c r="Y3444" s="174">
        <f>_xll.qlInterestRateIndexValueDate(IborIndex,X3444)</f>
        <v>63117</v>
      </c>
      <c r="Z3444" s="175" t="e">
        <v>#N/A</v>
      </c>
      <c r="AA3444" s="177" t="e">
        <v>#N/A</v>
      </c>
    </row>
    <row r="3445" spans="23:27" x14ac:dyDescent="0.2">
      <c r="W3445" s="173" t="str">
        <f t="shared" si="64"/>
        <v>1w</v>
      </c>
      <c r="X3445" s="180">
        <f>_xll.qlCalendarAdvance(LiborCalendar,X3444,W3445,"f",FALSE)</f>
        <v>63122</v>
      </c>
      <c r="Y3445" s="174">
        <f>_xll.qlInterestRateIndexValueDate(IborIndex,X3445)</f>
        <v>63124</v>
      </c>
      <c r="Z3445" s="175" t="e">
        <v>#N/A</v>
      </c>
      <c r="AA3445" s="177" t="e">
        <v>#N/A</v>
      </c>
    </row>
    <row r="3446" spans="23:27" x14ac:dyDescent="0.2">
      <c r="W3446" s="173" t="str">
        <f t="shared" si="64"/>
        <v>1w</v>
      </c>
      <c r="X3446" s="180">
        <f>_xll.qlCalendarAdvance(LiborCalendar,X3445,W3446,"f",FALSE)</f>
        <v>63129</v>
      </c>
      <c r="Y3446" s="174">
        <f>_xll.qlInterestRateIndexValueDate(IborIndex,X3446)</f>
        <v>63132</v>
      </c>
      <c r="Z3446" s="175" t="e">
        <v>#N/A</v>
      </c>
      <c r="AA3446" s="177" t="e">
        <v>#N/A</v>
      </c>
    </row>
    <row r="3447" spans="23:27" x14ac:dyDescent="0.2">
      <c r="W3447" s="173" t="str">
        <f t="shared" si="64"/>
        <v>1w</v>
      </c>
      <c r="X3447" s="180">
        <f>_xll.qlCalendarAdvance(LiborCalendar,X3446,W3447,"f",FALSE)</f>
        <v>63136</v>
      </c>
      <c r="Y3447" s="174">
        <f>_xll.qlInterestRateIndexValueDate(IborIndex,X3447)</f>
        <v>63138</v>
      </c>
      <c r="Z3447" s="175" t="e">
        <v>#N/A</v>
      </c>
      <c r="AA3447" s="177" t="e">
        <v>#N/A</v>
      </c>
    </row>
    <row r="3448" spans="23:27" x14ac:dyDescent="0.2">
      <c r="W3448" s="173" t="str">
        <f t="shared" si="64"/>
        <v>1w</v>
      </c>
      <c r="X3448" s="180">
        <f>_xll.qlCalendarAdvance(LiborCalendar,X3447,W3448,"f",FALSE)</f>
        <v>63143</v>
      </c>
      <c r="Y3448" s="174">
        <f>_xll.qlInterestRateIndexValueDate(IborIndex,X3448)</f>
        <v>63145</v>
      </c>
      <c r="Z3448" s="175" t="e">
        <v>#N/A</v>
      </c>
      <c r="AA3448" s="177" t="e">
        <v>#N/A</v>
      </c>
    </row>
    <row r="3449" spans="23:27" x14ac:dyDescent="0.2">
      <c r="W3449" s="173" t="str">
        <f t="shared" si="64"/>
        <v>1w</v>
      </c>
      <c r="X3449" s="180">
        <f>_xll.qlCalendarAdvance(LiborCalendar,X3448,W3449,"f",FALSE)</f>
        <v>63150</v>
      </c>
      <c r="Y3449" s="174">
        <f>_xll.qlInterestRateIndexValueDate(IborIndex,X3449)</f>
        <v>63152</v>
      </c>
      <c r="Z3449" s="175" t="e">
        <v>#N/A</v>
      </c>
      <c r="AA3449" s="177" t="e">
        <v>#N/A</v>
      </c>
    </row>
    <row r="3450" spans="23:27" x14ac:dyDescent="0.2">
      <c r="W3450" s="173" t="str">
        <f t="shared" si="64"/>
        <v>1w</v>
      </c>
      <c r="X3450" s="180">
        <f>_xll.qlCalendarAdvance(LiborCalendar,X3449,W3450,"f",FALSE)</f>
        <v>63157</v>
      </c>
      <c r="Y3450" s="174">
        <f>_xll.qlInterestRateIndexValueDate(IborIndex,X3450)</f>
        <v>63159</v>
      </c>
      <c r="Z3450" s="175" t="e">
        <v>#N/A</v>
      </c>
      <c r="AA3450" s="177" t="e">
        <v>#N/A</v>
      </c>
    </row>
    <row r="3451" spans="23:27" x14ac:dyDescent="0.2">
      <c r="W3451" s="173" t="str">
        <f t="shared" si="64"/>
        <v>1w</v>
      </c>
      <c r="X3451" s="180">
        <f>_xll.qlCalendarAdvance(LiborCalendar,X3450,W3451,"f",FALSE)</f>
        <v>63164</v>
      </c>
      <c r="Y3451" s="174">
        <f>_xll.qlInterestRateIndexValueDate(IborIndex,X3451)</f>
        <v>63166</v>
      </c>
      <c r="Z3451" s="175" t="e">
        <v>#N/A</v>
      </c>
      <c r="AA3451" s="177" t="e">
        <v>#N/A</v>
      </c>
    </row>
    <row r="3452" spans="23:27" x14ac:dyDescent="0.2">
      <c r="W3452" s="173" t="str">
        <f t="shared" si="64"/>
        <v>1w</v>
      </c>
      <c r="X3452" s="180">
        <f>_xll.qlCalendarAdvance(LiborCalendar,X3451,W3452,"f",FALSE)</f>
        <v>63171</v>
      </c>
      <c r="Y3452" s="174">
        <f>_xll.qlInterestRateIndexValueDate(IborIndex,X3452)</f>
        <v>63173</v>
      </c>
      <c r="Z3452" s="175" t="e">
        <v>#N/A</v>
      </c>
      <c r="AA3452" s="177" t="e">
        <v>#N/A</v>
      </c>
    </row>
    <row r="3453" spans="23:27" x14ac:dyDescent="0.2">
      <c r="W3453" s="173" t="str">
        <f t="shared" si="64"/>
        <v>1w</v>
      </c>
      <c r="X3453" s="180">
        <f>_xll.qlCalendarAdvance(LiborCalendar,X3452,W3453,"f",FALSE)</f>
        <v>63178</v>
      </c>
      <c r="Y3453" s="174">
        <f>_xll.qlInterestRateIndexValueDate(IborIndex,X3453)</f>
        <v>63180</v>
      </c>
      <c r="Z3453" s="175" t="e">
        <v>#N/A</v>
      </c>
      <c r="AA3453" s="177" t="e">
        <v>#N/A</v>
      </c>
    </row>
    <row r="3454" spans="23:27" x14ac:dyDescent="0.2">
      <c r="W3454" s="173" t="str">
        <f t="shared" si="64"/>
        <v>1w</v>
      </c>
      <c r="X3454" s="180">
        <f>_xll.qlCalendarAdvance(LiborCalendar,X3453,W3454,"f",FALSE)</f>
        <v>63186</v>
      </c>
      <c r="Y3454" s="174">
        <f>_xll.qlInterestRateIndexValueDate(IborIndex,X3454)</f>
        <v>63188</v>
      </c>
      <c r="Z3454" s="175" t="e">
        <v>#N/A</v>
      </c>
      <c r="AA3454" s="177" t="e">
        <v>#N/A</v>
      </c>
    </row>
    <row r="3455" spans="23:27" x14ac:dyDescent="0.2">
      <c r="W3455" s="173" t="str">
        <f t="shared" si="64"/>
        <v>1w</v>
      </c>
      <c r="X3455" s="180">
        <f>_xll.qlCalendarAdvance(LiborCalendar,X3454,W3455,"f",FALSE)</f>
        <v>63193</v>
      </c>
      <c r="Y3455" s="174">
        <f>_xll.qlInterestRateIndexValueDate(IborIndex,X3455)</f>
        <v>63195</v>
      </c>
      <c r="Z3455" s="175" t="e">
        <v>#N/A</v>
      </c>
      <c r="AA3455" s="177" t="e">
        <v>#N/A</v>
      </c>
    </row>
    <row r="3456" spans="23:27" x14ac:dyDescent="0.2">
      <c r="W3456" s="173" t="str">
        <f t="shared" si="64"/>
        <v>1w</v>
      </c>
      <c r="X3456" s="180">
        <f>_xll.qlCalendarAdvance(LiborCalendar,X3455,W3456,"f",FALSE)</f>
        <v>63200</v>
      </c>
      <c r="Y3456" s="174">
        <f>_xll.qlInterestRateIndexValueDate(IborIndex,X3456)</f>
        <v>63202</v>
      </c>
      <c r="Z3456" s="175" t="e">
        <v>#N/A</v>
      </c>
      <c r="AA3456" s="177" t="e">
        <v>#N/A</v>
      </c>
    </row>
    <row r="3457" spans="23:27" x14ac:dyDescent="0.2">
      <c r="W3457" s="173" t="str">
        <f t="shared" si="64"/>
        <v>1w</v>
      </c>
      <c r="X3457" s="180">
        <f>_xll.qlCalendarAdvance(LiborCalendar,X3456,W3457,"f",FALSE)</f>
        <v>63207</v>
      </c>
      <c r="Y3457" s="174">
        <f>_xll.qlInterestRateIndexValueDate(IborIndex,X3457)</f>
        <v>63209</v>
      </c>
      <c r="Z3457" s="175" t="e">
        <v>#N/A</v>
      </c>
      <c r="AA3457" s="177" t="e">
        <v>#N/A</v>
      </c>
    </row>
    <row r="3458" spans="23:27" x14ac:dyDescent="0.2">
      <c r="W3458" s="173" t="str">
        <f t="shared" si="64"/>
        <v>1w</v>
      </c>
      <c r="X3458" s="180">
        <f>_xll.qlCalendarAdvance(LiborCalendar,X3457,W3458,"f",FALSE)</f>
        <v>63214</v>
      </c>
      <c r="Y3458" s="174">
        <f>_xll.qlInterestRateIndexValueDate(IborIndex,X3458)</f>
        <v>63216</v>
      </c>
      <c r="Z3458" s="175" t="e">
        <v>#N/A</v>
      </c>
      <c r="AA3458" s="177" t="e">
        <v>#N/A</v>
      </c>
    </row>
    <row r="3459" spans="23:27" x14ac:dyDescent="0.2">
      <c r="W3459" s="173" t="str">
        <f t="shared" si="64"/>
        <v>1w</v>
      </c>
      <c r="X3459" s="180">
        <f>_xll.qlCalendarAdvance(LiborCalendar,X3458,W3459,"f",FALSE)</f>
        <v>63221</v>
      </c>
      <c r="Y3459" s="174">
        <f>_xll.qlInterestRateIndexValueDate(IborIndex,X3459)</f>
        <v>63223</v>
      </c>
      <c r="Z3459" s="175" t="e">
        <v>#N/A</v>
      </c>
      <c r="AA3459" s="177" t="e">
        <v>#N/A</v>
      </c>
    </row>
    <row r="3460" spans="23:27" x14ac:dyDescent="0.2">
      <c r="W3460" s="173" t="str">
        <f t="shared" si="64"/>
        <v>1w</v>
      </c>
      <c r="X3460" s="180">
        <f>_xll.qlCalendarAdvance(LiborCalendar,X3459,W3460,"f",FALSE)</f>
        <v>63228</v>
      </c>
      <c r="Y3460" s="174">
        <f>_xll.qlInterestRateIndexValueDate(IborIndex,X3460)</f>
        <v>63230</v>
      </c>
      <c r="Z3460" s="175" t="e">
        <v>#N/A</v>
      </c>
      <c r="AA3460" s="177" t="e">
        <v>#N/A</v>
      </c>
    </row>
    <row r="3461" spans="23:27" x14ac:dyDescent="0.2">
      <c r="W3461" s="173" t="str">
        <f t="shared" si="64"/>
        <v>1w</v>
      </c>
      <c r="X3461" s="180">
        <f>_xll.qlCalendarAdvance(LiborCalendar,X3460,W3461,"f",FALSE)</f>
        <v>63235</v>
      </c>
      <c r="Y3461" s="174">
        <f>_xll.qlInterestRateIndexValueDate(IborIndex,X3461)</f>
        <v>63237</v>
      </c>
      <c r="Z3461" s="175" t="e">
        <v>#N/A</v>
      </c>
      <c r="AA3461" s="177" t="e">
        <v>#N/A</v>
      </c>
    </row>
    <row r="3462" spans="23:27" x14ac:dyDescent="0.2">
      <c r="W3462" s="173" t="str">
        <f t="shared" si="64"/>
        <v>1w</v>
      </c>
      <c r="X3462" s="180">
        <f>_xll.qlCalendarAdvance(LiborCalendar,X3461,W3462,"f",FALSE)</f>
        <v>63242</v>
      </c>
      <c r="Y3462" s="174">
        <f>_xll.qlInterestRateIndexValueDate(IborIndex,X3462)</f>
        <v>63244</v>
      </c>
      <c r="Z3462" s="175" t="e">
        <v>#N/A</v>
      </c>
      <c r="AA3462" s="177" t="e">
        <v>#N/A</v>
      </c>
    </row>
    <row r="3463" spans="23:27" x14ac:dyDescent="0.2">
      <c r="W3463" s="173" t="str">
        <f t="shared" si="64"/>
        <v>1w</v>
      </c>
      <c r="X3463" s="180">
        <f>_xll.qlCalendarAdvance(LiborCalendar,X3462,W3463,"f",FALSE)</f>
        <v>63249</v>
      </c>
      <c r="Y3463" s="174">
        <f>_xll.qlInterestRateIndexValueDate(IborIndex,X3463)</f>
        <v>63251</v>
      </c>
      <c r="Z3463" s="175" t="e">
        <v>#N/A</v>
      </c>
      <c r="AA3463" s="177" t="e">
        <v>#N/A</v>
      </c>
    </row>
    <row r="3464" spans="23:27" x14ac:dyDescent="0.2">
      <c r="W3464" s="173" t="str">
        <f t="shared" si="64"/>
        <v>1w</v>
      </c>
      <c r="X3464" s="180">
        <f>_xll.qlCalendarAdvance(LiborCalendar,X3463,W3464,"f",FALSE)</f>
        <v>63256</v>
      </c>
      <c r="Y3464" s="174">
        <f>_xll.qlInterestRateIndexValueDate(IborIndex,X3464)</f>
        <v>63258</v>
      </c>
      <c r="Z3464" s="175" t="e">
        <v>#N/A</v>
      </c>
      <c r="AA3464" s="177" t="e">
        <v>#N/A</v>
      </c>
    </row>
    <row r="3465" spans="23:27" x14ac:dyDescent="0.2">
      <c r="W3465" s="173" t="str">
        <f t="shared" si="64"/>
        <v>1w</v>
      </c>
      <c r="X3465" s="180">
        <f>_xll.qlCalendarAdvance(LiborCalendar,X3464,W3465,"f",FALSE)</f>
        <v>63263</v>
      </c>
      <c r="Y3465" s="174">
        <f>_xll.qlInterestRateIndexValueDate(IborIndex,X3465)</f>
        <v>63265</v>
      </c>
      <c r="Z3465" s="175" t="e">
        <v>#N/A</v>
      </c>
      <c r="AA3465" s="177" t="e">
        <v>#N/A</v>
      </c>
    </row>
    <row r="3466" spans="23:27" x14ac:dyDescent="0.2">
      <c r="W3466" s="173" t="str">
        <f t="shared" si="64"/>
        <v>1w</v>
      </c>
      <c r="X3466" s="180">
        <f>_xll.qlCalendarAdvance(LiborCalendar,X3465,W3466,"f",FALSE)</f>
        <v>63270</v>
      </c>
      <c r="Y3466" s="174">
        <f>_xll.qlInterestRateIndexValueDate(IborIndex,X3466)</f>
        <v>63276</v>
      </c>
      <c r="Z3466" s="175" t="e">
        <v>#N/A</v>
      </c>
      <c r="AA3466" s="177" t="e">
        <v>#N/A</v>
      </c>
    </row>
    <row r="3467" spans="23:27" x14ac:dyDescent="0.2">
      <c r="W3467" s="173" t="str">
        <f t="shared" si="64"/>
        <v>1w</v>
      </c>
      <c r="X3467" s="180">
        <f>_xll.qlCalendarAdvance(LiborCalendar,X3466,W3467,"f",FALSE)</f>
        <v>63277</v>
      </c>
      <c r="Y3467" s="174">
        <f>_xll.qlInterestRateIndexValueDate(IborIndex,X3467)</f>
        <v>63279</v>
      </c>
      <c r="Z3467" s="175" t="e">
        <v>#N/A</v>
      </c>
      <c r="AA3467" s="177" t="e">
        <v>#N/A</v>
      </c>
    </row>
    <row r="3468" spans="23:27" x14ac:dyDescent="0.2">
      <c r="W3468" s="173" t="str">
        <f t="shared" si="64"/>
        <v>1w</v>
      </c>
      <c r="X3468" s="180">
        <f>_xll.qlCalendarAdvance(LiborCalendar,X3467,W3468,"f",FALSE)</f>
        <v>63284</v>
      </c>
      <c r="Y3468" s="174">
        <f>_xll.qlInterestRateIndexValueDate(IborIndex,X3468)</f>
        <v>63286</v>
      </c>
      <c r="Z3468" s="175" t="e">
        <v>#N/A</v>
      </c>
      <c r="AA3468" s="177" t="e">
        <v>#N/A</v>
      </c>
    </row>
    <row r="3469" spans="23:27" x14ac:dyDescent="0.2">
      <c r="W3469" s="173" t="str">
        <f t="shared" si="64"/>
        <v>1w</v>
      </c>
      <c r="X3469" s="180">
        <f>_xll.qlCalendarAdvance(LiborCalendar,X3468,W3469,"f",FALSE)</f>
        <v>63291</v>
      </c>
      <c r="Y3469" s="174">
        <f>_xll.qlInterestRateIndexValueDate(IborIndex,X3469)</f>
        <v>63293</v>
      </c>
      <c r="Z3469" s="175" t="e">
        <v>#N/A</v>
      </c>
      <c r="AA3469" s="177" t="e">
        <v>#N/A</v>
      </c>
    </row>
    <row r="3470" spans="23:27" x14ac:dyDescent="0.2">
      <c r="W3470" s="173" t="str">
        <f t="shared" si="64"/>
        <v>1w</v>
      </c>
      <c r="X3470" s="180">
        <f>_xll.qlCalendarAdvance(LiborCalendar,X3469,W3470,"f",FALSE)</f>
        <v>63298</v>
      </c>
      <c r="Y3470" s="174">
        <f>_xll.qlInterestRateIndexValueDate(IborIndex,X3470)</f>
        <v>63300</v>
      </c>
      <c r="Z3470" s="175" t="e">
        <v>#N/A</v>
      </c>
      <c r="AA3470" s="177" t="e">
        <v>#N/A</v>
      </c>
    </row>
    <row r="3471" spans="23:27" x14ac:dyDescent="0.2">
      <c r="W3471" s="173" t="str">
        <f t="shared" si="64"/>
        <v>1w</v>
      </c>
      <c r="X3471" s="180">
        <f>_xll.qlCalendarAdvance(LiborCalendar,X3470,W3471,"f",FALSE)</f>
        <v>63305</v>
      </c>
      <c r="Y3471" s="174">
        <f>_xll.qlInterestRateIndexValueDate(IborIndex,X3471)</f>
        <v>63307</v>
      </c>
      <c r="Z3471" s="175" t="e">
        <v>#N/A</v>
      </c>
      <c r="AA3471" s="177" t="e">
        <v>#N/A</v>
      </c>
    </row>
    <row r="3472" spans="23:27" x14ac:dyDescent="0.2">
      <c r="W3472" s="173" t="str">
        <f t="shared" si="64"/>
        <v>1w</v>
      </c>
      <c r="X3472" s="180">
        <f>_xll.qlCalendarAdvance(LiborCalendar,X3471,W3472,"f",FALSE)</f>
        <v>63312</v>
      </c>
      <c r="Y3472" s="174">
        <f>_xll.qlInterestRateIndexValueDate(IborIndex,X3472)</f>
        <v>63317</v>
      </c>
      <c r="Z3472" s="175" t="e">
        <v>#N/A</v>
      </c>
      <c r="AA3472" s="177" t="e">
        <v>#N/A</v>
      </c>
    </row>
    <row r="3473" spans="23:27" x14ac:dyDescent="0.2">
      <c r="W3473" s="173" t="str">
        <f t="shared" si="64"/>
        <v>1w</v>
      </c>
      <c r="X3473" s="180">
        <f>_xll.qlCalendarAdvance(LiborCalendar,X3472,W3473,"f",FALSE)</f>
        <v>63319</v>
      </c>
      <c r="Y3473" s="174">
        <f>_xll.qlInterestRateIndexValueDate(IborIndex,X3473)</f>
        <v>63321</v>
      </c>
      <c r="Z3473" s="175" t="e">
        <v>#N/A</v>
      </c>
      <c r="AA3473" s="177" t="e">
        <v>#N/A</v>
      </c>
    </row>
    <row r="3474" spans="23:27" x14ac:dyDescent="0.2">
      <c r="W3474" s="173" t="str">
        <f t="shared" si="64"/>
        <v>1w</v>
      </c>
      <c r="X3474" s="180">
        <f>_xll.qlCalendarAdvance(LiborCalendar,X3473,W3474,"f",FALSE)</f>
        <v>63326</v>
      </c>
      <c r="Y3474" s="174">
        <f>_xll.qlInterestRateIndexValueDate(IborIndex,X3474)</f>
        <v>63328</v>
      </c>
      <c r="Z3474" s="175" t="e">
        <v>#N/A</v>
      </c>
      <c r="AA3474" s="177" t="e">
        <v>#N/A</v>
      </c>
    </row>
    <row r="3475" spans="23:27" x14ac:dyDescent="0.2">
      <c r="W3475" s="173" t="str">
        <f t="shared" si="64"/>
        <v>1w</v>
      </c>
      <c r="X3475" s="180">
        <f>_xll.qlCalendarAdvance(LiborCalendar,X3474,W3475,"f",FALSE)</f>
        <v>63333</v>
      </c>
      <c r="Y3475" s="174">
        <f>_xll.qlInterestRateIndexValueDate(IborIndex,X3475)</f>
        <v>63335</v>
      </c>
      <c r="Z3475" s="175" t="e">
        <v>#N/A</v>
      </c>
      <c r="AA3475" s="177" t="e">
        <v>#N/A</v>
      </c>
    </row>
    <row r="3476" spans="23:27" x14ac:dyDescent="0.2">
      <c r="W3476" s="173" t="str">
        <f t="shared" si="64"/>
        <v>1w</v>
      </c>
      <c r="X3476" s="180">
        <f>_xll.qlCalendarAdvance(LiborCalendar,X3475,W3476,"f",FALSE)</f>
        <v>63340</v>
      </c>
      <c r="Y3476" s="174">
        <f>_xll.qlInterestRateIndexValueDate(IborIndex,X3476)</f>
        <v>63342</v>
      </c>
      <c r="Z3476" s="175" t="e">
        <v>#N/A</v>
      </c>
      <c r="AA3476" s="177" t="e">
        <v>#N/A</v>
      </c>
    </row>
    <row r="3477" spans="23:27" x14ac:dyDescent="0.2">
      <c r="W3477" s="173" t="str">
        <f t="shared" ref="W3477:W3540" si="65">W3476</f>
        <v>1w</v>
      </c>
      <c r="X3477" s="180">
        <f>_xll.qlCalendarAdvance(LiborCalendar,X3476,W3477,"f",FALSE)</f>
        <v>63347</v>
      </c>
      <c r="Y3477" s="174">
        <f>_xll.qlInterestRateIndexValueDate(IborIndex,X3477)</f>
        <v>63349</v>
      </c>
      <c r="Z3477" s="175" t="e">
        <v>#N/A</v>
      </c>
      <c r="AA3477" s="177" t="e">
        <v>#N/A</v>
      </c>
    </row>
    <row r="3478" spans="23:27" x14ac:dyDescent="0.2">
      <c r="W3478" s="173" t="str">
        <f t="shared" si="65"/>
        <v>1w</v>
      </c>
      <c r="X3478" s="180">
        <f>_xll.qlCalendarAdvance(LiborCalendar,X3477,W3478,"f",FALSE)</f>
        <v>63354</v>
      </c>
      <c r="Y3478" s="174">
        <f>_xll.qlInterestRateIndexValueDate(IborIndex,X3478)</f>
        <v>63356</v>
      </c>
      <c r="Z3478" s="175" t="e">
        <v>#N/A</v>
      </c>
      <c r="AA3478" s="177" t="e">
        <v>#N/A</v>
      </c>
    </row>
    <row r="3479" spans="23:27" x14ac:dyDescent="0.2">
      <c r="W3479" s="173" t="str">
        <f t="shared" si="65"/>
        <v>1w</v>
      </c>
      <c r="X3479" s="180">
        <f>_xll.qlCalendarAdvance(LiborCalendar,X3478,W3479,"f",FALSE)</f>
        <v>63361</v>
      </c>
      <c r="Y3479" s="174">
        <f>_xll.qlInterestRateIndexValueDate(IborIndex,X3479)</f>
        <v>63363</v>
      </c>
      <c r="Z3479" s="175" t="e">
        <v>#N/A</v>
      </c>
      <c r="AA3479" s="177" t="e">
        <v>#N/A</v>
      </c>
    </row>
    <row r="3480" spans="23:27" x14ac:dyDescent="0.2">
      <c r="W3480" s="173" t="str">
        <f t="shared" si="65"/>
        <v>1w</v>
      </c>
      <c r="X3480" s="180">
        <f>_xll.qlCalendarAdvance(LiborCalendar,X3479,W3480,"f",FALSE)</f>
        <v>63368</v>
      </c>
      <c r="Y3480" s="174">
        <f>_xll.qlInterestRateIndexValueDate(IborIndex,X3480)</f>
        <v>63370</v>
      </c>
      <c r="Z3480" s="175" t="e">
        <v>#N/A</v>
      </c>
      <c r="AA3480" s="177" t="e">
        <v>#N/A</v>
      </c>
    </row>
    <row r="3481" spans="23:27" x14ac:dyDescent="0.2">
      <c r="W3481" s="173" t="str">
        <f t="shared" si="65"/>
        <v>1w</v>
      </c>
      <c r="X3481" s="180">
        <f>_xll.qlCalendarAdvance(LiborCalendar,X3480,W3481,"f",FALSE)</f>
        <v>63375</v>
      </c>
      <c r="Y3481" s="174">
        <f>_xll.qlInterestRateIndexValueDate(IborIndex,X3481)</f>
        <v>63377</v>
      </c>
      <c r="Z3481" s="175" t="e">
        <v>#N/A</v>
      </c>
      <c r="AA3481" s="177" t="e">
        <v>#N/A</v>
      </c>
    </row>
    <row r="3482" spans="23:27" x14ac:dyDescent="0.2">
      <c r="W3482" s="173" t="str">
        <f t="shared" si="65"/>
        <v>1w</v>
      </c>
      <c r="X3482" s="180">
        <f>_xll.qlCalendarAdvance(LiborCalendar,X3481,W3482,"f",FALSE)</f>
        <v>63382</v>
      </c>
      <c r="Y3482" s="174">
        <f>_xll.qlInterestRateIndexValueDate(IborIndex,X3482)</f>
        <v>63384</v>
      </c>
      <c r="Z3482" s="175" t="e">
        <v>#N/A</v>
      </c>
      <c r="AA3482" s="177" t="e">
        <v>#N/A</v>
      </c>
    </row>
    <row r="3483" spans="23:27" x14ac:dyDescent="0.2">
      <c r="W3483" s="173" t="str">
        <f t="shared" si="65"/>
        <v>1w</v>
      </c>
      <c r="X3483" s="180">
        <f>_xll.qlCalendarAdvance(LiborCalendar,X3482,W3483,"f",FALSE)</f>
        <v>63389</v>
      </c>
      <c r="Y3483" s="174">
        <f>_xll.qlInterestRateIndexValueDate(IborIndex,X3483)</f>
        <v>63391</v>
      </c>
      <c r="Z3483" s="175" t="e">
        <v>#N/A</v>
      </c>
      <c r="AA3483" s="177" t="e">
        <v>#N/A</v>
      </c>
    </row>
    <row r="3484" spans="23:27" x14ac:dyDescent="0.2">
      <c r="W3484" s="173" t="str">
        <f t="shared" si="65"/>
        <v>1w</v>
      </c>
      <c r="X3484" s="180">
        <f>_xll.qlCalendarAdvance(LiborCalendar,X3483,W3484,"f",FALSE)</f>
        <v>63396</v>
      </c>
      <c r="Y3484" s="174">
        <f>_xll.qlInterestRateIndexValueDate(IborIndex,X3484)</f>
        <v>63398</v>
      </c>
      <c r="Z3484" s="175" t="e">
        <v>#N/A</v>
      </c>
      <c r="AA3484" s="177" t="e">
        <v>#N/A</v>
      </c>
    </row>
    <row r="3485" spans="23:27" x14ac:dyDescent="0.2">
      <c r="W3485" s="173" t="str">
        <f t="shared" si="65"/>
        <v>1w</v>
      </c>
      <c r="X3485" s="180">
        <f>_xll.qlCalendarAdvance(LiborCalendar,X3484,W3485,"f",FALSE)</f>
        <v>63403</v>
      </c>
      <c r="Y3485" s="174">
        <f>_xll.qlInterestRateIndexValueDate(IborIndex,X3485)</f>
        <v>63405</v>
      </c>
      <c r="Z3485" s="175" t="e">
        <v>#N/A</v>
      </c>
      <c r="AA3485" s="177" t="e">
        <v>#N/A</v>
      </c>
    </row>
    <row r="3486" spans="23:27" x14ac:dyDescent="0.2">
      <c r="W3486" s="173" t="str">
        <f t="shared" si="65"/>
        <v>1w</v>
      </c>
      <c r="X3486" s="180">
        <f>_xll.qlCalendarAdvance(LiborCalendar,X3485,W3486,"f",FALSE)</f>
        <v>63410</v>
      </c>
      <c r="Y3486" s="174">
        <f>_xll.qlInterestRateIndexValueDate(IborIndex,X3486)</f>
        <v>63412</v>
      </c>
      <c r="Z3486" s="175" t="e">
        <v>#N/A</v>
      </c>
      <c r="AA3486" s="177" t="e">
        <v>#N/A</v>
      </c>
    </row>
    <row r="3487" spans="23:27" x14ac:dyDescent="0.2">
      <c r="W3487" s="173" t="str">
        <f t="shared" si="65"/>
        <v>1w</v>
      </c>
      <c r="X3487" s="180">
        <f>_xll.qlCalendarAdvance(LiborCalendar,X3486,W3487,"f",FALSE)</f>
        <v>63417</v>
      </c>
      <c r="Y3487" s="174">
        <f>_xll.qlInterestRateIndexValueDate(IborIndex,X3487)</f>
        <v>63419</v>
      </c>
      <c r="Z3487" s="175" t="e">
        <v>#N/A</v>
      </c>
      <c r="AA3487" s="177" t="e">
        <v>#N/A</v>
      </c>
    </row>
    <row r="3488" spans="23:27" x14ac:dyDescent="0.2">
      <c r="W3488" s="173" t="str">
        <f t="shared" si="65"/>
        <v>1w</v>
      </c>
      <c r="X3488" s="180">
        <f>_xll.qlCalendarAdvance(LiborCalendar,X3487,W3488,"f",FALSE)</f>
        <v>63424</v>
      </c>
      <c r="Y3488" s="174">
        <f>_xll.qlInterestRateIndexValueDate(IborIndex,X3488)</f>
        <v>63426</v>
      </c>
      <c r="Z3488" s="175" t="e">
        <v>#N/A</v>
      </c>
      <c r="AA3488" s="177" t="e">
        <v>#N/A</v>
      </c>
    </row>
    <row r="3489" spans="23:27" x14ac:dyDescent="0.2">
      <c r="W3489" s="173" t="str">
        <f t="shared" si="65"/>
        <v>1w</v>
      </c>
      <c r="X3489" s="180">
        <f>_xll.qlCalendarAdvance(LiborCalendar,X3488,W3489,"f",FALSE)</f>
        <v>63431</v>
      </c>
      <c r="Y3489" s="174">
        <f>_xll.qlInterestRateIndexValueDate(IborIndex,X3489)</f>
        <v>63433</v>
      </c>
      <c r="Z3489" s="175" t="e">
        <v>#N/A</v>
      </c>
      <c r="AA3489" s="177" t="e">
        <v>#N/A</v>
      </c>
    </row>
    <row r="3490" spans="23:27" x14ac:dyDescent="0.2">
      <c r="W3490" s="173" t="str">
        <f t="shared" si="65"/>
        <v>1w</v>
      </c>
      <c r="X3490" s="180">
        <f>_xll.qlCalendarAdvance(LiborCalendar,X3489,W3490,"f",FALSE)</f>
        <v>63438</v>
      </c>
      <c r="Y3490" s="174">
        <f>_xll.qlInterestRateIndexValueDate(IborIndex,X3490)</f>
        <v>63440</v>
      </c>
      <c r="Z3490" s="175" t="e">
        <v>#N/A</v>
      </c>
      <c r="AA3490" s="177" t="e">
        <v>#N/A</v>
      </c>
    </row>
    <row r="3491" spans="23:27" x14ac:dyDescent="0.2">
      <c r="W3491" s="173" t="str">
        <f t="shared" si="65"/>
        <v>1w</v>
      </c>
      <c r="X3491" s="180">
        <f>_xll.qlCalendarAdvance(LiborCalendar,X3490,W3491,"f",FALSE)</f>
        <v>63445</v>
      </c>
      <c r="Y3491" s="174">
        <f>_xll.qlInterestRateIndexValueDate(IborIndex,X3491)</f>
        <v>63447</v>
      </c>
      <c r="Z3491" s="175" t="e">
        <v>#N/A</v>
      </c>
      <c r="AA3491" s="177" t="e">
        <v>#N/A</v>
      </c>
    </row>
    <row r="3492" spans="23:27" x14ac:dyDescent="0.2">
      <c r="W3492" s="173" t="str">
        <f t="shared" si="65"/>
        <v>1w</v>
      </c>
      <c r="X3492" s="180">
        <f>_xll.qlCalendarAdvance(LiborCalendar,X3491,W3492,"f",FALSE)</f>
        <v>63452</v>
      </c>
      <c r="Y3492" s="174">
        <f>_xll.qlInterestRateIndexValueDate(IborIndex,X3492)</f>
        <v>63457</v>
      </c>
      <c r="Z3492" s="175" t="e">
        <v>#N/A</v>
      </c>
      <c r="AA3492" s="177" t="e">
        <v>#N/A</v>
      </c>
    </row>
    <row r="3493" spans="23:27" x14ac:dyDescent="0.2">
      <c r="W3493" s="173" t="str">
        <f t="shared" si="65"/>
        <v>1w</v>
      </c>
      <c r="X3493" s="180">
        <f>_xll.qlCalendarAdvance(LiborCalendar,X3492,W3493,"f",FALSE)</f>
        <v>63459</v>
      </c>
      <c r="Y3493" s="174">
        <f>_xll.qlInterestRateIndexValueDate(IborIndex,X3493)</f>
        <v>63461</v>
      </c>
      <c r="Z3493" s="175" t="e">
        <v>#N/A</v>
      </c>
      <c r="AA3493" s="177" t="e">
        <v>#N/A</v>
      </c>
    </row>
    <row r="3494" spans="23:27" x14ac:dyDescent="0.2">
      <c r="W3494" s="173" t="str">
        <f t="shared" si="65"/>
        <v>1w</v>
      </c>
      <c r="X3494" s="180">
        <f>_xll.qlCalendarAdvance(LiborCalendar,X3493,W3494,"f",FALSE)</f>
        <v>63466</v>
      </c>
      <c r="Y3494" s="174">
        <f>_xll.qlInterestRateIndexValueDate(IborIndex,X3494)</f>
        <v>63468</v>
      </c>
      <c r="Z3494" s="175" t="e">
        <v>#N/A</v>
      </c>
      <c r="AA3494" s="177" t="e">
        <v>#N/A</v>
      </c>
    </row>
    <row r="3495" spans="23:27" x14ac:dyDescent="0.2">
      <c r="W3495" s="173" t="str">
        <f t="shared" si="65"/>
        <v>1w</v>
      </c>
      <c r="X3495" s="180">
        <f>_xll.qlCalendarAdvance(LiborCalendar,X3494,W3495,"f",FALSE)</f>
        <v>63473</v>
      </c>
      <c r="Y3495" s="174">
        <f>_xll.qlInterestRateIndexValueDate(IborIndex,X3495)</f>
        <v>63475</v>
      </c>
      <c r="Z3495" s="175" t="e">
        <v>#N/A</v>
      </c>
      <c r="AA3495" s="177" t="e">
        <v>#N/A</v>
      </c>
    </row>
    <row r="3496" spans="23:27" x14ac:dyDescent="0.2">
      <c r="W3496" s="173" t="str">
        <f t="shared" si="65"/>
        <v>1w</v>
      </c>
      <c r="X3496" s="180">
        <f>_xll.qlCalendarAdvance(LiborCalendar,X3495,W3496,"f",FALSE)</f>
        <v>63480</v>
      </c>
      <c r="Y3496" s="174">
        <f>_xll.qlInterestRateIndexValueDate(IborIndex,X3496)</f>
        <v>63482</v>
      </c>
      <c r="Z3496" s="175" t="e">
        <v>#N/A</v>
      </c>
      <c r="AA3496" s="177" t="e">
        <v>#N/A</v>
      </c>
    </row>
    <row r="3497" spans="23:27" x14ac:dyDescent="0.2">
      <c r="W3497" s="173" t="str">
        <f t="shared" si="65"/>
        <v>1w</v>
      </c>
      <c r="X3497" s="180">
        <f>_xll.qlCalendarAdvance(LiborCalendar,X3496,W3497,"f",FALSE)</f>
        <v>63487</v>
      </c>
      <c r="Y3497" s="174">
        <f>_xll.qlInterestRateIndexValueDate(IborIndex,X3497)</f>
        <v>63489</v>
      </c>
      <c r="Z3497" s="175" t="e">
        <v>#N/A</v>
      </c>
      <c r="AA3497" s="177" t="e">
        <v>#N/A</v>
      </c>
    </row>
    <row r="3498" spans="23:27" x14ac:dyDescent="0.2">
      <c r="W3498" s="173" t="str">
        <f t="shared" si="65"/>
        <v>1w</v>
      </c>
      <c r="X3498" s="180">
        <f>_xll.qlCalendarAdvance(LiborCalendar,X3497,W3498,"f",FALSE)</f>
        <v>63494</v>
      </c>
      <c r="Y3498" s="174">
        <f>_xll.qlInterestRateIndexValueDate(IborIndex,X3498)</f>
        <v>63499</v>
      </c>
      <c r="Z3498" s="175" t="e">
        <v>#N/A</v>
      </c>
      <c r="AA3498" s="177" t="e">
        <v>#N/A</v>
      </c>
    </row>
    <row r="3499" spans="23:27" x14ac:dyDescent="0.2">
      <c r="W3499" s="173" t="str">
        <f t="shared" si="65"/>
        <v>1w</v>
      </c>
      <c r="X3499" s="180">
        <f>_xll.qlCalendarAdvance(LiborCalendar,X3498,W3499,"f",FALSE)</f>
        <v>63501</v>
      </c>
      <c r="Y3499" s="174">
        <f>_xll.qlInterestRateIndexValueDate(IborIndex,X3499)</f>
        <v>63503</v>
      </c>
      <c r="Z3499" s="175" t="e">
        <v>#N/A</v>
      </c>
      <c r="AA3499" s="177" t="e">
        <v>#N/A</v>
      </c>
    </row>
    <row r="3500" spans="23:27" x14ac:dyDescent="0.2">
      <c r="W3500" s="173" t="str">
        <f t="shared" si="65"/>
        <v>1w</v>
      </c>
      <c r="X3500" s="180">
        <f>_xll.qlCalendarAdvance(LiborCalendar,X3499,W3500,"f",FALSE)</f>
        <v>63508</v>
      </c>
      <c r="Y3500" s="174">
        <f>_xll.qlInterestRateIndexValueDate(IborIndex,X3500)</f>
        <v>63510</v>
      </c>
      <c r="Z3500" s="175" t="e">
        <v>#N/A</v>
      </c>
      <c r="AA3500" s="177" t="e">
        <v>#N/A</v>
      </c>
    </row>
    <row r="3501" spans="23:27" x14ac:dyDescent="0.2">
      <c r="W3501" s="173" t="str">
        <f t="shared" si="65"/>
        <v>1w</v>
      </c>
      <c r="X3501" s="180">
        <f>_xll.qlCalendarAdvance(LiborCalendar,X3500,W3501,"f",FALSE)</f>
        <v>63515</v>
      </c>
      <c r="Y3501" s="174">
        <f>_xll.qlInterestRateIndexValueDate(IborIndex,X3501)</f>
        <v>63517</v>
      </c>
      <c r="Z3501" s="175" t="e">
        <v>#N/A</v>
      </c>
      <c r="AA3501" s="177" t="e">
        <v>#N/A</v>
      </c>
    </row>
    <row r="3502" spans="23:27" x14ac:dyDescent="0.2">
      <c r="W3502" s="173" t="str">
        <f t="shared" si="65"/>
        <v>1w</v>
      </c>
      <c r="X3502" s="180">
        <f>_xll.qlCalendarAdvance(LiborCalendar,X3501,W3502,"f",FALSE)</f>
        <v>63522</v>
      </c>
      <c r="Y3502" s="174">
        <f>_xll.qlInterestRateIndexValueDate(IborIndex,X3502)</f>
        <v>63524</v>
      </c>
      <c r="Z3502" s="175" t="e">
        <v>#N/A</v>
      </c>
      <c r="AA3502" s="177" t="e">
        <v>#N/A</v>
      </c>
    </row>
    <row r="3503" spans="23:27" x14ac:dyDescent="0.2">
      <c r="W3503" s="173" t="str">
        <f t="shared" si="65"/>
        <v>1w</v>
      </c>
      <c r="X3503" s="180">
        <f>_xll.qlCalendarAdvance(LiborCalendar,X3502,W3503,"f",FALSE)</f>
        <v>63529</v>
      </c>
      <c r="Y3503" s="174">
        <f>_xll.qlInterestRateIndexValueDate(IborIndex,X3503)</f>
        <v>63531</v>
      </c>
      <c r="Z3503" s="175" t="e">
        <v>#N/A</v>
      </c>
      <c r="AA3503" s="177" t="e">
        <v>#N/A</v>
      </c>
    </row>
    <row r="3504" spans="23:27" x14ac:dyDescent="0.2">
      <c r="W3504" s="173" t="str">
        <f t="shared" si="65"/>
        <v>1w</v>
      </c>
      <c r="X3504" s="180">
        <f>_xll.qlCalendarAdvance(LiborCalendar,X3503,W3504,"f",FALSE)</f>
        <v>63536</v>
      </c>
      <c r="Y3504" s="174">
        <f>_xll.qlInterestRateIndexValueDate(IborIndex,X3504)</f>
        <v>63538</v>
      </c>
      <c r="Z3504" s="175" t="e">
        <v>#N/A</v>
      </c>
      <c r="AA3504" s="177" t="e">
        <v>#N/A</v>
      </c>
    </row>
    <row r="3505" spans="23:27" x14ac:dyDescent="0.2">
      <c r="W3505" s="173" t="str">
        <f t="shared" si="65"/>
        <v>1w</v>
      </c>
      <c r="X3505" s="180">
        <f>_xll.qlCalendarAdvance(LiborCalendar,X3504,W3505,"f",FALSE)</f>
        <v>63543</v>
      </c>
      <c r="Y3505" s="174">
        <f>_xll.qlInterestRateIndexValueDate(IborIndex,X3505)</f>
        <v>63545</v>
      </c>
      <c r="Z3505" s="175" t="e">
        <v>#N/A</v>
      </c>
      <c r="AA3505" s="177" t="e">
        <v>#N/A</v>
      </c>
    </row>
    <row r="3506" spans="23:27" x14ac:dyDescent="0.2">
      <c r="W3506" s="173" t="str">
        <f t="shared" si="65"/>
        <v>1w</v>
      </c>
      <c r="X3506" s="180">
        <f>_xll.qlCalendarAdvance(LiborCalendar,X3505,W3506,"f",FALSE)</f>
        <v>63550</v>
      </c>
      <c r="Y3506" s="174">
        <f>_xll.qlInterestRateIndexValueDate(IborIndex,X3506)</f>
        <v>63552</v>
      </c>
      <c r="Z3506" s="175" t="e">
        <v>#N/A</v>
      </c>
      <c r="AA3506" s="177" t="e">
        <v>#N/A</v>
      </c>
    </row>
    <row r="3507" spans="23:27" x14ac:dyDescent="0.2">
      <c r="W3507" s="173" t="str">
        <f t="shared" si="65"/>
        <v>1w</v>
      </c>
      <c r="X3507" s="180">
        <f>_xll.qlCalendarAdvance(LiborCalendar,X3506,W3507,"f",FALSE)</f>
        <v>63557</v>
      </c>
      <c r="Y3507" s="174">
        <f>_xll.qlInterestRateIndexValueDate(IborIndex,X3507)</f>
        <v>63559</v>
      </c>
      <c r="Z3507" s="175" t="e">
        <v>#N/A</v>
      </c>
      <c r="AA3507" s="177" t="e">
        <v>#N/A</v>
      </c>
    </row>
    <row r="3508" spans="23:27" x14ac:dyDescent="0.2">
      <c r="W3508" s="173" t="str">
        <f t="shared" si="65"/>
        <v>1w</v>
      </c>
      <c r="X3508" s="180">
        <f>_xll.qlCalendarAdvance(LiborCalendar,X3507,W3508,"f",FALSE)</f>
        <v>63564</v>
      </c>
      <c r="Y3508" s="174">
        <f>_xll.qlInterestRateIndexValueDate(IborIndex,X3508)</f>
        <v>63566</v>
      </c>
      <c r="Z3508" s="175" t="e">
        <v>#N/A</v>
      </c>
      <c r="AA3508" s="177" t="e">
        <v>#N/A</v>
      </c>
    </row>
    <row r="3509" spans="23:27" x14ac:dyDescent="0.2">
      <c r="W3509" s="173" t="str">
        <f t="shared" si="65"/>
        <v>1w</v>
      </c>
      <c r="X3509" s="180">
        <f>_xll.qlCalendarAdvance(LiborCalendar,X3508,W3509,"f",FALSE)</f>
        <v>63571</v>
      </c>
      <c r="Y3509" s="174">
        <f>_xll.qlInterestRateIndexValueDate(IborIndex,X3509)</f>
        <v>63573</v>
      </c>
      <c r="Z3509" s="175" t="e">
        <v>#N/A</v>
      </c>
      <c r="AA3509" s="177" t="e">
        <v>#N/A</v>
      </c>
    </row>
    <row r="3510" spans="23:27" x14ac:dyDescent="0.2">
      <c r="W3510" s="173" t="str">
        <f t="shared" si="65"/>
        <v>1w</v>
      </c>
      <c r="X3510" s="180">
        <f>_xll.qlCalendarAdvance(LiborCalendar,X3509,W3510,"f",FALSE)</f>
        <v>63578</v>
      </c>
      <c r="Y3510" s="174">
        <f>_xll.qlInterestRateIndexValueDate(IborIndex,X3510)</f>
        <v>63580</v>
      </c>
      <c r="Z3510" s="175" t="e">
        <v>#N/A</v>
      </c>
      <c r="AA3510" s="177" t="e">
        <v>#N/A</v>
      </c>
    </row>
    <row r="3511" spans="23:27" x14ac:dyDescent="0.2">
      <c r="W3511" s="173" t="str">
        <f t="shared" si="65"/>
        <v>1w</v>
      </c>
      <c r="X3511" s="180">
        <f>_xll.qlCalendarAdvance(LiborCalendar,X3510,W3511,"f",FALSE)</f>
        <v>63585</v>
      </c>
      <c r="Y3511" s="174">
        <f>_xll.qlInterestRateIndexValueDate(IborIndex,X3511)</f>
        <v>63587</v>
      </c>
      <c r="Z3511" s="175" t="e">
        <v>#N/A</v>
      </c>
      <c r="AA3511" s="177" t="e">
        <v>#N/A</v>
      </c>
    </row>
    <row r="3512" spans="23:27" x14ac:dyDescent="0.2">
      <c r="W3512" s="173" t="str">
        <f t="shared" si="65"/>
        <v>1w</v>
      </c>
      <c r="X3512" s="180">
        <f>_xll.qlCalendarAdvance(LiborCalendar,X3511,W3512,"f",FALSE)</f>
        <v>63592</v>
      </c>
      <c r="Y3512" s="174">
        <f>_xll.qlInterestRateIndexValueDate(IborIndex,X3512)</f>
        <v>63594</v>
      </c>
      <c r="Z3512" s="175" t="e">
        <v>#N/A</v>
      </c>
      <c r="AA3512" s="177" t="e">
        <v>#N/A</v>
      </c>
    </row>
    <row r="3513" spans="23:27" x14ac:dyDescent="0.2">
      <c r="W3513" s="173" t="str">
        <f t="shared" si="65"/>
        <v>1w</v>
      </c>
      <c r="X3513" s="180">
        <f>_xll.qlCalendarAdvance(LiborCalendar,X3512,W3513,"f",FALSE)</f>
        <v>63599</v>
      </c>
      <c r="Y3513" s="174">
        <f>_xll.qlInterestRateIndexValueDate(IborIndex,X3513)</f>
        <v>63601</v>
      </c>
      <c r="Z3513" s="175" t="e">
        <v>#N/A</v>
      </c>
      <c r="AA3513" s="177" t="e">
        <v>#N/A</v>
      </c>
    </row>
    <row r="3514" spans="23:27" x14ac:dyDescent="0.2">
      <c r="W3514" s="173" t="str">
        <f t="shared" si="65"/>
        <v>1w</v>
      </c>
      <c r="X3514" s="180">
        <f>_xll.qlCalendarAdvance(LiborCalendar,X3513,W3514,"f",FALSE)</f>
        <v>63606</v>
      </c>
      <c r="Y3514" s="174">
        <f>_xll.qlInterestRateIndexValueDate(IborIndex,X3514)</f>
        <v>63608</v>
      </c>
      <c r="Z3514" s="175" t="e">
        <v>#N/A</v>
      </c>
      <c r="AA3514" s="177" t="e">
        <v>#N/A</v>
      </c>
    </row>
    <row r="3515" spans="23:27" x14ac:dyDescent="0.2">
      <c r="W3515" s="173" t="str">
        <f t="shared" si="65"/>
        <v>1w</v>
      </c>
      <c r="X3515" s="180">
        <f>_xll.qlCalendarAdvance(LiborCalendar,X3514,W3515,"f",FALSE)</f>
        <v>63613</v>
      </c>
      <c r="Y3515" s="174">
        <f>_xll.qlInterestRateIndexValueDate(IborIndex,X3515)</f>
        <v>63615</v>
      </c>
      <c r="Z3515" s="175" t="e">
        <v>#N/A</v>
      </c>
      <c r="AA3515" s="177" t="e">
        <v>#N/A</v>
      </c>
    </row>
    <row r="3516" spans="23:27" x14ac:dyDescent="0.2">
      <c r="W3516" s="173" t="str">
        <f t="shared" si="65"/>
        <v>1w</v>
      </c>
      <c r="X3516" s="180">
        <f>_xll.qlCalendarAdvance(LiborCalendar,X3515,W3516,"f",FALSE)</f>
        <v>63620</v>
      </c>
      <c r="Y3516" s="174">
        <f>_xll.qlInterestRateIndexValueDate(IborIndex,X3516)</f>
        <v>63622</v>
      </c>
      <c r="Z3516" s="175" t="e">
        <v>#N/A</v>
      </c>
      <c r="AA3516" s="177" t="e">
        <v>#N/A</v>
      </c>
    </row>
    <row r="3517" spans="23:27" x14ac:dyDescent="0.2">
      <c r="W3517" s="173" t="str">
        <f t="shared" si="65"/>
        <v>1w</v>
      </c>
      <c r="X3517" s="180">
        <f>_xll.qlCalendarAdvance(LiborCalendar,X3516,W3517,"f",FALSE)</f>
        <v>63627</v>
      </c>
      <c r="Y3517" s="174">
        <f>_xll.qlInterestRateIndexValueDate(IborIndex,X3517)</f>
        <v>63629</v>
      </c>
      <c r="Z3517" s="175" t="e">
        <v>#N/A</v>
      </c>
      <c r="AA3517" s="177" t="e">
        <v>#N/A</v>
      </c>
    </row>
    <row r="3518" spans="23:27" x14ac:dyDescent="0.2">
      <c r="W3518" s="173" t="str">
        <f t="shared" si="65"/>
        <v>1w</v>
      </c>
      <c r="X3518" s="180">
        <f>_xll.qlCalendarAdvance(LiborCalendar,X3517,W3518,"f",FALSE)</f>
        <v>63634</v>
      </c>
      <c r="Y3518" s="174">
        <f>_xll.qlInterestRateIndexValueDate(IborIndex,X3518)</f>
        <v>63636</v>
      </c>
      <c r="Z3518" s="175" t="e">
        <v>#N/A</v>
      </c>
      <c r="AA3518" s="177" t="e">
        <v>#N/A</v>
      </c>
    </row>
    <row r="3519" spans="23:27" x14ac:dyDescent="0.2">
      <c r="W3519" s="173" t="str">
        <f t="shared" si="65"/>
        <v>1w</v>
      </c>
      <c r="X3519" s="180">
        <f>_xll.qlCalendarAdvance(LiborCalendar,X3518,W3519,"f",FALSE)</f>
        <v>63641</v>
      </c>
      <c r="Y3519" s="174">
        <f>_xll.qlInterestRateIndexValueDate(IborIndex,X3519)</f>
        <v>63643</v>
      </c>
      <c r="Z3519" s="175" t="e">
        <v>#N/A</v>
      </c>
      <c r="AA3519" s="177" t="e">
        <v>#N/A</v>
      </c>
    </row>
    <row r="3520" spans="23:27" x14ac:dyDescent="0.2">
      <c r="W3520" s="173" t="str">
        <f t="shared" si="65"/>
        <v>1w</v>
      </c>
      <c r="X3520" s="180">
        <f>_xll.qlCalendarAdvance(LiborCalendar,X3519,W3520,"f",FALSE)</f>
        <v>63648</v>
      </c>
      <c r="Y3520" s="174">
        <f>_xll.qlInterestRateIndexValueDate(IborIndex,X3520)</f>
        <v>63650</v>
      </c>
      <c r="Z3520" s="175" t="e">
        <v>#N/A</v>
      </c>
      <c r="AA3520" s="177" t="e">
        <v>#N/A</v>
      </c>
    </row>
    <row r="3521" spans="23:27" x14ac:dyDescent="0.2">
      <c r="W3521" s="173" t="str">
        <f t="shared" si="65"/>
        <v>1w</v>
      </c>
      <c r="X3521" s="180">
        <f>_xll.qlCalendarAdvance(LiborCalendar,X3520,W3521,"f",FALSE)</f>
        <v>63655</v>
      </c>
      <c r="Y3521" s="174">
        <f>_xll.qlInterestRateIndexValueDate(IborIndex,X3521)</f>
        <v>63661</v>
      </c>
      <c r="Z3521" s="175" t="e">
        <v>#N/A</v>
      </c>
      <c r="AA3521" s="177" t="e">
        <v>#N/A</v>
      </c>
    </row>
    <row r="3522" spans="23:27" x14ac:dyDescent="0.2">
      <c r="W3522" s="173" t="str">
        <f t="shared" si="65"/>
        <v>1w</v>
      </c>
      <c r="X3522" s="180">
        <f>_xll.qlCalendarAdvance(LiborCalendar,X3521,W3522,"f",FALSE)</f>
        <v>63662</v>
      </c>
      <c r="Y3522" s="174">
        <f>_xll.qlInterestRateIndexValueDate(IborIndex,X3522)</f>
        <v>63664</v>
      </c>
      <c r="Z3522" s="175" t="e">
        <v>#N/A</v>
      </c>
      <c r="AA3522" s="177" t="e">
        <v>#N/A</v>
      </c>
    </row>
    <row r="3523" spans="23:27" x14ac:dyDescent="0.2">
      <c r="W3523" s="173" t="str">
        <f t="shared" si="65"/>
        <v>1w</v>
      </c>
      <c r="X3523" s="180">
        <f>_xll.qlCalendarAdvance(LiborCalendar,X3522,W3523,"f",FALSE)</f>
        <v>63669</v>
      </c>
      <c r="Y3523" s="174">
        <f>_xll.qlInterestRateIndexValueDate(IborIndex,X3523)</f>
        <v>63671</v>
      </c>
      <c r="Z3523" s="175" t="e">
        <v>#N/A</v>
      </c>
      <c r="AA3523" s="177" t="e">
        <v>#N/A</v>
      </c>
    </row>
    <row r="3524" spans="23:27" x14ac:dyDescent="0.2">
      <c r="W3524" s="173" t="str">
        <f t="shared" si="65"/>
        <v>1w</v>
      </c>
      <c r="X3524" s="180">
        <f>_xll.qlCalendarAdvance(LiborCalendar,X3523,W3524,"f",FALSE)</f>
        <v>63676</v>
      </c>
      <c r="Y3524" s="174">
        <f>_xll.qlInterestRateIndexValueDate(IborIndex,X3524)</f>
        <v>63682</v>
      </c>
      <c r="Z3524" s="175" t="e">
        <v>#N/A</v>
      </c>
      <c r="AA3524" s="177" t="e">
        <v>#N/A</v>
      </c>
    </row>
    <row r="3525" spans="23:27" x14ac:dyDescent="0.2">
      <c r="W3525" s="173" t="str">
        <f t="shared" si="65"/>
        <v>1w</v>
      </c>
      <c r="X3525" s="180">
        <f>_xll.qlCalendarAdvance(LiborCalendar,X3524,W3525,"f",FALSE)</f>
        <v>63683</v>
      </c>
      <c r="Y3525" s="174">
        <f>_xll.qlInterestRateIndexValueDate(IborIndex,X3525)</f>
        <v>63685</v>
      </c>
      <c r="Z3525" s="175" t="e">
        <v>#N/A</v>
      </c>
      <c r="AA3525" s="177" t="e">
        <v>#N/A</v>
      </c>
    </row>
    <row r="3526" spans="23:27" x14ac:dyDescent="0.2">
      <c r="W3526" s="173" t="str">
        <f t="shared" si="65"/>
        <v>1w</v>
      </c>
      <c r="X3526" s="180">
        <f>_xll.qlCalendarAdvance(LiborCalendar,X3525,W3526,"f",FALSE)</f>
        <v>63690</v>
      </c>
      <c r="Y3526" s="174">
        <f>_xll.qlInterestRateIndexValueDate(IborIndex,X3526)</f>
        <v>63692</v>
      </c>
      <c r="Z3526" s="175" t="e">
        <v>#N/A</v>
      </c>
      <c r="AA3526" s="177" t="e">
        <v>#N/A</v>
      </c>
    </row>
    <row r="3527" spans="23:27" x14ac:dyDescent="0.2">
      <c r="W3527" s="173" t="str">
        <f t="shared" si="65"/>
        <v>1w</v>
      </c>
      <c r="X3527" s="180">
        <f>_xll.qlCalendarAdvance(LiborCalendar,X3526,W3527,"f",FALSE)</f>
        <v>63697</v>
      </c>
      <c r="Y3527" s="174">
        <f>_xll.qlInterestRateIndexValueDate(IborIndex,X3527)</f>
        <v>63699</v>
      </c>
      <c r="Z3527" s="175" t="e">
        <v>#N/A</v>
      </c>
      <c r="AA3527" s="177" t="e">
        <v>#N/A</v>
      </c>
    </row>
    <row r="3528" spans="23:27" x14ac:dyDescent="0.2">
      <c r="W3528" s="173" t="str">
        <f t="shared" si="65"/>
        <v>1w</v>
      </c>
      <c r="X3528" s="180">
        <f>_xll.qlCalendarAdvance(LiborCalendar,X3527,W3528,"f",FALSE)</f>
        <v>63704</v>
      </c>
      <c r="Y3528" s="174">
        <f>_xll.qlInterestRateIndexValueDate(IborIndex,X3528)</f>
        <v>63706</v>
      </c>
      <c r="Z3528" s="175" t="e">
        <v>#N/A</v>
      </c>
      <c r="AA3528" s="177" t="e">
        <v>#N/A</v>
      </c>
    </row>
    <row r="3529" spans="23:27" x14ac:dyDescent="0.2">
      <c r="W3529" s="173" t="str">
        <f t="shared" si="65"/>
        <v>1w</v>
      </c>
      <c r="X3529" s="180">
        <f>_xll.qlCalendarAdvance(LiborCalendar,X3528,W3529,"f",FALSE)</f>
        <v>63711</v>
      </c>
      <c r="Y3529" s="174">
        <f>_xll.qlInterestRateIndexValueDate(IborIndex,X3529)</f>
        <v>63713</v>
      </c>
      <c r="Z3529" s="175" t="e">
        <v>#N/A</v>
      </c>
      <c r="AA3529" s="177" t="e">
        <v>#N/A</v>
      </c>
    </row>
    <row r="3530" spans="23:27" x14ac:dyDescent="0.2">
      <c r="W3530" s="173" t="str">
        <f t="shared" si="65"/>
        <v>1w</v>
      </c>
      <c r="X3530" s="180">
        <f>_xll.qlCalendarAdvance(LiborCalendar,X3529,W3530,"f",FALSE)</f>
        <v>63718</v>
      </c>
      <c r="Y3530" s="174">
        <f>_xll.qlInterestRateIndexValueDate(IborIndex,X3530)</f>
        <v>63720</v>
      </c>
      <c r="Z3530" s="175" t="e">
        <v>#N/A</v>
      </c>
      <c r="AA3530" s="177" t="e">
        <v>#N/A</v>
      </c>
    </row>
    <row r="3531" spans="23:27" x14ac:dyDescent="0.2">
      <c r="W3531" s="173" t="str">
        <f t="shared" si="65"/>
        <v>1w</v>
      </c>
      <c r="X3531" s="180">
        <f>_xll.qlCalendarAdvance(LiborCalendar,X3530,W3531,"f",FALSE)</f>
        <v>63725</v>
      </c>
      <c r="Y3531" s="174">
        <f>_xll.qlInterestRateIndexValueDate(IborIndex,X3531)</f>
        <v>63727</v>
      </c>
      <c r="Z3531" s="175" t="e">
        <v>#N/A</v>
      </c>
      <c r="AA3531" s="177" t="e">
        <v>#N/A</v>
      </c>
    </row>
    <row r="3532" spans="23:27" x14ac:dyDescent="0.2">
      <c r="W3532" s="173" t="str">
        <f t="shared" si="65"/>
        <v>1w</v>
      </c>
      <c r="X3532" s="180">
        <f>_xll.qlCalendarAdvance(LiborCalendar,X3531,W3532,"f",FALSE)</f>
        <v>63732</v>
      </c>
      <c r="Y3532" s="174">
        <f>_xll.qlInterestRateIndexValueDate(IborIndex,X3532)</f>
        <v>63734</v>
      </c>
      <c r="Z3532" s="175" t="e">
        <v>#N/A</v>
      </c>
      <c r="AA3532" s="177" t="e">
        <v>#N/A</v>
      </c>
    </row>
    <row r="3533" spans="23:27" x14ac:dyDescent="0.2">
      <c r="W3533" s="173" t="str">
        <f t="shared" si="65"/>
        <v>1w</v>
      </c>
      <c r="X3533" s="180">
        <f>_xll.qlCalendarAdvance(LiborCalendar,X3532,W3533,"f",FALSE)</f>
        <v>63739</v>
      </c>
      <c r="Y3533" s="174">
        <f>_xll.qlInterestRateIndexValueDate(IborIndex,X3533)</f>
        <v>63741</v>
      </c>
      <c r="Z3533" s="175" t="e">
        <v>#N/A</v>
      </c>
      <c r="AA3533" s="177" t="e">
        <v>#N/A</v>
      </c>
    </row>
    <row r="3534" spans="23:27" x14ac:dyDescent="0.2">
      <c r="W3534" s="173" t="str">
        <f t="shared" si="65"/>
        <v>1w</v>
      </c>
      <c r="X3534" s="180">
        <f>_xll.qlCalendarAdvance(LiborCalendar,X3533,W3534,"f",FALSE)</f>
        <v>63746</v>
      </c>
      <c r="Y3534" s="174">
        <f>_xll.qlInterestRateIndexValueDate(IborIndex,X3534)</f>
        <v>63748</v>
      </c>
      <c r="Z3534" s="175" t="e">
        <v>#N/A</v>
      </c>
      <c r="AA3534" s="177" t="e">
        <v>#N/A</v>
      </c>
    </row>
    <row r="3535" spans="23:27" x14ac:dyDescent="0.2">
      <c r="W3535" s="173" t="str">
        <f t="shared" si="65"/>
        <v>1w</v>
      </c>
      <c r="X3535" s="180">
        <f>_xll.qlCalendarAdvance(LiborCalendar,X3534,W3535,"f",FALSE)</f>
        <v>63753</v>
      </c>
      <c r="Y3535" s="174">
        <f>_xll.qlInterestRateIndexValueDate(IborIndex,X3535)</f>
        <v>63755</v>
      </c>
      <c r="Z3535" s="175" t="e">
        <v>#N/A</v>
      </c>
      <c r="AA3535" s="177" t="e">
        <v>#N/A</v>
      </c>
    </row>
    <row r="3536" spans="23:27" x14ac:dyDescent="0.2">
      <c r="W3536" s="173" t="str">
        <f t="shared" si="65"/>
        <v>1w</v>
      </c>
      <c r="X3536" s="180">
        <f>_xll.qlCalendarAdvance(LiborCalendar,X3535,W3536,"f",FALSE)</f>
        <v>63760</v>
      </c>
      <c r="Y3536" s="174">
        <f>_xll.qlInterestRateIndexValueDate(IborIndex,X3536)</f>
        <v>63762</v>
      </c>
      <c r="Z3536" s="175" t="e">
        <v>#N/A</v>
      </c>
      <c r="AA3536" s="177" t="e">
        <v>#N/A</v>
      </c>
    </row>
    <row r="3537" spans="2:27" x14ac:dyDescent="0.2">
      <c r="W3537" s="173" t="str">
        <f t="shared" si="65"/>
        <v>1w</v>
      </c>
      <c r="X3537" s="180">
        <f>_xll.qlCalendarAdvance(LiborCalendar,X3536,W3537,"f",FALSE)</f>
        <v>63767</v>
      </c>
      <c r="Y3537" s="174">
        <f>_xll.qlInterestRateIndexValueDate(IborIndex,X3537)</f>
        <v>63769</v>
      </c>
      <c r="Z3537" s="175" t="e">
        <v>#N/A</v>
      </c>
      <c r="AA3537" s="177" t="e">
        <v>#N/A</v>
      </c>
    </row>
    <row r="3538" spans="2:27" x14ac:dyDescent="0.2">
      <c r="W3538" s="173" t="str">
        <f t="shared" si="65"/>
        <v>1w</v>
      </c>
      <c r="X3538" s="180">
        <f>_xll.qlCalendarAdvance(LiborCalendar,X3537,W3538,"f",FALSE)</f>
        <v>63774</v>
      </c>
      <c r="Y3538" s="174">
        <f>_xll.qlInterestRateIndexValueDate(IborIndex,X3538)</f>
        <v>63776</v>
      </c>
      <c r="Z3538" s="175" t="e">
        <v>#N/A</v>
      </c>
      <c r="AA3538" s="177" t="e">
        <v>#N/A</v>
      </c>
    </row>
    <row r="3539" spans="2:27" x14ac:dyDescent="0.2">
      <c r="W3539" s="173" t="str">
        <f t="shared" si="65"/>
        <v>1w</v>
      </c>
      <c r="X3539" s="180">
        <f>_xll.qlCalendarAdvance(LiborCalendar,X3538,W3539,"f",FALSE)</f>
        <v>63781</v>
      </c>
      <c r="Y3539" s="174">
        <f>_xll.qlInterestRateIndexValueDate(IborIndex,X3539)</f>
        <v>63783</v>
      </c>
      <c r="Z3539" s="175" t="e">
        <v>#N/A</v>
      </c>
      <c r="AA3539" s="177" t="e">
        <v>#N/A</v>
      </c>
    </row>
    <row r="3540" spans="2:27" x14ac:dyDescent="0.2">
      <c r="B3540" s="180"/>
      <c r="C3540" s="174"/>
      <c r="D3540" s="175"/>
      <c r="E3540" s="175"/>
      <c r="W3540" s="173" t="str">
        <f t="shared" si="65"/>
        <v>1w</v>
      </c>
      <c r="X3540" s="180">
        <f>_xll.qlCalendarAdvance(LiborCalendar,X3539,W3540,"f",FALSE)</f>
        <v>63788</v>
      </c>
      <c r="Y3540" s="174">
        <f>_xll.qlInterestRateIndexValueDate(IborIndex,X3540)</f>
        <v>63790</v>
      </c>
      <c r="Z3540" s="175" t="e">
        <v>#N/A</v>
      </c>
      <c r="AA3540" s="177" t="e">
        <v>#N/A</v>
      </c>
    </row>
    <row r="3541" spans="2:27" x14ac:dyDescent="0.2">
      <c r="B3541" s="180"/>
      <c r="C3541" s="174"/>
      <c r="D3541" s="175"/>
      <c r="E3541" s="175"/>
      <c r="W3541" s="173" t="str">
        <f t="shared" ref="W3541:W3552" si="66">W3540</f>
        <v>1w</v>
      </c>
      <c r="X3541" s="180">
        <f>_xll.qlCalendarAdvance(LiborCalendar,X3540,W3541,"f",FALSE)</f>
        <v>63795</v>
      </c>
      <c r="Y3541" s="174">
        <f>_xll.qlInterestRateIndexValueDate(IborIndex,X3541)</f>
        <v>63797</v>
      </c>
      <c r="Z3541" s="175" t="e">
        <v>#N/A</v>
      </c>
      <c r="AA3541" s="177" t="e">
        <v>#N/A</v>
      </c>
    </row>
    <row r="3542" spans="2:27" x14ac:dyDescent="0.2">
      <c r="B3542" s="180"/>
      <c r="C3542" s="174"/>
      <c r="D3542" s="175"/>
      <c r="E3542" s="175"/>
      <c r="W3542" s="173" t="str">
        <f t="shared" si="66"/>
        <v>1w</v>
      </c>
      <c r="X3542" s="180">
        <f>_xll.qlCalendarAdvance(LiborCalendar,X3541,W3542,"f",FALSE)</f>
        <v>63802</v>
      </c>
      <c r="Y3542" s="174">
        <f>_xll.qlInterestRateIndexValueDate(IborIndex,X3542)</f>
        <v>63804</v>
      </c>
      <c r="Z3542" s="175" t="e">
        <v>#N/A</v>
      </c>
      <c r="AA3542" s="177" t="e">
        <v>#N/A</v>
      </c>
    </row>
    <row r="3543" spans="2:27" x14ac:dyDescent="0.2">
      <c r="B3543" s="180"/>
      <c r="C3543" s="174"/>
      <c r="D3543" s="175"/>
      <c r="E3543" s="175"/>
      <c r="W3543" s="173" t="str">
        <f t="shared" si="66"/>
        <v>1w</v>
      </c>
      <c r="X3543" s="180">
        <f>_xll.qlCalendarAdvance(LiborCalendar,X3542,W3543,"f",FALSE)</f>
        <v>63809</v>
      </c>
      <c r="Y3543" s="174">
        <f>_xll.qlInterestRateIndexValueDate(IborIndex,X3543)</f>
        <v>63811</v>
      </c>
      <c r="Z3543" s="175" t="e">
        <v>#N/A</v>
      </c>
      <c r="AA3543" s="177" t="e">
        <v>#N/A</v>
      </c>
    </row>
    <row r="3544" spans="2:27" x14ac:dyDescent="0.2">
      <c r="B3544" s="180"/>
      <c r="C3544" s="174"/>
      <c r="D3544" s="175"/>
      <c r="E3544" s="175"/>
      <c r="W3544" s="173" t="str">
        <f t="shared" si="66"/>
        <v>1w</v>
      </c>
      <c r="X3544" s="180">
        <f>_xll.qlCalendarAdvance(LiborCalendar,X3543,W3544,"f",FALSE)</f>
        <v>63816</v>
      </c>
      <c r="Y3544" s="174">
        <f>_xll.qlInterestRateIndexValueDate(IborIndex,X3544)</f>
        <v>63818</v>
      </c>
      <c r="Z3544" s="175" t="e">
        <v>#N/A</v>
      </c>
      <c r="AA3544" s="177" t="e">
        <v>#N/A</v>
      </c>
    </row>
    <row r="3545" spans="2:27" x14ac:dyDescent="0.2">
      <c r="B3545" s="180"/>
      <c r="C3545" s="174"/>
      <c r="D3545" s="175"/>
      <c r="E3545" s="175"/>
      <c r="W3545" s="173" t="str">
        <f t="shared" si="66"/>
        <v>1w</v>
      </c>
      <c r="X3545" s="180">
        <f>_xll.qlCalendarAdvance(LiborCalendar,X3544,W3545,"f",FALSE)</f>
        <v>63823</v>
      </c>
      <c r="Y3545" s="174">
        <f>_xll.qlInterestRateIndexValueDate(IborIndex,X3545)</f>
        <v>63825</v>
      </c>
      <c r="Z3545" s="175" t="e">
        <v>#N/A</v>
      </c>
      <c r="AA3545" s="177" t="e">
        <v>#N/A</v>
      </c>
    </row>
    <row r="3546" spans="2:27" x14ac:dyDescent="0.2">
      <c r="B3546" s="180"/>
      <c r="C3546" s="174"/>
      <c r="D3546" s="175"/>
      <c r="E3546" s="175"/>
      <c r="W3546" s="173" t="str">
        <f t="shared" si="66"/>
        <v>1w</v>
      </c>
      <c r="X3546" s="180">
        <f>_xll.qlCalendarAdvance(LiborCalendar,X3545,W3546,"f",FALSE)</f>
        <v>63830</v>
      </c>
      <c r="Y3546" s="174">
        <f>_xll.qlInterestRateIndexValueDate(IborIndex,X3546)</f>
        <v>63832</v>
      </c>
      <c r="Z3546" s="175" t="e">
        <v>#N/A</v>
      </c>
      <c r="AA3546" s="177" t="e">
        <v>#N/A</v>
      </c>
    </row>
    <row r="3547" spans="2:27" x14ac:dyDescent="0.2">
      <c r="B3547" s="180"/>
      <c r="C3547" s="174"/>
      <c r="D3547" s="175"/>
      <c r="E3547" s="175"/>
      <c r="W3547" s="173" t="str">
        <f t="shared" si="66"/>
        <v>1w</v>
      </c>
      <c r="X3547" s="180">
        <f>_xll.qlCalendarAdvance(LiborCalendar,X3546,W3547,"f",FALSE)</f>
        <v>63837</v>
      </c>
      <c r="Y3547" s="174">
        <f>_xll.qlInterestRateIndexValueDate(IborIndex,X3547)</f>
        <v>63839</v>
      </c>
      <c r="Z3547" s="175" t="e">
        <v>#N/A</v>
      </c>
      <c r="AA3547" s="177" t="e">
        <v>#N/A</v>
      </c>
    </row>
    <row r="3548" spans="2:27" x14ac:dyDescent="0.2">
      <c r="B3548" s="180"/>
      <c r="C3548" s="174"/>
      <c r="D3548" s="175"/>
      <c r="E3548" s="175"/>
      <c r="W3548" s="173" t="str">
        <f t="shared" si="66"/>
        <v>1w</v>
      </c>
      <c r="X3548" s="180">
        <f>_xll.qlCalendarAdvance(LiborCalendar,X3547,W3548,"f",FALSE)</f>
        <v>63844</v>
      </c>
      <c r="Y3548" s="174">
        <f>_xll.qlInterestRateIndexValueDate(IborIndex,X3548)</f>
        <v>63846</v>
      </c>
      <c r="Z3548" s="175" t="e">
        <v>#N/A</v>
      </c>
      <c r="AA3548" s="177" t="e">
        <v>#N/A</v>
      </c>
    </row>
    <row r="3549" spans="2:27" x14ac:dyDescent="0.2">
      <c r="B3549" s="180"/>
      <c r="C3549" s="174"/>
      <c r="D3549" s="175"/>
      <c r="E3549" s="175"/>
      <c r="W3549" s="173" t="str">
        <f t="shared" si="66"/>
        <v>1w</v>
      </c>
      <c r="X3549" s="180">
        <f>_xll.qlCalendarAdvance(LiborCalendar,X3548,W3549,"f",FALSE)</f>
        <v>63851</v>
      </c>
      <c r="Y3549" s="174">
        <f>_xll.qlInterestRateIndexValueDate(IborIndex,X3549)</f>
        <v>63853</v>
      </c>
      <c r="Z3549" s="175" t="e">
        <v>#N/A</v>
      </c>
      <c r="AA3549" s="177" t="e">
        <v>#N/A</v>
      </c>
    </row>
    <row r="3550" spans="2:27" x14ac:dyDescent="0.2">
      <c r="B3550" s="180"/>
      <c r="C3550" s="174"/>
      <c r="D3550" s="175"/>
      <c r="E3550" s="175"/>
      <c r="W3550" s="173" t="str">
        <f t="shared" si="66"/>
        <v>1w</v>
      </c>
      <c r="X3550" s="180">
        <f>_xll.qlCalendarAdvance(LiborCalendar,X3549,W3550,"f",FALSE)</f>
        <v>63858</v>
      </c>
      <c r="Y3550" s="174">
        <f>_xll.qlInterestRateIndexValueDate(IborIndex,X3550)</f>
        <v>63860</v>
      </c>
      <c r="Z3550" s="175" t="e">
        <v>#N/A</v>
      </c>
      <c r="AA3550" s="177" t="e">
        <v>#N/A</v>
      </c>
    </row>
    <row r="3551" spans="2:27" x14ac:dyDescent="0.2">
      <c r="B3551" s="180"/>
      <c r="C3551" s="174"/>
      <c r="D3551" s="175"/>
      <c r="E3551" s="175"/>
      <c r="W3551" s="173" t="str">
        <f t="shared" si="66"/>
        <v>1w</v>
      </c>
      <c r="X3551" s="180">
        <f>_xll.qlCalendarAdvance(LiborCalendar,X3550,W3551,"f",FALSE)</f>
        <v>63865</v>
      </c>
      <c r="Y3551" s="174">
        <f>_xll.qlInterestRateIndexValueDate(IborIndex,X3551)</f>
        <v>63867</v>
      </c>
      <c r="Z3551" s="175" t="e">
        <v>#N/A</v>
      </c>
      <c r="AA3551" s="177" t="e">
        <v>#N/A</v>
      </c>
    </row>
    <row r="3552" spans="2:27" ht="12" thickBot="1" x14ac:dyDescent="0.25">
      <c r="B3552" s="180"/>
      <c r="C3552" s="174"/>
      <c r="D3552" s="175"/>
      <c r="E3552" s="175"/>
      <c r="W3552" s="182" t="str">
        <f t="shared" si="66"/>
        <v>1w</v>
      </c>
      <c r="X3552" s="183">
        <f>_xll.qlCalendarAdvance(LiborCalendar,X3551,W3552,"f",FALSE)</f>
        <v>63872</v>
      </c>
      <c r="Y3552" s="197">
        <f>_xll.qlInterestRateIndexValueDate(IborIndex,X3552)</f>
        <v>63874</v>
      </c>
      <c r="Z3552" s="176" t="e">
        <v>#N/A</v>
      </c>
      <c r="AA3552" s="178" t="e">
        <v>#N/A</v>
      </c>
    </row>
    <row r="3553" spans="2:23" x14ac:dyDescent="0.2">
      <c r="B3553" s="180"/>
      <c r="C3553" s="174"/>
      <c r="D3553" s="175"/>
      <c r="E3553" s="175"/>
      <c r="W3553" s="19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36</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523875</xdr:colOff>
                    <xdr:row>46</xdr:row>
                    <xdr:rowOff>114300</xdr:rowOff>
                  </from>
                  <to>
                    <xdr:col>10</xdr:col>
                    <xdr:colOff>209550</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47</vt:i4>
      </vt:variant>
    </vt:vector>
  </HeadingPairs>
  <TitlesOfParts>
    <vt:vector size="54"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2014-10-31T09:51:52Z</dcterms:modified>
</cp:coreProperties>
</file>